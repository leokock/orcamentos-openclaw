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FG Empreendimentos\2025.11 - Senna Tower\04. Custo\04.2 Custo - Preliminar\02 - Elaboração\Fase 02\Aspiração\"/>
    </mc:Choice>
  </mc:AlternateContent>
  <xr:revisionPtr revIDLastSave="0" documentId="13_ncr:1_{941DA759-E30F-4C76-8D0D-C1D797642252}" xr6:coauthVersionLast="47" xr6:coauthVersionMax="47" xr10:uidLastSave="{00000000-0000-0000-0000-000000000000}"/>
  <bookViews>
    <workbookView xWindow="-120" yWindow="-120" windowWidth="38640" windowHeight="15720" activeTab="1" xr2:uid="{8DDAB284-196A-4DB7-8580-082C6E37228E}"/>
  </bookViews>
  <sheets>
    <sheet name="PREÇO" sheetId="3" r:id="rId1"/>
    <sheet name="Aspiração" sheetId="1" r:id="rId2"/>
    <sheet name="Arquivos Utilizados" sheetId="45" r:id="rId3"/>
  </sheets>
  <externalReferences>
    <externalReference r:id="rId4"/>
    <externalReference r:id="rId5"/>
    <externalReference r:id="rId6"/>
    <externalReference r:id="rId7"/>
  </externalReferences>
  <definedNames>
    <definedName name="\0" localSheetId="1">#REF!</definedName>
    <definedName name="\0" localSheetId="0">#REF!</definedName>
    <definedName name="\0">#REF!</definedName>
    <definedName name="\1">#REF!</definedName>
    <definedName name="\a" localSheetId="1">#REF!</definedName>
    <definedName name="\a" localSheetId="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1">#REF!</definedName>
    <definedName name="\m" localSheetId="0">#REF!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 hidden="1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localSheetId="1" hidden="1">Aspiração!$A$5:$L$63</definedName>
    <definedName name="_xlnm._FilterDatabase" localSheetId="0" hidden="1">PREÇO!$B$5:$E$58</definedName>
    <definedName name="_xlnm._FilterDatabase" hidden="1">#REF!</definedName>
    <definedName name="_htm2">#REF!</definedName>
    <definedName name="_htn2">#REF!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hidden="1">#REF!</definedName>
    <definedName name="_Table1_Out" hidden="1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 localSheetId="1">#REF!</definedName>
    <definedName name="aa" localSheetId="0">#REF!</definedName>
    <definedName name="aa">#REF!</definedName>
    <definedName name="aaa">#REF!</definedName>
    <definedName name="aaaa" localSheetId="1">'[1]M.O.'!#REF!</definedName>
    <definedName name="aaaa" localSheetId="0">'[1]M.O.'!#REF!</definedName>
    <definedName name="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hidden="1">{#N/A,#N/A,FALSE,"Plan1";#N/A,#N/A,FALSE,"Plan2"}</definedName>
    <definedName name="aaas">#REF!</definedName>
    <definedName name="AB">#REF!</definedName>
    <definedName name="Abat_ISS">#REF!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{#N/A,#N/A,FALSE,"Plan1";#N/A,#N/A,FALSE,"Plan2"}</definedName>
    <definedName name="adads" hidden="1">{#N/A,#N/A,FALSE,"Plan1";#N/A,#N/A,FALSE,"Plan2"}</definedName>
    <definedName name="adads2" hidden="1">{#N/A,#N/A,FALSE,"Plan1";#N/A,#N/A,FALSE,"Plan2"}</definedName>
    <definedName name="adced" hidden="1">{#N/A,#N/A,FALSE,"Plan1";#N/A,#N/A,FALSE,"Plan2"}</definedName>
    <definedName name="adced2" hidden="1">{#N/A,#N/A,FALSE,"Plan1";#N/A,#N/A,FALSE,"Plan2"}</definedName>
    <definedName name="ader" hidden="1">{#N/A,#N/A,FALSE,"Plan1";#N/A,#N/A,FALSE,"Plan2"}</definedName>
    <definedName name="ader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hidden="1">{#N/A,#N/A,FALSE,"Plan1";#N/A,#N/A,FALSE,"Plan2"}</definedName>
    <definedName name="adssrgtg" hidden="1">{#N/A,#N/A,FALSE,"Plan1";#N/A,#N/A,FALSE,"Plan2"}</definedName>
    <definedName name="adtsetrr6t" hidden="1">{#N/A,#N/A,FALSE,"Plan1";#N/A,#N/A,FALSE,"Plan2"}</definedName>
    <definedName name="ADUCQT">#REF!</definedName>
    <definedName name="adwr" hidden="1">{#N/A,#N/A,FALSE,"Plan1";#N/A,#N/A,FALSE,"Plan2"}</definedName>
    <definedName name="aeiresft" hidden="1">{#N/A,#N/A,FALSE,"Plan1";#N/A,#N/A,FALSE,"Plan2"}</definedName>
    <definedName name="aEL3QE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 localSheetId="1">[2]Geral!#REF!</definedName>
    <definedName name="angelo" localSheetId="0">[2]Geral!#REF!</definedName>
    <definedName name="angelo">[2]Geral!#REF!</definedName>
    <definedName name="anscount" hidden="1">3</definedName>
    <definedName name="AQE" hidden="1">{"'장비'!$A$3:$M$12"}</definedName>
    <definedName name="AQTEMP1">#REF!</definedName>
    <definedName name="AQTEMP2">#REF!</definedName>
    <definedName name="ArComprimido" hidden="1">{"'Estimativa de Lançamento-JAN'!$A$1:$AI$85"}</definedName>
    <definedName name="area" localSheetId="1">#REF!</definedName>
    <definedName name="area" localSheetId="0">#REF!</definedName>
    <definedName name="area" hidden="1">{#N/A,#N/A,FALSE,"Plan1";#N/A,#N/A,FALSE,"Plan2"}</definedName>
    <definedName name="área">#REF!</definedName>
    <definedName name="Área_Construída">#REF!</definedName>
    <definedName name="_xlnm.Print_Area" localSheetId="1">Aspiração!$A$1:$X$90</definedName>
    <definedName name="_xlnm.Print_Area" localSheetId="0">PREÇO!$A$1:$G$63</definedName>
    <definedName name="_xlnm.Print_Are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 localSheetId="1">#REF!</definedName>
    <definedName name="Areaimpresso" localSheetId="0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hidden="1">{#N/A,#N/A,FALSE,"Plan1";#N/A,#N/A,FALSE,"Plan2"}</definedName>
    <definedName name="ASD" hidden="1">17</definedName>
    <definedName name="ASDA" hidden="1">{#N/A,#N/A,FALSE,"Plan1";#N/A,#N/A,FALSE,"Plan2"}</definedName>
    <definedName name="asdade" hidden="1">{#N/A,#N/A,FALSE,"Plan1";#N/A,#N/A,FALSE,"Plan2"}</definedName>
    <definedName name="asdas" hidden="1">{#N/A,#N/A,FALSE,"Plan1";#N/A,#N/A,FALSE,"Plan2"}</definedName>
    <definedName name="asdawed" hidden="1">{#N/A,#N/A,FALSE,"Plan1";#N/A,#N/A,FALSE,"Plan2"}</definedName>
    <definedName name="ASDER" hidden="1">{#N/A,#N/A,FALSE,"Plan1";#N/A,#N/A,FALSE,"Plan2"}</definedName>
    <definedName name="asderr" hidden="1">{#N/A,#N/A,FALSE,"Plan1";#N/A,#N/A,FALSE,"Plan2"}</definedName>
    <definedName name="asdesre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hidden="1">{#N/A,#N/A,FALSE,"Plan1";#N/A,#N/A,FALSE,"Plan2"}</definedName>
    <definedName name="asdg" hidden="1">{#N/A,#N/A,FALSE,"Plan1";#N/A,#N/A,FALSE,"Plan2"}</definedName>
    <definedName name="asdjksej" hidden="1">#REF!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ser" hidden="1">{#N/A,#N/A,FALSE,"Plan1";#N/A,#N/A,FALSE,"Plan2"}</definedName>
    <definedName name="asdwef" hidden="1">{#N/A,#N/A,FALSE,"Plan1";#N/A,#N/A,FALSE,"Plan2"}</definedName>
    <definedName name="aseiuw" hidden="1">#REF!</definedName>
    <definedName name="ASET" hidden="1">{#N/A,#N/A,FALSE,"Plan1";#N/A,#N/A,FALSE,"Plan2"}</definedName>
    <definedName name="asfDSF" hidden="1">{#N/A,#N/A,FALSE,"Plan1";#N/A,#N/A,FALSE,"Plan2"}</definedName>
    <definedName name="ASFERTE" hidden="1">{#N/A,#N/A,FALSE,"Plan1";#N/A,#N/A,FALSE,"Plan2"}</definedName>
    <definedName name="asfl" hidden="1">{#N/A,#N/A,FALSE,"Plan1";#N/A,#N/A,FALSE,"Plan2"}</definedName>
    <definedName name="asfsz" hidden="1">{#N/A,#N/A,FALSE,"Plan1";#N/A,#N/A,FALSE,"Plan2"}</definedName>
    <definedName name="askserf" hidden="1">{#N/A,#N/A,FALSE,"Plan1";#N/A,#N/A,FALSE,"Plan2"}</definedName>
    <definedName name="ASSFSDF" hidden="1">{#N/A,#N/A,FALSE,"Plan1";#N/A,#N/A,FALSE,"Plan2"}</definedName>
    <definedName name="asw" hidden="1">{#N/A,#N/A,FALSE,"Plan1";#N/A,#N/A,FALSE,"Plan2"}</definedName>
    <definedName name="Até_Chaves">#REF!</definedName>
    <definedName name="ATIVOS" hidden="1">{#N/A,#N/A,FALSE,"F-01"}</definedName>
    <definedName name="Ato">#REF!</definedName>
    <definedName name="ATUAL">#REF!</definedName>
    <definedName name="aux" localSheetId="1">#REF!</definedName>
    <definedName name="aux" localSheetId="0">#REF!</definedName>
    <definedName name="aux">#REF!</definedName>
    <definedName name="AUXILIO">#REF!</definedName>
    <definedName name="avulsos">#REF!</definedName>
    <definedName name="awdjw" hidden="1">{#N/A,#N/A,FALSE,"Plan1";#N/A,#N/A,FALSE,"Plan2"}</definedName>
    <definedName name="aweqw4" hidden="1">{#N/A,#N/A,FALSE,"Plan1";#N/A,#N/A,FALSE,"Plan2"}</definedName>
    <definedName name="awssdwaer" hidden="1">{#N/A,#N/A,FALSE,"Plan1";#N/A,#N/A,FALSE,"Plan2"}</definedName>
    <definedName name="AZ" hidden="1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 localSheetId="1">#REF!</definedName>
    <definedName name="BDA" localSheetId="0">#REF!</definedName>
    <definedName name="BDA">#REF!</definedName>
    <definedName name="bdfjghf" hidden="1">{#N/A,#N/A,FALSE,"Plan1";#N/A,#N/A,FALSE,"Plan2"}</definedName>
    <definedName name="BDI" localSheetId="1">#REF!</definedName>
    <definedName name="BDI" localSheetId="0">#REF!</definedName>
    <definedName name="BDI">#REF!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hidden="1">#REF!</definedName>
    <definedName name="BGG" hidden="1">{#N/A,#N/A,FALSE,"Plan1";#N/A,#N/A,FALSE,"Plan2"}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hidden="1">{#N/A,#N/A,FALSE,"Plan1";#N/A,#N/A,FALSE,"Plan2"}</definedName>
    <definedName name="bloco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hidden="1">#REF!</definedName>
    <definedName name="bxnzfmkzxbhdf" hidden="1">{#N/A,#N/A,FALSE,"Plan1";#N/A,#N/A,FALSE,"Plan2"}</definedName>
    <definedName name="ca" localSheetId="1">#REF!</definedName>
    <definedName name="ca" localSheetId="0">#REF!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 localSheetId="1">#REF!</definedName>
    <definedName name="Capa" localSheetId="0">#REF!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AFQT">#REF!</definedName>
    <definedName name="Chaves">#REF!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Classificação">#REF!</definedName>
    <definedName name="çlçlç" hidden="1">{#N/A,#N/A,FALSE,"Plan1";#N/A,#N/A,FALSE,"Plan2"}</definedName>
    <definedName name="çld" hidden="1">{#N/A,#N/A,FALSE,"Plan1";#N/A,#N/A,FALSE,"Plan2"}</definedName>
    <definedName name="çlererr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hidden="1">{#N/A,#N/A,TRUE,"Quinzena 01 à 15-04-98 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 localSheetId="1">#REF!</definedName>
    <definedName name="cronograma" localSheetId="0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 localSheetId="1">#REF!</definedName>
    <definedName name="D" localSheetId="0">#REF!</definedName>
    <definedName name="D">#REF!</definedName>
    <definedName name="da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hidden="1">{#N/A,#N/A,FALSE,"Plan1";#N/A,#N/A,FALSE,"Plan2"}</definedName>
    <definedName name="ddfs" hidden="1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de" hidden="1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hidden="1">{#N/A,#N/A,FALSE,"Plan1";#N/A,#N/A,FALSE,"Plan2"}</definedName>
    <definedName name="dfdrtrr" hidden="1">{#N/A,#N/A,FALSE,"Plan1";#N/A,#N/A,FALSE,"Plan2"}</definedName>
    <definedName name="DFDSG" hidden="1">{#N/A,#N/A,FALSE,"Plan1";#N/A,#N/A,FALSE,"Plan2"}</definedName>
    <definedName name="dfer" hidden="1">{#N/A,#N/A,FALSE,"Plan1";#N/A,#N/A,FALSE,"Plan2"}</definedName>
    <definedName name="dffbty" hidden="1">{#N/A,#N/A,FALSE,"Plan1";#N/A,#N/A,FALSE,"Plan2"}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hidden="1">{#N/A,#N/A,FALSE,"Plan1";#N/A,#N/A,FALSE,"Plan2"}</definedName>
    <definedName name="dfg" hidden="1">{#N/A,#N/A,FALSE,"Plan1";#N/A,#N/A,FALSE,"Plan2"}</definedName>
    <definedName name="dfgdf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">#REF!</definedName>
    <definedName name="dfghjfhsg" hidden="1">{#N/A,#N/A,FALSE,"Plan1";#N/A,#N/A,FALSE,"Plan2"}</definedName>
    <definedName name="dfgj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gt" hidden="1">{#N/A,#N/A,FALSE,"Plan1";#N/A,#N/A,FALSE,"Plan2"}</definedName>
    <definedName name="dfgtrkjhk" hidden="1">{#N/A,#N/A,FALSE,"Plan1";#N/A,#N/A,FALSE,"Plan2"}</definedName>
    <definedName name="dfgty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hidden="1">{#N/A,#N/A,FALSE,"Plan1";#N/A,#N/A,FALSE,"Plan2"}</definedName>
    <definedName name="dfnert" hidden="1">{#N/A,#N/A,FALSE,"Plan1";#N/A,#N/A,FALSE,"Plan2"}</definedName>
    <definedName name="dfrt" hidden="1">{#N/A,#N/A,FALSE,"Plan1";#N/A,#N/A,FALSE,"Plan2"}</definedName>
    <definedName name="dfsdr5tt" hidden="1">{#N/A,#N/A,FALSE,"Plan1";#N/A,#N/A,FALSE,"Plan2"}</definedName>
    <definedName name="dfsds" hidden="1">#REF!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hidden="1">{#N/A,#N/A,FALSE,"Plan1";#N/A,#N/A,FALSE,"Plan2"}</definedName>
    <definedName name="dfsf" hidden="1">{#N/A,#N/A,FALSE,"Plan1";#N/A,#N/A,FALSE,"Plan2"}</definedName>
    <definedName name="DF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fxgdrged" hidden="1">{#N/A,#N/A,FALSE,"Plan1";#N/A,#N/A,FALSE,"Plan2"}</definedName>
    <definedName name="dgfrtyt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 localSheetId="1">#REF!</definedName>
    <definedName name="direto" localSheetId="0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 localSheetId="1">#REF!</definedName>
    <definedName name="DRE" localSheetId="0">#REF!</definedName>
    <definedName name="DRE">#REF!</definedName>
    <definedName name="drewr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hidden="1">{#N/A,#N/A,FALSE,"Plan1";#N/A,#N/A,FALSE,"Plan2"}</definedName>
    <definedName name="dsfdf" hidden="1">{#N/A,#N/A,FALSE,"Plan1";#N/A,#N/A,FALSE,"Plan2"}</definedName>
    <definedName name="dsfg" hidden="1">{#N/A,#N/A,FALSE,"Plan1";#N/A,#N/A,FALSE,"Plan2"}</definedName>
    <definedName name="DSFKDSKH" hidden="1">{#N/A,#N/A,FALSE,"Plan1";#N/A,#N/A,FALSE,"Plan2"}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hidden="1">{#N/A,#N/A,FALSE,"Plan1";#N/A,#N/A,FALSE,"Plan2"}</definedName>
    <definedName name="DSFSAD" hidden="1">{#N/A,#N/A,FALSE,"Plan1";#N/A,#N/A,FALSE,"Plan2"}</definedName>
    <definedName name="dsfsdf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hidden="1">{#N/A,#N/A,FALSE,"Plan1";#N/A,#N/A,FALSE,"Plan2"}</definedName>
    <definedName name="dslfkf" hidden="1">4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hidden="1">{#N/A,#N/A,FALSE,"Plan1";#N/A,#N/A,FALSE,"Plan2"}</definedName>
    <definedName name="dtgsrytt" hidden="1">{#N/A,#N/A,FALSE,"Plan1";#N/A,#N/A,FALSE,"Plan2"}</definedName>
    <definedName name="dtrjkhtrgkfh" hidden="1">{#N/A,#N/A,FALSE,"Plan1";#N/A,#N/A,FALSE,"Plan2"}</definedName>
    <definedName name="dttjuk" hidden="1">{#N/A,#N/A,FALSE,"Plan1";#N/A,#N/A,FALSE,"Plan2"}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hidden="1">{#N/A,#N/A,FALSE,"Plan1";#N/A,#N/A,FALSE,"Plan2"}</definedName>
    <definedName name="dwqhdjwqgdwq">#REF!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hidden="1">{#N/A,#N/A,FALSE,"Plan1";#N/A,#N/A,FALSE,"Plan2"}</definedName>
    <definedName name="dzdfr" hidden="1">{#N/A,#N/A,FALSE,"Plan1";#N/A,#N/A,FALSE,"Plan2"}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">#REF!</definedName>
    <definedName name="ea" localSheetId="0">#REF!</definedName>
    <definedName name="ea">#REF!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hidden="1">#REF!</definedName>
    <definedName name="EcoPark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hidden="1">{#N/A,#N/A,FALSE,"Plan1";#N/A,#N/A,FALSE,"Plan2"}</definedName>
    <definedName name="ee">#REF!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hidden="1">{#N/A,#N/A,FALSE,"Plan1";#N/A,#N/A,FALSE,"Plan2"}</definedName>
    <definedName name="EFICIÊNCIA">#REF!</definedName>
    <definedName name="Eficiência1">#REF!</definedName>
    <definedName name="efrdrt" hidden="1">{#N/A,#N/A,FALSE,"Plan1";#N/A,#N/A,FALSE,"Plan2"}</definedName>
    <definedName name="efrg" hidden="1">{#N/A,#N/A,FALSE,"Plan1";#N/A,#N/A,FALSE,"Plan2"}</definedName>
    <definedName name="efsgfr" hidden="1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hidden="1">#REF!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hidden="1">{#N/A,#N/A,FALSE,"Plan1";#N/A,#N/A,FALSE,"Plan2"}</definedName>
    <definedName name="EV__LASTREFTIME__" hidden="1">39965.7223611111</definedName>
    <definedName name="EVL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hidden="1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 hidden="1">{"'Total'!$A$1","'Total'!$A$3"}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hidden="1">#REF!</definedName>
    <definedName name="fddhght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hidden="1">{#N/A,#N/A,FALSE,"Plan1";#N/A,#N/A,FALSE,"Plan2"}</definedName>
    <definedName name="FE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hidden="1">{#N/A,#N/A,FALSE,"Plan1";#N/A,#N/A,FALSE,"Plan2"}</definedName>
    <definedName name="FFFFFFF" localSheetId="1">#REF!</definedName>
    <definedName name="FFFFFFF" localSheetId="0">#REF!</definedName>
    <definedName name="FFFFFFF">#REF!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hidden="1">{#N/A,#N/A,FALSE,"Plan1";#N/A,#N/A,FALSE,"Plan2"}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hidden="1">{#N/A,#N/A,FALSE,"Plan1";#N/A,#N/A,FALSE,"Plan2"}</definedName>
    <definedName name="fgty" hidden="1">#REF!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hidden="1">{#N/A,#N/A,FALSE,"Plan1";#N/A,#N/A,FALSE,"Plan2"}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hidden="1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hidden="1">{#N/A,#N/A,FALSE,"Plan1";#N/A,#N/A,FALSE,"Plan2"}</definedName>
    <definedName name="fuste">#REF!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hidden="1">{#N/A,#N/A,FALSE,"Plan1";#N/A,#N/A,FALSE,"Plan2"}</definedName>
    <definedName name="gestao" hidden="1">OFFSET(INDEX(#REF!,MATCH(#REF!,#REF!,0)),1,0,COUNTA(#REF!)-1)</definedName>
    <definedName name="gfdcgnkf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hidden="1">{#N/A,#N/A,FALSE,"Plan1";#N/A,#N/A,FALSE,"Plan2"}</definedName>
    <definedName name="gfhfdtgjb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{#N/A,#N/A,FALSE,"Plan1";#N/A,#N/A,FALSE,"Plan2"}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gl" hidden="1">{#N/A,#N/A,FALSE,"Plan1";#N/A,#N/A,FALSE,"Plan2"}</definedName>
    <definedName name="GLOBAL">#REF!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">#REF!</definedName>
    <definedName name="hbjgjuae">#REF!</definedName>
    <definedName name="hcjfkhdghfktg" hidden="1">{#N/A,#N/A,FALSE,"Plan1";#N/A,#N/A,FALSE,"Plan2"}</definedName>
    <definedName name="hckhjfdkgfdg" hidden="1">#REF!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ader">#REF!</definedName>
    <definedName name="HEDHA" hidden="1">{#N/A,#N/A,FALSE,"Plan1";#N/A,#N/A,FALSE,"Plan2"}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hidden="1">#REF!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hidden="1">{#N/A,#N/A,FALSE,"Plan1";#N/A,#N/A,FALSE,"Plan2"}</definedName>
    <definedName name="HJFDGD" hidden="1">{#N/A,#N/A,FALSE,"Plan1";#N/A,#N/A,FALSE,"Plan2"}</definedName>
    <definedName name="HJGAS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TN">#REF!</definedName>
    <definedName name="HVJKHGKFXHFD" hidden="1">{#N/A,#N/A,FALSE,"Plan1";#N/A,#N/A,FALSE,"Plan2"}</definedName>
    <definedName name="hwekjhekhf" hidden="1">{#N/A,#N/A,FALSE,"Plan1";#N/A,#N/A,FALSE,"Plan2"}</definedName>
    <definedName name="HXFRE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hidden="1">{#N/A,#N/A,FALSE,"Plan1";#N/A,#N/A,FALSE,"Plan2"}</definedName>
    <definedName name="ihrtetw4r" hidden="1">{#N/A,#N/A,FALSE,"Plan1";#N/A,#N/A,FALSE,"Plan2"}</definedName>
    <definedName name="II">#REF!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hidden="1">{"'Edit'!$A$1:$V$2277"}</definedName>
    <definedName name="IO">196.003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MF">#REF!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 localSheetId="1">#REF!</definedName>
    <definedName name="item_1" localSheetId="0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hidden="1">{#N/A,#N/A,FALSE,"Plan1";#N/A,#N/A,FALSE,"Plan2"}</definedName>
    <definedName name="iyuyheturtd" hidden="1">{#N/A,#N/A,FALSE,"Plan1";#N/A,#N/A,FALSE,"Plan2"}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krhgft" hidden="1">#REF!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fhhztfhe" hidden="1">#REF!</definedName>
    <definedName name="JHGKJFJFJGL" hidden="1">{#N/A,#N/A,FALSE,"Plan1";#N/A,#N/A,FALSE,"Plan2"}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hidden="1">{#N/A,#N/A,FALSE,"Plan1";#N/A,#N/A,FALSE,"Plan2"}</definedName>
    <definedName name="jjjjjjjjjjjjjjjjjjjj">#REF!</definedName>
    <definedName name="jjkjkjk" hidden="1">{#N/A,#N/A,FALSE,"Plan1";#N/A,#N/A,FALSE,"Plan2"}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kgnfr" hidden="1">#REF!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" hidden="1">{#N/A,#N/A,FALSE,"Plan1";#N/A,#N/A,FALSE,"Plan2"}</definedName>
    <definedName name="K_1">#REF!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CIVIL">#REF!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hidden="1">{#N/A,#N/A,FALSE,"Plan1";#N/A,#N/A,FALSE,"Plan2"}</definedName>
    <definedName name="kdsf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esp">#REF!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" hidden="1">{#N/A,#N/A,FALSE,"ENG'G(보호계전기)"}</definedName>
    <definedName name="KJOI" hidden="1">{#N/A,#N/A,FALSE,"Plan1";#N/A,#N/A,FALSE,"Plan2"}</definedName>
    <definedName name="kjqwerw" hidden="1">{#N/A,#N/A,FALSE,"Plan1";#N/A,#N/A,FALSE,"Plan2"}</definedName>
    <definedName name="kjsfert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 hidden="1">{#N/A,#N/A,FALSE,"Plan1";#N/A,#N/A,FALSE,"Plan2"}</definedName>
    <definedName name="kkkkkk" hidden="1">{#N/A,#N/A,FALSE,"Plan1";#N/A,#N/A,FALSE,"Plan2"}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hidden="1">{#N/A,#N/A,FALSE,"Plan1";#N/A,#N/A,FALSE,"Plan2"}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hidden="1">{#N/A,#N/A,FALSE,"Plan1";#N/A,#N/A,FALSE,"Plan2"}</definedName>
    <definedName name="kopipnsdfne" hidden="1">{#N/A,#N/A,FALSE,"Plan1";#N/A,#N/A,FALSE,"Plan2"}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NFK">#REF!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fhse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hidden="1">{#N/A,#N/A,FALSE,"Plan1";#N/A,#N/A,FALSE,"Plan2"}</definedName>
    <definedName name="kzslçdkçle" hidden="1">{#N/A,#N/A,FALSE,"Plan1";#N/A,#N/A,FALSE,"Plan2"}</definedName>
    <definedName name="L_">#REF!</definedName>
    <definedName name="LAEKWRK" hidden="1">{#N/A,#N/A,FALSE,"Plan1";#N/A,#N/A,FALSE,"Plan2"}</definedName>
    <definedName name="laeqwep" hidden="1">#REF!</definedName>
    <definedName name="LAKDEWRF" hidden="1">{#N/A,#N/A,FALSE,"Plan1";#N/A,#N/A,FALSE,"Plan2"}</definedName>
    <definedName name="Lancamentos">#REF!</definedName>
    <definedName name="LARGURA">#REF!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AZER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ry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hidden="1">{#N/A,#N/A,FALSE,"Plan1";#N/A,#N/A,FALSE,"Plan2"}</definedName>
    <definedName name="LI">#REF!</definedName>
    <definedName name="LIDER_OPER">#REF!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hidden="1">{#N/A,#N/A,TRUE,"Quinzena 01 à 15-04-98 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gg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 localSheetId="1">'[1]M.O.'!#REF!</definedName>
    <definedName name="LS" localSheetId="0">'[1]M.O.'!#REF!</definedName>
    <definedName name="LS">'[1]M.O.'!#REF!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 localSheetId="1">#REF!</definedName>
    <definedName name="MENU" localSheetId="0">#REF!</definedName>
    <definedName name="MENU">#REF!</definedName>
    <definedName name="MENU1" localSheetId="1">#REF!</definedName>
    <definedName name="MENU1" localSheetId="0">#REF!</definedName>
    <definedName name="MENU1">#REF!</definedName>
    <definedName name="MENU2" localSheetId="1">#REF!</definedName>
    <definedName name="MENU2" localSheetId="0">#REF!</definedName>
    <definedName name="MENU2">#REF!</definedName>
    <definedName name="MENU3" localSheetId="1">#REF!</definedName>
    <definedName name="MENU3" localSheetId="0">#REF!</definedName>
    <definedName name="MENU3">#REF!</definedName>
    <definedName name="MENU4" localSheetId="1">#REF!</definedName>
    <definedName name="MENU4" localSheetId="0">#REF!</definedName>
    <definedName name="MENU4">#REF!</definedName>
    <definedName name="MENU5" localSheetId="1">#REF!</definedName>
    <definedName name="MENU5" localSheetId="0">#REF!</definedName>
    <definedName name="MENU5">#REF!</definedName>
    <definedName name="MENU6" localSheetId="1">#REF!</definedName>
    <definedName name="MENU6" localSheetId="0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hidden="1">#REF!</definedName>
    <definedName name="Minha_Casa_Minha_Vida">#REF!</definedName>
    <definedName name="MLMÇLKJKI" hidden="1">{#N/A,#N/A,FALSE,"Plan1";#N/A,#N/A,FALSE,"Plan2"}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hidden="1">{"tabela",#N/A,FALSE,"Tabela";"decoração",#N/A,FALSE,"Decor.";"Informações",#N/A,FALSE,"Inform."}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hidden="1">{#N/A,#N/A,FALSE,"Plan1";#N/A,#N/A,FALSE,"Plan2"}</definedName>
    <definedName name="mncvbgcvmc" hidden="1">{#N/A,#N/A,FALSE,"Plan1";#N/A,#N/A,FALSE,"Plan2"}</definedName>
    <definedName name="MNDKZSFNCEA" hidden="1">{#N/A,#N/A,FALSE,"Plan1";#N/A,#N/A,FALSE,"Plan2"}</definedName>
    <definedName name="mnhdshfgfhd" hidden="1">{#N/A,#N/A,FALSE,"Plan1";#N/A,#N/A,FALSE,"Plan2"}</definedName>
    <definedName name="mo" localSheetId="1">#REF!</definedName>
    <definedName name="mo" localSheetId="0">#REF!</definedName>
    <definedName name="mo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DATA">#REF!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hidden="1">{#N/A,#N/A,FALSE,"Plan1";#N/A,#N/A,FALSE,"Plan2"}</definedName>
    <definedName name="nnmn" hidden="1">{#N/A,#N/A,FALSE,"Plan1";#N/A,#N/A,FALSE,"Plan2"}</definedName>
    <definedName name="nnn" hidden="1">{#N/A,#N/A,FALSE,"Plan1";#N/A,#N/A,FALSE,"Plan2"}</definedName>
    <definedName name="nnnnnnnnnnn" hidden="1">{"HW",#N/A,FALSE,"1998"}</definedName>
    <definedName name="NNNNNNNNNNNNNNN" hidden="1">{#N/A,#N/A,FALSE,"Plan1";#N/A,#N/A,FALSE,"Plan2"}</definedName>
    <definedName name="nnnnnnnnnnnnnnnnnnnn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hidden="1">{#N/A,#N/A,FALSE,"Plan1";#N/A,#N/A,FALSE,"Plan2"}</definedName>
    <definedName name="OAE" localSheetId="1">#REF!</definedName>
    <definedName name="OAE" localSheetId="0">#REF!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hidden="1">{#N/A,#N/A,FALSE,"Plan1";#N/A,#N/A,FALSE,"Plan2"}</definedName>
    <definedName name="oio" hidden="1">{#N/A,#N/A,FALSE,"Plan1";#N/A,#N/A,FALSE,"Plan2"}</definedName>
    <definedName name="OITO">#REF!</definedName>
    <definedName name="oiufioorif" hidden="1">#REF!</definedName>
    <definedName name="OJÇLJ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hidden="1">{#N/A,#N/A,FALSE,"Plan1";#N/A,#N/A,FALSE,"Plan2"}</definedName>
    <definedName name="OUERWRSR" hidden="1">{#N/A,#N/A,FALSE,"Plan1";#N/A,#N/A,FALSE,"Plan2"}</definedName>
    <definedName name="out17RJ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 localSheetId="0">ROW()-Linha_Cabeçalho</definedName>
    <definedName name="Pagamento_Num">ROW()-Linha_Cabeçalho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 localSheetId="1">[3]ParamValues!$A$1:$A$39</definedName>
    <definedName name="ParamValues1" localSheetId="0">[3]ParamValues!$A$1:$A$39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 localSheetId="1">#REF!</definedName>
    <definedName name="PAV" localSheetId="0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'[1]M.O.'!#REF!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hidden="1">{#N/A,#N/A,TRUE,"Quinzena 01 à 15-04-98 "}</definedName>
    <definedName name="Placas_Areas" hidden="1">{#N/A,#N/A,TRUE,"Quinzena 01 à 15-04-98 "}</definedName>
    <definedName name="PLAN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hidden="1">{#N/A,#N/A,FALSE,"Plan1";#N/A,#N/A,FALSE,"Plan2"}</definedName>
    <definedName name="plaslrswe" hidden="1">{#N/A,#N/A,FALSE,"Plan1";#N/A,#N/A,FALSE,"Plan2"}</definedName>
    <definedName name="pls" hidden="1">#REF!</definedName>
    <definedName name="plsearpef" hidden="1">{#N/A,#N/A,FALSE,"Plan1";#N/A,#N/A,FALSE,"Plan2"}</definedName>
    <definedName name="plss" hidden="1">{#N/A,#N/A,FALSE,"Plan1";#N/A,#N/A,FALSE,"Plan2"}</definedName>
    <definedName name="PMUR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 localSheetId="1">#REF!</definedName>
    <definedName name="pr" localSheetId="0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 localSheetId="1">#REF!</definedName>
    <definedName name="PRE" localSheetId="0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hidden="1">{#N/A,#N/A,FALSE,"$170M Cash";#N/A,#N/A,FALSE,"$250M Cash";#N/A,#N/A,FALSE,"$325M Cash"}</definedName>
    <definedName name="Print_Area">#REF!</definedName>
    <definedName name="Print_Area_MI" localSheetId="1">#REF!</definedName>
    <definedName name="Print_Area_MI" localSheetId="0">#REF!</definedName>
    <definedName name="Print_Area_MI">#REF!</definedName>
    <definedName name="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 hidden="1">{#N/A,#N/A,FALSE,"Plan1";#N/A,#N/A,FALSE,"Plan2"}</definedName>
    <definedName name="PWER3" hidden="1">{#N/A,#N/A,FALSE,"Plan1";#N/A,#N/A,FALSE,"Plan2"}</definedName>
    <definedName name="q">#REF!</definedName>
    <definedName name="QCLIENTE_PCLIENTE">#REF!</definedName>
    <definedName name="QCliente_PCliente1">#REF!</definedName>
    <definedName name="qe" localSheetId="1">#REF!</definedName>
    <definedName name="qe" localSheetId="0">#REF!</definedName>
    <definedName name="qe">#REF!</definedName>
    <definedName name="qee" localSheetId="1">#REF!</definedName>
    <definedName name="qee" localSheetId="0">#REF!</definedName>
    <definedName name="qee">#REF!</definedName>
    <definedName name="qkqh1" hidden="1">{#N/A,#N/A,FALSE,"명세표"}</definedName>
    <definedName name="QOAS_POAS">#REF!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 hidden="1">#REF!</definedName>
    <definedName name="QREAL_PCLIENTE">#REF!</definedName>
    <definedName name="QReal_PCliente1">#REF!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 hidden="1">{#N/A,#N/A,FALSE,"Plan1";#N/A,#N/A,FALSE,"Plan2"}</definedName>
    <definedName name="qweqwe" hidden="1">{#N/A,#N/A,FALSE,"Plan1";#N/A,#N/A,FALSE,"Plan2"}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">#REF!</definedName>
    <definedName name="reforsu" localSheetId="0">#REF!</definedName>
    <definedName name="reforsu">#REF!</definedName>
    <definedName name="REL_RJ">#REF!</definedName>
    <definedName name="REL_SP">#REF!</definedName>
    <definedName name="relat3">#REF!</definedName>
    <definedName name="ren" localSheetId="1">#REF!</definedName>
    <definedName name="ren" localSheetId="0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hidden="1">{#N/A,#N/A,TRUE,"Quinzena 01 à 15-04-98 "}</definedName>
    <definedName name="REV" localSheetId="1">#REF!</definedName>
    <definedName name="REV" localSheetId="0">#REF!</definedName>
    <definedName name="REV">#REF!</definedName>
    <definedName name="RF" hidden="1">{#N/A,#N/A,FALSE,"CCTV"}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hidden="1">{"'장비'!$A$3:$M$12"}</definedName>
    <definedName name="s">#REF!</definedName>
    <definedName name="sa" localSheetId="1">#REF!</definedName>
    <definedName name="sa" localSheetId="0">#REF!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hidden="1">{#N/A,#N/A,FALSE,"Plan1";#N/A,#N/A,FALSE,"Plan2"}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SRTR" hidden="1">{#N/A,#N/A,FALSE,"Plan1";#N/A,#N/A,FALSE,"Plan2"}</definedName>
    <definedName name="sadwde" hidden="1">{#N/A,#N/A,FALSE,"Plan1";#N/A,#N/A,FALSE,"Plan2"}</definedName>
    <definedName name="Salas">#REF!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hidden="1">{#N/A,#N/A,FALSE,"Plan1";#N/A,#N/A,FALSE,"Plan2"}</definedName>
    <definedName name="sdckd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hidden="1">{#N/A,#N/A,FALSE,"Plan1";#N/A,#N/A,FALSE,"Plan2"}</definedName>
    <definedName name="sdfdfc" hidden="1">{#N/A,#N/A,FALSE,"Plan1";#N/A,#N/A,FALSE,"Plan2"}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hidden="1">{#N/A,#N/A,FALSE,"Plan1";#N/A,#N/A,FALSE,"Plan2"}</definedName>
    <definedName name="sdfdsf" hidden="1">{#N/A,#N/A,FALSE,"Plan1";#N/A,#N/A,FALSE,"Plan2"}</definedName>
    <definedName name="sdfdsf\da" hidden="1">{#N/A,#N/A,FALSE,"Plan1";#N/A,#N/A,FALSE,"Plan2"}</definedName>
    <definedName name="SDFEDRT" hidden="1">{#N/A,#N/A,FALSE,"Plan1";#N/A,#N/A,FALSE,"Plan2"}</definedName>
    <definedName name="sdfer" hidden="1">{#N/A,#N/A,FALSE,"Plan1";#N/A,#N/A,FALSE,"Plan2"}</definedName>
    <definedName name="sdferr" hidden="1">{#N/A,#N/A,FALSE,"Plan1";#N/A,#N/A,FALSE,"Plan2"}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hidden="1">{#N/A,#N/A,FALSE,"Plan1";#N/A,#N/A,FALSE,"Plan2"}</definedName>
    <definedName name="sdfgtr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OPJKWE" hidden="1">{#N/A,#N/A,FALSE,"Plan1";#N/A,#N/A,FALSE,"Plan2"}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hidden="1">{#N/A,#N/A,FALSE,"Plan1";#N/A,#N/A,FALSE,"Plan2"}</definedName>
    <definedName name="SDFRTKK" hidden="1">{#N/A,#N/A,FALSE,"Plan1";#N/A,#N/A,FALSE,"Plan2"}</definedName>
    <definedName name="SDFRTR" hidden="1">{#N/A,#N/A,FALSE,"Plan1";#N/A,#N/A,FALSE,"Plan2"}</definedName>
    <definedName name="sdfry6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hidden="1">{#N/A,#N/A,FALSE,"Plan1";#N/A,#N/A,FALSE,"Plan2"}</definedName>
    <definedName name="SDFSDFK" hidden="1">{#N/A,#N/A,FALSE,"Plan1";#N/A,#N/A,FALSE,"Plan2"}</definedName>
    <definedName name="sdfsdgftret" hidden="1">{#N/A,#N/A,FALSE,"Plan1";#N/A,#N/A,FALSE,"Plan2"}</definedName>
    <definedName name="sdfsdr" hidden="1">1</definedName>
    <definedName name="sdfsf" hidden="1">{#N/A,#N/A,FALSE,"Plan1";#N/A,#N/A,FALSE,"Plan2"}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fty" hidden="1">{#N/A,#N/A,FALSE,"Plan1";#N/A,#N/A,FALSE,"Plan2"}</definedName>
    <definedName name="sdgdf" hidden="1">{#N/A,#N/A,FALSE,"Plan1";#N/A,#N/A,FALSE,"Plan2"}</definedName>
    <definedName name="sdgfrt" hidden="1">{#N/A,#N/A,FALSE,"Plan1";#N/A,#N/A,FALSE,"Plan2"}</definedName>
    <definedName name="sdgft" hidden="1">{#N/A,#N/A,FALSE,"Plan1";#N/A,#N/A,FALSE,"Plan2"}</definedName>
    <definedName name="sdgt" hidden="1">{#N/A,#N/A,FALSE,"Plan1";#N/A,#N/A,FALSE,"Plan2"}</definedName>
    <definedName name="sdgtry" hidden="1">#REF!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df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djk" hidden="1">{#N/A,#N/A,FALSE,"Plan1";#N/A,#N/A,FALSE,"Plan2"}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hidden="1">{#N/A,#N/A,FALSE,"Plan1";#N/A,#N/A,FALSE,"Plan2"}</definedName>
    <definedName name="sdkk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hidden="1">{#N/A,#N/A,FALSE,"Plan1";#N/A,#N/A,FALSE,"Plan2"}</definedName>
    <definedName name="sdsd" hidden="1">{#N/A,#N/A,FALSE,"Plan1";#N/A,#N/A,FALSE,"Plan2"}</definedName>
    <definedName name="sdser" hidden="1">{#N/A,#N/A,FALSE,"Plan1";#N/A,#N/A,FALSE,"Plan2"}</definedName>
    <definedName name="sdsre" hidden="1">{#N/A,#N/A,FALSE,"Plan1";#N/A,#N/A,FALSE,"Plan2"}</definedName>
    <definedName name="sdss" hidden="1">{#N/A,#N/A,FALSE,"Plan1";#N/A,#N/A,FALSE,"Plan2"}</definedName>
    <definedName name="sdtrtg" hidden="1">#REF!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hidden="1">{"Econ Consolidado",#N/A,FALSE,"Econ Consol";"Fluxo de Caixa",#N/A,FALSE,"Fluxo Caixa";"Investimentos",#N/A,FALSE,"Investimentos"}</definedName>
    <definedName name="sdxfrt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">#REF!</definedName>
    <definedName name="SEG" localSheetId="0">#REF!</definedName>
    <definedName name="SEG">#REF!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hidden="1">3</definedName>
    <definedName name="SEQUENCIA">#REF!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hidden="1">{#N/A,#N/A,FALSE,"Plan1";#N/A,#N/A,FALSE,"Plan2"}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hidden="1">{#N/A,#N/A,FALSE,"Plan1";#N/A,#N/A,FALSE,"Plan2"}</definedName>
    <definedName name="sfds" hidden="1">{#N/A,#N/A,FALSE,"Plan1";#N/A,#N/A,FALSE,"Plan2"}</definedName>
    <definedName name="sfdsd" hidden="1">{#N/A,#N/A,FALSE,"Plan1";#N/A,#N/A,FALSE,"Plan2"}</definedName>
    <definedName name="SFDSF" hidden="1">34</definedName>
    <definedName name="sfrsdrgt" hidden="1">{#N/A,#N/A,FALSE,"Plan1";#N/A,#N/A,FALSE,"Plan2"}</definedName>
    <definedName name="SFRT" hidden="1">{#N/A,#N/A,FALSE,"Plan1";#N/A,#N/A,FALSE,"Plan2"}</definedName>
    <definedName name="sfsdferf" hidden="1">{#N/A,#N/A,FALSE,"Plan1";#N/A,#N/A,FALSE,"Plan2"}</definedName>
    <definedName name="sfsdfs" hidden="1">34</definedName>
    <definedName name="SFSDS" hidden="1">{#N/A,#N/A,FALSE,"Plan1";#N/A,#N/A,FALSE,"Plan2"}</definedName>
    <definedName name="SGarantia">#REF!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1">#REF!</definedName>
    <definedName name="SIH" localSheetId="0">#REF!</definedName>
    <definedName name="SIH">#REF!</definedName>
    <definedName name="SISTEM1">#REF!</definedName>
    <definedName name="SISTEM2">#REF!</definedName>
    <definedName name="SIV" localSheetId="1">#REF!</definedName>
    <definedName name="SIV" localSheetId="0">#REF!</definedName>
    <definedName name="SIV">#REF!</definedName>
    <definedName name="sjawe" hidden="1">{#N/A,#N/A,FALSE,"Plan1";#N/A,#N/A,FALSE,"Plan2"}</definedName>
    <definedName name="sjdffd" hidden="1">{#N/A,#N/A,FALSE,"Plan1";#N/A,#N/A,FALSE,"Plan2"}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ASH" hidden="1">{#N/A,#N/A,FALSE,"Plan1";#N/A,#N/A,FALSE,"Plan2"}</definedName>
    <definedName name="skldfrde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1">#REF!</definedName>
    <definedName name="ss" localSheetId="0">#REF!</definedName>
    <definedName name="SS" hidden="1">#REF!</definedName>
    <definedName name="sssss" hidden="1">#REF!</definedName>
    <definedName name="stake_cury">#REF!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hidden="1">#REF!</definedName>
    <definedName name="susref" localSheetId="1">#REF!</definedName>
    <definedName name="susref" localSheetId="0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 localSheetId="1">#REF!</definedName>
    <definedName name="tania" localSheetId="0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 localSheetId="1">#REF!</definedName>
    <definedName name="tc" localSheetId="0">#REF!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hidden="1">{"'Edit'!$A$1:$V$2277"}</definedName>
    <definedName name="TESTANDO" hidden="1">{#N/A,#N/A,TRUE,"Quinzena 01 à 15-04-98 "}</definedName>
    <definedName name="teste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hidden="1">{#N/A,#N/A,FALSE,"Plan1";#N/A,#N/A,FALSE,"Plan2"}</definedName>
    <definedName name="THYJ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 localSheetId="1">#REF!</definedName>
    <definedName name="titulos" localSheetId="0">#REF!</definedName>
    <definedName name="titulos">#REF!</definedName>
    <definedName name="_xlnm.Print_Titles" localSheetId="1">#REF!</definedName>
    <definedName name="_xlnm.Print_Titles" localSheetId="0">#REF!</definedName>
    <definedName name="_xlnm.Print_Titles">#REF!</definedName>
    <definedName name="Títulos_impressão_IM">#REF!</definedName>
    <definedName name="TMO">#REF!</definedName>
    <definedName name="TOLTAL2">#REF!</definedName>
    <definedName name="TOT" localSheetId="1">#REF!</definedName>
    <definedName name="TOT" localSheetId="0">#REF!</definedName>
    <definedName name="TOT">#REF!</definedName>
    <definedName name="tot3estac">#REF!</definedName>
    <definedName name="TOTAIS">#REF!</definedName>
    <definedName name="Total" localSheetId="1">#REF!</definedName>
    <definedName name="Total" localSheetId="0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hidden="1">{#N/A,#N/A,FALSE,"Plan1";#N/A,#N/A,FALSE,"Plan2"}</definedName>
    <definedName name="TRP" localSheetId="1">#REF!</definedName>
    <definedName name="TRP" localSheetId="0">#REF!</definedName>
    <definedName name="TRP">#REF!</definedName>
    <definedName name="TTT">#REF!</definedName>
    <definedName name="TURNO">#REF!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hidden="1">{#N/A,#N/A,FALSE,"Plan1";#N/A,#N/A,FALSE,"Plan2"}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hidden="1">{#N/A,#N/A,FALSE,"Plan1";#N/A,#N/A,FALSE,"Plan2"}</definedName>
    <definedName name="UI" hidden="1">#REF!</definedName>
    <definedName name="UIHWER45R" hidden="1">{#N/A,#N/A,FALSE,"Plan1";#N/A,#N/A,FALSE,"Plan2"}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hidden="1">{#N/A,#N/A,TRUE,"Quinzena 01 à 15-04-98 "}</definedName>
    <definedName name="versao_estudo">#REF!</definedName>
    <definedName name="vfbg">#REF!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localSheetId="0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{"Econ Consolidado",#N/A,FALSE,"Econ Consol";"Fluxo de Caixa",#N/A,FALSE,"Fluxo Caixa";"Investimentos",#N/A,FALSE,"Investimentos"}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>#REF!</definedName>
    <definedName name="wacc">#REF!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hidden="1">{#N/A,#N/A,FALSE,"Plan1";#N/A,#N/A,FALSE,"Plan2"}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hidden="1">{#N/A,#N/A,FALSE,"Plan1";#N/A,#N/A,FALSE,"Plan2"}</definedName>
    <definedName name="xcgjkfghf" hidden="1">{#N/A,#N/A,FALSE,"Plan1";#N/A,#N/A,FALSE,"Plan2"}</definedName>
    <definedName name="XCGJKVHFDG" hidden="1">{#N/A,#N/A,FALSE,"Plan1";#N/A,#N/A,FALSE,"Plan2"}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hidden="1">{#N/A,#N/A,FALSE,"Plan1";#N/A,#N/A,FALSE,"Plan2"}</definedName>
    <definedName name="xcndj" hidden="1">{#N/A,#N/A,FALSE,"Plan1";#N/A,#N/A,FALSE,"Plan2"}</definedName>
    <definedName name="XCV">#REF!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hidden="1">{#N/A,#N/A,FALSE,"Plan1";#N/A,#N/A,FALSE,"Plan2"}</definedName>
    <definedName name="XDATA">#REF!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hidden="1">{#N/A,#N/A,FALSE,"Plan1";#N/A,#N/A,FALSE,"Plan2"}</definedName>
    <definedName name="xfdlfj" hidden="1">{#N/A,#N/A,FALSE,"Plan1";#N/A,#N/A,FALSE,"Plan2"}</definedName>
    <definedName name="xfdxfdf" hidden="1">{#N/A,#N/A,FALSE,"Plan1";#N/A,#N/A,FALSE,"Plan2"}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hidden="1">{#N/A,#N/A,FALSE,"Plan1";#N/A,#N/A,FALSE,"Plan2"}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hidden="1">{"Econ Consolidado",#N/A,FALSE,"Econ Consol";"Fluxo de Caixa",#N/A,FALSE,"Fluxo Caixa";"Investimentos",#N/A,FALSE,"Investimentos"}</definedName>
    <definedName name="xfvgcfgt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localSheetId="1">#REF!</definedName>
    <definedName name="xxxx" localSheetId="0">#REF!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 hidden="1">{#N/A,#N/A,FALSE,"Plan1";#N/A,#N/A,FALSE,"Plan2"}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hidden="1">{#N/A,#N/A,FALSE,"Plan1";#N/A,#N/A,FALSE,"Plan2"}</definedName>
    <definedName name="zsads" hidden="1">{#N/A,#N/A,FALSE,"Plan1";#N/A,#N/A,FALSE,"Plan2"}</definedName>
    <definedName name="ZSDFSETR" hidden="1">#REF!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hidden="1">{#N/A,#N/A,FALSE,"Plan1";#N/A,#N/A,FALSE,"Plan2"}</definedName>
    <definedName name="zxcdsf" hidden="1">#REF!</definedName>
    <definedName name="zxcfdstrrt" hidden="1">{#N/A,#N/A,FALSE,"Plan1";#N/A,#N/A,FALSE,"Plan2"}</definedName>
    <definedName name="zxcx" hidden="1">{#N/A,#N/A,FALSE,"Plan1";#N/A,#N/A,FALSE,"Plan2"}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hidden="1">{#N/A,#N/A,FALSE,"Plan1";#N/A,#N/A,FALSE,"Plan2"}</definedName>
    <definedName name="ZZ">#REF!</definedName>
    <definedName name="zzdftr" hidden="1">{#N/A,#N/A,FALSE,"Plan1";#N/A,#N/A,FALSE,"Plan2"}</definedName>
    <definedName name="zzz">#REF!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4" i="1" l="1"/>
  <c r="Q25" i="1"/>
  <c r="P25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6" i="1"/>
  <c r="Q6" i="1"/>
  <c r="I59" i="1"/>
  <c r="I56" i="1"/>
  <c r="I53" i="1"/>
  <c r="I50" i="1"/>
  <c r="I47" i="1"/>
  <c r="K59" i="1"/>
  <c r="K56" i="1"/>
  <c r="L56" i="1" s="1"/>
  <c r="K53" i="1"/>
  <c r="K50" i="1"/>
  <c r="K47" i="1"/>
  <c r="L47" i="1" s="1"/>
  <c r="K42" i="1"/>
  <c r="I42" i="1"/>
  <c r="K35" i="1"/>
  <c r="I35" i="1"/>
  <c r="K32" i="1"/>
  <c r="I32" i="1"/>
  <c r="K29" i="1"/>
  <c r="I29" i="1"/>
  <c r="K26" i="1"/>
  <c r="I26" i="1"/>
  <c r="K23" i="1"/>
  <c r="I23" i="1"/>
  <c r="K20" i="1"/>
  <c r="I20" i="1"/>
  <c r="K17" i="1"/>
  <c r="I17" i="1"/>
  <c r="K14" i="1"/>
  <c r="I14" i="1"/>
  <c r="K11" i="1"/>
  <c r="I11" i="1"/>
  <c r="I8" i="1"/>
  <c r="K8" i="1"/>
  <c r="C2" i="45"/>
  <c r="C1" i="45"/>
  <c r="I7" i="1"/>
  <c r="I61" i="1"/>
  <c r="I58" i="1"/>
  <c r="I55" i="1"/>
  <c r="I52" i="1"/>
  <c r="I49" i="1"/>
  <c r="I46" i="1"/>
  <c r="I44" i="1"/>
  <c r="I41" i="1"/>
  <c r="I39" i="1"/>
  <c r="I37" i="1"/>
  <c r="I34" i="1"/>
  <c r="I31" i="1"/>
  <c r="I28" i="1"/>
  <c r="I25" i="1"/>
  <c r="I22" i="1"/>
  <c r="I19" i="1"/>
  <c r="I16" i="1"/>
  <c r="I10" i="1"/>
  <c r="I13" i="1"/>
  <c r="L50" i="1" l="1"/>
  <c r="L53" i="1"/>
  <c r="L32" i="1"/>
  <c r="L59" i="1"/>
  <c r="L42" i="1"/>
  <c r="L35" i="1"/>
  <c r="L23" i="1"/>
  <c r="L26" i="1"/>
  <c r="L29" i="1"/>
  <c r="L14" i="1"/>
  <c r="L20" i="1"/>
  <c r="L17" i="1"/>
  <c r="L8" i="1"/>
  <c r="L11" i="1"/>
  <c r="K44" i="1"/>
  <c r="B44" i="1"/>
  <c r="A44" i="1"/>
  <c r="K7" i="1"/>
  <c r="K61" i="1"/>
  <c r="B61" i="1"/>
  <c r="A61" i="1"/>
  <c r="K58" i="1"/>
  <c r="B58" i="1"/>
  <c r="B59" i="1" s="1"/>
  <c r="A58" i="1"/>
  <c r="A59" i="1" s="1"/>
  <c r="K55" i="1"/>
  <c r="B55" i="1"/>
  <c r="B56" i="1" s="1"/>
  <c r="A55" i="1"/>
  <c r="A56" i="1" s="1"/>
  <c r="K49" i="1"/>
  <c r="B49" i="1"/>
  <c r="B50" i="1" s="1"/>
  <c r="A49" i="1"/>
  <c r="A50" i="1" s="1"/>
  <c r="K46" i="1"/>
  <c r="B46" i="1"/>
  <c r="B47" i="1" s="1"/>
  <c r="A46" i="1"/>
  <c r="A47" i="1" s="1"/>
  <c r="K41" i="1"/>
  <c r="B41" i="1"/>
  <c r="B42" i="1" s="1"/>
  <c r="A41" i="1"/>
  <c r="A42" i="1" s="1"/>
  <c r="K31" i="1"/>
  <c r="B31" i="1"/>
  <c r="B32" i="1" s="1"/>
  <c r="A31" i="1"/>
  <c r="A32" i="1" s="1"/>
  <c r="K28" i="1"/>
  <c r="B28" i="1"/>
  <c r="B29" i="1" s="1"/>
  <c r="A28" i="1"/>
  <c r="A29" i="1" s="1"/>
  <c r="K25" i="1"/>
  <c r="B25" i="1"/>
  <c r="B26" i="1" s="1"/>
  <c r="A25" i="1"/>
  <c r="A26" i="1" s="1"/>
  <c r="K19" i="1"/>
  <c r="B19" i="1"/>
  <c r="B20" i="1" s="1"/>
  <c r="A19" i="1"/>
  <c r="A20" i="1" s="1"/>
  <c r="K16" i="1"/>
  <c r="B16" i="1"/>
  <c r="B17" i="1" s="1"/>
  <c r="A16" i="1"/>
  <c r="A17" i="1" s="1"/>
  <c r="L44" i="1" l="1"/>
  <c r="L43" i="1" s="1"/>
  <c r="L25" i="1"/>
  <c r="L24" i="1" s="1"/>
  <c r="L61" i="1"/>
  <c r="L60" i="1" s="1"/>
  <c r="L31" i="1"/>
  <c r="L30" i="1" s="1"/>
  <c r="L46" i="1"/>
  <c r="L45" i="1" s="1"/>
  <c r="L49" i="1"/>
  <c r="L48" i="1" s="1"/>
  <c r="L55" i="1"/>
  <c r="L54" i="1" s="1"/>
  <c r="L58" i="1"/>
  <c r="L57" i="1" s="1"/>
  <c r="L28" i="1"/>
  <c r="L27" i="1" s="1"/>
  <c r="L41" i="1"/>
  <c r="L40" i="1" s="1"/>
  <c r="L19" i="1"/>
  <c r="L18" i="1" s="1"/>
  <c r="L16" i="1"/>
  <c r="L15" i="1" s="1"/>
  <c r="A7" i="1"/>
  <c r="A8" i="1" s="1"/>
  <c r="B7" i="1"/>
  <c r="L7" i="1"/>
  <c r="D58" i="3"/>
  <c r="D57" i="3"/>
  <c r="D56" i="3"/>
  <c r="D54" i="3"/>
  <c r="D50" i="3"/>
  <c r="D49" i="3"/>
  <c r="D46" i="3"/>
  <c r="D42" i="3"/>
  <c r="D41" i="3"/>
  <c r="D40" i="3"/>
  <c r="D39" i="3"/>
  <c r="D38" i="3"/>
  <c r="D37" i="3"/>
  <c r="D34" i="3"/>
  <c r="D33" i="3"/>
  <c r="D18" i="3"/>
  <c r="D12" i="3"/>
  <c r="D11" i="3"/>
  <c r="D10" i="3"/>
  <c r="D9" i="3"/>
  <c r="D7" i="3"/>
  <c r="A4" i="3"/>
  <c r="D53" i="3"/>
  <c r="C2" i="3"/>
  <c r="C3" i="3"/>
  <c r="C1" i="3"/>
  <c r="B8" i="1" l="1"/>
  <c r="D16" i="3"/>
  <c r="D20" i="3"/>
  <c r="D24" i="3"/>
  <c r="D28" i="3"/>
  <c r="D32" i="3"/>
  <c r="D45" i="3"/>
  <c r="D8" i="3"/>
  <c r="D17" i="3"/>
  <c r="D21" i="3"/>
  <c r="D25" i="3"/>
  <c r="D29" i="3"/>
  <c r="D55" i="3"/>
  <c r="D15" i="3"/>
  <c r="D13" i="3"/>
  <c r="D22" i="3"/>
  <c r="D26" i="3"/>
  <c r="D30" i="3"/>
  <c r="D43" i="3"/>
  <c r="D47" i="3"/>
  <c r="D51" i="3"/>
  <c r="D14" i="3"/>
  <c r="D19" i="3"/>
  <c r="D23" i="3"/>
  <c r="D27" i="3"/>
  <c r="D31" i="3"/>
  <c r="D35" i="3"/>
  <c r="D44" i="3"/>
  <c r="D48" i="3"/>
  <c r="D52" i="3"/>
  <c r="D36" i="3"/>
  <c r="K34" i="1" l="1"/>
  <c r="L34" i="1" s="1"/>
  <c r="K10" i="1"/>
  <c r="L10" i="1" s="1"/>
  <c r="K37" i="1"/>
  <c r="L37" i="1" s="1"/>
  <c r="D6" i="3"/>
  <c r="K52" i="1"/>
  <c r="L52" i="1" s="1"/>
  <c r="K13" i="1"/>
  <c r="L13" i="1" s="1"/>
  <c r="K39" i="1"/>
  <c r="L39" i="1" s="1"/>
  <c r="K22" i="1"/>
  <c r="L22" i="1" s="1"/>
  <c r="A10" i="1"/>
  <c r="A13" i="1" l="1"/>
  <c r="A11" i="1"/>
  <c r="L62" i="1"/>
  <c r="B10" i="1"/>
  <c r="B11" i="1" l="1"/>
  <c r="A22" i="1"/>
  <c r="A14" i="1"/>
  <c r="B13" i="1"/>
  <c r="B14" i="1" s="1"/>
  <c r="A34" i="1" l="1"/>
  <c r="A23" i="1"/>
  <c r="B22" i="1"/>
  <c r="B23" i="1" s="1"/>
  <c r="A37" i="1" l="1"/>
  <c r="A39" i="1" s="1"/>
  <c r="A52" i="1" s="1"/>
  <c r="A53" i="1" s="1"/>
  <c r="A35" i="1"/>
  <c r="B34" i="1"/>
  <c r="B35" i="1" s="1"/>
  <c r="B37" i="1" l="1"/>
  <c r="B39" i="1" l="1"/>
  <c r="L33" i="1" l="1"/>
  <c r="L21" i="1"/>
  <c r="L12" i="1"/>
  <c r="L9" i="1"/>
  <c r="L38" i="1" l="1"/>
  <c r="B52" i="1" l="1"/>
  <c r="B53" i="1" s="1"/>
  <c r="O6" i="1" s="1" a="1"/>
  <c r="L36" i="1"/>
  <c r="O6" i="1" l="1"/>
  <c r="R14" i="1"/>
  <c r="R16" i="1"/>
  <c r="R22" i="1"/>
  <c r="R19" i="1"/>
  <c r="R21" i="1"/>
  <c r="R9" i="1"/>
  <c r="R23" i="1"/>
  <c r="R20" i="1"/>
  <c r="R8" i="1"/>
  <c r="R15" i="1"/>
  <c r="R13" i="1"/>
  <c r="R10" i="1"/>
  <c r="R11" i="1"/>
  <c r="R12" i="1"/>
  <c r="R17" i="1"/>
  <c r="R18" i="1"/>
  <c r="L6" i="1"/>
  <c r="L63" i="1" l="1"/>
  <c r="L51" i="1" l="1"/>
  <c r="R24" i="1" l="1"/>
  <c r="R7" i="1"/>
  <c r="R25" i="1" l="1"/>
  <c r="R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</author>
  </authors>
  <commentList>
    <comment ref="F7" authorId="0" shapeId="0" xr:uid="{7FD8636E-829F-4D1F-BBD8-08B61E4571D1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7" authorId="0" shapeId="0" xr:uid="{48C1F822-EA4E-458E-B815-481C18B8EE8A}">
      <text>
        <r>
          <rPr>
            <b/>
            <sz val="9"/>
            <color indexed="81"/>
            <rFont val="Segoe UI"/>
            <charset val="1"/>
          </rPr>
          <t>6 pav x 2 aptos por andar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F10" authorId="0" shapeId="0" xr:uid="{D82C489B-57AB-491F-B580-88800B3209AF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10" authorId="0" shapeId="0" xr:uid="{CBCDDBB1-6992-496F-9006-0A12DDAE45E7}">
      <text>
        <r>
          <rPr>
            <b/>
            <sz val="9"/>
            <color indexed="81"/>
            <rFont val="Segoe UI"/>
            <charset val="1"/>
          </rPr>
          <t>3 pav x 2 aptos por andar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F13" authorId="0" shapeId="0" xr:uid="{6E146EF3-AD61-453A-BC16-EBDBA0F993F2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13" authorId="0" shapeId="0" xr:uid="{220A1CCB-FCA8-423F-8581-47EC7137D631}">
      <text>
        <r>
          <rPr>
            <b/>
            <sz val="9"/>
            <color indexed="81"/>
            <rFont val="Segoe UI"/>
            <charset val="1"/>
          </rPr>
          <t>11 pav x 2 aptos por andar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F16" authorId="0" shapeId="0" xr:uid="{CE8BBD34-1C1C-4A4A-8740-0EC2A9E4BF2C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16" authorId="0" shapeId="0" xr:uid="{9850C865-1994-4F6D-93A9-BC7ECD75425C}">
      <text>
        <r>
          <rPr>
            <b/>
            <sz val="9"/>
            <color indexed="81"/>
            <rFont val="Segoe UI"/>
            <charset val="1"/>
          </rPr>
          <t>8 pav x 2 aptos por andar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F19" authorId="0" shapeId="0" xr:uid="{D4467B5B-5992-4C09-A520-8300BF1A3612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19" authorId="0" shapeId="0" xr:uid="{0BD79A34-3B08-4610-BFF0-DEF0A8AE8644}">
      <text>
        <r>
          <rPr>
            <b/>
            <sz val="9"/>
            <color indexed="81"/>
            <rFont val="Segoe UI"/>
            <charset val="1"/>
          </rPr>
          <t>9 pav x 2 aptos por andar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F22" authorId="0" shapeId="0" xr:uid="{88A63EFE-0A94-4E8D-AE7C-FF98AEE0DDF9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22" authorId="0" shapeId="0" xr:uid="{99D4121E-B102-4996-BFC4-854CF2C99386}">
      <text>
        <r>
          <rPr>
            <b/>
            <sz val="9"/>
            <color indexed="81"/>
            <rFont val="Segoe UI"/>
            <charset val="1"/>
          </rPr>
          <t xml:space="preserve">10 pav x 2 aptos por andar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F25" authorId="0" shapeId="0" xr:uid="{E8C7C22E-375E-4F28-A2C3-4DA60EEC4B8D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25" authorId="0" shapeId="0" xr:uid="{BC46FBC2-8D9D-47E0-A636-419147D76408}">
      <text>
        <r>
          <rPr>
            <b/>
            <sz val="9"/>
            <color indexed="81"/>
            <rFont val="Segoe UI"/>
            <charset val="1"/>
          </rPr>
          <t xml:space="preserve">36 pav x 2 aptos por andar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F28" authorId="0" shapeId="0" xr:uid="{BD57215B-7A44-4804-855B-902B35627AE9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28" authorId="0" shapeId="0" xr:uid="{83B0CFB8-4583-47DE-AE9C-ABB962400A60}">
      <text>
        <r>
          <rPr>
            <b/>
            <sz val="9"/>
            <color indexed="81"/>
            <rFont val="Segoe UI"/>
            <charset val="1"/>
          </rPr>
          <t xml:space="preserve">19 pav x 2 aptos por andar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F31" authorId="0" shapeId="0" xr:uid="{408B47E9-3F32-49A5-BA4C-1CF2B6FECDFF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31" authorId="0" shapeId="0" xr:uid="{85C8B3C2-F189-490E-BE24-D7B1EAB16A13}">
      <text>
        <r>
          <rPr>
            <b/>
            <sz val="9"/>
            <color indexed="81"/>
            <rFont val="Segoe UI"/>
            <charset val="1"/>
          </rPr>
          <t xml:space="preserve">9 pav x 2 aptos por andar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F34" authorId="0" shapeId="0" xr:uid="{B3D61663-8D75-4062-9DA0-584E019D0DCF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34" authorId="0" shapeId="0" xr:uid="{04D81EEE-5F36-4F19-94A5-5FA0DA5B616B}">
      <text>
        <r>
          <rPr>
            <b/>
            <sz val="9"/>
            <color indexed="81"/>
            <rFont val="Segoe UI"/>
            <charset val="1"/>
          </rPr>
          <t xml:space="preserve">2 pav x 2 aptos por andar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F37" authorId="0" shapeId="0" xr:uid="{6353BA32-8869-408B-9CE1-F8C1593E5202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37" authorId="0" shapeId="0" xr:uid="{F78F463B-C78A-45F1-96E5-461780EDCA12}">
      <text>
        <r>
          <rPr>
            <b/>
            <sz val="9"/>
            <color indexed="81"/>
            <rFont val="Segoe UI"/>
            <charset val="1"/>
          </rPr>
          <t xml:space="preserve">2 pav x 2 aptos por andar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F39" authorId="0" shapeId="0" xr:uid="{99E4239D-21CE-46B3-8697-0BB73EF740C9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39" authorId="0" shapeId="0" xr:uid="{9C74EABD-FBD4-4546-9AC2-1B73995D0E26}">
      <text>
        <r>
          <rPr>
            <b/>
            <sz val="9"/>
            <color indexed="81"/>
            <rFont val="Segoe UI"/>
            <charset val="1"/>
          </rPr>
          <t xml:space="preserve">1 pav x 2 aptos por andar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F41" authorId="0" shapeId="0" xr:uid="{4C427C50-94C2-4FF5-815F-8C0116823101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41" authorId="0" shapeId="0" xr:uid="{4F7C0E04-4BA8-4E9E-82C7-283E7BBF7AA0}">
      <text>
        <r>
          <rPr>
            <b/>
            <sz val="9"/>
            <color indexed="81"/>
            <rFont val="Segoe UI"/>
            <charset val="1"/>
          </rPr>
          <t xml:space="preserve">1 pav x 2 aptos por andar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F44" authorId="0" shapeId="0" xr:uid="{4D6B2D42-0ED4-4B32-92DD-5C8520D37E41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44" authorId="0" shapeId="0" xr:uid="{FFDEB991-BF20-4CED-B4A3-1A919D53B408}">
      <text>
        <r>
          <rPr>
            <b/>
            <sz val="9"/>
            <color indexed="81"/>
            <rFont val="Segoe UI"/>
            <charset val="1"/>
          </rPr>
          <t xml:space="preserve">1 pav x 2 aptos por andar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F46" authorId="0" shapeId="0" xr:uid="{436EF1E4-932B-4735-A49A-D982D4AD3A4C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46" authorId="0" shapeId="0" xr:uid="{3AAA2965-7A4E-4133-8AC5-CB77D63587D3}">
      <text>
        <r>
          <rPr>
            <b/>
            <sz val="9"/>
            <color indexed="81"/>
            <rFont val="Segoe UI"/>
            <charset val="1"/>
          </rPr>
          <t>1 pav</t>
        </r>
      </text>
    </comment>
    <comment ref="F49" authorId="0" shapeId="0" xr:uid="{516D5A28-FF46-46E9-B52B-1BE123430ECE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49" authorId="0" shapeId="0" xr:uid="{4179B6EB-96B8-4F0D-9C0B-F7122A27CC43}">
      <text>
        <r>
          <rPr>
            <b/>
            <sz val="9"/>
            <color indexed="81"/>
            <rFont val="Segoe UI"/>
            <charset val="1"/>
          </rPr>
          <t>1 pav</t>
        </r>
      </text>
    </comment>
    <comment ref="F52" authorId="0" shapeId="0" xr:uid="{85A79E80-460C-434B-801B-66C68C60AA31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52" authorId="0" shapeId="0" xr:uid="{D8FBEDD8-85A8-4D8B-972C-9745D05C1D75}">
      <text>
        <r>
          <rPr>
            <b/>
            <sz val="9"/>
            <color indexed="81"/>
            <rFont val="Segoe UI"/>
            <charset val="1"/>
          </rPr>
          <t>1 pav</t>
        </r>
      </text>
    </comment>
    <comment ref="F55" authorId="0" shapeId="0" xr:uid="{BC9E9814-C0E4-4906-A95E-BF8CBC6CA3EB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55" authorId="0" shapeId="0" xr:uid="{A49701EA-1A2F-4F35-8CC4-F750D66042C7}">
      <text>
        <r>
          <rPr>
            <b/>
            <sz val="9"/>
            <color indexed="81"/>
            <rFont val="Segoe UI"/>
            <charset val="1"/>
          </rPr>
          <t>1 pav</t>
        </r>
      </text>
    </comment>
    <comment ref="F58" authorId="0" shapeId="0" xr:uid="{22892DF9-17CF-4F30-AD2B-9CD54B6D41DD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58" authorId="0" shapeId="0" xr:uid="{AB5CDAF3-01DA-40F5-B70E-5B573842C20F}">
      <text>
        <r>
          <rPr>
            <b/>
            <sz val="9"/>
            <color indexed="81"/>
            <rFont val="Segoe UI"/>
            <charset val="1"/>
          </rPr>
          <t>1 pav</t>
        </r>
      </text>
    </comment>
    <comment ref="F61" authorId="0" shapeId="0" xr:uid="{4AE88780-0BD5-4F72-AEF6-E00DB2843924}">
      <text>
        <r>
          <rPr>
            <b/>
            <sz val="9"/>
            <color indexed="81"/>
            <rFont val="Segoe UI"/>
            <charset val="1"/>
          </rPr>
          <t>Por apartamento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61" authorId="0" shapeId="0" xr:uid="{8934092A-D79E-40EE-8711-2E933C403D0F}">
      <text>
        <r>
          <rPr>
            <b/>
            <sz val="9"/>
            <color indexed="81"/>
            <rFont val="Segoe UI"/>
            <charset val="1"/>
          </rPr>
          <t>1 pav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<sst xmlns="http://schemas.openxmlformats.org/spreadsheetml/2006/main" count="302" uniqueCount="76">
  <si>
    <t>Projeto</t>
  </si>
  <si>
    <t>Empresa</t>
  </si>
  <si>
    <t>Revisão</t>
  </si>
  <si>
    <t>TORRE</t>
  </si>
  <si>
    <t>PAVIMENTO</t>
  </si>
  <si>
    <t>SUBGRUPO</t>
  </si>
  <si>
    <t>Descrição</t>
  </si>
  <si>
    <t>Quantidade</t>
  </si>
  <si>
    <t>Unidade</t>
  </si>
  <si>
    <t>Custo unitário</t>
  </si>
  <si>
    <t>Custo Total</t>
  </si>
  <si>
    <t>TOTAL</t>
  </si>
  <si>
    <t>GERAL</t>
  </si>
  <si>
    <t>TOTAL:</t>
  </si>
  <si>
    <t>GRUPO/EAP</t>
  </si>
  <si>
    <t>Torre</t>
  </si>
  <si>
    <t>EAP</t>
  </si>
  <si>
    <t>Senna Tower</t>
  </si>
  <si>
    <t>FG</t>
  </si>
  <si>
    <t>R00 - Letícia</t>
  </si>
  <si>
    <t>ASPIRAÇÃO</t>
  </si>
  <si>
    <t>Tomada de aspiração chumbada na alvenaria/draywall</t>
  </si>
  <si>
    <t>TIPO 01</t>
  </si>
  <si>
    <t>TIPO 02</t>
  </si>
  <si>
    <t>TIPO 03 A</t>
  </si>
  <si>
    <t>TIPO 03 B</t>
  </si>
  <si>
    <t>un</t>
  </si>
  <si>
    <t>DUPLEX INFERIOR</t>
  </si>
  <si>
    <t>TIPO 03 C</t>
  </si>
  <si>
    <t>TIPO 04 A</t>
  </si>
  <si>
    <t>TIPO 04 B</t>
  </si>
  <si>
    <t>TIPO 04 C</t>
  </si>
  <si>
    <t>TIPO 04 D</t>
  </si>
  <si>
    <t>DUPLEX SUPERIOR</t>
  </si>
  <si>
    <t>TRIPLEX INFERIOR</t>
  </si>
  <si>
    <t>TRIPLEX INTERMEDIÁRIO</t>
  </si>
  <si>
    <t>TRIPLEX SUPERIOR</t>
  </si>
  <si>
    <t>LAZER RESIDENCIAL 01</t>
  </si>
  <si>
    <t>LAZER RESIDENCIAL 02</t>
  </si>
  <si>
    <t>LAZER RESIDENCIAL 03</t>
  </si>
  <si>
    <t>LAZER RESIDENCIAL 04</t>
  </si>
  <si>
    <t>LAZER RESIDENCIAL 05</t>
  </si>
  <si>
    <t>LAZER RESIDENCIAL 06</t>
  </si>
  <si>
    <t>Aspiração</t>
  </si>
  <si>
    <t>Sistema de aspiração central</t>
  </si>
  <si>
    <t>Apartamentos por pavimento</t>
  </si>
  <si>
    <t>Repetições do pavimento</t>
  </si>
  <si>
    <t>SEN-AP-ASP-001-TP1-R00.pdf</t>
  </si>
  <si>
    <t>Projeto:</t>
  </si>
  <si>
    <t>Empresa:</t>
  </si>
  <si>
    <t>Revisão:</t>
  </si>
  <si>
    <t>R00</t>
  </si>
  <si>
    <t>Pavimento</t>
  </si>
  <si>
    <t>Arquivos</t>
  </si>
  <si>
    <t>SEN-AP-ASP-002-TP2-R00.pdf</t>
  </si>
  <si>
    <t>Discplina</t>
  </si>
  <si>
    <t>SEN-AP-ASP-003-TP3-R00.pdf</t>
  </si>
  <si>
    <t>SEN-AP-ASP-004-TP3-R00.pdf</t>
  </si>
  <si>
    <t>SEN-AP-ASP-005-TP3-R00.pdf</t>
  </si>
  <si>
    <t>SEN-AP-ASP-006-TP4-R00.pdf</t>
  </si>
  <si>
    <t>SEN-AP-ASP-007-TP4-R00.pdf</t>
  </si>
  <si>
    <t>SEN-AP-ASP-008-TP4-R00.pdf</t>
  </si>
  <si>
    <t>SEN-AP-ASP-009-TP4-R00.pdf</t>
  </si>
  <si>
    <t>SEN-AP-ASP-010-DUP-R00.pdf</t>
  </si>
  <si>
    <t>SEN-AP-ASP-011-DUP-R00.pdf</t>
  </si>
  <si>
    <t>SEN-AP-ASP-012-TRP-R00.pdf</t>
  </si>
  <si>
    <t>SEN-AP-ASP-013-TRP-R00.pdf</t>
  </si>
  <si>
    <t>SEN-AP-ASP-014-TRP-R00.pdf</t>
  </si>
  <si>
    <t>SEN-AP-ASP-015-LZ1-R00.pdf</t>
  </si>
  <si>
    <t>SEN-AP-ASP-016-LZ2-R00.pdf</t>
  </si>
  <si>
    <t>SEN-AP-ASP-017-LZ3-R00.pdf</t>
  </si>
  <si>
    <t>SEN-AP-ASP-018-LZ4-R00.pdf</t>
  </si>
  <si>
    <t>SEN-AP-ASP-019-LZ5-R00.pdf</t>
  </si>
  <si>
    <t>SEN-AP-ASP-020-LZ6-R00.pdf</t>
  </si>
  <si>
    <t>Tomada 220V Central de aspiração</t>
  </si>
  <si>
    <t>Qte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</si>
</sst>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dd/mm/yy;@"/>
  </numFmts>
  <fonts count="2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Arial"/>
      <family val="2"/>
    </font>
    <font>
      <sz val="10"/>
      <color theme="8" tint="-0.49998474074526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9.5"/>
      <name val="Calibri"/>
      <family val="2"/>
      <scheme val="minor"/>
    </font>
    <font>
      <sz val="9"/>
      <name val="Calibri"/>
      <family val="2"/>
      <scheme val="minor"/>
    </font>
    <font>
      <sz val="8"/>
      <name val="Trebuchet MS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Poppins"/>
    </font>
    <font>
      <sz val="1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color rgb="FF000000"/>
      <name val="Calibri"/>
      <charset val="134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/>
      <right style="thin">
        <color indexed="64"/>
      </right>
      <top style="thin">
        <color rgb="FF29292F"/>
      </top>
      <bottom style="thin">
        <color rgb="FF29292F"/>
      </bottom>
      <diagonal/>
    </border>
    <border>
      <left style="thin">
        <color rgb="FF29292F"/>
      </left>
      <right/>
      <top/>
      <bottom/>
      <diagonal/>
    </border>
    <border>
      <left/>
      <right/>
      <top style="thin">
        <color rgb="FF29292F"/>
      </top>
      <bottom style="thin">
        <color indexed="64"/>
      </bottom>
      <diagonal/>
    </border>
    <border>
      <left/>
      <right/>
      <top/>
      <bottom style="thin">
        <color rgb="FF29292F"/>
      </bottom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indexed="64"/>
      </right>
      <top style="thin">
        <color rgb="FF29292F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29292F"/>
      </left>
      <right/>
      <top style="hair">
        <color rgb="FF29292F"/>
      </top>
      <bottom style="hair">
        <color rgb="FF29292F"/>
      </bottom>
      <diagonal/>
    </border>
    <border>
      <left style="thin">
        <color rgb="FF29292F"/>
      </left>
      <right/>
      <top style="hair">
        <color rgb="FF29292F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9292F"/>
      </left>
      <right/>
      <top style="thin">
        <color indexed="64"/>
      </top>
      <bottom style="hair">
        <color rgb="FF29292F"/>
      </bottom>
      <diagonal/>
    </border>
    <border>
      <left/>
      <right style="thin">
        <color indexed="64"/>
      </right>
      <top style="thin">
        <color indexed="64"/>
      </top>
      <bottom style="hair">
        <color rgb="FF29292F"/>
      </bottom>
      <diagonal/>
    </border>
    <border>
      <left/>
      <right style="thin">
        <color indexed="64"/>
      </right>
      <top style="hair">
        <color rgb="FF29292F"/>
      </top>
      <bottom style="hair">
        <color rgb="FF29292F"/>
      </bottom>
      <diagonal/>
    </border>
    <border>
      <left/>
      <right style="thin">
        <color indexed="64"/>
      </right>
      <top style="hair">
        <color rgb="FF29292F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2">
    <xf numFmtId="0" fontId="0" fillId="0" borderId="0" applyNumberFormat="0" applyFont="0" applyFill="0" applyBorder="0" applyAlignment="0" applyProtection="0"/>
    <xf numFmtId="164" fontId="12" fillId="0" borderId="0" applyNumberFormat="0" applyFont="0" applyFill="0" applyBorder="0" applyAlignment="0" applyProtection="0"/>
    <xf numFmtId="0" fontId="8" fillId="0" borderId="0"/>
    <xf numFmtId="164" fontId="12" fillId="0" borderId="0" applyFont="0" applyFill="0" applyBorder="0" applyAlignment="0" applyProtection="0"/>
    <xf numFmtId="0" fontId="1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9" fillId="0" borderId="0"/>
    <xf numFmtId="0" fontId="20" fillId="0" borderId="0"/>
    <xf numFmtId="0" fontId="1" fillId="0" borderId="0"/>
  </cellStyleXfs>
  <cellXfs count="93">
    <xf numFmtId="0" fontId="0" fillId="0" borderId="0" xfId="0"/>
    <xf numFmtId="0" fontId="9" fillId="0" borderId="1" xfId="2" applyFont="1" applyBorder="1" applyAlignment="1">
      <alignment vertical="center"/>
    </xf>
    <xf numFmtId="0" fontId="9" fillId="0" borderId="2" xfId="2" applyFont="1" applyBorder="1" applyAlignment="1">
      <alignment vertical="center"/>
    </xf>
    <xf numFmtId="0" fontId="10" fillId="0" borderId="3" xfId="2" applyFont="1" applyBorder="1" applyAlignment="1">
      <alignment vertical="center"/>
    </xf>
    <xf numFmtId="0" fontId="11" fillId="0" borderId="4" xfId="2" applyFont="1" applyBorder="1" applyAlignment="1">
      <alignment vertical="center"/>
    </xf>
    <xf numFmtId="0" fontId="9" fillId="0" borderId="4" xfId="2" applyFont="1" applyBorder="1" applyAlignment="1">
      <alignment vertical="center"/>
    </xf>
    <xf numFmtId="0" fontId="9" fillId="0" borderId="5" xfId="2" applyFont="1" applyBorder="1" applyAlignment="1">
      <alignment vertical="center"/>
    </xf>
    <xf numFmtId="0" fontId="11" fillId="0" borderId="0" xfId="2" applyFont="1" applyAlignment="1">
      <alignment vertical="center"/>
    </xf>
    <xf numFmtId="0" fontId="11" fillId="0" borderId="6" xfId="2" applyFont="1" applyBorder="1" applyAlignment="1">
      <alignment vertical="center"/>
    </xf>
    <xf numFmtId="165" fontId="13" fillId="0" borderId="7" xfId="3" quotePrefix="1" applyNumberFormat="1" applyFont="1" applyFill="1" applyBorder="1" applyAlignment="1">
      <alignment horizontal="left" vertical="center"/>
    </xf>
    <xf numFmtId="0" fontId="11" fillId="0" borderId="5" xfId="2" applyFont="1" applyBorder="1" applyAlignment="1">
      <alignment vertical="center"/>
    </xf>
    <xf numFmtId="0" fontId="14" fillId="0" borderId="0" xfId="2" applyFont="1" applyAlignment="1">
      <alignment vertical="center"/>
    </xf>
    <xf numFmtId="17" fontId="11" fillId="0" borderId="9" xfId="2" applyNumberFormat="1" applyFont="1" applyBorder="1" applyAlignment="1">
      <alignment horizontal="left" vertical="center"/>
    </xf>
    <xf numFmtId="17" fontId="11" fillId="0" borderId="8" xfId="2" applyNumberFormat="1" applyFont="1" applyBorder="1" applyAlignment="1">
      <alignment horizontal="left" vertical="center"/>
    </xf>
    <xf numFmtId="17" fontId="11" fillId="0" borderId="10" xfId="2" applyNumberFormat="1" applyFont="1" applyBorder="1" applyAlignment="1">
      <alignment horizontal="left" vertical="center"/>
    </xf>
    <xf numFmtId="0" fontId="11" fillId="0" borderId="0" xfId="2" applyFont="1"/>
    <xf numFmtId="0" fontId="17" fillId="3" borderId="14" xfId="5" applyFont="1" applyFill="1" applyBorder="1" applyAlignment="1">
      <alignment horizontal="center" vertical="center"/>
    </xf>
    <xf numFmtId="0" fontId="6" fillId="0" borderId="0" xfId="5"/>
    <xf numFmtId="43" fontId="0" fillId="0" borderId="15" xfId="6" applyFont="1" applyFill="1" applyBorder="1" applyAlignment="1"/>
    <xf numFmtId="43" fontId="0" fillId="0" borderId="16" xfId="6" applyFont="1" applyFill="1" applyBorder="1" applyAlignment="1"/>
    <xf numFmtId="0" fontId="6" fillId="0" borderId="0" xfId="5" applyAlignment="1">
      <alignment vertical="center"/>
    </xf>
    <xf numFmtId="0" fontId="6" fillId="0" borderId="15" xfId="5" applyBorder="1" applyAlignment="1">
      <alignment vertical="center"/>
    </xf>
    <xf numFmtId="43" fontId="0" fillId="0" borderId="15" xfId="6" applyFont="1" applyFill="1" applyBorder="1" applyAlignment="1">
      <alignment vertical="center"/>
    </xf>
    <xf numFmtId="44" fontId="0" fillId="0" borderId="15" xfId="7" applyFont="1" applyFill="1" applyBorder="1" applyAlignment="1">
      <alignment vertical="center"/>
    </xf>
    <xf numFmtId="43" fontId="18" fillId="0" borderId="15" xfId="6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43" fontId="0" fillId="0" borderId="18" xfId="6" applyFont="1" applyFill="1" applyBorder="1" applyAlignment="1">
      <alignment vertical="center"/>
    </xf>
    <xf numFmtId="0" fontId="6" fillId="3" borderId="0" xfId="5" applyFill="1" applyAlignment="1">
      <alignment vertical="center"/>
    </xf>
    <xf numFmtId="0" fontId="7" fillId="3" borderId="0" xfId="5" applyFont="1" applyFill="1" applyAlignment="1">
      <alignment horizontal="right" vertical="center"/>
    </xf>
    <xf numFmtId="43" fontId="7" fillId="3" borderId="0" xfId="6" applyFont="1" applyFill="1" applyAlignment="1">
      <alignment vertical="center"/>
    </xf>
    <xf numFmtId="44" fontId="6" fillId="0" borderId="0" xfId="8" applyFont="1" applyAlignment="1">
      <alignment vertical="center"/>
    </xf>
    <xf numFmtId="0" fontId="6" fillId="4" borderId="21" xfId="5" applyFill="1" applyBorder="1" applyAlignment="1">
      <alignment vertical="center"/>
    </xf>
    <xf numFmtId="0" fontId="6" fillId="4" borderId="22" xfId="5" applyFill="1" applyBorder="1" applyAlignment="1">
      <alignment vertical="center"/>
    </xf>
    <xf numFmtId="43" fontId="0" fillId="4" borderId="22" xfId="6" applyFont="1" applyFill="1" applyBorder="1" applyAlignment="1">
      <alignment vertical="center"/>
    </xf>
    <xf numFmtId="43" fontId="18" fillId="4" borderId="22" xfId="6" applyFont="1" applyFill="1" applyBorder="1" applyAlignment="1">
      <alignment vertical="center"/>
    </xf>
    <xf numFmtId="44" fontId="0" fillId="4" borderId="23" xfId="7" applyFont="1" applyFill="1" applyBorder="1" applyAlignment="1">
      <alignment vertical="center"/>
    </xf>
    <xf numFmtId="43" fontId="0" fillId="4" borderId="19" xfId="6" applyFont="1" applyFill="1" applyBorder="1" applyAlignment="1">
      <alignment vertical="center"/>
    </xf>
    <xf numFmtId="0" fontId="17" fillId="3" borderId="24" xfId="5" applyFont="1" applyFill="1" applyBorder="1" applyAlignment="1">
      <alignment horizontal="center" vertical="center"/>
    </xf>
    <xf numFmtId="0" fontId="17" fillId="3" borderId="25" xfId="5" applyFont="1" applyFill="1" applyBorder="1" applyAlignment="1">
      <alignment horizontal="center" vertical="center"/>
    </xf>
    <xf numFmtId="0" fontId="6" fillId="0" borderId="26" xfId="5" applyBorder="1"/>
    <xf numFmtId="44" fontId="0" fillId="0" borderId="17" xfId="7" applyFont="1" applyFill="1" applyBorder="1" applyAlignment="1"/>
    <xf numFmtId="0" fontId="6" fillId="0" borderId="26" xfId="5" applyBorder="1" applyAlignment="1">
      <alignment wrapText="1"/>
    </xf>
    <xf numFmtId="43" fontId="0" fillId="0" borderId="28" xfId="6" applyFont="1" applyFill="1" applyBorder="1" applyAlignment="1"/>
    <xf numFmtId="44" fontId="0" fillId="0" borderId="29" xfId="7" applyFont="1" applyFill="1" applyBorder="1" applyAlignment="1"/>
    <xf numFmtId="0" fontId="17" fillId="3" borderId="30" xfId="1" applyNumberFormat="1" applyFont="1" applyFill="1" applyBorder="1" applyAlignment="1">
      <alignment horizontal="center" vertical="center"/>
    </xf>
    <xf numFmtId="0" fontId="17" fillId="3" borderId="31" xfId="1" applyNumberFormat="1" applyFont="1" applyFill="1" applyBorder="1" applyAlignment="1">
      <alignment horizontal="center" vertical="center" wrapText="1"/>
    </xf>
    <xf numFmtId="0" fontId="17" fillId="3" borderId="32" xfId="1" applyNumberFormat="1" applyFont="1" applyFill="1" applyBorder="1" applyAlignment="1">
      <alignment horizontal="center" vertical="center"/>
    </xf>
    <xf numFmtId="43" fontId="18" fillId="0" borderId="26" xfId="6" applyFont="1" applyFill="1" applyBorder="1" applyAlignment="1">
      <alignment vertical="center"/>
    </xf>
    <xf numFmtId="43" fontId="18" fillId="0" borderId="27" xfId="6" applyFont="1" applyFill="1" applyBorder="1" applyAlignment="1">
      <alignment vertical="center"/>
    </xf>
    <xf numFmtId="43" fontId="18" fillId="0" borderId="28" xfId="6" applyFont="1" applyFill="1" applyBorder="1" applyAlignment="1">
      <alignment vertical="center"/>
    </xf>
    <xf numFmtId="43" fontId="18" fillId="6" borderId="15" xfId="6" applyFont="1" applyFill="1" applyBorder="1" applyAlignment="1">
      <alignment vertical="center"/>
    </xf>
    <xf numFmtId="43" fontId="18" fillId="6" borderId="17" xfId="6" applyFont="1" applyFill="1" applyBorder="1" applyAlignment="1">
      <alignment vertical="center"/>
    </xf>
    <xf numFmtId="43" fontId="18" fillId="6" borderId="28" xfId="6" applyFont="1" applyFill="1" applyBorder="1" applyAlignment="1">
      <alignment vertical="center"/>
    </xf>
    <xf numFmtId="43" fontId="18" fillId="6" borderId="29" xfId="6" applyFont="1" applyFill="1" applyBorder="1" applyAlignment="1">
      <alignment vertical="center"/>
    </xf>
    <xf numFmtId="43" fontId="0" fillId="5" borderId="17" xfId="6" applyFont="1" applyFill="1" applyBorder="1" applyAlignment="1">
      <alignment vertical="center"/>
    </xf>
    <xf numFmtId="0" fontId="5" fillId="0" borderId="15" xfId="5" applyFont="1" applyBorder="1" applyAlignment="1">
      <alignment vertical="center"/>
    </xf>
    <xf numFmtId="0" fontId="5" fillId="4" borderId="20" xfId="5" applyFont="1" applyFill="1" applyBorder="1" applyAlignment="1">
      <alignment vertical="center"/>
    </xf>
    <xf numFmtId="0" fontId="4" fillId="0" borderId="26" xfId="5" applyFont="1" applyBorder="1"/>
    <xf numFmtId="0" fontId="6" fillId="0" borderId="0" xfId="5" applyAlignment="1">
      <alignment wrapText="1"/>
    </xf>
    <xf numFmtId="43" fontId="0" fillId="0" borderId="0" xfId="6" applyFont="1" applyFill="1" applyBorder="1" applyAlignment="1"/>
    <xf numFmtId="44" fontId="0" fillId="0" borderId="0" xfId="7" applyFont="1" applyFill="1" applyBorder="1" applyAlignment="1"/>
    <xf numFmtId="0" fontId="6" fillId="0" borderId="27" xfId="5" applyBorder="1"/>
    <xf numFmtId="0" fontId="4" fillId="0" borderId="26" xfId="5" applyFont="1" applyBorder="1" applyAlignment="1">
      <alignment wrapText="1"/>
    </xf>
    <xf numFmtId="0" fontId="3" fillId="0" borderId="26" xfId="5" applyFont="1" applyBorder="1"/>
    <xf numFmtId="0" fontId="3" fillId="0" borderId="26" xfId="5" applyFont="1" applyBorder="1" applyAlignment="1">
      <alignment wrapText="1"/>
    </xf>
    <xf numFmtId="0" fontId="17" fillId="3" borderId="14" xfId="1" applyNumberFormat="1" applyFont="1" applyFill="1" applyBorder="1" applyAlignment="1">
      <alignment horizontal="center" vertical="center"/>
    </xf>
    <xf numFmtId="0" fontId="2" fillId="0" borderId="15" xfId="5" applyFont="1" applyBorder="1" applyAlignment="1">
      <alignment vertical="center"/>
    </xf>
    <xf numFmtId="0" fontId="2" fillId="4" borderId="20" xfId="5" applyFont="1" applyFill="1" applyBorder="1" applyAlignment="1">
      <alignment vertical="center"/>
    </xf>
    <xf numFmtId="0" fontId="17" fillId="3" borderId="14" xfId="5" applyFont="1" applyFill="1" applyBorder="1" applyAlignment="1">
      <alignment horizontal="center" vertical="center" wrapText="1"/>
    </xf>
    <xf numFmtId="0" fontId="10" fillId="0" borderId="34" xfId="2" applyFont="1" applyBorder="1" applyAlignment="1">
      <alignment vertical="center"/>
    </xf>
    <xf numFmtId="0" fontId="10" fillId="0" borderId="35" xfId="2" applyFont="1" applyBorder="1" applyAlignment="1">
      <alignment vertical="center"/>
    </xf>
    <xf numFmtId="0" fontId="23" fillId="2" borderId="36" xfId="4" applyFont="1" applyFill="1" applyBorder="1" applyAlignment="1">
      <alignment horizontal="center" vertical="center"/>
    </xf>
    <xf numFmtId="0" fontId="10" fillId="0" borderId="38" xfId="2" applyFont="1" applyBorder="1" applyAlignment="1">
      <alignment vertical="center"/>
    </xf>
    <xf numFmtId="0" fontId="11" fillId="0" borderId="39" xfId="2" applyFont="1" applyBorder="1" applyAlignment="1">
      <alignment vertical="center"/>
    </xf>
    <xf numFmtId="165" fontId="11" fillId="0" borderId="40" xfId="3" quotePrefix="1" applyNumberFormat="1" applyFont="1" applyFill="1" applyBorder="1" applyAlignment="1">
      <alignment horizontal="left" vertical="center"/>
    </xf>
    <xf numFmtId="0" fontId="11" fillId="0" borderId="41" xfId="2" applyFont="1" applyBorder="1" applyAlignment="1">
      <alignment vertical="center"/>
    </xf>
    <xf numFmtId="0" fontId="23" fillId="2" borderId="47" xfId="4" applyFont="1" applyFill="1" applyBorder="1" applyAlignment="1">
      <alignment horizontal="center" vertical="center"/>
    </xf>
    <xf numFmtId="0" fontId="1" fillId="0" borderId="11" xfId="11" applyBorder="1" applyAlignment="1">
      <alignment horizontal="center"/>
    </xf>
    <xf numFmtId="0" fontId="1" fillId="0" borderId="33" xfId="11" applyBorder="1" applyAlignment="1">
      <alignment horizontal="center"/>
    </xf>
    <xf numFmtId="0" fontId="1" fillId="0" borderId="42" xfId="11" applyBorder="1" applyAlignment="1">
      <alignment horizontal="center"/>
    </xf>
    <xf numFmtId="0" fontId="1" fillId="0" borderId="44" xfId="11" applyBorder="1" applyAlignment="1">
      <alignment horizontal="center"/>
    </xf>
    <xf numFmtId="0" fontId="0" fillId="0" borderId="0" xfId="0" applyAlignment="1">
      <alignment horizontal="center"/>
    </xf>
    <xf numFmtId="0" fontId="1" fillId="0" borderId="37" xfId="11" applyBorder="1" applyAlignment="1">
      <alignment horizontal="center"/>
    </xf>
    <xf numFmtId="0" fontId="1" fillId="0" borderId="45" xfId="11" applyBorder="1" applyAlignment="1">
      <alignment horizontal="center"/>
    </xf>
    <xf numFmtId="0" fontId="1" fillId="0" borderId="43" xfId="11" applyBorder="1" applyAlignment="1">
      <alignment horizontal="center"/>
    </xf>
    <xf numFmtId="0" fontId="1" fillId="0" borderId="46" xfId="11" applyBorder="1" applyAlignment="1">
      <alignment horizontal="center"/>
    </xf>
    <xf numFmtId="43" fontId="18" fillId="0" borderId="0" xfId="6" applyFont="1" applyFill="1" applyBorder="1" applyAlignment="1">
      <alignment vertical="center"/>
    </xf>
    <xf numFmtId="43" fontId="18" fillId="6" borderId="0" xfId="6" applyFont="1" applyFill="1" applyBorder="1" applyAlignment="1">
      <alignment vertical="center"/>
    </xf>
    <xf numFmtId="0" fontId="16" fillId="2" borderId="11" xfId="4" applyFont="1" applyFill="1" applyBorder="1" applyAlignment="1">
      <alignment horizontal="center" vertical="center"/>
    </xf>
    <xf numFmtId="0" fontId="16" fillId="2" borderId="12" xfId="4" applyFont="1" applyFill="1" applyBorder="1" applyAlignment="1">
      <alignment horizontal="center" vertical="center"/>
    </xf>
    <xf numFmtId="0" fontId="16" fillId="2" borderId="13" xfId="4" applyFont="1" applyFill="1" applyBorder="1" applyAlignment="1">
      <alignment horizontal="center" vertical="center"/>
    </xf>
    <xf numFmtId="0" fontId="16" fillId="2" borderId="33" xfId="4" applyFont="1" applyFill="1" applyBorder="1" applyAlignment="1">
      <alignment horizontal="center" vertical="center"/>
    </xf>
    <xf numFmtId="0" fontId="16" fillId="2" borderId="0" xfId="4" applyFont="1" applyFill="1" applyAlignment="1">
      <alignment horizontal="center" vertical="center"/>
    </xf>
  </cellXfs>
  <cellStyles count="12">
    <cellStyle name="Moeda" xfId="8" builtinId="4"/>
    <cellStyle name="Moeda 16" xfId="7" xr:uid="{C7E50AE7-01A7-471F-B980-7DFA25E27F66}"/>
    <cellStyle name="Normal" xfId="0" builtinId="0"/>
    <cellStyle name="Normal 10" xfId="2" xr:uid="{0AD3C864-FEC6-4409-8EA4-1EF8CD2BEE86}"/>
    <cellStyle name="Normal 2" xfId="9" xr:uid="{4EB770EA-B682-4DDE-952D-77ACEAF05AA3}"/>
    <cellStyle name="Normal 2 2" xfId="10" xr:uid="{C702EC19-5246-486F-A74D-E458A495179F}"/>
    <cellStyle name="Normal 34 2" xfId="5" xr:uid="{D8B67873-D88F-4C87-8497-CE52E6C0F603}"/>
    <cellStyle name="Normal 39 2" xfId="11" xr:uid="{5F0CAACC-8136-45B6-8426-D3ECCFEFBD33}"/>
    <cellStyle name="Normal 8" xfId="4" xr:uid="{096E863C-6BBA-442B-98F0-B9BA0D9EF8B0}"/>
    <cellStyle name="Vírgula" xfId="1" builtinId="3"/>
    <cellStyle name="Vírgula 3 2" xfId="3" xr:uid="{95F229EF-0DF5-46E5-AEE9-212A7EF6E1BA}"/>
    <cellStyle name="Vírgula 31" xfId="6" xr:uid="{F94C10EF-9B2D-4AAF-BFCE-923AF2B394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103991</xdr:colOff>
      <xdr:row>0</xdr:row>
      <xdr:rowOff>149679</xdr:rowOff>
    </xdr:from>
    <xdr:to>
      <xdr:col>0</xdr:col>
      <xdr:colOff>1906892</xdr:colOff>
      <xdr:row>2</xdr:row>
      <xdr:rowOff>156883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D60311E8-9A18-4AD0-8024-0F23BDE2317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03991" y="149679"/>
          <a:ext cx="1810694" cy="388204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103991</xdr:colOff>
      <xdr:row>0</xdr:row>
      <xdr:rowOff>149679</xdr:rowOff>
    </xdr:from>
    <xdr:to>
      <xdr:col>1</xdr:col>
      <xdr:colOff>849246</xdr:colOff>
      <xdr:row>2</xdr:row>
      <xdr:rowOff>156883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24AD60CF-3C9E-43CC-8550-B24B934D573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03991" y="149679"/>
          <a:ext cx="1810694" cy="388204"/>
        </a:xfrm>
        <a:prstGeom prst="rect">
          <a:avLst/>
        </a:prstGeom>
        <a:ln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538843</xdr:colOff>
      <xdr:row>0</xdr:row>
      <xdr:rowOff>84365</xdr:rowOff>
    </xdr:from>
    <xdr:to>
      <xdr:col>0</xdr:col>
      <xdr:colOff>1409700</xdr:colOff>
      <xdr:row>1</xdr:row>
      <xdr:rowOff>171450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2E54A805-A7EA-431D-B80C-EF8FEE8178D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538843" y="84365"/>
          <a:ext cx="870857" cy="277585"/>
        </a:xfrm>
        <a:prstGeom prst="rect">
          <a:avLst/>
        </a:prstGeom>
        <a:ln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n10\Desktop\CTN-FGE_SEN%20-%20Or&#231;amento%20Preliminar_R00_V01.xlsx" TargetMode="External"/><Relationship Id="rId1" Type="http://schemas.openxmlformats.org/officeDocument/2006/relationships/externalLinkPath" Target="file:///C:\Users\Win10\Desktop\CTN-FGE_SEN%20-%20Or&#231;amento%20Preliminar_R00_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DIF PARAMETRICO"/>
      <sheetName val="EAP Análise"/>
      <sheetName val="PROJETOS"/>
      <sheetName val="EPC FG"/>
      <sheetName val="MO EPC FG"/>
      <sheetName val="Ger_Tec e Adm"/>
      <sheetName val="Ger_Executivo"/>
      <sheetName val="Drywall"/>
      <sheetName val="CPU"/>
      <sheetName val="Insumos"/>
      <sheetName val="INSTALAÇÕES - ESTIMATIVAS"/>
      <sheetName val="Bombeamento"/>
      <sheetName val="Planilha5"/>
      <sheetName val="IRRIGAÇÃO"/>
      <sheetName val="PISCINA"/>
      <sheetName val="SPDA"/>
      <sheetName val="Sprinkler"/>
      <sheetName val="CLIMATIZAÇÃO"/>
      <sheetName val="LOUÇAS E METAIS"/>
      <sheetName val="EPCs"/>
      <sheetName val="CANTEIRO"/>
      <sheetName val="Ensaios"/>
      <sheetName val="Estacas"/>
      <sheetName val="Fund. Rasa | Contenção"/>
      <sheetName val="RESUMO CUSTOS ESTACAS "/>
      <sheetName val="ESTRUTURA FG"/>
      <sheetName val="BLOCO A"/>
      <sheetName val="Estrutura"/>
      <sheetName val="Resumo Estrutura"/>
    </sheetNames>
    <sheetDataSet>
      <sheetData sheetId="0">
        <row r="2">
          <cell r="C2" t="str">
            <v>Senna Tower</v>
          </cell>
        </row>
        <row r="3">
          <cell r="C3" t="str">
            <v>FG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65EB-405B-47B8-9ACF-F668B376CE33}">
  <sheetPr>
    <tabColor rgb="FF00B050"/>
  </sheetPr>
  <dimension ref="A1:G59"/>
  <sheetViews>
    <sheetView showGridLines="0" view="pageBreakPreview" zoomScaleNormal="85" zoomScaleSheetLayoutView="100" workbookViewId="0">
      <pane ySplit="5" topLeftCell="A6" activePane="bottomLeft" state="frozen"/>
      <selection activeCell="N7" sqref="N7:N11"/>
      <selection pane="bottomLeft" activeCell="C9" sqref="C9"/>
    </sheetView>
  </sheetViews>
  <sheetFormatPr defaultRowHeight="15"/>
  <cols>
    <col min="1" max="1" width="30" style="17" customWidth="1"/>
    <col min="2" max="2" width="11.140625" style="17" customWidth="1"/>
    <col min="3" max="3" width="64" style="17" customWidth="1"/>
    <col min="4" max="4" width="14" style="17" bestFit="1" customWidth="1"/>
    <col min="5" max="5" width="30.28515625" style="17" customWidth="1"/>
    <col min="6" max="6" width="30" style="17" customWidth="1"/>
    <col min="7" max="7" width="11.140625" style="17" customWidth="1"/>
    <col min="8" max="16384" width="9.140625" style="17"/>
  </cols>
  <sheetData>
    <row r="1" spans="1:7" s="7" customFormat="1" ht="15" customHeight="1">
      <c r="A1" s="1"/>
      <c r="B1" s="3" t="s">
        <v>0</v>
      </c>
      <c r="C1" s="4" t="str">
        <f>Aspiração!D1</f>
        <v>Senna Tower</v>
      </c>
      <c r="D1" s="4"/>
      <c r="E1" s="4"/>
      <c r="F1" s="4"/>
      <c r="G1" s="6"/>
    </row>
    <row r="2" spans="1:7" s="11" customFormat="1" ht="15" customHeight="1">
      <c r="A2" s="8"/>
      <c r="B2" s="3" t="s">
        <v>1</v>
      </c>
      <c r="C2" s="4" t="str">
        <f>Aspiração!D2</f>
        <v>FG</v>
      </c>
      <c r="D2" s="9"/>
      <c r="E2" s="9"/>
      <c r="F2" s="9"/>
      <c r="G2" s="10"/>
    </row>
    <row r="3" spans="1:7" s="11" customFormat="1" ht="15" customHeight="1">
      <c r="A3" s="12"/>
      <c r="B3" s="3" t="s">
        <v>2</v>
      </c>
      <c r="C3" s="4" t="str">
        <f>Aspiração!D3</f>
        <v>R00 - Letícia</v>
      </c>
      <c r="D3" s="4"/>
      <c r="E3" s="4"/>
      <c r="F3" s="4"/>
      <c r="G3" s="14"/>
    </row>
    <row r="4" spans="1:7" s="15" customFormat="1" ht="16.5" thickBot="1">
      <c r="A4" s="88" t="str">
        <f>Aspiração!A4</f>
        <v>ASPIRAÇÃO</v>
      </c>
      <c r="B4" s="89"/>
      <c r="C4" s="89"/>
      <c r="D4" s="89"/>
      <c r="E4" s="89"/>
      <c r="F4" s="89"/>
      <c r="G4" s="90"/>
    </row>
    <row r="5" spans="1:7" ht="19.5">
      <c r="C5" s="37" t="s">
        <v>6</v>
      </c>
      <c r="D5" s="16" t="s">
        <v>8</v>
      </c>
      <c r="E5" s="38" t="s">
        <v>9</v>
      </c>
    </row>
    <row r="6" spans="1:7">
      <c r="C6" s="57"/>
      <c r="D6" s="19">
        <f>_xlfn.XLOOKUP(PREÇO!C6,Aspiração!$E$7:$E$61,Aspiração!$J$7:$J$61)</f>
        <v>0</v>
      </c>
      <c r="E6" s="40"/>
    </row>
    <row r="7" spans="1:7">
      <c r="C7" s="57"/>
      <c r="D7" s="18">
        <f>_xlfn.XLOOKUP(PREÇO!C7,Aspiração!$E$7:$E$61,Aspiração!$J$7:$J$61)</f>
        <v>0</v>
      </c>
      <c r="E7" s="40"/>
    </row>
    <row r="8" spans="1:7">
      <c r="B8"/>
      <c r="C8" s="41"/>
      <c r="D8" s="18">
        <f>_xlfn.XLOOKUP(PREÇO!C8,Aspiração!$E$7:$E$61,Aspiração!$J$7:$J$61)</f>
        <v>0</v>
      </c>
      <c r="E8" s="40"/>
    </row>
    <row r="9" spans="1:7">
      <c r="C9" s="63"/>
      <c r="D9" s="18">
        <f>_xlfn.XLOOKUP(PREÇO!C9,Aspiração!$E$7:$E$61,Aspiração!$J$7:$J$61)</f>
        <v>0</v>
      </c>
      <c r="E9" s="40"/>
    </row>
    <row r="10" spans="1:7">
      <c r="C10" s="57"/>
      <c r="D10" s="18">
        <f>_xlfn.XLOOKUP(PREÇO!C10,Aspiração!$E$7:$E$61,Aspiração!$J$7:$J$61)</f>
        <v>0</v>
      </c>
      <c r="E10" s="40"/>
    </row>
    <row r="11" spans="1:7">
      <c r="C11" s="39"/>
      <c r="D11" s="18">
        <f>_xlfn.XLOOKUP(PREÇO!C11,Aspiração!$E$7:$E$61,Aspiração!$J$7:$J$61)</f>
        <v>0</v>
      </c>
      <c r="E11" s="40"/>
    </row>
    <row r="12" spans="1:7">
      <c r="C12" s="63"/>
      <c r="D12" s="18">
        <f>_xlfn.XLOOKUP(PREÇO!C12,Aspiração!$E$7:$E$61,Aspiração!$J$7:$J$61)</f>
        <v>0</v>
      </c>
      <c r="E12" s="40"/>
    </row>
    <row r="13" spans="1:7">
      <c r="C13" s="39"/>
      <c r="D13" s="18">
        <f>_xlfn.XLOOKUP(PREÇO!C13,Aspiração!$E$7:$E$61,Aspiração!$J$7:$J$61)</f>
        <v>0</v>
      </c>
      <c r="E13" s="40"/>
    </row>
    <row r="14" spans="1:7">
      <c r="C14" s="57"/>
      <c r="D14" s="18">
        <f>_xlfn.XLOOKUP(PREÇO!C14,Aspiração!$E$7:$E$61,Aspiração!$J$7:$J$61)</f>
        <v>0</v>
      </c>
      <c r="E14" s="40"/>
    </row>
    <row r="15" spans="1:7">
      <c r="C15" s="62"/>
      <c r="D15" s="18">
        <f>_xlfn.XLOOKUP(PREÇO!C15,Aspiração!$E$7:$E$61,Aspiração!$J$7:$J$61)</f>
        <v>0</v>
      </c>
      <c r="E15" s="40"/>
    </row>
    <row r="16" spans="1:7">
      <c r="C16" s="62"/>
      <c r="D16" s="18">
        <f>_xlfn.XLOOKUP(PREÇO!C16,Aspiração!$E$7:$E$61,Aspiração!$J$7:$J$61)</f>
        <v>0</v>
      </c>
      <c r="E16" s="40"/>
    </row>
    <row r="17" spans="3:5">
      <c r="C17" s="41"/>
      <c r="D17" s="18">
        <f>_xlfn.XLOOKUP(PREÇO!C17,Aspiração!$E$7:$E$61,Aspiração!$J$7:$J$61)</f>
        <v>0</v>
      </c>
      <c r="E17" s="40"/>
    </row>
    <row r="18" spans="3:5">
      <c r="C18" s="57"/>
      <c r="D18" s="18">
        <f>_xlfn.XLOOKUP(PREÇO!C18,Aspiração!$E$7:$E$61,Aspiração!$J$7:$J$61)</f>
        <v>0</v>
      </c>
      <c r="E18" s="40"/>
    </row>
    <row r="19" spans="3:5">
      <c r="C19" s="62"/>
      <c r="D19" s="18">
        <f>_xlfn.XLOOKUP(PREÇO!C19,Aspiração!$E$7:$E$61,Aspiração!$J$7:$J$61)</f>
        <v>0</v>
      </c>
      <c r="E19" s="40"/>
    </row>
    <row r="20" spans="3:5">
      <c r="C20" s="64"/>
      <c r="D20" s="18">
        <f>_xlfn.XLOOKUP(PREÇO!C20,Aspiração!$E$7:$E$61,Aspiração!$J$7:$J$61)</f>
        <v>0</v>
      </c>
      <c r="E20" s="40"/>
    </row>
    <row r="21" spans="3:5">
      <c r="C21" s="64"/>
      <c r="D21" s="18">
        <f>_xlfn.XLOOKUP(PREÇO!C21,Aspiração!$E$7:$E$61,Aspiração!$J$7:$J$61)</f>
        <v>0</v>
      </c>
      <c r="E21" s="40"/>
    </row>
    <row r="22" spans="3:5">
      <c r="C22" s="39"/>
      <c r="D22" s="18">
        <f>_xlfn.XLOOKUP(PREÇO!C22,Aspiração!$E$7:$E$61,Aspiração!$J$7:$J$61)</f>
        <v>0</v>
      </c>
      <c r="E22" s="40"/>
    </row>
    <row r="23" spans="3:5">
      <c r="C23" s="41"/>
      <c r="D23" s="18">
        <f>_xlfn.XLOOKUP(PREÇO!C23,Aspiração!$E$7:$E$61,Aspiração!$J$7:$J$61)</f>
        <v>0</v>
      </c>
      <c r="E23" s="40"/>
    </row>
    <row r="24" spans="3:5">
      <c r="C24" s="41"/>
      <c r="D24" s="18">
        <f>_xlfn.XLOOKUP(PREÇO!C24,Aspiração!$E$7:$E$61,Aspiração!$J$7:$J$61)</f>
        <v>0</v>
      </c>
      <c r="E24" s="40"/>
    </row>
    <row r="25" spans="3:5">
      <c r="C25" s="39"/>
      <c r="D25" s="18">
        <f>_xlfn.XLOOKUP(PREÇO!C25,Aspiração!$E$7:$E$61,Aspiração!$J$7:$J$61)</f>
        <v>0</v>
      </c>
      <c r="E25" s="40"/>
    </row>
    <row r="26" spans="3:5">
      <c r="C26" s="39"/>
      <c r="D26" s="18">
        <f>_xlfn.XLOOKUP(PREÇO!C26,Aspiração!$E$7:$E$61,Aspiração!$J$7:$J$61)</f>
        <v>0</v>
      </c>
      <c r="E26" s="40"/>
    </row>
    <row r="27" spans="3:5">
      <c r="C27" s="39"/>
      <c r="D27" s="18">
        <f>_xlfn.XLOOKUP(PREÇO!C27,Aspiração!$E$7:$E$61,Aspiração!$J$7:$J$61)</f>
        <v>0</v>
      </c>
      <c r="E27" s="40"/>
    </row>
    <row r="28" spans="3:5">
      <c r="C28" s="41"/>
      <c r="D28" s="18">
        <f>_xlfn.XLOOKUP(PREÇO!C28,Aspiração!$E$7:$E$61,Aspiração!$J$7:$J$61)</f>
        <v>0</v>
      </c>
      <c r="E28" s="40"/>
    </row>
    <row r="29" spans="3:5">
      <c r="C29" s="41"/>
      <c r="D29" s="18">
        <f>_xlfn.XLOOKUP(PREÇO!C29,Aspiração!$E$7:$E$61,Aspiração!$J$7:$J$61)</f>
        <v>0</v>
      </c>
      <c r="E29" s="40"/>
    </row>
    <row r="30" spans="3:5">
      <c r="C30" s="41"/>
      <c r="D30" s="18">
        <f>_xlfn.XLOOKUP(PREÇO!C30,Aspiração!$E$7:$E$61,Aspiração!$J$7:$J$61)</f>
        <v>0</v>
      </c>
      <c r="E30" s="40"/>
    </row>
    <row r="31" spans="3:5">
      <c r="C31" s="41"/>
      <c r="D31" s="18">
        <f>_xlfn.XLOOKUP(PREÇO!C31,Aspiração!$E$7:$E$61,Aspiração!$J$7:$J$61)</f>
        <v>0</v>
      </c>
      <c r="E31" s="40"/>
    </row>
    <row r="32" spans="3:5">
      <c r="C32" s="41"/>
      <c r="D32" s="18">
        <f>_xlfn.XLOOKUP(PREÇO!C32,Aspiração!$E$7:$E$61,Aspiração!$J$7:$J$61)</f>
        <v>0</v>
      </c>
      <c r="E32" s="40"/>
    </row>
    <row r="33" spans="2:5">
      <c r="C33" s="57"/>
      <c r="D33" s="18">
        <f>_xlfn.XLOOKUP(PREÇO!C33,Aspiração!$E$7:$E$61,Aspiração!$J$7:$J$61)</f>
        <v>0</v>
      </c>
      <c r="E33" s="40"/>
    </row>
    <row r="34" spans="2:5">
      <c r="C34" s="39"/>
      <c r="D34" s="18">
        <f>_xlfn.XLOOKUP(PREÇO!C34,Aspiração!$E$7:$E$61,Aspiração!$J$7:$J$61)</f>
        <v>0</v>
      </c>
      <c r="E34" s="40"/>
    </row>
    <row r="35" spans="2:5">
      <c r="C35" s="39"/>
      <c r="D35" s="18">
        <f>_xlfn.XLOOKUP(PREÇO!C35,Aspiração!$E$7:$E$61,Aspiração!$J$7:$J$61)</f>
        <v>0</v>
      </c>
      <c r="E35" s="40"/>
    </row>
    <row r="36" spans="2:5">
      <c r="C36" s="62"/>
      <c r="D36" s="18">
        <f>_xlfn.XLOOKUP(PREÇO!C36,Aspiração!$E$7:$E$61,Aspiração!$J$7:$J$61)</f>
        <v>0</v>
      </c>
      <c r="E36" s="40"/>
    </row>
    <row r="37" spans="2:5">
      <c r="C37" s="63"/>
      <c r="D37" s="18">
        <f>_xlfn.XLOOKUP(PREÇO!C37,Aspiração!$E$7:$E$61,Aspiração!$J$7:$J$61)</f>
        <v>0</v>
      </c>
      <c r="E37" s="40"/>
    </row>
    <row r="38" spans="2:5">
      <c r="C38" s="39"/>
      <c r="D38" s="18">
        <f>_xlfn.XLOOKUP(PREÇO!C38,Aspiração!$E$7:$E$61,Aspiração!$J$7:$J$61)</f>
        <v>0</v>
      </c>
      <c r="E38" s="40"/>
    </row>
    <row r="39" spans="2:5">
      <c r="C39" s="39"/>
      <c r="D39" s="18">
        <f>_xlfn.XLOOKUP(PREÇO!C39,Aspiração!$E$7:$E$61,Aspiração!$J$7:$J$61)</f>
        <v>0</v>
      </c>
      <c r="E39" s="40"/>
    </row>
    <row r="40" spans="2:5">
      <c r="C40" s="63"/>
      <c r="D40" s="18">
        <f>_xlfn.XLOOKUP(PREÇO!C40,Aspiração!$E$7:$E$61,Aspiração!$J$7:$J$61)</f>
        <v>0</v>
      </c>
      <c r="E40" s="40"/>
    </row>
    <row r="41" spans="2:5">
      <c r="C41" s="63"/>
      <c r="D41" s="18">
        <f>_xlfn.XLOOKUP(PREÇO!C41,Aspiração!$E$7:$E$61,Aspiração!$J$7:$J$61)</f>
        <v>0</v>
      </c>
      <c r="E41" s="40"/>
    </row>
    <row r="42" spans="2:5">
      <c r="C42" s="39"/>
      <c r="D42" s="18">
        <f>_xlfn.XLOOKUP(PREÇO!C42,Aspiração!$E$7:$E$61,Aspiração!$J$7:$J$61)</f>
        <v>0</v>
      </c>
      <c r="E42" s="40"/>
    </row>
    <row r="43" spans="2:5">
      <c r="C43" s="64"/>
      <c r="D43" s="18">
        <f>_xlfn.XLOOKUP(PREÇO!C43,Aspiração!$E$7:$E$61,Aspiração!$J$7:$J$61)</f>
        <v>0</v>
      </c>
      <c r="E43" s="40"/>
    </row>
    <row r="44" spans="2:5">
      <c r="C44" s="57"/>
      <c r="D44" s="18">
        <f>_xlfn.XLOOKUP(PREÇO!C44,Aspiração!$E$7:$E$61,Aspiração!$J$7:$J$61)</f>
        <v>0</v>
      </c>
      <c r="E44" s="40"/>
    </row>
    <row r="45" spans="2:5">
      <c r="C45" s="62"/>
      <c r="D45" s="18">
        <f>_xlfn.XLOOKUP(PREÇO!C45,Aspiração!$E$7:$E$61,Aspiração!$J$7:$J$61)</f>
        <v>0</v>
      </c>
      <c r="E45" s="40"/>
    </row>
    <row r="46" spans="2:5">
      <c r="C46" s="57"/>
      <c r="D46" s="18">
        <f>_xlfn.XLOOKUP(PREÇO!C46,Aspiração!$E$7:$E$61,Aspiração!$J$7:$J$61)</f>
        <v>0</v>
      </c>
      <c r="E46" s="40"/>
    </row>
    <row r="47" spans="2:5">
      <c r="C47" s="64"/>
      <c r="D47" s="18">
        <f>_xlfn.XLOOKUP(PREÇO!C47,Aspiração!$E$7:$E$61,Aspiração!$J$7:$J$61)</f>
        <v>0</v>
      </c>
      <c r="E47" s="40"/>
    </row>
    <row r="48" spans="2:5">
      <c r="B48"/>
      <c r="C48" s="41"/>
      <c r="D48" s="18">
        <f>_xlfn.XLOOKUP(PREÇO!C48,Aspiração!$E$7:$E$61,Aspiração!$J$7:$J$61)</f>
        <v>0</v>
      </c>
      <c r="E48" s="40"/>
    </row>
    <row r="49" spans="1:7">
      <c r="A49"/>
      <c r="C49" s="63"/>
      <c r="D49" s="18">
        <f>_xlfn.XLOOKUP(PREÇO!C49,Aspiração!$E$7:$E$61,Aspiração!$J$7:$J$61)</f>
        <v>0</v>
      </c>
      <c r="E49" s="40"/>
      <c r="F49"/>
      <c r="G49"/>
    </row>
    <row r="50" spans="1:7">
      <c r="A50"/>
      <c r="C50" s="39"/>
      <c r="D50" s="18">
        <f>_xlfn.XLOOKUP(PREÇO!C50,Aspiração!$E$7:$E$61,Aspiração!$J$7:$J$61)</f>
        <v>0</v>
      </c>
      <c r="E50" s="40"/>
      <c r="F50"/>
      <c r="G50"/>
    </row>
    <row r="51" spans="1:7">
      <c r="A51"/>
      <c r="C51" s="64"/>
      <c r="D51" s="18">
        <f>_xlfn.XLOOKUP(PREÇO!C51,Aspiração!$E$7:$E$61,Aspiração!$J$7:$J$61)</f>
        <v>0</v>
      </c>
      <c r="E51" s="40"/>
      <c r="F51"/>
      <c r="G51"/>
    </row>
    <row r="52" spans="1:7">
      <c r="C52" s="64"/>
      <c r="D52" s="18">
        <f>_xlfn.XLOOKUP(PREÇO!C52,Aspiração!$E$7:$E$61,Aspiração!$J$7:$J$61)</f>
        <v>0</v>
      </c>
      <c r="E52" s="40"/>
    </row>
    <row r="53" spans="1:7">
      <c r="C53" s="63"/>
      <c r="D53" s="18">
        <f>_xlfn.XLOOKUP(PREÇO!C53,Aspiração!$E$7:$E$61,Aspiração!$J$7:$J$61)</f>
        <v>0</v>
      </c>
      <c r="E53" s="40"/>
    </row>
    <row r="54" spans="1:7">
      <c r="C54" s="39"/>
      <c r="D54" s="18">
        <f>_xlfn.XLOOKUP(PREÇO!C54,Aspiração!$E$7:$E$61,Aspiração!$J$7:$J$61)</f>
        <v>0</v>
      </c>
      <c r="E54" s="40"/>
    </row>
    <row r="55" spans="1:7">
      <c r="C55" s="57"/>
      <c r="D55" s="18">
        <f>_xlfn.XLOOKUP(PREÇO!C55,Aspiração!$E$7:$E$61,Aspiração!$J$7:$J$61)</f>
        <v>0</v>
      </c>
      <c r="E55" s="40"/>
    </row>
    <row r="56" spans="1:7">
      <c r="C56" s="57"/>
      <c r="D56" s="18">
        <f>_xlfn.XLOOKUP(PREÇO!C56,Aspiração!$E$7:$E$61,Aspiração!$J$7:$J$61)</f>
        <v>0</v>
      </c>
      <c r="E56" s="40"/>
    </row>
    <row r="57" spans="1:7">
      <c r="C57" s="57"/>
      <c r="D57" s="18">
        <f>_xlfn.XLOOKUP(PREÇO!C57,Aspiração!$E$7:$E$61,Aspiração!$J$7:$J$61)</f>
        <v>0</v>
      </c>
      <c r="E57" s="40"/>
    </row>
    <row r="58" spans="1:7" ht="15.75" thickBot="1">
      <c r="C58" s="61"/>
      <c r="D58" s="42">
        <f>_xlfn.XLOOKUP(PREÇO!C58,Aspiração!$E$7:$E$61,Aspiração!$J$7:$J$61)</f>
        <v>0</v>
      </c>
      <c r="E58" s="43"/>
    </row>
    <row r="59" spans="1:7">
      <c r="C59" s="58"/>
      <c r="D59" s="59"/>
      <c r="E59" s="60"/>
    </row>
  </sheetData>
  <autoFilter ref="B5:E58" xr:uid="{C1CB23AC-E1EC-4E62-80B1-DF5421E7F0F4}">
    <sortState xmlns:xlrd2="http://schemas.microsoft.com/office/spreadsheetml/2017/richdata2" ref="B6:E58">
      <sortCondition ref="C5:C51"/>
    </sortState>
  </autoFilter>
  <mergeCells count="1">
    <mergeCell ref="A4:G4"/>
  </mergeCells>
  <pageMargins left="0.511811024" right="0.511811024" top="0.78740157499999996" bottom="0.78740157499999996" header="0.31496062000000002" footer="0.31496062000000002"/>
  <pageSetup paperSize="9" scale="2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D081-CA21-4FEA-B6B1-689E06981BD4}">
  <sheetPr>
    <tabColor rgb="FF00B050"/>
  </sheetPr>
  <dimension ref="A1:R90"/>
  <sheetViews>
    <sheetView showGridLines="0" tabSelected="1" view="pageBreakPreview" zoomScale="80" zoomScaleNormal="85" zoomScaleSheetLayoutView="80" workbookViewId="0">
      <pane ySplit="5" topLeftCell="A6" activePane="bottomLeft" state="frozen"/>
      <selection activeCell="N7" sqref="N7:N11"/>
      <selection pane="bottomLeft" activeCell="Q23" sqref="Q23:Q24"/>
    </sheetView>
  </sheetViews>
  <sheetFormatPr defaultRowHeight="15" outlineLevelRow="1"/>
  <cols>
    <col min="1" max="1" width="16" style="20" bestFit="1" customWidth="1"/>
    <col min="2" max="2" width="24.5703125" style="20" bestFit="1" customWidth="1"/>
    <col min="3" max="3" width="30.28515625" style="20" bestFit="1" customWidth="1"/>
    <col min="4" max="4" width="28.5703125" style="20" bestFit="1" customWidth="1"/>
    <col min="5" max="5" width="57" style="20" bestFit="1" customWidth="1"/>
    <col min="6" max="6" width="15.42578125" style="20" bestFit="1" customWidth="1"/>
    <col min="7" max="7" width="18.7109375" style="20" bestFit="1" customWidth="1"/>
    <col min="8" max="8" width="20.42578125" style="20" customWidth="1"/>
    <col min="9" max="9" width="23.85546875" style="20" customWidth="1"/>
    <col min="10" max="10" width="13.28515625" style="20" bestFit="1" customWidth="1"/>
    <col min="11" max="11" width="15.140625" style="20" bestFit="1" customWidth="1"/>
    <col min="12" max="12" width="17" style="20" bestFit="1" customWidth="1"/>
    <col min="13" max="13" width="6.28515625" style="20" customWidth="1"/>
    <col min="14" max="14" width="11.28515625" style="20" bestFit="1" customWidth="1"/>
    <col min="15" max="15" width="26" style="20" bestFit="1" customWidth="1"/>
    <col min="16" max="17" width="20.5703125" style="20" customWidth="1"/>
    <col min="18" max="18" width="13.85546875" style="20" bestFit="1" customWidth="1"/>
    <col min="19" max="16384" width="9.140625" style="20"/>
  </cols>
  <sheetData>
    <row r="1" spans="1:18" s="7" customFormat="1" ht="15" customHeight="1">
      <c r="A1" s="1"/>
      <c r="B1" s="2"/>
      <c r="C1" s="3" t="s">
        <v>0</v>
      </c>
      <c r="D1" s="4" t="s">
        <v>17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s="11" customFormat="1" ht="15" customHeight="1">
      <c r="A2" s="8"/>
      <c r="B2" s="7"/>
      <c r="C2" s="3" t="s">
        <v>1</v>
      </c>
      <c r="D2" s="9" t="s">
        <v>18</v>
      </c>
      <c r="E2" s="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0"/>
    </row>
    <row r="3" spans="1:18" s="11" customFormat="1" ht="15" customHeight="1">
      <c r="A3" s="12"/>
      <c r="B3" s="13"/>
      <c r="C3" s="3" t="s">
        <v>2</v>
      </c>
      <c r="D3" s="4" t="s">
        <v>19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14"/>
    </row>
    <row r="4" spans="1:18" s="7" customFormat="1" ht="22.15" customHeight="1" thickBot="1">
      <c r="A4" s="91" t="s">
        <v>20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</row>
    <row r="5" spans="1:18" ht="41.25" customHeight="1" thickBot="1">
      <c r="A5" s="16" t="s">
        <v>3</v>
      </c>
      <c r="B5" s="16" t="s">
        <v>4</v>
      </c>
      <c r="C5" s="16" t="s">
        <v>14</v>
      </c>
      <c r="D5" s="16" t="s">
        <v>5</v>
      </c>
      <c r="E5" s="16" t="s">
        <v>6</v>
      </c>
      <c r="F5" s="16" t="s">
        <v>7</v>
      </c>
      <c r="G5" s="68" t="s">
        <v>46</v>
      </c>
      <c r="H5" s="68" t="s">
        <v>45</v>
      </c>
      <c r="I5" s="16" t="s">
        <v>75</v>
      </c>
      <c r="J5" s="16" t="s">
        <v>8</v>
      </c>
      <c r="K5" s="16" t="s">
        <v>9</v>
      </c>
      <c r="L5" s="16" t="s">
        <v>10</v>
      </c>
      <c r="N5" s="44" t="s">
        <v>15</v>
      </c>
      <c r="O5" s="65" t="s">
        <v>16</v>
      </c>
      <c r="P5" s="45" t="s">
        <v>21</v>
      </c>
      <c r="Q5" s="45" t="s">
        <v>74</v>
      </c>
      <c r="R5" s="46" t="s">
        <v>11</v>
      </c>
    </row>
    <row r="6" spans="1:18" ht="15.75" collapsed="1" thickTop="1">
      <c r="A6" s="56" t="s">
        <v>12</v>
      </c>
      <c r="B6" s="56" t="s">
        <v>22</v>
      </c>
      <c r="C6" s="31"/>
      <c r="D6" s="32"/>
      <c r="E6" s="32"/>
      <c r="F6" s="33"/>
      <c r="G6" s="33"/>
      <c r="H6" s="33"/>
      <c r="I6" s="34"/>
      <c r="J6" s="33"/>
      <c r="K6" s="35"/>
      <c r="L6" s="36" t="e">
        <f>IF(SUM(F6:K6)=0,SUMIFS($L7:$L$394,$B7:$B$394,$B6,$A7:$A$394,$A6),I6*K6)</f>
        <v>#N/A</v>
      </c>
      <c r="N6" s="47" t="s">
        <v>12</v>
      </c>
      <c r="O6" s="24" t="str" cm="1">
        <f t="array" ref="O6:O25">_xlfn.UNIQUE(_xlfn._xlws.FILTER($B$6:$B$1048576,$B$6:$B$1048576&lt;&gt;""))</f>
        <v>TIPO 01</v>
      </c>
      <c r="P6" s="50">
        <f>SUMIFS($I$6:$I$61,$E$6:$E$61,P$5,$B$6:$B$61,$O6,$A$6:$A$61,$N6)</f>
        <v>84</v>
      </c>
      <c r="Q6" s="50">
        <f>SUMIFS($I$6:$I$61,$E$6:$E$61,Q$5,$B$6:$B$61,$O6,$A$6:$A$61,$N6)</f>
        <v>12</v>
      </c>
      <c r="R6" s="51">
        <f>SUM(Q6:Q6)</f>
        <v>12</v>
      </c>
    </row>
    <row r="7" spans="1:18" outlineLevel="1">
      <c r="A7" s="21" t="str">
        <f>A6</f>
        <v>GERAL</v>
      </c>
      <c r="B7" s="21" t="str">
        <f>B6</f>
        <v>TIPO 01</v>
      </c>
      <c r="C7" s="21" t="s">
        <v>44</v>
      </c>
      <c r="D7" s="66" t="s">
        <v>43</v>
      </c>
      <c r="E7" s="66" t="s">
        <v>21</v>
      </c>
      <c r="F7" s="22">
        <v>7</v>
      </c>
      <c r="G7" s="22">
        <v>6</v>
      </c>
      <c r="H7" s="26">
        <v>2</v>
      </c>
      <c r="I7" s="22">
        <f>F7*G7*H7</f>
        <v>84</v>
      </c>
      <c r="J7" s="22" t="s">
        <v>26</v>
      </c>
      <c r="K7" s="23" t="e">
        <f>_xlfn.XLOOKUP($E7,PREÇO!$C$6:$C$89,PREÇO!$E$6:$E$89)</f>
        <v>#N/A</v>
      </c>
      <c r="L7" s="54" t="e">
        <f>IF(SUM(F7:K7)=0,SUMIFS($L9:$L$394,$B9:$B$394,$B7,$A9:$A$394,$A7),I7*K7)</f>
        <v>#N/A</v>
      </c>
      <c r="N7" s="47" t="s">
        <v>12</v>
      </c>
      <c r="O7" s="24" t="str">
        <v>TIPO 02</v>
      </c>
      <c r="P7" s="50">
        <f t="shared" ref="P7:Q25" si="0">SUMIFS($I$6:$I$61,$E$6:$E$61,P$5,$B$6:$B$61,$O7,$A$6:$A$61,$N7)</f>
        <v>42</v>
      </c>
      <c r="Q7" s="50">
        <f t="shared" si="0"/>
        <v>6</v>
      </c>
      <c r="R7" s="51">
        <f>SUM(Q7:Q7)</f>
        <v>6</v>
      </c>
    </row>
    <row r="8" spans="1:18" ht="15.75" outlineLevel="1" thickBot="1">
      <c r="A8" s="21" t="str">
        <f>A7</f>
        <v>GERAL</v>
      </c>
      <c r="B8" s="21" t="str">
        <f>B7</f>
        <v>TIPO 01</v>
      </c>
      <c r="C8" s="21" t="s">
        <v>44</v>
      </c>
      <c r="D8" s="66" t="s">
        <v>43</v>
      </c>
      <c r="E8" s="66" t="s">
        <v>74</v>
      </c>
      <c r="F8" s="22">
        <v>1</v>
      </c>
      <c r="G8" s="22">
        <v>6</v>
      </c>
      <c r="H8" s="26">
        <v>2</v>
      </c>
      <c r="I8" s="22">
        <f>F8*G8*H8</f>
        <v>12</v>
      </c>
      <c r="J8" s="22" t="s">
        <v>26</v>
      </c>
      <c r="K8" s="23" t="e">
        <f>_xlfn.XLOOKUP($E8,PREÇO!$C$6:$C$89,PREÇO!$E$6:$E$89)</f>
        <v>#N/A</v>
      </c>
      <c r="L8" s="54" t="e">
        <f>IF(SUM(F8:K8)=0,SUMIFS($L10:$L$394,$B10:$B$394,$B8,$A10:$A$394,$A8),I8*K8)</f>
        <v>#N/A</v>
      </c>
      <c r="N8" s="47" t="s">
        <v>12</v>
      </c>
      <c r="O8" s="24" t="str">
        <v>TIPO 03 A</v>
      </c>
      <c r="P8" s="50">
        <f t="shared" si="0"/>
        <v>132</v>
      </c>
      <c r="Q8" s="50">
        <f t="shared" si="0"/>
        <v>22</v>
      </c>
      <c r="R8" s="51">
        <f t="shared" ref="R8:R23" si="1">SUM(Q8:Q8)</f>
        <v>22</v>
      </c>
    </row>
    <row r="9" spans="1:18" ht="15.75" thickTop="1">
      <c r="A9" s="56" t="s">
        <v>12</v>
      </c>
      <c r="B9" s="56" t="s">
        <v>23</v>
      </c>
      <c r="C9" s="31"/>
      <c r="D9" s="32"/>
      <c r="E9" s="32"/>
      <c r="F9" s="33"/>
      <c r="G9" s="33"/>
      <c r="H9" s="33"/>
      <c r="I9" s="34"/>
      <c r="J9" s="33"/>
      <c r="K9" s="35"/>
      <c r="L9" s="36" t="e">
        <f>IF(SUM(F9:K9)=0,SUMIFS($L10:$L$394,$B10:$B$394,$B9,$A10:$A$394,$A9),I9*K9)</f>
        <v>#N/A</v>
      </c>
      <c r="N9" s="47" t="s">
        <v>12</v>
      </c>
      <c r="O9" s="24" t="str">
        <v>TIPO 03 B</v>
      </c>
      <c r="P9" s="50">
        <f t="shared" si="0"/>
        <v>96</v>
      </c>
      <c r="Q9" s="50">
        <f t="shared" si="0"/>
        <v>16</v>
      </c>
      <c r="R9" s="51">
        <f t="shared" si="1"/>
        <v>16</v>
      </c>
    </row>
    <row r="10" spans="1:18" outlineLevel="1">
      <c r="A10" s="21" t="str">
        <f t="shared" ref="A10:A61" si="2">A9</f>
        <v>GERAL</v>
      </c>
      <c r="B10" s="21" t="str">
        <f t="shared" ref="B10:B61" si="3">B9</f>
        <v>TIPO 02</v>
      </c>
      <c r="C10" s="21" t="s">
        <v>44</v>
      </c>
      <c r="D10" s="66" t="s">
        <v>43</v>
      </c>
      <c r="E10" s="21" t="s">
        <v>21</v>
      </c>
      <c r="F10" s="22">
        <v>7</v>
      </c>
      <c r="G10" s="22">
        <v>3</v>
      </c>
      <c r="H10" s="26">
        <v>2</v>
      </c>
      <c r="I10" s="22">
        <f>F10*G10*H10</f>
        <v>42</v>
      </c>
      <c r="J10" s="22" t="s">
        <v>26</v>
      </c>
      <c r="K10" s="23" t="e">
        <f>_xlfn.XLOOKUP($E10,PREÇO!$C$6:$C$89,PREÇO!$E$6:$E$89)</f>
        <v>#N/A</v>
      </c>
      <c r="L10" s="54" t="e">
        <f>IF(SUM(F10:K10)=0,SUMIFS($L12:$L$394,$B12:$B$394,$B10,$A12:$A$394,$A10),I10*K10)</f>
        <v>#N/A</v>
      </c>
      <c r="N10" s="47" t="s">
        <v>12</v>
      </c>
      <c r="O10" s="24" t="str">
        <v>TIPO 03 C</v>
      </c>
      <c r="P10" s="50">
        <f t="shared" si="0"/>
        <v>108</v>
      </c>
      <c r="Q10" s="50">
        <f t="shared" si="0"/>
        <v>18</v>
      </c>
      <c r="R10" s="51">
        <f t="shared" si="1"/>
        <v>18</v>
      </c>
    </row>
    <row r="11" spans="1:18" ht="15.75" outlineLevel="1" thickBot="1">
      <c r="A11" s="21" t="str">
        <f>A10</f>
        <v>GERAL</v>
      </c>
      <c r="B11" s="21" t="str">
        <f>B10</f>
        <v>TIPO 02</v>
      </c>
      <c r="C11" s="21" t="s">
        <v>44</v>
      </c>
      <c r="D11" s="66" t="s">
        <v>43</v>
      </c>
      <c r="E11" s="66" t="s">
        <v>74</v>
      </c>
      <c r="F11" s="22">
        <v>1</v>
      </c>
      <c r="G11" s="22">
        <v>3</v>
      </c>
      <c r="H11" s="26">
        <v>2</v>
      </c>
      <c r="I11" s="22">
        <f>F11*G11*H11</f>
        <v>6</v>
      </c>
      <c r="J11" s="22" t="s">
        <v>26</v>
      </c>
      <c r="K11" s="23" t="e">
        <f>_xlfn.XLOOKUP($E11,PREÇO!$C$6:$C$89,PREÇO!$E$6:$E$89)</f>
        <v>#N/A</v>
      </c>
      <c r="L11" s="54" t="e">
        <f>IF(SUM(F11:K11)=0,SUMIFS($L13:$L$394,$B13:$B$394,$B11,$A13:$A$394,$A11),I11*K11)</f>
        <v>#N/A</v>
      </c>
      <c r="N11" s="47" t="s">
        <v>12</v>
      </c>
      <c r="O11" s="24" t="str">
        <v>TIPO 04 A</v>
      </c>
      <c r="P11" s="50">
        <f t="shared" si="0"/>
        <v>120</v>
      </c>
      <c r="Q11" s="50">
        <f t="shared" si="0"/>
        <v>20</v>
      </c>
      <c r="R11" s="51">
        <f t="shared" si="1"/>
        <v>20</v>
      </c>
    </row>
    <row r="12" spans="1:18" ht="15.75" thickTop="1">
      <c r="A12" s="56" t="s">
        <v>12</v>
      </c>
      <c r="B12" s="67" t="s">
        <v>24</v>
      </c>
      <c r="C12" s="31"/>
      <c r="D12" s="32"/>
      <c r="E12" s="32"/>
      <c r="F12" s="33"/>
      <c r="G12" s="33"/>
      <c r="H12" s="33"/>
      <c r="I12" s="34"/>
      <c r="J12" s="33"/>
      <c r="K12" s="35"/>
      <c r="L12" s="36" t="e">
        <f>IF(SUM(F12:K12)=0,SUMIFS($L13:$L$394,$B13:$B$394,$B12,$A13:$A$394,$A12),I12*K12)</f>
        <v>#N/A</v>
      </c>
      <c r="N12" s="47" t="s">
        <v>12</v>
      </c>
      <c r="O12" s="24" t="str">
        <v>TIPO 04 B</v>
      </c>
      <c r="P12" s="50">
        <f t="shared" si="0"/>
        <v>432</v>
      </c>
      <c r="Q12" s="50">
        <f t="shared" si="0"/>
        <v>72</v>
      </c>
      <c r="R12" s="51">
        <f t="shared" si="1"/>
        <v>72</v>
      </c>
    </row>
    <row r="13" spans="1:18" outlineLevel="1">
      <c r="A13" s="21" t="str">
        <f t="shared" si="2"/>
        <v>GERAL</v>
      </c>
      <c r="B13" s="21" t="str">
        <f t="shared" si="3"/>
        <v>TIPO 03 A</v>
      </c>
      <c r="C13" s="21" t="s">
        <v>44</v>
      </c>
      <c r="D13" s="55" t="s">
        <v>43</v>
      </c>
      <c r="E13" s="21" t="s">
        <v>21</v>
      </c>
      <c r="F13" s="22">
        <v>6</v>
      </c>
      <c r="G13" s="22">
        <v>11</v>
      </c>
      <c r="H13" s="26">
        <v>2</v>
      </c>
      <c r="I13" s="22">
        <f>F13*G13*H13</f>
        <v>132</v>
      </c>
      <c r="J13" s="22" t="s">
        <v>26</v>
      </c>
      <c r="K13" s="23" t="e">
        <f>_xlfn.XLOOKUP($E13,PREÇO!$C$6:$C$89,PREÇO!$E$6:$E$89)</f>
        <v>#N/A</v>
      </c>
      <c r="L13" s="54" t="e">
        <f>IF(SUM(F13:K13)=0,SUMIFS($L21:$L$394,$B21:$B$394,$B13,$A21:$A$394,$A13),I13*K13)</f>
        <v>#N/A</v>
      </c>
      <c r="N13" s="47" t="s">
        <v>12</v>
      </c>
      <c r="O13" s="24" t="str">
        <v>TIPO 04 C</v>
      </c>
      <c r="P13" s="50">
        <f t="shared" si="0"/>
        <v>228</v>
      </c>
      <c r="Q13" s="50">
        <f t="shared" si="0"/>
        <v>38</v>
      </c>
      <c r="R13" s="51">
        <f t="shared" si="1"/>
        <v>38</v>
      </c>
    </row>
    <row r="14" spans="1:18" ht="15.75" outlineLevel="1" thickBot="1">
      <c r="A14" s="21" t="str">
        <f>A13</f>
        <v>GERAL</v>
      </c>
      <c r="B14" s="21" t="str">
        <f>B13</f>
        <v>TIPO 03 A</v>
      </c>
      <c r="C14" s="21" t="s">
        <v>44</v>
      </c>
      <c r="D14" s="66" t="s">
        <v>43</v>
      </c>
      <c r="E14" s="66" t="s">
        <v>74</v>
      </c>
      <c r="F14" s="22">
        <v>1</v>
      </c>
      <c r="G14" s="22">
        <v>11</v>
      </c>
      <c r="H14" s="26">
        <v>2</v>
      </c>
      <c r="I14" s="22">
        <f>F14*G14*H14</f>
        <v>22</v>
      </c>
      <c r="J14" s="22" t="s">
        <v>26</v>
      </c>
      <c r="K14" s="23" t="e">
        <f>_xlfn.XLOOKUP($E14,PREÇO!$C$6:$C$89,PREÇO!$E$6:$E$89)</f>
        <v>#N/A</v>
      </c>
      <c r="L14" s="54" t="e">
        <f>IF(SUM(F14:K14)=0,SUMIFS($L16:$L$394,$B16:$B$394,$B14,$A16:$A$394,$A14),I14*K14)</f>
        <v>#N/A</v>
      </c>
      <c r="N14" s="47" t="s">
        <v>12</v>
      </c>
      <c r="O14" s="24" t="str">
        <v>TIPO 04 D</v>
      </c>
      <c r="P14" s="50">
        <f t="shared" si="0"/>
        <v>108</v>
      </c>
      <c r="Q14" s="50">
        <f t="shared" si="0"/>
        <v>18</v>
      </c>
      <c r="R14" s="51">
        <f t="shared" si="1"/>
        <v>18</v>
      </c>
    </row>
    <row r="15" spans="1:18" ht="15.75" thickTop="1">
      <c r="A15" s="56" t="s">
        <v>12</v>
      </c>
      <c r="B15" s="67" t="s">
        <v>25</v>
      </c>
      <c r="C15" s="31"/>
      <c r="D15" s="32"/>
      <c r="E15" s="32"/>
      <c r="F15" s="33"/>
      <c r="G15" s="33"/>
      <c r="H15" s="33"/>
      <c r="I15" s="34"/>
      <c r="J15" s="33"/>
      <c r="K15" s="35"/>
      <c r="L15" s="36" t="e">
        <f>IF(SUM(F15:K15)=0,SUMIFS($L16:$L$394,$B16:$B$394,$B15,$A16:$A$394,$A15),I15*K15)</f>
        <v>#N/A</v>
      </c>
      <c r="N15" s="47" t="s">
        <v>12</v>
      </c>
      <c r="O15" s="24" t="str">
        <v>DUPLEX INFERIOR</v>
      </c>
      <c r="P15" s="50">
        <f t="shared" si="0"/>
        <v>12</v>
      </c>
      <c r="Q15" s="50">
        <f t="shared" si="0"/>
        <v>4</v>
      </c>
      <c r="R15" s="51">
        <f t="shared" si="1"/>
        <v>4</v>
      </c>
    </row>
    <row r="16" spans="1:18" outlineLevel="1">
      <c r="A16" s="21" t="str">
        <f t="shared" si="2"/>
        <v>GERAL</v>
      </c>
      <c r="B16" s="21" t="str">
        <f t="shared" si="3"/>
        <v>TIPO 03 B</v>
      </c>
      <c r="C16" s="21" t="s">
        <v>44</v>
      </c>
      <c r="D16" s="55" t="s">
        <v>43</v>
      </c>
      <c r="E16" s="21" t="s">
        <v>21</v>
      </c>
      <c r="F16" s="22">
        <v>6</v>
      </c>
      <c r="G16" s="22">
        <v>8</v>
      </c>
      <c r="H16" s="26">
        <v>2</v>
      </c>
      <c r="I16" s="22">
        <f t="shared" ref="I16:I44" si="4">F16*G16*H16</f>
        <v>96</v>
      </c>
      <c r="J16" s="22" t="s">
        <v>26</v>
      </c>
      <c r="K16" s="23" t="e">
        <f>_xlfn.XLOOKUP($E16,PREÇO!$C$6:$C$89,PREÇO!$E$6:$E$89)</f>
        <v>#N/A</v>
      </c>
      <c r="L16" s="54" t="e">
        <f>IF(SUM(F16:K16)=0,SUMIFS($L33:$L$394,$B33:$B$394,$B16,$A33:$A$394,$A16),I16*K16)</f>
        <v>#N/A</v>
      </c>
      <c r="N16" s="47" t="s">
        <v>12</v>
      </c>
      <c r="O16" s="24" t="str">
        <v>DUPLEX SUPERIOR</v>
      </c>
      <c r="P16" s="50">
        <f t="shared" si="0"/>
        <v>20</v>
      </c>
      <c r="Q16" s="50">
        <f t="shared" si="0"/>
        <v>0</v>
      </c>
      <c r="R16" s="51">
        <f t="shared" si="1"/>
        <v>0</v>
      </c>
    </row>
    <row r="17" spans="1:18" ht="15.75" outlineLevel="1" thickBot="1">
      <c r="A17" s="21" t="str">
        <f>A16</f>
        <v>GERAL</v>
      </c>
      <c r="B17" s="21" t="str">
        <f>B16</f>
        <v>TIPO 03 B</v>
      </c>
      <c r="C17" s="21" t="s">
        <v>44</v>
      </c>
      <c r="D17" s="66" t="s">
        <v>43</v>
      </c>
      <c r="E17" s="66" t="s">
        <v>74</v>
      </c>
      <c r="F17" s="22">
        <v>1</v>
      </c>
      <c r="G17" s="22">
        <v>8</v>
      </c>
      <c r="H17" s="26">
        <v>2</v>
      </c>
      <c r="I17" s="22">
        <f>F17*G17*H17</f>
        <v>16</v>
      </c>
      <c r="J17" s="22" t="s">
        <v>26</v>
      </c>
      <c r="K17" s="23" t="e">
        <f>_xlfn.XLOOKUP($E17,PREÇO!$C$6:$C$89,PREÇO!$E$6:$E$89)</f>
        <v>#N/A</v>
      </c>
      <c r="L17" s="54" t="e">
        <f>IF(SUM(F17:K17)=0,SUMIFS($L19:$L$394,$B19:$B$394,$B17,$A19:$A$394,$A17),I17*K17)</f>
        <v>#N/A</v>
      </c>
      <c r="N17" s="47" t="s">
        <v>12</v>
      </c>
      <c r="O17" s="24" t="str">
        <v>TRIPLEX INFERIOR</v>
      </c>
      <c r="P17" s="50">
        <f t="shared" si="0"/>
        <v>4</v>
      </c>
      <c r="Q17" s="50">
        <f t="shared" si="0"/>
        <v>0</v>
      </c>
      <c r="R17" s="51">
        <f>SUM(Q17:Q17)</f>
        <v>0</v>
      </c>
    </row>
    <row r="18" spans="1:18" ht="15.75" thickTop="1">
      <c r="A18" s="56" t="s">
        <v>12</v>
      </c>
      <c r="B18" s="67" t="s">
        <v>28</v>
      </c>
      <c r="C18" s="31"/>
      <c r="D18" s="32"/>
      <c r="E18" s="32"/>
      <c r="F18" s="33"/>
      <c r="G18" s="33"/>
      <c r="H18" s="33"/>
      <c r="I18" s="34"/>
      <c r="J18" s="33"/>
      <c r="K18" s="35"/>
      <c r="L18" s="36" t="e">
        <f>IF(SUM(F18:K18)=0,SUMIFS($L19:$L$394,$B19:$B$394,$B18,$A19:$A$394,$A18),I18*K18)</f>
        <v>#N/A</v>
      </c>
      <c r="N18" s="47" t="s">
        <v>12</v>
      </c>
      <c r="O18" s="24" t="str">
        <v>TRIPLEX INTERMEDIÁRIO</v>
      </c>
      <c r="P18" s="50">
        <f t="shared" si="0"/>
        <v>6</v>
      </c>
      <c r="Q18" s="50">
        <f t="shared" si="0"/>
        <v>2</v>
      </c>
      <c r="R18" s="51">
        <f t="shared" si="1"/>
        <v>2</v>
      </c>
    </row>
    <row r="19" spans="1:18" outlineLevel="1">
      <c r="A19" s="21" t="str">
        <f t="shared" si="2"/>
        <v>GERAL</v>
      </c>
      <c r="B19" s="21" t="str">
        <f t="shared" si="3"/>
        <v>TIPO 03 C</v>
      </c>
      <c r="C19" s="21" t="s">
        <v>44</v>
      </c>
      <c r="D19" s="55" t="s">
        <v>43</v>
      </c>
      <c r="E19" s="21" t="s">
        <v>21</v>
      </c>
      <c r="F19" s="22">
        <v>6</v>
      </c>
      <c r="G19" s="22">
        <v>9</v>
      </c>
      <c r="H19" s="26">
        <v>2</v>
      </c>
      <c r="I19" s="22">
        <f t="shared" si="4"/>
        <v>108</v>
      </c>
      <c r="J19" s="22" t="s">
        <v>26</v>
      </c>
      <c r="K19" s="23" t="e">
        <f>_xlfn.XLOOKUP($E19,PREÇO!$C$6:$C$89,PREÇO!$E$6:$E$89)</f>
        <v>#N/A</v>
      </c>
      <c r="L19" s="54" t="e">
        <f>IF(SUM(F19:K19)=0,SUMIFS($L36:$L$394,$B36:$B$394,$B19,$A36:$A$394,$A19),I19*K19)</f>
        <v>#N/A</v>
      </c>
      <c r="N19" s="47" t="s">
        <v>12</v>
      </c>
      <c r="O19" s="24" t="str">
        <v>TRIPLEX SUPERIOR</v>
      </c>
      <c r="P19" s="50">
        <f t="shared" si="0"/>
        <v>8</v>
      </c>
      <c r="Q19" s="50">
        <f t="shared" si="0"/>
        <v>0</v>
      </c>
      <c r="R19" s="51">
        <f t="shared" si="1"/>
        <v>0</v>
      </c>
    </row>
    <row r="20" spans="1:18" ht="15.75" outlineLevel="1" thickBot="1">
      <c r="A20" s="21" t="str">
        <f>A19</f>
        <v>GERAL</v>
      </c>
      <c r="B20" s="21" t="str">
        <f>B19</f>
        <v>TIPO 03 C</v>
      </c>
      <c r="C20" s="21" t="s">
        <v>44</v>
      </c>
      <c r="D20" s="66" t="s">
        <v>43</v>
      </c>
      <c r="E20" s="66" t="s">
        <v>74</v>
      </c>
      <c r="F20" s="22">
        <v>1</v>
      </c>
      <c r="G20" s="22">
        <v>9</v>
      </c>
      <c r="H20" s="26">
        <v>2</v>
      </c>
      <c r="I20" s="22">
        <f>F20*G20*H20</f>
        <v>18</v>
      </c>
      <c r="J20" s="22" t="s">
        <v>26</v>
      </c>
      <c r="K20" s="23" t="e">
        <f>_xlfn.XLOOKUP($E20,PREÇO!$C$6:$C$89,PREÇO!$E$6:$E$89)</f>
        <v>#N/A</v>
      </c>
      <c r="L20" s="54" t="e">
        <f>IF(SUM(F20:K20)=0,SUMIFS($L22:$L$394,$B22:$B$394,$B20,$A22:$A$394,$A20),I20*K20)</f>
        <v>#N/A</v>
      </c>
      <c r="N20" s="47" t="s">
        <v>12</v>
      </c>
      <c r="O20" s="24" t="str">
        <v>LAZER RESIDENCIAL 01</v>
      </c>
      <c r="P20" s="50">
        <f t="shared" si="0"/>
        <v>10</v>
      </c>
      <c r="Q20" s="50">
        <f t="shared" si="0"/>
        <v>1</v>
      </c>
      <c r="R20" s="51">
        <f t="shared" si="1"/>
        <v>1</v>
      </c>
    </row>
    <row r="21" spans="1:18" ht="15.75" thickTop="1">
      <c r="A21" s="56" t="s">
        <v>12</v>
      </c>
      <c r="B21" s="67" t="s">
        <v>29</v>
      </c>
      <c r="C21" s="31"/>
      <c r="D21" s="32"/>
      <c r="E21" s="32"/>
      <c r="F21" s="33"/>
      <c r="G21" s="33"/>
      <c r="H21" s="33"/>
      <c r="I21" s="34"/>
      <c r="J21" s="33"/>
      <c r="K21" s="35"/>
      <c r="L21" s="36" t="e">
        <f>IF(SUM(F21:K21)=0,SUMIFS($L22:$L$394,$B22:$B$394,$B21,$A22:$A$394,$A21),I21*K21)</f>
        <v>#N/A</v>
      </c>
      <c r="N21" s="47" t="s">
        <v>12</v>
      </c>
      <c r="O21" s="24" t="str">
        <v>LAZER RESIDENCIAL 02</v>
      </c>
      <c r="P21" s="50">
        <f t="shared" si="0"/>
        <v>7</v>
      </c>
      <c r="Q21" s="50">
        <f t="shared" si="0"/>
        <v>1</v>
      </c>
      <c r="R21" s="51">
        <f t="shared" si="1"/>
        <v>1</v>
      </c>
    </row>
    <row r="22" spans="1:18" outlineLevel="1">
      <c r="A22" s="21" t="str">
        <f t="shared" si="2"/>
        <v>GERAL</v>
      </c>
      <c r="B22" s="21" t="str">
        <f t="shared" si="3"/>
        <v>TIPO 04 A</v>
      </c>
      <c r="C22" s="21" t="s">
        <v>44</v>
      </c>
      <c r="D22" s="55" t="s">
        <v>43</v>
      </c>
      <c r="E22" s="21" t="s">
        <v>21</v>
      </c>
      <c r="F22" s="22">
        <v>6</v>
      </c>
      <c r="G22" s="22">
        <v>10</v>
      </c>
      <c r="H22" s="26">
        <v>2</v>
      </c>
      <c r="I22" s="22">
        <f t="shared" si="4"/>
        <v>120</v>
      </c>
      <c r="J22" s="22" t="s">
        <v>26</v>
      </c>
      <c r="K22" s="23" t="e">
        <f>_xlfn.XLOOKUP($E22,PREÇO!$C$6:$C$89,PREÇO!$E$6:$E$89)</f>
        <v>#N/A</v>
      </c>
      <c r="L22" s="54" t="e">
        <f>IF(SUM(F22:K22)=0,SUMIFS($L33:$L$394,$B33:$B$394,$B22,$A33:$A$394,$A22),I22*K22)</f>
        <v>#N/A</v>
      </c>
      <c r="N22" s="47" t="s">
        <v>12</v>
      </c>
      <c r="O22" s="24" t="str">
        <v>LAZER RESIDENCIAL 03</v>
      </c>
      <c r="P22" s="50">
        <f t="shared" si="0"/>
        <v>5</v>
      </c>
      <c r="Q22" s="50">
        <f t="shared" si="0"/>
        <v>1</v>
      </c>
      <c r="R22" s="51">
        <f t="shared" si="1"/>
        <v>1</v>
      </c>
    </row>
    <row r="23" spans="1:18" ht="15.75" outlineLevel="1" thickBot="1">
      <c r="A23" s="21" t="str">
        <f>A22</f>
        <v>GERAL</v>
      </c>
      <c r="B23" s="21" t="str">
        <f>B22</f>
        <v>TIPO 04 A</v>
      </c>
      <c r="C23" s="21" t="s">
        <v>44</v>
      </c>
      <c r="D23" s="66" t="s">
        <v>43</v>
      </c>
      <c r="E23" s="66" t="s">
        <v>74</v>
      </c>
      <c r="F23" s="22">
        <v>1</v>
      </c>
      <c r="G23" s="22">
        <v>10</v>
      </c>
      <c r="H23" s="26">
        <v>2</v>
      </c>
      <c r="I23" s="22">
        <f>F23*G23*H23</f>
        <v>20</v>
      </c>
      <c r="J23" s="22" t="s">
        <v>26</v>
      </c>
      <c r="K23" s="23" t="e">
        <f>_xlfn.XLOOKUP($E23,PREÇO!$C$6:$C$89,PREÇO!$E$6:$E$89)</f>
        <v>#N/A</v>
      </c>
      <c r="L23" s="54" t="e">
        <f>IF(SUM(F23:K23)=0,SUMIFS($L25:$L$394,$B25:$B$394,$B23,$A25:$A$394,$A23),I23*K23)</f>
        <v>#N/A</v>
      </c>
      <c r="N23" s="47" t="s">
        <v>12</v>
      </c>
      <c r="O23" s="24" t="str">
        <v>LAZER RESIDENCIAL 04</v>
      </c>
      <c r="P23" s="50">
        <f t="shared" si="0"/>
        <v>7</v>
      </c>
      <c r="Q23" s="50">
        <f t="shared" si="0"/>
        <v>1</v>
      </c>
      <c r="R23" s="51">
        <f t="shared" si="1"/>
        <v>1</v>
      </c>
    </row>
    <row r="24" spans="1:18" ht="15.75" thickTop="1">
      <c r="A24" s="56" t="s">
        <v>12</v>
      </c>
      <c r="B24" s="67" t="s">
        <v>30</v>
      </c>
      <c r="C24" s="31"/>
      <c r="D24" s="32"/>
      <c r="E24" s="32"/>
      <c r="F24" s="33"/>
      <c r="G24" s="33"/>
      <c r="H24" s="33"/>
      <c r="I24" s="34"/>
      <c r="J24" s="33"/>
      <c r="K24" s="35"/>
      <c r="L24" s="36" t="e">
        <f>IF(SUM(F24:K24)=0,SUMIFS($L25:$L$394,$B25:$B$394,$B24,$A25:$A$394,$A24),I24*K24)</f>
        <v>#N/A</v>
      </c>
      <c r="N24" s="47" t="s">
        <v>12</v>
      </c>
      <c r="O24" s="24" t="str">
        <v>LAZER RESIDENCIAL 05</v>
      </c>
      <c r="P24" s="50">
        <f t="shared" si="0"/>
        <v>8</v>
      </c>
      <c r="Q24" s="50">
        <f t="shared" si="0"/>
        <v>1</v>
      </c>
      <c r="R24" s="51">
        <f>SUM(Q24:Q24)</f>
        <v>1</v>
      </c>
    </row>
    <row r="25" spans="1:18" ht="15.75" outlineLevel="1" thickBot="1">
      <c r="A25" s="21" t="str">
        <f>A24</f>
        <v>GERAL</v>
      </c>
      <c r="B25" s="21" t="str">
        <f>B24</f>
        <v>TIPO 04 B</v>
      </c>
      <c r="C25" s="21" t="s">
        <v>44</v>
      </c>
      <c r="D25" s="55" t="s">
        <v>43</v>
      </c>
      <c r="E25" s="21" t="s">
        <v>21</v>
      </c>
      <c r="F25" s="22">
        <v>6</v>
      </c>
      <c r="G25" s="22">
        <v>36</v>
      </c>
      <c r="H25" s="26">
        <v>2</v>
      </c>
      <c r="I25" s="22">
        <f t="shared" si="4"/>
        <v>432</v>
      </c>
      <c r="J25" s="22" t="s">
        <v>26</v>
      </c>
      <c r="K25" s="23" t="e">
        <f>_xlfn.XLOOKUP($E25,PREÇO!$C$6:$C$89,PREÇO!$E$6:$E$89)</f>
        <v>#N/A</v>
      </c>
      <c r="L25" s="54" t="e">
        <f>IF(SUM(F25:K25)=0,SUMIFS($L36:$L$394,$B36:$B$394,$B25,$A36:$A$394,$A25),I25*K25)</f>
        <v>#N/A</v>
      </c>
      <c r="N25" s="48" t="s">
        <v>12</v>
      </c>
      <c r="O25" s="49" t="str">
        <v>LAZER RESIDENCIAL 06</v>
      </c>
      <c r="P25" s="52">
        <f t="shared" si="0"/>
        <v>6</v>
      </c>
      <c r="Q25" s="52">
        <f t="shared" si="0"/>
        <v>0</v>
      </c>
      <c r="R25" s="53">
        <f>SUM(Q25:Q25)</f>
        <v>0</v>
      </c>
    </row>
    <row r="26" spans="1:18" ht="15.75" outlineLevel="1" thickBot="1">
      <c r="A26" s="21" t="str">
        <f>A25</f>
        <v>GERAL</v>
      </c>
      <c r="B26" s="21" t="str">
        <f>B25</f>
        <v>TIPO 04 B</v>
      </c>
      <c r="C26" s="21" t="s">
        <v>44</v>
      </c>
      <c r="D26" s="66" t="s">
        <v>43</v>
      </c>
      <c r="E26" s="66" t="s">
        <v>74</v>
      </c>
      <c r="F26" s="22">
        <v>1</v>
      </c>
      <c r="G26" s="22">
        <v>36</v>
      </c>
      <c r="H26" s="26">
        <v>2</v>
      </c>
      <c r="I26" s="22">
        <f>F26*G26*H26</f>
        <v>72</v>
      </c>
      <c r="J26" s="22" t="s">
        <v>26</v>
      </c>
      <c r="K26" s="23" t="e">
        <f>_xlfn.XLOOKUP($E26,PREÇO!$C$6:$C$89,PREÇO!$E$6:$E$89)</f>
        <v>#N/A</v>
      </c>
      <c r="L26" s="54" t="e">
        <f>IF(SUM(F26:K26)=0,SUMIFS($L28:$L$394,$B28:$B$394,$B26,$A28:$A$394,$A26),I26*K26)</f>
        <v>#N/A</v>
      </c>
      <c r="N26"/>
      <c r="O26"/>
      <c r="P26"/>
      <c r="Q26"/>
      <c r="R26"/>
    </row>
    <row r="27" spans="1:18" ht="15.75" thickTop="1">
      <c r="A27" s="56" t="s">
        <v>12</v>
      </c>
      <c r="B27" s="67" t="s">
        <v>31</v>
      </c>
      <c r="C27" s="31"/>
      <c r="D27" s="32"/>
      <c r="E27" s="32"/>
      <c r="F27" s="33"/>
      <c r="G27" s="33"/>
      <c r="H27" s="33"/>
      <c r="I27" s="34"/>
      <c r="J27" s="33"/>
      <c r="K27" s="35"/>
      <c r="L27" s="36" t="e">
        <f>IF(SUM(F27:K27)=0,SUMIFS($L28:$L$394,$B28:$B$394,$B27,$A28:$A$394,$A27),I27*K27)</f>
        <v>#N/A</v>
      </c>
      <c r="N27"/>
      <c r="O27"/>
      <c r="P27"/>
      <c r="Q27"/>
      <c r="R27"/>
    </row>
    <row r="28" spans="1:18" outlineLevel="1">
      <c r="A28" s="21" t="str">
        <f t="shared" si="2"/>
        <v>GERAL</v>
      </c>
      <c r="B28" s="21" t="str">
        <f t="shared" si="3"/>
        <v>TIPO 04 C</v>
      </c>
      <c r="C28" s="21" t="s">
        <v>44</v>
      </c>
      <c r="D28" s="55" t="s">
        <v>43</v>
      </c>
      <c r="E28" s="21" t="s">
        <v>21</v>
      </c>
      <c r="F28" s="22">
        <v>6</v>
      </c>
      <c r="G28" s="22">
        <v>19</v>
      </c>
      <c r="H28" s="26">
        <v>2</v>
      </c>
      <c r="I28" s="22">
        <f t="shared" si="4"/>
        <v>228</v>
      </c>
      <c r="J28" s="22" t="s">
        <v>26</v>
      </c>
      <c r="K28" s="23" t="e">
        <f>_xlfn.XLOOKUP($E28,PREÇO!$C$6:$C$89,PREÇO!$E$6:$E$89)</f>
        <v>#N/A</v>
      </c>
      <c r="L28" s="54" t="e">
        <f>IF(SUM(F28:K28)=0,SUMIFS($L38:$L$394,$B38:$B$394,$B28,$A38:$A$394,$A28),I28*K28)</f>
        <v>#N/A</v>
      </c>
      <c r="N28"/>
      <c r="O28"/>
      <c r="P28"/>
      <c r="Q28"/>
      <c r="R28"/>
    </row>
    <row r="29" spans="1:18" ht="15.75" outlineLevel="1" thickBot="1">
      <c r="A29" s="21" t="str">
        <f>A28</f>
        <v>GERAL</v>
      </c>
      <c r="B29" s="21" t="str">
        <f>B28</f>
        <v>TIPO 04 C</v>
      </c>
      <c r="C29" s="21" t="s">
        <v>44</v>
      </c>
      <c r="D29" s="66" t="s">
        <v>43</v>
      </c>
      <c r="E29" s="66" t="s">
        <v>74</v>
      </c>
      <c r="F29" s="22">
        <v>1</v>
      </c>
      <c r="G29" s="22">
        <v>19</v>
      </c>
      <c r="H29" s="26">
        <v>2</v>
      </c>
      <c r="I29" s="22">
        <f>F29*G29*H29</f>
        <v>38</v>
      </c>
      <c r="J29" s="22" t="s">
        <v>26</v>
      </c>
      <c r="K29" s="23" t="e">
        <f>_xlfn.XLOOKUP($E29,PREÇO!$C$6:$C$89,PREÇO!$E$6:$E$89)</f>
        <v>#N/A</v>
      </c>
      <c r="L29" s="54" t="e">
        <f>IF(SUM(F29:K29)=0,SUMIFS($L31:$L$394,$B31:$B$394,$B29,$A31:$A$394,$A29),I29*K29)</f>
        <v>#N/A</v>
      </c>
      <c r="N29"/>
      <c r="O29"/>
      <c r="P29"/>
      <c r="Q29"/>
      <c r="R29"/>
    </row>
    <row r="30" spans="1:18" ht="15.75" thickTop="1">
      <c r="A30" s="56" t="s">
        <v>12</v>
      </c>
      <c r="B30" s="67" t="s">
        <v>32</v>
      </c>
      <c r="C30" s="31"/>
      <c r="D30" s="32"/>
      <c r="E30" s="32"/>
      <c r="F30" s="33"/>
      <c r="G30" s="33"/>
      <c r="H30" s="33"/>
      <c r="I30" s="34"/>
      <c r="J30" s="33"/>
      <c r="K30" s="35"/>
      <c r="L30" s="36" t="e">
        <f>IF(SUM(F30:K30)=0,SUMIFS($L31:$L$394,$B31:$B$394,$B30,$A31:$A$394,$A30),I30*K30)</f>
        <v>#N/A</v>
      </c>
      <c r="N30"/>
      <c r="O30"/>
      <c r="P30"/>
      <c r="Q30"/>
      <c r="R30"/>
    </row>
    <row r="31" spans="1:18" outlineLevel="1">
      <c r="A31" s="21" t="str">
        <f t="shared" si="2"/>
        <v>GERAL</v>
      </c>
      <c r="B31" s="21" t="str">
        <f t="shared" si="3"/>
        <v>TIPO 04 D</v>
      </c>
      <c r="C31" s="21" t="s">
        <v>44</v>
      </c>
      <c r="D31" s="55" t="s">
        <v>43</v>
      </c>
      <c r="E31" s="21" t="s">
        <v>21</v>
      </c>
      <c r="F31" s="22">
        <v>6</v>
      </c>
      <c r="G31" s="22">
        <v>9</v>
      </c>
      <c r="H31" s="26">
        <v>2</v>
      </c>
      <c r="I31" s="22">
        <f t="shared" si="4"/>
        <v>108</v>
      </c>
      <c r="J31" s="22" t="s">
        <v>26</v>
      </c>
      <c r="K31" s="23" t="e">
        <f>_xlfn.XLOOKUP($E31,PREÇO!$C$6:$C$89,PREÇO!$E$6:$E$89)</f>
        <v>#N/A</v>
      </c>
      <c r="L31" s="54" t="e">
        <f>IF(SUM(F31:K31)=0,SUMIFS($L40:$L$394,$B40:$B$394,$B31,$A40:$A$394,$A31),I31*K31)</f>
        <v>#N/A</v>
      </c>
      <c r="N31"/>
      <c r="O31"/>
      <c r="P31"/>
      <c r="Q31"/>
      <c r="R31"/>
    </row>
    <row r="32" spans="1:18" ht="15.75" outlineLevel="1" thickBot="1">
      <c r="A32" s="21" t="str">
        <f>A31</f>
        <v>GERAL</v>
      </c>
      <c r="B32" s="21" t="str">
        <f>B31</f>
        <v>TIPO 04 D</v>
      </c>
      <c r="C32" s="21" t="s">
        <v>44</v>
      </c>
      <c r="D32" s="66" t="s">
        <v>43</v>
      </c>
      <c r="E32" s="66" t="s">
        <v>74</v>
      </c>
      <c r="F32" s="22">
        <v>1</v>
      </c>
      <c r="G32" s="22">
        <v>9</v>
      </c>
      <c r="H32" s="26">
        <v>2</v>
      </c>
      <c r="I32" s="22">
        <f>F32*G32*H32</f>
        <v>18</v>
      </c>
      <c r="J32" s="22" t="s">
        <v>26</v>
      </c>
      <c r="K32" s="23" t="e">
        <f>_xlfn.XLOOKUP($E32,PREÇO!$C$6:$C$89,PREÇO!$E$6:$E$89)</f>
        <v>#N/A</v>
      </c>
      <c r="L32" s="54" t="e">
        <f>IF(SUM(F32:K32)=0,SUMIFS($L34:$L$394,$B34:$B$394,$B32,$A34:$A$394,$A32),I32*K32)</f>
        <v>#N/A</v>
      </c>
      <c r="N32"/>
      <c r="O32"/>
      <c r="P32"/>
      <c r="Q32"/>
      <c r="R32"/>
    </row>
    <row r="33" spans="1:18" ht="15.75" thickTop="1">
      <c r="A33" s="56" t="s">
        <v>12</v>
      </c>
      <c r="B33" s="56" t="s">
        <v>27</v>
      </c>
      <c r="C33" s="31"/>
      <c r="D33" s="32"/>
      <c r="E33" s="32"/>
      <c r="F33" s="33"/>
      <c r="G33" s="33"/>
      <c r="H33" s="33"/>
      <c r="I33" s="33"/>
      <c r="J33" s="33"/>
      <c r="K33" s="35"/>
      <c r="L33" s="36" t="e">
        <f>IF(SUM(F33:K33)=0,SUMIFS($L34:$L$394,$B34:$B$394,$B33,$A34:$A$394,$A33),I33*K33)</f>
        <v>#N/A</v>
      </c>
      <c r="N33"/>
      <c r="O33"/>
      <c r="P33"/>
      <c r="Q33"/>
      <c r="R33"/>
    </row>
    <row r="34" spans="1:18" outlineLevel="1">
      <c r="A34" s="21" t="str">
        <f t="shared" si="2"/>
        <v>GERAL</v>
      </c>
      <c r="B34" s="21" t="str">
        <f t="shared" si="3"/>
        <v>DUPLEX INFERIOR</v>
      </c>
      <c r="C34" s="21" t="s">
        <v>44</v>
      </c>
      <c r="D34" s="55" t="s">
        <v>43</v>
      </c>
      <c r="E34" s="21" t="s">
        <v>21</v>
      </c>
      <c r="F34" s="22">
        <v>3</v>
      </c>
      <c r="G34" s="22">
        <v>2</v>
      </c>
      <c r="H34" s="26">
        <v>2</v>
      </c>
      <c r="I34" s="22">
        <f t="shared" si="4"/>
        <v>12</v>
      </c>
      <c r="J34" s="22" t="s">
        <v>26</v>
      </c>
      <c r="K34" s="23" t="e">
        <f>_xlfn.XLOOKUP($E34,PREÇO!$C$6:$C$89,PREÇO!$E$6:$E$89)</f>
        <v>#N/A</v>
      </c>
      <c r="L34" s="54" t="e">
        <f>IF(SUM(F34:K34)=0,SUMIFS($L36:$L$394,$B36:$B$394,$B34,$A36:$A$394,$A34),I34*K34)</f>
        <v>#N/A</v>
      </c>
      <c r="N34"/>
      <c r="O34"/>
      <c r="P34"/>
      <c r="Q34"/>
      <c r="R34"/>
    </row>
    <row r="35" spans="1:18" ht="15.75" outlineLevel="1" thickBot="1">
      <c r="A35" s="21" t="str">
        <f>A34</f>
        <v>GERAL</v>
      </c>
      <c r="B35" s="21" t="str">
        <f>B34</f>
        <v>DUPLEX INFERIOR</v>
      </c>
      <c r="C35" s="21" t="s">
        <v>44</v>
      </c>
      <c r="D35" s="66" t="s">
        <v>43</v>
      </c>
      <c r="E35" s="66" t="s">
        <v>74</v>
      </c>
      <c r="F35" s="22">
        <v>1</v>
      </c>
      <c r="G35" s="22">
        <v>2</v>
      </c>
      <c r="H35" s="26">
        <v>2</v>
      </c>
      <c r="I35" s="22">
        <f>F35*G35*H35</f>
        <v>4</v>
      </c>
      <c r="J35" s="22" t="s">
        <v>26</v>
      </c>
      <c r="K35" s="23" t="e">
        <f>_xlfn.XLOOKUP($E35,PREÇO!$C$6:$C$89,PREÇO!$E$6:$E$89)</f>
        <v>#N/A</v>
      </c>
      <c r="L35" s="54" t="e">
        <f>IF(SUM(F35:K35)=0,SUMIFS($L37:$L$394,$B37:$B$394,$B35,$A37:$A$394,$A35),I35*K35)</f>
        <v>#N/A</v>
      </c>
      <c r="N35" s="86"/>
      <c r="O35" s="86"/>
      <c r="P35" s="87"/>
      <c r="Q35" s="87"/>
      <c r="R35" s="87"/>
    </row>
    <row r="36" spans="1:18" ht="15.75" thickTop="1">
      <c r="A36" s="56" t="s">
        <v>12</v>
      </c>
      <c r="B36" s="67" t="s">
        <v>33</v>
      </c>
      <c r="C36" s="31"/>
      <c r="D36" s="32"/>
      <c r="E36" s="32"/>
      <c r="F36" s="33"/>
      <c r="G36" s="33"/>
      <c r="H36" s="33"/>
      <c r="I36" s="33"/>
      <c r="J36" s="33"/>
      <c r="K36" s="35"/>
      <c r="L36" s="36" t="e">
        <f>IF(SUM(F36:K36)=0,SUMIFS($L37:$L$394,$B37:$B$394,$B36,$A37:$A$394,$A36),I36*K36)</f>
        <v>#N/A</v>
      </c>
      <c r="N36"/>
      <c r="O36"/>
      <c r="P36"/>
      <c r="Q36"/>
      <c r="R36"/>
    </row>
    <row r="37" spans="1:18" ht="15.75" outlineLevel="1" thickBot="1">
      <c r="A37" s="21" t="str">
        <f t="shared" si="2"/>
        <v>GERAL</v>
      </c>
      <c r="B37" s="21" t="str">
        <f t="shared" si="3"/>
        <v>DUPLEX SUPERIOR</v>
      </c>
      <c r="C37" s="21" t="s">
        <v>44</v>
      </c>
      <c r="D37" s="55" t="s">
        <v>43</v>
      </c>
      <c r="E37" s="21" t="s">
        <v>21</v>
      </c>
      <c r="F37" s="22">
        <v>5</v>
      </c>
      <c r="G37" s="22">
        <v>2</v>
      </c>
      <c r="H37" s="26">
        <v>2</v>
      </c>
      <c r="I37" s="22">
        <f t="shared" si="4"/>
        <v>20</v>
      </c>
      <c r="J37" s="22" t="s">
        <v>26</v>
      </c>
      <c r="K37" s="23" t="e">
        <f>_xlfn.XLOOKUP($E37,PREÇO!$C$6:$C$89,PREÇO!$E$6:$E$89)</f>
        <v>#N/A</v>
      </c>
      <c r="L37" s="54" t="e">
        <f>IF(SUM(F37:K37)=0,SUMIFS($L38:$L$394,$B38:$B$394,$B37,$A38:$A$394,$A37),I37*K37)</f>
        <v>#N/A</v>
      </c>
      <c r="N37"/>
      <c r="O37"/>
      <c r="P37"/>
      <c r="Q37"/>
      <c r="R37"/>
    </row>
    <row r="38" spans="1:18" ht="15.75" thickTop="1">
      <c r="A38" s="56" t="s">
        <v>12</v>
      </c>
      <c r="B38" s="67" t="s">
        <v>34</v>
      </c>
      <c r="C38" s="31"/>
      <c r="D38" s="32"/>
      <c r="E38" s="32"/>
      <c r="F38" s="33"/>
      <c r="G38" s="33"/>
      <c r="H38" s="33"/>
      <c r="I38" s="33"/>
      <c r="J38" s="33"/>
      <c r="K38" s="35"/>
      <c r="L38" s="36" t="e">
        <f>IF(SUM(F38:K38)=0,SUMIFS($L39:$L$394,$B39:$B$394,$B38,$A39:$A$394,$A38),I38*K38)</f>
        <v>#N/A</v>
      </c>
      <c r="N38"/>
      <c r="O38"/>
      <c r="P38"/>
      <c r="Q38"/>
      <c r="R38"/>
    </row>
    <row r="39" spans="1:18" ht="15.75" outlineLevel="1" thickBot="1">
      <c r="A39" s="21" t="str">
        <f t="shared" si="2"/>
        <v>GERAL</v>
      </c>
      <c r="B39" s="21" t="str">
        <f t="shared" si="3"/>
        <v>TRIPLEX INFERIOR</v>
      </c>
      <c r="C39" s="21" t="s">
        <v>44</v>
      </c>
      <c r="D39" s="55" t="s">
        <v>43</v>
      </c>
      <c r="E39" s="21" t="s">
        <v>21</v>
      </c>
      <c r="F39" s="22">
        <v>2</v>
      </c>
      <c r="G39" s="22">
        <v>1</v>
      </c>
      <c r="H39" s="26">
        <v>2</v>
      </c>
      <c r="I39" s="22">
        <f t="shared" si="4"/>
        <v>4</v>
      </c>
      <c r="J39" s="22" t="s">
        <v>26</v>
      </c>
      <c r="K39" s="23" t="e">
        <f>_xlfn.XLOOKUP($E39,PREÇO!$C$6:$C$89,PREÇO!$E$6:$E$89)</f>
        <v>#N/A</v>
      </c>
      <c r="L39" s="54" t="e">
        <f>IF(SUM(F39:K39)=0,SUMIFS($L40:$L$394,$B40:$B$394,$B39,$A40:$A$394,$A39),I39*K39)</f>
        <v>#N/A</v>
      </c>
      <c r="N39"/>
      <c r="O39"/>
      <c r="P39"/>
      <c r="Q39"/>
      <c r="R39"/>
    </row>
    <row r="40" spans="1:18" ht="15.75" thickTop="1">
      <c r="A40" s="56" t="s">
        <v>12</v>
      </c>
      <c r="B40" s="67" t="s">
        <v>35</v>
      </c>
      <c r="C40" s="31"/>
      <c r="D40" s="32"/>
      <c r="E40" s="32"/>
      <c r="F40" s="33"/>
      <c r="G40" s="33"/>
      <c r="H40" s="33"/>
      <c r="I40" s="33"/>
      <c r="J40" s="33"/>
      <c r="K40" s="35"/>
      <c r="L40" s="36" t="e">
        <f>IF(SUM(F40:K40)=0,SUMIFS($L41:$L$394,$B41:$B$394,$B40,$A41:$A$394,$A40),I40*K40)</f>
        <v>#N/A</v>
      </c>
      <c r="N40"/>
      <c r="O40"/>
      <c r="P40"/>
      <c r="Q40"/>
      <c r="R40"/>
    </row>
    <row r="41" spans="1:18" outlineLevel="1">
      <c r="A41" s="21" t="str">
        <f t="shared" si="2"/>
        <v>GERAL</v>
      </c>
      <c r="B41" s="21" t="str">
        <f t="shared" si="3"/>
        <v>TRIPLEX INTERMEDIÁRIO</v>
      </c>
      <c r="C41" s="21" t="s">
        <v>44</v>
      </c>
      <c r="D41" s="55" t="s">
        <v>43</v>
      </c>
      <c r="E41" s="21" t="s">
        <v>21</v>
      </c>
      <c r="F41" s="22">
        <v>3</v>
      </c>
      <c r="G41" s="22">
        <v>1</v>
      </c>
      <c r="H41" s="26">
        <v>2</v>
      </c>
      <c r="I41" s="22">
        <f t="shared" si="4"/>
        <v>6</v>
      </c>
      <c r="J41" s="22" t="s">
        <v>26</v>
      </c>
      <c r="K41" s="23" t="e">
        <f>_xlfn.XLOOKUP($E41,PREÇO!$C$6:$C$89,PREÇO!$E$6:$E$89)</f>
        <v>#N/A</v>
      </c>
      <c r="L41" s="54" t="e">
        <f>IF(SUM(F41:K41)=0,SUMIFS($L45:$L$394,$B45:$B$394,$B41,$A45:$A$394,$A41),I41*K41)</f>
        <v>#N/A</v>
      </c>
      <c r="N41"/>
      <c r="O41"/>
      <c r="P41"/>
      <c r="Q41"/>
      <c r="R41"/>
    </row>
    <row r="42" spans="1:18" ht="15.75" outlineLevel="1" thickBot="1">
      <c r="A42" s="21" t="str">
        <f>A41</f>
        <v>GERAL</v>
      </c>
      <c r="B42" s="21" t="str">
        <f>B41</f>
        <v>TRIPLEX INTERMEDIÁRIO</v>
      </c>
      <c r="C42" s="21" t="s">
        <v>44</v>
      </c>
      <c r="D42" s="66" t="s">
        <v>43</v>
      </c>
      <c r="E42" s="66" t="s">
        <v>74</v>
      </c>
      <c r="F42" s="22">
        <v>1</v>
      </c>
      <c r="G42" s="22">
        <v>1</v>
      </c>
      <c r="H42" s="26">
        <v>2</v>
      </c>
      <c r="I42" s="22">
        <f>F42*G42*H42</f>
        <v>2</v>
      </c>
      <c r="J42" s="22" t="s">
        <v>26</v>
      </c>
      <c r="K42" s="23" t="e">
        <f>_xlfn.XLOOKUP($E42,PREÇO!$C$6:$C$89,PREÇO!$E$6:$E$89)</f>
        <v>#N/A</v>
      </c>
      <c r="L42" s="54" t="e">
        <f>IF(SUM(F42:K42)=0,SUMIFS($L44:$L$394,$B44:$B$394,$B42,$A44:$A$394,$A42),I42*K42)</f>
        <v>#N/A</v>
      </c>
      <c r="N42"/>
      <c r="O42"/>
      <c r="P42"/>
      <c r="Q42"/>
      <c r="R42"/>
    </row>
    <row r="43" spans="1:18" ht="15.75" thickTop="1">
      <c r="A43" s="56" t="s">
        <v>12</v>
      </c>
      <c r="B43" s="67" t="s">
        <v>36</v>
      </c>
      <c r="C43" s="31"/>
      <c r="D43" s="32"/>
      <c r="E43" s="32"/>
      <c r="F43" s="33"/>
      <c r="G43" s="33"/>
      <c r="H43" s="33"/>
      <c r="I43" s="33"/>
      <c r="J43" s="33"/>
      <c r="K43" s="35"/>
      <c r="L43" s="36" t="e">
        <f>IF(SUM(F43:K43)=0,SUMIFS($L44:$L$394,$B44:$B$394,$B43,$A44:$A$394,$A43),I43*K43)</f>
        <v>#N/A</v>
      </c>
      <c r="N43"/>
      <c r="O43"/>
      <c r="P43"/>
      <c r="Q43"/>
      <c r="R43"/>
    </row>
    <row r="44" spans="1:18" ht="15.75" outlineLevel="1" thickBot="1">
      <c r="A44" s="21" t="str">
        <f t="shared" si="2"/>
        <v>GERAL</v>
      </c>
      <c r="B44" s="21" t="str">
        <f t="shared" si="3"/>
        <v>TRIPLEX SUPERIOR</v>
      </c>
      <c r="C44" s="21" t="s">
        <v>44</v>
      </c>
      <c r="D44" s="55" t="s">
        <v>43</v>
      </c>
      <c r="E44" s="21" t="s">
        <v>21</v>
      </c>
      <c r="F44" s="22">
        <v>4</v>
      </c>
      <c r="G44" s="22">
        <v>1</v>
      </c>
      <c r="H44" s="26">
        <v>2</v>
      </c>
      <c r="I44" s="22">
        <f t="shared" si="4"/>
        <v>8</v>
      </c>
      <c r="J44" s="22" t="s">
        <v>26</v>
      </c>
      <c r="K44" s="23" t="e">
        <f>_xlfn.XLOOKUP($E44,PREÇO!$C$6:$C$89,PREÇO!$E$6:$E$89)</f>
        <v>#N/A</v>
      </c>
      <c r="L44" s="54" t="e">
        <f>IF(SUM(F44:K44)=0,SUMIFS($L48:$L$394,$B48:$B$394,$B44,$A48:$A$394,$A44),I44*K44)</f>
        <v>#N/A</v>
      </c>
      <c r="N44"/>
      <c r="O44"/>
      <c r="P44"/>
      <c r="Q44"/>
      <c r="R44"/>
    </row>
    <row r="45" spans="1:18" ht="15.75" thickTop="1">
      <c r="A45" s="56" t="s">
        <v>12</v>
      </c>
      <c r="B45" s="67" t="s">
        <v>37</v>
      </c>
      <c r="C45" s="31"/>
      <c r="D45" s="32"/>
      <c r="E45" s="32"/>
      <c r="F45" s="33"/>
      <c r="G45" s="33"/>
      <c r="H45" s="33"/>
      <c r="I45" s="33"/>
      <c r="J45" s="33"/>
      <c r="K45" s="35"/>
      <c r="L45" s="36" t="e">
        <f>IF(SUM(F45:K45)=0,SUMIFS($L46:$L$394,$B46:$B$394,$B45,$A46:$A$394,$A45),I45*K45)</f>
        <v>#N/A</v>
      </c>
      <c r="N45"/>
      <c r="O45"/>
      <c r="P45"/>
      <c r="Q45"/>
      <c r="R45"/>
    </row>
    <row r="46" spans="1:18" outlineLevel="1">
      <c r="A46" s="21" t="str">
        <f t="shared" si="2"/>
        <v>GERAL</v>
      </c>
      <c r="B46" s="21" t="str">
        <f t="shared" si="3"/>
        <v>LAZER RESIDENCIAL 01</v>
      </c>
      <c r="C46" s="21" t="s">
        <v>44</v>
      </c>
      <c r="D46" s="55" t="s">
        <v>43</v>
      </c>
      <c r="E46" s="21" t="s">
        <v>21</v>
      </c>
      <c r="F46" s="22">
        <v>10</v>
      </c>
      <c r="G46" s="22">
        <v>1</v>
      </c>
      <c r="H46" s="26">
        <v>0</v>
      </c>
      <c r="I46" s="22">
        <f>F46*G46</f>
        <v>10</v>
      </c>
      <c r="J46" s="22" t="s">
        <v>26</v>
      </c>
      <c r="K46" s="23" t="e">
        <f>_xlfn.XLOOKUP($E46,PREÇO!$C$6:$C$89,PREÇO!$E$6:$E$89)</f>
        <v>#N/A</v>
      </c>
      <c r="L46" s="54" t="e">
        <f>IF(SUM(F46:K46)=0,SUMIFS($L48:$L$394,$B48:$B$394,$B46,$A48:$A$394,$A46),I46*K46)</f>
        <v>#N/A</v>
      </c>
      <c r="N46"/>
      <c r="O46"/>
      <c r="P46"/>
      <c r="Q46"/>
      <c r="R46"/>
    </row>
    <row r="47" spans="1:18" ht="15.75" outlineLevel="1" thickBot="1">
      <c r="A47" s="21" t="str">
        <f>A46</f>
        <v>GERAL</v>
      </c>
      <c r="B47" s="21" t="str">
        <f>B46</f>
        <v>LAZER RESIDENCIAL 01</v>
      </c>
      <c r="C47" s="21" t="s">
        <v>44</v>
      </c>
      <c r="D47" s="66" t="s">
        <v>43</v>
      </c>
      <c r="E47" s="66" t="s">
        <v>74</v>
      </c>
      <c r="F47" s="22">
        <v>1</v>
      </c>
      <c r="G47" s="22">
        <v>1</v>
      </c>
      <c r="H47" s="26">
        <v>0</v>
      </c>
      <c r="I47" s="22">
        <f>F47*G47</f>
        <v>1</v>
      </c>
      <c r="J47" s="22" t="s">
        <v>26</v>
      </c>
      <c r="K47" s="23" t="e">
        <f>_xlfn.XLOOKUP($E47,PREÇO!$C$6:$C$89,PREÇO!$E$6:$E$89)</f>
        <v>#N/A</v>
      </c>
      <c r="L47" s="54" t="e">
        <f>IF(SUM(F47:K47)=0,SUMIFS($L49:$L$394,$B49:$B$394,$B47,$A49:$A$394,$A47),I47*K47)</f>
        <v>#N/A</v>
      </c>
      <c r="N47"/>
      <c r="O47"/>
      <c r="P47"/>
      <c r="Q47"/>
      <c r="R47"/>
    </row>
    <row r="48" spans="1:18" ht="15.75" thickTop="1">
      <c r="A48" s="56" t="s">
        <v>12</v>
      </c>
      <c r="B48" s="67" t="s">
        <v>38</v>
      </c>
      <c r="C48" s="31"/>
      <c r="D48" s="32"/>
      <c r="E48" s="32"/>
      <c r="F48" s="33"/>
      <c r="G48" s="33"/>
      <c r="H48" s="33"/>
      <c r="I48" s="33"/>
      <c r="J48" s="33"/>
      <c r="K48" s="35"/>
      <c r="L48" s="36" t="e">
        <f>IF(SUM(F48:K48)=0,SUMIFS($L49:$L$394,$B49:$B$394,$B48,$A49:$A$394,$A48),I48*K48)</f>
        <v>#N/A</v>
      </c>
      <c r="N48"/>
      <c r="O48"/>
      <c r="P48"/>
      <c r="Q48"/>
      <c r="R48"/>
    </row>
    <row r="49" spans="1:18" outlineLevel="1">
      <c r="A49" s="21" t="str">
        <f t="shared" si="2"/>
        <v>GERAL</v>
      </c>
      <c r="B49" s="21" t="str">
        <f t="shared" si="3"/>
        <v>LAZER RESIDENCIAL 02</v>
      </c>
      <c r="C49" s="21" t="s">
        <v>44</v>
      </c>
      <c r="D49" s="55" t="s">
        <v>43</v>
      </c>
      <c r="E49" s="21" t="s">
        <v>21</v>
      </c>
      <c r="F49" s="22">
        <v>7</v>
      </c>
      <c r="G49" s="22">
        <v>1</v>
      </c>
      <c r="H49" s="26">
        <v>0</v>
      </c>
      <c r="I49" s="22">
        <f>F49*G49</f>
        <v>7</v>
      </c>
      <c r="J49" s="22" t="s">
        <v>26</v>
      </c>
      <c r="K49" s="23" t="e">
        <f>_xlfn.XLOOKUP($E49,PREÇO!$C$6:$C$89,PREÇO!$E$6:$E$89)</f>
        <v>#N/A</v>
      </c>
      <c r="L49" s="54" t="e">
        <f>IF(SUM(F49:K49)=0,SUMIFS($L51:$L$394,$B51:$B$394,$B49,$A51:$A$394,$A49),I49*K49)</f>
        <v>#N/A</v>
      </c>
      <c r="N49"/>
      <c r="O49"/>
      <c r="P49"/>
      <c r="Q49"/>
      <c r="R49"/>
    </row>
    <row r="50" spans="1:18" ht="15.75" outlineLevel="1" thickBot="1">
      <c r="A50" s="21" t="str">
        <f>A49</f>
        <v>GERAL</v>
      </c>
      <c r="B50" s="21" t="str">
        <f>B49</f>
        <v>LAZER RESIDENCIAL 02</v>
      </c>
      <c r="C50" s="21" t="s">
        <v>44</v>
      </c>
      <c r="D50" s="66" t="s">
        <v>43</v>
      </c>
      <c r="E50" s="66" t="s">
        <v>74</v>
      </c>
      <c r="F50" s="22">
        <v>1</v>
      </c>
      <c r="G50" s="22">
        <v>1</v>
      </c>
      <c r="H50" s="26">
        <v>0</v>
      </c>
      <c r="I50" s="22">
        <f>F50*G50</f>
        <v>1</v>
      </c>
      <c r="J50" s="22" t="s">
        <v>26</v>
      </c>
      <c r="K50" s="23" t="e">
        <f>_xlfn.XLOOKUP($E50,PREÇO!$C$6:$C$89,PREÇO!$E$6:$E$89)</f>
        <v>#N/A</v>
      </c>
      <c r="L50" s="54" t="e">
        <f>IF(SUM(F50:K50)=0,SUMIFS($L52:$L$394,$B52:$B$394,$B50,$A52:$A$394,$A50),I50*K50)</f>
        <v>#N/A</v>
      </c>
      <c r="N50"/>
      <c r="O50"/>
      <c r="P50"/>
      <c r="Q50"/>
      <c r="R50"/>
    </row>
    <row r="51" spans="1:18" ht="15.75" thickTop="1">
      <c r="A51" s="56" t="s">
        <v>12</v>
      </c>
      <c r="B51" s="67" t="s">
        <v>39</v>
      </c>
      <c r="C51" s="31"/>
      <c r="D51" s="32"/>
      <c r="E51" s="32"/>
      <c r="F51" s="33"/>
      <c r="G51" s="33"/>
      <c r="H51" s="33"/>
      <c r="I51" s="33"/>
      <c r="J51" s="33"/>
      <c r="K51" s="35"/>
      <c r="L51" s="36" t="e">
        <f>IF(SUM(F51:K51)=0,SUMIFS($L52:$L$394,$B52:$B$394,$B51,$A52:$A$394,$A51),I51*K51)</f>
        <v>#N/A</v>
      </c>
      <c r="N51"/>
      <c r="O51"/>
      <c r="P51"/>
      <c r="Q51"/>
      <c r="R51"/>
    </row>
    <row r="52" spans="1:18" outlineLevel="1">
      <c r="A52" s="21" t="str">
        <f t="shared" si="2"/>
        <v>GERAL</v>
      </c>
      <c r="B52" s="21" t="str">
        <f t="shared" si="3"/>
        <v>LAZER RESIDENCIAL 03</v>
      </c>
      <c r="C52" s="21" t="s">
        <v>44</v>
      </c>
      <c r="D52" s="55" t="s">
        <v>43</v>
      </c>
      <c r="E52" s="21" t="s">
        <v>21</v>
      </c>
      <c r="F52" s="22">
        <v>5</v>
      </c>
      <c r="G52" s="22">
        <v>1</v>
      </c>
      <c r="H52" s="26">
        <v>0</v>
      </c>
      <c r="I52" s="22">
        <f>F52*G52</f>
        <v>5</v>
      </c>
      <c r="J52" s="22" t="s">
        <v>26</v>
      </c>
      <c r="K52" s="23" t="e">
        <f>_xlfn.XLOOKUP($E52,PREÇO!$C$6:$C$89,PREÇO!$E$6:$E$89)</f>
        <v>#N/A</v>
      </c>
      <c r="L52" s="54" t="e">
        <f>IF(SUM(F52:K52)=0,SUMIFS($L54:$L$394,$B54:$B$394,$B52,$A54:$A$394,$A52),I52*K52)</f>
        <v>#N/A</v>
      </c>
      <c r="N52"/>
      <c r="O52"/>
      <c r="P52"/>
      <c r="Q52"/>
      <c r="R52"/>
    </row>
    <row r="53" spans="1:18" ht="15.75" outlineLevel="1" thickBot="1">
      <c r="A53" s="21" t="str">
        <f>A52</f>
        <v>GERAL</v>
      </c>
      <c r="B53" s="21" t="str">
        <f>B52</f>
        <v>LAZER RESIDENCIAL 03</v>
      </c>
      <c r="C53" s="21" t="s">
        <v>44</v>
      </c>
      <c r="D53" s="66" t="s">
        <v>43</v>
      </c>
      <c r="E53" s="66" t="s">
        <v>74</v>
      </c>
      <c r="F53" s="22">
        <v>1</v>
      </c>
      <c r="G53" s="22">
        <v>1</v>
      </c>
      <c r="H53" s="26">
        <v>0</v>
      </c>
      <c r="I53" s="22">
        <f>F53*G53</f>
        <v>1</v>
      </c>
      <c r="J53" s="22" t="s">
        <v>26</v>
      </c>
      <c r="K53" s="23" t="e">
        <f>_xlfn.XLOOKUP($E53,PREÇO!$C$6:$C$89,PREÇO!$E$6:$E$89)</f>
        <v>#N/A</v>
      </c>
      <c r="L53" s="54" t="e">
        <f>IF(SUM(F53:K53)=0,SUMIFS($L55:$L$394,$B55:$B$394,$B53,$A55:$A$394,$A53),I53*K53)</f>
        <v>#N/A</v>
      </c>
      <c r="N53"/>
      <c r="O53"/>
      <c r="P53"/>
      <c r="Q53"/>
      <c r="R53"/>
    </row>
    <row r="54" spans="1:18" ht="15.75" thickTop="1">
      <c r="A54" s="56" t="s">
        <v>12</v>
      </c>
      <c r="B54" s="67" t="s">
        <v>40</v>
      </c>
      <c r="C54" s="31"/>
      <c r="D54" s="32"/>
      <c r="E54" s="32"/>
      <c r="F54" s="33"/>
      <c r="G54" s="33"/>
      <c r="H54" s="33"/>
      <c r="I54" s="33"/>
      <c r="J54" s="33"/>
      <c r="K54" s="35"/>
      <c r="L54" s="36" t="e">
        <f>IF(SUM(F54:K54)=0,SUMIFS($L55:$L$394,$B55:$B$394,$B54,$A55:$A$394,$A54),I54*K54)</f>
        <v>#N/A</v>
      </c>
      <c r="N54"/>
      <c r="O54"/>
      <c r="P54"/>
      <c r="Q54"/>
      <c r="R54"/>
    </row>
    <row r="55" spans="1:18" outlineLevel="1">
      <c r="A55" s="21" t="str">
        <f t="shared" si="2"/>
        <v>GERAL</v>
      </c>
      <c r="B55" s="21" t="str">
        <f t="shared" si="3"/>
        <v>LAZER RESIDENCIAL 04</v>
      </c>
      <c r="C55" s="21" t="s">
        <v>44</v>
      </c>
      <c r="D55" s="55" t="s">
        <v>43</v>
      </c>
      <c r="E55" s="21" t="s">
        <v>21</v>
      </c>
      <c r="F55" s="22">
        <v>7</v>
      </c>
      <c r="G55" s="22">
        <v>1</v>
      </c>
      <c r="H55" s="26">
        <v>0</v>
      </c>
      <c r="I55" s="22">
        <f>F55*G55</f>
        <v>7</v>
      </c>
      <c r="J55" s="22" t="s">
        <v>26</v>
      </c>
      <c r="K55" s="23" t="e">
        <f>_xlfn.XLOOKUP($E55,PREÇO!$C$6:$C$89,PREÇO!$E$6:$E$89)</f>
        <v>#N/A</v>
      </c>
      <c r="L55" s="54" t="e">
        <f>IF(SUM(F55:K55)=0,SUMIFS($L57:$L$394,$B57:$B$394,$B55,$A57:$A$394,$A55),I55*K55)</f>
        <v>#N/A</v>
      </c>
      <c r="N55"/>
      <c r="O55"/>
      <c r="P55"/>
      <c r="Q55"/>
      <c r="R55"/>
    </row>
    <row r="56" spans="1:18" ht="15.75" outlineLevel="1" thickBot="1">
      <c r="A56" s="21" t="str">
        <f>A55</f>
        <v>GERAL</v>
      </c>
      <c r="B56" s="21" t="str">
        <f>B55</f>
        <v>LAZER RESIDENCIAL 04</v>
      </c>
      <c r="C56" s="21" t="s">
        <v>44</v>
      </c>
      <c r="D56" s="66" t="s">
        <v>43</v>
      </c>
      <c r="E56" s="66" t="s">
        <v>74</v>
      </c>
      <c r="F56" s="22">
        <v>1</v>
      </c>
      <c r="G56" s="22">
        <v>1</v>
      </c>
      <c r="H56" s="26">
        <v>0</v>
      </c>
      <c r="I56" s="22">
        <f>F56*G56</f>
        <v>1</v>
      </c>
      <c r="J56" s="22" t="s">
        <v>26</v>
      </c>
      <c r="K56" s="23" t="e">
        <f>_xlfn.XLOOKUP($E56,PREÇO!$C$6:$C$89,PREÇO!$E$6:$E$89)</f>
        <v>#N/A</v>
      </c>
      <c r="L56" s="54" t="e">
        <f>IF(SUM(F56:K56)=0,SUMIFS($L58:$L$394,$B58:$B$394,$B56,$A58:$A$394,$A56),I56*K56)</f>
        <v>#N/A</v>
      </c>
      <c r="N56"/>
      <c r="O56"/>
      <c r="P56"/>
      <c r="Q56"/>
      <c r="R56"/>
    </row>
    <row r="57" spans="1:18" ht="15.75" thickTop="1">
      <c r="A57" s="56" t="s">
        <v>12</v>
      </c>
      <c r="B57" s="67" t="s">
        <v>41</v>
      </c>
      <c r="C57" s="31"/>
      <c r="D57" s="32"/>
      <c r="E57" s="32"/>
      <c r="F57" s="33"/>
      <c r="G57" s="33"/>
      <c r="H57" s="33"/>
      <c r="I57" s="33"/>
      <c r="J57" s="33"/>
      <c r="K57" s="35"/>
      <c r="L57" s="36" t="e">
        <f>IF(SUM(F57:K57)=0,SUMIFS($L58:$L$394,$B58:$B$394,$B57,$A58:$A$394,$A57),I57*K57)</f>
        <v>#N/A</v>
      </c>
      <c r="N57"/>
      <c r="O57"/>
      <c r="P57"/>
      <c r="Q57"/>
      <c r="R57"/>
    </row>
    <row r="58" spans="1:18" outlineLevel="1">
      <c r="A58" s="21" t="str">
        <f t="shared" si="2"/>
        <v>GERAL</v>
      </c>
      <c r="B58" s="21" t="str">
        <f t="shared" si="3"/>
        <v>LAZER RESIDENCIAL 05</v>
      </c>
      <c r="C58" s="21" t="s">
        <v>44</v>
      </c>
      <c r="D58" s="55" t="s">
        <v>43</v>
      </c>
      <c r="E58" s="21" t="s">
        <v>21</v>
      </c>
      <c r="F58" s="22">
        <v>8</v>
      </c>
      <c r="G58" s="22">
        <v>1</v>
      </c>
      <c r="H58" s="26">
        <v>0</v>
      </c>
      <c r="I58" s="22">
        <f>F58*G58</f>
        <v>8</v>
      </c>
      <c r="J58" s="22" t="s">
        <v>26</v>
      </c>
      <c r="K58" s="23" t="e">
        <f>_xlfn.XLOOKUP($E58,PREÇO!$C$6:$C$89,PREÇO!$E$6:$E$89)</f>
        <v>#N/A</v>
      </c>
      <c r="L58" s="54" t="e">
        <f>IF(SUM(F58:K58)=0,SUMIFS($L60:$L$394,$B60:$B$394,$B58,$A60:$A$394,$A58),I58*K58)</f>
        <v>#N/A</v>
      </c>
      <c r="N58"/>
      <c r="O58"/>
      <c r="P58"/>
      <c r="Q58"/>
      <c r="R58"/>
    </row>
    <row r="59" spans="1:18" ht="15.75" outlineLevel="1" thickBot="1">
      <c r="A59" s="21" t="str">
        <f>A58</f>
        <v>GERAL</v>
      </c>
      <c r="B59" s="21" t="str">
        <f>B58</f>
        <v>LAZER RESIDENCIAL 05</v>
      </c>
      <c r="C59" s="21" t="s">
        <v>44</v>
      </c>
      <c r="D59" s="66" t="s">
        <v>43</v>
      </c>
      <c r="E59" s="66" t="s">
        <v>74</v>
      </c>
      <c r="F59" s="22">
        <v>1</v>
      </c>
      <c r="G59" s="22">
        <v>1</v>
      </c>
      <c r="H59" s="26">
        <v>0</v>
      </c>
      <c r="I59" s="22">
        <f>F59*G59</f>
        <v>1</v>
      </c>
      <c r="J59" s="22" t="s">
        <v>26</v>
      </c>
      <c r="K59" s="23" t="e">
        <f>_xlfn.XLOOKUP($E59,PREÇO!$C$6:$C$89,PREÇO!$E$6:$E$89)</f>
        <v>#N/A</v>
      </c>
      <c r="L59" s="54" t="e">
        <f>IF(SUM(F59:K59)=0,SUMIFS($L61:$L$394,$B61:$B$394,$B59,$A61:$A$394,$A59),I59*K59)</f>
        <v>#N/A</v>
      </c>
      <c r="N59"/>
      <c r="O59"/>
      <c r="P59"/>
      <c r="Q59"/>
      <c r="R59"/>
    </row>
    <row r="60" spans="1:18" ht="15.75" thickTop="1">
      <c r="A60" s="56" t="s">
        <v>12</v>
      </c>
      <c r="B60" s="67" t="s">
        <v>42</v>
      </c>
      <c r="C60" s="31"/>
      <c r="D60" s="32"/>
      <c r="E60" s="32"/>
      <c r="F60" s="33"/>
      <c r="G60" s="33"/>
      <c r="H60" s="33"/>
      <c r="I60" s="33"/>
      <c r="J60" s="33"/>
      <c r="K60" s="35"/>
      <c r="L60" s="36" t="e">
        <f>IF(SUM(F60:K60)=0,SUMIFS($L61:$L$394,$B61:$B$394,$B60,$A61:$A$394,$A60),I60*K60)</f>
        <v>#N/A</v>
      </c>
      <c r="N60"/>
      <c r="O60"/>
      <c r="P60"/>
      <c r="Q60"/>
      <c r="R60"/>
    </row>
    <row r="61" spans="1:18" outlineLevel="1">
      <c r="A61" s="21" t="str">
        <f t="shared" si="2"/>
        <v>GERAL</v>
      </c>
      <c r="B61" s="21" t="str">
        <f t="shared" si="3"/>
        <v>LAZER RESIDENCIAL 06</v>
      </c>
      <c r="C61" s="21" t="s">
        <v>44</v>
      </c>
      <c r="D61" s="55" t="s">
        <v>43</v>
      </c>
      <c r="E61" s="21" t="s">
        <v>21</v>
      </c>
      <c r="F61" s="22">
        <v>6</v>
      </c>
      <c r="G61" s="22">
        <v>1</v>
      </c>
      <c r="H61" s="26">
        <v>0</v>
      </c>
      <c r="I61" s="22">
        <f>F61*G61</f>
        <v>6</v>
      </c>
      <c r="J61" s="22" t="s">
        <v>26</v>
      </c>
      <c r="K61" s="23" t="e">
        <f>_xlfn.XLOOKUP($E61,PREÇO!$C$6:$C$89,PREÇO!$E$6:$E$89)</f>
        <v>#N/A</v>
      </c>
      <c r="L61" s="54" t="e">
        <f>IF(SUM(F61:K61)=0,SUMIFS($L62:$L$394,$B62:$B$394,$B61,$A62:$A$394,$A61),I61*K61)</f>
        <v>#N/A</v>
      </c>
      <c r="N61"/>
      <c r="O61"/>
      <c r="P61"/>
      <c r="Q61"/>
      <c r="R61"/>
    </row>
    <row r="62" spans="1:18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8" t="s">
        <v>13</v>
      </c>
      <c r="L62" s="29" t="e">
        <f>SUMPRODUCT(I5:I61,K5:K61)</f>
        <v>#N/A</v>
      </c>
      <c r="N62"/>
      <c r="O62"/>
      <c r="P62" s="25"/>
      <c r="Q62" s="25"/>
    </row>
    <row r="63" spans="1:18">
      <c r="L63" s="30" t="e">
        <f>SUM(L5:L61)/2</f>
        <v>#N/A</v>
      </c>
      <c r="N63"/>
      <c r="O63"/>
      <c r="P63" s="25"/>
      <c r="Q63" s="25"/>
    </row>
    <row r="64" spans="1:18">
      <c r="N64"/>
      <c r="O64"/>
      <c r="P64" s="25"/>
      <c r="Q64" s="25"/>
    </row>
    <row r="65" spans="14:17">
      <c r="N65"/>
      <c r="O65"/>
      <c r="P65" s="25"/>
      <c r="Q65" s="25"/>
    </row>
    <row r="66" spans="14:17">
      <c r="N66"/>
      <c r="O66"/>
      <c r="P66" s="25"/>
      <c r="Q66" s="25"/>
    </row>
    <row r="67" spans="14:17">
      <c r="N67"/>
      <c r="O67"/>
      <c r="P67" s="25"/>
      <c r="Q67" s="25"/>
    </row>
    <row r="68" spans="14:17">
      <c r="N68"/>
      <c r="O68"/>
      <c r="P68" s="25"/>
      <c r="Q68" s="25"/>
    </row>
    <row r="69" spans="14:17">
      <c r="N69"/>
      <c r="O69"/>
      <c r="P69" s="25"/>
      <c r="Q69" s="25"/>
    </row>
    <row r="70" spans="14:17">
      <c r="N70"/>
      <c r="O70"/>
      <c r="P70" s="25"/>
      <c r="Q70" s="25"/>
    </row>
    <row r="71" spans="14:17">
      <c r="N71"/>
      <c r="O71"/>
      <c r="P71" s="25"/>
      <c r="Q71" s="25"/>
    </row>
    <row r="72" spans="14:17">
      <c r="N72"/>
      <c r="O72"/>
      <c r="P72" s="25"/>
      <c r="Q72" s="25"/>
    </row>
    <row r="73" spans="14:17">
      <c r="N73"/>
      <c r="O73"/>
      <c r="P73" s="25"/>
      <c r="Q73" s="25"/>
    </row>
    <row r="74" spans="14:17">
      <c r="N74"/>
      <c r="O74"/>
      <c r="P74" s="25"/>
      <c r="Q74" s="25"/>
    </row>
    <row r="75" spans="14:17">
      <c r="N75"/>
      <c r="O75"/>
      <c r="P75" s="25"/>
      <c r="Q75" s="25"/>
    </row>
    <row r="76" spans="14:17">
      <c r="N76"/>
      <c r="O76" s="25"/>
      <c r="P76" s="25"/>
      <c r="Q76" s="25"/>
    </row>
    <row r="77" spans="14:17">
      <c r="N77"/>
      <c r="O77" s="25"/>
      <c r="P77" s="25"/>
      <c r="Q77" s="25"/>
    </row>
    <row r="78" spans="14:17">
      <c r="N78"/>
      <c r="O78" s="25"/>
      <c r="P78" s="25"/>
      <c r="Q78" s="25"/>
    </row>
    <row r="79" spans="14:17">
      <c r="N79"/>
      <c r="O79" s="25"/>
      <c r="P79" s="25"/>
      <c r="Q79" s="25"/>
    </row>
    <row r="80" spans="14:17">
      <c r="N80"/>
      <c r="O80" s="25"/>
      <c r="P80" s="25"/>
      <c r="Q80" s="25"/>
    </row>
    <row r="81" spans="14:14">
      <c r="N81"/>
    </row>
    <row r="82" spans="14:14">
      <c r="N82"/>
    </row>
    <row r="83" spans="14:14">
      <c r="N83"/>
    </row>
    <row r="84" spans="14:14">
      <c r="N84"/>
    </row>
    <row r="85" spans="14:14">
      <c r="N85"/>
    </row>
    <row r="86" spans="14:14">
      <c r="N86"/>
    </row>
    <row r="87" spans="14:14">
      <c r="N87"/>
    </row>
    <row r="88" spans="14:14">
      <c r="N88"/>
    </row>
    <row r="89" spans="14:14">
      <c r="N89"/>
    </row>
    <row r="90" spans="14:14">
      <c r="N90"/>
    </row>
  </sheetData>
  <autoFilter ref="A5:L63" xr:uid="{C1CB23AC-E1EC-4E62-80B1-DF5421E7F0F4}"/>
  <mergeCells count="1">
    <mergeCell ref="A4:R4"/>
  </mergeCells>
  <phoneticPr fontId="8" type="noConversion"/>
  <pageMargins left="0.511811024" right="0.511811024" top="0.78740157499999996" bottom="0.78740157499999996" header="0.31496062000000002" footer="0.31496062000000002"/>
  <pageSetup paperSize="9" scale="19" orientation="portrait" horizontalDpi="360" verticalDpi="36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C2DC-7FDA-40AE-A7DA-F42603209DC1}">
  <dimension ref="A1:C24"/>
  <sheetViews>
    <sheetView workbookViewId="0">
      <selection activeCell="E11" sqref="E11"/>
    </sheetView>
  </sheetViews>
  <sheetFormatPr defaultRowHeight="12.75"/>
  <cols>
    <col min="1" max="1" width="33.28515625" style="81" customWidth="1"/>
    <col min="2" max="2" width="27.28515625" bestFit="1" customWidth="1"/>
    <col min="3" max="3" width="27.85546875" bestFit="1" customWidth="1"/>
  </cols>
  <sheetData>
    <row r="1" spans="1:3" ht="15">
      <c r="A1" s="77"/>
      <c r="B1" s="72" t="s">
        <v>48</v>
      </c>
      <c r="C1" s="73" t="str">
        <f>[4]CAPA!$C$2</f>
        <v>Senna Tower</v>
      </c>
    </row>
    <row r="2" spans="1:3" ht="15">
      <c r="A2" s="78"/>
      <c r="B2" s="69" t="s">
        <v>49</v>
      </c>
      <c r="C2" s="74" t="str">
        <f>[4]CAPA!$C$3</f>
        <v>FG</v>
      </c>
    </row>
    <row r="3" spans="1:3" ht="15.75" thickBot="1">
      <c r="A3" s="78"/>
      <c r="B3" s="70" t="s">
        <v>50</v>
      </c>
      <c r="C3" s="75" t="s">
        <v>51</v>
      </c>
    </row>
    <row r="4" spans="1:3">
      <c r="A4" s="76" t="s">
        <v>55</v>
      </c>
      <c r="B4" s="71" t="s">
        <v>52</v>
      </c>
      <c r="C4" s="71" t="s">
        <v>53</v>
      </c>
    </row>
    <row r="5" spans="1:3" ht="15">
      <c r="A5" s="79" t="s">
        <v>43</v>
      </c>
      <c r="B5" s="82" t="s">
        <v>22</v>
      </c>
      <c r="C5" s="84" t="s">
        <v>47</v>
      </c>
    </row>
    <row r="6" spans="1:3" ht="15">
      <c r="A6" s="79" t="s">
        <v>43</v>
      </c>
      <c r="B6" s="82" t="s">
        <v>23</v>
      </c>
      <c r="C6" s="84" t="s">
        <v>54</v>
      </c>
    </row>
    <row r="7" spans="1:3" ht="15">
      <c r="A7" s="79" t="s">
        <v>43</v>
      </c>
      <c r="B7" s="82" t="s">
        <v>24</v>
      </c>
      <c r="C7" s="84" t="s">
        <v>56</v>
      </c>
    </row>
    <row r="8" spans="1:3" ht="15">
      <c r="A8" s="79" t="s">
        <v>43</v>
      </c>
      <c r="B8" s="82" t="s">
        <v>25</v>
      </c>
      <c r="C8" s="84" t="s">
        <v>57</v>
      </c>
    </row>
    <row r="9" spans="1:3" ht="15">
      <c r="A9" s="79" t="s">
        <v>43</v>
      </c>
      <c r="B9" s="82" t="s">
        <v>28</v>
      </c>
      <c r="C9" s="84" t="s">
        <v>58</v>
      </c>
    </row>
    <row r="10" spans="1:3" ht="15">
      <c r="A10" s="79" t="s">
        <v>43</v>
      </c>
      <c r="B10" s="82" t="s">
        <v>29</v>
      </c>
      <c r="C10" s="84" t="s">
        <v>59</v>
      </c>
    </row>
    <row r="11" spans="1:3" ht="15">
      <c r="A11" s="79" t="s">
        <v>43</v>
      </c>
      <c r="B11" s="82" t="s">
        <v>30</v>
      </c>
      <c r="C11" s="84" t="s">
        <v>60</v>
      </c>
    </row>
    <row r="12" spans="1:3" ht="15">
      <c r="A12" s="79" t="s">
        <v>43</v>
      </c>
      <c r="B12" s="82" t="s">
        <v>31</v>
      </c>
      <c r="C12" s="84" t="s">
        <v>61</v>
      </c>
    </row>
    <row r="13" spans="1:3" ht="15">
      <c r="A13" s="79" t="s">
        <v>43</v>
      </c>
      <c r="B13" s="82" t="s">
        <v>32</v>
      </c>
      <c r="C13" s="84" t="s">
        <v>62</v>
      </c>
    </row>
    <row r="14" spans="1:3" ht="15">
      <c r="A14" s="79" t="s">
        <v>43</v>
      </c>
      <c r="B14" s="82" t="s">
        <v>27</v>
      </c>
      <c r="C14" s="84" t="s">
        <v>63</v>
      </c>
    </row>
    <row r="15" spans="1:3" ht="15">
      <c r="A15" s="79" t="s">
        <v>43</v>
      </c>
      <c r="B15" s="82" t="s">
        <v>33</v>
      </c>
      <c r="C15" s="84" t="s">
        <v>64</v>
      </c>
    </row>
    <row r="16" spans="1:3" ht="15">
      <c r="A16" s="79" t="s">
        <v>43</v>
      </c>
      <c r="B16" s="82" t="s">
        <v>34</v>
      </c>
      <c r="C16" s="84" t="s">
        <v>65</v>
      </c>
    </row>
    <row r="17" spans="1:3" ht="15">
      <c r="A17" s="79" t="s">
        <v>43</v>
      </c>
      <c r="B17" s="82" t="s">
        <v>35</v>
      </c>
      <c r="C17" s="84" t="s">
        <v>66</v>
      </c>
    </row>
    <row r="18" spans="1:3" ht="15">
      <c r="A18" s="79" t="s">
        <v>43</v>
      </c>
      <c r="B18" s="82" t="s">
        <v>36</v>
      </c>
      <c r="C18" s="84" t="s">
        <v>67</v>
      </c>
    </row>
    <row r="19" spans="1:3" ht="15">
      <c r="A19" s="79" t="s">
        <v>43</v>
      </c>
      <c r="B19" s="82" t="s">
        <v>37</v>
      </c>
      <c r="C19" s="84" t="s">
        <v>68</v>
      </c>
    </row>
    <row r="20" spans="1:3" ht="15">
      <c r="A20" s="79" t="s">
        <v>43</v>
      </c>
      <c r="B20" s="82" t="s">
        <v>38</v>
      </c>
      <c r="C20" s="84" t="s">
        <v>69</v>
      </c>
    </row>
    <row r="21" spans="1:3" ht="15">
      <c r="A21" s="79" t="s">
        <v>43</v>
      </c>
      <c r="B21" s="82" t="s">
        <v>39</v>
      </c>
      <c r="C21" s="84" t="s">
        <v>70</v>
      </c>
    </row>
    <row r="22" spans="1:3" ht="15">
      <c r="A22" s="79" t="s">
        <v>43</v>
      </c>
      <c r="B22" s="82" t="s">
        <v>40</v>
      </c>
      <c r="C22" s="84" t="s">
        <v>71</v>
      </c>
    </row>
    <row r="23" spans="1:3" ht="15">
      <c r="A23" s="79" t="s">
        <v>43</v>
      </c>
      <c r="B23" s="82" t="s">
        <v>41</v>
      </c>
      <c r="C23" s="84" t="s">
        <v>72</v>
      </c>
    </row>
    <row r="24" spans="1:3" ht="15">
      <c r="A24" s="80" t="s">
        <v>43</v>
      </c>
      <c r="B24" s="83" t="s">
        <v>42</v>
      </c>
      <c r="C24" s="85" t="s">
        <v>73</v>
      </c>
    </row>
  </sheetData>
  <phoneticPr fontId="8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PREÇO</vt:lpstr>
      <vt:lpstr>Aspiração</vt:lpstr>
      <vt:lpstr>Arquivos Utilizados</vt:lpstr>
      <vt:lpstr>Aspiração!Area_de_impressao</vt:lpstr>
      <vt:lpstr>PREÇO!Area_de_impressao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Valquira Vansquelhe</dc:creator>
  <cp:lastModifiedBy>Patricia Bragatto</cp:lastModifiedBy>
  <dcterms:created xsi:type="dcterms:W3CDTF">2025-01-31T20:10:43Z</dcterms:created>
  <dcterms:modified xsi:type="dcterms:W3CDTF">2026-02-02T12:42:48Z</dcterms:modified>
</cp:coreProperties>
</file>