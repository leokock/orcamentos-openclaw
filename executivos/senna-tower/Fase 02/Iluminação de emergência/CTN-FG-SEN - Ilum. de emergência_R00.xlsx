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Iluminação de emergência\"/>
    </mc:Choice>
  </mc:AlternateContent>
  <xr:revisionPtr revIDLastSave="0" documentId="13_ncr:1_{AB3F50C7-BE73-4EC8-B7E1-82675C1D5020}" xr6:coauthVersionLast="47" xr6:coauthVersionMax="47" xr10:uidLastSave="{00000000-0000-0000-0000-000000000000}"/>
  <bookViews>
    <workbookView xWindow="-120" yWindow="-120" windowWidth="38640" windowHeight="15720" activeTab="1" xr2:uid="{8DDAB284-196A-4DB7-8580-082C6E37228E}"/>
  </bookViews>
  <sheets>
    <sheet name="PREÇO" sheetId="3" r:id="rId1"/>
    <sheet name="Equipamentos de emergência" sheetId="1" r:id="rId2"/>
    <sheet name="Tipo 3A - x11" sheetId="22" state="hidden" r:id="rId3"/>
    <sheet name="Tipo 3B - x8" sheetId="23" state="hidden" r:id="rId4"/>
    <sheet name="Técnico 3" sheetId="24" state="hidden" r:id="rId5"/>
    <sheet name="Tipo 3C - x9" sheetId="25" state="hidden" r:id="rId6"/>
    <sheet name="Tipo 4A - x10" sheetId="26" state="hidden" r:id="rId7"/>
    <sheet name="Técnico 4" sheetId="27" state="hidden" r:id="rId8"/>
    <sheet name="Lazer 3" sheetId="28" state="hidden" r:id="rId9"/>
    <sheet name="Lazer 4" sheetId="29" state="hidden" r:id="rId10"/>
    <sheet name="Tipo 4B - x36" sheetId="30" state="hidden" r:id="rId11"/>
    <sheet name="Técnico 5" sheetId="31" state="hidden" r:id="rId12"/>
    <sheet name="Técnico 6" sheetId="32" state="hidden" r:id="rId13"/>
    <sheet name="Tipo 4C - x19" sheetId="33" state="hidden" r:id="rId14"/>
    <sheet name="Técnico 7" sheetId="34" state="hidden" r:id="rId15"/>
    <sheet name="Tipo 4D - x9" sheetId="35" state="hidden" r:id="rId16"/>
    <sheet name="Duplex Inferior - x2" sheetId="36" state="hidden" r:id="rId17"/>
    <sheet name="Duplex Superior - x2" sheetId="37" state="hidden" r:id="rId18"/>
    <sheet name="Triplex Inferior" sheetId="38" state="hidden" r:id="rId19"/>
    <sheet name="Triplex Intermed." sheetId="39" state="hidden" r:id="rId20"/>
    <sheet name="Triplex Superior" sheetId="40" state="hidden" r:id="rId21"/>
    <sheet name="Técnico 8" sheetId="41" state="hidden" r:id="rId22"/>
    <sheet name="Lazer 5" sheetId="42" state="hidden" r:id="rId23"/>
    <sheet name="Lazer 6" sheetId="43" state="hidden" r:id="rId24"/>
    <sheet name="Técnico 9" sheetId="44" state="hidden" r:id="rId25"/>
    <sheet name="Lazer 1" sheetId="15" state="hidden" r:id="rId26"/>
    <sheet name="Lazer 2" sheetId="16" state="hidden" r:id="rId27"/>
    <sheet name="Técnico 1" sheetId="17" state="hidden" r:id="rId28"/>
    <sheet name="Tipo 1 - x6" sheetId="18" state="hidden" r:id="rId29"/>
    <sheet name="Tipo 2 - x3" sheetId="19" state="hidden" r:id="rId30"/>
    <sheet name="Técnico 2" sheetId="20" state="hidden" r:id="rId31"/>
    <sheet name="Lazer Publ. 1" sheetId="12" state="hidden" r:id="rId32"/>
    <sheet name="Lazer Publ. 2" sheetId="14" state="hidden" r:id="rId33"/>
    <sheet name="Garagem 06" sheetId="11" state="hidden" r:id="rId34"/>
    <sheet name="Garagem 04" sheetId="9" state="hidden" r:id="rId35"/>
    <sheet name="Garagem 05" sheetId="10" state="hidden" r:id="rId36"/>
    <sheet name="Subsolo" sheetId="4" state="hidden" r:id="rId37"/>
    <sheet name="Térreo" sheetId="5" state="hidden" r:id="rId38"/>
    <sheet name="Garagem 01" sheetId="6" state="hidden" r:id="rId39"/>
    <sheet name="Garagem 02" sheetId="7" state="hidden" r:id="rId40"/>
    <sheet name="Garagem 03" sheetId="8" state="hidden" r:id="rId41"/>
  </sheets>
  <externalReferences>
    <externalReference r:id="rId42"/>
    <externalReference r:id="rId43"/>
    <externalReference r:id="rId44"/>
  </externalReferences>
  <definedNames>
    <definedName name="\0" localSheetId="1">#REF!</definedName>
    <definedName name="\0" localSheetId="0">#REF!</definedName>
    <definedName name="\0">#REF!</definedName>
    <definedName name="\1">#REF!</definedName>
    <definedName name="\a" localSheetId="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" hidden="1">'Equipamentos de emergência'!$A$6:$L$1262</definedName>
    <definedName name="_xlnm._FilterDatabase" localSheetId="0" hidden="1">PREÇO!$B$6:$E$60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">'[1]M.O.'!#REF!</definedName>
    <definedName name="aaaa" localSheetId="0">'[1]M.O.'!#REF!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">[2]Geral!#REF!</definedName>
    <definedName name="angelo" localSheetId="0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">#REF!</definedName>
    <definedName name="area" localSheetId="0">#REF!</definedName>
    <definedName name="area" hidden="1">{#N/A,#N/A,FALSE,"Plan1";#N/A,#N/A,FALSE,"Plan2"}</definedName>
    <definedName name="área">#REF!</definedName>
    <definedName name="Área_Construída">#REF!</definedName>
    <definedName name="_xlnm.Print_Area" localSheetId="1">'Equipamentos de emergência'!$A$1:$Y$1289</definedName>
    <definedName name="_xlnm.Print_Area" localSheetId="0">PREÇO!$A$1:$G$65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 localSheetId="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">#REF!</definedName>
    <definedName name="aux" localSheetId="0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1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">#REF!</definedName>
    <definedName name="BDI" localSheetId="0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">#REF!</definedName>
    <definedName name="Capa" localSheetId="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1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1">#REF!</definedName>
    <definedName name="D" localSheetId="0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 localSheetId="1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1">#REF!</definedName>
    <definedName name="DRE" localSheetId="0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 localSheetId="0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">#REF!</definedName>
    <definedName name="FFFFFFF" localSheetId="0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">#REF!</definedName>
    <definedName name="item_1" localSheetId="0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">'[1]M.O.'!#REF!</definedName>
    <definedName name="LS" localSheetId="0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">#REF!</definedName>
    <definedName name="MENU" localSheetId="0">#REF!</definedName>
    <definedName name="MENU">#REF!</definedName>
    <definedName name="MENU1" localSheetId="1">#REF!</definedName>
    <definedName name="MENU1" localSheetId="0">#REF!</definedName>
    <definedName name="MENU1">#REF!</definedName>
    <definedName name="MENU2" localSheetId="1">#REF!</definedName>
    <definedName name="MENU2" localSheetId="0">#REF!</definedName>
    <definedName name="MENU2">#REF!</definedName>
    <definedName name="MENU3" localSheetId="1">#REF!</definedName>
    <definedName name="MENU3" localSheetId="0">#REF!</definedName>
    <definedName name="MENU3">#REF!</definedName>
    <definedName name="MENU4" localSheetId="1">#REF!</definedName>
    <definedName name="MENU4" localSheetId="0">#REF!</definedName>
    <definedName name="MENU4">#REF!</definedName>
    <definedName name="MENU5" localSheetId="1">#REF!</definedName>
    <definedName name="MENU5" localSheetId="0">#REF!</definedName>
    <definedName name="MENU5">#REF!</definedName>
    <definedName name="MENU6" localSheetId="1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">#REF!</definedName>
    <definedName name="mo" localSheetId="0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">#REF!</definedName>
    <definedName name="OAE" localSheetId="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">[3]ParamValues!$A$1:$A$39</definedName>
    <definedName name="ParamValues1" localSheetId="0">[3]ParamValues!$A$1:$A$39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 localSheetId="1">#REF!</definedName>
    <definedName name="PAV" localSheetId="0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'[1]M.O.'!#REF!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1">#REF!</definedName>
    <definedName name="pr" localSheetId="0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 localSheetId="1">#REF!</definedName>
    <definedName name="PRE" localSheetId="0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 localSheetId="1">#REF!</definedName>
    <definedName name="Print_Area_MI" localSheetId="0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 localSheetId="1">#REF!</definedName>
    <definedName name="qe" localSheetId="0">#REF!</definedName>
    <definedName name="qe">#REF!</definedName>
    <definedName name="qee" localSheetId="1">#REF!</definedName>
    <definedName name="qee" localSheetId="0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 localSheetId="0">#REF!</definedName>
    <definedName name="reforsu">#REF!</definedName>
    <definedName name="REL_RJ">#REF!</definedName>
    <definedName name="REL_SP">#REF!</definedName>
    <definedName name="relat3">#REF!</definedName>
    <definedName name="ren" localSheetId="1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">#REF!</definedName>
    <definedName name="REV" localSheetId="0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">#REF!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 localSheetId="0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">#REF!</definedName>
    <definedName name="SIH" localSheetId="0">#REF!</definedName>
    <definedName name="SIH">#REF!</definedName>
    <definedName name="SISTEM1">#REF!</definedName>
    <definedName name="SISTEM2">#REF!</definedName>
    <definedName name="SIV" localSheetId="1">#REF!</definedName>
    <definedName name="SIV" localSheetId="0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>#REF!</definedName>
    <definedName name="ss" localSheetId="0">#REF!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 localSheetId="1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1">#REF!</definedName>
    <definedName name="tania" localSheetId="0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">#REF!</definedName>
    <definedName name="tc" localSheetId="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1">#REF!</definedName>
    <definedName name="titulos" localSheetId="0">#REF!</definedName>
    <definedName name="titulos">#REF!</definedName>
    <definedName name="_xlnm.Print_Titles" localSheetId="1">#REF!</definedName>
    <definedName name="_xlnm.Print_Titles" localSheetId="0">#REF!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">#REF!</definedName>
    <definedName name="TOT" localSheetId="0">#REF!</definedName>
    <definedName name="TOT">#REF!</definedName>
    <definedName name="tot3estac">#REF!</definedName>
    <definedName name="TOTAIS">#REF!</definedName>
    <definedName name="Total" localSheetId="1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">#REF!</definedName>
    <definedName name="TRP" localSheetId="0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">#REF!</definedName>
    <definedName name="xxxx" localSheetId="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44" i="1" l="1"/>
  <c r="G1244" i="1"/>
  <c r="K1208" i="1"/>
  <c r="G1208" i="1"/>
  <c r="I1208" i="1" s="1"/>
  <c r="L1208" i="1" s="1"/>
  <c r="K1177" i="1"/>
  <c r="G1177" i="1"/>
  <c r="K1149" i="1"/>
  <c r="G1149" i="1"/>
  <c r="K1122" i="1"/>
  <c r="G1122" i="1"/>
  <c r="K1093" i="1"/>
  <c r="G1093" i="1"/>
  <c r="K1065" i="1"/>
  <c r="G1065" i="1"/>
  <c r="K1038" i="1"/>
  <c r="I1038" i="1"/>
  <c r="G1038" i="1"/>
  <c r="K1009" i="1"/>
  <c r="G1009" i="1"/>
  <c r="I1009" i="1" s="1"/>
  <c r="K981" i="1"/>
  <c r="G981" i="1"/>
  <c r="I981" i="1" s="1"/>
  <c r="L981" i="1" s="1"/>
  <c r="K950" i="1"/>
  <c r="G950" i="1"/>
  <c r="I950" i="1" s="1"/>
  <c r="K919" i="1"/>
  <c r="G919" i="1"/>
  <c r="I919" i="1" s="1"/>
  <c r="K890" i="1"/>
  <c r="G890" i="1"/>
  <c r="K858" i="1"/>
  <c r="G858" i="1"/>
  <c r="I858" i="1" s="1"/>
  <c r="L858" i="1" s="1"/>
  <c r="K827" i="1"/>
  <c r="G827" i="1"/>
  <c r="K797" i="1"/>
  <c r="G797" i="1"/>
  <c r="I797" i="1" s="1"/>
  <c r="K768" i="1"/>
  <c r="G768" i="1"/>
  <c r="K739" i="1"/>
  <c r="G739" i="1"/>
  <c r="I739" i="1" s="1"/>
  <c r="K711" i="1"/>
  <c r="G711" i="1"/>
  <c r="K681" i="1"/>
  <c r="G681" i="1"/>
  <c r="K652" i="1"/>
  <c r="G652" i="1"/>
  <c r="K624" i="1"/>
  <c r="G624" i="1"/>
  <c r="I624" i="1" s="1"/>
  <c r="L624" i="1" s="1"/>
  <c r="K595" i="1"/>
  <c r="G595" i="1"/>
  <c r="I595" i="1" s="1"/>
  <c r="L595" i="1" s="1"/>
  <c r="K561" i="1"/>
  <c r="G561" i="1"/>
  <c r="I561" i="1" s="1"/>
  <c r="K530" i="1"/>
  <c r="G530" i="1"/>
  <c r="K501" i="1"/>
  <c r="G501" i="1"/>
  <c r="G472" i="1"/>
  <c r="I472" i="1" s="1"/>
  <c r="K472" i="1"/>
  <c r="K442" i="1"/>
  <c r="I442" i="1"/>
  <c r="K409" i="1"/>
  <c r="I409" i="1"/>
  <c r="K376" i="1"/>
  <c r="I376" i="1"/>
  <c r="L376" i="1" s="1"/>
  <c r="K343" i="1"/>
  <c r="I343" i="1"/>
  <c r="L343" i="1" s="1"/>
  <c r="K302" i="1"/>
  <c r="I302" i="1"/>
  <c r="K265" i="1"/>
  <c r="I265" i="1"/>
  <c r="K228" i="1"/>
  <c r="I228" i="1"/>
  <c r="L228" i="1" s="1"/>
  <c r="K190" i="1"/>
  <c r="I190" i="1"/>
  <c r="K152" i="1"/>
  <c r="I152" i="1"/>
  <c r="K115" i="1"/>
  <c r="I115" i="1"/>
  <c r="K74" i="1"/>
  <c r="I74" i="1"/>
  <c r="L74" i="1" s="1"/>
  <c r="K29" i="1"/>
  <c r="I29" i="1"/>
  <c r="I1177" i="1" l="1"/>
  <c r="L1177" i="1" s="1"/>
  <c r="L115" i="1"/>
  <c r="L409" i="1"/>
  <c r="I1149" i="1"/>
  <c r="L1149" i="1" s="1"/>
  <c r="I1244" i="1"/>
  <c r="L1244" i="1" s="1"/>
  <c r="L1038" i="1"/>
  <c r="L1093" i="1"/>
  <c r="L1122" i="1"/>
  <c r="I1065" i="1"/>
  <c r="L1065" i="1" s="1"/>
  <c r="L152" i="1"/>
  <c r="L442" i="1"/>
  <c r="L1009" i="1"/>
  <c r="I1093" i="1"/>
  <c r="L950" i="1"/>
  <c r="I1122" i="1"/>
  <c r="L797" i="1"/>
  <c r="I652" i="1"/>
  <c r="L652" i="1" s="1"/>
  <c r="L739" i="1"/>
  <c r="I827" i="1"/>
  <c r="L827" i="1" s="1"/>
  <c r="I681" i="1"/>
  <c r="L681" i="1" s="1"/>
  <c r="I768" i="1"/>
  <c r="L768" i="1" s="1"/>
  <c r="L919" i="1"/>
  <c r="I890" i="1"/>
  <c r="L890" i="1" s="1"/>
  <c r="I711" i="1"/>
  <c r="L711" i="1" s="1"/>
  <c r="L472" i="1"/>
  <c r="L190" i="1"/>
  <c r="L561" i="1"/>
  <c r="I530" i="1"/>
  <c r="L530" i="1" s="1"/>
  <c r="L265" i="1"/>
  <c r="L302" i="1"/>
  <c r="I501" i="1"/>
  <c r="L501" i="1" s="1"/>
  <c r="L29" i="1"/>
  <c r="P6" i="1" l="1" a="1"/>
  <c r="E53" i="3"/>
  <c r="E452" i="1"/>
  <c r="D60" i="3"/>
  <c r="D59" i="3"/>
  <c r="D58" i="3"/>
  <c r="D56" i="3"/>
  <c r="D52" i="3"/>
  <c r="D51" i="3"/>
  <c r="D48" i="3"/>
  <c r="D44" i="3"/>
  <c r="D43" i="3"/>
  <c r="D42" i="3"/>
  <c r="D41" i="3"/>
  <c r="D40" i="3"/>
  <c r="D39" i="3"/>
  <c r="D36" i="3"/>
  <c r="D35" i="3"/>
  <c r="D19" i="3"/>
  <c r="D13" i="3"/>
  <c r="D12" i="3"/>
  <c r="D11" i="3"/>
  <c r="D10" i="3"/>
  <c r="D8" i="3"/>
  <c r="E421" i="1"/>
  <c r="E420" i="1"/>
  <c r="E419" i="1"/>
  <c r="E418" i="1"/>
  <c r="E417" i="1"/>
  <c r="E416" i="1"/>
  <c r="E415" i="1"/>
  <c r="E414" i="1"/>
  <c r="E413" i="1"/>
  <c r="E412" i="1"/>
  <c r="E411" i="1"/>
  <c r="J723" i="1"/>
  <c r="I1258" i="1"/>
  <c r="I1260" i="1"/>
  <c r="I1259" i="1"/>
  <c r="A1258" i="1"/>
  <c r="A1259" i="1" s="1"/>
  <c r="A1260" i="1" s="1"/>
  <c r="B1258" i="1"/>
  <c r="B1259" i="1" s="1"/>
  <c r="B1260" i="1" s="1"/>
  <c r="A5" i="3"/>
  <c r="D1240" i="1"/>
  <c r="D1241" i="1"/>
  <c r="D1242" i="1"/>
  <c r="D1243" i="1"/>
  <c r="D1245" i="1"/>
  <c r="B1223" i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A1223" i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B1192" i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A1192" i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B1161" i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A1161" i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B1134" i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A1134" i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B1105" i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A1105" i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B1077" i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A1077" i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B1050" i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A1050" i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B1021" i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A1021" i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B993" i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A993" i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J1223" i="1"/>
  <c r="D1224" i="1"/>
  <c r="E1224" i="1"/>
  <c r="F1224" i="1"/>
  <c r="I1224" i="1" s="1"/>
  <c r="J1224" i="1"/>
  <c r="D1225" i="1"/>
  <c r="E1225" i="1"/>
  <c r="F1225" i="1"/>
  <c r="I1225" i="1" s="1"/>
  <c r="J1225" i="1"/>
  <c r="D1226" i="1"/>
  <c r="E1226" i="1"/>
  <c r="F1226" i="1"/>
  <c r="I1226" i="1" s="1"/>
  <c r="J1226" i="1"/>
  <c r="D1227" i="1"/>
  <c r="E1227" i="1"/>
  <c r="F1227" i="1"/>
  <c r="I1227" i="1" s="1"/>
  <c r="J1227" i="1"/>
  <c r="D1228" i="1"/>
  <c r="E1228" i="1"/>
  <c r="F1228" i="1"/>
  <c r="I1228" i="1" s="1"/>
  <c r="J1228" i="1"/>
  <c r="D1229" i="1"/>
  <c r="E1229" i="1"/>
  <c r="F1229" i="1"/>
  <c r="I1229" i="1" s="1"/>
  <c r="J1229" i="1"/>
  <c r="D1230" i="1"/>
  <c r="E1230" i="1"/>
  <c r="F1230" i="1"/>
  <c r="I1230" i="1" s="1"/>
  <c r="J1230" i="1"/>
  <c r="D1231" i="1"/>
  <c r="E1231" i="1"/>
  <c r="F1231" i="1"/>
  <c r="I1231" i="1" s="1"/>
  <c r="J1231" i="1"/>
  <c r="D1232" i="1"/>
  <c r="E1232" i="1"/>
  <c r="F1232" i="1"/>
  <c r="I1232" i="1" s="1"/>
  <c r="J1232" i="1"/>
  <c r="D1233" i="1"/>
  <c r="E1233" i="1"/>
  <c r="F1233" i="1"/>
  <c r="I1233" i="1" s="1"/>
  <c r="J1233" i="1"/>
  <c r="D1234" i="1"/>
  <c r="E1234" i="1"/>
  <c r="F1234" i="1"/>
  <c r="I1234" i="1" s="1"/>
  <c r="J1234" i="1"/>
  <c r="D1235" i="1"/>
  <c r="E1235" i="1"/>
  <c r="F1235" i="1"/>
  <c r="I1235" i="1" s="1"/>
  <c r="J1235" i="1"/>
  <c r="D1236" i="1"/>
  <c r="E1236" i="1"/>
  <c r="F1236" i="1"/>
  <c r="I1236" i="1" s="1"/>
  <c r="J1236" i="1"/>
  <c r="D1237" i="1"/>
  <c r="E1237" i="1"/>
  <c r="F1237" i="1"/>
  <c r="I1237" i="1" s="1"/>
  <c r="J1237" i="1"/>
  <c r="F1238" i="1"/>
  <c r="I1238" i="1" s="1"/>
  <c r="J1238" i="1"/>
  <c r="F1239" i="1"/>
  <c r="I1239" i="1" s="1"/>
  <c r="J1239" i="1"/>
  <c r="E1240" i="1"/>
  <c r="F1240" i="1"/>
  <c r="I1240" i="1" s="1"/>
  <c r="J1240" i="1"/>
  <c r="E1241" i="1"/>
  <c r="F1241" i="1"/>
  <c r="I1241" i="1" s="1"/>
  <c r="J1241" i="1"/>
  <c r="E1242" i="1"/>
  <c r="F1242" i="1"/>
  <c r="I1242" i="1" s="1"/>
  <c r="J1242" i="1"/>
  <c r="E1243" i="1"/>
  <c r="F1243" i="1"/>
  <c r="I1243" i="1" s="1"/>
  <c r="J1243" i="1"/>
  <c r="E1245" i="1"/>
  <c r="F1245" i="1"/>
  <c r="I1245" i="1" s="1"/>
  <c r="J1245" i="1"/>
  <c r="F1246" i="1"/>
  <c r="I1246" i="1" s="1"/>
  <c r="J1246" i="1"/>
  <c r="F1247" i="1"/>
  <c r="I1247" i="1" s="1"/>
  <c r="J1247" i="1"/>
  <c r="F1248" i="1"/>
  <c r="I1248" i="1" s="1"/>
  <c r="J1248" i="1"/>
  <c r="F1249" i="1"/>
  <c r="I1249" i="1" s="1"/>
  <c r="J1249" i="1"/>
  <c r="F1250" i="1"/>
  <c r="I1250" i="1" s="1"/>
  <c r="J1250" i="1"/>
  <c r="F1251" i="1"/>
  <c r="I1251" i="1" s="1"/>
  <c r="J1251" i="1"/>
  <c r="F1252" i="1"/>
  <c r="I1252" i="1" s="1"/>
  <c r="J1252" i="1"/>
  <c r="F1253" i="1"/>
  <c r="I1253" i="1" s="1"/>
  <c r="J1253" i="1"/>
  <c r="F1254" i="1"/>
  <c r="I1254" i="1" s="1"/>
  <c r="J1254" i="1"/>
  <c r="F1255" i="1"/>
  <c r="I1255" i="1" s="1"/>
  <c r="J1255" i="1"/>
  <c r="F1256" i="1"/>
  <c r="I1256" i="1" s="1"/>
  <c r="J1256" i="1"/>
  <c r="E1223" i="1"/>
  <c r="F1223" i="1"/>
  <c r="I1223" i="1" s="1"/>
  <c r="D1223" i="1"/>
  <c r="F1221" i="1"/>
  <c r="I1221" i="1" s="1"/>
  <c r="J1221" i="1"/>
  <c r="D1222" i="1"/>
  <c r="E1222" i="1"/>
  <c r="F1222" i="1"/>
  <c r="J1222" i="1"/>
  <c r="F1215" i="1"/>
  <c r="I1215" i="1" s="1"/>
  <c r="J1215" i="1"/>
  <c r="F1216" i="1"/>
  <c r="I1216" i="1" s="1"/>
  <c r="J1216" i="1"/>
  <c r="F1217" i="1"/>
  <c r="I1217" i="1" s="1"/>
  <c r="J1217" i="1"/>
  <c r="F1218" i="1"/>
  <c r="I1218" i="1" s="1"/>
  <c r="J1218" i="1"/>
  <c r="F1219" i="1"/>
  <c r="I1219" i="1" s="1"/>
  <c r="J1219" i="1"/>
  <c r="F1220" i="1"/>
  <c r="I1220" i="1" s="1"/>
  <c r="J1220" i="1"/>
  <c r="D1193" i="1"/>
  <c r="E1193" i="1"/>
  <c r="F1193" i="1"/>
  <c r="I1193" i="1" s="1"/>
  <c r="J1193" i="1"/>
  <c r="D1194" i="1"/>
  <c r="E1194" i="1"/>
  <c r="F1194" i="1"/>
  <c r="I1194" i="1" s="1"/>
  <c r="J1194" i="1"/>
  <c r="D1195" i="1"/>
  <c r="E1195" i="1"/>
  <c r="F1195" i="1"/>
  <c r="I1195" i="1" s="1"/>
  <c r="J1195" i="1"/>
  <c r="D1196" i="1"/>
  <c r="E1196" i="1"/>
  <c r="F1196" i="1"/>
  <c r="I1196" i="1" s="1"/>
  <c r="J1196" i="1"/>
  <c r="D1197" i="1"/>
  <c r="E1197" i="1"/>
  <c r="F1197" i="1"/>
  <c r="I1197" i="1" s="1"/>
  <c r="J1197" i="1"/>
  <c r="D1198" i="1"/>
  <c r="E1198" i="1"/>
  <c r="F1198" i="1"/>
  <c r="I1198" i="1" s="1"/>
  <c r="J1198" i="1"/>
  <c r="D1199" i="1"/>
  <c r="E1199" i="1"/>
  <c r="F1199" i="1"/>
  <c r="I1199" i="1" s="1"/>
  <c r="J1199" i="1"/>
  <c r="D1200" i="1"/>
  <c r="E1200" i="1"/>
  <c r="F1200" i="1"/>
  <c r="I1200" i="1" s="1"/>
  <c r="J1200" i="1"/>
  <c r="D1201" i="1"/>
  <c r="E1201" i="1"/>
  <c r="F1201" i="1"/>
  <c r="I1201" i="1" s="1"/>
  <c r="J1201" i="1"/>
  <c r="D1202" i="1"/>
  <c r="E1202" i="1"/>
  <c r="F1202" i="1"/>
  <c r="I1202" i="1" s="1"/>
  <c r="J1202" i="1"/>
  <c r="F1203" i="1"/>
  <c r="I1203" i="1" s="1"/>
  <c r="J1203" i="1"/>
  <c r="F1204" i="1"/>
  <c r="I1204" i="1" s="1"/>
  <c r="J1204" i="1"/>
  <c r="D1205" i="1"/>
  <c r="E1205" i="1"/>
  <c r="F1205" i="1"/>
  <c r="I1205" i="1" s="1"/>
  <c r="J1205" i="1"/>
  <c r="D1206" i="1"/>
  <c r="E1206" i="1"/>
  <c r="F1206" i="1"/>
  <c r="I1206" i="1" s="1"/>
  <c r="J1206" i="1"/>
  <c r="D1207" i="1"/>
  <c r="E1207" i="1"/>
  <c r="F1207" i="1"/>
  <c r="I1207" i="1" s="1"/>
  <c r="J1207" i="1"/>
  <c r="D1209" i="1"/>
  <c r="E1209" i="1"/>
  <c r="F1209" i="1"/>
  <c r="I1209" i="1" s="1"/>
  <c r="J1209" i="1"/>
  <c r="F1210" i="1"/>
  <c r="I1210" i="1" s="1"/>
  <c r="J1210" i="1"/>
  <c r="F1211" i="1"/>
  <c r="I1211" i="1" s="1"/>
  <c r="J1211" i="1"/>
  <c r="F1212" i="1"/>
  <c r="I1212" i="1" s="1"/>
  <c r="J1212" i="1"/>
  <c r="F1213" i="1"/>
  <c r="I1213" i="1" s="1"/>
  <c r="J1213" i="1"/>
  <c r="F1214" i="1"/>
  <c r="I1214" i="1" s="1"/>
  <c r="J1214" i="1"/>
  <c r="J1192" i="1"/>
  <c r="E1192" i="1"/>
  <c r="F1192" i="1"/>
  <c r="I1192" i="1" s="1"/>
  <c r="D1192" i="1"/>
  <c r="F1189" i="1"/>
  <c r="I1189" i="1" s="1"/>
  <c r="J1189" i="1"/>
  <c r="F1190" i="1"/>
  <c r="I1190" i="1" s="1"/>
  <c r="J1190" i="1"/>
  <c r="D1191" i="1"/>
  <c r="E1191" i="1"/>
  <c r="F1191" i="1"/>
  <c r="F1188" i="1"/>
  <c r="I1188" i="1" s="1"/>
  <c r="J1188" i="1"/>
  <c r="F1185" i="1"/>
  <c r="I1185" i="1" s="1"/>
  <c r="J1185" i="1"/>
  <c r="F1186" i="1"/>
  <c r="I1186" i="1" s="1"/>
  <c r="J1186" i="1"/>
  <c r="F1187" i="1"/>
  <c r="I1187" i="1" s="1"/>
  <c r="J1187" i="1"/>
  <c r="F1179" i="1"/>
  <c r="I1179" i="1" s="1"/>
  <c r="J1179" i="1"/>
  <c r="F1180" i="1"/>
  <c r="I1180" i="1" s="1"/>
  <c r="J1180" i="1"/>
  <c r="F1181" i="1"/>
  <c r="I1181" i="1" s="1"/>
  <c r="J1181" i="1"/>
  <c r="F1182" i="1"/>
  <c r="I1182" i="1" s="1"/>
  <c r="J1182" i="1"/>
  <c r="F1183" i="1"/>
  <c r="I1183" i="1" s="1"/>
  <c r="J1183" i="1"/>
  <c r="F1184" i="1"/>
  <c r="I1184" i="1" s="1"/>
  <c r="J1184" i="1"/>
  <c r="F1172" i="1"/>
  <c r="I1172" i="1" s="1"/>
  <c r="J1172" i="1"/>
  <c r="F1173" i="1"/>
  <c r="I1173" i="1" s="1"/>
  <c r="J1173" i="1"/>
  <c r="D1174" i="1"/>
  <c r="E1174" i="1"/>
  <c r="F1174" i="1"/>
  <c r="I1174" i="1" s="1"/>
  <c r="J1174" i="1"/>
  <c r="D1175" i="1"/>
  <c r="E1175" i="1"/>
  <c r="F1175" i="1"/>
  <c r="I1175" i="1" s="1"/>
  <c r="J1175" i="1"/>
  <c r="D1176" i="1"/>
  <c r="E1176" i="1"/>
  <c r="F1176" i="1"/>
  <c r="I1176" i="1" s="1"/>
  <c r="J1176" i="1"/>
  <c r="D1178" i="1"/>
  <c r="E1178" i="1"/>
  <c r="F1178" i="1"/>
  <c r="I1178" i="1" s="1"/>
  <c r="J1178" i="1"/>
  <c r="D1166" i="1"/>
  <c r="E1166" i="1"/>
  <c r="F1166" i="1"/>
  <c r="I1166" i="1" s="1"/>
  <c r="J1166" i="1"/>
  <c r="D1167" i="1"/>
  <c r="E1167" i="1"/>
  <c r="F1167" i="1"/>
  <c r="I1167" i="1" s="1"/>
  <c r="J1167" i="1"/>
  <c r="D1168" i="1"/>
  <c r="E1168" i="1"/>
  <c r="F1168" i="1"/>
  <c r="I1168" i="1" s="1"/>
  <c r="J1168" i="1"/>
  <c r="D1169" i="1"/>
  <c r="E1169" i="1"/>
  <c r="F1169" i="1"/>
  <c r="I1169" i="1" s="1"/>
  <c r="J1169" i="1"/>
  <c r="D1170" i="1"/>
  <c r="E1170" i="1"/>
  <c r="F1170" i="1"/>
  <c r="I1170" i="1" s="1"/>
  <c r="J1170" i="1"/>
  <c r="D1171" i="1"/>
  <c r="E1171" i="1"/>
  <c r="F1171" i="1"/>
  <c r="I1171" i="1" s="1"/>
  <c r="J1171" i="1"/>
  <c r="D1162" i="1"/>
  <c r="E1162" i="1"/>
  <c r="F1162" i="1"/>
  <c r="I1162" i="1" s="1"/>
  <c r="J1162" i="1"/>
  <c r="D1163" i="1"/>
  <c r="E1163" i="1"/>
  <c r="F1163" i="1"/>
  <c r="I1163" i="1" s="1"/>
  <c r="J1163" i="1"/>
  <c r="D1164" i="1"/>
  <c r="E1164" i="1"/>
  <c r="F1164" i="1"/>
  <c r="I1164" i="1" s="1"/>
  <c r="J1164" i="1"/>
  <c r="D1165" i="1"/>
  <c r="E1165" i="1"/>
  <c r="F1165" i="1"/>
  <c r="I1165" i="1" s="1"/>
  <c r="J1165" i="1"/>
  <c r="J1161" i="1"/>
  <c r="E1161" i="1"/>
  <c r="F1161" i="1"/>
  <c r="I1161" i="1" s="1"/>
  <c r="D1161" i="1"/>
  <c r="F1158" i="1"/>
  <c r="I1158" i="1" s="1"/>
  <c r="J1158" i="1"/>
  <c r="F1159" i="1"/>
  <c r="I1159" i="1" s="1"/>
  <c r="J1159" i="1"/>
  <c r="D1160" i="1"/>
  <c r="E1160" i="1"/>
  <c r="F1160" i="1"/>
  <c r="J1160" i="1"/>
  <c r="F1155" i="1"/>
  <c r="I1155" i="1" s="1"/>
  <c r="J1155" i="1"/>
  <c r="F1156" i="1"/>
  <c r="I1156" i="1" s="1"/>
  <c r="J1156" i="1"/>
  <c r="F1157" i="1"/>
  <c r="I1157" i="1" s="1"/>
  <c r="J1157" i="1"/>
  <c r="D1135" i="1"/>
  <c r="E1135" i="1"/>
  <c r="F1135" i="1"/>
  <c r="I1135" i="1" s="1"/>
  <c r="J1135" i="1"/>
  <c r="D1136" i="1"/>
  <c r="E1136" i="1"/>
  <c r="F1136" i="1"/>
  <c r="I1136" i="1" s="1"/>
  <c r="J1136" i="1"/>
  <c r="D1137" i="1"/>
  <c r="E1137" i="1"/>
  <c r="F1137" i="1"/>
  <c r="I1137" i="1" s="1"/>
  <c r="J1137" i="1"/>
  <c r="D1138" i="1"/>
  <c r="E1138" i="1"/>
  <c r="F1138" i="1"/>
  <c r="I1138" i="1" s="1"/>
  <c r="J1138" i="1"/>
  <c r="D1139" i="1"/>
  <c r="E1139" i="1"/>
  <c r="F1139" i="1"/>
  <c r="I1139" i="1" s="1"/>
  <c r="J1139" i="1"/>
  <c r="D1140" i="1"/>
  <c r="E1140" i="1"/>
  <c r="F1140" i="1"/>
  <c r="I1140" i="1" s="1"/>
  <c r="J1140" i="1"/>
  <c r="D1141" i="1"/>
  <c r="E1141" i="1"/>
  <c r="F1141" i="1"/>
  <c r="I1141" i="1" s="1"/>
  <c r="J1141" i="1"/>
  <c r="D1142" i="1"/>
  <c r="E1142" i="1"/>
  <c r="F1142" i="1"/>
  <c r="I1142" i="1" s="1"/>
  <c r="J1142" i="1"/>
  <c r="D1143" i="1"/>
  <c r="E1143" i="1"/>
  <c r="F1143" i="1"/>
  <c r="I1143" i="1" s="1"/>
  <c r="J1143" i="1"/>
  <c r="F1144" i="1"/>
  <c r="I1144" i="1" s="1"/>
  <c r="J1144" i="1"/>
  <c r="F1145" i="1"/>
  <c r="I1145" i="1" s="1"/>
  <c r="J1145" i="1"/>
  <c r="D1146" i="1"/>
  <c r="E1146" i="1"/>
  <c r="F1146" i="1"/>
  <c r="I1146" i="1" s="1"/>
  <c r="J1146" i="1"/>
  <c r="D1147" i="1"/>
  <c r="E1147" i="1"/>
  <c r="F1147" i="1"/>
  <c r="I1147" i="1" s="1"/>
  <c r="J1147" i="1"/>
  <c r="D1148" i="1"/>
  <c r="E1148" i="1"/>
  <c r="F1148" i="1"/>
  <c r="I1148" i="1" s="1"/>
  <c r="J1148" i="1"/>
  <c r="D1150" i="1"/>
  <c r="E1150" i="1"/>
  <c r="F1150" i="1"/>
  <c r="I1150" i="1" s="1"/>
  <c r="J1150" i="1"/>
  <c r="F1151" i="1"/>
  <c r="I1151" i="1" s="1"/>
  <c r="J1151" i="1"/>
  <c r="F1152" i="1"/>
  <c r="I1152" i="1" s="1"/>
  <c r="J1152" i="1"/>
  <c r="F1153" i="1"/>
  <c r="I1153" i="1" s="1"/>
  <c r="J1153" i="1"/>
  <c r="F1154" i="1"/>
  <c r="I1154" i="1" s="1"/>
  <c r="J1154" i="1"/>
  <c r="J1134" i="1"/>
  <c r="E1134" i="1"/>
  <c r="F1134" i="1"/>
  <c r="I1134" i="1" s="1"/>
  <c r="D1134" i="1"/>
  <c r="F1130" i="1"/>
  <c r="I1130" i="1" s="1"/>
  <c r="J1130" i="1"/>
  <c r="F1131" i="1"/>
  <c r="I1131" i="1" s="1"/>
  <c r="J1131" i="1"/>
  <c r="F1132" i="1"/>
  <c r="I1132" i="1" s="1"/>
  <c r="J1132" i="1"/>
  <c r="D1133" i="1"/>
  <c r="E1133" i="1"/>
  <c r="F1133" i="1"/>
  <c r="J1133" i="1"/>
  <c r="D1106" i="1"/>
  <c r="E1106" i="1"/>
  <c r="F1106" i="1"/>
  <c r="I1106" i="1" s="1"/>
  <c r="J1106" i="1"/>
  <c r="D1107" i="1"/>
  <c r="E1107" i="1"/>
  <c r="F1107" i="1"/>
  <c r="I1107" i="1" s="1"/>
  <c r="J1107" i="1"/>
  <c r="D1108" i="1"/>
  <c r="E1108" i="1"/>
  <c r="F1108" i="1"/>
  <c r="I1108" i="1" s="1"/>
  <c r="J1108" i="1"/>
  <c r="D1109" i="1"/>
  <c r="E1109" i="1"/>
  <c r="F1109" i="1"/>
  <c r="I1109" i="1" s="1"/>
  <c r="J1109" i="1"/>
  <c r="D1110" i="1"/>
  <c r="E1110" i="1"/>
  <c r="F1110" i="1"/>
  <c r="I1110" i="1" s="1"/>
  <c r="J1110" i="1"/>
  <c r="D1111" i="1"/>
  <c r="E1111" i="1"/>
  <c r="F1111" i="1"/>
  <c r="I1111" i="1" s="1"/>
  <c r="J1111" i="1"/>
  <c r="D1112" i="1"/>
  <c r="E1112" i="1"/>
  <c r="F1112" i="1"/>
  <c r="I1112" i="1" s="1"/>
  <c r="J1112" i="1"/>
  <c r="D1113" i="1"/>
  <c r="E1113" i="1"/>
  <c r="F1113" i="1"/>
  <c r="I1113" i="1" s="1"/>
  <c r="J1113" i="1"/>
  <c r="D1114" i="1"/>
  <c r="E1114" i="1"/>
  <c r="F1114" i="1"/>
  <c r="I1114" i="1" s="1"/>
  <c r="J1114" i="1"/>
  <c r="D1115" i="1"/>
  <c r="E1115" i="1"/>
  <c r="F1115" i="1"/>
  <c r="I1115" i="1" s="1"/>
  <c r="J1115" i="1"/>
  <c r="D1116" i="1"/>
  <c r="E1116" i="1"/>
  <c r="F1116" i="1"/>
  <c r="I1116" i="1" s="1"/>
  <c r="J1116" i="1"/>
  <c r="F1117" i="1"/>
  <c r="I1117" i="1" s="1"/>
  <c r="J1117" i="1"/>
  <c r="F1118" i="1"/>
  <c r="I1118" i="1" s="1"/>
  <c r="J1118" i="1"/>
  <c r="D1119" i="1"/>
  <c r="E1119" i="1"/>
  <c r="F1119" i="1"/>
  <c r="I1119" i="1" s="1"/>
  <c r="J1119" i="1"/>
  <c r="D1120" i="1"/>
  <c r="E1120" i="1"/>
  <c r="F1120" i="1"/>
  <c r="I1120" i="1" s="1"/>
  <c r="J1120" i="1"/>
  <c r="D1121" i="1"/>
  <c r="E1121" i="1"/>
  <c r="F1121" i="1"/>
  <c r="I1121" i="1" s="1"/>
  <c r="J1121" i="1"/>
  <c r="D1123" i="1"/>
  <c r="E1123" i="1"/>
  <c r="F1123" i="1"/>
  <c r="I1123" i="1" s="1"/>
  <c r="J1123" i="1"/>
  <c r="F1124" i="1"/>
  <c r="I1124" i="1" s="1"/>
  <c r="J1124" i="1"/>
  <c r="F1125" i="1"/>
  <c r="I1125" i="1" s="1"/>
  <c r="J1125" i="1"/>
  <c r="F1126" i="1"/>
  <c r="I1126" i="1" s="1"/>
  <c r="J1126" i="1"/>
  <c r="F1127" i="1"/>
  <c r="I1127" i="1" s="1"/>
  <c r="J1127" i="1"/>
  <c r="F1128" i="1"/>
  <c r="I1128" i="1" s="1"/>
  <c r="J1128" i="1"/>
  <c r="F1129" i="1"/>
  <c r="I1129" i="1" s="1"/>
  <c r="J1129" i="1"/>
  <c r="J1105" i="1"/>
  <c r="E1105" i="1"/>
  <c r="F1105" i="1"/>
  <c r="I1105" i="1" s="1"/>
  <c r="D1105" i="1"/>
  <c r="F1102" i="1"/>
  <c r="I1102" i="1" s="1"/>
  <c r="J1102" i="1"/>
  <c r="F1103" i="1"/>
  <c r="I1103" i="1" s="1"/>
  <c r="J1103" i="1"/>
  <c r="D1104" i="1"/>
  <c r="E1104" i="1"/>
  <c r="F1104" i="1"/>
  <c r="J1104" i="1"/>
  <c r="F1096" i="1"/>
  <c r="I1096" i="1" s="1"/>
  <c r="J1096" i="1"/>
  <c r="F1097" i="1"/>
  <c r="I1097" i="1" s="1"/>
  <c r="J1097" i="1"/>
  <c r="F1098" i="1"/>
  <c r="I1098" i="1" s="1"/>
  <c r="J1098" i="1"/>
  <c r="F1099" i="1"/>
  <c r="I1099" i="1" s="1"/>
  <c r="J1099" i="1"/>
  <c r="F1100" i="1"/>
  <c r="I1100" i="1" s="1"/>
  <c r="J1100" i="1"/>
  <c r="F1101" i="1"/>
  <c r="I1101" i="1" s="1"/>
  <c r="J1101" i="1"/>
  <c r="D1078" i="1"/>
  <c r="E1078" i="1"/>
  <c r="F1078" i="1"/>
  <c r="I1078" i="1" s="1"/>
  <c r="J1078" i="1"/>
  <c r="D1079" i="1"/>
  <c r="E1079" i="1"/>
  <c r="F1079" i="1"/>
  <c r="I1079" i="1" s="1"/>
  <c r="J1079" i="1"/>
  <c r="D1080" i="1"/>
  <c r="E1080" i="1"/>
  <c r="F1080" i="1"/>
  <c r="I1080" i="1" s="1"/>
  <c r="J1080" i="1"/>
  <c r="D1081" i="1"/>
  <c r="E1081" i="1"/>
  <c r="F1081" i="1"/>
  <c r="I1081" i="1" s="1"/>
  <c r="J1081" i="1"/>
  <c r="D1082" i="1"/>
  <c r="E1082" i="1"/>
  <c r="F1082" i="1"/>
  <c r="I1082" i="1" s="1"/>
  <c r="J1082" i="1"/>
  <c r="D1083" i="1"/>
  <c r="E1083" i="1"/>
  <c r="F1083" i="1"/>
  <c r="I1083" i="1" s="1"/>
  <c r="J1083" i="1"/>
  <c r="D1084" i="1"/>
  <c r="E1084" i="1"/>
  <c r="F1084" i="1"/>
  <c r="I1084" i="1" s="1"/>
  <c r="J1084" i="1"/>
  <c r="D1085" i="1"/>
  <c r="E1085" i="1"/>
  <c r="F1085" i="1"/>
  <c r="I1085" i="1" s="1"/>
  <c r="J1085" i="1"/>
  <c r="D1086" i="1"/>
  <c r="E1086" i="1"/>
  <c r="F1086" i="1"/>
  <c r="I1086" i="1" s="1"/>
  <c r="J1086" i="1"/>
  <c r="D1087" i="1"/>
  <c r="E1087" i="1"/>
  <c r="F1087" i="1"/>
  <c r="I1087" i="1" s="1"/>
  <c r="J1087" i="1"/>
  <c r="F1088" i="1"/>
  <c r="I1088" i="1" s="1"/>
  <c r="J1088" i="1"/>
  <c r="F1089" i="1"/>
  <c r="I1089" i="1" s="1"/>
  <c r="J1089" i="1"/>
  <c r="D1090" i="1"/>
  <c r="E1090" i="1"/>
  <c r="F1090" i="1"/>
  <c r="I1090" i="1" s="1"/>
  <c r="J1090" i="1"/>
  <c r="D1091" i="1"/>
  <c r="E1091" i="1"/>
  <c r="F1091" i="1"/>
  <c r="I1091" i="1" s="1"/>
  <c r="J1091" i="1"/>
  <c r="D1092" i="1"/>
  <c r="E1092" i="1"/>
  <c r="F1092" i="1"/>
  <c r="I1092" i="1" s="1"/>
  <c r="J1092" i="1"/>
  <c r="D1094" i="1"/>
  <c r="E1094" i="1"/>
  <c r="F1094" i="1"/>
  <c r="I1094" i="1" s="1"/>
  <c r="J1094" i="1"/>
  <c r="F1095" i="1"/>
  <c r="I1095" i="1" s="1"/>
  <c r="J1095" i="1"/>
  <c r="J1077" i="1"/>
  <c r="E1077" i="1"/>
  <c r="F1077" i="1"/>
  <c r="I1077" i="1" s="1"/>
  <c r="D1077" i="1"/>
  <c r="D1051" i="1"/>
  <c r="E1051" i="1"/>
  <c r="F1051" i="1"/>
  <c r="I1051" i="1" s="1"/>
  <c r="J1051" i="1"/>
  <c r="D1052" i="1"/>
  <c r="E1052" i="1"/>
  <c r="F1052" i="1"/>
  <c r="I1052" i="1" s="1"/>
  <c r="J1052" i="1"/>
  <c r="D1053" i="1"/>
  <c r="E1053" i="1"/>
  <c r="F1053" i="1"/>
  <c r="I1053" i="1" s="1"/>
  <c r="J1053" i="1"/>
  <c r="D1054" i="1"/>
  <c r="E1054" i="1"/>
  <c r="F1054" i="1"/>
  <c r="I1054" i="1" s="1"/>
  <c r="J1054" i="1"/>
  <c r="D1055" i="1"/>
  <c r="E1055" i="1"/>
  <c r="F1055" i="1"/>
  <c r="I1055" i="1" s="1"/>
  <c r="J1055" i="1"/>
  <c r="D1056" i="1"/>
  <c r="E1056" i="1"/>
  <c r="F1056" i="1"/>
  <c r="I1056" i="1" s="1"/>
  <c r="J1056" i="1"/>
  <c r="D1057" i="1"/>
  <c r="E1057" i="1"/>
  <c r="F1057" i="1"/>
  <c r="I1057" i="1" s="1"/>
  <c r="J1057" i="1"/>
  <c r="D1058" i="1"/>
  <c r="E1058" i="1"/>
  <c r="F1058" i="1"/>
  <c r="I1058" i="1" s="1"/>
  <c r="J1058" i="1"/>
  <c r="D1059" i="1"/>
  <c r="E1059" i="1"/>
  <c r="F1059" i="1"/>
  <c r="I1059" i="1" s="1"/>
  <c r="J1059" i="1"/>
  <c r="F1060" i="1"/>
  <c r="I1060" i="1" s="1"/>
  <c r="J1060" i="1"/>
  <c r="F1061" i="1"/>
  <c r="I1061" i="1" s="1"/>
  <c r="J1061" i="1"/>
  <c r="D1062" i="1"/>
  <c r="E1062" i="1"/>
  <c r="F1062" i="1"/>
  <c r="I1062" i="1" s="1"/>
  <c r="J1062" i="1"/>
  <c r="D1063" i="1"/>
  <c r="E1063" i="1"/>
  <c r="F1063" i="1"/>
  <c r="I1063" i="1" s="1"/>
  <c r="J1063" i="1"/>
  <c r="D1064" i="1"/>
  <c r="E1064" i="1"/>
  <c r="F1064" i="1"/>
  <c r="I1064" i="1" s="1"/>
  <c r="J1064" i="1"/>
  <c r="D1066" i="1"/>
  <c r="E1066" i="1"/>
  <c r="F1066" i="1"/>
  <c r="I1066" i="1" s="1"/>
  <c r="J1066" i="1"/>
  <c r="F1067" i="1"/>
  <c r="I1067" i="1" s="1"/>
  <c r="J1067" i="1"/>
  <c r="F1068" i="1"/>
  <c r="I1068" i="1" s="1"/>
  <c r="J1068" i="1"/>
  <c r="F1069" i="1"/>
  <c r="I1069" i="1" s="1"/>
  <c r="J1069" i="1"/>
  <c r="F1070" i="1"/>
  <c r="I1070" i="1" s="1"/>
  <c r="J1070" i="1"/>
  <c r="F1071" i="1"/>
  <c r="I1071" i="1" s="1"/>
  <c r="J1071" i="1"/>
  <c r="F1072" i="1"/>
  <c r="I1072" i="1" s="1"/>
  <c r="J1072" i="1"/>
  <c r="F1073" i="1"/>
  <c r="I1073" i="1" s="1"/>
  <c r="J1073" i="1"/>
  <c r="F1074" i="1"/>
  <c r="I1074" i="1" s="1"/>
  <c r="J1074" i="1"/>
  <c r="F1075" i="1"/>
  <c r="I1075" i="1" s="1"/>
  <c r="J1075" i="1"/>
  <c r="D1076" i="1"/>
  <c r="E1076" i="1"/>
  <c r="F1076" i="1"/>
  <c r="J1076" i="1"/>
  <c r="J1050" i="1"/>
  <c r="E1050" i="1"/>
  <c r="F1050" i="1"/>
  <c r="I1050" i="1" s="1"/>
  <c r="D1050" i="1"/>
  <c r="F1047" i="1"/>
  <c r="I1047" i="1" s="1"/>
  <c r="J1047" i="1"/>
  <c r="F1048" i="1"/>
  <c r="I1048" i="1" s="1"/>
  <c r="J1048" i="1"/>
  <c r="D1049" i="1"/>
  <c r="E1049" i="1"/>
  <c r="F1049" i="1"/>
  <c r="J1049" i="1"/>
  <c r="F1045" i="1"/>
  <c r="I1045" i="1" s="1"/>
  <c r="J1045" i="1"/>
  <c r="F1046" i="1"/>
  <c r="I1046" i="1" s="1"/>
  <c r="J1046" i="1"/>
  <c r="F1040" i="1"/>
  <c r="I1040" i="1" s="1"/>
  <c r="J1040" i="1"/>
  <c r="F1041" i="1"/>
  <c r="I1041" i="1" s="1"/>
  <c r="J1041" i="1"/>
  <c r="F1042" i="1"/>
  <c r="I1042" i="1" s="1"/>
  <c r="J1042" i="1"/>
  <c r="F1043" i="1"/>
  <c r="I1043" i="1" s="1"/>
  <c r="J1043" i="1"/>
  <c r="F1044" i="1"/>
  <c r="I1044" i="1" s="1"/>
  <c r="J1044" i="1"/>
  <c r="F1033" i="1"/>
  <c r="I1033" i="1" s="1"/>
  <c r="J1033" i="1"/>
  <c r="F1034" i="1"/>
  <c r="I1034" i="1" s="1"/>
  <c r="J1034" i="1"/>
  <c r="D1035" i="1"/>
  <c r="E1035" i="1"/>
  <c r="F1035" i="1"/>
  <c r="I1035" i="1" s="1"/>
  <c r="J1035" i="1"/>
  <c r="D1036" i="1"/>
  <c r="E1036" i="1"/>
  <c r="F1036" i="1"/>
  <c r="I1036" i="1" s="1"/>
  <c r="J1036" i="1"/>
  <c r="D1037" i="1"/>
  <c r="E1037" i="1"/>
  <c r="F1037" i="1"/>
  <c r="I1037" i="1" s="1"/>
  <c r="J1037" i="1"/>
  <c r="D1039" i="1"/>
  <c r="E1039" i="1"/>
  <c r="F1039" i="1"/>
  <c r="I1039" i="1" s="1"/>
  <c r="J1039" i="1"/>
  <c r="D1022" i="1"/>
  <c r="E1022" i="1"/>
  <c r="F1022" i="1"/>
  <c r="I1022" i="1" s="1"/>
  <c r="J1022" i="1"/>
  <c r="D1023" i="1"/>
  <c r="E1023" i="1"/>
  <c r="F1023" i="1"/>
  <c r="I1023" i="1" s="1"/>
  <c r="J1023" i="1"/>
  <c r="D1024" i="1"/>
  <c r="E1024" i="1"/>
  <c r="F1024" i="1"/>
  <c r="I1024" i="1" s="1"/>
  <c r="J1024" i="1"/>
  <c r="D1025" i="1"/>
  <c r="E1025" i="1"/>
  <c r="F1025" i="1"/>
  <c r="I1025" i="1" s="1"/>
  <c r="J1025" i="1"/>
  <c r="D1026" i="1"/>
  <c r="E1026" i="1"/>
  <c r="F1026" i="1"/>
  <c r="I1026" i="1" s="1"/>
  <c r="J1026" i="1"/>
  <c r="D1027" i="1"/>
  <c r="E1027" i="1"/>
  <c r="F1027" i="1"/>
  <c r="I1027" i="1" s="1"/>
  <c r="J1027" i="1"/>
  <c r="D1028" i="1"/>
  <c r="E1028" i="1"/>
  <c r="F1028" i="1"/>
  <c r="I1028" i="1" s="1"/>
  <c r="J1028" i="1"/>
  <c r="D1029" i="1"/>
  <c r="E1029" i="1"/>
  <c r="F1029" i="1"/>
  <c r="I1029" i="1" s="1"/>
  <c r="J1029" i="1"/>
  <c r="D1030" i="1"/>
  <c r="E1030" i="1"/>
  <c r="F1030" i="1"/>
  <c r="I1030" i="1" s="1"/>
  <c r="J1030" i="1"/>
  <c r="D1031" i="1"/>
  <c r="E1031" i="1"/>
  <c r="F1031" i="1"/>
  <c r="I1031" i="1" s="1"/>
  <c r="J1031" i="1"/>
  <c r="D1032" i="1"/>
  <c r="E1032" i="1"/>
  <c r="F1032" i="1"/>
  <c r="I1032" i="1" s="1"/>
  <c r="J1032" i="1"/>
  <c r="J1021" i="1"/>
  <c r="E1021" i="1"/>
  <c r="F1021" i="1"/>
  <c r="I1021" i="1" s="1"/>
  <c r="D1021" i="1"/>
  <c r="F1018" i="1"/>
  <c r="I1018" i="1" s="1"/>
  <c r="J1018" i="1"/>
  <c r="F1019" i="1"/>
  <c r="I1019" i="1" s="1"/>
  <c r="J1019" i="1"/>
  <c r="D1020" i="1"/>
  <c r="E1020" i="1"/>
  <c r="F1020" i="1"/>
  <c r="J1020" i="1"/>
  <c r="F1012" i="1"/>
  <c r="I1012" i="1" s="1"/>
  <c r="J1012" i="1"/>
  <c r="F1013" i="1"/>
  <c r="I1013" i="1" s="1"/>
  <c r="J1013" i="1"/>
  <c r="F1014" i="1"/>
  <c r="I1014" i="1" s="1"/>
  <c r="J1014" i="1"/>
  <c r="F1015" i="1"/>
  <c r="I1015" i="1" s="1"/>
  <c r="J1015" i="1"/>
  <c r="F1016" i="1"/>
  <c r="I1016" i="1" s="1"/>
  <c r="J1016" i="1"/>
  <c r="F1017" i="1"/>
  <c r="I1017" i="1" s="1"/>
  <c r="J1017" i="1"/>
  <c r="D994" i="1"/>
  <c r="E994" i="1"/>
  <c r="F994" i="1"/>
  <c r="I994" i="1" s="1"/>
  <c r="J994" i="1"/>
  <c r="D995" i="1"/>
  <c r="E995" i="1"/>
  <c r="F995" i="1"/>
  <c r="I995" i="1" s="1"/>
  <c r="J995" i="1"/>
  <c r="D996" i="1"/>
  <c r="E996" i="1"/>
  <c r="F996" i="1"/>
  <c r="I996" i="1" s="1"/>
  <c r="J996" i="1"/>
  <c r="D997" i="1"/>
  <c r="E997" i="1"/>
  <c r="F997" i="1"/>
  <c r="I997" i="1" s="1"/>
  <c r="J997" i="1"/>
  <c r="D998" i="1"/>
  <c r="E998" i="1"/>
  <c r="F998" i="1"/>
  <c r="I998" i="1" s="1"/>
  <c r="J998" i="1"/>
  <c r="D999" i="1"/>
  <c r="E999" i="1"/>
  <c r="F999" i="1"/>
  <c r="I999" i="1" s="1"/>
  <c r="J999" i="1"/>
  <c r="D1000" i="1"/>
  <c r="E1000" i="1"/>
  <c r="F1000" i="1"/>
  <c r="I1000" i="1" s="1"/>
  <c r="J1000" i="1"/>
  <c r="D1001" i="1"/>
  <c r="E1001" i="1"/>
  <c r="F1001" i="1"/>
  <c r="I1001" i="1" s="1"/>
  <c r="J1001" i="1"/>
  <c r="D1002" i="1"/>
  <c r="E1002" i="1"/>
  <c r="F1002" i="1"/>
  <c r="I1002" i="1" s="1"/>
  <c r="J1002" i="1"/>
  <c r="D1003" i="1"/>
  <c r="E1003" i="1"/>
  <c r="F1003" i="1"/>
  <c r="I1003" i="1" s="1"/>
  <c r="J1003" i="1"/>
  <c r="F1004" i="1"/>
  <c r="I1004" i="1" s="1"/>
  <c r="J1004" i="1"/>
  <c r="F1005" i="1"/>
  <c r="I1005" i="1" s="1"/>
  <c r="J1005" i="1"/>
  <c r="D1006" i="1"/>
  <c r="E1006" i="1"/>
  <c r="F1006" i="1"/>
  <c r="I1006" i="1" s="1"/>
  <c r="J1006" i="1"/>
  <c r="D1007" i="1"/>
  <c r="E1007" i="1"/>
  <c r="F1007" i="1"/>
  <c r="I1007" i="1" s="1"/>
  <c r="J1007" i="1"/>
  <c r="D1008" i="1"/>
  <c r="E1008" i="1"/>
  <c r="F1008" i="1"/>
  <c r="I1008" i="1" s="1"/>
  <c r="J1008" i="1"/>
  <c r="D1010" i="1"/>
  <c r="E1010" i="1"/>
  <c r="F1010" i="1"/>
  <c r="I1010" i="1" s="1"/>
  <c r="J1010" i="1"/>
  <c r="F1011" i="1"/>
  <c r="I1011" i="1" s="1"/>
  <c r="J1011" i="1"/>
  <c r="J993" i="1"/>
  <c r="E993" i="1"/>
  <c r="F993" i="1"/>
  <c r="I993" i="1" s="1"/>
  <c r="D993" i="1"/>
  <c r="D965" i="1"/>
  <c r="E965" i="1"/>
  <c r="F965" i="1"/>
  <c r="I965" i="1" s="1"/>
  <c r="J965" i="1"/>
  <c r="D966" i="1"/>
  <c r="E966" i="1"/>
  <c r="F966" i="1"/>
  <c r="I966" i="1" s="1"/>
  <c r="J966" i="1"/>
  <c r="D967" i="1"/>
  <c r="E967" i="1"/>
  <c r="F967" i="1"/>
  <c r="I967" i="1" s="1"/>
  <c r="J967" i="1"/>
  <c r="D968" i="1"/>
  <c r="E968" i="1"/>
  <c r="F968" i="1"/>
  <c r="I968" i="1" s="1"/>
  <c r="J968" i="1"/>
  <c r="D969" i="1"/>
  <c r="E969" i="1"/>
  <c r="F969" i="1"/>
  <c r="I969" i="1" s="1"/>
  <c r="J969" i="1"/>
  <c r="D970" i="1"/>
  <c r="E970" i="1"/>
  <c r="F970" i="1"/>
  <c r="I970" i="1" s="1"/>
  <c r="J970" i="1"/>
  <c r="D971" i="1"/>
  <c r="E971" i="1"/>
  <c r="F971" i="1"/>
  <c r="I971" i="1" s="1"/>
  <c r="J971" i="1"/>
  <c r="D972" i="1"/>
  <c r="E972" i="1"/>
  <c r="F972" i="1"/>
  <c r="I972" i="1" s="1"/>
  <c r="J972" i="1"/>
  <c r="D973" i="1"/>
  <c r="E973" i="1"/>
  <c r="F973" i="1"/>
  <c r="I973" i="1" s="1"/>
  <c r="J973" i="1"/>
  <c r="D974" i="1"/>
  <c r="E974" i="1"/>
  <c r="F974" i="1"/>
  <c r="I974" i="1" s="1"/>
  <c r="J974" i="1"/>
  <c r="D975" i="1"/>
  <c r="E975" i="1"/>
  <c r="F975" i="1"/>
  <c r="I975" i="1" s="1"/>
  <c r="J975" i="1"/>
  <c r="F976" i="1"/>
  <c r="I976" i="1" s="1"/>
  <c r="J976" i="1"/>
  <c r="F977" i="1"/>
  <c r="I977" i="1" s="1"/>
  <c r="J977" i="1"/>
  <c r="D978" i="1"/>
  <c r="E978" i="1"/>
  <c r="F978" i="1"/>
  <c r="I978" i="1" s="1"/>
  <c r="J978" i="1"/>
  <c r="D979" i="1"/>
  <c r="E979" i="1"/>
  <c r="F979" i="1"/>
  <c r="I979" i="1" s="1"/>
  <c r="J979" i="1"/>
  <c r="D980" i="1"/>
  <c r="E980" i="1"/>
  <c r="F980" i="1"/>
  <c r="I980" i="1" s="1"/>
  <c r="J980" i="1"/>
  <c r="D982" i="1"/>
  <c r="E982" i="1"/>
  <c r="F982" i="1"/>
  <c r="I982" i="1" s="1"/>
  <c r="J982" i="1"/>
  <c r="F983" i="1"/>
  <c r="I983" i="1" s="1"/>
  <c r="J983" i="1"/>
  <c r="F984" i="1"/>
  <c r="I984" i="1" s="1"/>
  <c r="J984" i="1"/>
  <c r="F985" i="1"/>
  <c r="I985" i="1" s="1"/>
  <c r="J985" i="1"/>
  <c r="F986" i="1"/>
  <c r="I986" i="1" s="1"/>
  <c r="J986" i="1"/>
  <c r="F987" i="1"/>
  <c r="I987" i="1" s="1"/>
  <c r="J987" i="1"/>
  <c r="F988" i="1"/>
  <c r="I988" i="1" s="1"/>
  <c r="J988" i="1"/>
  <c r="F989" i="1"/>
  <c r="I989" i="1" s="1"/>
  <c r="J989" i="1"/>
  <c r="F990" i="1"/>
  <c r="I990" i="1" s="1"/>
  <c r="J990" i="1"/>
  <c r="F991" i="1"/>
  <c r="I991" i="1" s="1"/>
  <c r="J991" i="1"/>
  <c r="E964" i="1"/>
  <c r="F964" i="1"/>
  <c r="I964" i="1" s="1"/>
  <c r="B964" i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A964" i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31" i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B931" i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D992" i="1"/>
  <c r="J992" i="1"/>
  <c r="J964" i="1"/>
  <c r="D964" i="1"/>
  <c r="F959" i="1"/>
  <c r="I959" i="1" s="1"/>
  <c r="J959" i="1"/>
  <c r="F960" i="1"/>
  <c r="I960" i="1" s="1"/>
  <c r="J960" i="1"/>
  <c r="F961" i="1"/>
  <c r="I961" i="1" s="1"/>
  <c r="J961" i="1"/>
  <c r="F962" i="1"/>
  <c r="I962" i="1" s="1"/>
  <c r="J962" i="1"/>
  <c r="D963" i="1"/>
  <c r="E963" i="1"/>
  <c r="F963" i="1"/>
  <c r="J963" i="1"/>
  <c r="D932" i="1"/>
  <c r="E932" i="1"/>
  <c r="F932" i="1"/>
  <c r="I932" i="1" s="1"/>
  <c r="J932" i="1"/>
  <c r="D933" i="1"/>
  <c r="E933" i="1"/>
  <c r="F933" i="1"/>
  <c r="I933" i="1" s="1"/>
  <c r="J933" i="1"/>
  <c r="D934" i="1"/>
  <c r="E934" i="1"/>
  <c r="F934" i="1"/>
  <c r="I934" i="1" s="1"/>
  <c r="J934" i="1"/>
  <c r="D935" i="1"/>
  <c r="E935" i="1"/>
  <c r="F935" i="1"/>
  <c r="I935" i="1" s="1"/>
  <c r="J935" i="1"/>
  <c r="D936" i="1"/>
  <c r="E936" i="1"/>
  <c r="F936" i="1"/>
  <c r="I936" i="1" s="1"/>
  <c r="J936" i="1"/>
  <c r="D937" i="1"/>
  <c r="E937" i="1"/>
  <c r="F937" i="1"/>
  <c r="I937" i="1" s="1"/>
  <c r="J937" i="1"/>
  <c r="D938" i="1"/>
  <c r="E938" i="1"/>
  <c r="F938" i="1"/>
  <c r="I938" i="1" s="1"/>
  <c r="J938" i="1"/>
  <c r="D939" i="1"/>
  <c r="E939" i="1"/>
  <c r="F939" i="1"/>
  <c r="I939" i="1" s="1"/>
  <c r="J939" i="1"/>
  <c r="D940" i="1"/>
  <c r="E940" i="1"/>
  <c r="F940" i="1"/>
  <c r="I940" i="1" s="1"/>
  <c r="J940" i="1"/>
  <c r="D941" i="1"/>
  <c r="E941" i="1"/>
  <c r="F941" i="1"/>
  <c r="I941" i="1" s="1"/>
  <c r="J941" i="1"/>
  <c r="D942" i="1"/>
  <c r="E942" i="1"/>
  <c r="F942" i="1"/>
  <c r="I942" i="1" s="1"/>
  <c r="J942" i="1"/>
  <c r="D943" i="1"/>
  <c r="E943" i="1"/>
  <c r="F943" i="1"/>
  <c r="I943" i="1" s="1"/>
  <c r="J943" i="1"/>
  <c r="D944" i="1"/>
  <c r="E944" i="1"/>
  <c r="F944" i="1"/>
  <c r="I944" i="1" s="1"/>
  <c r="J944" i="1"/>
  <c r="F945" i="1"/>
  <c r="I945" i="1" s="1"/>
  <c r="J945" i="1"/>
  <c r="F946" i="1"/>
  <c r="I946" i="1" s="1"/>
  <c r="J946" i="1"/>
  <c r="D947" i="1"/>
  <c r="E947" i="1"/>
  <c r="F947" i="1"/>
  <c r="I947" i="1" s="1"/>
  <c r="J947" i="1"/>
  <c r="D948" i="1"/>
  <c r="E948" i="1"/>
  <c r="F948" i="1"/>
  <c r="I948" i="1" s="1"/>
  <c r="J948" i="1"/>
  <c r="D949" i="1"/>
  <c r="E949" i="1"/>
  <c r="F949" i="1"/>
  <c r="I949" i="1" s="1"/>
  <c r="J949" i="1"/>
  <c r="D951" i="1"/>
  <c r="E951" i="1"/>
  <c r="F951" i="1"/>
  <c r="I951" i="1" s="1"/>
  <c r="J951" i="1"/>
  <c r="F952" i="1"/>
  <c r="I952" i="1" s="1"/>
  <c r="J952" i="1"/>
  <c r="F953" i="1"/>
  <c r="I953" i="1" s="1"/>
  <c r="J953" i="1"/>
  <c r="F954" i="1"/>
  <c r="I954" i="1" s="1"/>
  <c r="J954" i="1"/>
  <c r="F955" i="1"/>
  <c r="I955" i="1" s="1"/>
  <c r="J955" i="1"/>
  <c r="F956" i="1"/>
  <c r="I956" i="1" s="1"/>
  <c r="J956" i="1"/>
  <c r="F957" i="1"/>
  <c r="I957" i="1" s="1"/>
  <c r="J957" i="1"/>
  <c r="F958" i="1"/>
  <c r="I958" i="1" s="1"/>
  <c r="J958" i="1"/>
  <c r="J931" i="1"/>
  <c r="E931" i="1"/>
  <c r="F931" i="1"/>
  <c r="I931" i="1" s="1"/>
  <c r="D931" i="1"/>
  <c r="B902" i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A902" i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F929" i="1"/>
  <c r="I929" i="1" s="1"/>
  <c r="J929" i="1"/>
  <c r="D930" i="1"/>
  <c r="E930" i="1"/>
  <c r="F930" i="1"/>
  <c r="J930" i="1"/>
  <c r="F924" i="1"/>
  <c r="I924" i="1" s="1"/>
  <c r="J924" i="1"/>
  <c r="F925" i="1"/>
  <c r="I925" i="1" s="1"/>
  <c r="J925" i="1"/>
  <c r="F926" i="1"/>
  <c r="I926" i="1" s="1"/>
  <c r="J926" i="1"/>
  <c r="F927" i="1"/>
  <c r="I927" i="1" s="1"/>
  <c r="J927" i="1"/>
  <c r="F928" i="1"/>
  <c r="I928" i="1" s="1"/>
  <c r="J928" i="1"/>
  <c r="D917" i="1"/>
  <c r="E917" i="1"/>
  <c r="F917" i="1"/>
  <c r="I917" i="1" s="1"/>
  <c r="J917" i="1"/>
  <c r="D918" i="1"/>
  <c r="E918" i="1"/>
  <c r="F918" i="1"/>
  <c r="I918" i="1" s="1"/>
  <c r="J918" i="1"/>
  <c r="D920" i="1"/>
  <c r="E920" i="1"/>
  <c r="F920" i="1"/>
  <c r="I920" i="1" s="1"/>
  <c r="J920" i="1"/>
  <c r="F921" i="1"/>
  <c r="I921" i="1" s="1"/>
  <c r="J921" i="1"/>
  <c r="F922" i="1"/>
  <c r="I922" i="1" s="1"/>
  <c r="J922" i="1"/>
  <c r="F923" i="1"/>
  <c r="I923" i="1" s="1"/>
  <c r="J923" i="1"/>
  <c r="D903" i="1"/>
  <c r="E903" i="1"/>
  <c r="F903" i="1"/>
  <c r="I903" i="1" s="1"/>
  <c r="J903" i="1"/>
  <c r="D904" i="1"/>
  <c r="E904" i="1"/>
  <c r="F904" i="1"/>
  <c r="I904" i="1" s="1"/>
  <c r="J904" i="1"/>
  <c r="D905" i="1"/>
  <c r="E905" i="1"/>
  <c r="F905" i="1"/>
  <c r="I905" i="1" s="1"/>
  <c r="J905" i="1"/>
  <c r="D906" i="1"/>
  <c r="E906" i="1"/>
  <c r="F906" i="1"/>
  <c r="I906" i="1" s="1"/>
  <c r="J906" i="1"/>
  <c r="D907" i="1"/>
  <c r="E907" i="1"/>
  <c r="F907" i="1"/>
  <c r="I907" i="1" s="1"/>
  <c r="J907" i="1"/>
  <c r="D908" i="1"/>
  <c r="E908" i="1"/>
  <c r="F908" i="1"/>
  <c r="I908" i="1" s="1"/>
  <c r="J908" i="1"/>
  <c r="D909" i="1"/>
  <c r="E909" i="1"/>
  <c r="F909" i="1"/>
  <c r="I909" i="1" s="1"/>
  <c r="J909" i="1"/>
  <c r="D910" i="1"/>
  <c r="E910" i="1"/>
  <c r="F910" i="1"/>
  <c r="I910" i="1" s="1"/>
  <c r="J910" i="1"/>
  <c r="D911" i="1"/>
  <c r="E911" i="1"/>
  <c r="F911" i="1"/>
  <c r="I911" i="1" s="1"/>
  <c r="J911" i="1"/>
  <c r="D912" i="1"/>
  <c r="E912" i="1"/>
  <c r="F912" i="1"/>
  <c r="I912" i="1" s="1"/>
  <c r="J912" i="1"/>
  <c r="D913" i="1"/>
  <c r="E913" i="1"/>
  <c r="F913" i="1"/>
  <c r="I913" i="1" s="1"/>
  <c r="J913" i="1"/>
  <c r="F914" i="1"/>
  <c r="I914" i="1" s="1"/>
  <c r="J914" i="1"/>
  <c r="F915" i="1"/>
  <c r="I915" i="1" s="1"/>
  <c r="J915" i="1"/>
  <c r="D916" i="1"/>
  <c r="E916" i="1"/>
  <c r="F916" i="1"/>
  <c r="I916" i="1" s="1"/>
  <c r="J916" i="1"/>
  <c r="J902" i="1"/>
  <c r="F902" i="1"/>
  <c r="I902" i="1" s="1"/>
  <c r="D902" i="1"/>
  <c r="E902" i="1"/>
  <c r="B874" i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A874" i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D875" i="1"/>
  <c r="D876" i="1"/>
  <c r="D877" i="1"/>
  <c r="D878" i="1"/>
  <c r="D879" i="1"/>
  <c r="D880" i="1"/>
  <c r="D881" i="1"/>
  <c r="D882" i="1"/>
  <c r="D883" i="1"/>
  <c r="D884" i="1"/>
  <c r="D887" i="1"/>
  <c r="D888" i="1"/>
  <c r="D889" i="1"/>
  <c r="D891" i="1"/>
  <c r="E901" i="1"/>
  <c r="F901" i="1"/>
  <c r="J901" i="1"/>
  <c r="F898" i="1"/>
  <c r="I898" i="1" s="1"/>
  <c r="J898" i="1"/>
  <c r="F899" i="1"/>
  <c r="I899" i="1" s="1"/>
  <c r="J899" i="1"/>
  <c r="F900" i="1"/>
  <c r="I900" i="1" s="1"/>
  <c r="J900" i="1"/>
  <c r="F894" i="1"/>
  <c r="I894" i="1" s="1"/>
  <c r="J894" i="1"/>
  <c r="F895" i="1"/>
  <c r="I895" i="1" s="1"/>
  <c r="J895" i="1"/>
  <c r="F896" i="1"/>
  <c r="I896" i="1" s="1"/>
  <c r="J896" i="1"/>
  <c r="F897" i="1"/>
  <c r="I897" i="1" s="1"/>
  <c r="J897" i="1"/>
  <c r="E887" i="1"/>
  <c r="F887" i="1"/>
  <c r="I887" i="1" s="1"/>
  <c r="J887" i="1"/>
  <c r="E888" i="1"/>
  <c r="F888" i="1"/>
  <c r="I888" i="1" s="1"/>
  <c r="J888" i="1"/>
  <c r="E889" i="1"/>
  <c r="F889" i="1"/>
  <c r="I889" i="1" s="1"/>
  <c r="J889" i="1"/>
  <c r="E891" i="1"/>
  <c r="F891" i="1"/>
  <c r="I891" i="1" s="1"/>
  <c r="J891" i="1"/>
  <c r="F892" i="1"/>
  <c r="I892" i="1" s="1"/>
  <c r="J892" i="1"/>
  <c r="F893" i="1"/>
  <c r="I893" i="1" s="1"/>
  <c r="J893" i="1"/>
  <c r="E884" i="1"/>
  <c r="F884" i="1"/>
  <c r="I884" i="1" s="1"/>
  <c r="J884" i="1"/>
  <c r="F885" i="1"/>
  <c r="I885" i="1" s="1"/>
  <c r="J885" i="1"/>
  <c r="F886" i="1"/>
  <c r="I886" i="1" s="1"/>
  <c r="J886" i="1"/>
  <c r="E875" i="1"/>
  <c r="F875" i="1"/>
  <c r="I875" i="1" s="1"/>
  <c r="J875" i="1"/>
  <c r="E876" i="1"/>
  <c r="F876" i="1"/>
  <c r="I876" i="1" s="1"/>
  <c r="J876" i="1"/>
  <c r="E877" i="1"/>
  <c r="F877" i="1"/>
  <c r="I877" i="1" s="1"/>
  <c r="J877" i="1"/>
  <c r="E878" i="1"/>
  <c r="F878" i="1"/>
  <c r="I878" i="1" s="1"/>
  <c r="J878" i="1"/>
  <c r="E879" i="1"/>
  <c r="F879" i="1"/>
  <c r="I879" i="1" s="1"/>
  <c r="J879" i="1"/>
  <c r="E880" i="1"/>
  <c r="F880" i="1"/>
  <c r="I880" i="1" s="1"/>
  <c r="J880" i="1"/>
  <c r="E881" i="1"/>
  <c r="F881" i="1"/>
  <c r="I881" i="1" s="1"/>
  <c r="J881" i="1"/>
  <c r="E882" i="1"/>
  <c r="F882" i="1"/>
  <c r="I882" i="1" s="1"/>
  <c r="J882" i="1"/>
  <c r="E883" i="1"/>
  <c r="F883" i="1"/>
  <c r="I883" i="1" s="1"/>
  <c r="J883" i="1"/>
  <c r="J874" i="1"/>
  <c r="E874" i="1"/>
  <c r="F874" i="1"/>
  <c r="I874" i="1" s="1"/>
  <c r="D874" i="1"/>
  <c r="B839" i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A839" i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D873" i="1"/>
  <c r="E873" i="1"/>
  <c r="F873" i="1"/>
  <c r="J873" i="1"/>
  <c r="F869" i="1"/>
  <c r="I869" i="1" s="1"/>
  <c r="J869" i="1"/>
  <c r="F870" i="1"/>
  <c r="I870" i="1" s="1"/>
  <c r="J870" i="1"/>
  <c r="F871" i="1"/>
  <c r="I871" i="1" s="1"/>
  <c r="J871" i="1"/>
  <c r="F872" i="1"/>
  <c r="I872" i="1" s="1"/>
  <c r="J872" i="1"/>
  <c r="F863" i="1"/>
  <c r="I863" i="1" s="1"/>
  <c r="J863" i="1"/>
  <c r="F864" i="1"/>
  <c r="I864" i="1" s="1"/>
  <c r="J864" i="1"/>
  <c r="F865" i="1"/>
  <c r="I865" i="1" s="1"/>
  <c r="J865" i="1"/>
  <c r="F866" i="1"/>
  <c r="I866" i="1" s="1"/>
  <c r="J866" i="1"/>
  <c r="F867" i="1"/>
  <c r="I867" i="1" s="1"/>
  <c r="J867" i="1"/>
  <c r="F868" i="1"/>
  <c r="I868" i="1" s="1"/>
  <c r="J868" i="1"/>
  <c r="D856" i="1"/>
  <c r="E856" i="1"/>
  <c r="F856" i="1"/>
  <c r="I856" i="1" s="1"/>
  <c r="J856" i="1"/>
  <c r="D857" i="1"/>
  <c r="E857" i="1"/>
  <c r="F857" i="1"/>
  <c r="I857" i="1" s="1"/>
  <c r="J857" i="1"/>
  <c r="D859" i="1"/>
  <c r="E859" i="1"/>
  <c r="F859" i="1"/>
  <c r="I859" i="1" s="1"/>
  <c r="J859" i="1"/>
  <c r="D860" i="1"/>
  <c r="F860" i="1"/>
  <c r="I860" i="1" s="1"/>
  <c r="J860" i="1"/>
  <c r="F861" i="1"/>
  <c r="I861" i="1" s="1"/>
  <c r="J861" i="1"/>
  <c r="F862" i="1"/>
  <c r="I862" i="1" s="1"/>
  <c r="J862" i="1"/>
  <c r="D840" i="1"/>
  <c r="E840" i="1"/>
  <c r="F840" i="1"/>
  <c r="I840" i="1" s="1"/>
  <c r="J840" i="1"/>
  <c r="D841" i="1"/>
  <c r="E841" i="1"/>
  <c r="F841" i="1"/>
  <c r="I841" i="1" s="1"/>
  <c r="J841" i="1"/>
  <c r="D842" i="1"/>
  <c r="E842" i="1"/>
  <c r="F842" i="1"/>
  <c r="I842" i="1" s="1"/>
  <c r="J842" i="1"/>
  <c r="D843" i="1"/>
  <c r="E843" i="1"/>
  <c r="F843" i="1"/>
  <c r="I843" i="1" s="1"/>
  <c r="J843" i="1"/>
  <c r="D844" i="1"/>
  <c r="E844" i="1"/>
  <c r="F844" i="1"/>
  <c r="I844" i="1" s="1"/>
  <c r="J844" i="1"/>
  <c r="D845" i="1"/>
  <c r="E845" i="1"/>
  <c r="F845" i="1"/>
  <c r="I845" i="1" s="1"/>
  <c r="J845" i="1"/>
  <c r="D846" i="1"/>
  <c r="E846" i="1"/>
  <c r="F846" i="1"/>
  <c r="I846" i="1" s="1"/>
  <c r="J846" i="1"/>
  <c r="D847" i="1"/>
  <c r="E847" i="1"/>
  <c r="F847" i="1"/>
  <c r="I847" i="1" s="1"/>
  <c r="J847" i="1"/>
  <c r="D848" i="1"/>
  <c r="E848" i="1"/>
  <c r="F848" i="1"/>
  <c r="I848" i="1" s="1"/>
  <c r="J848" i="1"/>
  <c r="D849" i="1"/>
  <c r="E849" i="1"/>
  <c r="F849" i="1"/>
  <c r="I849" i="1" s="1"/>
  <c r="J849" i="1"/>
  <c r="D850" i="1"/>
  <c r="E850" i="1"/>
  <c r="F850" i="1"/>
  <c r="I850" i="1" s="1"/>
  <c r="J850" i="1"/>
  <c r="D851" i="1"/>
  <c r="E851" i="1"/>
  <c r="F851" i="1"/>
  <c r="I851" i="1" s="1"/>
  <c r="J851" i="1"/>
  <c r="D852" i="1"/>
  <c r="E852" i="1"/>
  <c r="F852" i="1"/>
  <c r="I852" i="1" s="1"/>
  <c r="J852" i="1"/>
  <c r="F853" i="1"/>
  <c r="I853" i="1" s="1"/>
  <c r="J853" i="1"/>
  <c r="F854" i="1"/>
  <c r="I854" i="1" s="1"/>
  <c r="J854" i="1"/>
  <c r="D855" i="1"/>
  <c r="E855" i="1"/>
  <c r="F855" i="1"/>
  <c r="I855" i="1" s="1"/>
  <c r="J855" i="1"/>
  <c r="J839" i="1"/>
  <c r="E839" i="1"/>
  <c r="F839" i="1"/>
  <c r="I839" i="1" s="1"/>
  <c r="D839" i="1"/>
  <c r="D811" i="1"/>
  <c r="E811" i="1"/>
  <c r="F811" i="1"/>
  <c r="I811" i="1" s="1"/>
  <c r="J811" i="1"/>
  <c r="D812" i="1"/>
  <c r="E812" i="1"/>
  <c r="F812" i="1"/>
  <c r="I812" i="1" s="1"/>
  <c r="J812" i="1"/>
  <c r="D813" i="1"/>
  <c r="E813" i="1"/>
  <c r="F813" i="1"/>
  <c r="I813" i="1" s="1"/>
  <c r="J813" i="1"/>
  <c r="D814" i="1"/>
  <c r="E814" i="1"/>
  <c r="F814" i="1"/>
  <c r="I814" i="1" s="1"/>
  <c r="J814" i="1"/>
  <c r="D815" i="1"/>
  <c r="E815" i="1"/>
  <c r="F815" i="1"/>
  <c r="I815" i="1" s="1"/>
  <c r="J815" i="1"/>
  <c r="D816" i="1"/>
  <c r="E816" i="1"/>
  <c r="F816" i="1"/>
  <c r="I816" i="1" s="1"/>
  <c r="J816" i="1"/>
  <c r="D817" i="1"/>
  <c r="E817" i="1"/>
  <c r="F817" i="1"/>
  <c r="I817" i="1" s="1"/>
  <c r="J817" i="1"/>
  <c r="D818" i="1"/>
  <c r="E818" i="1"/>
  <c r="F818" i="1"/>
  <c r="I818" i="1" s="1"/>
  <c r="J818" i="1"/>
  <c r="D819" i="1"/>
  <c r="E819" i="1"/>
  <c r="F819" i="1"/>
  <c r="I819" i="1" s="1"/>
  <c r="J819" i="1"/>
  <c r="D820" i="1"/>
  <c r="E820" i="1"/>
  <c r="F820" i="1"/>
  <c r="I820" i="1" s="1"/>
  <c r="J820" i="1"/>
  <c r="D821" i="1"/>
  <c r="E821" i="1"/>
  <c r="F821" i="1"/>
  <c r="I821" i="1" s="1"/>
  <c r="J821" i="1"/>
  <c r="F822" i="1"/>
  <c r="I822" i="1" s="1"/>
  <c r="J822" i="1"/>
  <c r="F823" i="1"/>
  <c r="I823" i="1" s="1"/>
  <c r="J823" i="1"/>
  <c r="D824" i="1"/>
  <c r="E824" i="1"/>
  <c r="F824" i="1"/>
  <c r="I824" i="1" s="1"/>
  <c r="J824" i="1"/>
  <c r="D825" i="1"/>
  <c r="E825" i="1"/>
  <c r="F825" i="1"/>
  <c r="I825" i="1" s="1"/>
  <c r="J825" i="1"/>
  <c r="D826" i="1"/>
  <c r="E826" i="1"/>
  <c r="F826" i="1"/>
  <c r="I826" i="1" s="1"/>
  <c r="J826" i="1"/>
  <c r="D828" i="1"/>
  <c r="E828" i="1"/>
  <c r="F828" i="1"/>
  <c r="I828" i="1" s="1"/>
  <c r="J828" i="1"/>
  <c r="F829" i="1"/>
  <c r="I829" i="1" s="1"/>
  <c r="J829" i="1"/>
  <c r="F830" i="1"/>
  <c r="I830" i="1" s="1"/>
  <c r="J830" i="1"/>
  <c r="F831" i="1"/>
  <c r="I831" i="1" s="1"/>
  <c r="J831" i="1"/>
  <c r="F832" i="1"/>
  <c r="I832" i="1" s="1"/>
  <c r="J832" i="1"/>
  <c r="F833" i="1"/>
  <c r="I833" i="1" s="1"/>
  <c r="J833" i="1"/>
  <c r="F834" i="1"/>
  <c r="I834" i="1" s="1"/>
  <c r="J834" i="1"/>
  <c r="F835" i="1"/>
  <c r="I835" i="1" s="1"/>
  <c r="J835" i="1"/>
  <c r="F836" i="1"/>
  <c r="I836" i="1" s="1"/>
  <c r="J836" i="1"/>
  <c r="F837" i="1"/>
  <c r="I837" i="1" s="1"/>
  <c r="J837" i="1"/>
  <c r="D838" i="1"/>
  <c r="E838" i="1"/>
  <c r="F838" i="1"/>
  <c r="J838" i="1"/>
  <c r="J810" i="1"/>
  <c r="E810" i="1"/>
  <c r="F810" i="1"/>
  <c r="I810" i="1" s="1"/>
  <c r="D810" i="1"/>
  <c r="B810" i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A810" i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B781" i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A781" i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F807" i="1"/>
  <c r="I807" i="1" s="1"/>
  <c r="J807" i="1"/>
  <c r="F808" i="1"/>
  <c r="I808" i="1" s="1"/>
  <c r="J808" i="1"/>
  <c r="D809" i="1"/>
  <c r="E809" i="1"/>
  <c r="F809" i="1"/>
  <c r="J809" i="1"/>
  <c r="F803" i="1"/>
  <c r="I803" i="1" s="1"/>
  <c r="J803" i="1"/>
  <c r="F804" i="1"/>
  <c r="I804" i="1" s="1"/>
  <c r="J804" i="1"/>
  <c r="F805" i="1"/>
  <c r="I805" i="1" s="1"/>
  <c r="J805" i="1"/>
  <c r="F806" i="1"/>
  <c r="I806" i="1" s="1"/>
  <c r="J806" i="1"/>
  <c r="D782" i="1"/>
  <c r="E782" i="1"/>
  <c r="F782" i="1"/>
  <c r="I782" i="1" s="1"/>
  <c r="J782" i="1"/>
  <c r="D783" i="1"/>
  <c r="E783" i="1"/>
  <c r="F783" i="1"/>
  <c r="I783" i="1" s="1"/>
  <c r="J783" i="1"/>
  <c r="D784" i="1"/>
  <c r="E784" i="1"/>
  <c r="F784" i="1"/>
  <c r="I784" i="1" s="1"/>
  <c r="J784" i="1"/>
  <c r="D785" i="1"/>
  <c r="E785" i="1"/>
  <c r="F785" i="1"/>
  <c r="I785" i="1" s="1"/>
  <c r="J785" i="1"/>
  <c r="D786" i="1"/>
  <c r="E786" i="1"/>
  <c r="F786" i="1"/>
  <c r="I786" i="1" s="1"/>
  <c r="J786" i="1"/>
  <c r="D787" i="1"/>
  <c r="E787" i="1"/>
  <c r="F787" i="1"/>
  <c r="I787" i="1" s="1"/>
  <c r="J787" i="1"/>
  <c r="D788" i="1"/>
  <c r="E788" i="1"/>
  <c r="F788" i="1"/>
  <c r="I788" i="1" s="1"/>
  <c r="J788" i="1"/>
  <c r="D789" i="1"/>
  <c r="E789" i="1"/>
  <c r="F789" i="1"/>
  <c r="I789" i="1" s="1"/>
  <c r="J789" i="1"/>
  <c r="D790" i="1"/>
  <c r="E790" i="1"/>
  <c r="F790" i="1"/>
  <c r="I790" i="1" s="1"/>
  <c r="J790" i="1"/>
  <c r="D791" i="1"/>
  <c r="E791" i="1"/>
  <c r="F791" i="1"/>
  <c r="I791" i="1" s="1"/>
  <c r="J791" i="1"/>
  <c r="F792" i="1"/>
  <c r="I792" i="1" s="1"/>
  <c r="J792" i="1"/>
  <c r="F793" i="1"/>
  <c r="I793" i="1" s="1"/>
  <c r="J793" i="1"/>
  <c r="D794" i="1"/>
  <c r="E794" i="1"/>
  <c r="F794" i="1"/>
  <c r="I794" i="1" s="1"/>
  <c r="J794" i="1"/>
  <c r="D795" i="1"/>
  <c r="E795" i="1"/>
  <c r="F795" i="1"/>
  <c r="I795" i="1" s="1"/>
  <c r="J795" i="1"/>
  <c r="D796" i="1"/>
  <c r="E796" i="1"/>
  <c r="F796" i="1"/>
  <c r="I796" i="1" s="1"/>
  <c r="J796" i="1"/>
  <c r="D798" i="1"/>
  <c r="E798" i="1"/>
  <c r="F798" i="1"/>
  <c r="I798" i="1" s="1"/>
  <c r="J798" i="1"/>
  <c r="F799" i="1"/>
  <c r="I799" i="1" s="1"/>
  <c r="J799" i="1"/>
  <c r="F800" i="1"/>
  <c r="I800" i="1" s="1"/>
  <c r="J800" i="1"/>
  <c r="F801" i="1"/>
  <c r="I801" i="1" s="1"/>
  <c r="J801" i="1"/>
  <c r="F802" i="1"/>
  <c r="I802" i="1" s="1"/>
  <c r="J802" i="1"/>
  <c r="J781" i="1"/>
  <c r="E781" i="1"/>
  <c r="F781" i="1"/>
  <c r="I781" i="1" s="1"/>
  <c r="D781" i="1"/>
  <c r="D752" i="1"/>
  <c r="E752" i="1"/>
  <c r="F752" i="1"/>
  <c r="I752" i="1" s="1"/>
  <c r="D753" i="1"/>
  <c r="E753" i="1"/>
  <c r="F753" i="1"/>
  <c r="I753" i="1" s="1"/>
  <c r="D754" i="1"/>
  <c r="E754" i="1"/>
  <c r="F754" i="1"/>
  <c r="I754" i="1" s="1"/>
  <c r="D755" i="1"/>
  <c r="E755" i="1"/>
  <c r="F755" i="1"/>
  <c r="I755" i="1" s="1"/>
  <c r="D756" i="1"/>
  <c r="E756" i="1"/>
  <c r="F756" i="1"/>
  <c r="I756" i="1" s="1"/>
  <c r="D757" i="1"/>
  <c r="E757" i="1"/>
  <c r="F757" i="1"/>
  <c r="I757" i="1" s="1"/>
  <c r="D758" i="1"/>
  <c r="E758" i="1"/>
  <c r="F758" i="1"/>
  <c r="I758" i="1" s="1"/>
  <c r="D759" i="1"/>
  <c r="E759" i="1"/>
  <c r="F759" i="1"/>
  <c r="I759" i="1" s="1"/>
  <c r="D760" i="1"/>
  <c r="E760" i="1"/>
  <c r="F760" i="1"/>
  <c r="I760" i="1" s="1"/>
  <c r="D761" i="1"/>
  <c r="E761" i="1"/>
  <c r="F761" i="1"/>
  <c r="I761" i="1" s="1"/>
  <c r="F762" i="1"/>
  <c r="I762" i="1" s="1"/>
  <c r="F763" i="1"/>
  <c r="I763" i="1" s="1"/>
  <c r="D764" i="1"/>
  <c r="E764" i="1"/>
  <c r="F764" i="1"/>
  <c r="I764" i="1" s="1"/>
  <c r="D765" i="1"/>
  <c r="E765" i="1"/>
  <c r="F765" i="1"/>
  <c r="I765" i="1" s="1"/>
  <c r="D766" i="1"/>
  <c r="E766" i="1"/>
  <c r="F766" i="1"/>
  <c r="I766" i="1" s="1"/>
  <c r="D767" i="1"/>
  <c r="E767" i="1"/>
  <c r="F767" i="1"/>
  <c r="I767" i="1" s="1"/>
  <c r="D769" i="1"/>
  <c r="E769" i="1"/>
  <c r="F769" i="1"/>
  <c r="I769" i="1" s="1"/>
  <c r="F770" i="1"/>
  <c r="I770" i="1" s="1"/>
  <c r="F771" i="1"/>
  <c r="I771" i="1" s="1"/>
  <c r="F772" i="1"/>
  <c r="I772" i="1" s="1"/>
  <c r="F773" i="1"/>
  <c r="I773" i="1" s="1"/>
  <c r="F774" i="1"/>
  <c r="I774" i="1" s="1"/>
  <c r="F775" i="1"/>
  <c r="I775" i="1" s="1"/>
  <c r="F776" i="1"/>
  <c r="I776" i="1" s="1"/>
  <c r="F777" i="1"/>
  <c r="I777" i="1" s="1"/>
  <c r="F778" i="1"/>
  <c r="I778" i="1" s="1"/>
  <c r="F779" i="1"/>
  <c r="I779" i="1" s="1"/>
  <c r="D780" i="1"/>
  <c r="E780" i="1"/>
  <c r="F780" i="1"/>
  <c r="E751" i="1"/>
  <c r="F751" i="1"/>
  <c r="I751" i="1" s="1"/>
  <c r="D751" i="1"/>
  <c r="B751" i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A751" i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B723" i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A723" i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F748" i="1"/>
  <c r="I748" i="1" s="1"/>
  <c r="F749" i="1"/>
  <c r="I749" i="1" s="1"/>
  <c r="D750" i="1"/>
  <c r="E750" i="1"/>
  <c r="F750" i="1"/>
  <c r="F744" i="1"/>
  <c r="I744" i="1" s="1"/>
  <c r="F745" i="1"/>
  <c r="I745" i="1" s="1"/>
  <c r="F746" i="1"/>
  <c r="I746" i="1" s="1"/>
  <c r="F747" i="1"/>
  <c r="I747" i="1" s="1"/>
  <c r="D736" i="1"/>
  <c r="E736" i="1"/>
  <c r="F736" i="1"/>
  <c r="I736" i="1" s="1"/>
  <c r="D737" i="1"/>
  <c r="E737" i="1"/>
  <c r="F737" i="1"/>
  <c r="I737" i="1" s="1"/>
  <c r="D738" i="1"/>
  <c r="E738" i="1"/>
  <c r="F738" i="1"/>
  <c r="I738" i="1" s="1"/>
  <c r="D740" i="1"/>
  <c r="E740" i="1"/>
  <c r="F740" i="1"/>
  <c r="I740" i="1" s="1"/>
  <c r="F741" i="1"/>
  <c r="I741" i="1" s="1"/>
  <c r="F742" i="1"/>
  <c r="I742" i="1" s="1"/>
  <c r="F743" i="1"/>
  <c r="I743" i="1" s="1"/>
  <c r="D731" i="1"/>
  <c r="E731" i="1"/>
  <c r="F731" i="1"/>
  <c r="I731" i="1" s="1"/>
  <c r="D732" i="1"/>
  <c r="E732" i="1"/>
  <c r="F732" i="1"/>
  <c r="I732" i="1" s="1"/>
  <c r="D733" i="1"/>
  <c r="E733" i="1"/>
  <c r="F733" i="1"/>
  <c r="I733" i="1" s="1"/>
  <c r="F734" i="1"/>
  <c r="I734" i="1" s="1"/>
  <c r="F735" i="1"/>
  <c r="I735" i="1" s="1"/>
  <c r="D724" i="1"/>
  <c r="E724" i="1"/>
  <c r="F724" i="1"/>
  <c r="I724" i="1" s="1"/>
  <c r="D725" i="1"/>
  <c r="E725" i="1"/>
  <c r="F725" i="1"/>
  <c r="I725" i="1" s="1"/>
  <c r="D726" i="1"/>
  <c r="E726" i="1"/>
  <c r="F726" i="1"/>
  <c r="I726" i="1" s="1"/>
  <c r="D727" i="1"/>
  <c r="E727" i="1"/>
  <c r="F727" i="1"/>
  <c r="I727" i="1" s="1"/>
  <c r="D728" i="1"/>
  <c r="E728" i="1"/>
  <c r="F728" i="1"/>
  <c r="I728" i="1" s="1"/>
  <c r="D729" i="1"/>
  <c r="E729" i="1"/>
  <c r="F729" i="1"/>
  <c r="I729" i="1" s="1"/>
  <c r="D730" i="1"/>
  <c r="E730" i="1"/>
  <c r="F730" i="1"/>
  <c r="I730" i="1" s="1"/>
  <c r="E723" i="1"/>
  <c r="F723" i="1"/>
  <c r="I723" i="1" s="1"/>
  <c r="D723" i="1"/>
  <c r="F719" i="1"/>
  <c r="I719" i="1" s="1"/>
  <c r="J719" i="1"/>
  <c r="F720" i="1"/>
  <c r="I720" i="1" s="1"/>
  <c r="J720" i="1"/>
  <c r="F721" i="1"/>
  <c r="I721" i="1" s="1"/>
  <c r="J721" i="1"/>
  <c r="D722" i="1"/>
  <c r="E722" i="1"/>
  <c r="F722" i="1"/>
  <c r="J722" i="1"/>
  <c r="D694" i="1"/>
  <c r="E694" i="1"/>
  <c r="F694" i="1"/>
  <c r="I694" i="1" s="1"/>
  <c r="J694" i="1"/>
  <c r="D695" i="1"/>
  <c r="E695" i="1"/>
  <c r="F695" i="1"/>
  <c r="I695" i="1" s="1"/>
  <c r="J695" i="1"/>
  <c r="D696" i="1"/>
  <c r="E696" i="1"/>
  <c r="F696" i="1"/>
  <c r="I696" i="1" s="1"/>
  <c r="J696" i="1"/>
  <c r="D697" i="1"/>
  <c r="E697" i="1"/>
  <c r="F697" i="1"/>
  <c r="I697" i="1" s="1"/>
  <c r="J697" i="1"/>
  <c r="D698" i="1"/>
  <c r="E698" i="1"/>
  <c r="F698" i="1"/>
  <c r="I698" i="1" s="1"/>
  <c r="J698" i="1"/>
  <c r="D699" i="1"/>
  <c r="E699" i="1"/>
  <c r="F699" i="1"/>
  <c r="I699" i="1" s="1"/>
  <c r="J699" i="1"/>
  <c r="D700" i="1"/>
  <c r="E700" i="1"/>
  <c r="F700" i="1"/>
  <c r="I700" i="1" s="1"/>
  <c r="J700" i="1"/>
  <c r="D701" i="1"/>
  <c r="E701" i="1"/>
  <c r="F701" i="1"/>
  <c r="I701" i="1" s="1"/>
  <c r="J701" i="1"/>
  <c r="D702" i="1"/>
  <c r="E702" i="1"/>
  <c r="F702" i="1"/>
  <c r="I702" i="1" s="1"/>
  <c r="J702" i="1"/>
  <c r="D703" i="1"/>
  <c r="E703" i="1"/>
  <c r="F703" i="1"/>
  <c r="I703" i="1" s="1"/>
  <c r="J703" i="1"/>
  <c r="D704" i="1"/>
  <c r="E704" i="1"/>
  <c r="F704" i="1"/>
  <c r="I704" i="1" s="1"/>
  <c r="J704" i="1"/>
  <c r="D705" i="1"/>
  <c r="E705" i="1"/>
  <c r="F705" i="1"/>
  <c r="I705" i="1" s="1"/>
  <c r="J705" i="1"/>
  <c r="F706" i="1"/>
  <c r="I706" i="1" s="1"/>
  <c r="J706" i="1"/>
  <c r="F707" i="1"/>
  <c r="I707" i="1" s="1"/>
  <c r="J707" i="1"/>
  <c r="D708" i="1"/>
  <c r="E708" i="1"/>
  <c r="F708" i="1"/>
  <c r="I708" i="1" s="1"/>
  <c r="J708" i="1"/>
  <c r="D709" i="1"/>
  <c r="E709" i="1"/>
  <c r="F709" i="1"/>
  <c r="I709" i="1" s="1"/>
  <c r="J709" i="1"/>
  <c r="D710" i="1"/>
  <c r="E710" i="1"/>
  <c r="F710" i="1"/>
  <c r="I710" i="1" s="1"/>
  <c r="J710" i="1"/>
  <c r="D712" i="1"/>
  <c r="E712" i="1"/>
  <c r="F712" i="1"/>
  <c r="I712" i="1" s="1"/>
  <c r="J712" i="1"/>
  <c r="F713" i="1"/>
  <c r="I713" i="1" s="1"/>
  <c r="J713" i="1"/>
  <c r="F714" i="1"/>
  <c r="I714" i="1" s="1"/>
  <c r="J714" i="1"/>
  <c r="F715" i="1"/>
  <c r="I715" i="1" s="1"/>
  <c r="J715" i="1"/>
  <c r="F716" i="1"/>
  <c r="I716" i="1" s="1"/>
  <c r="J716" i="1"/>
  <c r="F717" i="1"/>
  <c r="I717" i="1" s="1"/>
  <c r="J717" i="1"/>
  <c r="F718" i="1"/>
  <c r="I718" i="1" s="1"/>
  <c r="J718" i="1"/>
  <c r="J693" i="1"/>
  <c r="E693" i="1"/>
  <c r="F693" i="1"/>
  <c r="I693" i="1" s="1"/>
  <c r="D693" i="1"/>
  <c r="B693" i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A693" i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B664" i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A664" i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F690" i="1"/>
  <c r="I690" i="1" s="1"/>
  <c r="J690" i="1"/>
  <c r="F691" i="1"/>
  <c r="I691" i="1" s="1"/>
  <c r="J691" i="1"/>
  <c r="D692" i="1"/>
  <c r="E692" i="1"/>
  <c r="F692" i="1"/>
  <c r="J692" i="1"/>
  <c r="F689" i="1"/>
  <c r="I689" i="1" s="1"/>
  <c r="J689" i="1"/>
  <c r="D665" i="1"/>
  <c r="E665" i="1"/>
  <c r="F665" i="1"/>
  <c r="I665" i="1" s="1"/>
  <c r="J665" i="1"/>
  <c r="D666" i="1"/>
  <c r="E666" i="1"/>
  <c r="F666" i="1"/>
  <c r="I666" i="1" s="1"/>
  <c r="J666" i="1"/>
  <c r="D667" i="1"/>
  <c r="E667" i="1"/>
  <c r="F667" i="1"/>
  <c r="I667" i="1" s="1"/>
  <c r="J667" i="1"/>
  <c r="D668" i="1"/>
  <c r="E668" i="1"/>
  <c r="F668" i="1"/>
  <c r="I668" i="1" s="1"/>
  <c r="J668" i="1"/>
  <c r="D669" i="1"/>
  <c r="E669" i="1"/>
  <c r="F669" i="1"/>
  <c r="I669" i="1" s="1"/>
  <c r="J669" i="1"/>
  <c r="D670" i="1"/>
  <c r="E670" i="1"/>
  <c r="F670" i="1"/>
  <c r="I670" i="1" s="1"/>
  <c r="J670" i="1"/>
  <c r="D671" i="1"/>
  <c r="E671" i="1"/>
  <c r="F671" i="1"/>
  <c r="I671" i="1" s="1"/>
  <c r="J671" i="1"/>
  <c r="D672" i="1"/>
  <c r="E672" i="1"/>
  <c r="F672" i="1"/>
  <c r="I672" i="1" s="1"/>
  <c r="J672" i="1"/>
  <c r="D673" i="1"/>
  <c r="E673" i="1"/>
  <c r="F673" i="1"/>
  <c r="I673" i="1" s="1"/>
  <c r="J673" i="1"/>
  <c r="D674" i="1"/>
  <c r="E674" i="1"/>
  <c r="F674" i="1"/>
  <c r="I674" i="1" s="1"/>
  <c r="J674" i="1"/>
  <c r="D675" i="1"/>
  <c r="E675" i="1"/>
  <c r="F675" i="1"/>
  <c r="I675" i="1" s="1"/>
  <c r="J675" i="1"/>
  <c r="F676" i="1"/>
  <c r="I676" i="1" s="1"/>
  <c r="J676" i="1"/>
  <c r="F677" i="1"/>
  <c r="I677" i="1" s="1"/>
  <c r="J677" i="1"/>
  <c r="D678" i="1"/>
  <c r="E678" i="1"/>
  <c r="F678" i="1"/>
  <c r="I678" i="1" s="1"/>
  <c r="J678" i="1"/>
  <c r="D679" i="1"/>
  <c r="E679" i="1"/>
  <c r="F679" i="1"/>
  <c r="I679" i="1" s="1"/>
  <c r="J679" i="1"/>
  <c r="D680" i="1"/>
  <c r="E680" i="1"/>
  <c r="F680" i="1"/>
  <c r="I680" i="1" s="1"/>
  <c r="J680" i="1"/>
  <c r="D682" i="1"/>
  <c r="E682" i="1"/>
  <c r="F682" i="1"/>
  <c r="I682" i="1" s="1"/>
  <c r="J682" i="1"/>
  <c r="F683" i="1"/>
  <c r="I683" i="1" s="1"/>
  <c r="J683" i="1"/>
  <c r="F684" i="1"/>
  <c r="I684" i="1" s="1"/>
  <c r="J684" i="1"/>
  <c r="F685" i="1"/>
  <c r="I685" i="1" s="1"/>
  <c r="J685" i="1"/>
  <c r="F686" i="1"/>
  <c r="I686" i="1" s="1"/>
  <c r="J686" i="1"/>
  <c r="F687" i="1"/>
  <c r="I687" i="1" s="1"/>
  <c r="J687" i="1"/>
  <c r="F688" i="1"/>
  <c r="I688" i="1" s="1"/>
  <c r="J688" i="1"/>
  <c r="J664" i="1"/>
  <c r="E664" i="1"/>
  <c r="F664" i="1"/>
  <c r="I664" i="1" s="1"/>
  <c r="D664" i="1"/>
  <c r="F662" i="1"/>
  <c r="I662" i="1" s="1"/>
  <c r="J662" i="1"/>
  <c r="D663" i="1"/>
  <c r="E663" i="1"/>
  <c r="F663" i="1"/>
  <c r="F657" i="1"/>
  <c r="I657" i="1" s="1"/>
  <c r="J657" i="1"/>
  <c r="F658" i="1"/>
  <c r="I658" i="1" s="1"/>
  <c r="J658" i="1"/>
  <c r="F659" i="1"/>
  <c r="I659" i="1" s="1"/>
  <c r="J659" i="1"/>
  <c r="F660" i="1"/>
  <c r="I660" i="1" s="1"/>
  <c r="J660" i="1"/>
  <c r="F661" i="1"/>
  <c r="I661" i="1" s="1"/>
  <c r="J661" i="1"/>
  <c r="F654" i="1"/>
  <c r="I654" i="1" s="1"/>
  <c r="J654" i="1"/>
  <c r="F655" i="1"/>
  <c r="I655" i="1" s="1"/>
  <c r="J655" i="1"/>
  <c r="F656" i="1"/>
  <c r="I656" i="1" s="1"/>
  <c r="J656" i="1"/>
  <c r="D637" i="1"/>
  <c r="E637" i="1"/>
  <c r="F637" i="1"/>
  <c r="I637" i="1" s="1"/>
  <c r="J637" i="1"/>
  <c r="D638" i="1"/>
  <c r="E638" i="1"/>
  <c r="F638" i="1"/>
  <c r="I638" i="1" s="1"/>
  <c r="J638" i="1"/>
  <c r="D639" i="1"/>
  <c r="E639" i="1"/>
  <c r="F639" i="1"/>
  <c r="I639" i="1" s="1"/>
  <c r="J639" i="1"/>
  <c r="D640" i="1"/>
  <c r="E640" i="1"/>
  <c r="F640" i="1"/>
  <c r="I640" i="1" s="1"/>
  <c r="J640" i="1"/>
  <c r="D641" i="1"/>
  <c r="E641" i="1"/>
  <c r="F641" i="1"/>
  <c r="I641" i="1" s="1"/>
  <c r="J641" i="1"/>
  <c r="D642" i="1"/>
  <c r="E642" i="1"/>
  <c r="F642" i="1"/>
  <c r="I642" i="1" s="1"/>
  <c r="J642" i="1"/>
  <c r="D643" i="1"/>
  <c r="E643" i="1"/>
  <c r="F643" i="1"/>
  <c r="I643" i="1" s="1"/>
  <c r="J643" i="1"/>
  <c r="D644" i="1"/>
  <c r="E644" i="1"/>
  <c r="F644" i="1"/>
  <c r="I644" i="1" s="1"/>
  <c r="J644" i="1"/>
  <c r="D645" i="1"/>
  <c r="E645" i="1"/>
  <c r="F645" i="1"/>
  <c r="I645" i="1" s="1"/>
  <c r="J645" i="1"/>
  <c r="D646" i="1"/>
  <c r="E646" i="1"/>
  <c r="F646" i="1"/>
  <c r="I646" i="1" s="1"/>
  <c r="J646" i="1"/>
  <c r="F647" i="1"/>
  <c r="I647" i="1" s="1"/>
  <c r="J647" i="1"/>
  <c r="F648" i="1"/>
  <c r="I648" i="1" s="1"/>
  <c r="J648" i="1"/>
  <c r="D649" i="1"/>
  <c r="E649" i="1"/>
  <c r="F649" i="1"/>
  <c r="I649" i="1" s="1"/>
  <c r="J649" i="1"/>
  <c r="D650" i="1"/>
  <c r="E650" i="1"/>
  <c r="F650" i="1"/>
  <c r="I650" i="1" s="1"/>
  <c r="J650" i="1"/>
  <c r="D651" i="1"/>
  <c r="E651" i="1"/>
  <c r="F651" i="1"/>
  <c r="I651" i="1" s="1"/>
  <c r="J651" i="1"/>
  <c r="D653" i="1"/>
  <c r="E653" i="1"/>
  <c r="F653" i="1"/>
  <c r="I653" i="1" s="1"/>
  <c r="J653" i="1"/>
  <c r="J636" i="1"/>
  <c r="E636" i="1"/>
  <c r="F636" i="1"/>
  <c r="I636" i="1" s="1"/>
  <c r="D636" i="1"/>
  <c r="B636" i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A636" i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B607" i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A607" i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D608" i="1"/>
  <c r="E608" i="1"/>
  <c r="F608" i="1"/>
  <c r="I608" i="1" s="1"/>
  <c r="J608" i="1"/>
  <c r="D609" i="1"/>
  <c r="E609" i="1"/>
  <c r="F609" i="1"/>
  <c r="I609" i="1" s="1"/>
  <c r="J609" i="1"/>
  <c r="D610" i="1"/>
  <c r="E610" i="1"/>
  <c r="F610" i="1"/>
  <c r="I610" i="1" s="1"/>
  <c r="J610" i="1"/>
  <c r="D611" i="1"/>
  <c r="E611" i="1"/>
  <c r="F611" i="1"/>
  <c r="I611" i="1" s="1"/>
  <c r="J611" i="1"/>
  <c r="D612" i="1"/>
  <c r="E612" i="1"/>
  <c r="F612" i="1"/>
  <c r="I612" i="1" s="1"/>
  <c r="J612" i="1"/>
  <c r="D613" i="1"/>
  <c r="E613" i="1"/>
  <c r="F613" i="1"/>
  <c r="I613" i="1" s="1"/>
  <c r="J613" i="1"/>
  <c r="D614" i="1"/>
  <c r="E614" i="1"/>
  <c r="F614" i="1"/>
  <c r="I614" i="1" s="1"/>
  <c r="J614" i="1"/>
  <c r="D615" i="1"/>
  <c r="E615" i="1"/>
  <c r="F615" i="1"/>
  <c r="I615" i="1" s="1"/>
  <c r="J615" i="1"/>
  <c r="D616" i="1"/>
  <c r="E616" i="1"/>
  <c r="F616" i="1"/>
  <c r="I616" i="1" s="1"/>
  <c r="J616" i="1"/>
  <c r="D617" i="1"/>
  <c r="E617" i="1"/>
  <c r="F617" i="1"/>
  <c r="I617" i="1" s="1"/>
  <c r="J617" i="1"/>
  <c r="D618" i="1"/>
  <c r="E618" i="1"/>
  <c r="F618" i="1"/>
  <c r="I618" i="1" s="1"/>
  <c r="J618" i="1"/>
  <c r="F619" i="1"/>
  <c r="I619" i="1" s="1"/>
  <c r="J619" i="1"/>
  <c r="F620" i="1"/>
  <c r="I620" i="1" s="1"/>
  <c r="J620" i="1"/>
  <c r="D621" i="1"/>
  <c r="E621" i="1"/>
  <c r="F621" i="1"/>
  <c r="I621" i="1" s="1"/>
  <c r="J621" i="1"/>
  <c r="D622" i="1"/>
  <c r="E622" i="1"/>
  <c r="F622" i="1"/>
  <c r="I622" i="1" s="1"/>
  <c r="J622" i="1"/>
  <c r="D623" i="1"/>
  <c r="E623" i="1"/>
  <c r="F623" i="1"/>
  <c r="J623" i="1"/>
  <c r="D625" i="1"/>
  <c r="E625" i="1"/>
  <c r="F625" i="1"/>
  <c r="I625" i="1" s="1"/>
  <c r="J625" i="1"/>
  <c r="F626" i="1"/>
  <c r="I626" i="1" s="1"/>
  <c r="J626" i="1"/>
  <c r="F627" i="1"/>
  <c r="I627" i="1" s="1"/>
  <c r="J627" i="1"/>
  <c r="F628" i="1"/>
  <c r="I628" i="1" s="1"/>
  <c r="J628" i="1"/>
  <c r="F629" i="1"/>
  <c r="I629" i="1" s="1"/>
  <c r="J629" i="1"/>
  <c r="F630" i="1"/>
  <c r="I630" i="1" s="1"/>
  <c r="J630" i="1"/>
  <c r="F631" i="1"/>
  <c r="I631" i="1" s="1"/>
  <c r="J631" i="1"/>
  <c r="F632" i="1"/>
  <c r="I632" i="1" s="1"/>
  <c r="J632" i="1"/>
  <c r="F633" i="1"/>
  <c r="I633" i="1" s="1"/>
  <c r="J633" i="1"/>
  <c r="F634" i="1"/>
  <c r="I634" i="1" s="1"/>
  <c r="J634" i="1"/>
  <c r="D635" i="1"/>
  <c r="E635" i="1"/>
  <c r="F635" i="1"/>
  <c r="J607" i="1"/>
  <c r="E607" i="1"/>
  <c r="F607" i="1"/>
  <c r="I607" i="1" s="1"/>
  <c r="D607" i="1"/>
  <c r="D579" i="1"/>
  <c r="E579" i="1"/>
  <c r="F579" i="1"/>
  <c r="I579" i="1" s="1"/>
  <c r="J579" i="1"/>
  <c r="D580" i="1"/>
  <c r="E580" i="1"/>
  <c r="F580" i="1"/>
  <c r="I580" i="1" s="1"/>
  <c r="J580" i="1"/>
  <c r="D581" i="1"/>
  <c r="E581" i="1"/>
  <c r="F581" i="1"/>
  <c r="I581" i="1" s="1"/>
  <c r="J581" i="1"/>
  <c r="D582" i="1"/>
  <c r="E582" i="1"/>
  <c r="F582" i="1"/>
  <c r="I582" i="1" s="1"/>
  <c r="J582" i="1"/>
  <c r="D583" i="1"/>
  <c r="E583" i="1"/>
  <c r="F583" i="1"/>
  <c r="I583" i="1" s="1"/>
  <c r="J583" i="1"/>
  <c r="D584" i="1"/>
  <c r="E584" i="1"/>
  <c r="F584" i="1"/>
  <c r="I584" i="1" s="1"/>
  <c r="J584" i="1"/>
  <c r="D585" i="1"/>
  <c r="E585" i="1"/>
  <c r="F585" i="1"/>
  <c r="I585" i="1" s="1"/>
  <c r="J585" i="1"/>
  <c r="D586" i="1"/>
  <c r="E586" i="1"/>
  <c r="F586" i="1"/>
  <c r="I586" i="1" s="1"/>
  <c r="J586" i="1"/>
  <c r="D587" i="1"/>
  <c r="E587" i="1"/>
  <c r="F587" i="1"/>
  <c r="I587" i="1" s="1"/>
  <c r="J587" i="1"/>
  <c r="D588" i="1"/>
  <c r="E588" i="1"/>
  <c r="F588" i="1"/>
  <c r="I588" i="1" s="1"/>
  <c r="J588" i="1"/>
  <c r="D589" i="1"/>
  <c r="E589" i="1"/>
  <c r="F589" i="1"/>
  <c r="I589" i="1" s="1"/>
  <c r="J589" i="1"/>
  <c r="F590" i="1"/>
  <c r="I590" i="1" s="1"/>
  <c r="J590" i="1"/>
  <c r="F591" i="1"/>
  <c r="I591" i="1" s="1"/>
  <c r="J591" i="1"/>
  <c r="D592" i="1"/>
  <c r="E592" i="1"/>
  <c r="F592" i="1"/>
  <c r="I592" i="1" s="1"/>
  <c r="J592" i="1"/>
  <c r="D593" i="1"/>
  <c r="E593" i="1"/>
  <c r="F593" i="1"/>
  <c r="I593" i="1" s="1"/>
  <c r="J593" i="1"/>
  <c r="D594" i="1"/>
  <c r="E594" i="1"/>
  <c r="F594" i="1"/>
  <c r="I594" i="1" s="1"/>
  <c r="J594" i="1"/>
  <c r="D596" i="1"/>
  <c r="E596" i="1"/>
  <c r="F596" i="1"/>
  <c r="I596" i="1" s="1"/>
  <c r="J596" i="1"/>
  <c r="F597" i="1"/>
  <c r="I597" i="1" s="1"/>
  <c r="J597" i="1"/>
  <c r="F598" i="1"/>
  <c r="I598" i="1" s="1"/>
  <c r="J598" i="1"/>
  <c r="F599" i="1"/>
  <c r="I599" i="1" s="1"/>
  <c r="J599" i="1"/>
  <c r="F600" i="1"/>
  <c r="I600" i="1" s="1"/>
  <c r="J600" i="1"/>
  <c r="F601" i="1"/>
  <c r="I601" i="1" s="1"/>
  <c r="J601" i="1"/>
  <c r="F602" i="1"/>
  <c r="I602" i="1" s="1"/>
  <c r="J602" i="1"/>
  <c r="F603" i="1"/>
  <c r="I603" i="1" s="1"/>
  <c r="J603" i="1"/>
  <c r="F604" i="1"/>
  <c r="I604" i="1" s="1"/>
  <c r="J604" i="1"/>
  <c r="F605" i="1"/>
  <c r="I605" i="1" s="1"/>
  <c r="J605" i="1"/>
  <c r="D606" i="1"/>
  <c r="E606" i="1"/>
  <c r="F606" i="1"/>
  <c r="J606" i="1"/>
  <c r="J578" i="1"/>
  <c r="E578" i="1"/>
  <c r="F578" i="1"/>
  <c r="I578" i="1" s="1"/>
  <c r="D578" i="1"/>
  <c r="B578" i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A578" i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E563" i="1"/>
  <c r="E576" i="1"/>
  <c r="E575" i="1"/>
  <c r="E574" i="1"/>
  <c r="E573" i="1"/>
  <c r="E572" i="1"/>
  <c r="E571" i="1"/>
  <c r="E570" i="1"/>
  <c r="E565" i="1"/>
  <c r="E566" i="1"/>
  <c r="E567" i="1"/>
  <c r="E568" i="1"/>
  <c r="E569" i="1"/>
  <c r="E564" i="1"/>
  <c r="E557" i="1"/>
  <c r="E556" i="1"/>
  <c r="F573" i="1"/>
  <c r="I573" i="1" s="1"/>
  <c r="J573" i="1"/>
  <c r="F574" i="1"/>
  <c r="I574" i="1" s="1"/>
  <c r="J574" i="1"/>
  <c r="F575" i="1"/>
  <c r="I575" i="1" s="1"/>
  <c r="J575" i="1"/>
  <c r="F576" i="1"/>
  <c r="I576" i="1" s="1"/>
  <c r="J576" i="1"/>
  <c r="F570" i="1"/>
  <c r="I570" i="1" s="1"/>
  <c r="J570" i="1"/>
  <c r="F571" i="1"/>
  <c r="I571" i="1" s="1"/>
  <c r="J571" i="1"/>
  <c r="F572" i="1"/>
  <c r="I572" i="1" s="1"/>
  <c r="J572" i="1"/>
  <c r="D543" i="1"/>
  <c r="E543" i="1"/>
  <c r="F543" i="1"/>
  <c r="I543" i="1" s="1"/>
  <c r="J543" i="1"/>
  <c r="D544" i="1"/>
  <c r="E544" i="1"/>
  <c r="F544" i="1"/>
  <c r="I544" i="1" s="1"/>
  <c r="J544" i="1"/>
  <c r="D545" i="1"/>
  <c r="E545" i="1"/>
  <c r="F545" i="1"/>
  <c r="I545" i="1" s="1"/>
  <c r="J545" i="1"/>
  <c r="D546" i="1"/>
  <c r="E546" i="1"/>
  <c r="F546" i="1"/>
  <c r="I546" i="1" s="1"/>
  <c r="J546" i="1"/>
  <c r="D547" i="1"/>
  <c r="E547" i="1"/>
  <c r="F547" i="1"/>
  <c r="I547" i="1" s="1"/>
  <c r="J547" i="1"/>
  <c r="D548" i="1"/>
  <c r="E548" i="1"/>
  <c r="F548" i="1"/>
  <c r="I548" i="1" s="1"/>
  <c r="J548" i="1"/>
  <c r="D549" i="1"/>
  <c r="E549" i="1"/>
  <c r="F549" i="1"/>
  <c r="I549" i="1" s="1"/>
  <c r="J549" i="1"/>
  <c r="D550" i="1"/>
  <c r="E550" i="1"/>
  <c r="F550" i="1"/>
  <c r="I550" i="1" s="1"/>
  <c r="J550" i="1"/>
  <c r="D551" i="1"/>
  <c r="E551" i="1"/>
  <c r="F551" i="1"/>
  <c r="I551" i="1" s="1"/>
  <c r="J551" i="1"/>
  <c r="D552" i="1"/>
  <c r="E552" i="1"/>
  <c r="F552" i="1"/>
  <c r="I552" i="1" s="1"/>
  <c r="J552" i="1"/>
  <c r="D553" i="1"/>
  <c r="E553" i="1"/>
  <c r="F553" i="1"/>
  <c r="I553" i="1" s="1"/>
  <c r="J553" i="1"/>
  <c r="D554" i="1"/>
  <c r="E554" i="1"/>
  <c r="F554" i="1"/>
  <c r="I554" i="1" s="1"/>
  <c r="J554" i="1"/>
  <c r="D555" i="1"/>
  <c r="E555" i="1"/>
  <c r="F555" i="1"/>
  <c r="I555" i="1" s="1"/>
  <c r="J555" i="1"/>
  <c r="F556" i="1"/>
  <c r="I556" i="1" s="1"/>
  <c r="J556" i="1"/>
  <c r="F557" i="1"/>
  <c r="I557" i="1" s="1"/>
  <c r="J557" i="1"/>
  <c r="D558" i="1"/>
  <c r="E558" i="1"/>
  <c r="F558" i="1"/>
  <c r="I558" i="1" s="1"/>
  <c r="J558" i="1"/>
  <c r="D559" i="1"/>
  <c r="E559" i="1"/>
  <c r="F559" i="1"/>
  <c r="I559" i="1" s="1"/>
  <c r="J559" i="1"/>
  <c r="D560" i="1"/>
  <c r="E560" i="1"/>
  <c r="F560" i="1"/>
  <c r="I560" i="1" s="1"/>
  <c r="J560" i="1"/>
  <c r="D562" i="1"/>
  <c r="E562" i="1"/>
  <c r="F562" i="1"/>
  <c r="I562" i="1" s="1"/>
  <c r="J562" i="1"/>
  <c r="F563" i="1"/>
  <c r="I563" i="1" s="1"/>
  <c r="J563" i="1"/>
  <c r="F564" i="1"/>
  <c r="I564" i="1" s="1"/>
  <c r="J564" i="1"/>
  <c r="F565" i="1"/>
  <c r="I565" i="1" s="1"/>
  <c r="J565" i="1"/>
  <c r="F566" i="1"/>
  <c r="I566" i="1" s="1"/>
  <c r="J566" i="1"/>
  <c r="F567" i="1"/>
  <c r="I567" i="1" s="1"/>
  <c r="J567" i="1"/>
  <c r="F568" i="1"/>
  <c r="I568" i="1" s="1"/>
  <c r="J568" i="1"/>
  <c r="F569" i="1"/>
  <c r="I569" i="1" s="1"/>
  <c r="J569" i="1"/>
  <c r="J542" i="1"/>
  <c r="F542" i="1"/>
  <c r="I542" i="1" s="1"/>
  <c r="E542" i="1"/>
  <c r="D542" i="1"/>
  <c r="E540" i="1"/>
  <c r="E539" i="1"/>
  <c r="E538" i="1"/>
  <c r="E533" i="1"/>
  <c r="E534" i="1"/>
  <c r="E535" i="1"/>
  <c r="E536" i="1"/>
  <c r="E537" i="1"/>
  <c r="E532" i="1"/>
  <c r="E526" i="1"/>
  <c r="E525" i="1"/>
  <c r="D514" i="1"/>
  <c r="E514" i="1"/>
  <c r="F514" i="1"/>
  <c r="I514" i="1" s="1"/>
  <c r="J514" i="1"/>
  <c r="D515" i="1"/>
  <c r="E515" i="1"/>
  <c r="F515" i="1"/>
  <c r="I515" i="1" s="1"/>
  <c r="J515" i="1"/>
  <c r="D516" i="1"/>
  <c r="E516" i="1"/>
  <c r="F516" i="1"/>
  <c r="I516" i="1" s="1"/>
  <c r="J516" i="1"/>
  <c r="D517" i="1"/>
  <c r="E517" i="1"/>
  <c r="F517" i="1"/>
  <c r="I517" i="1" s="1"/>
  <c r="J517" i="1"/>
  <c r="D518" i="1"/>
  <c r="E518" i="1"/>
  <c r="F518" i="1"/>
  <c r="I518" i="1" s="1"/>
  <c r="J518" i="1"/>
  <c r="D519" i="1"/>
  <c r="E519" i="1"/>
  <c r="F519" i="1"/>
  <c r="I519" i="1" s="1"/>
  <c r="J519" i="1"/>
  <c r="D520" i="1"/>
  <c r="E520" i="1"/>
  <c r="F520" i="1"/>
  <c r="I520" i="1" s="1"/>
  <c r="J520" i="1"/>
  <c r="D521" i="1"/>
  <c r="E521" i="1"/>
  <c r="F521" i="1"/>
  <c r="I521" i="1" s="1"/>
  <c r="J521" i="1"/>
  <c r="D522" i="1"/>
  <c r="E522" i="1"/>
  <c r="F522" i="1"/>
  <c r="I522" i="1" s="1"/>
  <c r="J522" i="1"/>
  <c r="D523" i="1"/>
  <c r="E523" i="1"/>
  <c r="F523" i="1"/>
  <c r="I523" i="1" s="1"/>
  <c r="J523" i="1"/>
  <c r="D524" i="1"/>
  <c r="E524" i="1"/>
  <c r="F524" i="1"/>
  <c r="I524" i="1" s="1"/>
  <c r="J524" i="1"/>
  <c r="F525" i="1"/>
  <c r="I525" i="1" s="1"/>
  <c r="J525" i="1"/>
  <c r="F526" i="1"/>
  <c r="I526" i="1" s="1"/>
  <c r="J526" i="1"/>
  <c r="D527" i="1"/>
  <c r="E527" i="1"/>
  <c r="F527" i="1"/>
  <c r="I527" i="1" s="1"/>
  <c r="J527" i="1"/>
  <c r="D528" i="1"/>
  <c r="E528" i="1"/>
  <c r="F528" i="1"/>
  <c r="I528" i="1" s="1"/>
  <c r="J528" i="1"/>
  <c r="D529" i="1"/>
  <c r="E529" i="1"/>
  <c r="F529" i="1"/>
  <c r="I529" i="1" s="1"/>
  <c r="J529" i="1"/>
  <c r="D531" i="1"/>
  <c r="E531" i="1"/>
  <c r="F531" i="1"/>
  <c r="I531" i="1" s="1"/>
  <c r="J531" i="1"/>
  <c r="F532" i="1"/>
  <c r="I532" i="1" s="1"/>
  <c r="J532" i="1"/>
  <c r="F533" i="1"/>
  <c r="I533" i="1" s="1"/>
  <c r="J533" i="1"/>
  <c r="F534" i="1"/>
  <c r="I534" i="1" s="1"/>
  <c r="J534" i="1"/>
  <c r="F535" i="1"/>
  <c r="I535" i="1" s="1"/>
  <c r="J535" i="1"/>
  <c r="F536" i="1"/>
  <c r="I536" i="1" s="1"/>
  <c r="J536" i="1"/>
  <c r="F537" i="1"/>
  <c r="I537" i="1" s="1"/>
  <c r="J537" i="1"/>
  <c r="F538" i="1"/>
  <c r="I538" i="1" s="1"/>
  <c r="J538" i="1"/>
  <c r="F539" i="1"/>
  <c r="I539" i="1" s="1"/>
  <c r="J539" i="1"/>
  <c r="F540" i="1"/>
  <c r="I540" i="1" s="1"/>
  <c r="J540" i="1"/>
  <c r="D541" i="1"/>
  <c r="E541" i="1"/>
  <c r="F541" i="1"/>
  <c r="J513" i="1"/>
  <c r="E513" i="1"/>
  <c r="F513" i="1"/>
  <c r="I513" i="1" s="1"/>
  <c r="D513" i="1"/>
  <c r="E511" i="1"/>
  <c r="E510" i="1"/>
  <c r="E509" i="1"/>
  <c r="E504" i="1"/>
  <c r="E505" i="1"/>
  <c r="E506" i="1"/>
  <c r="E507" i="1"/>
  <c r="E508" i="1"/>
  <c r="E503" i="1"/>
  <c r="E497" i="1"/>
  <c r="E496" i="1"/>
  <c r="B513" i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D485" i="1"/>
  <c r="E485" i="1"/>
  <c r="F485" i="1"/>
  <c r="I485" i="1" s="1"/>
  <c r="J485" i="1"/>
  <c r="D486" i="1"/>
  <c r="E486" i="1"/>
  <c r="F486" i="1"/>
  <c r="I486" i="1" s="1"/>
  <c r="J486" i="1"/>
  <c r="D487" i="1"/>
  <c r="E487" i="1"/>
  <c r="F487" i="1"/>
  <c r="I487" i="1" s="1"/>
  <c r="J487" i="1"/>
  <c r="D488" i="1"/>
  <c r="E488" i="1"/>
  <c r="F488" i="1"/>
  <c r="I488" i="1" s="1"/>
  <c r="J488" i="1"/>
  <c r="D489" i="1"/>
  <c r="E489" i="1"/>
  <c r="F489" i="1"/>
  <c r="I489" i="1" s="1"/>
  <c r="J489" i="1"/>
  <c r="D490" i="1"/>
  <c r="E490" i="1"/>
  <c r="F490" i="1"/>
  <c r="I490" i="1" s="1"/>
  <c r="J490" i="1"/>
  <c r="D491" i="1"/>
  <c r="E491" i="1"/>
  <c r="F491" i="1"/>
  <c r="I491" i="1" s="1"/>
  <c r="J491" i="1"/>
  <c r="D492" i="1"/>
  <c r="E492" i="1"/>
  <c r="F492" i="1"/>
  <c r="I492" i="1" s="1"/>
  <c r="J492" i="1"/>
  <c r="D493" i="1"/>
  <c r="E493" i="1"/>
  <c r="F493" i="1"/>
  <c r="I493" i="1" s="1"/>
  <c r="J493" i="1"/>
  <c r="D494" i="1"/>
  <c r="E494" i="1"/>
  <c r="F494" i="1"/>
  <c r="I494" i="1" s="1"/>
  <c r="J494" i="1"/>
  <c r="D495" i="1"/>
  <c r="E495" i="1"/>
  <c r="F495" i="1"/>
  <c r="I495" i="1" s="1"/>
  <c r="J495" i="1"/>
  <c r="F496" i="1"/>
  <c r="I496" i="1" s="1"/>
  <c r="J496" i="1"/>
  <c r="F497" i="1"/>
  <c r="I497" i="1" s="1"/>
  <c r="J497" i="1"/>
  <c r="D498" i="1"/>
  <c r="E498" i="1"/>
  <c r="F498" i="1"/>
  <c r="I498" i="1" s="1"/>
  <c r="J498" i="1"/>
  <c r="D499" i="1"/>
  <c r="E499" i="1"/>
  <c r="F499" i="1"/>
  <c r="I499" i="1" s="1"/>
  <c r="J499" i="1"/>
  <c r="D500" i="1"/>
  <c r="E500" i="1"/>
  <c r="F500" i="1"/>
  <c r="I500" i="1" s="1"/>
  <c r="J500" i="1"/>
  <c r="D502" i="1"/>
  <c r="E502" i="1"/>
  <c r="F502" i="1"/>
  <c r="I502" i="1" s="1"/>
  <c r="J502" i="1"/>
  <c r="F503" i="1"/>
  <c r="I503" i="1" s="1"/>
  <c r="J503" i="1"/>
  <c r="F504" i="1"/>
  <c r="I504" i="1" s="1"/>
  <c r="J504" i="1"/>
  <c r="F505" i="1"/>
  <c r="I505" i="1" s="1"/>
  <c r="J505" i="1"/>
  <c r="F506" i="1"/>
  <c r="I506" i="1" s="1"/>
  <c r="J506" i="1"/>
  <c r="F507" i="1"/>
  <c r="I507" i="1" s="1"/>
  <c r="J507" i="1"/>
  <c r="F508" i="1"/>
  <c r="I508" i="1" s="1"/>
  <c r="J508" i="1"/>
  <c r="F509" i="1"/>
  <c r="I509" i="1" s="1"/>
  <c r="J509" i="1"/>
  <c r="F510" i="1"/>
  <c r="I510" i="1" s="1"/>
  <c r="J510" i="1"/>
  <c r="F511" i="1"/>
  <c r="I511" i="1" s="1"/>
  <c r="J511" i="1"/>
  <c r="D512" i="1"/>
  <c r="E512" i="1"/>
  <c r="F512" i="1"/>
  <c r="J484" i="1"/>
  <c r="E484" i="1"/>
  <c r="F484" i="1"/>
  <c r="I484" i="1" s="1"/>
  <c r="D484" i="1"/>
  <c r="B484" i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A484" i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F455" i="1"/>
  <c r="E475" i="1"/>
  <c r="E476" i="1"/>
  <c r="E477" i="1"/>
  <c r="E478" i="1"/>
  <c r="E479" i="1"/>
  <c r="E474" i="1"/>
  <c r="E436" i="1"/>
  <c r="E437" i="1"/>
  <c r="E435" i="1"/>
  <c r="E454" i="1"/>
  <c r="E453" i="1"/>
  <c r="E445" i="1"/>
  <c r="E446" i="1"/>
  <c r="E447" i="1"/>
  <c r="E448" i="1"/>
  <c r="E449" i="1"/>
  <c r="E450" i="1"/>
  <c r="E451" i="1"/>
  <c r="E444" i="1"/>
  <c r="E482" i="1"/>
  <c r="E481" i="1"/>
  <c r="E480" i="1"/>
  <c r="E468" i="1"/>
  <c r="E467" i="1"/>
  <c r="F480" i="1"/>
  <c r="I480" i="1" s="1"/>
  <c r="J480" i="1"/>
  <c r="F481" i="1"/>
  <c r="I481" i="1" s="1"/>
  <c r="J481" i="1"/>
  <c r="F482" i="1"/>
  <c r="I482" i="1" s="1"/>
  <c r="J482" i="1"/>
  <c r="D483" i="1"/>
  <c r="E483" i="1"/>
  <c r="F483" i="1"/>
  <c r="F477" i="1"/>
  <c r="I477" i="1" s="1"/>
  <c r="J477" i="1"/>
  <c r="F478" i="1"/>
  <c r="I478" i="1" s="1"/>
  <c r="J478" i="1"/>
  <c r="F479" i="1"/>
  <c r="I479" i="1" s="1"/>
  <c r="J479" i="1"/>
  <c r="F474" i="1"/>
  <c r="I474" i="1" s="1"/>
  <c r="J474" i="1"/>
  <c r="F475" i="1"/>
  <c r="I475" i="1" s="1"/>
  <c r="J475" i="1"/>
  <c r="F476" i="1"/>
  <c r="I476" i="1" s="1"/>
  <c r="J476" i="1"/>
  <c r="D457" i="1"/>
  <c r="E457" i="1"/>
  <c r="F457" i="1"/>
  <c r="I457" i="1" s="1"/>
  <c r="J457" i="1"/>
  <c r="D458" i="1"/>
  <c r="E458" i="1"/>
  <c r="F458" i="1"/>
  <c r="I458" i="1" s="1"/>
  <c r="J458" i="1"/>
  <c r="D459" i="1"/>
  <c r="E459" i="1"/>
  <c r="F459" i="1"/>
  <c r="I459" i="1" s="1"/>
  <c r="J459" i="1"/>
  <c r="D460" i="1"/>
  <c r="E460" i="1"/>
  <c r="F460" i="1"/>
  <c r="I460" i="1" s="1"/>
  <c r="J460" i="1"/>
  <c r="D461" i="1"/>
  <c r="E461" i="1"/>
  <c r="F461" i="1"/>
  <c r="I461" i="1" s="1"/>
  <c r="J461" i="1"/>
  <c r="D462" i="1"/>
  <c r="E462" i="1"/>
  <c r="F462" i="1"/>
  <c r="I462" i="1" s="1"/>
  <c r="J462" i="1"/>
  <c r="D463" i="1"/>
  <c r="E463" i="1"/>
  <c r="F463" i="1"/>
  <c r="I463" i="1" s="1"/>
  <c r="J463" i="1"/>
  <c r="D464" i="1"/>
  <c r="E464" i="1"/>
  <c r="F464" i="1"/>
  <c r="I464" i="1" s="1"/>
  <c r="J464" i="1"/>
  <c r="D465" i="1"/>
  <c r="E465" i="1"/>
  <c r="F465" i="1"/>
  <c r="I465" i="1" s="1"/>
  <c r="J465" i="1"/>
  <c r="D466" i="1"/>
  <c r="E466" i="1"/>
  <c r="F466" i="1"/>
  <c r="I466" i="1" s="1"/>
  <c r="J466" i="1"/>
  <c r="F467" i="1"/>
  <c r="I467" i="1" s="1"/>
  <c r="J467" i="1"/>
  <c r="F468" i="1"/>
  <c r="I468" i="1" s="1"/>
  <c r="J468" i="1"/>
  <c r="D469" i="1"/>
  <c r="E469" i="1"/>
  <c r="F469" i="1"/>
  <c r="I469" i="1" s="1"/>
  <c r="J469" i="1"/>
  <c r="D470" i="1"/>
  <c r="E470" i="1"/>
  <c r="F470" i="1"/>
  <c r="I470" i="1" s="1"/>
  <c r="J470" i="1"/>
  <c r="D471" i="1"/>
  <c r="E471" i="1"/>
  <c r="F471" i="1"/>
  <c r="I471" i="1" s="1"/>
  <c r="J471" i="1"/>
  <c r="D473" i="1"/>
  <c r="E473" i="1"/>
  <c r="F473" i="1"/>
  <c r="I473" i="1" s="1"/>
  <c r="J473" i="1"/>
  <c r="J456" i="1"/>
  <c r="E456" i="1"/>
  <c r="F456" i="1"/>
  <c r="I456" i="1" s="1"/>
  <c r="D456" i="1"/>
  <c r="D424" i="1"/>
  <c r="E424" i="1"/>
  <c r="F424" i="1"/>
  <c r="I424" i="1" s="1"/>
  <c r="J424" i="1"/>
  <c r="D425" i="1"/>
  <c r="E425" i="1"/>
  <c r="F425" i="1"/>
  <c r="I425" i="1" s="1"/>
  <c r="J425" i="1"/>
  <c r="D426" i="1"/>
  <c r="E426" i="1"/>
  <c r="F426" i="1"/>
  <c r="I426" i="1" s="1"/>
  <c r="J426" i="1"/>
  <c r="D427" i="1"/>
  <c r="E427" i="1"/>
  <c r="F427" i="1"/>
  <c r="I427" i="1" s="1"/>
  <c r="J427" i="1"/>
  <c r="D428" i="1"/>
  <c r="E428" i="1"/>
  <c r="F428" i="1"/>
  <c r="I428" i="1" s="1"/>
  <c r="J428" i="1"/>
  <c r="D429" i="1"/>
  <c r="E429" i="1"/>
  <c r="F429" i="1"/>
  <c r="I429" i="1" s="1"/>
  <c r="J429" i="1"/>
  <c r="D430" i="1"/>
  <c r="E430" i="1"/>
  <c r="F430" i="1"/>
  <c r="I430" i="1" s="1"/>
  <c r="J430" i="1"/>
  <c r="D431" i="1"/>
  <c r="E431" i="1"/>
  <c r="F431" i="1"/>
  <c r="I431" i="1" s="1"/>
  <c r="J431" i="1"/>
  <c r="D432" i="1"/>
  <c r="E432" i="1"/>
  <c r="F432" i="1"/>
  <c r="I432" i="1" s="1"/>
  <c r="J432" i="1"/>
  <c r="D433" i="1"/>
  <c r="E433" i="1"/>
  <c r="F433" i="1"/>
  <c r="I433" i="1" s="1"/>
  <c r="J433" i="1"/>
  <c r="D434" i="1"/>
  <c r="E434" i="1"/>
  <c r="F434" i="1"/>
  <c r="I434" i="1" s="1"/>
  <c r="J434" i="1"/>
  <c r="F435" i="1"/>
  <c r="I435" i="1" s="1"/>
  <c r="J435" i="1"/>
  <c r="F436" i="1"/>
  <c r="I436" i="1" s="1"/>
  <c r="J436" i="1"/>
  <c r="D437" i="1"/>
  <c r="F437" i="1"/>
  <c r="I437" i="1" s="1"/>
  <c r="J437" i="1"/>
  <c r="D438" i="1"/>
  <c r="E438" i="1"/>
  <c r="F438" i="1"/>
  <c r="I438" i="1" s="1"/>
  <c r="J438" i="1"/>
  <c r="D439" i="1"/>
  <c r="E439" i="1"/>
  <c r="F439" i="1"/>
  <c r="I439" i="1" s="1"/>
  <c r="J439" i="1"/>
  <c r="D440" i="1"/>
  <c r="E440" i="1"/>
  <c r="F440" i="1"/>
  <c r="I440" i="1" s="1"/>
  <c r="J440" i="1"/>
  <c r="D441" i="1"/>
  <c r="E441" i="1"/>
  <c r="F441" i="1"/>
  <c r="I441" i="1" s="1"/>
  <c r="J441" i="1"/>
  <c r="D443" i="1"/>
  <c r="E443" i="1"/>
  <c r="F443" i="1"/>
  <c r="I443" i="1" s="1"/>
  <c r="J443" i="1"/>
  <c r="F444" i="1"/>
  <c r="I444" i="1" s="1"/>
  <c r="J444" i="1"/>
  <c r="F445" i="1"/>
  <c r="I445" i="1" s="1"/>
  <c r="J445" i="1"/>
  <c r="F446" i="1"/>
  <c r="I446" i="1" s="1"/>
  <c r="J446" i="1"/>
  <c r="F447" i="1"/>
  <c r="I447" i="1" s="1"/>
  <c r="J447" i="1"/>
  <c r="F448" i="1"/>
  <c r="I448" i="1" s="1"/>
  <c r="J448" i="1"/>
  <c r="F449" i="1"/>
  <c r="I449" i="1" s="1"/>
  <c r="J449" i="1"/>
  <c r="F450" i="1"/>
  <c r="I450" i="1" s="1"/>
  <c r="J450" i="1"/>
  <c r="F451" i="1"/>
  <c r="I451" i="1" s="1"/>
  <c r="J451" i="1"/>
  <c r="F452" i="1"/>
  <c r="I452" i="1" s="1"/>
  <c r="J452" i="1"/>
  <c r="F453" i="1"/>
  <c r="I453" i="1" s="1"/>
  <c r="J453" i="1"/>
  <c r="F454" i="1"/>
  <c r="I454" i="1" s="1"/>
  <c r="J454" i="1"/>
  <c r="D455" i="1"/>
  <c r="E455" i="1"/>
  <c r="J423" i="1"/>
  <c r="E423" i="1"/>
  <c r="F423" i="1"/>
  <c r="I423" i="1" s="1"/>
  <c r="D423" i="1"/>
  <c r="E403" i="1"/>
  <c r="E402" i="1"/>
  <c r="F420" i="1"/>
  <c r="I420" i="1" s="1"/>
  <c r="J420" i="1"/>
  <c r="F421" i="1"/>
  <c r="I421" i="1" s="1"/>
  <c r="J421" i="1"/>
  <c r="D422" i="1"/>
  <c r="E422" i="1"/>
  <c r="F422" i="1"/>
  <c r="F417" i="1"/>
  <c r="I417" i="1" s="1"/>
  <c r="J417" i="1"/>
  <c r="F418" i="1"/>
  <c r="I418" i="1" s="1"/>
  <c r="J418" i="1"/>
  <c r="F419" i="1"/>
  <c r="I419" i="1" s="1"/>
  <c r="J419" i="1"/>
  <c r="D391" i="1"/>
  <c r="E391" i="1"/>
  <c r="F391" i="1"/>
  <c r="I391" i="1" s="1"/>
  <c r="J391" i="1"/>
  <c r="D392" i="1"/>
  <c r="E392" i="1"/>
  <c r="F392" i="1"/>
  <c r="I392" i="1" s="1"/>
  <c r="J392" i="1"/>
  <c r="D393" i="1"/>
  <c r="E393" i="1"/>
  <c r="F393" i="1"/>
  <c r="I393" i="1" s="1"/>
  <c r="J393" i="1"/>
  <c r="D394" i="1"/>
  <c r="E394" i="1"/>
  <c r="F394" i="1"/>
  <c r="I394" i="1" s="1"/>
  <c r="J394" i="1"/>
  <c r="D395" i="1"/>
  <c r="E395" i="1"/>
  <c r="F395" i="1"/>
  <c r="I395" i="1" s="1"/>
  <c r="J395" i="1"/>
  <c r="D396" i="1"/>
  <c r="E396" i="1"/>
  <c r="F396" i="1"/>
  <c r="I396" i="1" s="1"/>
  <c r="J396" i="1"/>
  <c r="D397" i="1"/>
  <c r="E397" i="1"/>
  <c r="F397" i="1"/>
  <c r="I397" i="1" s="1"/>
  <c r="J397" i="1"/>
  <c r="D398" i="1"/>
  <c r="E398" i="1"/>
  <c r="F398" i="1"/>
  <c r="I398" i="1" s="1"/>
  <c r="J398" i="1"/>
  <c r="D399" i="1"/>
  <c r="E399" i="1"/>
  <c r="F399" i="1"/>
  <c r="I399" i="1" s="1"/>
  <c r="J399" i="1"/>
  <c r="D400" i="1"/>
  <c r="E400" i="1"/>
  <c r="F400" i="1"/>
  <c r="I400" i="1" s="1"/>
  <c r="J400" i="1"/>
  <c r="D401" i="1"/>
  <c r="E401" i="1"/>
  <c r="F401" i="1"/>
  <c r="I401" i="1" s="1"/>
  <c r="J401" i="1"/>
  <c r="F402" i="1"/>
  <c r="I402" i="1" s="1"/>
  <c r="J402" i="1"/>
  <c r="F403" i="1"/>
  <c r="I403" i="1" s="1"/>
  <c r="J403" i="1"/>
  <c r="D404" i="1"/>
  <c r="E404" i="1"/>
  <c r="F404" i="1"/>
  <c r="I404" i="1" s="1"/>
  <c r="J404" i="1"/>
  <c r="D405" i="1"/>
  <c r="E405" i="1"/>
  <c r="F405" i="1"/>
  <c r="I405" i="1" s="1"/>
  <c r="J405" i="1"/>
  <c r="D406" i="1"/>
  <c r="E406" i="1"/>
  <c r="F406" i="1"/>
  <c r="I406" i="1" s="1"/>
  <c r="J406" i="1"/>
  <c r="D407" i="1"/>
  <c r="E407" i="1"/>
  <c r="F407" i="1"/>
  <c r="I407" i="1" s="1"/>
  <c r="J407" i="1"/>
  <c r="D408" i="1"/>
  <c r="E408" i="1"/>
  <c r="F408" i="1"/>
  <c r="I408" i="1" s="1"/>
  <c r="J408" i="1"/>
  <c r="D410" i="1"/>
  <c r="E410" i="1"/>
  <c r="F410" i="1"/>
  <c r="I410" i="1" s="1"/>
  <c r="J410" i="1"/>
  <c r="F411" i="1"/>
  <c r="I411" i="1" s="1"/>
  <c r="J411" i="1"/>
  <c r="F412" i="1"/>
  <c r="I412" i="1" s="1"/>
  <c r="J412" i="1"/>
  <c r="F413" i="1"/>
  <c r="I413" i="1" s="1"/>
  <c r="J413" i="1"/>
  <c r="F414" i="1"/>
  <c r="I414" i="1" s="1"/>
  <c r="J414" i="1"/>
  <c r="F415" i="1"/>
  <c r="I415" i="1" s="1"/>
  <c r="J415" i="1"/>
  <c r="F416" i="1"/>
  <c r="I416" i="1" s="1"/>
  <c r="J416" i="1"/>
  <c r="J390" i="1"/>
  <c r="E390" i="1"/>
  <c r="F390" i="1"/>
  <c r="I390" i="1" s="1"/>
  <c r="D390" i="1"/>
  <c r="E388" i="1"/>
  <c r="E387" i="1"/>
  <c r="E386" i="1"/>
  <c r="E379" i="1"/>
  <c r="E380" i="1"/>
  <c r="E381" i="1"/>
  <c r="E382" i="1"/>
  <c r="E383" i="1"/>
  <c r="E384" i="1"/>
  <c r="E385" i="1"/>
  <c r="E378" i="1"/>
  <c r="E370" i="1"/>
  <c r="E369" i="1"/>
  <c r="D358" i="1"/>
  <c r="E358" i="1"/>
  <c r="F358" i="1"/>
  <c r="I358" i="1" s="1"/>
  <c r="J358" i="1"/>
  <c r="D359" i="1"/>
  <c r="E359" i="1"/>
  <c r="F359" i="1"/>
  <c r="I359" i="1" s="1"/>
  <c r="J359" i="1"/>
  <c r="D360" i="1"/>
  <c r="E360" i="1"/>
  <c r="F360" i="1"/>
  <c r="I360" i="1" s="1"/>
  <c r="J360" i="1"/>
  <c r="D361" i="1"/>
  <c r="E361" i="1"/>
  <c r="F361" i="1"/>
  <c r="I361" i="1" s="1"/>
  <c r="J361" i="1"/>
  <c r="D362" i="1"/>
  <c r="E362" i="1"/>
  <c r="F362" i="1"/>
  <c r="I362" i="1" s="1"/>
  <c r="J362" i="1"/>
  <c r="D363" i="1"/>
  <c r="E363" i="1"/>
  <c r="F363" i="1"/>
  <c r="I363" i="1" s="1"/>
  <c r="J363" i="1"/>
  <c r="D364" i="1"/>
  <c r="E364" i="1"/>
  <c r="F364" i="1"/>
  <c r="I364" i="1" s="1"/>
  <c r="J364" i="1"/>
  <c r="D365" i="1"/>
  <c r="E365" i="1"/>
  <c r="F365" i="1"/>
  <c r="I365" i="1" s="1"/>
  <c r="J365" i="1"/>
  <c r="D366" i="1"/>
  <c r="E366" i="1"/>
  <c r="F366" i="1"/>
  <c r="I366" i="1" s="1"/>
  <c r="J366" i="1"/>
  <c r="D367" i="1"/>
  <c r="E367" i="1"/>
  <c r="F367" i="1"/>
  <c r="I367" i="1" s="1"/>
  <c r="J367" i="1"/>
  <c r="D368" i="1"/>
  <c r="E368" i="1"/>
  <c r="F368" i="1"/>
  <c r="I368" i="1" s="1"/>
  <c r="J368" i="1"/>
  <c r="F369" i="1"/>
  <c r="I369" i="1" s="1"/>
  <c r="J369" i="1"/>
  <c r="F370" i="1"/>
  <c r="I370" i="1" s="1"/>
  <c r="J370" i="1"/>
  <c r="D371" i="1"/>
  <c r="E371" i="1"/>
  <c r="F371" i="1"/>
  <c r="I371" i="1" s="1"/>
  <c r="J371" i="1"/>
  <c r="D372" i="1"/>
  <c r="E372" i="1"/>
  <c r="F372" i="1"/>
  <c r="I372" i="1" s="1"/>
  <c r="J372" i="1"/>
  <c r="D373" i="1"/>
  <c r="E373" i="1"/>
  <c r="F373" i="1"/>
  <c r="I373" i="1" s="1"/>
  <c r="J373" i="1"/>
  <c r="D374" i="1"/>
  <c r="E374" i="1"/>
  <c r="F374" i="1"/>
  <c r="I374" i="1" s="1"/>
  <c r="J374" i="1"/>
  <c r="D375" i="1"/>
  <c r="E375" i="1"/>
  <c r="F375" i="1"/>
  <c r="I375" i="1" s="1"/>
  <c r="J375" i="1"/>
  <c r="D377" i="1"/>
  <c r="E377" i="1"/>
  <c r="F377" i="1"/>
  <c r="I377" i="1" s="1"/>
  <c r="J377" i="1"/>
  <c r="F378" i="1"/>
  <c r="I378" i="1" s="1"/>
  <c r="J378" i="1"/>
  <c r="F379" i="1"/>
  <c r="I379" i="1" s="1"/>
  <c r="J379" i="1"/>
  <c r="F380" i="1"/>
  <c r="I380" i="1" s="1"/>
  <c r="J380" i="1"/>
  <c r="F381" i="1"/>
  <c r="I381" i="1" s="1"/>
  <c r="J381" i="1"/>
  <c r="F382" i="1"/>
  <c r="I382" i="1" s="1"/>
  <c r="J382" i="1"/>
  <c r="F383" i="1"/>
  <c r="I383" i="1" s="1"/>
  <c r="J383" i="1"/>
  <c r="F384" i="1"/>
  <c r="I384" i="1" s="1"/>
  <c r="J384" i="1"/>
  <c r="F385" i="1"/>
  <c r="I385" i="1" s="1"/>
  <c r="J385" i="1"/>
  <c r="F386" i="1"/>
  <c r="I386" i="1" s="1"/>
  <c r="J386" i="1"/>
  <c r="F387" i="1"/>
  <c r="I387" i="1" s="1"/>
  <c r="J387" i="1"/>
  <c r="F388" i="1"/>
  <c r="I388" i="1" s="1"/>
  <c r="J388" i="1"/>
  <c r="D389" i="1"/>
  <c r="E389" i="1"/>
  <c r="F389" i="1"/>
  <c r="J389" i="1"/>
  <c r="J357" i="1"/>
  <c r="E357" i="1"/>
  <c r="F357" i="1"/>
  <c r="I357" i="1" s="1"/>
  <c r="D357" i="1"/>
  <c r="E355" i="1"/>
  <c r="E354" i="1"/>
  <c r="E353" i="1"/>
  <c r="E346" i="1"/>
  <c r="E347" i="1"/>
  <c r="E348" i="1"/>
  <c r="E349" i="1"/>
  <c r="E350" i="1"/>
  <c r="E351" i="1"/>
  <c r="E352" i="1"/>
  <c r="E345" i="1"/>
  <c r="E336" i="1"/>
  <c r="E335" i="1"/>
  <c r="D321" i="1"/>
  <c r="E321" i="1"/>
  <c r="F321" i="1"/>
  <c r="I321" i="1" s="1"/>
  <c r="J321" i="1"/>
  <c r="D322" i="1"/>
  <c r="E322" i="1"/>
  <c r="F322" i="1"/>
  <c r="I322" i="1" s="1"/>
  <c r="J322" i="1"/>
  <c r="D323" i="1"/>
  <c r="E323" i="1"/>
  <c r="F323" i="1"/>
  <c r="I323" i="1" s="1"/>
  <c r="J323" i="1"/>
  <c r="D324" i="1"/>
  <c r="E324" i="1"/>
  <c r="F324" i="1"/>
  <c r="I324" i="1" s="1"/>
  <c r="J324" i="1"/>
  <c r="D325" i="1"/>
  <c r="E325" i="1"/>
  <c r="F325" i="1"/>
  <c r="I325" i="1" s="1"/>
  <c r="J325" i="1"/>
  <c r="D326" i="1"/>
  <c r="E326" i="1"/>
  <c r="F326" i="1"/>
  <c r="I326" i="1" s="1"/>
  <c r="J326" i="1"/>
  <c r="D327" i="1"/>
  <c r="E327" i="1"/>
  <c r="F327" i="1"/>
  <c r="I327" i="1" s="1"/>
  <c r="J327" i="1"/>
  <c r="D328" i="1"/>
  <c r="E328" i="1"/>
  <c r="F328" i="1"/>
  <c r="I328" i="1" s="1"/>
  <c r="J328" i="1"/>
  <c r="D329" i="1"/>
  <c r="E329" i="1"/>
  <c r="F329" i="1"/>
  <c r="I329" i="1" s="1"/>
  <c r="J329" i="1"/>
  <c r="D330" i="1"/>
  <c r="E330" i="1"/>
  <c r="F330" i="1"/>
  <c r="I330" i="1" s="1"/>
  <c r="J330" i="1"/>
  <c r="D331" i="1"/>
  <c r="E331" i="1"/>
  <c r="F331" i="1"/>
  <c r="I331" i="1" s="1"/>
  <c r="J331" i="1"/>
  <c r="D332" i="1"/>
  <c r="E332" i="1"/>
  <c r="F332" i="1"/>
  <c r="I332" i="1" s="1"/>
  <c r="J332" i="1"/>
  <c r="D333" i="1"/>
  <c r="E333" i="1"/>
  <c r="F333" i="1"/>
  <c r="I333" i="1" s="1"/>
  <c r="J333" i="1"/>
  <c r="D334" i="1"/>
  <c r="E334" i="1"/>
  <c r="F334" i="1"/>
  <c r="I334" i="1" s="1"/>
  <c r="J334" i="1"/>
  <c r="F335" i="1"/>
  <c r="I335" i="1" s="1"/>
  <c r="J335" i="1"/>
  <c r="F336" i="1"/>
  <c r="I336" i="1" s="1"/>
  <c r="J336" i="1"/>
  <c r="D337" i="1"/>
  <c r="E337" i="1"/>
  <c r="F337" i="1"/>
  <c r="I337" i="1" s="1"/>
  <c r="J337" i="1"/>
  <c r="D338" i="1"/>
  <c r="E338" i="1"/>
  <c r="F338" i="1"/>
  <c r="I338" i="1" s="1"/>
  <c r="J338" i="1"/>
  <c r="D339" i="1"/>
  <c r="E339" i="1"/>
  <c r="F339" i="1"/>
  <c r="I339" i="1" s="1"/>
  <c r="J339" i="1"/>
  <c r="D340" i="1"/>
  <c r="E340" i="1"/>
  <c r="F340" i="1"/>
  <c r="I340" i="1" s="1"/>
  <c r="J340" i="1"/>
  <c r="D341" i="1"/>
  <c r="E341" i="1"/>
  <c r="F341" i="1"/>
  <c r="I341" i="1" s="1"/>
  <c r="J341" i="1"/>
  <c r="D342" i="1"/>
  <c r="E342" i="1"/>
  <c r="F342" i="1"/>
  <c r="I342" i="1" s="1"/>
  <c r="J342" i="1"/>
  <c r="D344" i="1"/>
  <c r="E344" i="1"/>
  <c r="F344" i="1"/>
  <c r="I344" i="1" s="1"/>
  <c r="J344" i="1"/>
  <c r="F345" i="1"/>
  <c r="I345" i="1" s="1"/>
  <c r="J345" i="1"/>
  <c r="F346" i="1"/>
  <c r="I346" i="1" s="1"/>
  <c r="J346" i="1"/>
  <c r="F347" i="1"/>
  <c r="I347" i="1" s="1"/>
  <c r="J347" i="1"/>
  <c r="F348" i="1"/>
  <c r="I348" i="1" s="1"/>
  <c r="J348" i="1"/>
  <c r="F349" i="1"/>
  <c r="I349" i="1" s="1"/>
  <c r="J349" i="1"/>
  <c r="F350" i="1"/>
  <c r="I350" i="1" s="1"/>
  <c r="J350" i="1"/>
  <c r="F351" i="1"/>
  <c r="I351" i="1" s="1"/>
  <c r="J351" i="1"/>
  <c r="F352" i="1"/>
  <c r="I352" i="1" s="1"/>
  <c r="J352" i="1"/>
  <c r="F353" i="1"/>
  <c r="I353" i="1" s="1"/>
  <c r="J353" i="1"/>
  <c r="F354" i="1"/>
  <c r="I354" i="1" s="1"/>
  <c r="J354" i="1"/>
  <c r="F355" i="1"/>
  <c r="I355" i="1" s="1"/>
  <c r="J355" i="1"/>
  <c r="D356" i="1"/>
  <c r="F356" i="1"/>
  <c r="J320" i="1"/>
  <c r="E320" i="1"/>
  <c r="F320" i="1"/>
  <c r="I320" i="1" s="1"/>
  <c r="D320" i="1"/>
  <c r="B320" i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E318" i="1"/>
  <c r="E317" i="1"/>
  <c r="E316" i="1"/>
  <c r="E307" i="1"/>
  <c r="E308" i="1"/>
  <c r="E309" i="1"/>
  <c r="E310" i="1"/>
  <c r="E311" i="1"/>
  <c r="E312" i="1"/>
  <c r="E313" i="1"/>
  <c r="E314" i="1"/>
  <c r="E315" i="1"/>
  <c r="E306" i="1"/>
  <c r="E305" i="1"/>
  <c r="E304" i="1"/>
  <c r="E297" i="1"/>
  <c r="E296" i="1"/>
  <c r="F306" i="1"/>
  <c r="I306" i="1" s="1"/>
  <c r="J306" i="1"/>
  <c r="F307" i="1"/>
  <c r="I307" i="1" s="1"/>
  <c r="J307" i="1"/>
  <c r="F308" i="1"/>
  <c r="I308" i="1" s="1"/>
  <c r="J308" i="1"/>
  <c r="F309" i="1"/>
  <c r="I309" i="1" s="1"/>
  <c r="J309" i="1"/>
  <c r="F310" i="1"/>
  <c r="I310" i="1" s="1"/>
  <c r="J310" i="1"/>
  <c r="F311" i="1"/>
  <c r="I311" i="1" s="1"/>
  <c r="J311" i="1"/>
  <c r="F312" i="1"/>
  <c r="I312" i="1" s="1"/>
  <c r="J312" i="1"/>
  <c r="F313" i="1"/>
  <c r="I313" i="1" s="1"/>
  <c r="J313" i="1"/>
  <c r="F314" i="1"/>
  <c r="I314" i="1" s="1"/>
  <c r="J314" i="1"/>
  <c r="F315" i="1"/>
  <c r="I315" i="1" s="1"/>
  <c r="J315" i="1"/>
  <c r="F316" i="1"/>
  <c r="I316" i="1" s="1"/>
  <c r="J316" i="1"/>
  <c r="F317" i="1"/>
  <c r="I317" i="1" s="1"/>
  <c r="J317" i="1"/>
  <c r="F318" i="1"/>
  <c r="I318" i="1" s="1"/>
  <c r="J318" i="1"/>
  <c r="D282" i="1"/>
  <c r="E282" i="1"/>
  <c r="F282" i="1"/>
  <c r="I282" i="1" s="1"/>
  <c r="J282" i="1"/>
  <c r="D283" i="1"/>
  <c r="E283" i="1"/>
  <c r="F283" i="1"/>
  <c r="I283" i="1" s="1"/>
  <c r="J283" i="1"/>
  <c r="D284" i="1"/>
  <c r="E284" i="1"/>
  <c r="F284" i="1"/>
  <c r="I284" i="1" s="1"/>
  <c r="J284" i="1"/>
  <c r="D285" i="1"/>
  <c r="E285" i="1"/>
  <c r="F285" i="1"/>
  <c r="I285" i="1" s="1"/>
  <c r="J285" i="1"/>
  <c r="D286" i="1"/>
  <c r="E286" i="1"/>
  <c r="F286" i="1"/>
  <c r="I286" i="1" s="1"/>
  <c r="J286" i="1"/>
  <c r="D287" i="1"/>
  <c r="E287" i="1"/>
  <c r="F287" i="1"/>
  <c r="I287" i="1" s="1"/>
  <c r="J287" i="1"/>
  <c r="D288" i="1"/>
  <c r="E288" i="1"/>
  <c r="F288" i="1"/>
  <c r="I288" i="1" s="1"/>
  <c r="J288" i="1"/>
  <c r="D289" i="1"/>
  <c r="E289" i="1"/>
  <c r="F289" i="1"/>
  <c r="I289" i="1" s="1"/>
  <c r="J289" i="1"/>
  <c r="D290" i="1"/>
  <c r="E290" i="1"/>
  <c r="F290" i="1"/>
  <c r="I290" i="1" s="1"/>
  <c r="J290" i="1"/>
  <c r="D291" i="1"/>
  <c r="E291" i="1"/>
  <c r="F291" i="1"/>
  <c r="I291" i="1" s="1"/>
  <c r="J291" i="1"/>
  <c r="D292" i="1"/>
  <c r="E292" i="1"/>
  <c r="F292" i="1"/>
  <c r="I292" i="1" s="1"/>
  <c r="J292" i="1"/>
  <c r="D293" i="1"/>
  <c r="E293" i="1"/>
  <c r="F293" i="1"/>
  <c r="I293" i="1" s="1"/>
  <c r="J293" i="1"/>
  <c r="D294" i="1"/>
  <c r="E294" i="1"/>
  <c r="F294" i="1"/>
  <c r="I294" i="1" s="1"/>
  <c r="J294" i="1"/>
  <c r="D295" i="1"/>
  <c r="E295" i="1"/>
  <c r="F295" i="1"/>
  <c r="I295" i="1" s="1"/>
  <c r="J295" i="1"/>
  <c r="F296" i="1"/>
  <c r="I296" i="1" s="1"/>
  <c r="J296" i="1"/>
  <c r="F297" i="1"/>
  <c r="I297" i="1" s="1"/>
  <c r="J297" i="1"/>
  <c r="D298" i="1"/>
  <c r="E298" i="1"/>
  <c r="F298" i="1"/>
  <c r="I298" i="1" s="1"/>
  <c r="J298" i="1"/>
  <c r="D299" i="1"/>
  <c r="E299" i="1"/>
  <c r="F299" i="1"/>
  <c r="I299" i="1" s="1"/>
  <c r="J299" i="1"/>
  <c r="D300" i="1"/>
  <c r="E300" i="1"/>
  <c r="F300" i="1"/>
  <c r="I300" i="1" s="1"/>
  <c r="J300" i="1"/>
  <c r="D301" i="1"/>
  <c r="E301" i="1"/>
  <c r="F301" i="1"/>
  <c r="I301" i="1" s="1"/>
  <c r="J301" i="1"/>
  <c r="D303" i="1"/>
  <c r="E303" i="1"/>
  <c r="F303" i="1"/>
  <c r="I303" i="1" s="1"/>
  <c r="J303" i="1"/>
  <c r="F304" i="1"/>
  <c r="I304" i="1" s="1"/>
  <c r="J304" i="1"/>
  <c r="F305" i="1"/>
  <c r="I305" i="1" s="1"/>
  <c r="J305" i="1"/>
  <c r="J281" i="1"/>
  <c r="E281" i="1"/>
  <c r="F281" i="1"/>
  <c r="I281" i="1" s="1"/>
  <c r="D281" i="1"/>
  <c r="E279" i="1"/>
  <c r="E278" i="1"/>
  <c r="E277" i="1"/>
  <c r="E268" i="1"/>
  <c r="E269" i="1"/>
  <c r="E270" i="1"/>
  <c r="E271" i="1"/>
  <c r="E272" i="1"/>
  <c r="E273" i="1"/>
  <c r="E274" i="1"/>
  <c r="E275" i="1"/>
  <c r="E276" i="1"/>
  <c r="E267" i="1"/>
  <c r="E260" i="1"/>
  <c r="E259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44" i="1"/>
  <c r="F270" i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B281" i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A281" i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49" i="1"/>
  <c r="E249" i="1"/>
  <c r="F249" i="1"/>
  <c r="D250" i="1"/>
  <c r="E250" i="1"/>
  <c r="F250" i="1"/>
  <c r="D251" i="1"/>
  <c r="E251" i="1"/>
  <c r="F251" i="1"/>
  <c r="D252" i="1"/>
  <c r="E252" i="1"/>
  <c r="F252" i="1"/>
  <c r="D253" i="1"/>
  <c r="E253" i="1"/>
  <c r="F253" i="1"/>
  <c r="D254" i="1"/>
  <c r="E254" i="1"/>
  <c r="F254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F259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6" i="1"/>
  <c r="E266" i="1"/>
  <c r="F266" i="1"/>
  <c r="F267" i="1"/>
  <c r="F268" i="1"/>
  <c r="F269" i="1"/>
  <c r="E244" i="1"/>
  <c r="F244" i="1"/>
  <c r="I244" i="1" s="1"/>
  <c r="D244" i="1"/>
  <c r="E242" i="1"/>
  <c r="E241" i="1"/>
  <c r="E240" i="1"/>
  <c r="E231" i="1"/>
  <c r="E232" i="1"/>
  <c r="E233" i="1"/>
  <c r="E234" i="1"/>
  <c r="E235" i="1"/>
  <c r="E236" i="1"/>
  <c r="E237" i="1"/>
  <c r="E238" i="1"/>
  <c r="E239" i="1"/>
  <c r="E230" i="1"/>
  <c r="E223" i="1"/>
  <c r="E222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F240" i="1"/>
  <c r="F241" i="1"/>
  <c r="F242" i="1"/>
  <c r="D208" i="1"/>
  <c r="E208" i="1"/>
  <c r="F208" i="1"/>
  <c r="D209" i="1"/>
  <c r="E209" i="1"/>
  <c r="F209" i="1"/>
  <c r="D210" i="1"/>
  <c r="E210" i="1"/>
  <c r="F210" i="1"/>
  <c r="D211" i="1"/>
  <c r="E211" i="1"/>
  <c r="F211" i="1"/>
  <c r="D212" i="1"/>
  <c r="E212" i="1"/>
  <c r="F212" i="1"/>
  <c r="I212" i="1" s="1"/>
  <c r="D213" i="1"/>
  <c r="E213" i="1"/>
  <c r="F213" i="1"/>
  <c r="I213" i="1" s="1"/>
  <c r="D214" i="1"/>
  <c r="E214" i="1"/>
  <c r="F214" i="1"/>
  <c r="I214" i="1" s="1"/>
  <c r="D215" i="1"/>
  <c r="E215" i="1"/>
  <c r="F215" i="1"/>
  <c r="I215" i="1" s="1"/>
  <c r="D216" i="1"/>
  <c r="E216" i="1"/>
  <c r="F216" i="1"/>
  <c r="I216" i="1" s="1"/>
  <c r="D217" i="1"/>
  <c r="E217" i="1"/>
  <c r="F217" i="1"/>
  <c r="I217" i="1" s="1"/>
  <c r="D218" i="1"/>
  <c r="E218" i="1"/>
  <c r="F218" i="1"/>
  <c r="I218" i="1" s="1"/>
  <c r="D219" i="1"/>
  <c r="E219" i="1"/>
  <c r="F219" i="1"/>
  <c r="I219" i="1" s="1"/>
  <c r="D220" i="1"/>
  <c r="E220" i="1"/>
  <c r="F220" i="1"/>
  <c r="I220" i="1" s="1"/>
  <c r="D221" i="1"/>
  <c r="E221" i="1"/>
  <c r="F221" i="1"/>
  <c r="I221" i="1" s="1"/>
  <c r="F222" i="1"/>
  <c r="I222" i="1" s="1"/>
  <c r="F223" i="1"/>
  <c r="I223" i="1" s="1"/>
  <c r="D224" i="1"/>
  <c r="E224" i="1"/>
  <c r="F224" i="1"/>
  <c r="I224" i="1" s="1"/>
  <c r="D225" i="1"/>
  <c r="E225" i="1"/>
  <c r="F225" i="1"/>
  <c r="I225" i="1" s="1"/>
  <c r="D226" i="1"/>
  <c r="E226" i="1"/>
  <c r="F226" i="1"/>
  <c r="I226" i="1" s="1"/>
  <c r="D227" i="1"/>
  <c r="E227" i="1"/>
  <c r="F227" i="1"/>
  <c r="I227" i="1" s="1"/>
  <c r="D229" i="1"/>
  <c r="E229" i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J207" i="1"/>
  <c r="E207" i="1"/>
  <c r="F207" i="1"/>
  <c r="D207" i="1"/>
  <c r="E205" i="1"/>
  <c r="E204" i="1"/>
  <c r="E203" i="1"/>
  <c r="E202" i="1"/>
  <c r="E193" i="1"/>
  <c r="E194" i="1"/>
  <c r="E195" i="1"/>
  <c r="E196" i="1"/>
  <c r="E197" i="1"/>
  <c r="E198" i="1"/>
  <c r="E199" i="1"/>
  <c r="E200" i="1"/>
  <c r="E201" i="1"/>
  <c r="E192" i="1"/>
  <c r="E185" i="1"/>
  <c r="E184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F202" i="1"/>
  <c r="F203" i="1"/>
  <c r="F204" i="1"/>
  <c r="F205" i="1"/>
  <c r="D170" i="1"/>
  <c r="E170" i="1"/>
  <c r="F170" i="1"/>
  <c r="I170" i="1" s="1"/>
  <c r="D171" i="1"/>
  <c r="E171" i="1"/>
  <c r="F171" i="1"/>
  <c r="I171" i="1" s="1"/>
  <c r="D172" i="1"/>
  <c r="E172" i="1"/>
  <c r="F172" i="1"/>
  <c r="I172" i="1" s="1"/>
  <c r="D173" i="1"/>
  <c r="E173" i="1"/>
  <c r="F173" i="1"/>
  <c r="I173" i="1" s="1"/>
  <c r="D174" i="1"/>
  <c r="E174" i="1"/>
  <c r="F174" i="1"/>
  <c r="I174" i="1" s="1"/>
  <c r="D175" i="1"/>
  <c r="E175" i="1"/>
  <c r="F175" i="1"/>
  <c r="I175" i="1" s="1"/>
  <c r="D176" i="1"/>
  <c r="E176" i="1"/>
  <c r="F176" i="1"/>
  <c r="I176" i="1" s="1"/>
  <c r="D177" i="1"/>
  <c r="E177" i="1"/>
  <c r="F177" i="1"/>
  <c r="I177" i="1" s="1"/>
  <c r="D178" i="1"/>
  <c r="E178" i="1"/>
  <c r="F178" i="1"/>
  <c r="I178" i="1" s="1"/>
  <c r="D179" i="1"/>
  <c r="E179" i="1"/>
  <c r="F179" i="1"/>
  <c r="I179" i="1" s="1"/>
  <c r="D180" i="1"/>
  <c r="E180" i="1"/>
  <c r="F180" i="1"/>
  <c r="I180" i="1" s="1"/>
  <c r="D181" i="1"/>
  <c r="E181" i="1"/>
  <c r="F181" i="1"/>
  <c r="I181" i="1" s="1"/>
  <c r="D182" i="1"/>
  <c r="E182" i="1"/>
  <c r="F182" i="1"/>
  <c r="I182" i="1" s="1"/>
  <c r="D183" i="1"/>
  <c r="E183" i="1"/>
  <c r="F183" i="1"/>
  <c r="I183" i="1" s="1"/>
  <c r="F184" i="1"/>
  <c r="I184" i="1" s="1"/>
  <c r="F185" i="1"/>
  <c r="I185" i="1" s="1"/>
  <c r="D186" i="1"/>
  <c r="E186" i="1"/>
  <c r="F186" i="1"/>
  <c r="I186" i="1" s="1"/>
  <c r="D187" i="1"/>
  <c r="E187" i="1"/>
  <c r="F187" i="1"/>
  <c r="I187" i="1" s="1"/>
  <c r="D188" i="1"/>
  <c r="E188" i="1"/>
  <c r="F188" i="1"/>
  <c r="I188" i="1" s="1"/>
  <c r="D189" i="1"/>
  <c r="E189" i="1"/>
  <c r="F189" i="1"/>
  <c r="I189" i="1" s="1"/>
  <c r="D191" i="1"/>
  <c r="E191" i="1"/>
  <c r="F191" i="1"/>
  <c r="I191" i="1" s="1"/>
  <c r="F192" i="1"/>
  <c r="I192" i="1" s="1"/>
  <c r="F193" i="1"/>
  <c r="I193" i="1" s="1"/>
  <c r="F194" i="1"/>
  <c r="F195" i="1"/>
  <c r="F196" i="1"/>
  <c r="F197" i="1"/>
  <c r="F198" i="1"/>
  <c r="F199" i="1"/>
  <c r="F200" i="1"/>
  <c r="F201" i="1"/>
  <c r="J169" i="1"/>
  <c r="E169" i="1"/>
  <c r="F169" i="1"/>
  <c r="I169" i="1" s="1"/>
  <c r="D169" i="1"/>
  <c r="D10" i="1"/>
  <c r="D9" i="1"/>
  <c r="D11" i="1"/>
  <c r="D12" i="1"/>
  <c r="D13" i="1"/>
  <c r="D14" i="1"/>
  <c r="D15" i="1"/>
  <c r="D16" i="1"/>
  <c r="D17" i="1"/>
  <c r="D18" i="1"/>
  <c r="D19" i="1"/>
  <c r="D20" i="1"/>
  <c r="D21" i="1"/>
  <c r="D24" i="1"/>
  <c r="D25" i="1"/>
  <c r="D26" i="1"/>
  <c r="D27" i="1"/>
  <c r="D28" i="1"/>
  <c r="D30" i="1"/>
  <c r="D8" i="1"/>
  <c r="E167" i="1"/>
  <c r="E166" i="1"/>
  <c r="E165" i="1"/>
  <c r="E164" i="1"/>
  <c r="E155" i="1"/>
  <c r="E156" i="1"/>
  <c r="E157" i="1"/>
  <c r="E158" i="1"/>
  <c r="E159" i="1"/>
  <c r="E160" i="1"/>
  <c r="E161" i="1"/>
  <c r="E162" i="1"/>
  <c r="E163" i="1"/>
  <c r="E154" i="1"/>
  <c r="E147" i="1"/>
  <c r="E146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8" i="1"/>
  <c r="D149" i="1"/>
  <c r="D150" i="1"/>
  <c r="D151" i="1"/>
  <c r="D153" i="1"/>
  <c r="D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31" i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31" i="1"/>
  <c r="I131" i="1" s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8" i="1"/>
  <c r="E149" i="1"/>
  <c r="E150" i="1"/>
  <c r="E151" i="1"/>
  <c r="E153" i="1"/>
  <c r="E131" i="1"/>
  <c r="D116" i="1"/>
  <c r="D110" i="1"/>
  <c r="D111" i="1"/>
  <c r="D112" i="1"/>
  <c r="D113" i="1"/>
  <c r="D114" i="1"/>
  <c r="D109" i="1"/>
  <c r="D106" i="1"/>
  <c r="D100" i="1"/>
  <c r="D101" i="1"/>
  <c r="D102" i="1"/>
  <c r="D103" i="1"/>
  <c r="D104" i="1"/>
  <c r="D105" i="1"/>
  <c r="D99" i="1"/>
  <c r="D98" i="1"/>
  <c r="D97" i="1"/>
  <c r="D93" i="1"/>
  <c r="D94" i="1"/>
  <c r="D95" i="1"/>
  <c r="D96" i="1"/>
  <c r="D92" i="1"/>
  <c r="E129" i="1"/>
  <c r="E128" i="1"/>
  <c r="E127" i="1"/>
  <c r="E118" i="1"/>
  <c r="E119" i="1"/>
  <c r="E120" i="1"/>
  <c r="E121" i="1"/>
  <c r="E122" i="1"/>
  <c r="E123" i="1"/>
  <c r="E124" i="1"/>
  <c r="E125" i="1"/>
  <c r="E126" i="1"/>
  <c r="E117" i="1"/>
  <c r="E108" i="1"/>
  <c r="E107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F128" i="1"/>
  <c r="I128" i="1" s="1"/>
  <c r="F129" i="1"/>
  <c r="I129" i="1" s="1"/>
  <c r="F120" i="1"/>
  <c r="I120" i="1" s="1"/>
  <c r="F121" i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E93" i="1"/>
  <c r="F93" i="1"/>
  <c r="I93" i="1" s="1"/>
  <c r="E94" i="1"/>
  <c r="F94" i="1"/>
  <c r="E95" i="1"/>
  <c r="F95" i="1"/>
  <c r="I95" i="1" s="1"/>
  <c r="E96" i="1"/>
  <c r="F96" i="1"/>
  <c r="I96" i="1" s="1"/>
  <c r="E97" i="1"/>
  <c r="F97" i="1"/>
  <c r="I97" i="1" s="1"/>
  <c r="E98" i="1"/>
  <c r="F98" i="1"/>
  <c r="I98" i="1" s="1"/>
  <c r="E99" i="1"/>
  <c r="F99" i="1"/>
  <c r="I99" i="1" s="1"/>
  <c r="E100" i="1"/>
  <c r="F100" i="1"/>
  <c r="I100" i="1" s="1"/>
  <c r="E101" i="1"/>
  <c r="F101" i="1"/>
  <c r="I101" i="1" s="1"/>
  <c r="E102" i="1"/>
  <c r="F102" i="1"/>
  <c r="I102" i="1" s="1"/>
  <c r="E103" i="1"/>
  <c r="F103" i="1"/>
  <c r="I103" i="1" s="1"/>
  <c r="E104" i="1"/>
  <c r="F104" i="1"/>
  <c r="E105" i="1"/>
  <c r="F105" i="1"/>
  <c r="I105" i="1" s="1"/>
  <c r="E106" i="1"/>
  <c r="F106" i="1"/>
  <c r="I106" i="1" s="1"/>
  <c r="F107" i="1"/>
  <c r="I107" i="1" s="1"/>
  <c r="F108" i="1"/>
  <c r="I108" i="1" s="1"/>
  <c r="E109" i="1"/>
  <c r="F109" i="1"/>
  <c r="I109" i="1" s="1"/>
  <c r="E110" i="1"/>
  <c r="F110" i="1"/>
  <c r="E111" i="1"/>
  <c r="F111" i="1"/>
  <c r="I111" i="1" s="1"/>
  <c r="E112" i="1"/>
  <c r="F112" i="1"/>
  <c r="I112" i="1" s="1"/>
  <c r="E113" i="1"/>
  <c r="F113" i="1"/>
  <c r="I113" i="1" s="1"/>
  <c r="E114" i="1"/>
  <c r="F114" i="1"/>
  <c r="I114" i="1" s="1"/>
  <c r="E116" i="1"/>
  <c r="F116" i="1"/>
  <c r="I116" i="1" s="1"/>
  <c r="F117" i="1"/>
  <c r="I117" i="1" s="1"/>
  <c r="F118" i="1"/>
  <c r="I118" i="1" s="1"/>
  <c r="F119" i="1"/>
  <c r="I119" i="1" s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B169" i="1"/>
  <c r="B170" i="1" s="1"/>
  <c r="B131" i="1"/>
  <c r="J92" i="1"/>
  <c r="F92" i="1"/>
  <c r="E92" i="1"/>
  <c r="B92" i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207" i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4" i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F70" i="1"/>
  <c r="F71" i="1"/>
  <c r="F72" i="1"/>
  <c r="F73" i="1"/>
  <c r="F75" i="1"/>
  <c r="F76" i="1"/>
  <c r="F77" i="1"/>
  <c r="F78" i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E86" i="1"/>
  <c r="E87" i="1"/>
  <c r="E88" i="1"/>
  <c r="E89" i="1"/>
  <c r="E90" i="1"/>
  <c r="E77" i="1"/>
  <c r="E78" i="1"/>
  <c r="E79" i="1"/>
  <c r="E80" i="1"/>
  <c r="E81" i="1"/>
  <c r="E82" i="1"/>
  <c r="E83" i="1"/>
  <c r="E84" i="1"/>
  <c r="E85" i="1"/>
  <c r="E76" i="1"/>
  <c r="E64" i="1"/>
  <c r="E63" i="1"/>
  <c r="E69" i="1"/>
  <c r="E70" i="1"/>
  <c r="E71" i="1"/>
  <c r="D71" i="1" s="1"/>
  <c r="E72" i="1"/>
  <c r="E73" i="1"/>
  <c r="E75" i="1"/>
  <c r="E65" i="1"/>
  <c r="E66" i="1"/>
  <c r="E67" i="1"/>
  <c r="E68" i="1"/>
  <c r="E56" i="1"/>
  <c r="E57" i="1"/>
  <c r="E58" i="1"/>
  <c r="E59" i="1"/>
  <c r="E60" i="1"/>
  <c r="E61" i="1"/>
  <c r="E62" i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E47" i="1"/>
  <c r="E48" i="1"/>
  <c r="E49" i="1"/>
  <c r="E50" i="1"/>
  <c r="E51" i="1"/>
  <c r="E52" i="1"/>
  <c r="E53" i="1"/>
  <c r="E54" i="1"/>
  <c r="E55" i="1"/>
  <c r="F46" i="1"/>
  <c r="I46" i="1" s="1"/>
  <c r="E46" i="1"/>
  <c r="I20" i="1"/>
  <c r="J44" i="1"/>
  <c r="J43" i="1"/>
  <c r="J42" i="1"/>
  <c r="J41" i="1"/>
  <c r="F44" i="1"/>
  <c r="I44" i="1" s="1"/>
  <c r="F43" i="1"/>
  <c r="I43" i="1" s="1"/>
  <c r="F42" i="1"/>
  <c r="I42" i="1" s="1"/>
  <c r="F41" i="1"/>
  <c r="I41" i="1" s="1"/>
  <c r="E44" i="1"/>
  <c r="E43" i="1"/>
  <c r="E42" i="1"/>
  <c r="E41" i="1"/>
  <c r="E32" i="1"/>
  <c r="F32" i="1"/>
  <c r="I32" i="1" s="1"/>
  <c r="J32" i="1"/>
  <c r="E33" i="1"/>
  <c r="F33" i="1"/>
  <c r="I33" i="1" s="1"/>
  <c r="J33" i="1"/>
  <c r="E34" i="1"/>
  <c r="F34" i="1"/>
  <c r="I34" i="1" s="1"/>
  <c r="J34" i="1"/>
  <c r="E35" i="1"/>
  <c r="F35" i="1"/>
  <c r="I35" i="1" s="1"/>
  <c r="J35" i="1"/>
  <c r="E36" i="1"/>
  <c r="F36" i="1"/>
  <c r="I36" i="1" s="1"/>
  <c r="J36" i="1"/>
  <c r="E37" i="1"/>
  <c r="F37" i="1"/>
  <c r="I37" i="1" s="1"/>
  <c r="J37" i="1"/>
  <c r="E38" i="1"/>
  <c r="F38" i="1"/>
  <c r="I38" i="1" s="1"/>
  <c r="J38" i="1"/>
  <c r="E39" i="1"/>
  <c r="F39" i="1"/>
  <c r="I39" i="1" s="1"/>
  <c r="J39" i="1"/>
  <c r="E40" i="1"/>
  <c r="F40" i="1"/>
  <c r="I40" i="1" s="1"/>
  <c r="J40" i="1"/>
  <c r="J31" i="1"/>
  <c r="I30" i="1"/>
  <c r="F31" i="1"/>
  <c r="I31" i="1" s="1"/>
  <c r="E31" i="1"/>
  <c r="B46" i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I28" i="1"/>
  <c r="I27" i="1"/>
  <c r="I26" i="1"/>
  <c r="I25" i="1"/>
  <c r="I24" i="1"/>
  <c r="I23" i="1"/>
  <c r="I22" i="1"/>
  <c r="I21" i="1"/>
  <c r="C2" i="3"/>
  <c r="C3" i="3"/>
  <c r="C4" i="3"/>
  <c r="C1" i="3"/>
  <c r="B1245" i="1" l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44" i="1"/>
  <c r="A1148" i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49" i="1"/>
  <c r="B1150" i="1"/>
  <c r="B1151" i="1" s="1"/>
  <c r="B1152" i="1" s="1"/>
  <c r="B1153" i="1" s="1"/>
  <c r="B1154" i="1" s="1"/>
  <c r="B1155" i="1" s="1"/>
  <c r="B1156" i="1" s="1"/>
  <c r="B1157" i="1" s="1"/>
  <c r="B1158" i="1" s="1"/>
  <c r="B1159" i="1" s="1"/>
  <c r="B1149" i="1"/>
  <c r="A1176" i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77" i="1"/>
  <c r="B1178" i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77" i="1"/>
  <c r="A1207" i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08" i="1"/>
  <c r="B1209" i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08" i="1"/>
  <c r="A1243" i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44" i="1"/>
  <c r="B1010" i="1"/>
  <c r="B1011" i="1" s="1"/>
  <c r="B1012" i="1" s="1"/>
  <c r="B1013" i="1" s="1"/>
  <c r="B1014" i="1" s="1"/>
  <c r="B1015" i="1" s="1"/>
  <c r="B1016" i="1" s="1"/>
  <c r="B1017" i="1" s="1"/>
  <c r="B1018" i="1" s="1"/>
  <c r="B1019" i="1" s="1"/>
  <c r="B1009" i="1"/>
  <c r="A1037" i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38" i="1"/>
  <c r="A1121" i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22" i="1"/>
  <c r="B1123" i="1"/>
  <c r="B1124" i="1" s="1"/>
  <c r="B1125" i="1" s="1"/>
  <c r="B1126" i="1" s="1"/>
  <c r="B1127" i="1" s="1"/>
  <c r="B1128" i="1" s="1"/>
  <c r="B1129" i="1" s="1"/>
  <c r="B1130" i="1" s="1"/>
  <c r="B1131" i="1" s="1"/>
  <c r="B1132" i="1" s="1"/>
  <c r="B1122" i="1"/>
  <c r="A980" i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81" i="1"/>
  <c r="B982" i="1"/>
  <c r="B983" i="1" s="1"/>
  <c r="B984" i="1" s="1"/>
  <c r="B985" i="1" s="1"/>
  <c r="B986" i="1" s="1"/>
  <c r="B987" i="1" s="1"/>
  <c r="B988" i="1" s="1"/>
  <c r="B989" i="1" s="1"/>
  <c r="B990" i="1" s="1"/>
  <c r="B991" i="1" s="1"/>
  <c r="B981" i="1"/>
  <c r="B1039" i="1"/>
  <c r="B1040" i="1" s="1"/>
  <c r="B1041" i="1" s="1"/>
  <c r="B1042" i="1" s="1"/>
  <c r="B1043" i="1" s="1"/>
  <c r="B1044" i="1" s="1"/>
  <c r="B1045" i="1" s="1"/>
  <c r="B1046" i="1" s="1"/>
  <c r="B1047" i="1" s="1"/>
  <c r="B1048" i="1" s="1"/>
  <c r="B1038" i="1"/>
  <c r="B1066" i="1"/>
  <c r="B1067" i="1" s="1"/>
  <c r="B1068" i="1" s="1"/>
  <c r="B1069" i="1" s="1"/>
  <c r="B1070" i="1" s="1"/>
  <c r="B1071" i="1" s="1"/>
  <c r="B1072" i="1" s="1"/>
  <c r="B1073" i="1" s="1"/>
  <c r="B1074" i="1" s="1"/>
  <c r="B1075" i="1" s="1"/>
  <c r="B1065" i="1"/>
  <c r="B1094" i="1"/>
  <c r="B1095" i="1" s="1"/>
  <c r="B1096" i="1" s="1"/>
  <c r="B1097" i="1" s="1"/>
  <c r="B1098" i="1" s="1"/>
  <c r="B1099" i="1" s="1"/>
  <c r="B1100" i="1" s="1"/>
  <c r="B1101" i="1" s="1"/>
  <c r="B1102" i="1" s="1"/>
  <c r="B1103" i="1" s="1"/>
  <c r="B1093" i="1"/>
  <c r="A1064" i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65" i="1"/>
  <c r="A1092" i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093" i="1"/>
  <c r="A1008" i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09" i="1"/>
  <c r="B828" i="1"/>
  <c r="B829" i="1" s="1"/>
  <c r="B830" i="1" s="1"/>
  <c r="B831" i="1" s="1"/>
  <c r="B832" i="1" s="1"/>
  <c r="B833" i="1" s="1"/>
  <c r="B834" i="1" s="1"/>
  <c r="B835" i="1" s="1"/>
  <c r="B836" i="1" s="1"/>
  <c r="B837" i="1" s="1"/>
  <c r="B827" i="1"/>
  <c r="B740" i="1"/>
  <c r="B741" i="1" s="1"/>
  <c r="B742" i="1" s="1"/>
  <c r="B743" i="1" s="1"/>
  <c r="B744" i="1" s="1"/>
  <c r="B745" i="1" s="1"/>
  <c r="B746" i="1" s="1"/>
  <c r="B747" i="1" s="1"/>
  <c r="B748" i="1" s="1"/>
  <c r="B749" i="1" s="1"/>
  <c r="B739" i="1"/>
  <c r="A767" i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68" i="1"/>
  <c r="B859" i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58" i="1"/>
  <c r="B712" i="1"/>
  <c r="B713" i="1" s="1"/>
  <c r="B714" i="1" s="1"/>
  <c r="B715" i="1" s="1"/>
  <c r="B716" i="1" s="1"/>
  <c r="B717" i="1" s="1"/>
  <c r="B718" i="1" s="1"/>
  <c r="B719" i="1" s="1"/>
  <c r="B720" i="1" s="1"/>
  <c r="B721" i="1" s="1"/>
  <c r="B711" i="1"/>
  <c r="B798" i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797" i="1"/>
  <c r="B891" i="1"/>
  <c r="B892" i="1" s="1"/>
  <c r="B893" i="1" s="1"/>
  <c r="B894" i="1" s="1"/>
  <c r="B895" i="1" s="1"/>
  <c r="B896" i="1" s="1"/>
  <c r="B897" i="1" s="1"/>
  <c r="B898" i="1" s="1"/>
  <c r="B899" i="1" s="1"/>
  <c r="B900" i="1" s="1"/>
  <c r="B890" i="1"/>
  <c r="A738" i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39" i="1"/>
  <c r="A680" i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81" i="1"/>
  <c r="B769" i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68" i="1"/>
  <c r="B951" i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50" i="1"/>
  <c r="B682" i="1"/>
  <c r="B683" i="1" s="1"/>
  <c r="B684" i="1" s="1"/>
  <c r="B685" i="1" s="1"/>
  <c r="B686" i="1" s="1"/>
  <c r="B687" i="1" s="1"/>
  <c r="B688" i="1" s="1"/>
  <c r="B689" i="1" s="1"/>
  <c r="B690" i="1" s="1"/>
  <c r="B691" i="1" s="1"/>
  <c r="B681" i="1"/>
  <c r="A857" i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58" i="1"/>
  <c r="A949" i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50" i="1"/>
  <c r="A918" i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19" i="1"/>
  <c r="A826" i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27" i="1"/>
  <c r="B653" i="1"/>
  <c r="B654" i="1" s="1"/>
  <c r="B655" i="1" s="1"/>
  <c r="B656" i="1" s="1"/>
  <c r="B657" i="1" s="1"/>
  <c r="B658" i="1" s="1"/>
  <c r="B659" i="1" s="1"/>
  <c r="B660" i="1" s="1"/>
  <c r="B661" i="1" s="1"/>
  <c r="B662" i="1" s="1"/>
  <c r="B652" i="1"/>
  <c r="A710" i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11" i="1"/>
  <c r="B920" i="1"/>
  <c r="B921" i="1" s="1"/>
  <c r="B922" i="1" s="1"/>
  <c r="B923" i="1" s="1"/>
  <c r="B924" i="1" s="1"/>
  <c r="B925" i="1" s="1"/>
  <c r="B926" i="1" s="1"/>
  <c r="B927" i="1" s="1"/>
  <c r="B928" i="1" s="1"/>
  <c r="B929" i="1" s="1"/>
  <c r="B919" i="1"/>
  <c r="A623" i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24" i="1"/>
  <c r="B625" i="1"/>
  <c r="B626" i="1" s="1"/>
  <c r="B627" i="1" s="1"/>
  <c r="B628" i="1" s="1"/>
  <c r="B629" i="1" s="1"/>
  <c r="B630" i="1" s="1"/>
  <c r="B631" i="1" s="1"/>
  <c r="B632" i="1" s="1"/>
  <c r="B633" i="1" s="1"/>
  <c r="B634" i="1" s="1"/>
  <c r="B624" i="1"/>
  <c r="A651" i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52" i="1"/>
  <c r="A796" i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797" i="1"/>
  <c r="A889" i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890" i="1"/>
  <c r="B531" i="1"/>
  <c r="B532" i="1" s="1"/>
  <c r="B533" i="1" s="1"/>
  <c r="B534" i="1" s="1"/>
  <c r="B535" i="1" s="1"/>
  <c r="B536" i="1" s="1"/>
  <c r="B537" i="1" s="1"/>
  <c r="B538" i="1" s="1"/>
  <c r="B539" i="1" s="1"/>
  <c r="B540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30" i="1"/>
  <c r="B596" i="1"/>
  <c r="B597" i="1" s="1"/>
  <c r="B598" i="1" s="1"/>
  <c r="B599" i="1" s="1"/>
  <c r="B600" i="1" s="1"/>
  <c r="B601" i="1" s="1"/>
  <c r="B602" i="1" s="1"/>
  <c r="B603" i="1" s="1"/>
  <c r="B604" i="1" s="1"/>
  <c r="B605" i="1" s="1"/>
  <c r="B595" i="1"/>
  <c r="A594" i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595" i="1"/>
  <c r="A264" i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65" i="1"/>
  <c r="A500" i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01" i="1"/>
  <c r="A227" i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28" i="1"/>
  <c r="B502" i="1"/>
  <c r="B503" i="1" s="1"/>
  <c r="B504" i="1" s="1"/>
  <c r="B505" i="1" s="1"/>
  <c r="B506" i="1" s="1"/>
  <c r="B507" i="1" s="1"/>
  <c r="B508" i="1" s="1"/>
  <c r="B509" i="1" s="1"/>
  <c r="B510" i="1" s="1"/>
  <c r="B511" i="1" s="1"/>
  <c r="B501" i="1"/>
  <c r="A73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74" i="1"/>
  <c r="A189" i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190" i="1"/>
  <c r="A151" i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52" i="1"/>
  <c r="A301" i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02" i="1"/>
  <c r="B75" i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74" i="1"/>
  <c r="P6" i="1"/>
  <c r="D55" i="3"/>
  <c r="D17" i="3"/>
  <c r="D22" i="3"/>
  <c r="D26" i="3"/>
  <c r="D30" i="3"/>
  <c r="D34" i="3"/>
  <c r="D47" i="3"/>
  <c r="D9" i="3"/>
  <c r="D18" i="3"/>
  <c r="D23" i="3"/>
  <c r="D27" i="3"/>
  <c r="D31" i="3"/>
  <c r="D57" i="3"/>
  <c r="D16" i="3"/>
  <c r="D14" i="3"/>
  <c r="D24" i="3"/>
  <c r="D28" i="3"/>
  <c r="D32" i="3"/>
  <c r="D45" i="3"/>
  <c r="D49" i="3"/>
  <c r="D53" i="3"/>
  <c r="D15" i="3"/>
  <c r="D20" i="3"/>
  <c r="D25" i="3"/>
  <c r="D29" i="3"/>
  <c r="D33" i="3"/>
  <c r="D37" i="3"/>
  <c r="D46" i="3"/>
  <c r="D50" i="3"/>
  <c r="D54" i="3"/>
  <c r="D38" i="3"/>
  <c r="K82" i="1"/>
  <c r="K782" i="1"/>
  <c r="L782" i="1" s="1"/>
  <c r="K1223" i="1"/>
  <c r="L1223" i="1" s="1"/>
  <c r="K1231" i="1"/>
  <c r="L1231" i="1" s="1"/>
  <c r="K1224" i="1"/>
  <c r="L1224" i="1" s="1"/>
  <c r="K1084" i="1"/>
  <c r="L1084" i="1" s="1"/>
  <c r="K1078" i="1"/>
  <c r="L1078" i="1" s="1"/>
  <c r="K1119" i="1"/>
  <c r="L1119" i="1" s="1"/>
  <c r="K1112" i="1"/>
  <c r="L1112" i="1" s="1"/>
  <c r="K1106" i="1"/>
  <c r="L1106" i="1" s="1"/>
  <c r="K1162" i="1"/>
  <c r="L1162" i="1" s="1"/>
  <c r="K1167" i="1"/>
  <c r="L1167" i="1" s="1"/>
  <c r="K1245" i="1"/>
  <c r="L1245" i="1" s="1"/>
  <c r="K31" i="1"/>
  <c r="D73" i="1"/>
  <c r="K73" i="1"/>
  <c r="D69" i="1"/>
  <c r="D75" i="1"/>
  <c r="K75" i="1"/>
  <c r="D70" i="1"/>
  <c r="D72" i="1"/>
  <c r="K72" i="1"/>
  <c r="I623" i="1"/>
  <c r="A512" i="1"/>
  <c r="A513" i="1" s="1"/>
  <c r="A514" i="1" s="1"/>
  <c r="A515" i="1" s="1"/>
  <c r="A516" i="1" s="1"/>
  <c r="A517" i="1" s="1"/>
  <c r="A518" i="1" s="1"/>
  <c r="B390" i="1"/>
  <c r="B391" i="1" s="1"/>
  <c r="B392" i="1" s="1"/>
  <c r="B393" i="1" s="1"/>
  <c r="B394" i="1" s="1"/>
  <c r="D68" i="1"/>
  <c r="D62" i="1"/>
  <c r="D58" i="1"/>
  <c r="D54" i="1"/>
  <c r="D50" i="1"/>
  <c r="D46" i="1"/>
  <c r="D67" i="1"/>
  <c r="D61" i="1"/>
  <c r="D57" i="1"/>
  <c r="D53" i="1"/>
  <c r="D49" i="1"/>
  <c r="D66" i="1"/>
  <c r="D60" i="1"/>
  <c r="D56" i="1"/>
  <c r="D52" i="1"/>
  <c r="D48" i="1"/>
  <c r="D65" i="1"/>
  <c r="D59" i="1"/>
  <c r="D55" i="1"/>
  <c r="D51" i="1"/>
  <c r="D47" i="1"/>
  <c r="I121" i="1"/>
  <c r="I110" i="1"/>
  <c r="I104" i="1"/>
  <c r="I94" i="1"/>
  <c r="B171" i="1"/>
  <c r="B132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2" i="1"/>
  <c r="I241" i="1"/>
  <c r="I240" i="1"/>
  <c r="I211" i="1"/>
  <c r="I210" i="1"/>
  <c r="I209" i="1"/>
  <c r="I208" i="1"/>
  <c r="I207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92" i="1"/>
  <c r="I78" i="1"/>
  <c r="I77" i="1"/>
  <c r="I76" i="1"/>
  <c r="I75" i="1"/>
  <c r="I73" i="1"/>
  <c r="I72" i="1"/>
  <c r="I71" i="1"/>
  <c r="I70" i="1"/>
  <c r="I69" i="1"/>
  <c r="I19" i="1"/>
  <c r="I18" i="1"/>
  <c r="I17" i="1"/>
  <c r="I16" i="1"/>
  <c r="I15" i="1"/>
  <c r="I14" i="1"/>
  <c r="I13" i="1"/>
  <c r="I12" i="1"/>
  <c r="I11" i="1"/>
  <c r="I10" i="1"/>
  <c r="I9" i="1"/>
  <c r="I8" i="1"/>
  <c r="A92" i="1"/>
  <c r="B8" i="1"/>
  <c r="A8" i="1"/>
  <c r="A319" i="1" l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B562" i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61" i="1"/>
  <c r="K335" i="1"/>
  <c r="K1241" i="1"/>
  <c r="L1241" i="1" s="1"/>
  <c r="K1175" i="1"/>
  <c r="L1175" i="1" s="1"/>
  <c r="K1168" i="1"/>
  <c r="L1168" i="1" s="1"/>
  <c r="K1163" i="1"/>
  <c r="L1163" i="1" s="1"/>
  <c r="K1108" i="1"/>
  <c r="L1108" i="1" s="1"/>
  <c r="K1113" i="1"/>
  <c r="L1113" i="1" s="1"/>
  <c r="K1120" i="1"/>
  <c r="L1120" i="1" s="1"/>
  <c r="K1080" i="1"/>
  <c r="L1080" i="1" s="1"/>
  <c r="K1085" i="1"/>
  <c r="L1085" i="1" s="1"/>
  <c r="K1225" i="1"/>
  <c r="L1225" i="1" s="1"/>
  <c r="K1233" i="1"/>
  <c r="L1233" i="1" s="1"/>
  <c r="K964" i="1"/>
  <c r="L964" i="1" s="1"/>
  <c r="K784" i="1"/>
  <c r="L784" i="1" s="1"/>
  <c r="K878" i="1"/>
  <c r="L878" i="1" s="1"/>
  <c r="K70" i="1"/>
  <c r="L70" i="1" s="1"/>
  <c r="K71" i="1"/>
  <c r="K69" i="1"/>
  <c r="L69" i="1" s="1"/>
  <c r="K1193" i="1"/>
  <c r="L1193" i="1" s="1"/>
  <c r="K1176" i="1"/>
  <c r="L1176" i="1" s="1"/>
  <c r="K1169" i="1"/>
  <c r="L1169" i="1" s="1"/>
  <c r="K1165" i="1"/>
  <c r="L1165" i="1" s="1"/>
  <c r="K1109" i="1"/>
  <c r="L1109" i="1" s="1"/>
  <c r="K1114" i="1"/>
  <c r="L1114" i="1" s="1"/>
  <c r="K1123" i="1"/>
  <c r="L1123" i="1" s="1"/>
  <c r="K1081" i="1"/>
  <c r="L1081" i="1" s="1"/>
  <c r="K1086" i="1"/>
  <c r="L1086" i="1" s="1"/>
  <c r="K1228" i="1"/>
  <c r="L1228" i="1" s="1"/>
  <c r="K1235" i="1"/>
  <c r="L1235" i="1" s="1"/>
  <c r="K875" i="1"/>
  <c r="L875" i="1" s="1"/>
  <c r="K785" i="1"/>
  <c r="L785" i="1" s="1"/>
  <c r="K298" i="1"/>
  <c r="L298" i="1" s="1"/>
  <c r="K1195" i="1"/>
  <c r="L1195" i="1" s="1"/>
  <c r="K1240" i="1"/>
  <c r="L1240" i="1" s="1"/>
  <c r="K1178" i="1"/>
  <c r="L1178" i="1" s="1"/>
  <c r="K1171" i="1"/>
  <c r="L1171" i="1" s="1"/>
  <c r="K1161" i="1"/>
  <c r="L1161" i="1" s="1"/>
  <c r="K1110" i="1"/>
  <c r="L1110" i="1" s="1"/>
  <c r="K1116" i="1"/>
  <c r="L1116" i="1" s="1"/>
  <c r="K1105" i="1"/>
  <c r="L1105" i="1" s="1"/>
  <c r="K1082" i="1"/>
  <c r="L1082" i="1" s="1"/>
  <c r="K1091" i="1"/>
  <c r="L1091" i="1" s="1"/>
  <c r="K1229" i="1"/>
  <c r="L1229" i="1" s="1"/>
  <c r="K1236" i="1"/>
  <c r="L1236" i="1" s="1"/>
  <c r="K879" i="1"/>
  <c r="L879" i="1" s="1"/>
  <c r="K789" i="1"/>
  <c r="L789" i="1" s="1"/>
  <c r="K177" i="1"/>
  <c r="L177" i="1" s="1"/>
  <c r="K1192" i="1"/>
  <c r="L1192" i="1" s="1"/>
  <c r="K883" i="1"/>
  <c r="L883" i="1" s="1"/>
  <c r="K788" i="1"/>
  <c r="L788" i="1" s="1"/>
  <c r="K1023" i="1"/>
  <c r="L1023" i="1" s="1"/>
  <c r="K769" i="1"/>
  <c r="L769" i="1" s="1"/>
  <c r="K729" i="1"/>
  <c r="L729" i="1" s="1"/>
  <c r="K696" i="1"/>
  <c r="L696" i="1" s="1"/>
  <c r="K149" i="1"/>
  <c r="L149" i="1" s="1"/>
  <c r="K1209" i="1"/>
  <c r="L1209" i="1" s="1"/>
  <c r="K1150" i="1"/>
  <c r="L1150" i="1" s="1"/>
  <c r="K812" i="1"/>
  <c r="L812" i="1" s="1"/>
  <c r="K751" i="1"/>
  <c r="L751" i="1" s="1"/>
  <c r="K259" i="1"/>
  <c r="L259" i="1" s="1"/>
  <c r="K447" i="1"/>
  <c r="L447" i="1" s="1"/>
  <c r="K1006" i="1"/>
  <c r="L1006" i="1" s="1"/>
  <c r="K392" i="1"/>
  <c r="L392" i="1" s="1"/>
  <c r="K269" i="1"/>
  <c r="L269" i="1" s="1"/>
  <c r="K202" i="1"/>
  <c r="K856" i="1"/>
  <c r="L856" i="1" s="1"/>
  <c r="K557" i="1"/>
  <c r="L557" i="1" s="1"/>
  <c r="K439" i="1"/>
  <c r="L439" i="1" s="1"/>
  <c r="K304" i="1"/>
  <c r="L304" i="1" s="1"/>
  <c r="K1053" i="1"/>
  <c r="L1053" i="1" s="1"/>
  <c r="K1028" i="1"/>
  <c r="L1028" i="1" s="1"/>
  <c r="K904" i="1"/>
  <c r="L904" i="1" s="1"/>
  <c r="K840" i="1"/>
  <c r="L840" i="1" s="1"/>
  <c r="K817" i="1"/>
  <c r="L817" i="1" s="1"/>
  <c r="K704" i="1"/>
  <c r="L704" i="1" s="1"/>
  <c r="K390" i="1"/>
  <c r="L390" i="1" s="1"/>
  <c r="K967" i="1"/>
  <c r="L967" i="1" s="1"/>
  <c r="K668" i="1"/>
  <c r="L668" i="1" s="1"/>
  <c r="K636" i="1"/>
  <c r="L636" i="1" s="1"/>
  <c r="K564" i="1"/>
  <c r="L564" i="1" s="1"/>
  <c r="K94" i="1"/>
  <c r="K185" i="1"/>
  <c r="L185" i="1" s="1"/>
  <c r="K60" i="1"/>
  <c r="L60" i="1" s="1"/>
  <c r="K110" i="1"/>
  <c r="L110" i="1" s="1"/>
  <c r="K1198" i="1"/>
  <c r="L1198" i="1" s="1"/>
  <c r="K758" i="1"/>
  <c r="L758" i="1" s="1"/>
  <c r="K525" i="1"/>
  <c r="L525" i="1" s="1"/>
  <c r="K423" i="1"/>
  <c r="L423" i="1" s="1"/>
  <c r="K1137" i="1"/>
  <c r="L1137" i="1" s="1"/>
  <c r="K1058" i="1"/>
  <c r="L1058" i="1" s="1"/>
  <c r="K994" i="1"/>
  <c r="L994" i="1" s="1"/>
  <c r="K909" i="1"/>
  <c r="L909" i="1" s="1"/>
  <c r="K845" i="1"/>
  <c r="L845" i="1" s="1"/>
  <c r="K825" i="1"/>
  <c r="L825" i="1" s="1"/>
  <c r="K581" i="1"/>
  <c r="L581" i="1" s="1"/>
  <c r="K330" i="1"/>
  <c r="L330" i="1" s="1"/>
  <c r="K935" i="1"/>
  <c r="L935" i="1" s="1"/>
  <c r="K568" i="1"/>
  <c r="L568" i="1" s="1"/>
  <c r="K520" i="1"/>
  <c r="L520" i="1" s="1"/>
  <c r="K493" i="1"/>
  <c r="L493" i="1" s="1"/>
  <c r="K56" i="1"/>
  <c r="L56" i="1" s="1"/>
  <c r="K123" i="1"/>
  <c r="L123" i="1" s="1"/>
  <c r="K461" i="1"/>
  <c r="L461" i="1" s="1"/>
  <c r="K174" i="1"/>
  <c r="L174" i="1" s="1"/>
  <c r="K1194" i="1"/>
  <c r="L1194" i="1" s="1"/>
  <c r="K1174" i="1"/>
  <c r="L1174" i="1" s="1"/>
  <c r="K1166" i="1"/>
  <c r="L1166" i="1" s="1"/>
  <c r="K1170" i="1"/>
  <c r="L1170" i="1" s="1"/>
  <c r="K1164" i="1"/>
  <c r="L1164" i="1" s="1"/>
  <c r="K1107" i="1"/>
  <c r="L1107" i="1" s="1"/>
  <c r="K1111" i="1"/>
  <c r="L1111" i="1" s="1"/>
  <c r="K1115" i="1"/>
  <c r="L1115" i="1" s="1"/>
  <c r="K1121" i="1"/>
  <c r="L1121" i="1" s="1"/>
  <c r="K1079" i="1"/>
  <c r="L1079" i="1" s="1"/>
  <c r="K1083" i="1"/>
  <c r="L1083" i="1" s="1"/>
  <c r="K1087" i="1"/>
  <c r="L1087" i="1" s="1"/>
  <c r="K1227" i="1"/>
  <c r="L1227" i="1" s="1"/>
  <c r="K1232" i="1"/>
  <c r="L1232" i="1" s="1"/>
  <c r="K1237" i="1"/>
  <c r="L1237" i="1" s="1"/>
  <c r="K888" i="1"/>
  <c r="L888" i="1" s="1"/>
  <c r="K810" i="1"/>
  <c r="L810" i="1" s="1"/>
  <c r="K786" i="1"/>
  <c r="L786" i="1" s="1"/>
  <c r="K1202" i="1"/>
  <c r="L1202" i="1" s="1"/>
  <c r="K740" i="1"/>
  <c r="L740" i="1" s="1"/>
  <c r="K484" i="1"/>
  <c r="L484" i="1" s="1"/>
  <c r="K370" i="1"/>
  <c r="L370" i="1" s="1"/>
  <c r="K1141" i="1"/>
  <c r="L1141" i="1" s="1"/>
  <c r="K1035" i="1"/>
  <c r="L1035" i="1" s="1"/>
  <c r="K999" i="1"/>
  <c r="L999" i="1" s="1"/>
  <c r="K916" i="1"/>
  <c r="L916" i="1" s="1"/>
  <c r="K851" i="1"/>
  <c r="L851" i="1" s="1"/>
  <c r="K767" i="1"/>
  <c r="L767" i="1" s="1"/>
  <c r="K589" i="1"/>
  <c r="L589" i="1" s="1"/>
  <c r="K306" i="1"/>
  <c r="L306" i="1" s="1"/>
  <c r="K920" i="1"/>
  <c r="L920" i="1" s="1"/>
  <c r="K559" i="1"/>
  <c r="L559" i="1" s="1"/>
  <c r="K449" i="1"/>
  <c r="L449" i="1" s="1"/>
  <c r="K255" i="1"/>
  <c r="L255" i="1" s="1"/>
  <c r="K371" i="1"/>
  <c r="L371" i="1" s="1"/>
  <c r="K434" i="1"/>
  <c r="L434" i="1" s="1"/>
  <c r="K429" i="1"/>
  <c r="L429" i="1" s="1"/>
  <c r="K125" i="1"/>
  <c r="L125" i="1" s="1"/>
  <c r="K1199" i="1"/>
  <c r="L1199" i="1" s="1"/>
  <c r="K1205" i="1"/>
  <c r="L1205" i="1" s="1"/>
  <c r="K891" i="1"/>
  <c r="L891" i="1" s="1"/>
  <c r="K857" i="1"/>
  <c r="L857" i="1" s="1"/>
  <c r="K575" i="1"/>
  <c r="L575" i="1" s="1"/>
  <c r="K542" i="1"/>
  <c r="L542" i="1" s="1"/>
  <c r="K509" i="1"/>
  <c r="L509" i="1" s="1"/>
  <c r="K477" i="1"/>
  <c r="L477" i="1" s="1"/>
  <c r="K451" i="1"/>
  <c r="L451" i="1" s="1"/>
  <c r="K440" i="1"/>
  <c r="L440" i="1" s="1"/>
  <c r="K420" i="1"/>
  <c r="L420" i="1" s="1"/>
  <c r="K355" i="1"/>
  <c r="L355" i="1" s="1"/>
  <c r="K316" i="1"/>
  <c r="L316" i="1" s="1"/>
  <c r="K1138" i="1"/>
  <c r="L1138" i="1" s="1"/>
  <c r="K1143" i="1"/>
  <c r="L1143" i="1" s="1"/>
  <c r="K1134" i="1"/>
  <c r="L1134" i="1" s="1"/>
  <c r="K1054" i="1"/>
  <c r="L1054" i="1" s="1"/>
  <c r="K1062" i="1"/>
  <c r="L1062" i="1" s="1"/>
  <c r="K1036" i="1"/>
  <c r="L1036" i="1" s="1"/>
  <c r="K1024" i="1"/>
  <c r="L1024" i="1" s="1"/>
  <c r="K1030" i="1"/>
  <c r="L1030" i="1" s="1"/>
  <c r="K995" i="1"/>
  <c r="L995" i="1" s="1"/>
  <c r="K1000" i="1"/>
  <c r="L1000" i="1" s="1"/>
  <c r="K1008" i="1"/>
  <c r="L1008" i="1" s="1"/>
  <c r="K905" i="1"/>
  <c r="L905" i="1" s="1"/>
  <c r="K910" i="1"/>
  <c r="L910" i="1" s="1"/>
  <c r="K882" i="1"/>
  <c r="L882" i="1" s="1"/>
  <c r="K841" i="1"/>
  <c r="L841" i="1" s="1"/>
  <c r="K847" i="1"/>
  <c r="L847" i="1" s="1"/>
  <c r="K852" i="1"/>
  <c r="L852" i="1" s="1"/>
  <c r="K813" i="1"/>
  <c r="L813" i="1" s="1"/>
  <c r="K819" i="1"/>
  <c r="L819" i="1" s="1"/>
  <c r="K826" i="1"/>
  <c r="L826" i="1" s="1"/>
  <c r="K736" i="1"/>
  <c r="L736" i="1" s="1"/>
  <c r="K697" i="1"/>
  <c r="L697" i="1" s="1"/>
  <c r="K705" i="1"/>
  <c r="L705" i="1" s="1"/>
  <c r="K582" i="1"/>
  <c r="L582" i="1" s="1"/>
  <c r="K592" i="1"/>
  <c r="L592" i="1" s="1"/>
  <c r="K396" i="1"/>
  <c r="L396" i="1" s="1"/>
  <c r="K353" i="1"/>
  <c r="L353" i="1" s="1"/>
  <c r="K334" i="1"/>
  <c r="L334" i="1" s="1"/>
  <c r="K284" i="1"/>
  <c r="L284" i="1" s="1"/>
  <c r="K303" i="1"/>
  <c r="L303" i="1" s="1"/>
  <c r="K971" i="1"/>
  <c r="L971" i="1" s="1"/>
  <c r="K939" i="1"/>
  <c r="L939" i="1" s="1"/>
  <c r="K738" i="1"/>
  <c r="L738" i="1" s="1"/>
  <c r="K672" i="1"/>
  <c r="L672" i="1" s="1"/>
  <c r="K545" i="1"/>
  <c r="L545" i="1" s="1"/>
  <c r="K537" i="1"/>
  <c r="L537" i="1" s="1"/>
  <c r="K737" i="1"/>
  <c r="L737" i="1" s="1"/>
  <c r="K639" i="1"/>
  <c r="L639" i="1" s="1"/>
  <c r="K611" i="1"/>
  <c r="L611" i="1" s="1"/>
  <c r="K573" i="1"/>
  <c r="L573" i="1" s="1"/>
  <c r="K524" i="1"/>
  <c r="L524" i="1" s="1"/>
  <c r="K380" i="1"/>
  <c r="L380" i="1" s="1"/>
  <c r="K252" i="1"/>
  <c r="L252" i="1" s="1"/>
  <c r="K513" i="1"/>
  <c r="L513" i="1" s="1"/>
  <c r="K499" i="1"/>
  <c r="L499" i="1" s="1"/>
  <c r="K238" i="1"/>
  <c r="L238" i="1" s="1"/>
  <c r="K166" i="1"/>
  <c r="L166" i="1" s="1"/>
  <c r="K102" i="1"/>
  <c r="L102" i="1" s="1"/>
  <c r="K378" i="1"/>
  <c r="L378" i="1" s="1"/>
  <c r="K375" i="1"/>
  <c r="L375" i="1" s="1"/>
  <c r="K258" i="1"/>
  <c r="L258" i="1" s="1"/>
  <c r="K188" i="1"/>
  <c r="L188" i="1" s="1"/>
  <c r="K90" i="1"/>
  <c r="L90" i="1" s="1"/>
  <c r="K261" i="1"/>
  <c r="L261" i="1" s="1"/>
  <c r="K97" i="1"/>
  <c r="L97" i="1" s="1"/>
  <c r="K504" i="1"/>
  <c r="L504" i="1" s="1"/>
  <c r="K465" i="1"/>
  <c r="L465" i="1" s="1"/>
  <c r="K433" i="1"/>
  <c r="L433" i="1" s="1"/>
  <c r="K187" i="1"/>
  <c r="L187" i="1" s="1"/>
  <c r="K51" i="1"/>
  <c r="L51" i="1" s="1"/>
  <c r="K191" i="1"/>
  <c r="L191" i="1" s="1"/>
  <c r="K1258" i="1"/>
  <c r="K1253" i="1"/>
  <c r="L1253" i="1" s="1"/>
  <c r="K1249" i="1"/>
  <c r="L1249" i="1" s="1"/>
  <c r="K1239" i="1"/>
  <c r="L1239" i="1" s="1"/>
  <c r="K1219" i="1"/>
  <c r="L1219" i="1" s="1"/>
  <c r="K1215" i="1"/>
  <c r="L1215" i="1" s="1"/>
  <c r="K1211" i="1"/>
  <c r="L1211" i="1" s="1"/>
  <c r="K1190" i="1"/>
  <c r="L1190" i="1" s="1"/>
  <c r="K1186" i="1"/>
  <c r="L1186" i="1" s="1"/>
  <c r="K1182" i="1"/>
  <c r="L1182" i="1" s="1"/>
  <c r="K1173" i="1"/>
  <c r="L1173" i="1" s="1"/>
  <c r="K1157" i="1"/>
  <c r="L1157" i="1" s="1"/>
  <c r="K1153" i="1"/>
  <c r="L1153" i="1" s="1"/>
  <c r="K1144" i="1"/>
  <c r="L1144" i="1" s="1"/>
  <c r="K1129" i="1"/>
  <c r="L1129" i="1" s="1"/>
  <c r="K1125" i="1"/>
  <c r="L1125" i="1" s="1"/>
  <c r="K1103" i="1"/>
  <c r="L1103" i="1" s="1"/>
  <c r="K1099" i="1"/>
  <c r="L1099" i="1" s="1"/>
  <c r="K1095" i="1"/>
  <c r="L1095" i="1" s="1"/>
  <c r="K1074" i="1"/>
  <c r="L1074" i="1" s="1"/>
  <c r="K1070" i="1"/>
  <c r="L1070" i="1" s="1"/>
  <c r="K1061" i="1"/>
  <c r="L1061" i="1" s="1"/>
  <c r="K1046" i="1"/>
  <c r="L1046" i="1" s="1"/>
  <c r="K1042" i="1"/>
  <c r="L1042" i="1" s="1"/>
  <c r="K1033" i="1"/>
  <c r="L1033" i="1" s="1"/>
  <c r="K1016" i="1"/>
  <c r="L1016" i="1" s="1"/>
  <c r="K1012" i="1"/>
  <c r="L1012" i="1" s="1"/>
  <c r="K991" i="1"/>
  <c r="L991" i="1" s="1"/>
  <c r="K987" i="1"/>
  <c r="L987" i="1" s="1"/>
  <c r="K983" i="1"/>
  <c r="L983" i="1" s="1"/>
  <c r="K961" i="1"/>
  <c r="L961" i="1" s="1"/>
  <c r="K957" i="1"/>
  <c r="L957" i="1" s="1"/>
  <c r="K953" i="1"/>
  <c r="L953" i="1" s="1"/>
  <c r="K929" i="1"/>
  <c r="L929" i="1" s="1"/>
  <c r="K925" i="1"/>
  <c r="L925" i="1" s="1"/>
  <c r="K921" i="1"/>
  <c r="L921" i="1" s="1"/>
  <c r="K899" i="1"/>
  <c r="L899" i="1" s="1"/>
  <c r="K895" i="1"/>
  <c r="L895" i="1" s="1"/>
  <c r="K886" i="1"/>
  <c r="L886" i="1" s="1"/>
  <c r="K870" i="1"/>
  <c r="L870" i="1" s="1"/>
  <c r="K866" i="1"/>
  <c r="L866" i="1" s="1"/>
  <c r="K862" i="1"/>
  <c r="L862" i="1" s="1"/>
  <c r="K853" i="1"/>
  <c r="L853" i="1" s="1"/>
  <c r="K834" i="1"/>
  <c r="L834" i="1" s="1"/>
  <c r="K830" i="1"/>
  <c r="L830" i="1" s="1"/>
  <c r="K808" i="1"/>
  <c r="L808" i="1" s="1"/>
  <c r="K804" i="1"/>
  <c r="L804" i="1" s="1"/>
  <c r="K800" i="1"/>
  <c r="L800" i="1" s="1"/>
  <c r="K779" i="1"/>
  <c r="L779" i="1" s="1"/>
  <c r="K775" i="1"/>
  <c r="L775" i="1" s="1"/>
  <c r="K771" i="1"/>
  <c r="L771" i="1" s="1"/>
  <c r="K749" i="1"/>
  <c r="L749" i="1" s="1"/>
  <c r="K745" i="1"/>
  <c r="L745" i="1" s="1"/>
  <c r="K741" i="1"/>
  <c r="L741" i="1" s="1"/>
  <c r="K720" i="1"/>
  <c r="L720" i="1" s="1"/>
  <c r="K716" i="1"/>
  <c r="L716" i="1" s="1"/>
  <c r="K707" i="1"/>
  <c r="L707" i="1" s="1"/>
  <c r="K689" i="1"/>
  <c r="L689" i="1" s="1"/>
  <c r="K685" i="1"/>
  <c r="L685" i="1" s="1"/>
  <c r="K676" i="1"/>
  <c r="L676" i="1" s="1"/>
  <c r="K659" i="1"/>
  <c r="L659" i="1" s="1"/>
  <c r="K655" i="1"/>
  <c r="L655" i="1" s="1"/>
  <c r="K634" i="1"/>
  <c r="L634" i="1" s="1"/>
  <c r="K630" i="1"/>
  <c r="L630" i="1" s="1"/>
  <c r="K626" i="1"/>
  <c r="L626" i="1" s="1"/>
  <c r="K604" i="1"/>
  <c r="L604" i="1" s="1"/>
  <c r="K600" i="1"/>
  <c r="L600" i="1" s="1"/>
  <c r="K591" i="1"/>
  <c r="L591" i="1" s="1"/>
  <c r="K27" i="1"/>
  <c r="L27" i="1" s="1"/>
  <c r="K23" i="1"/>
  <c r="L23" i="1" s="1"/>
  <c r="K19" i="1"/>
  <c r="L19" i="1" s="1"/>
  <c r="K15" i="1"/>
  <c r="L15" i="1" s="1"/>
  <c r="K11" i="1"/>
  <c r="L11" i="1" s="1"/>
  <c r="K1256" i="1"/>
  <c r="L1256" i="1" s="1"/>
  <c r="K1251" i="1"/>
  <c r="L1251" i="1" s="1"/>
  <c r="K1246" i="1"/>
  <c r="L1246" i="1" s="1"/>
  <c r="K1218" i="1"/>
  <c r="L1218" i="1" s="1"/>
  <c r="K1213" i="1"/>
  <c r="L1213" i="1" s="1"/>
  <c r="K1203" i="1"/>
  <c r="L1203" i="1" s="1"/>
  <c r="K1185" i="1"/>
  <c r="L1185" i="1" s="1"/>
  <c r="K1180" i="1"/>
  <c r="L1180" i="1" s="1"/>
  <c r="K1158" i="1"/>
  <c r="L1158" i="1" s="1"/>
  <c r="K1152" i="1"/>
  <c r="L1152" i="1" s="1"/>
  <c r="K1131" i="1"/>
  <c r="L1131" i="1" s="1"/>
  <c r="K1126" i="1"/>
  <c r="L1126" i="1" s="1"/>
  <c r="K1102" i="1"/>
  <c r="L1102" i="1" s="1"/>
  <c r="K1097" i="1"/>
  <c r="L1097" i="1" s="1"/>
  <c r="K1075" i="1"/>
  <c r="L1075" i="1" s="1"/>
  <c r="K1069" i="1"/>
  <c r="L1069" i="1" s="1"/>
  <c r="K1048" i="1"/>
  <c r="L1048" i="1" s="1"/>
  <c r="K1043" i="1"/>
  <c r="L1043" i="1" s="1"/>
  <c r="K1019" i="1"/>
  <c r="L1019" i="1" s="1"/>
  <c r="K1014" i="1"/>
  <c r="L1014" i="1" s="1"/>
  <c r="K1004" i="1"/>
  <c r="L1004" i="1" s="1"/>
  <c r="K986" i="1"/>
  <c r="L986" i="1" s="1"/>
  <c r="K976" i="1"/>
  <c r="L976" i="1" s="1"/>
  <c r="K958" i="1"/>
  <c r="L958" i="1" s="1"/>
  <c r="K952" i="1"/>
  <c r="L952" i="1" s="1"/>
  <c r="K927" i="1"/>
  <c r="L927" i="1" s="1"/>
  <c r="K922" i="1"/>
  <c r="L922" i="1" s="1"/>
  <c r="K898" i="1"/>
  <c r="L898" i="1" s="1"/>
  <c r="K893" i="1"/>
  <c r="L893" i="1" s="1"/>
  <c r="K871" i="1"/>
  <c r="L871" i="1" s="1"/>
  <c r="K865" i="1"/>
  <c r="L865" i="1" s="1"/>
  <c r="K860" i="1"/>
  <c r="L860" i="1" s="1"/>
  <c r="K835" i="1"/>
  <c r="L835" i="1" s="1"/>
  <c r="K829" i="1"/>
  <c r="L829" i="1" s="1"/>
  <c r="K806" i="1"/>
  <c r="L806" i="1" s="1"/>
  <c r="K801" i="1"/>
  <c r="L801" i="1" s="1"/>
  <c r="K778" i="1"/>
  <c r="L778" i="1" s="1"/>
  <c r="K773" i="1"/>
  <c r="L773" i="1" s="1"/>
  <c r="K762" i="1"/>
  <c r="L762" i="1" s="1"/>
  <c r="K744" i="1"/>
  <c r="L744" i="1" s="1"/>
  <c r="K734" i="1"/>
  <c r="L734" i="1" s="1"/>
  <c r="K717" i="1"/>
  <c r="L717" i="1" s="1"/>
  <c r="K706" i="1"/>
  <c r="L706" i="1" s="1"/>
  <c r="K687" i="1"/>
  <c r="L687" i="1" s="1"/>
  <c r="K677" i="1"/>
  <c r="L677" i="1" s="1"/>
  <c r="K658" i="1"/>
  <c r="L658" i="1" s="1"/>
  <c r="K648" i="1"/>
  <c r="L648" i="1" s="1"/>
  <c r="K631" i="1"/>
  <c r="L631" i="1" s="1"/>
  <c r="K620" i="1"/>
  <c r="L620" i="1" s="1"/>
  <c r="K602" i="1"/>
  <c r="L602" i="1" s="1"/>
  <c r="K597" i="1"/>
  <c r="L597" i="1" s="1"/>
  <c r="K26" i="1"/>
  <c r="L26" i="1" s="1"/>
  <c r="K21" i="1"/>
  <c r="L21" i="1" s="1"/>
  <c r="K16" i="1"/>
  <c r="L16" i="1" s="1"/>
  <c r="K10" i="1"/>
  <c r="L10" i="1" s="1"/>
  <c r="K1260" i="1"/>
  <c r="L1260" i="1" s="1"/>
  <c r="K1254" i="1"/>
  <c r="L1254" i="1" s="1"/>
  <c r="K1248" i="1"/>
  <c r="L1248" i="1" s="1"/>
  <c r="K1221" i="1"/>
  <c r="L1221" i="1" s="1"/>
  <c r="K1216" i="1"/>
  <c r="L1216" i="1" s="1"/>
  <c r="K1210" i="1"/>
  <c r="L1210" i="1" s="1"/>
  <c r="K1188" i="1"/>
  <c r="L1188" i="1" s="1"/>
  <c r="K1183" i="1"/>
  <c r="L1183" i="1" s="1"/>
  <c r="K1172" i="1"/>
  <c r="L1172" i="1" s="1"/>
  <c r="K1155" i="1"/>
  <c r="L1155" i="1" s="1"/>
  <c r="K1145" i="1"/>
  <c r="L1145" i="1" s="1"/>
  <c r="K1128" i="1"/>
  <c r="L1128" i="1" s="1"/>
  <c r="K1118" i="1"/>
  <c r="L1118" i="1" s="1"/>
  <c r="K1100" i="1"/>
  <c r="L1100" i="1" s="1"/>
  <c r="K1089" i="1"/>
  <c r="L1089" i="1" s="1"/>
  <c r="K1072" i="1"/>
  <c r="L1072" i="1" s="1"/>
  <c r="K1067" i="1"/>
  <c r="L1067" i="1" s="1"/>
  <c r="K1045" i="1"/>
  <c r="L1045" i="1" s="1"/>
  <c r="K1040" i="1"/>
  <c r="L1040" i="1" s="1"/>
  <c r="K1017" i="1"/>
  <c r="L1017" i="1" s="1"/>
  <c r="K1011" i="1"/>
  <c r="L1011" i="1" s="1"/>
  <c r="K989" i="1"/>
  <c r="L989" i="1" s="1"/>
  <c r="K984" i="1"/>
  <c r="L984" i="1" s="1"/>
  <c r="K960" i="1"/>
  <c r="L960" i="1" s="1"/>
  <c r="K955" i="1"/>
  <c r="L955" i="1" s="1"/>
  <c r="K945" i="1"/>
  <c r="L945" i="1" s="1"/>
  <c r="K924" i="1"/>
  <c r="L924" i="1" s="1"/>
  <c r="K914" i="1"/>
  <c r="L914" i="1" s="1"/>
  <c r="K896" i="1"/>
  <c r="L896" i="1" s="1"/>
  <c r="K885" i="1"/>
  <c r="L885" i="1" s="1"/>
  <c r="K868" i="1"/>
  <c r="L868" i="1" s="1"/>
  <c r="K863" i="1"/>
  <c r="L863" i="1" s="1"/>
  <c r="K837" i="1"/>
  <c r="L837" i="1" s="1"/>
  <c r="K832" i="1"/>
  <c r="L832" i="1" s="1"/>
  <c r="K822" i="1"/>
  <c r="L822" i="1" s="1"/>
  <c r="K803" i="1"/>
  <c r="L803" i="1" s="1"/>
  <c r="K793" i="1"/>
  <c r="L793" i="1" s="1"/>
  <c r="K776" i="1"/>
  <c r="L776" i="1" s="1"/>
  <c r="K770" i="1"/>
  <c r="L770" i="1" s="1"/>
  <c r="K747" i="1"/>
  <c r="L747" i="1" s="1"/>
  <c r="K742" i="1"/>
  <c r="L742" i="1" s="1"/>
  <c r="K719" i="1"/>
  <c r="L719" i="1" s="1"/>
  <c r="K714" i="1"/>
  <c r="L714" i="1" s="1"/>
  <c r="K690" i="1"/>
  <c r="L690" i="1" s="1"/>
  <c r="K684" i="1"/>
  <c r="L684" i="1" s="1"/>
  <c r="K661" i="1"/>
  <c r="L661" i="1" s="1"/>
  <c r="K656" i="1"/>
  <c r="L656" i="1" s="1"/>
  <c r="K633" i="1"/>
  <c r="L633" i="1" s="1"/>
  <c r="K628" i="1"/>
  <c r="L628" i="1" s="1"/>
  <c r="K605" i="1"/>
  <c r="L605" i="1" s="1"/>
  <c r="K599" i="1"/>
  <c r="L599" i="1" s="1"/>
  <c r="K30" i="1"/>
  <c r="L30" i="1" s="1"/>
  <c r="K24" i="1"/>
  <c r="L24" i="1" s="1"/>
  <c r="K18" i="1"/>
  <c r="L18" i="1" s="1"/>
  <c r="K13" i="1"/>
  <c r="L13" i="1" s="1"/>
  <c r="D7" i="3"/>
  <c r="K1259" i="1"/>
  <c r="L1259" i="1" s="1"/>
  <c r="K1252" i="1"/>
  <c r="L1252" i="1" s="1"/>
  <c r="K1247" i="1"/>
  <c r="L1247" i="1" s="1"/>
  <c r="K1220" i="1"/>
  <c r="L1220" i="1" s="1"/>
  <c r="K1214" i="1"/>
  <c r="L1214" i="1" s="1"/>
  <c r="K1204" i="1"/>
  <c r="L1204" i="1" s="1"/>
  <c r="K1187" i="1"/>
  <c r="L1187" i="1" s="1"/>
  <c r="K1181" i="1"/>
  <c r="L1181" i="1" s="1"/>
  <c r="K1159" i="1"/>
  <c r="L1159" i="1" s="1"/>
  <c r="K1154" i="1"/>
  <c r="L1154" i="1" s="1"/>
  <c r="K1132" i="1"/>
  <c r="L1132" i="1" s="1"/>
  <c r="K1127" i="1"/>
  <c r="L1127" i="1" s="1"/>
  <c r="K1117" i="1"/>
  <c r="L1117" i="1" s="1"/>
  <c r="K1098" i="1"/>
  <c r="L1098" i="1" s="1"/>
  <c r="K1088" i="1"/>
  <c r="L1088" i="1" s="1"/>
  <c r="K1071" i="1"/>
  <c r="L1071" i="1" s="1"/>
  <c r="K1060" i="1"/>
  <c r="L1060" i="1" s="1"/>
  <c r="K1044" i="1"/>
  <c r="L1044" i="1" s="1"/>
  <c r="K1034" i="1"/>
  <c r="L1034" i="1" s="1"/>
  <c r="K1015" i="1"/>
  <c r="L1015" i="1" s="1"/>
  <c r="K1005" i="1"/>
  <c r="L1005" i="1" s="1"/>
  <c r="K988" i="1"/>
  <c r="L988" i="1" s="1"/>
  <c r="K977" i="1"/>
  <c r="L977" i="1" s="1"/>
  <c r="K959" i="1"/>
  <c r="L959" i="1" s="1"/>
  <c r="K954" i="1"/>
  <c r="L954" i="1" s="1"/>
  <c r="K928" i="1"/>
  <c r="L928" i="1" s="1"/>
  <c r="K923" i="1"/>
  <c r="L923" i="1" s="1"/>
  <c r="K900" i="1"/>
  <c r="L900" i="1" s="1"/>
  <c r="K894" i="1"/>
  <c r="L894" i="1" s="1"/>
  <c r="K872" i="1"/>
  <c r="L872" i="1" s="1"/>
  <c r="K867" i="1"/>
  <c r="L867" i="1" s="1"/>
  <c r="K861" i="1"/>
  <c r="L861" i="1" s="1"/>
  <c r="K836" i="1"/>
  <c r="L836" i="1" s="1"/>
  <c r="K831" i="1"/>
  <c r="L831" i="1" s="1"/>
  <c r="K807" i="1"/>
  <c r="L807" i="1" s="1"/>
  <c r="K802" i="1"/>
  <c r="L802" i="1" s="1"/>
  <c r="K792" i="1"/>
  <c r="L792" i="1" s="1"/>
  <c r="K774" i="1"/>
  <c r="L774" i="1" s="1"/>
  <c r="K763" i="1"/>
  <c r="L763" i="1" s="1"/>
  <c r="K746" i="1"/>
  <c r="L746" i="1" s="1"/>
  <c r="K735" i="1"/>
  <c r="L735" i="1" s="1"/>
  <c r="K718" i="1"/>
  <c r="L718" i="1" s="1"/>
  <c r="K713" i="1"/>
  <c r="L713" i="1" s="1"/>
  <c r="K688" i="1"/>
  <c r="L688" i="1" s="1"/>
  <c r="K683" i="1"/>
  <c r="L683" i="1" s="1"/>
  <c r="K660" i="1"/>
  <c r="L660" i="1" s="1"/>
  <c r="K654" i="1"/>
  <c r="L654" i="1" s="1"/>
  <c r="K632" i="1"/>
  <c r="L632" i="1" s="1"/>
  <c r="K627" i="1"/>
  <c r="L627" i="1" s="1"/>
  <c r="K603" i="1"/>
  <c r="L603" i="1" s="1"/>
  <c r="K598" i="1"/>
  <c r="L598" i="1" s="1"/>
  <c r="K28" i="1"/>
  <c r="L28" i="1" s="1"/>
  <c r="K22" i="1"/>
  <c r="L22" i="1" s="1"/>
  <c r="K17" i="1"/>
  <c r="L17" i="1" s="1"/>
  <c r="K12" i="1"/>
  <c r="L12" i="1" s="1"/>
  <c r="K1217" i="1"/>
  <c r="L1217" i="1" s="1"/>
  <c r="K1179" i="1"/>
  <c r="L1179" i="1" s="1"/>
  <c r="K1124" i="1"/>
  <c r="L1124" i="1" s="1"/>
  <c r="K1068" i="1"/>
  <c r="L1068" i="1" s="1"/>
  <c r="K1013" i="1"/>
  <c r="L1013" i="1" s="1"/>
  <c r="K956" i="1"/>
  <c r="L956" i="1" s="1"/>
  <c r="K897" i="1"/>
  <c r="L897" i="1" s="1"/>
  <c r="K854" i="1"/>
  <c r="L854" i="1" s="1"/>
  <c r="K799" i="1"/>
  <c r="L799" i="1" s="1"/>
  <c r="K743" i="1"/>
  <c r="L743" i="1" s="1"/>
  <c r="K686" i="1"/>
  <c r="L686" i="1" s="1"/>
  <c r="K629" i="1"/>
  <c r="L629" i="1" s="1"/>
  <c r="K25" i="1"/>
  <c r="L25" i="1" s="1"/>
  <c r="K1255" i="1"/>
  <c r="L1255" i="1" s="1"/>
  <c r="K1212" i="1"/>
  <c r="L1212" i="1" s="1"/>
  <c r="K1156" i="1"/>
  <c r="L1156" i="1" s="1"/>
  <c r="K1101" i="1"/>
  <c r="L1101" i="1" s="1"/>
  <c r="K1047" i="1"/>
  <c r="L1047" i="1" s="1"/>
  <c r="K990" i="1"/>
  <c r="L990" i="1" s="1"/>
  <c r="K946" i="1"/>
  <c r="L946" i="1" s="1"/>
  <c r="K892" i="1"/>
  <c r="L892" i="1" s="1"/>
  <c r="K833" i="1"/>
  <c r="L833" i="1" s="1"/>
  <c r="K777" i="1"/>
  <c r="L777" i="1" s="1"/>
  <c r="K721" i="1"/>
  <c r="L721" i="1" s="1"/>
  <c r="K662" i="1"/>
  <c r="L662" i="1" s="1"/>
  <c r="K619" i="1"/>
  <c r="L619" i="1" s="1"/>
  <c r="K20" i="1"/>
  <c r="L20" i="1" s="1"/>
  <c r="K1250" i="1"/>
  <c r="L1250" i="1" s="1"/>
  <c r="K1189" i="1"/>
  <c r="L1189" i="1" s="1"/>
  <c r="K1151" i="1"/>
  <c r="L1151" i="1" s="1"/>
  <c r="K1096" i="1"/>
  <c r="L1096" i="1" s="1"/>
  <c r="K1041" i="1"/>
  <c r="L1041" i="1" s="1"/>
  <c r="K985" i="1"/>
  <c r="L985" i="1" s="1"/>
  <c r="K926" i="1"/>
  <c r="L926" i="1" s="1"/>
  <c r="K869" i="1"/>
  <c r="L869" i="1" s="1"/>
  <c r="K823" i="1"/>
  <c r="L823" i="1" s="1"/>
  <c r="K772" i="1"/>
  <c r="L772" i="1" s="1"/>
  <c r="K715" i="1"/>
  <c r="L715" i="1" s="1"/>
  <c r="K657" i="1"/>
  <c r="L657" i="1" s="1"/>
  <c r="K601" i="1"/>
  <c r="L601" i="1" s="1"/>
  <c r="K14" i="1"/>
  <c r="L14" i="1" s="1"/>
  <c r="K414" i="1"/>
  <c r="L414" i="1" s="1"/>
  <c r="K418" i="1"/>
  <c r="L418" i="1" s="1"/>
  <c r="K1073" i="1"/>
  <c r="L1073" i="1" s="1"/>
  <c r="K864" i="1"/>
  <c r="L864" i="1" s="1"/>
  <c r="K647" i="1"/>
  <c r="L647" i="1" s="1"/>
  <c r="K1238" i="1"/>
  <c r="L1238" i="1" s="1"/>
  <c r="K1018" i="1"/>
  <c r="L1018" i="1" s="1"/>
  <c r="K805" i="1"/>
  <c r="L805" i="1" s="1"/>
  <c r="K590" i="1"/>
  <c r="L590" i="1" s="1"/>
  <c r="K415" i="1"/>
  <c r="L415" i="1" s="1"/>
  <c r="K1184" i="1"/>
  <c r="L1184" i="1" s="1"/>
  <c r="K962" i="1"/>
  <c r="L962" i="1" s="1"/>
  <c r="K748" i="1"/>
  <c r="L748" i="1" s="1"/>
  <c r="K9" i="1"/>
  <c r="L9" i="1" s="1"/>
  <c r="K412" i="1"/>
  <c r="L412" i="1" s="1"/>
  <c r="K411" i="1"/>
  <c r="L411" i="1" s="1"/>
  <c r="K1130" i="1"/>
  <c r="L1130" i="1" s="1"/>
  <c r="K413" i="1"/>
  <c r="L413" i="1" s="1"/>
  <c r="K915" i="1"/>
  <c r="L915" i="1" s="1"/>
  <c r="K416" i="1"/>
  <c r="L416" i="1" s="1"/>
  <c r="K691" i="1"/>
  <c r="L691" i="1" s="1"/>
  <c r="K417" i="1"/>
  <c r="L417" i="1" s="1"/>
  <c r="K38" i="1"/>
  <c r="L38" i="1" s="1"/>
  <c r="K35" i="1"/>
  <c r="L35" i="1" s="1"/>
  <c r="K59" i="1"/>
  <c r="L59" i="1" s="1"/>
  <c r="K78" i="1"/>
  <c r="L78" i="1" s="1"/>
  <c r="K121" i="1"/>
  <c r="L121" i="1" s="1"/>
  <c r="K140" i="1"/>
  <c r="L140" i="1" s="1"/>
  <c r="K159" i="1"/>
  <c r="L159" i="1" s="1"/>
  <c r="K186" i="1"/>
  <c r="L186" i="1" s="1"/>
  <c r="K170" i="1"/>
  <c r="L170" i="1" s="1"/>
  <c r="K205" i="1"/>
  <c r="L205" i="1" s="1"/>
  <c r="K216" i="1"/>
  <c r="L216" i="1" s="1"/>
  <c r="K58" i="1"/>
  <c r="L58" i="1" s="1"/>
  <c r="K105" i="1"/>
  <c r="L105" i="1" s="1"/>
  <c r="K124" i="1"/>
  <c r="L124" i="1" s="1"/>
  <c r="K135" i="1"/>
  <c r="L135" i="1" s="1"/>
  <c r="K179" i="1"/>
  <c r="L179" i="1" s="1"/>
  <c r="K225" i="1"/>
  <c r="L225" i="1" s="1"/>
  <c r="K232" i="1"/>
  <c r="L232" i="1" s="1"/>
  <c r="K276" i="1"/>
  <c r="L276" i="1" s="1"/>
  <c r="K432" i="1"/>
  <c r="L432" i="1" s="1"/>
  <c r="K428" i="1"/>
  <c r="L428" i="1" s="1"/>
  <c r="K424" i="1"/>
  <c r="L424" i="1" s="1"/>
  <c r="K470" i="1"/>
  <c r="L470" i="1" s="1"/>
  <c r="K464" i="1"/>
  <c r="L464" i="1" s="1"/>
  <c r="K460" i="1"/>
  <c r="L460" i="1" s="1"/>
  <c r="K468" i="1"/>
  <c r="L468" i="1" s="1"/>
  <c r="K437" i="1"/>
  <c r="L437" i="1" s="1"/>
  <c r="K42" i="1"/>
  <c r="L42" i="1" s="1"/>
  <c r="K36" i="1"/>
  <c r="L36" i="1" s="1"/>
  <c r="K62" i="1"/>
  <c r="L62" i="1" s="1"/>
  <c r="K114" i="1"/>
  <c r="L114" i="1" s="1"/>
  <c r="K95" i="1"/>
  <c r="L95" i="1" s="1"/>
  <c r="K139" i="1"/>
  <c r="L139" i="1" s="1"/>
  <c r="K171" i="1"/>
  <c r="L171" i="1" s="1"/>
  <c r="K209" i="1"/>
  <c r="L209" i="1" s="1"/>
  <c r="K253" i="1"/>
  <c r="L253" i="1" s="1"/>
  <c r="K37" i="1"/>
  <c r="L37" i="1" s="1"/>
  <c r="K50" i="1"/>
  <c r="L50" i="1" s="1"/>
  <c r="K63" i="1"/>
  <c r="L63" i="1" s="1"/>
  <c r="K86" i="1"/>
  <c r="L86" i="1" s="1"/>
  <c r="K119" i="1"/>
  <c r="L119" i="1" s="1"/>
  <c r="K142" i="1"/>
  <c r="L142" i="1" s="1"/>
  <c r="K161" i="1"/>
  <c r="L161" i="1" s="1"/>
  <c r="K180" i="1"/>
  <c r="L180" i="1" s="1"/>
  <c r="K199" i="1"/>
  <c r="L199" i="1" s="1"/>
  <c r="K218" i="1"/>
  <c r="L218" i="1" s="1"/>
  <c r="K235" i="1"/>
  <c r="L235" i="1" s="1"/>
  <c r="K254" i="1"/>
  <c r="L254" i="1" s="1"/>
  <c r="K275" i="1"/>
  <c r="L275" i="1" s="1"/>
  <c r="K313" i="1"/>
  <c r="L313" i="1" s="1"/>
  <c r="K350" i="1"/>
  <c r="L350" i="1" s="1"/>
  <c r="K374" i="1"/>
  <c r="L374" i="1" s="1"/>
  <c r="K368" i="1"/>
  <c r="L368" i="1" s="1"/>
  <c r="K364" i="1"/>
  <c r="L364" i="1" s="1"/>
  <c r="K360" i="1"/>
  <c r="L360" i="1" s="1"/>
  <c r="K382" i="1"/>
  <c r="L382" i="1" s="1"/>
  <c r="K65" i="1"/>
  <c r="L65" i="1" s="1"/>
  <c r="K89" i="1"/>
  <c r="L89" i="1" s="1"/>
  <c r="K109" i="1"/>
  <c r="L109" i="1" s="1"/>
  <c r="K100" i="1"/>
  <c r="L100" i="1" s="1"/>
  <c r="K126" i="1"/>
  <c r="L126" i="1" s="1"/>
  <c r="K145" i="1"/>
  <c r="L145" i="1" s="1"/>
  <c r="K154" i="1"/>
  <c r="L154" i="1" s="1"/>
  <c r="K169" i="1"/>
  <c r="L169" i="1" s="1"/>
  <c r="K173" i="1"/>
  <c r="L173" i="1" s="1"/>
  <c r="K204" i="1"/>
  <c r="L204" i="1" s="1"/>
  <c r="K215" i="1"/>
  <c r="L215" i="1" s="1"/>
  <c r="K234" i="1"/>
  <c r="L234" i="1" s="1"/>
  <c r="K251" i="1"/>
  <c r="L251" i="1" s="1"/>
  <c r="K450" i="1"/>
  <c r="L450" i="1" s="1"/>
  <c r="K476" i="1"/>
  <c r="L476" i="1" s="1"/>
  <c r="K498" i="1"/>
  <c r="L498" i="1" s="1"/>
  <c r="K492" i="1"/>
  <c r="L492" i="1" s="1"/>
  <c r="K488" i="1"/>
  <c r="L488" i="1" s="1"/>
  <c r="K497" i="1"/>
  <c r="L497" i="1" s="1"/>
  <c r="K526" i="1"/>
  <c r="L526" i="1" s="1"/>
  <c r="K566" i="1"/>
  <c r="L566" i="1" s="1"/>
  <c r="K223" i="1"/>
  <c r="L223" i="1" s="1"/>
  <c r="K244" i="1"/>
  <c r="L244" i="1" s="1"/>
  <c r="K248" i="1"/>
  <c r="L248" i="1" s="1"/>
  <c r="K279" i="1"/>
  <c r="L279" i="1" s="1"/>
  <c r="K307" i="1"/>
  <c r="L307" i="1" s="1"/>
  <c r="K357" i="1"/>
  <c r="L357" i="1" s="1"/>
  <c r="K388" i="1"/>
  <c r="L388" i="1" s="1"/>
  <c r="K445" i="1"/>
  <c r="L445" i="1" s="1"/>
  <c r="K503" i="1"/>
  <c r="L503" i="1" s="1"/>
  <c r="K529" i="1"/>
  <c r="L529" i="1" s="1"/>
  <c r="K523" i="1"/>
  <c r="L523" i="1" s="1"/>
  <c r="K519" i="1"/>
  <c r="L519" i="1" s="1"/>
  <c r="K515" i="1"/>
  <c r="L515" i="1" s="1"/>
  <c r="K540" i="1"/>
  <c r="L540" i="1" s="1"/>
  <c r="K563" i="1"/>
  <c r="L563" i="1" s="1"/>
  <c r="K625" i="1"/>
  <c r="L625" i="1" s="1"/>
  <c r="K618" i="1"/>
  <c r="L618" i="1" s="1"/>
  <c r="K614" i="1"/>
  <c r="L614" i="1" s="1"/>
  <c r="K610" i="1"/>
  <c r="L610" i="1" s="1"/>
  <c r="K653" i="1"/>
  <c r="L653" i="1" s="1"/>
  <c r="K646" i="1"/>
  <c r="L646" i="1" s="1"/>
  <c r="K642" i="1"/>
  <c r="L642" i="1" s="1"/>
  <c r="K638" i="1"/>
  <c r="L638" i="1" s="1"/>
  <c r="K764" i="1"/>
  <c r="L764" i="1" s="1"/>
  <c r="K781" i="1"/>
  <c r="L781" i="1" s="1"/>
  <c r="K794" i="1"/>
  <c r="L794" i="1" s="1"/>
  <c r="K533" i="1"/>
  <c r="L533" i="1" s="1"/>
  <c r="K558" i="1"/>
  <c r="L558" i="1" s="1"/>
  <c r="K552" i="1"/>
  <c r="L552" i="1" s="1"/>
  <c r="K548" i="1"/>
  <c r="L548" i="1" s="1"/>
  <c r="K544" i="1"/>
  <c r="L544" i="1" s="1"/>
  <c r="K570" i="1"/>
  <c r="L570" i="1" s="1"/>
  <c r="K682" i="1"/>
  <c r="L682" i="1" s="1"/>
  <c r="K675" i="1"/>
  <c r="L675" i="1" s="1"/>
  <c r="K671" i="1"/>
  <c r="L671" i="1" s="1"/>
  <c r="K667" i="1"/>
  <c r="L667" i="1" s="1"/>
  <c r="K765" i="1"/>
  <c r="L765" i="1" s="1"/>
  <c r="K876" i="1"/>
  <c r="L876" i="1" s="1"/>
  <c r="K918" i="1"/>
  <c r="L918" i="1" s="1"/>
  <c r="K948" i="1"/>
  <c r="L948" i="1" s="1"/>
  <c r="K942" i="1"/>
  <c r="L942" i="1" s="1"/>
  <c r="K938" i="1"/>
  <c r="L938" i="1" s="1"/>
  <c r="K934" i="1"/>
  <c r="L934" i="1" s="1"/>
  <c r="K980" i="1"/>
  <c r="L980" i="1" s="1"/>
  <c r="K974" i="1"/>
  <c r="L974" i="1" s="1"/>
  <c r="K970" i="1"/>
  <c r="L970" i="1" s="1"/>
  <c r="K966" i="1"/>
  <c r="L966" i="1" s="1"/>
  <c r="K1094" i="1"/>
  <c r="L1094" i="1" s="1"/>
  <c r="K270" i="1"/>
  <c r="L270" i="1" s="1"/>
  <c r="K301" i="1"/>
  <c r="L301" i="1" s="1"/>
  <c r="K295" i="1"/>
  <c r="L295" i="1" s="1"/>
  <c r="K291" i="1"/>
  <c r="L291" i="1" s="1"/>
  <c r="K287" i="1"/>
  <c r="L287" i="1" s="1"/>
  <c r="K283" i="1"/>
  <c r="L283" i="1" s="1"/>
  <c r="K312" i="1"/>
  <c r="L312" i="1" s="1"/>
  <c r="K344" i="1"/>
  <c r="L344" i="1" s="1"/>
  <c r="K339" i="1"/>
  <c r="L339" i="1" s="1"/>
  <c r="K333" i="1"/>
  <c r="L333" i="1" s="1"/>
  <c r="K329" i="1"/>
  <c r="L329" i="1" s="1"/>
  <c r="K325" i="1"/>
  <c r="L325" i="1" s="1"/>
  <c r="K321" i="1"/>
  <c r="L321" i="1" s="1"/>
  <c r="K385" i="1"/>
  <c r="L385" i="1" s="1"/>
  <c r="K410" i="1"/>
  <c r="L410" i="1" s="1"/>
  <c r="K405" i="1"/>
  <c r="L405" i="1" s="1"/>
  <c r="K399" i="1"/>
  <c r="L399" i="1" s="1"/>
  <c r="K395" i="1"/>
  <c r="L395" i="1" s="1"/>
  <c r="K391" i="1"/>
  <c r="L391" i="1" s="1"/>
  <c r="K594" i="1"/>
  <c r="L594" i="1" s="1"/>
  <c r="K588" i="1"/>
  <c r="L588" i="1" s="1"/>
  <c r="K584" i="1"/>
  <c r="L584" i="1" s="1"/>
  <c r="K580" i="1"/>
  <c r="L580" i="1" s="1"/>
  <c r="K709" i="1"/>
  <c r="L709" i="1" s="1"/>
  <c r="K703" i="1"/>
  <c r="L703" i="1" s="1"/>
  <c r="K699" i="1"/>
  <c r="L699" i="1" s="1"/>
  <c r="K695" i="1"/>
  <c r="L695" i="1" s="1"/>
  <c r="K759" i="1"/>
  <c r="L759" i="1" s="1"/>
  <c r="K824" i="1"/>
  <c r="L824" i="1" s="1"/>
  <c r="K818" i="1"/>
  <c r="L818" i="1" s="1"/>
  <c r="K814" i="1"/>
  <c r="L814" i="1" s="1"/>
  <c r="K839" i="1"/>
  <c r="L839" i="1" s="1"/>
  <c r="K850" i="1"/>
  <c r="L850" i="1" s="1"/>
  <c r="K846" i="1"/>
  <c r="L846" i="1" s="1"/>
  <c r="K842" i="1"/>
  <c r="L842" i="1" s="1"/>
  <c r="K884" i="1"/>
  <c r="L884" i="1" s="1"/>
  <c r="K911" i="1"/>
  <c r="L911" i="1" s="1"/>
  <c r="K907" i="1"/>
  <c r="L907" i="1" s="1"/>
  <c r="K903" i="1"/>
  <c r="L903" i="1" s="1"/>
  <c r="K1007" i="1"/>
  <c r="L1007" i="1" s="1"/>
  <c r="K1001" i="1"/>
  <c r="L1001" i="1" s="1"/>
  <c r="K997" i="1"/>
  <c r="L997" i="1" s="1"/>
  <c r="K1021" i="1"/>
  <c r="L1021" i="1" s="1"/>
  <c r="K1029" i="1"/>
  <c r="L1029" i="1" s="1"/>
  <c r="K1025" i="1"/>
  <c r="L1025" i="1" s="1"/>
  <c r="K1039" i="1"/>
  <c r="L1039" i="1" s="1"/>
  <c r="K1066" i="1"/>
  <c r="L1066" i="1" s="1"/>
  <c r="K1059" i="1"/>
  <c r="L1059" i="1" s="1"/>
  <c r="K1055" i="1"/>
  <c r="L1055" i="1" s="1"/>
  <c r="K1051" i="1"/>
  <c r="L1051" i="1" s="1"/>
  <c r="K1148" i="1"/>
  <c r="L1148" i="1" s="1"/>
  <c r="K1142" i="1"/>
  <c r="L1142" i="1" s="1"/>
  <c r="K34" i="1"/>
  <c r="L34" i="1" s="1"/>
  <c r="K43" i="1"/>
  <c r="L43" i="1" s="1"/>
  <c r="K68" i="1"/>
  <c r="L68" i="1" s="1"/>
  <c r="K88" i="1"/>
  <c r="L88" i="1" s="1"/>
  <c r="K127" i="1"/>
  <c r="L127" i="1" s="1"/>
  <c r="K136" i="1"/>
  <c r="L136" i="1" s="1"/>
  <c r="K155" i="1"/>
  <c r="L155" i="1" s="1"/>
  <c r="K182" i="1"/>
  <c r="L182" i="1" s="1"/>
  <c r="K201" i="1"/>
  <c r="L201" i="1" s="1"/>
  <c r="K229" i="1"/>
  <c r="L229" i="1" s="1"/>
  <c r="K40" i="1"/>
  <c r="L40" i="1" s="1"/>
  <c r="K81" i="1"/>
  <c r="L81" i="1" s="1"/>
  <c r="K103" i="1"/>
  <c r="L103" i="1" s="1"/>
  <c r="K128" i="1"/>
  <c r="L128" i="1" s="1"/>
  <c r="K162" i="1"/>
  <c r="L162" i="1" s="1"/>
  <c r="K175" i="1"/>
  <c r="L175" i="1" s="1"/>
  <c r="K217" i="1"/>
  <c r="L217" i="1" s="1"/>
  <c r="K266" i="1"/>
  <c r="L266" i="1" s="1"/>
  <c r="K268" i="1"/>
  <c r="L268" i="1" s="1"/>
  <c r="K431" i="1"/>
  <c r="L431" i="1" s="1"/>
  <c r="K427" i="1"/>
  <c r="L427" i="1" s="1"/>
  <c r="K456" i="1"/>
  <c r="L456" i="1" s="1"/>
  <c r="K469" i="1"/>
  <c r="L469" i="1" s="1"/>
  <c r="K463" i="1"/>
  <c r="L463" i="1" s="1"/>
  <c r="K459" i="1"/>
  <c r="L459" i="1" s="1"/>
  <c r="K444" i="1"/>
  <c r="L444" i="1" s="1"/>
  <c r="K478" i="1"/>
  <c r="L478" i="1" s="1"/>
  <c r="K46" i="1"/>
  <c r="L46" i="1" s="1"/>
  <c r="K44" i="1"/>
  <c r="L44" i="1" s="1"/>
  <c r="K67" i="1"/>
  <c r="L67" i="1" s="1"/>
  <c r="K112" i="1"/>
  <c r="L112" i="1" s="1"/>
  <c r="K108" i="1"/>
  <c r="L108" i="1" s="1"/>
  <c r="K146" i="1"/>
  <c r="L146" i="1" s="1"/>
  <c r="K184" i="1"/>
  <c r="L184" i="1" s="1"/>
  <c r="K236" i="1"/>
  <c r="L236" i="1" s="1"/>
  <c r="K245" i="1"/>
  <c r="L245" i="1" s="1"/>
  <c r="K33" i="1"/>
  <c r="L33" i="1" s="1"/>
  <c r="K61" i="1"/>
  <c r="L61" i="1" s="1"/>
  <c r="K84" i="1"/>
  <c r="L84" i="1" s="1"/>
  <c r="K92" i="1"/>
  <c r="L92" i="1" s="1"/>
  <c r="K129" i="1"/>
  <c r="L129" i="1" s="1"/>
  <c r="K138" i="1"/>
  <c r="L138" i="1" s="1"/>
  <c r="K157" i="1"/>
  <c r="L157" i="1" s="1"/>
  <c r="K176" i="1"/>
  <c r="L176" i="1" s="1"/>
  <c r="K195" i="1"/>
  <c r="L195" i="1" s="1"/>
  <c r="K214" i="1"/>
  <c r="L214" i="1" s="1"/>
  <c r="K231" i="1"/>
  <c r="L231" i="1" s="1"/>
  <c r="K250" i="1"/>
  <c r="L250" i="1" s="1"/>
  <c r="K271" i="1"/>
  <c r="L271" i="1" s="1"/>
  <c r="K309" i="1"/>
  <c r="L309" i="1" s="1"/>
  <c r="K346" i="1"/>
  <c r="L346" i="1" s="1"/>
  <c r="K373" i="1"/>
  <c r="L373" i="1" s="1"/>
  <c r="K367" i="1"/>
  <c r="L367" i="1" s="1"/>
  <c r="K363" i="1"/>
  <c r="L363" i="1" s="1"/>
  <c r="K359" i="1"/>
  <c r="L359" i="1" s="1"/>
  <c r="K386" i="1"/>
  <c r="L386" i="1" s="1"/>
  <c r="K64" i="1"/>
  <c r="L64" i="1" s="1"/>
  <c r="K116" i="1"/>
  <c r="L116" i="1" s="1"/>
  <c r="K106" i="1"/>
  <c r="L106" i="1" s="1"/>
  <c r="K98" i="1"/>
  <c r="L98" i="1" s="1"/>
  <c r="K122" i="1"/>
  <c r="L122" i="1" s="1"/>
  <c r="K141" i="1"/>
  <c r="L141" i="1" s="1"/>
  <c r="K160" i="1"/>
  <c r="L160" i="1" s="1"/>
  <c r="K189" i="1"/>
  <c r="L189" i="1" s="1"/>
  <c r="K192" i="1"/>
  <c r="L192" i="1" s="1"/>
  <c r="K207" i="1"/>
  <c r="L207" i="1" s="1"/>
  <c r="K211" i="1"/>
  <c r="L211" i="1" s="1"/>
  <c r="K240" i="1"/>
  <c r="L240" i="1" s="1"/>
  <c r="K247" i="1"/>
  <c r="L247" i="1" s="1"/>
  <c r="K446" i="1"/>
  <c r="L446" i="1" s="1"/>
  <c r="K502" i="1"/>
  <c r="L502" i="1" s="1"/>
  <c r="K495" i="1"/>
  <c r="L495" i="1" s="1"/>
  <c r="K491" i="1"/>
  <c r="L491" i="1" s="1"/>
  <c r="K487" i="1"/>
  <c r="L487" i="1" s="1"/>
  <c r="K506" i="1"/>
  <c r="L506" i="1" s="1"/>
  <c r="K535" i="1"/>
  <c r="L535" i="1" s="1"/>
  <c r="K572" i="1"/>
  <c r="L572" i="1" s="1"/>
  <c r="K237" i="1"/>
  <c r="L237" i="1" s="1"/>
  <c r="K264" i="1"/>
  <c r="L264" i="1" s="1"/>
  <c r="K267" i="1"/>
  <c r="L267" i="1" s="1"/>
  <c r="K297" i="1"/>
  <c r="L297" i="1" s="1"/>
  <c r="K352" i="1"/>
  <c r="L352" i="1" s="1"/>
  <c r="K369" i="1"/>
  <c r="L369" i="1" s="1"/>
  <c r="K467" i="1"/>
  <c r="L467" i="1" s="1"/>
  <c r="K435" i="1"/>
  <c r="L435" i="1" s="1"/>
  <c r="K505" i="1"/>
  <c r="L505" i="1" s="1"/>
  <c r="K528" i="1"/>
  <c r="L528" i="1" s="1"/>
  <c r="K522" i="1"/>
  <c r="L522" i="1" s="1"/>
  <c r="K518" i="1"/>
  <c r="L518" i="1" s="1"/>
  <c r="K514" i="1"/>
  <c r="L514" i="1" s="1"/>
  <c r="K569" i="1"/>
  <c r="L569" i="1" s="1"/>
  <c r="K623" i="1"/>
  <c r="L623" i="1" s="1"/>
  <c r="K617" i="1"/>
  <c r="L617" i="1" s="1"/>
  <c r="K613" i="1"/>
  <c r="L613" i="1" s="1"/>
  <c r="K609" i="1"/>
  <c r="L609" i="1" s="1"/>
  <c r="K651" i="1"/>
  <c r="L651" i="1" s="1"/>
  <c r="K645" i="1"/>
  <c r="L645" i="1" s="1"/>
  <c r="K641" i="1"/>
  <c r="L641" i="1" s="1"/>
  <c r="K637" i="1"/>
  <c r="L637" i="1" s="1"/>
  <c r="K731" i="1"/>
  <c r="L731" i="1" s="1"/>
  <c r="K760" i="1"/>
  <c r="L760" i="1" s="1"/>
  <c r="K798" i="1"/>
  <c r="L798" i="1" s="1"/>
  <c r="K791" i="1"/>
  <c r="L791" i="1" s="1"/>
  <c r="K562" i="1"/>
  <c r="L562" i="1" s="1"/>
  <c r="K555" i="1"/>
  <c r="L555" i="1" s="1"/>
  <c r="K551" i="1"/>
  <c r="L551" i="1" s="1"/>
  <c r="K547" i="1"/>
  <c r="L547" i="1" s="1"/>
  <c r="K543" i="1"/>
  <c r="L543" i="1" s="1"/>
  <c r="K574" i="1"/>
  <c r="L574" i="1" s="1"/>
  <c r="K680" i="1"/>
  <c r="L680" i="1" s="1"/>
  <c r="K674" i="1"/>
  <c r="L674" i="1" s="1"/>
  <c r="K670" i="1"/>
  <c r="L670" i="1" s="1"/>
  <c r="K666" i="1"/>
  <c r="L666" i="1" s="1"/>
  <c r="K728" i="1"/>
  <c r="L728" i="1" s="1"/>
  <c r="K732" i="1"/>
  <c r="L732" i="1" s="1"/>
  <c r="K761" i="1"/>
  <c r="L761" i="1" s="1"/>
  <c r="K753" i="1"/>
  <c r="L753" i="1" s="1"/>
  <c r="K917" i="1"/>
  <c r="L917" i="1" s="1"/>
  <c r="K947" i="1"/>
  <c r="L947" i="1" s="1"/>
  <c r="K941" i="1"/>
  <c r="L941" i="1" s="1"/>
  <c r="K937" i="1"/>
  <c r="L937" i="1" s="1"/>
  <c r="K933" i="1"/>
  <c r="L933" i="1" s="1"/>
  <c r="K979" i="1"/>
  <c r="L979" i="1" s="1"/>
  <c r="K973" i="1"/>
  <c r="L973" i="1" s="1"/>
  <c r="K969" i="1"/>
  <c r="L969" i="1" s="1"/>
  <c r="K965" i="1"/>
  <c r="L965" i="1" s="1"/>
  <c r="K1092" i="1"/>
  <c r="L1092" i="1" s="1"/>
  <c r="K278" i="1"/>
  <c r="L278" i="1" s="1"/>
  <c r="K300" i="1"/>
  <c r="L300" i="1" s="1"/>
  <c r="K294" i="1"/>
  <c r="L294" i="1" s="1"/>
  <c r="K290" i="1"/>
  <c r="L290" i="1" s="1"/>
  <c r="K286" i="1"/>
  <c r="L286" i="1" s="1"/>
  <c r="K282" i="1"/>
  <c r="L282" i="1" s="1"/>
  <c r="K308" i="1"/>
  <c r="L308" i="1" s="1"/>
  <c r="K342" i="1"/>
  <c r="L342" i="1" s="1"/>
  <c r="K338" i="1"/>
  <c r="L338" i="1" s="1"/>
  <c r="K332" i="1"/>
  <c r="L332" i="1" s="1"/>
  <c r="K328" i="1"/>
  <c r="L328" i="1" s="1"/>
  <c r="K324" i="1"/>
  <c r="L324" i="1" s="1"/>
  <c r="K345" i="1"/>
  <c r="L345" i="1" s="1"/>
  <c r="K381" i="1"/>
  <c r="L381" i="1" s="1"/>
  <c r="K408" i="1"/>
  <c r="L408" i="1" s="1"/>
  <c r="K404" i="1"/>
  <c r="L404" i="1" s="1"/>
  <c r="K398" i="1"/>
  <c r="L398" i="1" s="1"/>
  <c r="K394" i="1"/>
  <c r="L394" i="1" s="1"/>
  <c r="K403" i="1"/>
  <c r="L403" i="1" s="1"/>
  <c r="K593" i="1"/>
  <c r="L593" i="1" s="1"/>
  <c r="K587" i="1"/>
  <c r="L587" i="1" s="1"/>
  <c r="K583" i="1"/>
  <c r="L583" i="1" s="1"/>
  <c r="K579" i="1"/>
  <c r="L579" i="1" s="1"/>
  <c r="K693" i="1"/>
  <c r="L693" i="1" s="1"/>
  <c r="K708" i="1"/>
  <c r="L708" i="1" s="1"/>
  <c r="K702" i="1"/>
  <c r="L702" i="1" s="1"/>
  <c r="K698" i="1"/>
  <c r="L698" i="1" s="1"/>
  <c r="K694" i="1"/>
  <c r="L694" i="1" s="1"/>
  <c r="K755" i="1"/>
  <c r="L755" i="1" s="1"/>
  <c r="K828" i="1"/>
  <c r="L828" i="1" s="1"/>
  <c r="K49" i="1"/>
  <c r="L49" i="1" s="1"/>
  <c r="K52" i="1"/>
  <c r="L52" i="1" s="1"/>
  <c r="K76" i="1"/>
  <c r="L76" i="1" s="1"/>
  <c r="K107" i="1"/>
  <c r="L107" i="1" s="1"/>
  <c r="K150" i="1"/>
  <c r="L150" i="1" s="1"/>
  <c r="K132" i="1"/>
  <c r="L132" i="1" s="1"/>
  <c r="K167" i="1"/>
  <c r="L167" i="1" s="1"/>
  <c r="K178" i="1"/>
  <c r="L178" i="1" s="1"/>
  <c r="K197" i="1"/>
  <c r="L197" i="1" s="1"/>
  <c r="K224" i="1"/>
  <c r="L224" i="1" s="1"/>
  <c r="K32" i="1"/>
  <c r="L32" i="1" s="1"/>
  <c r="K87" i="1"/>
  <c r="L87" i="1" s="1"/>
  <c r="K99" i="1"/>
  <c r="L99" i="1" s="1"/>
  <c r="K131" i="1"/>
  <c r="L131" i="1" s="1"/>
  <c r="K164" i="1"/>
  <c r="L164" i="1" s="1"/>
  <c r="K200" i="1"/>
  <c r="L200" i="1" s="1"/>
  <c r="K213" i="1"/>
  <c r="L213" i="1" s="1"/>
  <c r="K257" i="1"/>
  <c r="L257" i="1" s="1"/>
  <c r="K419" i="1"/>
  <c r="L419" i="1" s="1"/>
  <c r="K430" i="1"/>
  <c r="L430" i="1" s="1"/>
  <c r="K426" i="1"/>
  <c r="L426" i="1" s="1"/>
  <c r="K473" i="1"/>
  <c r="L473" i="1" s="1"/>
  <c r="K466" i="1"/>
  <c r="L466" i="1" s="1"/>
  <c r="K462" i="1"/>
  <c r="L462" i="1" s="1"/>
  <c r="K458" i="1"/>
  <c r="L458" i="1" s="1"/>
  <c r="K448" i="1"/>
  <c r="L448" i="1" s="1"/>
  <c r="K508" i="1"/>
  <c r="L508" i="1" s="1"/>
  <c r="K53" i="1"/>
  <c r="L53" i="1" s="1"/>
  <c r="K55" i="1"/>
  <c r="L55" i="1" s="1"/>
  <c r="K85" i="1"/>
  <c r="L85" i="1" s="1"/>
  <c r="K101" i="1"/>
  <c r="L101" i="1" s="1"/>
  <c r="K120" i="1"/>
  <c r="L120" i="1" s="1"/>
  <c r="K158" i="1"/>
  <c r="L158" i="1" s="1"/>
  <c r="K196" i="1"/>
  <c r="L196" i="1" s="1"/>
  <c r="K242" i="1"/>
  <c r="L242" i="1" s="1"/>
  <c r="K272" i="1"/>
  <c r="L272" i="1" s="1"/>
  <c r="K41" i="1"/>
  <c r="L41" i="1" s="1"/>
  <c r="K57" i="1"/>
  <c r="L57" i="1" s="1"/>
  <c r="K80" i="1"/>
  <c r="L80" i="1" s="1"/>
  <c r="K117" i="1"/>
  <c r="L117" i="1" s="1"/>
  <c r="K153" i="1"/>
  <c r="L153" i="1" s="1"/>
  <c r="K134" i="1"/>
  <c r="L134" i="1" s="1"/>
  <c r="K165" i="1"/>
  <c r="L165" i="1" s="1"/>
  <c r="K172" i="1"/>
  <c r="L172" i="1" s="1"/>
  <c r="K203" i="1"/>
  <c r="L203" i="1" s="1"/>
  <c r="K210" i="1"/>
  <c r="L210" i="1" s="1"/>
  <c r="K262" i="1"/>
  <c r="L262" i="1" s="1"/>
  <c r="K246" i="1"/>
  <c r="L246" i="1" s="1"/>
  <c r="K277" i="1"/>
  <c r="L277" i="1" s="1"/>
  <c r="K317" i="1"/>
  <c r="L317" i="1" s="1"/>
  <c r="K377" i="1"/>
  <c r="L377" i="1" s="1"/>
  <c r="K372" i="1"/>
  <c r="L372" i="1" s="1"/>
  <c r="K366" i="1"/>
  <c r="L366" i="1" s="1"/>
  <c r="K362" i="1"/>
  <c r="L362" i="1" s="1"/>
  <c r="K358" i="1"/>
  <c r="L358" i="1" s="1"/>
  <c r="K402" i="1"/>
  <c r="L402" i="1" s="1"/>
  <c r="K83" i="1"/>
  <c r="L83" i="1" s="1"/>
  <c r="K113" i="1"/>
  <c r="L113" i="1" s="1"/>
  <c r="K104" i="1"/>
  <c r="L104" i="1" s="1"/>
  <c r="K96" i="1"/>
  <c r="L96" i="1" s="1"/>
  <c r="K118" i="1"/>
  <c r="L118" i="1" s="1"/>
  <c r="K137" i="1"/>
  <c r="L137" i="1" s="1"/>
  <c r="K156" i="1"/>
  <c r="L156" i="1" s="1"/>
  <c r="K181" i="1"/>
  <c r="L181" i="1" s="1"/>
  <c r="K198" i="1"/>
  <c r="L198" i="1" s="1"/>
  <c r="K227" i="1"/>
  <c r="L227" i="1" s="1"/>
  <c r="K222" i="1"/>
  <c r="L222" i="1" s="1"/>
  <c r="K263" i="1"/>
  <c r="L263" i="1" s="1"/>
  <c r="K421" i="1"/>
  <c r="L421" i="1" s="1"/>
  <c r="K454" i="1"/>
  <c r="L454" i="1" s="1"/>
  <c r="K500" i="1"/>
  <c r="L500" i="1" s="1"/>
  <c r="K494" i="1"/>
  <c r="L494" i="1" s="1"/>
  <c r="K490" i="1"/>
  <c r="L490" i="1" s="1"/>
  <c r="K486" i="1"/>
  <c r="L486" i="1" s="1"/>
  <c r="K510" i="1"/>
  <c r="L510" i="1" s="1"/>
  <c r="K539" i="1"/>
  <c r="L539" i="1" s="1"/>
  <c r="K212" i="1"/>
  <c r="L212" i="1" s="1"/>
  <c r="K233" i="1"/>
  <c r="L233" i="1" s="1"/>
  <c r="K256" i="1"/>
  <c r="L256" i="1" s="1"/>
  <c r="K273" i="1"/>
  <c r="L273" i="1" s="1"/>
  <c r="K315" i="1"/>
  <c r="L315" i="1" s="1"/>
  <c r="K348" i="1"/>
  <c r="L348" i="1" s="1"/>
  <c r="K384" i="1"/>
  <c r="L384" i="1" s="1"/>
  <c r="K482" i="1"/>
  <c r="L482" i="1" s="1"/>
  <c r="K479" i="1"/>
  <c r="L479" i="1" s="1"/>
  <c r="K511" i="1"/>
  <c r="L511" i="1" s="1"/>
  <c r="K527" i="1"/>
  <c r="L527" i="1" s="1"/>
  <c r="K521" i="1"/>
  <c r="L521" i="1" s="1"/>
  <c r="K517" i="1"/>
  <c r="L517" i="1" s="1"/>
  <c r="K532" i="1"/>
  <c r="L532" i="1" s="1"/>
  <c r="K565" i="1"/>
  <c r="L565" i="1" s="1"/>
  <c r="K622" i="1"/>
  <c r="L622" i="1" s="1"/>
  <c r="K616" i="1"/>
  <c r="L616" i="1" s="1"/>
  <c r="K612" i="1"/>
  <c r="L612" i="1" s="1"/>
  <c r="K608" i="1"/>
  <c r="L608" i="1" s="1"/>
  <c r="K650" i="1"/>
  <c r="L650" i="1" s="1"/>
  <c r="K644" i="1"/>
  <c r="L644" i="1" s="1"/>
  <c r="K640" i="1"/>
  <c r="L640" i="1" s="1"/>
  <c r="K756" i="1"/>
  <c r="L756" i="1" s="1"/>
  <c r="K796" i="1"/>
  <c r="L796" i="1" s="1"/>
  <c r="K790" i="1"/>
  <c r="L790" i="1" s="1"/>
  <c r="K560" i="1"/>
  <c r="L560" i="1" s="1"/>
  <c r="K554" i="1"/>
  <c r="L554" i="1" s="1"/>
  <c r="K550" i="1"/>
  <c r="L550" i="1" s="1"/>
  <c r="K546" i="1"/>
  <c r="L546" i="1" s="1"/>
  <c r="K556" i="1"/>
  <c r="L556" i="1" s="1"/>
  <c r="K578" i="1"/>
  <c r="L578" i="1" s="1"/>
  <c r="K679" i="1"/>
  <c r="L679" i="1" s="1"/>
  <c r="K673" i="1"/>
  <c r="L673" i="1" s="1"/>
  <c r="K669" i="1"/>
  <c r="L669" i="1" s="1"/>
  <c r="K665" i="1"/>
  <c r="L665" i="1" s="1"/>
  <c r="K880" i="1"/>
  <c r="L880" i="1" s="1"/>
  <c r="K889" i="1"/>
  <c r="L889" i="1" s="1"/>
  <c r="K902" i="1"/>
  <c r="L902" i="1" s="1"/>
  <c r="K951" i="1"/>
  <c r="L951" i="1" s="1"/>
  <c r="K944" i="1"/>
  <c r="L944" i="1" s="1"/>
  <c r="K940" i="1"/>
  <c r="L940" i="1" s="1"/>
  <c r="K936" i="1"/>
  <c r="L936" i="1" s="1"/>
  <c r="K932" i="1"/>
  <c r="L932" i="1" s="1"/>
  <c r="K978" i="1"/>
  <c r="L978" i="1" s="1"/>
  <c r="K972" i="1"/>
  <c r="L972" i="1" s="1"/>
  <c r="K968" i="1"/>
  <c r="L968" i="1" s="1"/>
  <c r="K993" i="1"/>
  <c r="L993" i="1" s="1"/>
  <c r="K260" i="1"/>
  <c r="L260" i="1" s="1"/>
  <c r="K281" i="1"/>
  <c r="L281" i="1" s="1"/>
  <c r="K299" i="1"/>
  <c r="L299" i="1" s="1"/>
  <c r="K293" i="1"/>
  <c r="L293" i="1" s="1"/>
  <c r="K289" i="1"/>
  <c r="L289" i="1" s="1"/>
  <c r="K285" i="1"/>
  <c r="L285" i="1" s="1"/>
  <c r="K296" i="1"/>
  <c r="L296" i="1" s="1"/>
  <c r="K318" i="1"/>
  <c r="L318" i="1" s="1"/>
  <c r="K341" i="1"/>
  <c r="L341" i="1" s="1"/>
  <c r="K337" i="1"/>
  <c r="L337" i="1" s="1"/>
  <c r="K331" i="1"/>
  <c r="L331" i="1" s="1"/>
  <c r="K327" i="1"/>
  <c r="L327" i="1" s="1"/>
  <c r="K323" i="1"/>
  <c r="L323" i="1" s="1"/>
  <c r="K349" i="1"/>
  <c r="L349" i="1" s="1"/>
  <c r="K387" i="1"/>
  <c r="L387" i="1" s="1"/>
  <c r="K407" i="1"/>
  <c r="L407" i="1" s="1"/>
  <c r="K401" i="1"/>
  <c r="L401" i="1" s="1"/>
  <c r="K397" i="1"/>
  <c r="L397" i="1" s="1"/>
  <c r="K393" i="1"/>
  <c r="L393" i="1" s="1"/>
  <c r="K1196" i="1"/>
  <c r="L1196" i="1" s="1"/>
  <c r="K1200" i="1"/>
  <c r="L1200" i="1" s="1"/>
  <c r="K1206" i="1"/>
  <c r="L1206" i="1" s="1"/>
  <c r="K877" i="1"/>
  <c r="L877" i="1" s="1"/>
  <c r="K859" i="1"/>
  <c r="L859" i="1" s="1"/>
  <c r="K766" i="1"/>
  <c r="L766" i="1" s="1"/>
  <c r="K733" i="1"/>
  <c r="L733" i="1" s="1"/>
  <c r="K571" i="1"/>
  <c r="L571" i="1" s="1"/>
  <c r="K538" i="1"/>
  <c r="L538" i="1" s="1"/>
  <c r="K507" i="1"/>
  <c r="L507" i="1" s="1"/>
  <c r="K436" i="1"/>
  <c r="L436" i="1" s="1"/>
  <c r="K480" i="1"/>
  <c r="L480" i="1" s="1"/>
  <c r="K441" i="1"/>
  <c r="L441" i="1" s="1"/>
  <c r="K379" i="1"/>
  <c r="L379" i="1" s="1"/>
  <c r="K347" i="1"/>
  <c r="L347" i="1" s="1"/>
  <c r="K310" i="1"/>
  <c r="L310" i="1" s="1"/>
  <c r="K1242" i="1"/>
  <c r="L1242" i="1" s="1"/>
  <c r="K1135" i="1"/>
  <c r="L1135" i="1" s="1"/>
  <c r="K1139" i="1"/>
  <c r="L1139" i="1" s="1"/>
  <c r="K1146" i="1"/>
  <c r="L1146" i="1" s="1"/>
  <c r="K1077" i="1"/>
  <c r="L1077" i="1" s="1"/>
  <c r="K1056" i="1"/>
  <c r="L1056" i="1" s="1"/>
  <c r="K1063" i="1"/>
  <c r="L1063" i="1" s="1"/>
  <c r="K1037" i="1"/>
  <c r="L1037" i="1" s="1"/>
  <c r="K1026" i="1"/>
  <c r="L1026" i="1" s="1"/>
  <c r="K1031" i="1"/>
  <c r="L1031" i="1" s="1"/>
  <c r="K996" i="1"/>
  <c r="L996" i="1" s="1"/>
  <c r="K1002" i="1"/>
  <c r="L1002" i="1" s="1"/>
  <c r="K1010" i="1"/>
  <c r="L1010" i="1" s="1"/>
  <c r="K906" i="1"/>
  <c r="L906" i="1" s="1"/>
  <c r="K912" i="1"/>
  <c r="L912" i="1" s="1"/>
  <c r="K887" i="1"/>
  <c r="L887" i="1" s="1"/>
  <c r="K843" i="1"/>
  <c r="L843" i="1" s="1"/>
  <c r="K848" i="1"/>
  <c r="L848" i="1" s="1"/>
  <c r="K855" i="1"/>
  <c r="L855" i="1" s="1"/>
  <c r="K815" i="1"/>
  <c r="L815" i="1" s="1"/>
  <c r="K820" i="1"/>
  <c r="L820" i="1" s="1"/>
  <c r="K726" i="1"/>
  <c r="L726" i="1" s="1"/>
  <c r="K700" i="1"/>
  <c r="L700" i="1" s="1"/>
  <c r="K710" i="1"/>
  <c r="L710" i="1" s="1"/>
  <c r="K585" i="1"/>
  <c r="L585" i="1" s="1"/>
  <c r="K596" i="1"/>
  <c r="L596" i="1" s="1"/>
  <c r="K400" i="1"/>
  <c r="L400" i="1" s="1"/>
  <c r="K322" i="1"/>
  <c r="L322" i="1" s="1"/>
  <c r="K340" i="1"/>
  <c r="L340" i="1" s="1"/>
  <c r="K288" i="1"/>
  <c r="L288" i="1" s="1"/>
  <c r="K274" i="1"/>
  <c r="L274" i="1" s="1"/>
  <c r="K975" i="1"/>
  <c r="L975" i="1" s="1"/>
  <c r="K943" i="1"/>
  <c r="L943" i="1" s="1"/>
  <c r="K757" i="1"/>
  <c r="L757" i="1" s="1"/>
  <c r="K724" i="1"/>
  <c r="L724" i="1" s="1"/>
  <c r="K678" i="1"/>
  <c r="L678" i="1" s="1"/>
  <c r="K549" i="1"/>
  <c r="L549" i="1" s="1"/>
  <c r="K795" i="1"/>
  <c r="L795" i="1" s="1"/>
  <c r="K727" i="1"/>
  <c r="L727" i="1" s="1"/>
  <c r="K643" i="1"/>
  <c r="L643" i="1" s="1"/>
  <c r="K615" i="1"/>
  <c r="L615" i="1" s="1"/>
  <c r="K534" i="1"/>
  <c r="L534" i="1" s="1"/>
  <c r="K531" i="1"/>
  <c r="L531" i="1" s="1"/>
  <c r="K354" i="1"/>
  <c r="L354" i="1" s="1"/>
  <c r="K241" i="1"/>
  <c r="L241" i="1" s="1"/>
  <c r="K485" i="1"/>
  <c r="L485" i="1" s="1"/>
  <c r="K474" i="1"/>
  <c r="L474" i="1" s="1"/>
  <c r="K219" i="1"/>
  <c r="L219" i="1" s="1"/>
  <c r="K133" i="1"/>
  <c r="L133" i="1" s="1"/>
  <c r="K111" i="1"/>
  <c r="L111" i="1" s="1"/>
  <c r="K361" i="1"/>
  <c r="L361" i="1" s="1"/>
  <c r="K336" i="1"/>
  <c r="L336" i="1" s="1"/>
  <c r="K239" i="1"/>
  <c r="L239" i="1" s="1"/>
  <c r="K147" i="1"/>
  <c r="L147" i="1" s="1"/>
  <c r="K66" i="1"/>
  <c r="L66" i="1" s="1"/>
  <c r="K221" i="1"/>
  <c r="L221" i="1" s="1"/>
  <c r="K77" i="1"/>
  <c r="L77" i="1" s="1"/>
  <c r="K452" i="1"/>
  <c r="L452" i="1" s="1"/>
  <c r="K471" i="1"/>
  <c r="L471" i="1" s="1"/>
  <c r="K249" i="1"/>
  <c r="L249" i="1" s="1"/>
  <c r="K143" i="1"/>
  <c r="L143" i="1" s="1"/>
  <c r="K220" i="1"/>
  <c r="L220" i="1" s="1"/>
  <c r="K163" i="1"/>
  <c r="L163" i="1" s="1"/>
  <c r="K48" i="1"/>
  <c r="L48" i="1" s="1"/>
  <c r="K1090" i="1"/>
  <c r="L1090" i="1" s="1"/>
  <c r="K1226" i="1"/>
  <c r="L1226" i="1" s="1"/>
  <c r="K1230" i="1"/>
  <c r="L1230" i="1" s="1"/>
  <c r="K1234" i="1"/>
  <c r="L1234" i="1" s="1"/>
  <c r="K1243" i="1"/>
  <c r="L1243" i="1" s="1"/>
  <c r="K874" i="1"/>
  <c r="L874" i="1" s="1"/>
  <c r="K783" i="1"/>
  <c r="L783" i="1" s="1"/>
  <c r="K787" i="1"/>
  <c r="L787" i="1" s="1"/>
  <c r="K1197" i="1"/>
  <c r="L1197" i="1" s="1"/>
  <c r="K1201" i="1"/>
  <c r="L1201" i="1" s="1"/>
  <c r="K1207" i="1"/>
  <c r="L1207" i="1" s="1"/>
  <c r="K881" i="1"/>
  <c r="L881" i="1" s="1"/>
  <c r="K754" i="1"/>
  <c r="L754" i="1" s="1"/>
  <c r="K725" i="1"/>
  <c r="L725" i="1" s="1"/>
  <c r="K567" i="1"/>
  <c r="L567" i="1" s="1"/>
  <c r="K536" i="1"/>
  <c r="L536" i="1" s="1"/>
  <c r="K496" i="1"/>
  <c r="L496" i="1" s="1"/>
  <c r="K453" i="1"/>
  <c r="L453" i="1" s="1"/>
  <c r="K438" i="1"/>
  <c r="L438" i="1" s="1"/>
  <c r="K443" i="1"/>
  <c r="L443" i="1" s="1"/>
  <c r="K383" i="1"/>
  <c r="L383" i="1" s="1"/>
  <c r="K351" i="1"/>
  <c r="L351" i="1" s="1"/>
  <c r="K314" i="1"/>
  <c r="L314" i="1" s="1"/>
  <c r="K1136" i="1"/>
  <c r="L1136" i="1" s="1"/>
  <c r="K1140" i="1"/>
  <c r="L1140" i="1" s="1"/>
  <c r="K1147" i="1"/>
  <c r="L1147" i="1" s="1"/>
  <c r="K1052" i="1"/>
  <c r="L1052" i="1" s="1"/>
  <c r="K1057" i="1"/>
  <c r="L1057" i="1" s="1"/>
  <c r="K1064" i="1"/>
  <c r="L1064" i="1" s="1"/>
  <c r="K1022" i="1"/>
  <c r="L1022" i="1" s="1"/>
  <c r="K1027" i="1"/>
  <c r="L1027" i="1" s="1"/>
  <c r="K1032" i="1"/>
  <c r="L1032" i="1" s="1"/>
  <c r="K998" i="1"/>
  <c r="L998" i="1" s="1"/>
  <c r="K1003" i="1"/>
  <c r="L1003" i="1" s="1"/>
  <c r="K931" i="1"/>
  <c r="L931" i="1" s="1"/>
  <c r="K908" i="1"/>
  <c r="L908" i="1" s="1"/>
  <c r="K913" i="1"/>
  <c r="L913" i="1" s="1"/>
  <c r="K844" i="1"/>
  <c r="L844" i="1" s="1"/>
  <c r="K849" i="1"/>
  <c r="L849" i="1" s="1"/>
  <c r="K811" i="1"/>
  <c r="L811" i="1" s="1"/>
  <c r="K816" i="1"/>
  <c r="L816" i="1" s="1"/>
  <c r="K821" i="1"/>
  <c r="L821" i="1" s="1"/>
  <c r="K730" i="1"/>
  <c r="L730" i="1" s="1"/>
  <c r="K701" i="1"/>
  <c r="L701" i="1" s="1"/>
  <c r="K712" i="1"/>
  <c r="L712" i="1" s="1"/>
  <c r="K607" i="1"/>
  <c r="L607" i="1" s="1"/>
  <c r="K586" i="1"/>
  <c r="L586" i="1" s="1"/>
  <c r="K576" i="1"/>
  <c r="L576" i="1" s="1"/>
  <c r="K406" i="1"/>
  <c r="L406" i="1" s="1"/>
  <c r="K326" i="1"/>
  <c r="L326" i="1" s="1"/>
  <c r="K320" i="1"/>
  <c r="L320" i="1" s="1"/>
  <c r="K292" i="1"/>
  <c r="L292" i="1" s="1"/>
  <c r="K1050" i="1"/>
  <c r="L1050" i="1" s="1"/>
  <c r="K982" i="1"/>
  <c r="L982" i="1" s="1"/>
  <c r="K949" i="1"/>
  <c r="L949" i="1" s="1"/>
  <c r="K723" i="1"/>
  <c r="L723" i="1" s="1"/>
  <c r="K664" i="1"/>
  <c r="L664" i="1" s="1"/>
  <c r="K553" i="1"/>
  <c r="L553" i="1" s="1"/>
  <c r="K752" i="1"/>
  <c r="L752" i="1" s="1"/>
  <c r="K649" i="1"/>
  <c r="L649" i="1" s="1"/>
  <c r="K621" i="1"/>
  <c r="L621" i="1" s="1"/>
  <c r="K516" i="1"/>
  <c r="L516" i="1" s="1"/>
  <c r="K475" i="1"/>
  <c r="L475" i="1" s="1"/>
  <c r="K311" i="1"/>
  <c r="L311" i="1" s="1"/>
  <c r="K208" i="1"/>
  <c r="L208" i="1" s="1"/>
  <c r="K489" i="1"/>
  <c r="L489" i="1" s="1"/>
  <c r="K481" i="1"/>
  <c r="L481" i="1" s="1"/>
  <c r="K194" i="1"/>
  <c r="L194" i="1" s="1"/>
  <c r="K151" i="1"/>
  <c r="L151" i="1" s="1"/>
  <c r="K79" i="1"/>
  <c r="L79" i="1" s="1"/>
  <c r="K365" i="1"/>
  <c r="L365" i="1" s="1"/>
  <c r="K305" i="1"/>
  <c r="L305" i="1" s="1"/>
  <c r="K226" i="1"/>
  <c r="L226" i="1" s="1"/>
  <c r="K148" i="1"/>
  <c r="L148" i="1" s="1"/>
  <c r="K54" i="1"/>
  <c r="L54" i="1" s="1"/>
  <c r="K183" i="1"/>
  <c r="L183" i="1" s="1"/>
  <c r="K47" i="1"/>
  <c r="L47" i="1" s="1"/>
  <c r="K457" i="1"/>
  <c r="L457" i="1" s="1"/>
  <c r="K425" i="1"/>
  <c r="L425" i="1" s="1"/>
  <c r="K230" i="1"/>
  <c r="L230" i="1" s="1"/>
  <c r="K93" i="1"/>
  <c r="L93" i="1" s="1"/>
  <c r="K193" i="1"/>
  <c r="L193" i="1" s="1"/>
  <c r="K144" i="1"/>
  <c r="L144" i="1" s="1"/>
  <c r="K39" i="1"/>
  <c r="L39" i="1" s="1"/>
  <c r="L75" i="1"/>
  <c r="K8" i="1"/>
  <c r="L8" i="1" s="1"/>
  <c r="L72" i="1"/>
  <c r="L335" i="1"/>
  <c r="L71" i="1"/>
  <c r="L73" i="1"/>
  <c r="L82" i="1"/>
  <c r="L202" i="1"/>
  <c r="L94" i="1"/>
  <c r="L31" i="1"/>
  <c r="A519" i="1"/>
  <c r="A520" i="1" s="1"/>
  <c r="A521" i="1" s="1"/>
  <c r="A522" i="1" s="1"/>
  <c r="A523" i="1" s="1"/>
  <c r="A524" i="1" s="1"/>
  <c r="A525" i="1" s="1"/>
  <c r="A526" i="1" s="1"/>
  <c r="A527" i="1" s="1"/>
  <c r="A528" i="1" s="1"/>
  <c r="B395" i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133" i="1"/>
  <c r="B172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B9" i="1"/>
  <c r="A343" i="1" l="1"/>
  <c r="A529" i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30" i="1"/>
  <c r="L512" i="1" s="1"/>
  <c r="A114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15" i="1"/>
  <c r="A375" i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76" i="1"/>
  <c r="A28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29" i="1"/>
  <c r="L1261" i="1"/>
  <c r="L1258" i="1"/>
  <c r="L1257" i="1" s="1"/>
  <c r="L577" i="1"/>
  <c r="L692" i="1"/>
  <c r="L992" i="1"/>
  <c r="L1104" i="1"/>
  <c r="L1160" i="1"/>
  <c r="L606" i="1"/>
  <c r="L1020" i="1"/>
  <c r="L873" i="1"/>
  <c r="L1222" i="1"/>
  <c r="L901" i="1"/>
  <c r="L963" i="1"/>
  <c r="L635" i="1"/>
  <c r="L780" i="1"/>
  <c r="L663" i="1"/>
  <c r="L1191" i="1"/>
  <c r="L809" i="1"/>
  <c r="L1076" i="1"/>
  <c r="L838" i="1"/>
  <c r="L722" i="1"/>
  <c r="L1049" i="1"/>
  <c r="L1133" i="1"/>
  <c r="L930" i="1"/>
  <c r="L750" i="1"/>
  <c r="L483" i="1"/>
  <c r="B456" i="1"/>
  <c r="B134" i="1"/>
  <c r="B173" i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10" i="1"/>
  <c r="A560" i="1" l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61" i="1"/>
  <c r="B457" i="1"/>
  <c r="A395" i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B135" i="1"/>
  <c r="B11" i="1"/>
  <c r="L541" i="1" l="1"/>
  <c r="A408" i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09" i="1"/>
  <c r="B136" i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458" i="1"/>
  <c r="B12" i="1"/>
  <c r="B459" i="1" l="1"/>
  <c r="A425" i="1"/>
  <c r="B13" i="1"/>
  <c r="A426" i="1" l="1"/>
  <c r="A427" i="1" s="1"/>
  <c r="A428" i="1" s="1"/>
  <c r="B460" i="1"/>
  <c r="B14" i="1"/>
  <c r="B461" i="1" l="1"/>
  <c r="A429" i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B15" i="1"/>
  <c r="A441" i="1" l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42" i="1"/>
  <c r="B462" i="1"/>
  <c r="A456" i="1"/>
  <c r="B16" i="1"/>
  <c r="B463" i="1" l="1"/>
  <c r="A457" i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B17" i="1"/>
  <c r="A471" i="1" l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72" i="1"/>
  <c r="B464" i="1"/>
  <c r="B18" i="1"/>
  <c r="B465" i="1" l="1"/>
  <c r="B19" i="1"/>
  <c r="B20" i="1" s="1"/>
  <c r="B21" i="1" s="1"/>
  <c r="B22" i="1" s="1"/>
  <c r="B23" i="1" s="1"/>
  <c r="B24" i="1" s="1"/>
  <c r="B25" i="1" l="1"/>
  <c r="B26" i="1" s="1"/>
  <c r="B466" i="1"/>
  <c r="B27" i="1" l="1"/>
  <c r="B467" i="1"/>
  <c r="B28" i="1" l="1"/>
  <c r="B29" i="1"/>
  <c r="B468" i="1"/>
  <c r="B30" i="1" l="1"/>
  <c r="B469" i="1"/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70" i="1"/>
  <c r="B471" i="1" l="1"/>
  <c r="B472" i="1" l="1"/>
  <c r="B473" i="1"/>
  <c r="B474" i="1" l="1"/>
  <c r="Q47" i="1"/>
  <c r="R47" i="1"/>
  <c r="B475" i="1" l="1"/>
  <c r="B476" i="1" l="1"/>
  <c r="B477" i="1" l="1"/>
  <c r="B478" i="1" l="1"/>
  <c r="B479" i="1" l="1"/>
  <c r="B480" i="1" l="1"/>
  <c r="B481" i="1" l="1"/>
  <c r="B482" i="1" l="1"/>
  <c r="L206" i="1"/>
  <c r="L356" i="1"/>
  <c r="L455" i="1"/>
  <c r="L422" i="1"/>
  <c r="L168" i="1"/>
  <c r="P47" i="1"/>
  <c r="S47" i="1" s="1"/>
  <c r="L45" i="1"/>
  <c r="L389" i="1"/>
  <c r="L243" i="1"/>
  <c r="L319" i="1"/>
  <c r="L280" i="1"/>
  <c r="L130" i="1"/>
  <c r="L91" i="1"/>
  <c r="O7" i="1" l="1" a="1"/>
  <c r="P29" i="1" s="1"/>
  <c r="L7" i="1"/>
  <c r="L1262" i="1" s="1"/>
  <c r="O7" i="1" l="1"/>
  <c r="R29" i="1"/>
  <c r="Q20" i="1"/>
  <c r="Q27" i="1"/>
  <c r="R22" i="1"/>
  <c r="R36" i="1"/>
  <c r="Q36" i="1"/>
  <c r="Q18" i="1"/>
  <c r="R31" i="1"/>
  <c r="R44" i="1"/>
  <c r="Q24" i="1"/>
  <c r="Q29" i="1"/>
  <c r="S29" i="1" s="1"/>
  <c r="R17" i="1"/>
  <c r="Q25" i="1"/>
  <c r="Q41" i="1"/>
  <c r="R46" i="1"/>
  <c r="R38" i="1"/>
  <c r="Q45" i="1"/>
  <c r="Q43" i="1"/>
  <c r="R20" i="1"/>
  <c r="R32" i="1"/>
  <c r="R28" i="1"/>
  <c r="Q11" i="1"/>
  <c r="Q37" i="1"/>
  <c r="Q44" i="1"/>
  <c r="R39" i="1"/>
  <c r="R10" i="1"/>
  <c r="Q28" i="1"/>
  <c r="R25" i="1"/>
  <c r="Q15" i="1"/>
  <c r="R34" i="1"/>
  <c r="Q30" i="1"/>
  <c r="R13" i="1"/>
  <c r="R21" i="1"/>
  <c r="Q40" i="1"/>
  <c r="R24" i="1"/>
  <c r="R33" i="1"/>
  <c r="R23" i="1"/>
  <c r="Q17" i="1"/>
  <c r="Q21" i="1"/>
  <c r="R37" i="1"/>
  <c r="R27" i="1"/>
  <c r="Q33" i="1"/>
  <c r="Q13" i="1"/>
  <c r="Q35" i="1"/>
  <c r="R9" i="1"/>
  <c r="R18" i="1"/>
  <c r="Q9" i="1"/>
  <c r="R35" i="1"/>
  <c r="Q14" i="1"/>
  <c r="Q10" i="1"/>
  <c r="R8" i="1"/>
  <c r="R16" i="1"/>
  <c r="Q23" i="1"/>
  <c r="Q39" i="1"/>
  <c r="R12" i="1"/>
  <c r="R41" i="1"/>
  <c r="R11" i="1"/>
  <c r="R19" i="1"/>
  <c r="Q34" i="1"/>
  <c r="R45" i="1"/>
  <c r="Q16" i="1"/>
  <c r="Q46" i="1"/>
  <c r="R26" i="1"/>
  <c r="Q26" i="1"/>
  <c r="R43" i="1"/>
  <c r="R42" i="1"/>
  <c r="Q32" i="1"/>
  <c r="Q12" i="1"/>
  <c r="Q42" i="1"/>
  <c r="R15" i="1"/>
  <c r="Q22" i="1"/>
  <c r="Q38" i="1"/>
  <c r="R40" i="1"/>
  <c r="R14" i="1"/>
  <c r="Q8" i="1"/>
  <c r="Q19" i="1"/>
  <c r="Q31" i="1"/>
  <c r="R30" i="1"/>
  <c r="P19" i="1"/>
  <c r="P43" i="1"/>
  <c r="P11" i="1"/>
  <c r="P34" i="1"/>
  <c r="P45" i="1"/>
  <c r="P38" i="1"/>
  <c r="P21" i="1"/>
  <c r="P30" i="1"/>
  <c r="P10" i="1"/>
  <c r="P24" i="1"/>
  <c r="P36" i="1"/>
  <c r="S36" i="1" s="1"/>
  <c r="P35" i="1"/>
  <c r="P16" i="1"/>
  <c r="P28" i="1"/>
  <c r="P39" i="1"/>
  <c r="P41" i="1"/>
  <c r="P22" i="1"/>
  <c r="P32" i="1"/>
  <c r="P26" i="1"/>
  <c r="P8" i="1"/>
  <c r="P20" i="1"/>
  <c r="P46" i="1"/>
  <c r="P44" i="1"/>
  <c r="P12" i="1"/>
  <c r="P42" i="1"/>
  <c r="S42" i="1" s="1"/>
  <c r="P37" i="1"/>
  <c r="P23" i="1"/>
  <c r="S23" i="1" s="1"/>
  <c r="P33" i="1"/>
  <c r="S33" i="1" s="1"/>
  <c r="P15" i="1"/>
  <c r="P17" i="1"/>
  <c r="S17" i="1" s="1"/>
  <c r="P40" i="1"/>
  <c r="P14" i="1"/>
  <c r="P9" i="1"/>
  <c r="P13" i="1"/>
  <c r="P25" i="1"/>
  <c r="P31" i="1"/>
  <c r="P18" i="1"/>
  <c r="P27" i="1"/>
  <c r="Q7" i="1"/>
  <c r="P7" i="1"/>
  <c r="R7" i="1"/>
  <c r="S20" i="1" l="1"/>
  <c r="S28" i="1"/>
  <c r="S37" i="1"/>
  <c r="S9" i="1"/>
  <c r="S41" i="1"/>
  <c r="S15" i="1"/>
  <c r="S16" i="1"/>
  <c r="S26" i="1"/>
  <c r="S32" i="1"/>
  <c r="S43" i="1"/>
  <c r="S14" i="1"/>
  <c r="S40" i="1"/>
  <c r="S39" i="1"/>
  <c r="R48" i="1"/>
  <c r="S12" i="1"/>
  <c r="S46" i="1"/>
  <c r="S38" i="1"/>
  <c r="S10" i="1"/>
  <c r="S30" i="1"/>
  <c r="Q48" i="1"/>
  <c r="S21" i="1"/>
  <c r="S27" i="1"/>
  <c r="S18" i="1"/>
  <c r="S45" i="1"/>
  <c r="S35" i="1"/>
  <c r="S24" i="1"/>
  <c r="S44" i="1"/>
  <c r="S31" i="1"/>
  <c r="S8" i="1"/>
  <c r="S34" i="1"/>
  <c r="S25" i="1"/>
  <c r="S11" i="1"/>
  <c r="S13" i="1"/>
  <c r="S22" i="1"/>
  <c r="S19" i="1"/>
  <c r="P48" i="1"/>
  <c r="S7" i="1"/>
  <c r="S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C8" authorId="0" shapeId="0" xr:uid="{7A0C1733-854F-440D-9389-28F52FD7A6B1}">
      <text>
        <r>
          <rPr>
            <b/>
            <sz val="9"/>
            <color indexed="81"/>
            <rFont val="Segoe UI"/>
            <charset val="1"/>
          </rPr>
          <t>IP20, 24v</t>
        </r>
      </text>
    </comment>
    <comment ref="C9" authorId="0" shapeId="0" xr:uid="{6ED0716E-BD0D-49FF-A7AA-54449B25A382}">
      <text>
        <r>
          <rPr>
            <b/>
            <sz val="9"/>
            <color indexed="81"/>
            <rFont val="Segoe UI"/>
            <charset val="1"/>
          </rPr>
          <t>IP20, 24v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0" authorId="0" shapeId="0" xr:uid="{F8F0AEDF-CF7B-4F19-8E6A-D32AC9C95D8F}">
      <text>
        <r>
          <rPr>
            <b/>
            <sz val="9"/>
            <color indexed="81"/>
            <rFont val="Segoe UI"/>
            <charset val="1"/>
          </rPr>
          <t>Sem especificações (média)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4" authorId="0" shapeId="0" xr:uid="{931E8ADC-EDED-446F-A4E8-81D4122D150B}">
      <text>
        <r>
          <rPr>
            <b/>
            <sz val="9"/>
            <color indexed="81"/>
            <rFont val="Segoe UI"/>
            <charset val="1"/>
          </rPr>
          <t>Sem especificação (média)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5" authorId="0" shapeId="0" xr:uid="{E2C9761C-CD10-47D5-8203-45E4EBEEE45A}">
      <text>
        <r>
          <rPr>
            <b/>
            <sz val="9"/>
            <color indexed="81"/>
            <rFont val="Segoe UI"/>
            <charset val="1"/>
          </rPr>
          <t>80E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35" authorId="0" shapeId="0" xr:uid="{209978D3-5183-4E32-9831-7B306EA2A18F}">
      <text>
        <r>
          <rPr>
            <b/>
            <sz val="9"/>
            <color indexed="81"/>
            <rFont val="Segoe UI"/>
            <charset val="1"/>
          </rPr>
          <t>30 Leds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36" authorId="0" shapeId="0" xr:uid="{066BB736-09C5-4DDD-8C3B-6554A8128EFB}">
      <text>
        <r>
          <rPr>
            <b/>
            <sz val="9"/>
            <color indexed="81"/>
            <rFont val="Segoe UI"/>
            <charset val="1"/>
          </rPr>
          <t>200 lumens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37" authorId="0" shapeId="0" xr:uid="{0688B1A7-B811-4F2E-9F2C-51E2904C8ACC}">
      <text>
        <r>
          <rPr>
            <b/>
            <sz val="9"/>
            <color indexed="81"/>
            <rFont val="Segoe UI"/>
            <charset val="1"/>
          </rPr>
          <t>100 lumens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54" authorId="0" shapeId="0" xr:uid="{DCF64691-2779-4CB2-B8D6-BF9E46D21160}">
      <text>
        <r>
          <rPr>
            <b/>
            <sz val="9"/>
            <color indexed="81"/>
            <rFont val="Segoe UI"/>
            <charset val="1"/>
          </rPr>
          <t>Sem especificações (média)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<sst xmlns="http://schemas.openxmlformats.org/spreadsheetml/2006/main" count="10168" uniqueCount="225">
  <si>
    <t>Projeto</t>
  </si>
  <si>
    <t>Empresa</t>
  </si>
  <si>
    <t>Origem</t>
  </si>
  <si>
    <t>Revisão</t>
  </si>
  <si>
    <t>TORRE</t>
  </si>
  <si>
    <t>PAVIMENTO</t>
  </si>
  <si>
    <t>SUBGRUPO</t>
  </si>
  <si>
    <t>Descrição</t>
  </si>
  <si>
    <t>Quantidade</t>
  </si>
  <si>
    <t>Perda</t>
  </si>
  <si>
    <t>Qte com perda</t>
  </si>
  <si>
    <t>Unidade</t>
  </si>
  <si>
    <t>Custo unitário</t>
  </si>
  <si>
    <t>Custo Total</t>
  </si>
  <si>
    <t>TOTAL</t>
  </si>
  <si>
    <t>SUBSOLO</t>
  </si>
  <si>
    <t>pç</t>
  </si>
  <si>
    <t>m</t>
  </si>
  <si>
    <t>Central de Alarme</t>
  </si>
  <si>
    <t>GERAL</t>
  </si>
  <si>
    <t>TOTAL:</t>
  </si>
  <si>
    <t>GRUPO/EAP</t>
  </si>
  <si>
    <t>Torre</t>
  </si>
  <si>
    <t>Repetição</t>
  </si>
  <si>
    <t>EAP</t>
  </si>
  <si>
    <t>Senna Tower</t>
  </si>
  <si>
    <t>FG</t>
  </si>
  <si>
    <t>SEN-EX-ILU-001-MAT-R00.xlsx</t>
  </si>
  <si>
    <t>R00 - Letícia</t>
  </si>
  <si>
    <t>Acionador Manual de Alarme de Incêndio</t>
  </si>
  <si>
    <t>Anunciador Audiovisual de Alarme de Incêndio de Parede</t>
  </si>
  <si>
    <t>Atuador Janela Desenfumagem</t>
  </si>
  <si>
    <t>Sensor de Fumaça</t>
  </si>
  <si>
    <t>Caixa Octogonal Padrão NBR IEC 60670</t>
  </si>
  <si>
    <t>Placa cega para caixa octogonal Padrão NBR IEC 60670</t>
  </si>
  <si>
    <t>Caixa 4x2" de Embutir em PVC Padrão NBR IEC 60670</t>
  </si>
  <si>
    <t>Caixa 4x4" de Embutir em PVC Padrão NBR IEC 60670</t>
  </si>
  <si>
    <t>Placa 4x2" cega Padrão NBR IEC 60670</t>
  </si>
  <si>
    <t>Placa 4x2" com furo para saída de cabos Padrão NBR IEC 60670</t>
  </si>
  <si>
    <t>Placa 4x4" cega Padrão NBR IEC 60670</t>
  </si>
  <si>
    <t>Suporte p/ caixa 4x2" Padrão NBR IEC 60670</t>
  </si>
  <si>
    <t>Suporte p/ caixa 4x4" Padrão NBR IEC 60670</t>
  </si>
  <si>
    <t>Cx de passagem de embutir com dimensão de 50x50x15 cm</t>
  </si>
  <si>
    <t>PVC Flexível Antichama - NBR 15465</t>
  </si>
  <si>
    <t>PVC Flexível Antichama - NBR 15465 ø1"</t>
  </si>
  <si>
    <t>PVC Flexível Antichama - NBR 15465 ø3/4"</t>
  </si>
  <si>
    <t>Eletrodutos</t>
  </si>
  <si>
    <t>Luminária de Emergência 24V de Parede</t>
  </si>
  <si>
    <t>Luminária de Emergência 24V de Teto</t>
  </si>
  <si>
    <t>Placa de Saída 24V de Parede com Direção</t>
  </si>
  <si>
    <t>Placa de Saída 24V de Parede sem Direção</t>
  </si>
  <si>
    <t>Placa de Saída Dupla Face 24V de Teto com Direção</t>
  </si>
  <si>
    <t>Sensor de Presença 24V de teto</t>
  </si>
  <si>
    <t>1.5 mm² - Amarelo</t>
  </si>
  <si>
    <t>1.5 mm² - Preto</t>
  </si>
  <si>
    <t>1.5 mm² - Vermelho</t>
  </si>
  <si>
    <t>2.5 mm² - Amarelo</t>
  </si>
  <si>
    <t>2.5 mm² - Preto</t>
  </si>
  <si>
    <t>2.5 mm² - Vermelho</t>
  </si>
  <si>
    <t>4 mm² - Preto</t>
  </si>
  <si>
    <t>4 mm² - Vermelho</t>
  </si>
  <si>
    <t>6 mm² - Preto</t>
  </si>
  <si>
    <t>6 mm² - Vermelho</t>
  </si>
  <si>
    <t>Isolação em PVC (70ºC)</t>
  </si>
  <si>
    <t>Lista de Materiais (SUBSOLO)</t>
  </si>
  <si>
    <t/>
  </si>
  <si>
    <t>Elétrica</t>
  </si>
  <si>
    <t>.. Alarme de Incêndio</t>
  </si>
  <si>
    <t>Nº</t>
  </si>
  <si>
    <t>Item</t>
  </si>
  <si>
    <t>Acionadores</t>
  </si>
  <si>
    <t>Anunciadores</t>
  </si>
  <si>
    <t>Atuadores</t>
  </si>
  <si>
    <t>Sensores</t>
  </si>
  <si>
    <t>.. Caixa Octogonal</t>
  </si>
  <si>
    <t>Caixas</t>
  </si>
  <si>
    <t>Placas</t>
  </si>
  <si>
    <t>.. Caixas 4x2" e 4x4"</t>
  </si>
  <si>
    <t>Suportes</t>
  </si>
  <si>
    <t>.. Cx de Passagem</t>
  </si>
  <si>
    <t>Embutir</t>
  </si>
  <si>
    <t>.. Eletrodutos</t>
  </si>
  <si>
    <t>ø1"</t>
  </si>
  <si>
    <t>ø3/4"</t>
  </si>
  <si>
    <t>.. Iluminação Emergência</t>
  </si>
  <si>
    <t>Luminárias e Placas de Saída</t>
  </si>
  <si>
    <t>Sensores de Presença</t>
  </si>
  <si>
    <t>Cabo Unipolar Cobre</t>
  </si>
  <si>
    <t>Elétrica (Alarme)</t>
  </si>
  <si>
    <t>Cabo blindado multipolar para alarme de incêndio</t>
  </si>
  <si>
    <t>Classe A - PVC Anti-chama - 105ºC - Isolação 600V</t>
  </si>
  <si>
    <t>0.75 mm²</t>
  </si>
  <si>
    <t>Classe B - PVC Anti-chama - 105ºC - Isolação 600V</t>
  </si>
  <si>
    <t>1.5 mm²</t>
  </si>
  <si>
    <t>Lista de Materiais (1º PAV. - TÉRREO)</t>
  </si>
  <si>
    <t>Central de Alarme de Incêndio</t>
  </si>
  <si>
    <t>Repetidor para Central de Alarme de Incêndio</t>
  </si>
  <si>
    <t>Sensor de Fumaça para Duto</t>
  </si>
  <si>
    <t>Blocos Autônomos</t>
  </si>
  <si>
    <t>Luminária de Emergência de Parede - Autônoma</t>
  </si>
  <si>
    <t>Placa de Saída de Parede sem Direção - Autônoma</t>
  </si>
  <si>
    <t>Placa de Saída de Teto sem Direção - Autônoma</t>
  </si>
  <si>
    <t>Placa de Saída 24V de Teto sem Direção</t>
  </si>
  <si>
    <t>PVC Rígido - NBR 15465</t>
  </si>
  <si>
    <t>ø2"</t>
  </si>
  <si>
    <t>1° PAV. TÉRREO</t>
  </si>
  <si>
    <t>2° PAV. - ESTAC. 01</t>
  </si>
  <si>
    <t>Lista de Materiais (2º PAV. - ESTAC. 01)</t>
  </si>
  <si>
    <t>Dispositivo Eletromagnético de Porta Aberta</t>
  </si>
  <si>
    <t>Lista de Materiais (3º PAV. - ESTAC. 02)</t>
  </si>
  <si>
    <t>3° PAV. - ESTAC. 02</t>
  </si>
  <si>
    <t>Lista de Materiais (4º PAV. - ESTAC. 03)</t>
  </si>
  <si>
    <t>4º PAV. - ESTAC. 03</t>
  </si>
  <si>
    <t>Lista de Materiais (5º PAV. - ESTAC. 04)</t>
  </si>
  <si>
    <t>5º PAV. - ESTAC. 04</t>
  </si>
  <si>
    <t>6º PAV. - ESTAC. 05</t>
  </si>
  <si>
    <t>Lista de Materiais (6º PAV. - ESTAC. 05)</t>
  </si>
  <si>
    <t>Lista de Materiais (7º PAV. - ESTAC. 06)</t>
  </si>
  <si>
    <t>.Cabo Unipolar (cobre)</t>
  </si>
  <si>
    <t>PVC - 750V (Prysmian)</t>
  </si>
  <si>
    <t>Cabo Unipolar (cobre)</t>
  </si>
  <si>
    <t>Lista de Materiais (8º PAV. - LAZER PÚBLICO 01)</t>
  </si>
  <si>
    <t>8º PAV. - LAZER PÚBLICO 01</t>
  </si>
  <si>
    <t>7º PAV. - ESTAC. 06</t>
  </si>
  <si>
    <t>Lista de Materiais (9º PAV. - LAZER PÚBLICO 02)</t>
  </si>
  <si>
    <t>9º PAV. - LAZER PÚBLICO 02</t>
  </si>
  <si>
    <t>10º PAV. - LAZER 01</t>
  </si>
  <si>
    <t>Lista de Materiais (10º PAV. - LAZER 01)</t>
  </si>
  <si>
    <t>Lista de Materiais (11º PAV. - LAZER 02)</t>
  </si>
  <si>
    <t>Lista de Materiais (12º PAV. - ÁREA TÉCNICA 01)</t>
  </si>
  <si>
    <t>Lista de Materiais (13º PAV. - TIPO 01 - x6 - LANÇAMENTO)</t>
  </si>
  <si>
    <t>Anunciador Audiovisual de Alarme de Incêndio de Teto</t>
  </si>
  <si>
    <t>4 mm² - Amarelo</t>
  </si>
  <si>
    <t>Lista de Materiais (19º PAV. - TIPO 02 - x3 - LANÇAMENTO)</t>
  </si>
  <si>
    <t>Lista de Materiais (22º PAV. - ÁREA TÉCNICA 02)</t>
  </si>
  <si>
    <t>.. Quadros de Distribuição</t>
  </si>
  <si>
    <t>Metálicos Moldados - NBR IEC 62208</t>
  </si>
  <si>
    <t>30x40x20 cm</t>
  </si>
  <si>
    <t>Eletroduto PVC flexível</t>
  </si>
  <si>
    <t>Eletroduto leve</t>
  </si>
  <si>
    <t>1"</t>
  </si>
  <si>
    <t>3/4"</t>
  </si>
  <si>
    <t>13º PAV. - TIPO 01 - x6 - LANÇAMENTO</t>
  </si>
  <si>
    <t>11º PAV. - LAZER 02</t>
  </si>
  <si>
    <t>12º PAV. - ÁREA TÉCNICA 01</t>
  </si>
  <si>
    <t>19º PAV. - TIPO 02 - x3 - LANÇAMENTO</t>
  </si>
  <si>
    <t>22º PAV. - ÁREA TÉCNICA 02</t>
  </si>
  <si>
    <t>Quadros de Distribuição</t>
  </si>
  <si>
    <t>23º PAV. - TIPO 03A - x11 - LANÇAMENTO</t>
  </si>
  <si>
    <t>Lista de Materiais (23º PAV. - TIPO 03A - x11 - LANÇAMENTO)</t>
  </si>
  <si>
    <t>Lista de Materiais (34º PAV. - TIPO 03B - x8 - MODELO)</t>
  </si>
  <si>
    <t>Lista de Materiais (42º PAV. - ÁREA TÉCNICA 03)</t>
  </si>
  <si>
    <t>Lista de Materiais (43º PAV. - TIPO 03C - x9 - MODELO)</t>
  </si>
  <si>
    <t>Lista de Materiais (52º PAV. - TIPO 04A - x10 - LANÇAMENTO)</t>
  </si>
  <si>
    <t>Lista de Materiais (62º PAV. - ÁREA TÉCNICA 04)</t>
  </si>
  <si>
    <t>Lista de Materiais (63º PAV. - LAZER 03)</t>
  </si>
  <si>
    <t>Lista de Materiais (64º PAV. - LAZER 04)</t>
  </si>
  <si>
    <t>Lista de Materiais (65º PAV. - TIPO 04B - x36 - MODELO)</t>
  </si>
  <si>
    <t>Lista de Materiais (82º PAV. - ÁREA TÉCNICA 05)</t>
  </si>
  <si>
    <t>Lista de Materiais (102º PAV. - ÁREA TÉCNICA 06)</t>
  </si>
  <si>
    <t>Lista de Materiais (103º PAV. - TIPO 04C - x19 - MODELO)</t>
  </si>
  <si>
    <t>Lista de Materiais (122º PAV. - ÁREA TÉCNICA 07)</t>
  </si>
  <si>
    <t>Lista de Materiais (123º PAV. - TIPO 04D - x9 - MODELO)</t>
  </si>
  <si>
    <t>Lista de Materiais (132º PAV. - DUPLEX INF REBAIXADOR- LANÇAMENTO)</t>
  </si>
  <si>
    <t>Lista de Materiais (133º PAV. - DUPLEX SUP - LANÇAMENTO)</t>
  </si>
  <si>
    <t>Lista de Materiais (136º PAV. - TRIPLEX - LANÇAMENTO)</t>
  </si>
  <si>
    <t>Lista de Materiais (137º PAV. - TRIPLEX REBAIXADOR - LANÇAMENTO)</t>
  </si>
  <si>
    <t>Lista de Materiais (138º PAV. - TRIPLEX - LANÇAMENTO)</t>
  </si>
  <si>
    <t>Lista de Materiais (139º PAV. - ÁREA TÉCNICA 08 - LANÇAMENTO)</t>
  </si>
  <si>
    <t>Lista de Materiais (140º PAV. - LAZER 05)</t>
  </si>
  <si>
    <t>Lista de Materiais (141º PAV. - LAZER 06)</t>
  </si>
  <si>
    <t>Lista de Materiais (142º PAV. - TERRAÇO TÉCNICO)</t>
  </si>
  <si>
    <t>34º PAV. - TIPO 03B - x8 - MODELO</t>
  </si>
  <si>
    <t>42º PAV. - ÁREA TÉCNICA 03</t>
  </si>
  <si>
    <t>43º PAV. - TIPO 03C - x9 - MODELO</t>
  </si>
  <si>
    <t>52º PAV. - TIPO 04A - x10 - LANÇAMENTO</t>
  </si>
  <si>
    <t>62º PAV. - ÁREA TÉCNICA 04</t>
  </si>
  <si>
    <t>63º PAV. - LAZER 03</t>
  </si>
  <si>
    <t>64º PAV. - LAZER 04</t>
  </si>
  <si>
    <t>Isolação em PVC (70ºC) 1.5 mm² - Amarelo</t>
  </si>
  <si>
    <t>Isolação em PVC (70ºC) 1.5 mm² - Preto</t>
  </si>
  <si>
    <t>Isolação em PVC (70ºC) 1.5 mm² - Vermelho</t>
  </si>
  <si>
    <t>Isolação em PVC (70ºC) 2.5 mm² - Amarelo</t>
  </si>
  <si>
    <t>Isolação em PVC (70ºC) 2.5 mm² - Preto</t>
  </si>
  <si>
    <t>Isolação em PVC (70ºC) 2.5 mm² - Vermelho</t>
  </si>
  <si>
    <t>Classe A - PVC Anti-chama - 105ºC - Isolação 600V 0.75 mm²</t>
  </si>
  <si>
    <t>Classe B - PVC Anti-chama - 105ºC - Isolação 600V 1.5 mm²</t>
  </si>
  <si>
    <t>65º PAV. - TIPO 04B - x36 - MODELO</t>
  </si>
  <si>
    <t>82º PAV. - ÁREA TÉCNICA 05</t>
  </si>
  <si>
    <t>Metálicos Moldados - NBR IEC 62208 30x40x20 cm</t>
  </si>
  <si>
    <t>Eletroduto leve 1"</t>
  </si>
  <si>
    <t>Eletroduto leve 3/4"</t>
  </si>
  <si>
    <t>102º PAV. - ÁREA TÉCNICA 06</t>
  </si>
  <si>
    <t>103º PAV. - TIPO 04C - x19 - MODELO</t>
  </si>
  <si>
    <t>122º PAV. - ÁREA TÉCNICA 07</t>
  </si>
  <si>
    <t>123º PAV. - TIPO 04D - x9 - MODELO</t>
  </si>
  <si>
    <t>132º PAV. - DUPLEX INF REBAIXADOR- LANÇAMENTO</t>
  </si>
  <si>
    <t>133º PAV. - DUPLEX SUP - LANÇAMENTO</t>
  </si>
  <si>
    <t>136º PAV. - TRIPLEX - LANÇAMENTO</t>
  </si>
  <si>
    <t>137º PAV. - TRIPLEX REBAIXADOR - LANÇAMENTO</t>
  </si>
  <si>
    <t>138º PAV. - TRIPLEX - LANÇAMENTO</t>
  </si>
  <si>
    <t>139º PAV. - ÁREA TÉCNICA 08 - LANÇAMENTO</t>
  </si>
  <si>
    <t>140º PAV. - LAZER 05</t>
  </si>
  <si>
    <t>141º PAV. - LAZER 06</t>
  </si>
  <si>
    <t>142º PAV. - TERRAÇO TÉCNICO</t>
  </si>
  <si>
    <t>Isolação em PVC (70ºC) 4 mm² - Preto</t>
  </si>
  <si>
    <t>Isolação em PVC (70ºC) 4 mm² - Vermelho</t>
  </si>
  <si>
    <t xml:space="preserve">Quadro rebaixador de tensão </t>
  </si>
  <si>
    <t>Central ADW - Detecção de incêndio por sensor linear de temperatura</t>
  </si>
  <si>
    <t>Central de detecção de fumaça por aspiração</t>
  </si>
  <si>
    <t>Rebaixadores</t>
  </si>
  <si>
    <t>ADW</t>
  </si>
  <si>
    <t>ASD</t>
  </si>
  <si>
    <t>Isolação em PVC (70ºC) 6 mm² - Preto</t>
  </si>
  <si>
    <t>Isolação em PVC (70ºC) 6 mm² - Vermelho</t>
  </si>
  <si>
    <t>PVC Rígido - NBR 15465 ø2"</t>
  </si>
  <si>
    <t>PVC - 750V (Prysmian) 4 mm² - Preto</t>
  </si>
  <si>
    <t>PVC - 750V (Prysmian) 4 mm² - Vermelho</t>
  </si>
  <si>
    <t>Isolação em PVC (70ºC) 4 mm² - Amarelo</t>
  </si>
  <si>
    <t>EQUIPAMENTOS DE EMERGÊNCIA</t>
  </si>
  <si>
    <t>Automação iluminação de emergência</t>
  </si>
  <si>
    <t>Cabeamento e equipamentos alarme de incêndio</t>
  </si>
  <si>
    <t>Extintores e placas de sinalização</t>
  </si>
  <si>
    <t>Extintior</t>
  </si>
  <si>
    <t>Extintor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</si>
</sst>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dd/mm/yy;@"/>
    <numFmt numFmtId="166" formatCode="#,##0.0"/>
  </numFmts>
  <fonts count="3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0"/>
      <color theme="8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.5"/>
      <name val="Calibri"/>
      <family val="2"/>
      <scheme val="minor"/>
    </font>
    <font>
      <sz val="9"/>
      <name val="Calibri"/>
      <family val="2"/>
      <scheme val="minor"/>
    </font>
    <font>
      <sz val="8"/>
      <name val="Trebuchet MS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Poppins"/>
    </font>
    <font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5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5"/>
      <color rgb="FFFFFFFF"/>
      <name val="Liberation Sans"/>
      <charset val="134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39A5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 applyNumberFormat="0" applyFont="0" applyFill="0" applyBorder="0" applyAlignment="0" applyProtection="0"/>
    <xf numFmtId="164" fontId="14" fillId="0" borderId="0" applyNumberFormat="0" applyFont="0" applyFill="0" applyBorder="0" applyAlignment="0" applyProtection="0"/>
    <xf numFmtId="0" fontId="10" fillId="0" borderId="0"/>
    <xf numFmtId="164" fontId="14" fillId="0" borderId="0" applyFont="0" applyFill="0" applyBorder="0" applyAlignment="0" applyProtection="0"/>
    <xf numFmtId="0" fontId="17" fillId="0" borderId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21" fillId="0" borderId="0"/>
    <xf numFmtId="0" fontId="23" fillId="0" borderId="0"/>
  </cellStyleXfs>
  <cellXfs count="122">
    <xf numFmtId="0" fontId="0" fillId="0" borderId="0" xfId="0"/>
    <xf numFmtId="0" fontId="11" fillId="0" borderId="1" xfId="2" applyFont="1" applyBorder="1" applyAlignment="1">
      <alignment vertical="center"/>
    </xf>
    <xf numFmtId="0" fontId="11" fillId="0" borderId="2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1" fillId="0" borderId="4" xfId="2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6" xfId="2" applyFont="1" applyBorder="1" applyAlignment="1">
      <alignment vertical="center"/>
    </xf>
    <xf numFmtId="165" fontId="15" fillId="0" borderId="7" xfId="3" quotePrefix="1" applyNumberFormat="1" applyFont="1" applyFill="1" applyBorder="1" applyAlignment="1">
      <alignment horizontal="left" vertical="center"/>
    </xf>
    <xf numFmtId="0" fontId="13" fillId="0" borderId="5" xfId="2" applyFont="1" applyBorder="1" applyAlignment="1">
      <alignment vertical="center"/>
    </xf>
    <xf numFmtId="0" fontId="16" fillId="0" borderId="0" xfId="2" applyFont="1" applyAlignment="1">
      <alignment vertical="center"/>
    </xf>
    <xf numFmtId="165" fontId="15" fillId="0" borderId="8" xfId="3" quotePrefix="1" applyNumberFormat="1" applyFont="1" applyFill="1" applyBorder="1" applyAlignment="1">
      <alignment horizontal="left" vertical="center" wrapText="1"/>
    </xf>
    <xf numFmtId="17" fontId="13" fillId="0" borderId="9" xfId="2" applyNumberFormat="1" applyFont="1" applyBorder="1" applyAlignment="1">
      <alignment horizontal="left" vertical="center"/>
    </xf>
    <xf numFmtId="17" fontId="13" fillId="0" borderId="8" xfId="2" applyNumberFormat="1" applyFont="1" applyBorder="1" applyAlignment="1">
      <alignment horizontal="left" vertical="center"/>
    </xf>
    <xf numFmtId="17" fontId="13" fillId="0" borderId="10" xfId="2" applyNumberFormat="1" applyFont="1" applyBorder="1" applyAlignment="1">
      <alignment horizontal="left" vertical="center"/>
    </xf>
    <xf numFmtId="0" fontId="13" fillId="0" borderId="0" xfId="2" applyFont="1"/>
    <xf numFmtId="0" fontId="19" fillId="3" borderId="14" xfId="5" applyFont="1" applyFill="1" applyBorder="1" applyAlignment="1">
      <alignment horizontal="center" vertical="center"/>
    </xf>
    <xf numFmtId="0" fontId="8" fillId="0" borderId="0" xfId="5"/>
    <xf numFmtId="43" fontId="0" fillId="0" borderId="15" xfId="6" applyFont="1" applyFill="1" applyBorder="1" applyAlignment="1"/>
    <xf numFmtId="43" fontId="0" fillId="0" borderId="16" xfId="6" applyFont="1" applyFill="1" applyBorder="1" applyAlignment="1"/>
    <xf numFmtId="0" fontId="8" fillId="0" borderId="0" xfId="5" applyAlignment="1">
      <alignment vertical="center"/>
    </xf>
    <xf numFmtId="0" fontId="8" fillId="4" borderId="15" xfId="5" applyFill="1" applyBorder="1" applyAlignment="1">
      <alignment vertical="center"/>
    </xf>
    <xf numFmtId="43" fontId="0" fillId="4" borderId="17" xfId="6" applyFont="1" applyFill="1" applyBorder="1" applyAlignment="1">
      <alignment vertical="center"/>
    </xf>
    <xf numFmtId="0" fontId="8" fillId="0" borderId="15" xfId="5" applyBorder="1" applyAlignment="1">
      <alignment vertical="center"/>
    </xf>
    <xf numFmtId="43" fontId="0" fillId="0" borderId="15" xfId="6" applyFont="1" applyFill="1" applyBorder="1" applyAlignment="1">
      <alignment vertical="center"/>
    </xf>
    <xf numFmtId="44" fontId="0" fillId="0" borderId="15" xfId="7" applyFont="1" applyFill="1" applyBorder="1" applyAlignment="1">
      <alignment vertical="center"/>
    </xf>
    <xf numFmtId="43" fontId="20" fillId="0" borderId="15" xfId="6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3" fontId="0" fillId="0" borderId="18" xfId="6" applyFont="1" applyFill="1" applyBorder="1" applyAlignment="1">
      <alignment vertical="center"/>
    </xf>
    <xf numFmtId="0" fontId="8" fillId="0" borderId="15" xfId="5" applyBorder="1" applyAlignment="1">
      <alignment vertical="center" wrapText="1"/>
    </xf>
    <xf numFmtId="0" fontId="8" fillId="3" borderId="0" xfId="5" applyFill="1" applyAlignment="1">
      <alignment vertical="center"/>
    </xf>
    <xf numFmtId="0" fontId="9" fillId="3" borderId="0" xfId="5" applyFont="1" applyFill="1" applyAlignment="1">
      <alignment horizontal="right" vertical="center"/>
    </xf>
    <xf numFmtId="43" fontId="9" fillId="3" borderId="0" xfId="6" applyFont="1" applyFill="1" applyAlignment="1">
      <alignment vertical="center"/>
    </xf>
    <xf numFmtId="0" fontId="8" fillId="4" borderId="20" xfId="5" applyFill="1" applyBorder="1" applyAlignment="1">
      <alignment vertical="center"/>
    </xf>
    <xf numFmtId="0" fontId="8" fillId="4" borderId="21" xfId="5" applyFill="1" applyBorder="1" applyAlignment="1">
      <alignment vertical="center"/>
    </xf>
    <xf numFmtId="43" fontId="0" fillId="4" borderId="21" xfId="6" applyFont="1" applyFill="1" applyBorder="1" applyAlignment="1">
      <alignment vertical="center"/>
    </xf>
    <xf numFmtId="43" fontId="20" fillId="4" borderId="21" xfId="6" applyFont="1" applyFill="1" applyBorder="1" applyAlignment="1">
      <alignment vertical="center"/>
    </xf>
    <xf numFmtId="44" fontId="0" fillId="4" borderId="22" xfId="7" applyFont="1" applyFill="1" applyBorder="1" applyAlignment="1">
      <alignment vertical="center"/>
    </xf>
    <xf numFmtId="43" fontId="0" fillId="0" borderId="19" xfId="6" applyFont="1" applyFill="1" applyBorder="1" applyAlignment="1">
      <alignment vertical="center"/>
    </xf>
    <xf numFmtId="44" fontId="8" fillId="0" borderId="0" xfId="8" applyFont="1" applyAlignment="1">
      <alignment vertical="center"/>
    </xf>
    <xf numFmtId="0" fontId="8" fillId="0" borderId="19" xfId="5" applyBorder="1" applyAlignment="1">
      <alignment vertical="center" wrapText="1"/>
    </xf>
    <xf numFmtId="0" fontId="8" fillId="4" borderId="24" xfId="5" applyFill="1" applyBorder="1" applyAlignment="1">
      <alignment vertical="center"/>
    </xf>
    <xf numFmtId="0" fontId="8" fillId="4" borderId="25" xfId="5" applyFill="1" applyBorder="1" applyAlignment="1">
      <alignment vertical="center"/>
    </xf>
    <xf numFmtId="0" fontId="8" fillId="4" borderId="26" xfId="5" applyFill="1" applyBorder="1" applyAlignment="1">
      <alignment vertical="center"/>
    </xf>
    <xf numFmtId="43" fontId="0" fillId="4" borderId="26" xfId="6" applyFont="1" applyFill="1" applyBorder="1" applyAlignment="1">
      <alignment vertical="center"/>
    </xf>
    <xf numFmtId="43" fontId="20" fillId="4" borderId="26" xfId="6" applyFont="1" applyFill="1" applyBorder="1" applyAlignment="1">
      <alignment vertical="center"/>
    </xf>
    <xf numFmtId="44" fontId="0" fillId="4" borderId="27" xfId="7" applyFont="1" applyFill="1" applyBorder="1" applyAlignment="1">
      <alignment vertical="center"/>
    </xf>
    <xf numFmtId="43" fontId="0" fillId="4" borderId="23" xfId="6" applyFont="1" applyFill="1" applyBorder="1" applyAlignment="1">
      <alignment vertical="center"/>
    </xf>
    <xf numFmtId="0" fontId="19" fillId="3" borderId="28" xfId="5" applyFont="1" applyFill="1" applyBorder="1" applyAlignment="1">
      <alignment horizontal="center" vertical="center"/>
    </xf>
    <xf numFmtId="0" fontId="19" fillId="3" borderId="29" xfId="5" applyFont="1" applyFill="1" applyBorder="1" applyAlignment="1">
      <alignment horizontal="center" vertical="center"/>
    </xf>
    <xf numFmtId="0" fontId="8" fillId="0" borderId="30" xfId="5" applyBorder="1"/>
    <xf numFmtId="44" fontId="0" fillId="0" borderId="17" xfId="7" applyFont="1" applyFill="1" applyBorder="1" applyAlignment="1"/>
    <xf numFmtId="0" fontId="8" fillId="0" borderId="30" xfId="5" applyBorder="1" applyAlignment="1">
      <alignment wrapText="1"/>
    </xf>
    <xf numFmtId="43" fontId="0" fillId="0" borderId="32" xfId="6" applyFont="1" applyFill="1" applyBorder="1" applyAlignment="1"/>
    <xf numFmtId="44" fontId="0" fillId="0" borderId="33" xfId="7" applyFont="1" applyFill="1" applyBorder="1" applyAlignment="1"/>
    <xf numFmtId="0" fontId="19" fillId="3" borderId="34" xfId="1" applyNumberFormat="1" applyFont="1" applyFill="1" applyBorder="1" applyAlignment="1">
      <alignment horizontal="center" vertical="center"/>
    </xf>
    <xf numFmtId="0" fontId="19" fillId="3" borderId="35" xfId="1" applyNumberFormat="1" applyFont="1" applyFill="1" applyBorder="1" applyAlignment="1">
      <alignment horizontal="center" vertical="center" wrapText="1"/>
    </xf>
    <xf numFmtId="0" fontId="19" fillId="3" borderId="36" xfId="1" applyNumberFormat="1" applyFont="1" applyFill="1" applyBorder="1" applyAlignment="1">
      <alignment horizontal="center" vertical="center"/>
    </xf>
    <xf numFmtId="43" fontId="20" fillId="0" borderId="30" xfId="6" applyFont="1" applyFill="1" applyBorder="1" applyAlignment="1">
      <alignment vertical="center"/>
    </xf>
    <xf numFmtId="43" fontId="20" fillId="0" borderId="31" xfId="6" applyFont="1" applyFill="1" applyBorder="1" applyAlignment="1">
      <alignment vertical="center"/>
    </xf>
    <xf numFmtId="43" fontId="20" fillId="0" borderId="32" xfId="6" applyFont="1" applyFill="1" applyBorder="1" applyAlignment="1">
      <alignment vertical="center"/>
    </xf>
    <xf numFmtId="43" fontId="20" fillId="6" borderId="15" xfId="6" applyFont="1" applyFill="1" applyBorder="1" applyAlignment="1">
      <alignment vertical="center"/>
    </xf>
    <xf numFmtId="43" fontId="20" fillId="6" borderId="17" xfId="6" applyFont="1" applyFill="1" applyBorder="1" applyAlignment="1">
      <alignment vertical="center"/>
    </xf>
    <xf numFmtId="43" fontId="20" fillId="6" borderId="32" xfId="6" applyFont="1" applyFill="1" applyBorder="1" applyAlignment="1">
      <alignment vertical="center"/>
    </xf>
    <xf numFmtId="43" fontId="20" fillId="6" borderId="33" xfId="6" applyFont="1" applyFill="1" applyBorder="1" applyAlignment="1">
      <alignment vertical="center"/>
    </xf>
    <xf numFmtId="43" fontId="0" fillId="5" borderId="17" xfId="6" applyFont="1" applyFill="1" applyBorder="1" applyAlignment="1">
      <alignment vertical="center"/>
    </xf>
    <xf numFmtId="165" fontId="15" fillId="0" borderId="8" xfId="3" quotePrefix="1" applyNumberFormat="1" applyFont="1" applyFill="1" applyBorder="1" applyAlignment="1">
      <alignment vertical="center" wrapText="1"/>
    </xf>
    <xf numFmtId="0" fontId="7" fillId="0" borderId="15" xfId="5" applyFont="1" applyBorder="1" applyAlignment="1">
      <alignment vertical="center"/>
    </xf>
    <xf numFmtId="0" fontId="23" fillId="0" borderId="0" xfId="10"/>
    <xf numFmtId="166" fontId="24" fillId="9" borderId="37" xfId="9" applyNumberFormat="1" applyFont="1" applyFill="1" applyBorder="1" applyAlignment="1">
      <alignment horizontal="center" vertical="center" wrapText="1"/>
    </xf>
    <xf numFmtId="166" fontId="23" fillId="10" borderId="38" xfId="9" applyNumberFormat="1" applyFont="1" applyFill="1" applyBorder="1" applyAlignment="1">
      <alignment horizontal="right" vertical="center" wrapText="1"/>
    </xf>
    <xf numFmtId="166" fontId="23" fillId="10" borderId="38" xfId="9" applyNumberFormat="1" applyFont="1" applyFill="1" applyBorder="1" applyAlignment="1">
      <alignment horizontal="left" vertical="center" wrapText="1"/>
    </xf>
    <xf numFmtId="166" fontId="23" fillId="9" borderId="38" xfId="9" applyNumberFormat="1" applyFont="1" applyFill="1" applyBorder="1" applyAlignment="1">
      <alignment horizontal="right" vertical="center" wrapText="1"/>
    </xf>
    <xf numFmtId="166" fontId="23" fillId="9" borderId="38" xfId="9" applyNumberFormat="1" applyFont="1" applyFill="1" applyBorder="1" applyAlignment="1">
      <alignment horizontal="left" vertical="center" wrapText="1"/>
    </xf>
    <xf numFmtId="166" fontId="25" fillId="11" borderId="12" xfId="9" applyNumberFormat="1" applyFont="1" applyFill="1" applyBorder="1" applyAlignment="1">
      <alignment horizontal="center" vertical="center"/>
    </xf>
    <xf numFmtId="166" fontId="22" fillId="7" borderId="37" xfId="9" applyNumberFormat="1" applyFont="1" applyFill="1" applyBorder="1" applyAlignment="1">
      <alignment vertical="center"/>
    </xf>
    <xf numFmtId="166" fontId="22" fillId="8" borderId="37" xfId="9" applyNumberFormat="1" applyFont="1" applyFill="1" applyBorder="1" applyAlignment="1">
      <alignment vertical="center"/>
    </xf>
    <xf numFmtId="0" fontId="7" fillId="4" borderId="15" xfId="5" applyFont="1" applyFill="1" applyBorder="1" applyAlignment="1">
      <alignment vertical="center"/>
    </xf>
    <xf numFmtId="0" fontId="7" fillId="4" borderId="24" xfId="5" applyFont="1" applyFill="1" applyBorder="1" applyAlignment="1">
      <alignment vertical="center"/>
    </xf>
    <xf numFmtId="0" fontId="7" fillId="0" borderId="15" xfId="5" applyFont="1" applyBorder="1" applyAlignment="1">
      <alignment vertical="center" wrapText="1"/>
    </xf>
    <xf numFmtId="0" fontId="21" fillId="0" borderId="0" xfId="9"/>
    <xf numFmtId="0" fontId="6" fillId="4" borderId="24" xfId="5" applyFont="1" applyFill="1" applyBorder="1" applyAlignment="1">
      <alignment vertical="center"/>
    </xf>
    <xf numFmtId="0" fontId="6" fillId="0" borderId="15" xfId="5" applyFont="1" applyBorder="1" applyAlignment="1">
      <alignment vertical="center" wrapText="1"/>
    </xf>
    <xf numFmtId="166" fontId="23" fillId="9" borderId="39" xfId="9" applyNumberFormat="1" applyFont="1" applyFill="1" applyBorder="1" applyAlignment="1">
      <alignment horizontal="right" vertical="center" wrapText="1"/>
    </xf>
    <xf numFmtId="166" fontId="23" fillId="9" borderId="39" xfId="9" applyNumberFormat="1" applyFont="1" applyFill="1" applyBorder="1" applyAlignment="1">
      <alignment horizontal="left" vertical="center" wrapText="1"/>
    </xf>
    <xf numFmtId="0" fontId="5" fillId="0" borderId="15" xfId="5" applyFont="1" applyBorder="1" applyAlignment="1">
      <alignment vertical="center" wrapText="1"/>
    </xf>
    <xf numFmtId="0" fontId="5" fillId="4" borderId="24" xfId="5" applyFont="1" applyFill="1" applyBorder="1" applyAlignment="1">
      <alignment vertical="center"/>
    </xf>
    <xf numFmtId="0" fontId="4" fillId="0" borderId="15" xfId="5" applyFont="1" applyBorder="1" applyAlignment="1">
      <alignment vertical="center" wrapText="1"/>
    </xf>
    <xf numFmtId="0" fontId="4" fillId="0" borderId="15" xfId="5" applyFont="1" applyBorder="1" applyAlignment="1">
      <alignment vertical="center"/>
    </xf>
    <xf numFmtId="0" fontId="4" fillId="0" borderId="30" xfId="5" applyFont="1" applyBorder="1"/>
    <xf numFmtId="0" fontId="8" fillId="0" borderId="0" xfId="5" applyAlignment="1">
      <alignment wrapText="1"/>
    </xf>
    <xf numFmtId="43" fontId="0" fillId="0" borderId="0" xfId="6" applyFont="1" applyFill="1" applyBorder="1" applyAlignment="1"/>
    <xf numFmtId="44" fontId="0" fillId="0" borderId="0" xfId="7" applyFont="1" applyFill="1" applyBorder="1" applyAlignment="1"/>
    <xf numFmtId="0" fontId="8" fillId="0" borderId="31" xfId="5" applyBorder="1"/>
    <xf numFmtId="0" fontId="4" fillId="0" borderId="30" xfId="5" applyFont="1" applyBorder="1" applyAlignment="1">
      <alignment wrapText="1"/>
    </xf>
    <xf numFmtId="0" fontId="3" fillId="0" borderId="30" xfId="5" applyFont="1" applyBorder="1"/>
    <xf numFmtId="0" fontId="3" fillId="0" borderId="30" xfId="5" applyFont="1" applyBorder="1" applyAlignment="1">
      <alignment wrapText="1"/>
    </xf>
    <xf numFmtId="0" fontId="3" fillId="0" borderId="15" xfId="5" applyFont="1" applyBorder="1" applyAlignment="1">
      <alignment vertical="center" wrapText="1"/>
    </xf>
    <xf numFmtId="0" fontId="19" fillId="3" borderId="14" xfId="1" applyNumberFormat="1" applyFont="1" applyFill="1" applyBorder="1" applyAlignment="1">
      <alignment horizontal="center" vertical="center"/>
    </xf>
    <xf numFmtId="43" fontId="20" fillId="0" borderId="16" xfId="6" applyFont="1" applyFill="1" applyBorder="1" applyAlignment="1">
      <alignment vertical="center"/>
    </xf>
    <xf numFmtId="43" fontId="20" fillId="0" borderId="18" xfId="6" applyFont="1" applyFill="1" applyBorder="1" applyAlignment="1">
      <alignment vertical="center"/>
    </xf>
    <xf numFmtId="43" fontId="20" fillId="0" borderId="38" xfId="6" applyFont="1" applyFill="1" applyBorder="1" applyAlignment="1">
      <alignment vertical="center"/>
    </xf>
    <xf numFmtId="43" fontId="20" fillId="0" borderId="19" xfId="6" applyFont="1" applyFill="1" applyBorder="1" applyAlignment="1">
      <alignment vertical="center"/>
    </xf>
    <xf numFmtId="43" fontId="28" fillId="0" borderId="0" xfId="5" applyNumberFormat="1" applyFont="1" applyAlignment="1">
      <alignment horizontal="center" vertical="center"/>
    </xf>
    <xf numFmtId="0" fontId="2" fillId="0" borderId="30" xfId="5" applyFont="1" applyBorder="1"/>
    <xf numFmtId="0" fontId="2" fillId="0" borderId="30" xfId="5" applyFont="1" applyBorder="1" applyAlignment="1">
      <alignment wrapText="1"/>
    </xf>
    <xf numFmtId="0" fontId="18" fillId="2" borderId="11" xfId="4" applyFont="1" applyFill="1" applyBorder="1" applyAlignment="1">
      <alignment horizontal="center" vertical="center"/>
    </xf>
    <xf numFmtId="0" fontId="18" fillId="2" borderId="12" xfId="4" applyFont="1" applyFill="1" applyBorder="1" applyAlignment="1">
      <alignment horizontal="center" vertical="center"/>
    </xf>
    <xf numFmtId="0" fontId="18" fillId="2" borderId="13" xfId="4" applyFont="1" applyFill="1" applyBorder="1" applyAlignment="1">
      <alignment horizontal="center" vertical="center"/>
    </xf>
    <xf numFmtId="0" fontId="18" fillId="2" borderId="40" xfId="4" applyFont="1" applyFill="1" applyBorder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166" fontId="22" fillId="8" borderId="37" xfId="9" applyNumberFormat="1" applyFont="1" applyFill="1" applyBorder="1" applyAlignment="1">
      <alignment horizontal="center" vertical="center"/>
    </xf>
    <xf numFmtId="166" fontId="22" fillId="7" borderId="37" xfId="9" applyNumberFormat="1" applyFont="1" applyFill="1" applyBorder="1" applyAlignment="1">
      <alignment horizontal="center" vertical="center"/>
    </xf>
    <xf numFmtId="43" fontId="0" fillId="0" borderId="0" xfId="0" applyNumberFormat="1" applyFont="1" applyFill="1" applyBorder="1" applyAlignment="1">
      <alignment vertical="center"/>
    </xf>
    <xf numFmtId="0" fontId="1" fillId="0" borderId="15" xfId="5" applyFont="1" applyBorder="1" applyAlignment="1">
      <alignment vertical="center"/>
    </xf>
    <xf numFmtId="0" fontId="29" fillId="0" borderId="15" xfId="5" applyFont="1" applyBorder="1" applyAlignment="1">
      <alignment vertical="center"/>
    </xf>
    <xf numFmtId="43" fontId="30" fillId="0" borderId="15" xfId="6" applyFont="1" applyFill="1" applyBorder="1" applyAlignment="1">
      <alignment vertical="center"/>
    </xf>
    <xf numFmtId="43" fontId="30" fillId="0" borderId="18" xfId="6" applyFont="1" applyFill="1" applyBorder="1" applyAlignment="1">
      <alignment vertical="center"/>
    </xf>
    <xf numFmtId="44" fontId="30" fillId="0" borderId="15" xfId="7" applyFont="1" applyFill="1" applyBorder="1" applyAlignment="1">
      <alignment vertical="center"/>
    </xf>
    <xf numFmtId="43" fontId="30" fillId="5" borderId="17" xfId="6" applyFont="1" applyFill="1" applyBorder="1" applyAlignment="1">
      <alignment vertical="center"/>
    </xf>
    <xf numFmtId="8" fontId="0" fillId="0" borderId="17" xfId="7" applyNumberFormat="1" applyFont="1" applyFill="1" applyBorder="1" applyAlignment="1"/>
  </cellXfs>
  <cellStyles count="11">
    <cellStyle name="Moeda" xfId="8" builtinId="4"/>
    <cellStyle name="Moeda 16" xfId="7" xr:uid="{C7E50AE7-01A7-471F-B980-7DFA25E27F66}"/>
    <cellStyle name="Normal" xfId="0" builtinId="0"/>
    <cellStyle name="Normal 10" xfId="2" xr:uid="{0AD3C864-FEC6-4409-8EA4-1EF8CD2BEE86}"/>
    <cellStyle name="Normal 2" xfId="9" xr:uid="{4EB770EA-B682-4DDE-952D-77ACEAF05AA3}"/>
    <cellStyle name="Normal 2 2" xfId="10" xr:uid="{C702EC19-5246-486F-A74D-E458A495179F}"/>
    <cellStyle name="Normal 34 2" xfId="5" xr:uid="{D8B67873-D88F-4C87-8497-CE52E6C0F603}"/>
    <cellStyle name="Normal 8" xfId="4" xr:uid="{096E863C-6BBA-442B-98F0-B9BA0D9EF8B0}"/>
    <cellStyle name="Vírgula" xfId="1" builtinId="3"/>
    <cellStyle name="Vírgula 3 2" xfId="3" xr:uid="{95F229EF-0DF5-46E5-AEE9-212A7EF6E1BA}"/>
    <cellStyle name="Vírgula 31" xfId="6" xr:uid="{F94C10EF-9B2D-4AAF-BFCE-923AF2B39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0</xdr:col>
      <xdr:colOff>1906892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D60311E8-9A18-4AD0-8024-0F23BDE231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103991</xdr:colOff>
      <xdr:row>0</xdr:row>
      <xdr:rowOff>149679</xdr:rowOff>
    </xdr:from>
    <xdr:to>
      <xdr:col>1</xdr:col>
      <xdr:colOff>849246</xdr:colOff>
      <xdr:row>2</xdr:row>
      <xdr:rowOff>156883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24AD60CF-3C9E-43CC-8550-B24B934D57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10694" cy="388204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65EB-405B-47B8-9ACF-F668B376CE33}">
  <sheetPr>
    <tabColor rgb="FF00B050"/>
  </sheetPr>
  <dimension ref="A1:G61"/>
  <sheetViews>
    <sheetView showGridLines="0" view="pageBreakPreview" zoomScaleNormal="85" zoomScaleSheetLayoutView="100" workbookViewId="0">
      <pane ySplit="6" topLeftCell="A7" activePane="bottomLeft" state="frozen"/>
      <selection activeCell="N7" sqref="N7:N11"/>
      <selection pane="bottomLeft" activeCell="E21" sqref="E21"/>
    </sheetView>
  </sheetViews>
  <sheetFormatPr defaultRowHeight="15"/>
  <cols>
    <col min="1" max="1" width="30" style="18" customWidth="1"/>
    <col min="2" max="2" width="11.140625" style="18" customWidth="1"/>
    <col min="3" max="3" width="64" style="18" customWidth="1"/>
    <col min="4" max="4" width="14" style="18" bestFit="1" customWidth="1"/>
    <col min="5" max="5" width="30.28515625" style="18" customWidth="1"/>
    <col min="6" max="6" width="30" style="18" customWidth="1"/>
    <col min="7" max="7" width="11.140625" style="18" customWidth="1"/>
    <col min="8" max="16384" width="9.140625" style="18"/>
  </cols>
  <sheetData>
    <row r="1" spans="1:7" s="7" customFormat="1" ht="15" customHeight="1">
      <c r="A1" s="1"/>
      <c r="B1" s="3" t="s">
        <v>0</v>
      </c>
      <c r="C1" s="4" t="str">
        <f>'Equipamentos de emergência'!D1</f>
        <v>Senna Tower</v>
      </c>
      <c r="D1" s="4"/>
      <c r="E1" s="4"/>
      <c r="F1" s="4"/>
      <c r="G1" s="6"/>
    </row>
    <row r="2" spans="1:7" s="11" customFormat="1" ht="15" customHeight="1">
      <c r="A2" s="8"/>
      <c r="B2" s="3" t="s">
        <v>1</v>
      </c>
      <c r="C2" s="4" t="str">
        <f>'Equipamentos de emergência'!D2</f>
        <v>FG</v>
      </c>
      <c r="D2" s="9"/>
      <c r="E2" s="9"/>
      <c r="F2" s="9"/>
      <c r="G2" s="10"/>
    </row>
    <row r="3" spans="1:7" s="11" customFormat="1" ht="15" customHeight="1">
      <c r="A3" s="8"/>
      <c r="B3" s="3" t="s">
        <v>2</v>
      </c>
      <c r="C3" s="4" t="str">
        <f>'Equipamentos de emergência'!D3</f>
        <v>SEN-EX-ILU-001-MAT-R00.xlsx</v>
      </c>
      <c r="D3" s="12"/>
      <c r="E3" s="12"/>
      <c r="F3" s="12"/>
      <c r="G3" s="10"/>
    </row>
    <row r="4" spans="1:7" s="11" customFormat="1" ht="15" customHeight="1">
      <c r="A4" s="13"/>
      <c r="B4" s="3" t="s">
        <v>3</v>
      </c>
      <c r="C4" s="4" t="str">
        <f>'Equipamentos de emergência'!D4</f>
        <v>R00 - Letícia</v>
      </c>
      <c r="D4" s="4"/>
      <c r="E4" s="4"/>
      <c r="F4" s="4"/>
      <c r="G4" s="15"/>
    </row>
    <row r="5" spans="1:7" s="16" customFormat="1" ht="16.5" thickBot="1">
      <c r="A5" s="107" t="str">
        <f>'Equipamentos de emergência'!A5</f>
        <v>EQUIPAMENTOS DE EMERGÊNCIA</v>
      </c>
      <c r="B5" s="108"/>
      <c r="C5" s="108"/>
      <c r="D5" s="108"/>
      <c r="E5" s="108"/>
      <c r="F5" s="108"/>
      <c r="G5" s="109"/>
    </row>
    <row r="6" spans="1:7" ht="19.5">
      <c r="C6" s="49" t="s">
        <v>7</v>
      </c>
      <c r="D6" s="17" t="s">
        <v>11</v>
      </c>
      <c r="E6" s="50" t="s">
        <v>12</v>
      </c>
    </row>
    <row r="7" spans="1:7">
      <c r="C7" s="90" t="s">
        <v>29</v>
      </c>
      <c r="D7" s="20" t="str">
        <f>_xlfn.XLOOKUP(PREÇO!C7,'Equipamentos de emergência'!$E$8:$E$1260,'Equipamentos de emergência'!$J$8:$J$1260)</f>
        <v>pç</v>
      </c>
      <c r="E7" s="52">
        <v>65</v>
      </c>
    </row>
    <row r="8" spans="1:7">
      <c r="C8" s="90" t="s">
        <v>30</v>
      </c>
      <c r="D8" s="19" t="str">
        <f>_xlfn.XLOOKUP(PREÇO!C8,'Equipamentos de emergência'!$E$8:$E$1260,'Equipamentos de emergência'!$J$8:$J$1260)</f>
        <v>pç</v>
      </c>
      <c r="E8" s="52">
        <v>191.81</v>
      </c>
    </row>
    <row r="9" spans="1:7">
      <c r="B9"/>
      <c r="C9" s="53" t="s">
        <v>131</v>
      </c>
      <c r="D9" s="19" t="str">
        <f>_xlfn.XLOOKUP(PREÇO!C9,'Equipamentos de emergência'!$E$8:$E$1260,'Equipamentos de emergência'!$J$8:$J$1260)</f>
        <v>pç</v>
      </c>
      <c r="E9" s="52">
        <v>169.96</v>
      </c>
    </row>
    <row r="10" spans="1:7">
      <c r="C10" s="96" t="s">
        <v>31</v>
      </c>
      <c r="D10" s="19" t="str">
        <f>_xlfn.XLOOKUP(PREÇO!C10,'Equipamentos de emergência'!$E$8:$E$1260,'Equipamentos de emergência'!$J$8:$J$1260)</f>
        <v>pç</v>
      </c>
      <c r="E10" s="52">
        <v>1150</v>
      </c>
    </row>
    <row r="11" spans="1:7">
      <c r="C11" s="90" t="s">
        <v>35</v>
      </c>
      <c r="D11" s="19" t="str">
        <f>_xlfn.XLOOKUP(PREÇO!C11,'Equipamentos de emergência'!$E$8:$E$1260,'Equipamentos de emergência'!$J$8:$J$1260)</f>
        <v>pç</v>
      </c>
      <c r="E11" s="52">
        <v>1.72</v>
      </c>
    </row>
    <row r="12" spans="1:7">
      <c r="C12" s="51" t="s">
        <v>36</v>
      </c>
      <c r="D12" s="19" t="str">
        <f>_xlfn.XLOOKUP(PREÇO!C12,'Equipamentos de emergência'!$E$8:$E$1260,'Equipamentos de emergência'!$J$8:$J$1260)</f>
        <v>pç</v>
      </c>
      <c r="E12" s="52">
        <v>1.72</v>
      </c>
    </row>
    <row r="13" spans="1:7">
      <c r="C13" s="96" t="s">
        <v>33</v>
      </c>
      <c r="D13" s="19" t="str">
        <f>_xlfn.XLOOKUP(PREÇO!C13,'Equipamentos de emergência'!$E$8:$E$1260,'Equipamentos de emergência'!$J$8:$J$1260)</f>
        <v>pç</v>
      </c>
      <c r="E13" s="52">
        <v>5.32</v>
      </c>
    </row>
    <row r="14" spans="1:7">
      <c r="C14" s="105" t="s">
        <v>208</v>
      </c>
      <c r="D14" s="19" t="str">
        <f>_xlfn.XLOOKUP(PREÇO!C14,'Equipamentos de emergência'!$E$8:$E$1260,'Equipamentos de emergência'!$J$8:$J$1260)</f>
        <v>pç</v>
      </c>
      <c r="E14" s="52">
        <v>20000</v>
      </c>
    </row>
    <row r="15" spans="1:7">
      <c r="C15" s="90" t="s">
        <v>95</v>
      </c>
      <c r="D15" s="19" t="str">
        <f>_xlfn.XLOOKUP(PREÇO!C15,'Equipamentos de emergência'!$E$8:$E$1260,'Equipamentos de emergência'!$J$8:$J$1260)</f>
        <v>pç</v>
      </c>
      <c r="E15" s="52">
        <v>855.86</v>
      </c>
    </row>
    <row r="16" spans="1:7">
      <c r="C16" s="95" t="s">
        <v>209</v>
      </c>
      <c r="D16" s="19" t="str">
        <f>_xlfn.XLOOKUP(PREÇO!C16,'Equipamentos de emergência'!$E$8:$E$1260,'Equipamentos de emergência'!$J$8:$J$1260)</f>
        <v>pç</v>
      </c>
      <c r="E16" s="52">
        <v>15493.53</v>
      </c>
    </row>
    <row r="17" spans="3:5">
      <c r="C17" s="95" t="s">
        <v>185</v>
      </c>
      <c r="D17" s="19" t="str">
        <f>_xlfn.XLOOKUP(PREÇO!C17,'Equipamentos de emergência'!$E$8:$E$1260,'Equipamentos de emergência'!$J$8:$J$1260)</f>
        <v>m</v>
      </c>
      <c r="E17" s="52">
        <v>0.99</v>
      </c>
    </row>
    <row r="18" spans="3:5">
      <c r="C18" s="53" t="s">
        <v>186</v>
      </c>
      <c r="D18" s="19" t="str">
        <f>_xlfn.XLOOKUP(PREÇO!C18,'Equipamentos de emergência'!$E$8:$E$1260,'Equipamentos de emergência'!$J$8:$J$1260)</f>
        <v>m</v>
      </c>
      <c r="E18" s="52">
        <v>1.69</v>
      </c>
    </row>
    <row r="19" spans="3:5">
      <c r="C19" s="90" t="s">
        <v>42</v>
      </c>
      <c r="D19" s="19" t="str">
        <f>_xlfn.XLOOKUP(PREÇO!C19,'Equipamentos de emergência'!$E$8:$E$1260,'Equipamentos de emergência'!$J$8:$J$1260)</f>
        <v>pç</v>
      </c>
      <c r="E19" s="52">
        <v>291.60000000000002</v>
      </c>
    </row>
    <row r="20" spans="3:5">
      <c r="C20" s="95" t="s">
        <v>108</v>
      </c>
      <c r="D20" s="19" t="str">
        <f>_xlfn.XLOOKUP(PREÇO!C20,'Equipamentos de emergência'!$E$8:$E$1260,'Equipamentos de emergência'!$J$8:$J$1260)</f>
        <v>pç</v>
      </c>
      <c r="E20" s="52">
        <v>416.9</v>
      </c>
    </row>
    <row r="21" spans="3:5">
      <c r="C21" s="97" t="s">
        <v>224</v>
      </c>
      <c r="D21" s="19" t="s">
        <v>11</v>
      </c>
      <c r="E21" s="121">
        <v>646.55999999999995</v>
      </c>
    </row>
    <row r="22" spans="3:5">
      <c r="C22" s="97" t="s">
        <v>190</v>
      </c>
      <c r="D22" s="19" t="str">
        <f>_xlfn.XLOOKUP(PREÇO!C22,'Equipamentos de emergência'!$E$8:$E$1260,'Equipamentos de emergência'!$J$8:$J$1260)</f>
        <v>m</v>
      </c>
      <c r="E22" s="52">
        <v>6.67</v>
      </c>
    </row>
    <row r="23" spans="3:5">
      <c r="C23" s="97" t="s">
        <v>191</v>
      </c>
      <c r="D23" s="19" t="str">
        <f>_xlfn.XLOOKUP(PREÇO!C23,'Equipamentos de emergência'!$E$8:$E$1260,'Equipamentos de emergência'!$J$8:$J$1260)</f>
        <v>m</v>
      </c>
      <c r="E23" s="52">
        <v>8.1</v>
      </c>
    </row>
    <row r="24" spans="3:5">
      <c r="C24" s="51" t="s">
        <v>179</v>
      </c>
      <c r="D24" s="19" t="str">
        <f>_xlfn.XLOOKUP(PREÇO!C24,'Equipamentos de emergência'!$E$8:$E$1260,'Equipamentos de emergência'!$J$8:$J$1260)</f>
        <v>m</v>
      </c>
      <c r="E24" s="52">
        <v>1.59</v>
      </c>
    </row>
    <row r="25" spans="3:5">
      <c r="C25" s="53" t="s">
        <v>180</v>
      </c>
      <c r="D25" s="19" t="str">
        <f>_xlfn.XLOOKUP(PREÇO!C25,'Equipamentos de emergência'!$E$8:$E$1260,'Equipamentos de emergência'!$J$8:$J$1260)</f>
        <v>m</v>
      </c>
      <c r="E25" s="52">
        <v>1.59</v>
      </c>
    </row>
    <row r="26" spans="3:5">
      <c r="C26" s="53" t="s">
        <v>181</v>
      </c>
      <c r="D26" s="19" t="str">
        <f>_xlfn.XLOOKUP(PREÇO!C26,'Equipamentos de emergência'!$E$8:$E$1260,'Equipamentos de emergência'!$J$8:$J$1260)</f>
        <v>m</v>
      </c>
      <c r="E26" s="52">
        <v>1.59</v>
      </c>
    </row>
    <row r="27" spans="3:5">
      <c r="C27" s="51" t="s">
        <v>182</v>
      </c>
      <c r="D27" s="19" t="str">
        <f>_xlfn.XLOOKUP(PREÇO!C27,'Equipamentos de emergência'!$E$8:$E$1260,'Equipamentos de emergência'!$J$8:$J$1260)</f>
        <v>m</v>
      </c>
      <c r="E27" s="52">
        <v>2.19</v>
      </c>
    </row>
    <row r="28" spans="3:5">
      <c r="C28" s="51" t="s">
        <v>183</v>
      </c>
      <c r="D28" s="19" t="str">
        <f>_xlfn.XLOOKUP(PREÇO!C28,'Equipamentos de emergência'!$E$8:$E$1260,'Equipamentos de emergência'!$J$8:$J$1260)</f>
        <v>m</v>
      </c>
      <c r="E28" s="52">
        <v>2.19</v>
      </c>
    </row>
    <row r="29" spans="3:5">
      <c r="C29" s="51" t="s">
        <v>184</v>
      </c>
      <c r="D29" s="19" t="str">
        <f>_xlfn.XLOOKUP(PREÇO!C29,'Equipamentos de emergência'!$E$8:$E$1260,'Equipamentos de emergência'!$J$8:$J$1260)</f>
        <v>m</v>
      </c>
      <c r="E29" s="52">
        <v>2.19</v>
      </c>
    </row>
    <row r="30" spans="3:5">
      <c r="C30" s="53" t="s">
        <v>218</v>
      </c>
      <c r="D30" s="19" t="str">
        <f>_xlfn.XLOOKUP(PREÇO!C30,'Equipamentos de emergência'!$E$8:$E$1260,'Equipamentos de emergência'!$J$8:$J$1260)</f>
        <v>m</v>
      </c>
      <c r="E30" s="52">
        <v>3.89</v>
      </c>
    </row>
    <row r="31" spans="3:5">
      <c r="C31" s="53" t="s">
        <v>205</v>
      </c>
      <c r="D31" s="19" t="str">
        <f>_xlfn.XLOOKUP(PREÇO!C31,'Equipamentos de emergência'!$E$8:$E$1260,'Equipamentos de emergência'!$J$8:$J$1260)</f>
        <v>m</v>
      </c>
      <c r="E31" s="52">
        <v>3.89</v>
      </c>
    </row>
    <row r="32" spans="3:5">
      <c r="C32" s="53" t="s">
        <v>206</v>
      </c>
      <c r="D32" s="19" t="str">
        <f>_xlfn.XLOOKUP(PREÇO!C32,'Equipamentos de emergência'!$E$8:$E$1260,'Equipamentos de emergência'!$J$8:$J$1260)</f>
        <v>m</v>
      </c>
      <c r="E32" s="52">
        <v>3.89</v>
      </c>
    </row>
    <row r="33" spans="3:5">
      <c r="C33" s="53" t="s">
        <v>213</v>
      </c>
      <c r="D33" s="19" t="str">
        <f>_xlfn.XLOOKUP(PREÇO!C33,'Equipamentos de emergência'!$E$8:$E$1260,'Equipamentos de emergência'!$J$8:$J$1260)</f>
        <v>m</v>
      </c>
      <c r="E33" s="52">
        <v>5.79</v>
      </c>
    </row>
    <row r="34" spans="3:5">
      <c r="C34" s="53" t="s">
        <v>214</v>
      </c>
      <c r="D34" s="19" t="str">
        <f>_xlfn.XLOOKUP(PREÇO!C34,'Equipamentos de emergência'!$E$8:$E$1260,'Equipamentos de emergência'!$J$8:$J$1260)</f>
        <v>m</v>
      </c>
      <c r="E34" s="52">
        <v>5.79</v>
      </c>
    </row>
    <row r="35" spans="3:5">
      <c r="C35" s="90" t="s">
        <v>47</v>
      </c>
      <c r="D35" s="19" t="str">
        <f>_xlfn.XLOOKUP(PREÇO!C35,'Equipamentos de emergência'!$E$8:$E$1260,'Equipamentos de emergência'!$J$8:$J$1260)</f>
        <v>pç</v>
      </c>
      <c r="E35" s="52">
        <v>15.9</v>
      </c>
    </row>
    <row r="36" spans="3:5">
      <c r="C36" s="51" t="s">
        <v>48</v>
      </c>
      <c r="D36" s="19" t="str">
        <f>_xlfn.XLOOKUP(PREÇO!C36,'Equipamentos de emergência'!$E$8:$E$1260,'Equipamentos de emergência'!$J$8:$J$1260)</f>
        <v>pç</v>
      </c>
      <c r="E36" s="52">
        <v>69.900000000000006</v>
      </c>
    </row>
    <row r="37" spans="3:5">
      <c r="C37" s="51" t="s">
        <v>99</v>
      </c>
      <c r="D37" s="19" t="str">
        <f>_xlfn.XLOOKUP(PREÇO!C37,'Equipamentos de emergência'!$E$8:$E$1260,'Equipamentos de emergência'!$J$8:$J$1260)</f>
        <v>pç</v>
      </c>
      <c r="E37" s="52">
        <v>59.9</v>
      </c>
    </row>
    <row r="38" spans="3:5">
      <c r="C38" s="95" t="s">
        <v>189</v>
      </c>
      <c r="D38" s="19" t="str">
        <f>_xlfn.XLOOKUP(PREÇO!C38,'Equipamentos de emergência'!$E$8:$E$1260,'Equipamentos de emergência'!$J$8:$J$1260)</f>
        <v>pç</v>
      </c>
      <c r="E38" s="52">
        <v>228.19</v>
      </c>
    </row>
    <row r="39" spans="3:5">
      <c r="C39" s="96" t="s">
        <v>37</v>
      </c>
      <c r="D39" s="19" t="str">
        <f>_xlfn.XLOOKUP(PREÇO!C39,'Equipamentos de emergência'!$E$8:$E$1260,'Equipamentos de emergência'!$J$8:$J$1260)</f>
        <v>pç</v>
      </c>
      <c r="E39" s="52">
        <v>4.59</v>
      </c>
    </row>
    <row r="40" spans="3:5">
      <c r="C40" s="51" t="s">
        <v>38</v>
      </c>
      <c r="D40" s="19" t="str">
        <f>_xlfn.XLOOKUP(PREÇO!C40,'Equipamentos de emergência'!$E$8:$E$1260,'Equipamentos de emergência'!$J$8:$J$1260)</f>
        <v>pç</v>
      </c>
      <c r="E40" s="52">
        <v>6.55</v>
      </c>
    </row>
    <row r="41" spans="3:5">
      <c r="C41" s="51" t="s">
        <v>39</v>
      </c>
      <c r="D41" s="19" t="str">
        <f>_xlfn.XLOOKUP(PREÇO!C41,'Equipamentos de emergência'!$E$8:$E$1260,'Equipamentos de emergência'!$J$8:$J$1260)</f>
        <v>pç</v>
      </c>
      <c r="E41" s="52">
        <v>12.25</v>
      </c>
    </row>
    <row r="42" spans="3:5">
      <c r="C42" s="96" t="s">
        <v>34</v>
      </c>
      <c r="D42" s="19" t="str">
        <f>_xlfn.XLOOKUP(PREÇO!C42,'Equipamentos de emergência'!$E$8:$E$1260,'Equipamentos de emergência'!$J$8:$J$1260)</f>
        <v>pç</v>
      </c>
      <c r="E42" s="52">
        <v>2.5</v>
      </c>
    </row>
    <row r="43" spans="3:5">
      <c r="C43" s="96" t="s">
        <v>49</v>
      </c>
      <c r="D43" s="19" t="str">
        <f>_xlfn.XLOOKUP(PREÇO!C43,'Equipamentos de emergência'!$E$8:$E$1260,'Equipamentos de emergência'!$J$8:$J$1260)</f>
        <v>pç</v>
      </c>
      <c r="E43" s="52">
        <v>67.900000000000006</v>
      </c>
    </row>
    <row r="44" spans="3:5">
      <c r="C44" s="51" t="s">
        <v>50</v>
      </c>
      <c r="D44" s="19" t="str">
        <f>_xlfn.XLOOKUP(PREÇO!C44,'Equipamentos de emergência'!$E$8:$E$1260,'Equipamentos de emergência'!$J$8:$J$1260)</f>
        <v>pç</v>
      </c>
      <c r="E44" s="52">
        <v>61.66</v>
      </c>
    </row>
    <row r="45" spans="3:5">
      <c r="C45" s="97" t="s">
        <v>102</v>
      </c>
      <c r="D45" s="19" t="str">
        <f>_xlfn.XLOOKUP(PREÇO!C45,'Equipamentos de emergência'!$E$8:$E$1260,'Equipamentos de emergência'!$J$8:$J$1260)</f>
        <v>pç</v>
      </c>
      <c r="E45" s="52">
        <v>61.66</v>
      </c>
    </row>
    <row r="46" spans="3:5">
      <c r="C46" s="90" t="s">
        <v>100</v>
      </c>
      <c r="D46" s="19" t="str">
        <f>_xlfn.XLOOKUP(PREÇO!C46,'Equipamentos de emergência'!$E$8:$E$1260,'Equipamentos de emergência'!$J$8:$J$1260)</f>
        <v>pç</v>
      </c>
      <c r="E46" s="52">
        <v>62.9</v>
      </c>
    </row>
    <row r="47" spans="3:5">
      <c r="C47" s="95" t="s">
        <v>101</v>
      </c>
      <c r="D47" s="19" t="str">
        <f>_xlfn.XLOOKUP(PREÇO!C47,'Equipamentos de emergência'!$E$8:$E$1260,'Equipamentos de emergência'!$J$8:$J$1260)</f>
        <v>pç</v>
      </c>
      <c r="E47" s="52">
        <v>62.9</v>
      </c>
    </row>
    <row r="48" spans="3:5">
      <c r="C48" s="90" t="s">
        <v>51</v>
      </c>
      <c r="D48" s="19" t="str">
        <f>_xlfn.XLOOKUP(PREÇO!C48,'Equipamentos de emergência'!$E$8:$E$1260,'Equipamentos de emergência'!$J$8:$J$1260)</f>
        <v>pç</v>
      </c>
      <c r="E48" s="52">
        <v>61.66</v>
      </c>
    </row>
    <row r="49" spans="1:7">
      <c r="C49" s="97" t="s">
        <v>216</v>
      </c>
      <c r="D49" s="19" t="str">
        <f>_xlfn.XLOOKUP(PREÇO!C49,'Equipamentos de emergência'!$E$8:$E$1260,'Equipamentos de emergência'!$J$8:$J$1260)</f>
        <v>m</v>
      </c>
      <c r="E49" s="52">
        <v>3.89</v>
      </c>
    </row>
    <row r="50" spans="1:7">
      <c r="B50"/>
      <c r="C50" s="53" t="s">
        <v>217</v>
      </c>
      <c r="D50" s="19" t="str">
        <f>_xlfn.XLOOKUP(PREÇO!C50,'Equipamentos de emergência'!$E$8:$E$1260,'Equipamentos de emergência'!$J$8:$J$1260)</f>
        <v>m</v>
      </c>
      <c r="E50" s="52">
        <v>3.89</v>
      </c>
    </row>
    <row r="51" spans="1:7">
      <c r="A51"/>
      <c r="C51" s="96" t="s">
        <v>44</v>
      </c>
      <c r="D51" s="19" t="str">
        <f>_xlfn.XLOOKUP(PREÇO!C51,'Equipamentos de emergência'!$E$8:$E$1260,'Equipamentos de emergência'!$J$8:$J$1260)</f>
        <v>m</v>
      </c>
      <c r="E51" s="52">
        <v>2.5299999999999998</v>
      </c>
      <c r="F51"/>
      <c r="G51"/>
    </row>
    <row r="52" spans="1:7">
      <c r="A52"/>
      <c r="C52" s="51" t="s">
        <v>45</v>
      </c>
      <c r="D52" s="19" t="str">
        <f>_xlfn.XLOOKUP(PREÇO!C52,'Equipamentos de emergência'!$E$8:$E$1260,'Equipamentos de emergência'!$J$8:$J$1260)</f>
        <v>m</v>
      </c>
      <c r="E52" s="52">
        <v>1.8</v>
      </c>
      <c r="F52"/>
      <c r="G52"/>
    </row>
    <row r="53" spans="1:7">
      <c r="A53"/>
      <c r="C53" s="97" t="s">
        <v>215</v>
      </c>
      <c r="D53" s="19" t="str">
        <f>_xlfn.XLOOKUP(PREÇO!C53,'Equipamentos de emergência'!$E$8:$E$1260,'Equipamentos de emergência'!$J$8:$J$1260)</f>
        <v>m</v>
      </c>
      <c r="E53" s="52">
        <f>75.99/3</f>
        <v>25.33</v>
      </c>
      <c r="F53"/>
      <c r="G53"/>
    </row>
    <row r="54" spans="1:7">
      <c r="C54" s="106" t="s">
        <v>207</v>
      </c>
      <c r="D54" s="19" t="str">
        <f>_xlfn.XLOOKUP(PREÇO!C54,'Equipamentos de emergência'!$E$8:$E$1260,'Equipamentos de emergência'!$J$8:$J$1260)</f>
        <v>pç</v>
      </c>
      <c r="E54" s="52">
        <v>700</v>
      </c>
    </row>
    <row r="55" spans="1:7">
      <c r="C55" s="96" t="s">
        <v>96</v>
      </c>
      <c r="D55" s="19" t="str">
        <f>_xlfn.XLOOKUP(PREÇO!C55,'Equipamentos de emergência'!$E$8:$E$1260,'Equipamentos de emergência'!$J$8:$J$1260)</f>
        <v>pç</v>
      </c>
      <c r="E55" s="52">
        <v>922.9</v>
      </c>
    </row>
    <row r="56" spans="1:7">
      <c r="C56" s="51" t="s">
        <v>32</v>
      </c>
      <c r="D56" s="19" t="str">
        <f>_xlfn.XLOOKUP(PREÇO!C56,'Equipamentos de emergência'!$E$8:$E$1260,'Equipamentos de emergência'!$J$8:$J$1260)</f>
        <v>pç</v>
      </c>
      <c r="E56" s="52">
        <v>53.9</v>
      </c>
    </row>
    <row r="57" spans="1:7">
      <c r="C57" s="90" t="s">
        <v>97</v>
      </c>
      <c r="D57" s="19" t="str">
        <f>_xlfn.XLOOKUP(PREÇO!C57,'Equipamentos de emergência'!$E$8:$E$1260,'Equipamentos de emergência'!$J$8:$J$1260)</f>
        <v>pç</v>
      </c>
      <c r="E57" s="52">
        <v>3680</v>
      </c>
    </row>
    <row r="58" spans="1:7">
      <c r="C58" s="90" t="s">
        <v>52</v>
      </c>
      <c r="D58" s="19" t="str">
        <f>_xlfn.XLOOKUP(PREÇO!C58,'Equipamentos de emergência'!$E$8:$E$1260,'Equipamentos de emergência'!$J$8:$J$1260)</f>
        <v>pç</v>
      </c>
      <c r="E58" s="52">
        <v>38.4</v>
      </c>
    </row>
    <row r="59" spans="1:7">
      <c r="C59" s="90" t="s">
        <v>40</v>
      </c>
      <c r="D59" s="19" t="str">
        <f>_xlfn.XLOOKUP(PREÇO!C59,'Equipamentos de emergência'!$E$8:$E$1260,'Equipamentos de emergência'!$J$8:$J$1260)</f>
        <v>pç</v>
      </c>
      <c r="E59" s="52">
        <v>1.85</v>
      </c>
    </row>
    <row r="60" spans="1:7" ht="15.75" thickBot="1">
      <c r="C60" s="94" t="s">
        <v>41</v>
      </c>
      <c r="D60" s="54" t="str">
        <f>_xlfn.XLOOKUP(PREÇO!C60,'Equipamentos de emergência'!$E$8:$E$1260,'Equipamentos de emergência'!$J$8:$J$1260)</f>
        <v>pç</v>
      </c>
      <c r="E60" s="55">
        <v>3.15</v>
      </c>
    </row>
    <row r="61" spans="1:7">
      <c r="C61" s="91"/>
      <c r="D61" s="92"/>
      <c r="E61" s="93"/>
    </row>
  </sheetData>
  <autoFilter ref="B6:E60" xr:uid="{C1CB23AC-E1EC-4E62-80B1-DF5421E7F0F4}">
    <sortState xmlns:xlrd2="http://schemas.microsoft.com/office/spreadsheetml/2017/richdata2" ref="B7:E60">
      <sortCondition ref="C6:C53"/>
    </sortState>
  </autoFilter>
  <mergeCells count="1">
    <mergeCell ref="A5:G5"/>
  </mergeCells>
  <pageMargins left="0.511811024" right="0.511811024" top="0.78740157499999996" bottom="0.78740157499999996" header="0.31496062000000002" footer="0.31496062000000002"/>
  <pageSetup paperSize="9" scale="21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D081-CA21-4FEA-B6B1-689E06981BD4}">
  <sheetPr>
    <tabColor rgb="FF00B050"/>
  </sheetPr>
  <dimension ref="A1:S1289"/>
  <sheetViews>
    <sheetView showGridLines="0" tabSelected="1" view="pageBreakPreview" zoomScale="80" zoomScaleNormal="85" zoomScaleSheetLayoutView="80" workbookViewId="0">
      <pane ySplit="6" topLeftCell="A1241" activePane="bottomLeft" state="frozen"/>
      <selection activeCell="N7" sqref="N7:N11"/>
      <selection pane="bottomLeft" activeCell="A1244" sqref="A1244:XFD1244"/>
    </sheetView>
  </sheetViews>
  <sheetFormatPr defaultRowHeight="15" outlineLevelRow="1"/>
  <cols>
    <col min="1" max="1" width="16" style="21" bestFit="1" customWidth="1"/>
    <col min="2" max="2" width="18.7109375" style="21" customWidth="1"/>
    <col min="3" max="3" width="51.42578125" style="21" bestFit="1" customWidth="1"/>
    <col min="4" max="4" width="53.42578125" style="21" customWidth="1"/>
    <col min="5" max="5" width="69" style="21" customWidth="1"/>
    <col min="6" max="6" width="15.42578125" style="21" bestFit="1" customWidth="1"/>
    <col min="7" max="7" width="18.7109375" style="21" bestFit="1" customWidth="1"/>
    <col min="8" max="8" width="15.7109375" style="21" customWidth="1"/>
    <col min="9" max="9" width="23.85546875" style="21" customWidth="1"/>
    <col min="10" max="10" width="13.28515625" style="21" bestFit="1" customWidth="1"/>
    <col min="11" max="11" width="15.140625" style="21" bestFit="1" customWidth="1"/>
    <col min="12" max="12" width="17" style="21" bestFit="1" customWidth="1"/>
    <col min="13" max="13" width="6.28515625" style="21" customWidth="1"/>
    <col min="14" max="14" width="11.28515625" style="21" bestFit="1" customWidth="1"/>
    <col min="15" max="15" width="52.85546875" style="21" bestFit="1" customWidth="1"/>
    <col min="16" max="16" width="33.85546875" style="21" customWidth="1"/>
    <col min="17" max="18" width="28.28515625" style="21" customWidth="1"/>
    <col min="19" max="19" width="13.85546875" style="21" bestFit="1" customWidth="1"/>
    <col min="20" max="16384" width="9.140625" style="21"/>
  </cols>
  <sheetData>
    <row r="1" spans="1:19" s="7" customFormat="1" ht="15" customHeight="1">
      <c r="A1" s="1"/>
      <c r="B1" s="2"/>
      <c r="C1" s="3" t="s">
        <v>0</v>
      </c>
      <c r="D1" s="4" t="s">
        <v>25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s="11" customFormat="1" ht="15" customHeight="1">
      <c r="A2" s="8"/>
      <c r="B2" s="7"/>
      <c r="C2" s="3" t="s">
        <v>1</v>
      </c>
      <c r="D2" s="9" t="s">
        <v>26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0"/>
    </row>
    <row r="3" spans="1:19" s="11" customFormat="1" ht="15" customHeight="1">
      <c r="A3" s="8"/>
      <c r="B3" s="7"/>
      <c r="C3" s="3" t="s">
        <v>2</v>
      </c>
      <c r="D3" s="67" t="s">
        <v>27</v>
      </c>
      <c r="E3" s="6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0"/>
    </row>
    <row r="4" spans="1:19" s="11" customFormat="1" ht="15" customHeight="1">
      <c r="A4" s="13"/>
      <c r="B4" s="14"/>
      <c r="C4" s="3" t="s">
        <v>3</v>
      </c>
      <c r="D4" s="4" t="s">
        <v>28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5"/>
    </row>
    <row r="5" spans="1:19" s="7" customFormat="1" ht="22.15" customHeight="1" thickBot="1">
      <c r="A5" s="110" t="s">
        <v>219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</row>
    <row r="6" spans="1:19" ht="41.25" customHeight="1">
      <c r="A6" s="17" t="s">
        <v>4</v>
      </c>
      <c r="B6" s="17" t="s">
        <v>5</v>
      </c>
      <c r="C6" s="17" t="s">
        <v>21</v>
      </c>
      <c r="D6" s="17" t="s">
        <v>6</v>
      </c>
      <c r="E6" s="17" t="s">
        <v>7</v>
      </c>
      <c r="F6" s="17" t="s">
        <v>8</v>
      </c>
      <c r="G6" s="17" t="s">
        <v>23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N6" s="56" t="s">
        <v>22</v>
      </c>
      <c r="O6" s="99" t="s">
        <v>24</v>
      </c>
      <c r="P6" s="57" t="str" cm="1">
        <f t="array" ref="P6:R6">TRANSPOSE(_xlfn.UNIQUE(_xlfn._xlws.FILTER($C$7:$C$1048576,$C$7:$C$1048576&lt;&gt;"")))</f>
        <v>Cabeamento e equipamentos alarme de incêndio</v>
      </c>
      <c r="Q6" s="57" t="str">
        <v>Automação iluminação de emergência</v>
      </c>
      <c r="R6" s="57" t="str">
        <v>Extintores e placas de sinalização</v>
      </c>
      <c r="S6" s="58" t="s">
        <v>14</v>
      </c>
    </row>
    <row r="7" spans="1:19">
      <c r="A7" s="78" t="s">
        <v>19</v>
      </c>
      <c r="B7" s="22" t="s">
        <v>15</v>
      </c>
      <c r="C7" s="34"/>
      <c r="D7" s="35"/>
      <c r="E7" s="35"/>
      <c r="F7" s="36"/>
      <c r="G7" s="36"/>
      <c r="H7" s="36"/>
      <c r="I7" s="37"/>
      <c r="J7" s="36"/>
      <c r="K7" s="38"/>
      <c r="L7" s="23">
        <f>IF(SUM(F7:K7)=0,SUMIFS($L8:$L$1593,$B8:$B$1593,$B7,$A8:$A$1593,$A7),I7*K7)</f>
        <v>30825.52250000001</v>
      </c>
      <c r="N7" s="59" t="s">
        <v>19</v>
      </c>
      <c r="O7" s="100" t="str" cm="1">
        <f t="array" ref="O7:O46">_xlfn.UNIQUE(_xlfn._xlws.FILTER($B$7:$B$1048576,$B$7:$B$1048576&lt;&gt;""))</f>
        <v>SUBSOLO</v>
      </c>
      <c r="P7" s="62">
        <f>SUMIFS($L$7:$L$1260,$C$7:$C$1260,P$6,$B$7:$B$1260,$O7,$A$7:$A$1260,$N7)</f>
        <v>18908.342500000006</v>
      </c>
      <c r="Q7" s="62">
        <f>SUMIFS($L$7:$L$1260,$C$7:$C$1260,Q$6,$B$7:$B$1260,$O7,$A$7:$A$1260,$N7)</f>
        <v>1396.5000000000002</v>
      </c>
      <c r="R7" s="62">
        <f>SUMIFS($L$7:$L$1260,$C$7:$C$1260,R$6,$B$7:$B$1260,$O7,$A$7:$A$1260,$N7)</f>
        <v>10520.68</v>
      </c>
      <c r="S7" s="63">
        <f>SUM(P7:R7)</f>
        <v>30825.522500000006</v>
      </c>
    </row>
    <row r="8" spans="1:19" outlineLevel="1">
      <c r="A8" s="24" t="str">
        <f>A7</f>
        <v>GERAL</v>
      </c>
      <c r="B8" s="24" t="str">
        <f>B7</f>
        <v>SUBSOLO</v>
      </c>
      <c r="C8" s="24" t="s">
        <v>221</v>
      </c>
      <c r="D8" s="68" t="str">
        <f>_xlfn.XLOOKUP(E8,Subsolo!$D$6:$D$58,Subsolo!$C$6:$C$58)</f>
        <v>Acionadores</v>
      </c>
      <c r="E8" s="24" t="s">
        <v>29</v>
      </c>
      <c r="F8" s="25">
        <v>7</v>
      </c>
      <c r="G8" s="25">
        <v>1</v>
      </c>
      <c r="H8" s="29">
        <v>0</v>
      </c>
      <c r="I8" s="25">
        <f>(F8+H8*F8)*G8</f>
        <v>7</v>
      </c>
      <c r="J8" s="25" t="s">
        <v>16</v>
      </c>
      <c r="K8" s="26">
        <f>_xlfn.XLOOKUP($E8,PREÇO!$C$7:$C$91,PREÇO!$E$7:$E$91)</f>
        <v>65</v>
      </c>
      <c r="L8" s="66">
        <f>IF(SUM(F8:K8)=0,SUMIFS($L9:$L$1593,$B9:$B$1593,$B8,$A9:$A$1593,$A8),I8*K8)</f>
        <v>455</v>
      </c>
      <c r="N8" s="59" t="s">
        <v>19</v>
      </c>
      <c r="O8" s="27" t="str">
        <v>1° PAV. TÉRREO</v>
      </c>
      <c r="P8" s="62">
        <f>SUMIFS($L$7:$L$1260,$C$7:$C$1260,P$6,$B$7:$B$1260,$O8,$A$7:$A$1260,$N8)</f>
        <v>29821.844999999998</v>
      </c>
      <c r="Q8" s="62">
        <f>SUMIFS($L$7:$L$1260,$C$7:$C$1260,Q$6,$B$7:$B$1260,$O8,$A$7:$A$1260,$N8)</f>
        <v>6113.7000000000007</v>
      </c>
      <c r="R8" s="62">
        <f>SUMIFS($L$7:$L$1260,$C$7:$C$1260,R$6,$B$7:$B$1260,$O8,$A$7:$A$1260,$N8)</f>
        <v>12604.64</v>
      </c>
      <c r="S8" s="63">
        <f>SUM(P8:R8)</f>
        <v>48540.184999999998</v>
      </c>
    </row>
    <row r="9" spans="1:19" outlineLevel="1">
      <c r="A9" s="24" t="str">
        <f t="shared" ref="A9:A44" si="0">A8</f>
        <v>GERAL</v>
      </c>
      <c r="B9" s="24" t="str">
        <f t="shared" ref="B9:B44" si="1">B8</f>
        <v>SUBSOLO</v>
      </c>
      <c r="C9" s="24" t="s">
        <v>221</v>
      </c>
      <c r="D9" s="68" t="str">
        <f>_xlfn.XLOOKUP(E9,Subsolo!$D$6:$D$58,Subsolo!$C$6:$C$58)</f>
        <v>Anunciadores</v>
      </c>
      <c r="E9" s="24" t="s">
        <v>30</v>
      </c>
      <c r="F9" s="25">
        <v>7</v>
      </c>
      <c r="G9" s="25">
        <v>1</v>
      </c>
      <c r="H9" s="29">
        <v>0</v>
      </c>
      <c r="I9" s="25">
        <f t="shared" ref="I9:I20" si="2">(F9+H9*F9)*G9</f>
        <v>7</v>
      </c>
      <c r="J9" s="25" t="s">
        <v>16</v>
      </c>
      <c r="K9" s="26">
        <f>_xlfn.XLOOKUP($E9,PREÇO!$C$7:$C$91,PREÇO!$E$7:$E$91)</f>
        <v>191.81</v>
      </c>
      <c r="L9" s="66">
        <f>IF(SUM(F9:K9)=0,SUMIFS($L10:$L$1593,$B10:$B$1593,$B9,$A10:$A$1593,$A9),I9*K9)</f>
        <v>1342.67</v>
      </c>
      <c r="N9" s="59" t="s">
        <v>19</v>
      </c>
      <c r="O9" s="102" t="str">
        <v>2° PAV. - ESTAC. 01</v>
      </c>
      <c r="P9" s="62">
        <f>SUMIFS($L$7:$L$1260,$C$7:$C$1260,P$6,$B$7:$B$1260,$O9,$A$7:$A$1260,$N9)</f>
        <v>22694.598399999999</v>
      </c>
      <c r="Q9" s="62">
        <f>SUMIFS($L$7:$L$1260,$C$7:$C$1260,Q$6,$B$7:$B$1260,$O9,$A$7:$A$1260,$N9)</f>
        <v>6211.7000000000007</v>
      </c>
      <c r="R9" s="62">
        <f>SUMIFS($L$7:$L$1260,$C$7:$C$1260,R$6,$B$7:$B$1260,$O9,$A$7:$A$1260,$N9)</f>
        <v>10470.02</v>
      </c>
      <c r="S9" s="63">
        <f t="shared" ref="S9:S45" si="3">SUM(P9:R9)</f>
        <v>39376.318400000004</v>
      </c>
    </row>
    <row r="10" spans="1:19" outlineLevel="1">
      <c r="A10" s="24" t="str">
        <f t="shared" si="0"/>
        <v>GERAL</v>
      </c>
      <c r="B10" s="24" t="str">
        <f t="shared" si="1"/>
        <v>SUBSOLO</v>
      </c>
      <c r="C10" s="24" t="s">
        <v>221</v>
      </c>
      <c r="D10" s="68" t="str">
        <f>_xlfn.XLOOKUP(E10,Subsolo!$D$6:$D$58,Subsolo!$C$6:$C$58)</f>
        <v>Atuadores</v>
      </c>
      <c r="E10" s="24" t="s">
        <v>31</v>
      </c>
      <c r="F10" s="25">
        <v>1</v>
      </c>
      <c r="G10" s="25">
        <v>1</v>
      </c>
      <c r="H10" s="29">
        <v>0</v>
      </c>
      <c r="I10" s="25">
        <f t="shared" si="2"/>
        <v>1</v>
      </c>
      <c r="J10" s="25" t="s">
        <v>16</v>
      </c>
      <c r="K10" s="26">
        <f>_xlfn.XLOOKUP($E10,PREÇO!$C$7:$C$91,PREÇO!$E$7:$E$91)</f>
        <v>1150</v>
      </c>
      <c r="L10" s="66">
        <f>IF(SUM(F10:K10)=0,SUMIFS($L11:$L$1593,$B11:$B$1593,$B10,$A11:$A$1593,$A10),I10*K10)</f>
        <v>1150</v>
      </c>
      <c r="N10" s="59" t="s">
        <v>19</v>
      </c>
      <c r="O10" s="27" t="str">
        <v>3° PAV. - ESTAC. 02</v>
      </c>
      <c r="P10" s="62">
        <f>SUMIFS($L$7:$L$1260,$C$7:$C$1260,P$6,$B$7:$B$1260,$O10,$A$7:$A$1260,$N10)</f>
        <v>18568.465700000001</v>
      </c>
      <c r="Q10" s="62">
        <f>SUMIFS($L$7:$L$1260,$C$7:$C$1260,Q$6,$B$7:$B$1260,$O10,$A$7:$A$1260,$N10)</f>
        <v>6113.4</v>
      </c>
      <c r="R10" s="62">
        <f>SUMIFS($L$7:$L$1260,$C$7:$C$1260,R$6,$B$7:$B$1260,$O10,$A$7:$A$1260,$N10)</f>
        <v>10408.36</v>
      </c>
      <c r="S10" s="63">
        <f t="shared" si="3"/>
        <v>35090.225700000003</v>
      </c>
    </row>
    <row r="11" spans="1:19" outlineLevel="1">
      <c r="A11" s="24" t="str">
        <f t="shared" si="0"/>
        <v>GERAL</v>
      </c>
      <c r="B11" s="24" t="str">
        <f t="shared" si="1"/>
        <v>SUBSOLO</v>
      </c>
      <c r="C11" s="24" t="s">
        <v>221</v>
      </c>
      <c r="D11" s="68" t="str">
        <f>_xlfn.XLOOKUP(E11,Subsolo!$D$6:$D$58,Subsolo!$C$6:$C$58)</f>
        <v>Sensores</v>
      </c>
      <c r="E11" s="24" t="s">
        <v>32</v>
      </c>
      <c r="F11" s="25">
        <v>11</v>
      </c>
      <c r="G11" s="25">
        <v>1</v>
      </c>
      <c r="H11" s="29">
        <v>0</v>
      </c>
      <c r="I11" s="25">
        <f t="shared" si="2"/>
        <v>11</v>
      </c>
      <c r="J11" s="25" t="s">
        <v>16</v>
      </c>
      <c r="K11" s="26">
        <f>_xlfn.XLOOKUP($E11,PREÇO!$C$7:$C$91,PREÇO!$E$7:$E$91)</f>
        <v>53.9</v>
      </c>
      <c r="L11" s="66">
        <f>IF(SUM(F11:K11)=0,SUMIFS($L12:$L$1593,$B12:$B$1593,$B11,$A12:$A$1593,$A11),I11*K11)</f>
        <v>592.9</v>
      </c>
      <c r="N11" s="59" t="s">
        <v>19</v>
      </c>
      <c r="O11" s="101" t="str">
        <v>4º PAV. - ESTAC. 03</v>
      </c>
      <c r="P11" s="62">
        <f>SUMIFS($L$7:$L$1260,$C$7:$C$1260,P$6,$B$7:$B$1260,$O11,$A$7:$A$1260,$N11)</f>
        <v>18537.742500000004</v>
      </c>
      <c r="Q11" s="62">
        <f>SUMIFS($L$7:$L$1260,$C$7:$C$1260,Q$6,$B$7:$B$1260,$O11,$A$7:$A$1260,$N11)</f>
        <v>6113.4</v>
      </c>
      <c r="R11" s="62">
        <f>SUMIFS($L$7:$L$1260,$C$7:$C$1260,R$6,$B$7:$B$1260,$O11,$A$7:$A$1260,$N11)</f>
        <v>19460.2</v>
      </c>
      <c r="S11" s="63">
        <f t="shared" si="3"/>
        <v>44111.342499999999</v>
      </c>
    </row>
    <row r="12" spans="1:19" outlineLevel="1">
      <c r="A12" s="24" t="str">
        <f t="shared" si="0"/>
        <v>GERAL</v>
      </c>
      <c r="B12" s="24" t="str">
        <f t="shared" si="1"/>
        <v>SUBSOLO</v>
      </c>
      <c r="C12" s="24" t="s">
        <v>221</v>
      </c>
      <c r="D12" s="68" t="str">
        <f>_xlfn.XLOOKUP(E12,Subsolo!$D$6:$D$58,Subsolo!$C$6:$C$58)</f>
        <v>Caixas</v>
      </c>
      <c r="E12" s="24" t="s">
        <v>33</v>
      </c>
      <c r="F12" s="25">
        <v>62</v>
      </c>
      <c r="G12" s="25">
        <v>1</v>
      </c>
      <c r="H12" s="29">
        <v>0</v>
      </c>
      <c r="I12" s="25">
        <f t="shared" si="2"/>
        <v>62</v>
      </c>
      <c r="J12" s="25" t="s">
        <v>16</v>
      </c>
      <c r="K12" s="26">
        <f>_xlfn.XLOOKUP($E12,PREÇO!$C$7:$C$91,PREÇO!$E$7:$E$91)</f>
        <v>5.32</v>
      </c>
      <c r="L12" s="66">
        <f>IF(SUM(F12:K12)=0,SUMIFS($L13:$L$1593,$B13:$B$1593,$B12,$A13:$A$1593,$A12),I12*K12)</f>
        <v>329.84000000000003</v>
      </c>
      <c r="N12" s="59" t="s">
        <v>19</v>
      </c>
      <c r="O12" s="102" t="str">
        <v>5º PAV. - ESTAC. 04</v>
      </c>
      <c r="P12" s="62">
        <f>SUMIFS($L$7:$L$1260,$C$7:$C$1260,P$6,$B$7:$B$1260,$O12,$A$7:$A$1260,$N12)</f>
        <v>19291.9041</v>
      </c>
      <c r="Q12" s="62">
        <f>SUMIFS($L$7:$L$1260,$C$7:$C$1260,Q$6,$B$7:$B$1260,$O12,$A$7:$A$1260,$N12)</f>
        <v>6221.7000000000007</v>
      </c>
      <c r="R12" s="62">
        <f>SUMIFS($L$7:$L$1260,$C$7:$C$1260,R$6,$B$7:$B$1260,$O12,$A$7:$A$1260,$N12)</f>
        <v>1479.84</v>
      </c>
      <c r="S12" s="63">
        <f t="shared" si="3"/>
        <v>26993.444100000001</v>
      </c>
    </row>
    <row r="13" spans="1:19" outlineLevel="1">
      <c r="A13" s="24" t="str">
        <f t="shared" si="0"/>
        <v>GERAL</v>
      </c>
      <c r="B13" s="24" t="str">
        <f t="shared" si="1"/>
        <v>SUBSOLO</v>
      </c>
      <c r="C13" s="24" t="s">
        <v>221</v>
      </c>
      <c r="D13" s="68" t="str">
        <f>_xlfn.XLOOKUP(E13,Subsolo!$D$6:$D$58,Subsolo!$C$6:$C$58)</f>
        <v>Placas</v>
      </c>
      <c r="E13" s="24" t="s">
        <v>34</v>
      </c>
      <c r="F13" s="25">
        <v>44</v>
      </c>
      <c r="G13" s="25">
        <v>1</v>
      </c>
      <c r="H13" s="29">
        <v>0</v>
      </c>
      <c r="I13" s="25">
        <f t="shared" si="2"/>
        <v>44</v>
      </c>
      <c r="J13" s="25" t="s">
        <v>16</v>
      </c>
      <c r="K13" s="26">
        <f>_xlfn.XLOOKUP($E13,PREÇO!$C$7:$C$91,PREÇO!$E$7:$E$91)</f>
        <v>2.5</v>
      </c>
      <c r="L13" s="66">
        <f>IF(SUM(F13:K13)=0,SUMIFS($L14:$L$1593,$B14:$B$1593,$B13,$A14:$A$1593,$A13),I13*K13)</f>
        <v>110</v>
      </c>
      <c r="N13" s="59" t="s">
        <v>19</v>
      </c>
      <c r="O13" s="103" t="str">
        <v>6º PAV. - ESTAC. 05</v>
      </c>
      <c r="P13" s="62">
        <f>SUMIFS($L$7:$L$1260,$C$7:$C$1260,P$6,$B$7:$B$1260,$O13,$A$7:$A$1260,$N13)</f>
        <v>19088.124100000001</v>
      </c>
      <c r="Q13" s="62">
        <f>SUMIFS($L$7:$L$1260,$C$7:$C$1260,Q$6,$B$7:$B$1260,$O13,$A$7:$A$1260,$N13)</f>
        <v>6113.4</v>
      </c>
      <c r="R13" s="62">
        <f>SUMIFS($L$7:$L$1260,$C$7:$C$1260,R$6,$B$7:$B$1260,$O13,$A$7:$A$1260,$N13)</f>
        <v>10470.02</v>
      </c>
      <c r="S13" s="63">
        <f t="shared" si="3"/>
        <v>35671.544099999999</v>
      </c>
    </row>
    <row r="14" spans="1:19" outlineLevel="1">
      <c r="A14" s="24" t="str">
        <f t="shared" si="0"/>
        <v>GERAL</v>
      </c>
      <c r="B14" s="24" t="str">
        <f t="shared" si="1"/>
        <v>SUBSOLO</v>
      </c>
      <c r="C14" s="24" t="s">
        <v>221</v>
      </c>
      <c r="D14" s="68" t="str">
        <f>_xlfn.XLOOKUP(E14,Subsolo!$D$6:$D$58,Subsolo!$C$6:$C$58)</f>
        <v>Caixas</v>
      </c>
      <c r="E14" s="24" t="s">
        <v>35</v>
      </c>
      <c r="F14" s="25">
        <v>103</v>
      </c>
      <c r="G14" s="25">
        <v>1</v>
      </c>
      <c r="H14" s="29">
        <v>0</v>
      </c>
      <c r="I14" s="25">
        <f t="shared" si="2"/>
        <v>103</v>
      </c>
      <c r="J14" s="25" t="s">
        <v>16</v>
      </c>
      <c r="K14" s="26">
        <f>_xlfn.XLOOKUP($E14,PREÇO!$C$7:$C$91,PREÇO!$E$7:$E$91)</f>
        <v>1.72</v>
      </c>
      <c r="L14" s="66">
        <f>IF(SUM(F14:K14)=0,SUMIFS($L15:$L$1593,$B15:$B$1593,$B14,$A15:$A$1593,$A14),I14*K14)</f>
        <v>177.16</v>
      </c>
      <c r="N14" s="59" t="s">
        <v>19</v>
      </c>
      <c r="O14" s="27" t="str">
        <v>7º PAV. - ESTAC. 06</v>
      </c>
      <c r="P14" s="62">
        <f>SUMIFS($L$7:$L$1260,$C$7:$C$1260,P$6,$B$7:$B$1260,$O14,$A$7:$A$1260,$N14)</f>
        <v>18419.212900000002</v>
      </c>
      <c r="Q14" s="62">
        <f>SUMIFS($L$7:$L$1260,$C$7:$C$1260,Q$6,$B$7:$B$1260,$O14,$A$7:$A$1260,$N14)</f>
        <v>5896.7999999999993</v>
      </c>
      <c r="R14" s="62">
        <f>SUMIFS($L$7:$L$1260,$C$7:$C$1260,R$6,$B$7:$B$1260,$O14,$A$7:$A$1260,$N14)</f>
        <v>10408.36</v>
      </c>
      <c r="S14" s="63">
        <f t="shared" si="3"/>
        <v>34724.372900000002</v>
      </c>
    </row>
    <row r="15" spans="1:19" outlineLevel="1">
      <c r="A15" s="24" t="str">
        <f t="shared" si="0"/>
        <v>GERAL</v>
      </c>
      <c r="B15" s="24" t="str">
        <f t="shared" si="1"/>
        <v>SUBSOLO</v>
      </c>
      <c r="C15" s="24" t="s">
        <v>221</v>
      </c>
      <c r="D15" s="68" t="str">
        <f>_xlfn.XLOOKUP(E15,Subsolo!$D$6:$D$58,Subsolo!$C$6:$C$58)</f>
        <v>Caixas</v>
      </c>
      <c r="E15" s="24" t="s">
        <v>36</v>
      </c>
      <c r="F15" s="25">
        <v>2</v>
      </c>
      <c r="G15" s="25">
        <v>1</v>
      </c>
      <c r="H15" s="29">
        <v>0</v>
      </c>
      <c r="I15" s="25">
        <f t="shared" si="2"/>
        <v>2</v>
      </c>
      <c r="J15" s="25" t="s">
        <v>16</v>
      </c>
      <c r="K15" s="26">
        <f>_xlfn.XLOOKUP($E15,PREÇO!$C$7:$C$91,PREÇO!$E$7:$E$91)</f>
        <v>1.72</v>
      </c>
      <c r="L15" s="66">
        <f>IF(SUM(F15:K15)=0,SUMIFS($L16:$L$1593,$B16:$B$1593,$B15,$A16:$A$1593,$A15),I15*K15)</f>
        <v>3.44</v>
      </c>
      <c r="N15" s="59" t="s">
        <v>19</v>
      </c>
      <c r="O15" s="27" t="str">
        <v>8º PAV. - LAZER PÚBLICO 01</v>
      </c>
      <c r="P15" s="62">
        <f>SUMIFS($L$7:$L$1260,$C$7:$C$1260,P$6,$B$7:$B$1260,$O15,$A$7:$A$1260,$N15)</f>
        <v>11072.127500000002</v>
      </c>
      <c r="Q15" s="62">
        <f>SUMIFS($L$7:$L$1260,$C$7:$C$1260,Q$6,$B$7:$B$1260,$O15,$A$7:$A$1260,$N15)</f>
        <v>2319.8999999999996</v>
      </c>
      <c r="R15" s="62">
        <f>SUMIFS($L$7:$L$1260,$C$7:$C$1260,R$6,$B$7:$B$1260,$O15,$A$7:$A$1260,$N15)</f>
        <v>9619.26</v>
      </c>
      <c r="S15" s="63">
        <f t="shared" si="3"/>
        <v>23011.287500000002</v>
      </c>
    </row>
    <row r="16" spans="1:19" outlineLevel="1">
      <c r="A16" s="24" t="str">
        <f t="shared" si="0"/>
        <v>GERAL</v>
      </c>
      <c r="B16" s="24" t="str">
        <f t="shared" si="1"/>
        <v>SUBSOLO</v>
      </c>
      <c r="C16" s="24" t="s">
        <v>221</v>
      </c>
      <c r="D16" s="68" t="str">
        <f>_xlfn.XLOOKUP(E16,Subsolo!$D$6:$D$58,Subsolo!$C$6:$C$58)</f>
        <v>Placas</v>
      </c>
      <c r="E16" s="24" t="s">
        <v>37</v>
      </c>
      <c r="F16" s="25">
        <v>66</v>
      </c>
      <c r="G16" s="25">
        <v>1</v>
      </c>
      <c r="H16" s="29">
        <v>0</v>
      </c>
      <c r="I16" s="25">
        <f t="shared" si="2"/>
        <v>66</v>
      </c>
      <c r="J16" s="25" t="s">
        <v>16</v>
      </c>
      <c r="K16" s="26">
        <f>_xlfn.XLOOKUP($E16,PREÇO!$C$7:$C$91,PREÇO!$E$7:$E$91)</f>
        <v>4.59</v>
      </c>
      <c r="L16" s="66">
        <f>IF(SUM(F16:K16)=0,SUMIFS($L17:$L$1593,$B17:$B$1593,$B16,$A17:$A$1593,$A16),I16*K16)</f>
        <v>302.94</v>
      </c>
      <c r="N16" s="59" t="s">
        <v>19</v>
      </c>
      <c r="O16" s="27" t="str">
        <v>9º PAV. - LAZER PÚBLICO 02</v>
      </c>
      <c r="P16" s="62">
        <f>SUMIFS($L$7:$L$1260,$C$7:$C$1260,P$6,$B$7:$B$1260,$O16,$A$7:$A$1260,$N16)</f>
        <v>8782.3703999999998</v>
      </c>
      <c r="Q16" s="62">
        <f>SUMIFS($L$7:$L$1260,$C$7:$C$1260,Q$6,$B$7:$B$1260,$O16,$A$7:$A$1260,$N16)</f>
        <v>1877.1000000000001</v>
      </c>
      <c r="R16" s="62">
        <f>SUMIFS($L$7:$L$1260,$C$7:$C$1260,R$6,$B$7:$B$1260,$O16,$A$7:$A$1260,$N16)</f>
        <v>9822.9599999999991</v>
      </c>
      <c r="S16" s="63">
        <f t="shared" si="3"/>
        <v>20482.430399999997</v>
      </c>
    </row>
    <row r="17" spans="1:19" outlineLevel="1">
      <c r="A17" s="24" t="str">
        <f t="shared" si="0"/>
        <v>GERAL</v>
      </c>
      <c r="B17" s="24" t="str">
        <f t="shared" si="1"/>
        <v>SUBSOLO</v>
      </c>
      <c r="C17" s="24" t="s">
        <v>221</v>
      </c>
      <c r="D17" s="68" t="str">
        <f>_xlfn.XLOOKUP(E17,Subsolo!$D$6:$D$58,Subsolo!$C$6:$C$58)</f>
        <v>Placas</v>
      </c>
      <c r="E17" s="24" t="s">
        <v>38</v>
      </c>
      <c r="F17" s="25">
        <v>37</v>
      </c>
      <c r="G17" s="25">
        <v>1</v>
      </c>
      <c r="H17" s="29">
        <v>0</v>
      </c>
      <c r="I17" s="25">
        <f t="shared" si="2"/>
        <v>37</v>
      </c>
      <c r="J17" s="25" t="s">
        <v>16</v>
      </c>
      <c r="K17" s="26">
        <f>_xlfn.XLOOKUP($E17,PREÇO!$C$7:$C$91,PREÇO!$E$7:$E$91)</f>
        <v>6.55</v>
      </c>
      <c r="L17" s="66">
        <f>IF(SUM(F17:K17)=0,SUMIFS($L18:$L$1593,$B18:$B$1593,$B17,$A18:$A$1593,$A17),I17*K17)</f>
        <v>242.35</v>
      </c>
      <c r="N17" s="59" t="s">
        <v>19</v>
      </c>
      <c r="O17" s="27" t="str">
        <v>10º PAV. - LAZER 01</v>
      </c>
      <c r="P17" s="62">
        <f>SUMIFS($L$7:$L$1260,$C$7:$C$1260,P$6,$B$7:$B$1260,$O17,$A$7:$A$1260,$N17)</f>
        <v>7509.7771999999995</v>
      </c>
      <c r="Q17" s="62">
        <f>SUMIFS($L$7:$L$1260,$C$7:$C$1260,Q$6,$B$7:$B$1260,$O17,$A$7:$A$1260,$N17)</f>
        <v>941.7</v>
      </c>
      <c r="R17" s="62">
        <f>SUMIFS($L$7:$L$1260,$C$7:$C$1260,R$6,$B$7:$B$1260,$O17,$A$7:$A$1260,$N17)</f>
        <v>9890.86</v>
      </c>
      <c r="S17" s="63">
        <f t="shared" si="3"/>
        <v>18342.337200000002</v>
      </c>
    </row>
    <row r="18" spans="1:19" outlineLevel="1">
      <c r="A18" s="24" t="str">
        <f t="shared" si="0"/>
        <v>GERAL</v>
      </c>
      <c r="B18" s="24" t="str">
        <f t="shared" si="1"/>
        <v>SUBSOLO</v>
      </c>
      <c r="C18" s="24" t="s">
        <v>221</v>
      </c>
      <c r="D18" s="68" t="str">
        <f>_xlfn.XLOOKUP(E18,Subsolo!$D$6:$D$58,Subsolo!$C$6:$C$58)</f>
        <v>Placas</v>
      </c>
      <c r="E18" s="24" t="s">
        <v>39</v>
      </c>
      <c r="F18" s="25">
        <v>2</v>
      </c>
      <c r="G18" s="25">
        <v>1</v>
      </c>
      <c r="H18" s="29">
        <v>0</v>
      </c>
      <c r="I18" s="25">
        <f t="shared" si="2"/>
        <v>2</v>
      </c>
      <c r="J18" s="25" t="s">
        <v>16</v>
      </c>
      <c r="K18" s="26">
        <f>_xlfn.XLOOKUP($E18,PREÇO!$C$7:$C$91,PREÇO!$E$7:$E$91)</f>
        <v>12.25</v>
      </c>
      <c r="L18" s="66">
        <f>IF(SUM(F18:K18)=0,SUMIFS($L19:$L$1593,$B19:$B$1593,$B18,$A19:$A$1593,$A18),I18*K18)</f>
        <v>24.5</v>
      </c>
      <c r="N18" s="59" t="s">
        <v>19</v>
      </c>
      <c r="O18" s="27" t="str">
        <v>11º PAV. - LAZER 02</v>
      </c>
      <c r="P18" s="62">
        <f>SUMIFS($L$7:$L$1260,$C$7:$C$1260,P$6,$B$7:$B$1260,$O18,$A$7:$A$1260,$N18)</f>
        <v>6643.0560000000005</v>
      </c>
      <c r="Q18" s="62">
        <f>SUMIFS($L$7:$L$1260,$C$7:$C$1260,Q$6,$B$7:$B$1260,$O18,$A$7:$A$1260,$N18)</f>
        <v>878.10000000000014</v>
      </c>
      <c r="R18" s="62">
        <f>SUMIFS($L$7:$L$1260,$C$7:$C$1260,R$6,$B$7:$B$1260,$O18,$A$7:$A$1260,$N18)</f>
        <v>9816.7199999999993</v>
      </c>
      <c r="S18" s="63">
        <f t="shared" si="3"/>
        <v>17337.876</v>
      </c>
    </row>
    <row r="19" spans="1:19" outlineLevel="1">
      <c r="A19" s="24" t="str">
        <f t="shared" si="0"/>
        <v>GERAL</v>
      </c>
      <c r="B19" s="24" t="str">
        <f t="shared" si="1"/>
        <v>SUBSOLO</v>
      </c>
      <c r="C19" s="24" t="s">
        <v>221</v>
      </c>
      <c r="D19" s="68" t="str">
        <f>_xlfn.XLOOKUP(E19,Subsolo!$D$6:$D$58,Subsolo!$C$6:$C$58)</f>
        <v>Suportes</v>
      </c>
      <c r="E19" s="24" t="s">
        <v>40</v>
      </c>
      <c r="F19" s="25">
        <v>103</v>
      </c>
      <c r="G19" s="25">
        <v>1</v>
      </c>
      <c r="H19" s="29">
        <v>0</v>
      </c>
      <c r="I19" s="25">
        <f t="shared" si="2"/>
        <v>103</v>
      </c>
      <c r="J19" s="25" t="s">
        <v>16</v>
      </c>
      <c r="K19" s="26">
        <f>_xlfn.XLOOKUP($E19,PREÇO!$C$7:$C$91,PREÇO!$E$7:$E$91)</f>
        <v>1.85</v>
      </c>
      <c r="L19" s="66">
        <f>IF(SUM(F19:K19)=0,SUMIFS($L20:$L$1593,$B20:$B$1593,$B19,$A20:$A$1593,$A19),I19*K19)</f>
        <v>190.55</v>
      </c>
      <c r="N19" s="59" t="s">
        <v>19</v>
      </c>
      <c r="O19" s="27" t="str">
        <v>12º PAV. - ÁREA TÉCNICA 01</v>
      </c>
      <c r="P19" s="62">
        <f>SUMIFS($L$7:$L$1260,$C$7:$C$1260,P$6,$B$7:$B$1260,$O19,$A$7:$A$1260,$N19)</f>
        <v>3576.0520999999994</v>
      </c>
      <c r="Q19" s="62">
        <f>SUMIFS($L$7:$L$1260,$C$7:$C$1260,Q$6,$B$7:$B$1260,$O19,$A$7:$A$1260,$N19)</f>
        <v>591.9</v>
      </c>
      <c r="R19" s="62">
        <f>SUMIFS($L$7:$L$1260,$C$7:$C$1260,R$6,$B$7:$B$1260,$O19,$A$7:$A$1260,$N19)</f>
        <v>2771.22</v>
      </c>
      <c r="S19" s="63">
        <f t="shared" si="3"/>
        <v>6939.1720999999998</v>
      </c>
    </row>
    <row r="20" spans="1:19" outlineLevel="1">
      <c r="A20" s="24" t="str">
        <f t="shared" si="0"/>
        <v>GERAL</v>
      </c>
      <c r="B20" s="24" t="str">
        <f t="shared" si="1"/>
        <v>SUBSOLO</v>
      </c>
      <c r="C20" s="24" t="s">
        <v>221</v>
      </c>
      <c r="D20" s="68" t="str">
        <f>_xlfn.XLOOKUP(E20,Subsolo!$D$6:$D$58,Subsolo!$C$6:$C$58)</f>
        <v>Suportes</v>
      </c>
      <c r="E20" s="24" t="s">
        <v>41</v>
      </c>
      <c r="F20" s="25">
        <v>2</v>
      </c>
      <c r="G20" s="25">
        <v>1</v>
      </c>
      <c r="H20" s="29">
        <v>0</v>
      </c>
      <c r="I20" s="25">
        <f t="shared" si="2"/>
        <v>2</v>
      </c>
      <c r="J20" s="25" t="s">
        <v>16</v>
      </c>
      <c r="K20" s="26">
        <f>_xlfn.XLOOKUP($E20,PREÇO!$C$7:$C$91,PREÇO!$E$7:$E$91)</f>
        <v>3.15</v>
      </c>
      <c r="L20" s="66">
        <f>IF(SUM(F20:K20)=0,SUMIFS($L21:$L$1593,$B21:$B$1593,$B20,$A21:$A$1593,$A20),I20*K20)</f>
        <v>6.3</v>
      </c>
      <c r="N20" s="59" t="s">
        <v>19</v>
      </c>
      <c r="O20" s="27" t="str">
        <v>13º PAV. - TIPO 01 - x6 - LANÇAMENTO</v>
      </c>
      <c r="P20" s="62">
        <f>SUMIFS($L$7:$L$1260,$C$7:$C$1260,P$6,$B$7:$B$1260,$O20,$A$7:$A$1260,$N20)</f>
        <v>30518.125800000009</v>
      </c>
      <c r="Q20" s="62">
        <f>SUMIFS($L$7:$L$1260,$C$7:$C$1260,Q$6,$B$7:$B$1260,$O20,$A$7:$A$1260,$N20)</f>
        <v>3074.3999999999996</v>
      </c>
      <c r="R20" s="62">
        <f>SUMIFS($L$7:$L$1260,$C$7:$C$1260,R$6,$B$7:$B$1260,$O20,$A$7:$A$1260,$N20)</f>
        <v>4249.32</v>
      </c>
      <c r="S20" s="63">
        <f t="shared" si="3"/>
        <v>37841.84580000001</v>
      </c>
    </row>
    <row r="21" spans="1:19" outlineLevel="1">
      <c r="A21" s="24" t="str">
        <f t="shared" si="0"/>
        <v>GERAL</v>
      </c>
      <c r="B21" s="24" t="str">
        <f t="shared" si="1"/>
        <v>SUBSOLO</v>
      </c>
      <c r="C21" s="24" t="s">
        <v>221</v>
      </c>
      <c r="D21" s="68" t="str">
        <f>_xlfn.XLOOKUP(E21,Subsolo!$D$6:$D$58,Subsolo!$C$6:$C$58)</f>
        <v>Embutir</v>
      </c>
      <c r="E21" s="24" t="s">
        <v>42</v>
      </c>
      <c r="F21" s="25">
        <v>1</v>
      </c>
      <c r="G21" s="25">
        <v>1</v>
      </c>
      <c r="H21" s="29">
        <v>0</v>
      </c>
      <c r="I21" s="25">
        <f t="shared" ref="I21:I31" si="4">(F21+H21*F21)*G21</f>
        <v>1</v>
      </c>
      <c r="J21" s="25" t="s">
        <v>16</v>
      </c>
      <c r="K21" s="26">
        <f>_xlfn.XLOOKUP($E21,PREÇO!$C$7:$C$91,PREÇO!$E$7:$E$91)</f>
        <v>291.60000000000002</v>
      </c>
      <c r="L21" s="66">
        <f>IF(SUM(F21:K21)=0,SUMIFS($L22:$L$1593,$B22:$B$1593,$B21,$A22:$A$1593,$A21),I21*K21)</f>
        <v>291.60000000000002</v>
      </c>
      <c r="N21" s="59" t="s">
        <v>19</v>
      </c>
      <c r="O21" s="27" t="str">
        <v>19º PAV. - TIPO 02 - x3 - LANÇAMENTO</v>
      </c>
      <c r="P21" s="62">
        <f>SUMIFS($L$7:$L$1260,$C$7:$C$1260,P$6,$B$7:$B$1260,$O21,$A$7:$A$1260,$N21)</f>
        <v>14441.874300000003</v>
      </c>
      <c r="Q21" s="62">
        <f>SUMIFS($L$7:$L$1260,$C$7:$C$1260,Q$6,$B$7:$B$1260,$O21,$A$7:$A$1260,$N21)</f>
        <v>1537.1999999999998</v>
      </c>
      <c r="R21" s="62">
        <f>SUMIFS($L$7:$L$1260,$C$7:$C$1260,R$6,$B$7:$B$1260,$O21,$A$7:$A$1260,$N21)</f>
        <v>2124.66</v>
      </c>
      <c r="S21" s="63">
        <f t="shared" si="3"/>
        <v>18103.734300000004</v>
      </c>
    </row>
    <row r="22" spans="1:19" outlineLevel="1">
      <c r="A22" s="24" t="str">
        <f t="shared" si="0"/>
        <v>GERAL</v>
      </c>
      <c r="B22" s="24" t="str">
        <f t="shared" si="1"/>
        <v>SUBSOLO</v>
      </c>
      <c r="C22" s="24" t="s">
        <v>221</v>
      </c>
      <c r="D22" s="68" t="s">
        <v>46</v>
      </c>
      <c r="E22" s="68" t="s">
        <v>44</v>
      </c>
      <c r="F22" s="25">
        <v>125.45</v>
      </c>
      <c r="G22" s="25">
        <v>1</v>
      </c>
      <c r="H22" s="29">
        <v>0</v>
      </c>
      <c r="I22" s="25">
        <f t="shared" si="4"/>
        <v>125.45</v>
      </c>
      <c r="J22" s="25" t="s">
        <v>17</v>
      </c>
      <c r="K22" s="26">
        <f>_xlfn.XLOOKUP($E22,PREÇO!$C$7:$C$91,PREÇO!$E$7:$E$91)</f>
        <v>2.5299999999999998</v>
      </c>
      <c r="L22" s="66">
        <f>IF(SUM(F22:K22)=0,SUMIFS($L23:$L$1593,$B23:$B$1593,$B22,$A23:$A$1593,$A22),I22*K22)</f>
        <v>317.38849999999996</v>
      </c>
      <c r="N22" s="59" t="s">
        <v>19</v>
      </c>
      <c r="O22" s="27" t="str">
        <v>22º PAV. - ÁREA TÉCNICA 02</v>
      </c>
      <c r="P22" s="62">
        <f>SUMIFS($L$7:$L$1260,$C$7:$C$1260,P$6,$B$7:$B$1260,$O22,$A$7:$A$1260,$N22)</f>
        <v>8700.4221999999991</v>
      </c>
      <c r="Q22" s="62">
        <f>SUMIFS($L$7:$L$1260,$C$7:$C$1260,Q$6,$B$7:$B$1260,$O22,$A$7:$A$1260,$N22)</f>
        <v>1498.2000000000003</v>
      </c>
      <c r="R22" s="62">
        <f>SUMIFS($L$7:$L$1260,$C$7:$C$1260,R$6,$B$7:$B$1260,$O22,$A$7:$A$1260,$N22)</f>
        <v>2771.22</v>
      </c>
      <c r="S22" s="63">
        <f t="shared" si="3"/>
        <v>12969.842199999999</v>
      </c>
    </row>
    <row r="23" spans="1:19" outlineLevel="1">
      <c r="A23" s="24" t="str">
        <f t="shared" si="0"/>
        <v>GERAL</v>
      </c>
      <c r="B23" s="24" t="str">
        <f t="shared" si="1"/>
        <v>SUBSOLO</v>
      </c>
      <c r="C23" s="24" t="s">
        <v>221</v>
      </c>
      <c r="D23" s="68" t="s">
        <v>46</v>
      </c>
      <c r="E23" s="68" t="s">
        <v>45</v>
      </c>
      <c r="F23" s="25">
        <v>563.67999999999995</v>
      </c>
      <c r="G23" s="25">
        <v>1</v>
      </c>
      <c r="H23" s="29">
        <v>0</v>
      </c>
      <c r="I23" s="25">
        <f t="shared" si="4"/>
        <v>563.67999999999995</v>
      </c>
      <c r="J23" s="25" t="s">
        <v>17</v>
      </c>
      <c r="K23" s="26">
        <f>_xlfn.XLOOKUP($E23,PREÇO!$C$7:$C$91,PREÇO!$E$7:$E$91)</f>
        <v>1.8</v>
      </c>
      <c r="L23" s="66">
        <f>IF(SUM(F23:K23)=0,SUMIFS($L24:$L$1593,$B24:$B$1593,$B23,$A24:$A$1593,$A23),I23*K23)</f>
        <v>1014.6239999999999</v>
      </c>
      <c r="N23" s="59" t="s">
        <v>19</v>
      </c>
      <c r="O23" s="27" t="str">
        <v>23º PAV. - TIPO 03A - x11 - LANÇAMENTO</v>
      </c>
      <c r="P23" s="62">
        <f>SUMIFS($L$7:$L$1260,$C$7:$C$1260,P$6,$B$7:$B$1260,$O23,$A$7:$A$1260,$N23)</f>
        <v>52391.692100000007</v>
      </c>
      <c r="Q23" s="62">
        <f>SUMIFS($L$7:$L$1260,$C$7:$C$1260,Q$6,$B$7:$B$1260,$O23,$A$7:$A$1260,$N23)</f>
        <v>5636.4000000000005</v>
      </c>
      <c r="R23" s="62">
        <f>SUMIFS($L$7:$L$1260,$C$7:$C$1260,R$6,$B$7:$B$1260,$O23,$A$7:$A$1260,$N23)</f>
        <v>7790.42</v>
      </c>
      <c r="S23" s="63">
        <f t="shared" si="3"/>
        <v>65818.512100000007</v>
      </c>
    </row>
    <row r="24" spans="1:19" outlineLevel="1">
      <c r="A24" s="24" t="str">
        <f t="shared" si="0"/>
        <v>GERAL</v>
      </c>
      <c r="B24" s="24" t="str">
        <f t="shared" si="1"/>
        <v>SUBSOLO</v>
      </c>
      <c r="C24" s="24" t="s">
        <v>220</v>
      </c>
      <c r="D24" s="68" t="str">
        <f>_xlfn.XLOOKUP(E24,Subsolo!$D$6:$D$58,Subsolo!$C$6:$C$58)</f>
        <v>Luminárias e Placas de Saída</v>
      </c>
      <c r="E24" s="24" t="s">
        <v>47</v>
      </c>
      <c r="F24" s="25">
        <v>63</v>
      </c>
      <c r="G24" s="25">
        <v>1</v>
      </c>
      <c r="H24" s="29">
        <v>0</v>
      </c>
      <c r="I24" s="25">
        <f t="shared" si="4"/>
        <v>63</v>
      </c>
      <c r="J24" s="25" t="s">
        <v>16</v>
      </c>
      <c r="K24" s="26">
        <f>_xlfn.XLOOKUP($E24,PREÇO!$C$7:$C$91,PREÇO!$E$7:$E$91)</f>
        <v>15.9</v>
      </c>
      <c r="L24" s="66">
        <f>IF(SUM(F24:K24)=0,SUMIFS($L25:$L$1593,$B25:$B$1593,$B24,$A25:$A$1593,$A24),I24*K24)</f>
        <v>1001.7</v>
      </c>
      <c r="N24" s="59" t="s">
        <v>19</v>
      </c>
      <c r="O24" s="27" t="str">
        <v>34º PAV. - TIPO 03B - x8 - MODELO</v>
      </c>
      <c r="P24" s="62">
        <f>SUMIFS($L$7:$L$1260,$C$7:$C$1260,P$6,$B$7:$B$1260,$O24,$A$7:$A$1260,$N24)</f>
        <v>36451.486400000009</v>
      </c>
      <c r="Q24" s="62">
        <f>SUMIFS($L$7:$L$1260,$C$7:$C$1260,Q$6,$B$7:$B$1260,$O24,$A$7:$A$1260,$N24)</f>
        <v>4099.2</v>
      </c>
      <c r="R24" s="62">
        <f>SUMIFS($L$7:$L$1260,$C$7:$C$1260,R$6,$B$7:$B$1260,$O24,$A$7:$A$1260,$N24)</f>
        <v>5665.7599999999993</v>
      </c>
      <c r="S24" s="63">
        <f t="shared" si="3"/>
        <v>46216.446400000008</v>
      </c>
    </row>
    <row r="25" spans="1:19" outlineLevel="1">
      <c r="A25" s="24" t="str">
        <f t="shared" si="0"/>
        <v>GERAL</v>
      </c>
      <c r="B25" s="24" t="str">
        <f t="shared" si="1"/>
        <v>SUBSOLO</v>
      </c>
      <c r="C25" s="24" t="s">
        <v>220</v>
      </c>
      <c r="D25" s="68" t="str">
        <f>_xlfn.XLOOKUP(E25,Subsolo!$D$6:$D$58,Subsolo!$C$6:$C$58)</f>
        <v>Luminárias e Placas de Saída</v>
      </c>
      <c r="E25" s="24" t="s">
        <v>48</v>
      </c>
      <c r="F25" s="25">
        <v>4</v>
      </c>
      <c r="G25" s="25">
        <v>1</v>
      </c>
      <c r="H25" s="29">
        <v>0</v>
      </c>
      <c r="I25" s="25">
        <f t="shared" si="4"/>
        <v>4</v>
      </c>
      <c r="J25" s="25" t="s">
        <v>16</v>
      </c>
      <c r="K25" s="26">
        <f>_xlfn.XLOOKUP($E25,PREÇO!$C$7:$C$91,PREÇO!$E$7:$E$91)</f>
        <v>69.900000000000006</v>
      </c>
      <c r="L25" s="66">
        <f>IF(SUM(F25:K25)=0,SUMIFS($L26:$L$1593,$B26:$B$1593,$B25,$A26:$A$1593,$A25),I25*K25)</f>
        <v>279.60000000000002</v>
      </c>
      <c r="N25" s="59" t="s">
        <v>19</v>
      </c>
      <c r="O25" s="27" t="str">
        <v>42º PAV. - ÁREA TÉCNICA 03</v>
      </c>
      <c r="P25" s="62">
        <f>SUMIFS($L$7:$L$1260,$C$7:$C$1260,P$6,$B$7:$B$1260,$O25,$A$7:$A$1260,$N25)</f>
        <v>4886.2466999999997</v>
      </c>
      <c r="Q25" s="62">
        <f>SUMIFS($L$7:$L$1260,$C$7:$C$1260,Q$6,$B$7:$B$1260,$O25,$A$7:$A$1260,$N25)</f>
        <v>1498.2000000000003</v>
      </c>
      <c r="R25" s="62">
        <f>SUMIFS($L$7:$L$1260,$C$7:$C$1260,R$6,$B$7:$B$1260,$O25,$A$7:$A$1260,$N25)</f>
        <v>2771.22</v>
      </c>
      <c r="S25" s="63">
        <f t="shared" si="3"/>
        <v>9155.6666999999998</v>
      </c>
    </row>
    <row r="26" spans="1:19" outlineLevel="1">
      <c r="A26" s="24" t="str">
        <f t="shared" si="0"/>
        <v>GERAL</v>
      </c>
      <c r="B26" s="24" t="str">
        <f t="shared" si="1"/>
        <v>SUBSOLO</v>
      </c>
      <c r="C26" s="24" t="s">
        <v>222</v>
      </c>
      <c r="D26" s="68" t="str">
        <f>_xlfn.XLOOKUP(E26,Subsolo!$D$6:$D$58,Subsolo!$C$6:$C$58)</f>
        <v>Luminárias e Placas de Saída</v>
      </c>
      <c r="E26" s="24" t="s">
        <v>49</v>
      </c>
      <c r="F26" s="25">
        <v>18</v>
      </c>
      <c r="G26" s="25">
        <v>1</v>
      </c>
      <c r="H26" s="29">
        <v>0</v>
      </c>
      <c r="I26" s="25">
        <f t="shared" si="4"/>
        <v>18</v>
      </c>
      <c r="J26" s="25" t="s">
        <v>16</v>
      </c>
      <c r="K26" s="26">
        <f>_xlfn.XLOOKUP($E26,PREÇO!$C$7:$C$91,PREÇO!$E$7:$E$91)</f>
        <v>67.900000000000006</v>
      </c>
      <c r="L26" s="66">
        <f>IF(SUM(F26:K26)=0,SUMIFS($L27:$L$1593,$B27:$B$1593,$B26,$A27:$A$1593,$A26),I26*K26)</f>
        <v>1222.2</v>
      </c>
      <c r="N26" s="59" t="s">
        <v>19</v>
      </c>
      <c r="O26" s="27" t="str">
        <v>43º PAV. - TIPO 03C - x9 - MODELO</v>
      </c>
      <c r="P26" s="62">
        <f>SUMIFS($L$7:$L$1260,$C$7:$C$1260,P$6,$B$7:$B$1260,$O26,$A$7:$A$1260,$N26)</f>
        <v>42664.635000000009</v>
      </c>
      <c r="Q26" s="62">
        <f>SUMIFS($L$7:$L$1260,$C$7:$C$1260,Q$6,$B$7:$B$1260,$O26,$A$7:$A$1260,$N26)</f>
        <v>4611.6000000000004</v>
      </c>
      <c r="R26" s="62">
        <f>SUMIFS($L$7:$L$1260,$C$7:$C$1260,R$6,$B$7:$B$1260,$O26,$A$7:$A$1260,$N26)</f>
        <v>6373.9799999999987</v>
      </c>
      <c r="S26" s="63">
        <f t="shared" si="3"/>
        <v>53650.215000000004</v>
      </c>
    </row>
    <row r="27" spans="1:19" outlineLevel="1">
      <c r="A27" s="24" t="str">
        <f t="shared" si="0"/>
        <v>GERAL</v>
      </c>
      <c r="B27" s="24" t="str">
        <f t="shared" si="1"/>
        <v>SUBSOLO</v>
      </c>
      <c r="C27" s="24" t="s">
        <v>222</v>
      </c>
      <c r="D27" s="68" t="str">
        <f>_xlfn.XLOOKUP(E27,Subsolo!$D$6:$D$58,Subsolo!$C$6:$C$58)</f>
        <v>Luminárias e Placas de Saída</v>
      </c>
      <c r="E27" s="24" t="s">
        <v>50</v>
      </c>
      <c r="F27" s="25">
        <v>2</v>
      </c>
      <c r="G27" s="25">
        <v>1</v>
      </c>
      <c r="H27" s="29">
        <v>0</v>
      </c>
      <c r="I27" s="25">
        <f t="shared" si="4"/>
        <v>2</v>
      </c>
      <c r="J27" s="25" t="s">
        <v>16</v>
      </c>
      <c r="K27" s="26">
        <f>_xlfn.XLOOKUP($E27,PREÇO!$C$7:$C$91,PREÇO!$E$7:$E$91)</f>
        <v>61.66</v>
      </c>
      <c r="L27" s="66">
        <f>IF(SUM(F27:K27)=0,SUMIFS($L28:$L$1593,$B28:$B$1593,$B27,$A28:$A$1593,$A27),I27*K27)</f>
        <v>123.32</v>
      </c>
      <c r="N27" s="59" t="s">
        <v>19</v>
      </c>
      <c r="O27" s="27" t="str">
        <v>52º PAV. - TIPO 04A - x10 - LANÇAMENTO</v>
      </c>
      <c r="P27" s="62">
        <f>SUMIFS($L$7:$L$1260,$C$7:$C$1260,P$6,$B$7:$B$1260,$O27,$A$7:$A$1260,$N27)</f>
        <v>50180.863999999987</v>
      </c>
      <c r="Q27" s="62">
        <f>SUMIFS($L$7:$L$1260,$C$7:$C$1260,Q$6,$B$7:$B$1260,$O27,$A$7:$A$1260,$N27)</f>
        <v>5124</v>
      </c>
      <c r="R27" s="62">
        <f>SUMIFS($L$7:$L$1260,$C$7:$C$1260,R$6,$B$7:$B$1260,$O27,$A$7:$A$1260,$N27)</f>
        <v>7082.1999999999989</v>
      </c>
      <c r="S27" s="63">
        <f t="shared" si="3"/>
        <v>62387.063999999984</v>
      </c>
    </row>
    <row r="28" spans="1:19" outlineLevel="1">
      <c r="A28" s="24" t="str">
        <f t="shared" si="0"/>
        <v>GERAL</v>
      </c>
      <c r="B28" s="24" t="str">
        <f t="shared" si="1"/>
        <v>SUBSOLO</v>
      </c>
      <c r="C28" s="24" t="s">
        <v>222</v>
      </c>
      <c r="D28" s="68" t="str">
        <f>_xlfn.XLOOKUP(E28,Subsolo!$D$6:$D$58,Subsolo!$C$6:$C$58)</f>
        <v>Luminárias e Placas de Saída</v>
      </c>
      <c r="E28" s="24" t="s">
        <v>51</v>
      </c>
      <c r="F28" s="25">
        <v>2</v>
      </c>
      <c r="G28" s="25">
        <v>1</v>
      </c>
      <c r="H28" s="29">
        <v>0</v>
      </c>
      <c r="I28" s="25">
        <f t="shared" si="4"/>
        <v>2</v>
      </c>
      <c r="J28" s="25" t="s">
        <v>16</v>
      </c>
      <c r="K28" s="26">
        <f>_xlfn.XLOOKUP($E28,PREÇO!$C$7:$C$91,PREÇO!$E$7:$E$91)</f>
        <v>61.66</v>
      </c>
      <c r="L28" s="66">
        <f>IF(SUM(F28:K28)=0,SUMIFS($L30:$L$1593,$B30:$B$1593,$B28,$A30:$A$1593,$A28),I28*K28)</f>
        <v>123.32</v>
      </c>
      <c r="N28" s="59" t="s">
        <v>19</v>
      </c>
      <c r="O28" s="27" t="str">
        <v>62º PAV. - ÁREA TÉCNICA 04</v>
      </c>
      <c r="P28" s="62">
        <f>SUMIFS($L$7:$L$1260,$C$7:$C$1260,P$6,$B$7:$B$1260,$O28,$A$7:$A$1260,$N28)</f>
        <v>5926.3325999999997</v>
      </c>
      <c r="Q28" s="62">
        <f>SUMIFS($L$7:$L$1260,$C$7:$C$1260,Q$6,$B$7:$B$1260,$O28,$A$7:$A$1260,$N28)</f>
        <v>2125.1999999999998</v>
      </c>
      <c r="R28" s="62">
        <f>SUMIFS($L$7:$L$1260,$C$7:$C$1260,R$6,$B$7:$B$1260,$O28,$A$7:$A$1260,$N28)</f>
        <v>2894.54</v>
      </c>
      <c r="S28" s="63">
        <f t="shared" si="3"/>
        <v>10946.0726</v>
      </c>
    </row>
    <row r="29" spans="1:19" outlineLevel="1">
      <c r="A29" s="116" t="str">
        <f>A27</f>
        <v>GERAL</v>
      </c>
      <c r="B29" s="116" t="str">
        <f>B27</f>
        <v>SUBSOLO</v>
      </c>
      <c r="C29" s="116" t="s">
        <v>222</v>
      </c>
      <c r="D29" s="116" t="s">
        <v>223</v>
      </c>
      <c r="E29" s="116" t="s">
        <v>224</v>
      </c>
      <c r="F29" s="117">
        <v>14</v>
      </c>
      <c r="G29" s="117">
        <v>1</v>
      </c>
      <c r="H29" s="118">
        <v>0</v>
      </c>
      <c r="I29" s="117">
        <f t="shared" si="4"/>
        <v>14</v>
      </c>
      <c r="J29" s="117" t="s">
        <v>11</v>
      </c>
      <c r="K29" s="119">
        <f>_xlfn.XLOOKUP($E29,PREÇO!$C$7:$C$91,PREÇO!$E$7:$E$91)</f>
        <v>646.55999999999995</v>
      </c>
      <c r="L29" s="120">
        <f>IF(SUM(F29:K29)=0,SUMIFS($L30:$L$1593,$B30:$B$1593,$B29,$A30:$A$1593,$A29),I29*K29)</f>
        <v>9051.84</v>
      </c>
      <c r="N29" s="59" t="s">
        <v>19</v>
      </c>
      <c r="O29" s="27" t="str">
        <v>63º PAV. - LAZER 03</v>
      </c>
      <c r="P29" s="62">
        <f>SUMIFS($L$7:$L$1260,$C$7:$C$1260,P$6,$B$7:$B$1260,$O29,$A$7:$A$1260,$N29)</f>
        <v>3886.7686000000008</v>
      </c>
      <c r="Q29" s="62">
        <f>SUMIFS($L$7:$L$1260,$C$7:$C$1260,Q$6,$B$7:$B$1260,$O29,$A$7:$A$1260,$N29)</f>
        <v>703.2</v>
      </c>
      <c r="R29" s="62">
        <f>SUMIFS($L$7:$L$1260,$C$7:$C$1260,R$6,$B$7:$B$1260,$O29,$A$7:$A$1260,$N29)</f>
        <v>1613.8999999999999</v>
      </c>
      <c r="S29" s="63">
        <f t="shared" si="3"/>
        <v>6203.8686000000007</v>
      </c>
    </row>
    <row r="30" spans="1:19" outlineLevel="1">
      <c r="A30" s="24" t="str">
        <f>A28</f>
        <v>GERAL</v>
      </c>
      <c r="B30" s="24" t="str">
        <f>B28</f>
        <v>SUBSOLO</v>
      </c>
      <c r="C30" s="24" t="s">
        <v>220</v>
      </c>
      <c r="D30" s="68" t="str">
        <f>_xlfn.XLOOKUP(E30,Subsolo!$D$6:$D$58,Subsolo!$C$6:$C$58)</f>
        <v>Sensores de Presença</v>
      </c>
      <c r="E30" s="24" t="s">
        <v>52</v>
      </c>
      <c r="F30" s="25">
        <v>3</v>
      </c>
      <c r="G30" s="25">
        <v>1</v>
      </c>
      <c r="H30" s="29">
        <v>0</v>
      </c>
      <c r="I30" s="25">
        <f t="shared" si="4"/>
        <v>3</v>
      </c>
      <c r="J30" s="25" t="s">
        <v>16</v>
      </c>
      <c r="K30" s="26">
        <f>_xlfn.XLOOKUP($E30,PREÇO!$C$7:$C$91,PREÇO!$E$7:$E$91)</f>
        <v>38.4</v>
      </c>
      <c r="L30" s="66">
        <f>IF(SUM(F30:K30)=0,SUMIFS($L31:$L$1593,$B31:$B$1593,$B30,$A31:$A$1593,$A30),I30*K30)</f>
        <v>115.19999999999999</v>
      </c>
      <c r="N30" s="59" t="s">
        <v>19</v>
      </c>
      <c r="O30" s="27" t="str">
        <v>64º PAV. - LAZER 04</v>
      </c>
      <c r="P30" s="62">
        <f>SUMIFS($L$7:$L$1260,$C$7:$C$1260,P$6,$B$7:$B$1260,$O30,$A$7:$A$1260,$N30)</f>
        <v>3530.0915999999984</v>
      </c>
      <c r="Q30" s="62">
        <f>SUMIFS($L$7:$L$1260,$C$7:$C$1260,Q$6,$B$7:$B$1260,$O30,$A$7:$A$1260,$N30)</f>
        <v>687.3</v>
      </c>
      <c r="R30" s="62">
        <f>SUMIFS($L$7:$L$1260,$C$7:$C$1260,R$6,$B$7:$B$1260,$O30,$A$7:$A$1260,$N30)</f>
        <v>1478.1</v>
      </c>
      <c r="S30" s="63">
        <f t="shared" si="3"/>
        <v>5695.4915999999976</v>
      </c>
    </row>
    <row r="31" spans="1:19" outlineLevel="1">
      <c r="A31" s="24" t="str">
        <f t="shared" si="0"/>
        <v>GERAL</v>
      </c>
      <c r="B31" s="24" t="str">
        <f t="shared" si="1"/>
        <v>SUBSOLO</v>
      </c>
      <c r="C31" s="24" t="s">
        <v>221</v>
      </c>
      <c r="D31" s="68" t="s">
        <v>87</v>
      </c>
      <c r="E31" s="24" t="str">
        <f>Subsolo!C40&amp;" "&amp;Subsolo!D40</f>
        <v>Isolação em PVC (70ºC) 1.5 mm² - Amarelo</v>
      </c>
      <c r="F31" s="25">
        <f>Subsolo!E40</f>
        <v>14.43</v>
      </c>
      <c r="G31" s="25">
        <v>1</v>
      </c>
      <c r="H31" s="29">
        <v>0</v>
      </c>
      <c r="I31" s="25">
        <f t="shared" si="4"/>
        <v>14.43</v>
      </c>
      <c r="J31" s="25" t="str">
        <f>Subsolo!F40</f>
        <v>m</v>
      </c>
      <c r="K31" s="26">
        <f>_xlfn.XLOOKUP($E31,PREÇO!$C$7:$C$91,PREÇO!$E$7:$E$91)</f>
        <v>1.59</v>
      </c>
      <c r="L31" s="66">
        <f>IF(SUM(F31:K31)=0,SUMIFS($L32:$L$1593,$B32:$B$1593,$B31,$A32:$A$1593,$A31),I31*K31)</f>
        <v>22.9437</v>
      </c>
      <c r="N31" s="59" t="s">
        <v>19</v>
      </c>
      <c r="O31" s="27" t="str">
        <v>65º PAV. - TIPO 04B - x36 - MODELO</v>
      </c>
      <c r="P31" s="62">
        <f>SUMIFS($L$7:$L$1260,$C$7:$C$1260,P$6,$B$7:$B$1260,$O31,$A$7:$A$1260,$N31)</f>
        <v>158915.85840000003</v>
      </c>
      <c r="Q31" s="62">
        <f>SUMIFS($L$7:$L$1260,$C$7:$C$1260,Q$6,$B$7:$B$1260,$O31,$A$7:$A$1260,$N31)</f>
        <v>18446.400000000001</v>
      </c>
      <c r="R31" s="62">
        <f>SUMIFS($L$7:$L$1260,$C$7:$C$1260,R$6,$B$7:$B$1260,$O31,$A$7:$A$1260,$N31)</f>
        <v>25495.919999999995</v>
      </c>
      <c r="S31" s="63">
        <f t="shared" si="3"/>
        <v>202858.1784</v>
      </c>
    </row>
    <row r="32" spans="1:19" outlineLevel="1">
      <c r="A32" s="24" t="str">
        <f t="shared" si="0"/>
        <v>GERAL</v>
      </c>
      <c r="B32" s="24" t="str">
        <f t="shared" si="1"/>
        <v>SUBSOLO</v>
      </c>
      <c r="C32" s="24" t="s">
        <v>221</v>
      </c>
      <c r="D32" s="68" t="s">
        <v>87</v>
      </c>
      <c r="E32" s="24" t="str">
        <f>Subsolo!C41&amp;" "&amp;Subsolo!D41</f>
        <v>Isolação em PVC (70ºC) 1.5 mm² - Preto</v>
      </c>
      <c r="F32" s="25">
        <f>Subsolo!E41</f>
        <v>7.22</v>
      </c>
      <c r="G32" s="25">
        <v>1</v>
      </c>
      <c r="H32" s="29">
        <v>0</v>
      </c>
      <c r="I32" s="25">
        <f t="shared" ref="I32:I41" si="5">(F32+H32*F32)*G32</f>
        <v>7.22</v>
      </c>
      <c r="J32" s="25" t="str">
        <f>Subsolo!F41</f>
        <v>m</v>
      </c>
      <c r="K32" s="26">
        <f>_xlfn.XLOOKUP($E32,PREÇO!$C$7:$C$91,PREÇO!$E$7:$E$91)</f>
        <v>1.59</v>
      </c>
      <c r="L32" s="66">
        <f>IF(SUM(F32:K32)=0,SUMIFS($L33:$L$1593,$B33:$B$1593,$B32,$A33:$A$1593,$A32),I32*K32)</f>
        <v>11.479800000000001</v>
      </c>
      <c r="N32" s="59" t="s">
        <v>19</v>
      </c>
      <c r="O32" s="27" t="str">
        <v>82º PAV. - ÁREA TÉCNICA 05</v>
      </c>
      <c r="P32" s="62">
        <f>SUMIFS($L$7:$L$1260,$C$7:$C$1260,P$6,$B$7:$B$1260,$O32,$A$7:$A$1260,$N32)</f>
        <v>8465.2044000000005</v>
      </c>
      <c r="Q32" s="62">
        <f>SUMIFS($L$7:$L$1260,$C$7:$C$1260,Q$6,$B$7:$B$1260,$O32,$A$7:$A$1260,$N32)</f>
        <v>1498.2000000000003</v>
      </c>
      <c r="R32" s="62">
        <f>SUMIFS($L$7:$L$1260,$C$7:$C$1260,R$6,$B$7:$B$1260,$O32,$A$7:$A$1260,$N32)</f>
        <v>2771.22</v>
      </c>
      <c r="S32" s="63">
        <f t="shared" si="3"/>
        <v>12734.624400000001</v>
      </c>
    </row>
    <row r="33" spans="1:19" outlineLevel="1">
      <c r="A33" s="24" t="str">
        <f t="shared" si="0"/>
        <v>GERAL</v>
      </c>
      <c r="B33" s="24" t="str">
        <f t="shared" si="1"/>
        <v>SUBSOLO</v>
      </c>
      <c r="C33" s="24" t="s">
        <v>221</v>
      </c>
      <c r="D33" s="68" t="s">
        <v>87</v>
      </c>
      <c r="E33" s="24" t="str">
        <f>Subsolo!C42&amp;" "&amp;Subsolo!D42</f>
        <v>Isolação em PVC (70ºC) 1.5 mm² - Vermelho</v>
      </c>
      <c r="F33" s="25">
        <f>Subsolo!E42</f>
        <v>7.22</v>
      </c>
      <c r="G33" s="25">
        <v>1</v>
      </c>
      <c r="H33" s="29">
        <v>0</v>
      </c>
      <c r="I33" s="25">
        <f t="shared" si="5"/>
        <v>7.22</v>
      </c>
      <c r="J33" s="25" t="str">
        <f>Subsolo!F42</f>
        <v>m</v>
      </c>
      <c r="K33" s="26">
        <f>_xlfn.XLOOKUP($E33,PREÇO!$C$7:$C$91,PREÇO!$E$7:$E$91)</f>
        <v>1.59</v>
      </c>
      <c r="L33" s="66">
        <f>IF(SUM(F33:K33)=0,SUMIFS($L34:$L$1593,$B34:$B$1593,$B33,$A34:$A$1593,$A33),I33*K33)</f>
        <v>11.479800000000001</v>
      </c>
      <c r="N33" s="59" t="s">
        <v>19</v>
      </c>
      <c r="O33" s="27" t="str">
        <v>102º PAV. - ÁREA TÉCNICA 06</v>
      </c>
      <c r="P33" s="62">
        <f>SUMIFS($L$7:$L$1260,$C$7:$C$1260,P$6,$B$7:$B$1260,$O33,$A$7:$A$1260,$N33)</f>
        <v>4858.5707999999995</v>
      </c>
      <c r="Q33" s="62">
        <f>SUMIFS($L$7:$L$1260,$C$7:$C$1260,Q$6,$B$7:$B$1260,$O33,$A$7:$A$1260,$N33)</f>
        <v>1498.2000000000003</v>
      </c>
      <c r="R33" s="62">
        <f>SUMIFS($L$7:$L$1260,$C$7:$C$1260,R$6,$B$7:$B$1260,$O33,$A$7:$A$1260,$N33)</f>
        <v>2771.22</v>
      </c>
      <c r="S33" s="63">
        <f t="shared" si="3"/>
        <v>9127.9907999999996</v>
      </c>
    </row>
    <row r="34" spans="1:19" outlineLevel="1">
      <c r="A34" s="24" t="str">
        <f t="shared" si="0"/>
        <v>GERAL</v>
      </c>
      <c r="B34" s="24" t="str">
        <f t="shared" si="1"/>
        <v>SUBSOLO</v>
      </c>
      <c r="C34" s="24" t="s">
        <v>221</v>
      </c>
      <c r="D34" s="68" t="s">
        <v>87</v>
      </c>
      <c r="E34" s="24" t="str">
        <f>Subsolo!C43&amp;" "&amp;Subsolo!D43</f>
        <v>Isolação em PVC (70ºC) 2.5 mm² - Amarelo</v>
      </c>
      <c r="F34" s="25">
        <f>Subsolo!E43</f>
        <v>12.57</v>
      </c>
      <c r="G34" s="25">
        <v>1</v>
      </c>
      <c r="H34" s="29">
        <v>0</v>
      </c>
      <c r="I34" s="25">
        <f t="shared" si="5"/>
        <v>12.57</v>
      </c>
      <c r="J34" s="25" t="str">
        <f>Subsolo!F43</f>
        <v>m</v>
      </c>
      <c r="K34" s="26">
        <f>_xlfn.XLOOKUP($E34,PREÇO!$C$7:$C$91,PREÇO!$E$7:$E$91)</f>
        <v>2.19</v>
      </c>
      <c r="L34" s="66">
        <f>IF(SUM(F34:K34)=0,SUMIFS($L35:$L$1593,$B35:$B$1593,$B34,$A35:$A$1593,$A34),I34*K34)</f>
        <v>27.528300000000002</v>
      </c>
      <c r="N34" s="59" t="s">
        <v>19</v>
      </c>
      <c r="O34" s="27" t="str">
        <v>103º PAV. - TIPO 04C - x19 - MODELO</v>
      </c>
      <c r="P34" s="62">
        <f>SUMIFS($L$7:$L$1260,$C$7:$C$1260,P$6,$B$7:$B$1260,$O34,$A$7:$A$1260,$N34)</f>
        <v>89713.66419999997</v>
      </c>
      <c r="Q34" s="62">
        <f>SUMIFS($L$7:$L$1260,$C$7:$C$1260,Q$6,$B$7:$B$1260,$O34,$A$7:$A$1260,$N34)</f>
        <v>9735.6</v>
      </c>
      <c r="R34" s="62">
        <f>SUMIFS($L$7:$L$1260,$C$7:$C$1260,R$6,$B$7:$B$1260,$O34,$A$7:$A$1260,$N34)</f>
        <v>13456.18</v>
      </c>
      <c r="S34" s="63">
        <f t="shared" si="3"/>
        <v>112905.44419999997</v>
      </c>
    </row>
    <row r="35" spans="1:19" outlineLevel="1">
      <c r="A35" s="24" t="str">
        <f t="shared" si="0"/>
        <v>GERAL</v>
      </c>
      <c r="B35" s="24" t="str">
        <f t="shared" si="1"/>
        <v>SUBSOLO</v>
      </c>
      <c r="C35" s="24" t="s">
        <v>221</v>
      </c>
      <c r="D35" s="68" t="s">
        <v>87</v>
      </c>
      <c r="E35" s="24" t="str">
        <f>Subsolo!C44&amp;" "&amp;Subsolo!D44</f>
        <v>Isolação em PVC (70ºC) 2.5 mm² - Preto</v>
      </c>
      <c r="F35" s="25">
        <f>Subsolo!E44</f>
        <v>112.72</v>
      </c>
      <c r="G35" s="25">
        <v>1</v>
      </c>
      <c r="H35" s="29">
        <v>0</v>
      </c>
      <c r="I35" s="25">
        <f t="shared" si="5"/>
        <v>112.72</v>
      </c>
      <c r="J35" s="25" t="str">
        <f>Subsolo!F44</f>
        <v>m</v>
      </c>
      <c r="K35" s="26">
        <f>_xlfn.XLOOKUP($E35,PREÇO!$C$7:$C$91,PREÇO!$E$7:$E$91)</f>
        <v>2.19</v>
      </c>
      <c r="L35" s="66">
        <f>IF(SUM(F35:K35)=0,SUMIFS($L36:$L$1593,$B36:$B$1593,$B35,$A36:$A$1593,$A35),I35*K35)</f>
        <v>246.85679999999999</v>
      </c>
      <c r="N35" s="59" t="s">
        <v>19</v>
      </c>
      <c r="O35" s="27" t="str">
        <v>122º PAV. - ÁREA TÉCNICA 07</v>
      </c>
      <c r="P35" s="62">
        <f>SUMIFS($L$7:$L$1260,$C$7:$C$1260,P$6,$B$7:$B$1260,$O35,$A$7:$A$1260,$N35)</f>
        <v>7291.1145999999999</v>
      </c>
      <c r="Q35" s="62">
        <f>SUMIFS($L$7:$L$1260,$C$7:$C$1260,Q$6,$B$7:$B$1260,$O35,$A$7:$A$1260,$N35)</f>
        <v>1498.2000000000003</v>
      </c>
      <c r="R35" s="62">
        <f>SUMIFS($L$7:$L$1260,$C$7:$C$1260,R$6,$B$7:$B$1260,$O35,$A$7:$A$1260,$N35)</f>
        <v>2771.22</v>
      </c>
      <c r="S35" s="63">
        <f t="shared" si="3"/>
        <v>11560.534599999999</v>
      </c>
    </row>
    <row r="36" spans="1:19" outlineLevel="1">
      <c r="A36" s="24" t="str">
        <f t="shared" si="0"/>
        <v>GERAL</v>
      </c>
      <c r="B36" s="24" t="str">
        <f t="shared" si="1"/>
        <v>SUBSOLO</v>
      </c>
      <c r="C36" s="24" t="s">
        <v>221</v>
      </c>
      <c r="D36" s="68" t="s">
        <v>87</v>
      </c>
      <c r="E36" s="24" t="str">
        <f>Subsolo!C45&amp;" "&amp;Subsolo!D45</f>
        <v>Isolação em PVC (70ºC) 2.5 mm² - Vermelho</v>
      </c>
      <c r="F36" s="25">
        <f>Subsolo!E45</f>
        <v>112.72</v>
      </c>
      <c r="G36" s="25">
        <v>1</v>
      </c>
      <c r="H36" s="29">
        <v>0</v>
      </c>
      <c r="I36" s="25">
        <f t="shared" si="5"/>
        <v>112.72</v>
      </c>
      <c r="J36" s="25" t="str">
        <f>Subsolo!F45</f>
        <v>m</v>
      </c>
      <c r="K36" s="26">
        <f>_xlfn.XLOOKUP($E36,PREÇO!$C$7:$C$91,PREÇO!$E$7:$E$91)</f>
        <v>2.19</v>
      </c>
      <c r="L36" s="66">
        <f>IF(SUM(F36:K36)=0,SUMIFS($L37:$L$1593,$B37:$B$1593,$B36,$A37:$A$1593,$A36),I36*K36)</f>
        <v>246.85679999999999</v>
      </c>
      <c r="N36" s="59" t="s">
        <v>19</v>
      </c>
      <c r="O36" s="27" t="str">
        <v>123º PAV. - TIPO 04D - x9 - MODELO</v>
      </c>
      <c r="P36" s="62">
        <f>SUMIFS($L$7:$L$1260,$C$7:$C$1260,P$6,$B$7:$B$1260,$O36,$A$7:$A$1260,$N36)</f>
        <v>42302.086200000012</v>
      </c>
      <c r="Q36" s="62">
        <f>SUMIFS($L$7:$L$1260,$C$7:$C$1260,Q$6,$B$7:$B$1260,$O36,$A$7:$A$1260,$N36)</f>
        <v>4611.6000000000004</v>
      </c>
      <c r="R36" s="62">
        <f>SUMIFS($L$7:$L$1260,$C$7:$C$1260,R$6,$B$7:$B$1260,$O36,$A$7:$A$1260,$N36)</f>
        <v>6373.9799999999987</v>
      </c>
      <c r="S36" s="63">
        <f t="shared" si="3"/>
        <v>53287.666200000007</v>
      </c>
    </row>
    <row r="37" spans="1:19" outlineLevel="1">
      <c r="A37" s="24" t="str">
        <f t="shared" si="0"/>
        <v>GERAL</v>
      </c>
      <c r="B37" s="24" t="str">
        <f t="shared" si="1"/>
        <v>SUBSOLO</v>
      </c>
      <c r="C37" s="24" t="s">
        <v>221</v>
      </c>
      <c r="D37" s="68" t="s">
        <v>87</v>
      </c>
      <c r="E37" s="24" t="str">
        <f>Subsolo!C46&amp;" "&amp;Subsolo!D46</f>
        <v>Isolação em PVC (70ºC) 4 mm² - Preto</v>
      </c>
      <c r="F37" s="25">
        <f>Subsolo!E46</f>
        <v>489.91</v>
      </c>
      <c r="G37" s="25">
        <v>1</v>
      </c>
      <c r="H37" s="29">
        <v>0</v>
      </c>
      <c r="I37" s="25">
        <f t="shared" si="5"/>
        <v>489.91</v>
      </c>
      <c r="J37" s="25" t="str">
        <f>Subsolo!F46</f>
        <v>m</v>
      </c>
      <c r="K37" s="26">
        <f>_xlfn.XLOOKUP($E37,PREÇO!$C$7:$C$91,PREÇO!$E$7:$E$91)</f>
        <v>3.89</v>
      </c>
      <c r="L37" s="66">
        <f>IF(SUM(F37:K37)=0,SUMIFS($L38:$L$1593,$B38:$B$1593,$B37,$A38:$A$1593,$A37),I37*K37)</f>
        <v>1905.7499000000003</v>
      </c>
      <c r="N37" s="59" t="s">
        <v>19</v>
      </c>
      <c r="O37" s="27" t="str">
        <v>132º PAV. - DUPLEX INF REBAIXADOR- LANÇAMENTO</v>
      </c>
      <c r="P37" s="62">
        <f>SUMIFS($L$7:$L$1260,$C$7:$C$1260,P$6,$B$7:$B$1260,$O37,$A$7:$A$1260,$N37)</f>
        <v>7564.5446000000011</v>
      </c>
      <c r="Q37" s="62">
        <f>SUMIFS($L$7:$L$1260,$C$7:$C$1260,Q$6,$B$7:$B$1260,$O37,$A$7:$A$1260,$N37)</f>
        <v>1024.8</v>
      </c>
      <c r="R37" s="62">
        <f>SUMIFS($L$7:$L$1260,$C$7:$C$1260,R$6,$B$7:$B$1260,$O37,$A$7:$A$1260,$N37)</f>
        <v>1416.4399999999998</v>
      </c>
      <c r="S37" s="63">
        <f t="shared" si="3"/>
        <v>10005.784600000001</v>
      </c>
    </row>
    <row r="38" spans="1:19" outlineLevel="1">
      <c r="A38" s="24" t="str">
        <f t="shared" si="0"/>
        <v>GERAL</v>
      </c>
      <c r="B38" s="24" t="str">
        <f t="shared" si="1"/>
        <v>SUBSOLO</v>
      </c>
      <c r="C38" s="24" t="s">
        <v>221</v>
      </c>
      <c r="D38" s="68" t="s">
        <v>87</v>
      </c>
      <c r="E38" s="24" t="str">
        <f>Subsolo!C47&amp;" "&amp;Subsolo!D47</f>
        <v>Isolação em PVC (70ºC) 4 mm² - Vermelho</v>
      </c>
      <c r="F38" s="25">
        <f>Subsolo!E47</f>
        <v>489.91</v>
      </c>
      <c r="G38" s="25">
        <v>1</v>
      </c>
      <c r="H38" s="29">
        <v>0</v>
      </c>
      <c r="I38" s="25">
        <f t="shared" si="5"/>
        <v>489.91</v>
      </c>
      <c r="J38" s="25" t="str">
        <f>Subsolo!F47</f>
        <v>m</v>
      </c>
      <c r="K38" s="26">
        <f>_xlfn.XLOOKUP($E38,PREÇO!$C$7:$C$91,PREÇO!$E$7:$E$91)</f>
        <v>3.89</v>
      </c>
      <c r="L38" s="66">
        <f>IF(SUM(F38:K38)=0,SUMIFS($L39:$L$1593,$B39:$B$1593,$B38,$A39:$A$1593,$A38),I38*K38)</f>
        <v>1905.7499000000003</v>
      </c>
      <c r="N38" s="59" t="s">
        <v>19</v>
      </c>
      <c r="O38" s="27" t="str">
        <v>133º PAV. - DUPLEX SUP - LANÇAMENTO</v>
      </c>
      <c r="P38" s="62">
        <f>SUMIFS($L$7:$L$1260,$C$7:$C$1260,P$6,$B$7:$B$1260,$O38,$A$7:$A$1260,$N38)</f>
        <v>9790.4764000000014</v>
      </c>
      <c r="Q38" s="62">
        <f>SUMIFS($L$7:$L$1260,$C$7:$C$1260,Q$6,$B$7:$B$1260,$O38,$A$7:$A$1260,$N38)</f>
        <v>1024.8</v>
      </c>
      <c r="R38" s="62">
        <f>SUMIFS($L$7:$L$1260,$C$7:$C$1260,R$6,$B$7:$B$1260,$O38,$A$7:$A$1260,$N38)</f>
        <v>1416.4399999999998</v>
      </c>
      <c r="S38" s="63">
        <f t="shared" si="3"/>
        <v>12231.716400000001</v>
      </c>
    </row>
    <row r="39" spans="1:19" outlineLevel="1">
      <c r="A39" s="24" t="str">
        <f t="shared" si="0"/>
        <v>GERAL</v>
      </c>
      <c r="B39" s="24" t="str">
        <f t="shared" si="1"/>
        <v>SUBSOLO</v>
      </c>
      <c r="C39" s="24" t="s">
        <v>221</v>
      </c>
      <c r="D39" s="68" t="s">
        <v>87</v>
      </c>
      <c r="E39" s="24" t="str">
        <f>Subsolo!C48&amp;" "&amp;Subsolo!D48</f>
        <v>Isolação em PVC (70ºC) 6 mm² - Preto</v>
      </c>
      <c r="F39" s="25">
        <f>Subsolo!E48</f>
        <v>532.57000000000005</v>
      </c>
      <c r="G39" s="25">
        <v>1</v>
      </c>
      <c r="H39" s="29">
        <v>0</v>
      </c>
      <c r="I39" s="25">
        <f t="shared" si="5"/>
        <v>532.57000000000005</v>
      </c>
      <c r="J39" s="25" t="str">
        <f>Subsolo!F48</f>
        <v>m</v>
      </c>
      <c r="K39" s="26">
        <f>_xlfn.XLOOKUP($E39,PREÇO!$C$7:$C$91,PREÇO!$E$7:$E$91)</f>
        <v>5.79</v>
      </c>
      <c r="L39" s="66">
        <f>IF(SUM(F39:K39)=0,SUMIFS($L40:$L$1593,$B40:$B$1593,$B39,$A40:$A$1593,$A39),I39*K39)</f>
        <v>3083.5803000000005</v>
      </c>
      <c r="N39" s="59" t="s">
        <v>19</v>
      </c>
      <c r="O39" s="27" t="str">
        <v>136º PAV. - TRIPLEX - LANÇAMENTO</v>
      </c>
      <c r="P39" s="62">
        <f>SUMIFS($L$7:$L$1260,$C$7:$C$1260,P$6,$B$7:$B$1260,$O39,$A$7:$A$1260,$N39)</f>
        <v>2877.4507000000003</v>
      </c>
      <c r="Q39" s="62">
        <f>SUMIFS($L$7:$L$1260,$C$7:$C$1260,Q$6,$B$7:$B$1260,$O39,$A$7:$A$1260,$N39)</f>
        <v>512.4</v>
      </c>
      <c r="R39" s="62">
        <f>SUMIFS($L$7:$L$1260,$C$7:$C$1260,R$6,$B$7:$B$1260,$O39,$A$7:$A$1260,$N39)</f>
        <v>708.21999999999991</v>
      </c>
      <c r="S39" s="63">
        <f t="shared" si="3"/>
        <v>4098.0707000000002</v>
      </c>
    </row>
    <row r="40" spans="1:19" outlineLevel="1">
      <c r="A40" s="24" t="str">
        <f t="shared" si="0"/>
        <v>GERAL</v>
      </c>
      <c r="B40" s="24" t="str">
        <f t="shared" si="1"/>
        <v>SUBSOLO</v>
      </c>
      <c r="C40" s="24" t="s">
        <v>221</v>
      </c>
      <c r="D40" s="68" t="s">
        <v>87</v>
      </c>
      <c r="E40" s="24" t="str">
        <f>Subsolo!C49&amp;" "&amp;Subsolo!D49</f>
        <v>Isolação em PVC (70ºC) 6 mm² - Vermelho</v>
      </c>
      <c r="F40" s="25">
        <f>Subsolo!E49</f>
        <v>532.57000000000005</v>
      </c>
      <c r="G40" s="25">
        <v>1</v>
      </c>
      <c r="H40" s="29">
        <v>0</v>
      </c>
      <c r="I40" s="25">
        <f t="shared" si="5"/>
        <v>532.57000000000005</v>
      </c>
      <c r="J40" s="25" t="str">
        <f>Subsolo!F49</f>
        <v>m</v>
      </c>
      <c r="K40" s="26">
        <f>_xlfn.XLOOKUP($E40,PREÇO!$C$7:$C$91,PREÇO!$E$7:$E$91)</f>
        <v>5.79</v>
      </c>
      <c r="L40" s="66">
        <f>IF(SUM(F40:K40)=0,SUMIFS($L41:$L$1593,$B41:$B$1593,$B40,$A41:$A$1593,$A40),I40*K40)</f>
        <v>3083.5803000000005</v>
      </c>
      <c r="N40" s="59" t="s">
        <v>19</v>
      </c>
      <c r="O40" s="27" t="str">
        <v>137º PAV. - TRIPLEX REBAIXADOR - LANÇAMENTO</v>
      </c>
      <c r="P40" s="62">
        <f>SUMIFS($L$7:$L$1260,$C$7:$C$1260,P$6,$B$7:$B$1260,$O40,$A$7:$A$1260,$N40)</f>
        <v>3898.8215000000005</v>
      </c>
      <c r="Q40" s="62">
        <f>SUMIFS($L$7:$L$1260,$C$7:$C$1260,Q$6,$B$7:$B$1260,$O40,$A$7:$A$1260,$N40)</f>
        <v>512.4</v>
      </c>
      <c r="R40" s="62">
        <f>SUMIFS($L$7:$L$1260,$C$7:$C$1260,R$6,$B$7:$B$1260,$O40,$A$7:$A$1260,$N40)</f>
        <v>708.21999999999991</v>
      </c>
      <c r="S40" s="63">
        <f t="shared" si="3"/>
        <v>5119.4415000000008</v>
      </c>
    </row>
    <row r="41" spans="1:19" outlineLevel="1">
      <c r="A41" s="24" t="str">
        <f t="shared" si="0"/>
        <v>GERAL</v>
      </c>
      <c r="B41" s="24" t="str">
        <f t="shared" si="1"/>
        <v>SUBSOLO</v>
      </c>
      <c r="C41" s="24" t="s">
        <v>221</v>
      </c>
      <c r="D41" s="68" t="s">
        <v>46</v>
      </c>
      <c r="E41" s="24" t="str">
        <f>Subsolo!C53&amp;" "&amp;Subsolo!D53</f>
        <v>PVC Flexível Antichama - NBR 15465 ø1"</v>
      </c>
      <c r="F41" s="25">
        <f>Subsolo!E53</f>
        <v>382.07</v>
      </c>
      <c r="G41" s="25">
        <v>1</v>
      </c>
      <c r="H41" s="29">
        <v>0</v>
      </c>
      <c r="I41" s="25">
        <f t="shared" si="5"/>
        <v>382.07</v>
      </c>
      <c r="J41" s="25" t="str">
        <f>Subsolo!F53</f>
        <v>m</v>
      </c>
      <c r="K41" s="26">
        <f>_xlfn.XLOOKUP($E41,PREÇO!$C$7:$C$91,PREÇO!$E$7:$E$91)</f>
        <v>2.5299999999999998</v>
      </c>
      <c r="L41" s="66">
        <f>IF(SUM(F41:K41)=0,SUMIFS($L42:$L$1593,$B42:$B$1593,$B41,$A42:$A$1593,$A41),I41*K41)</f>
        <v>966.63709999999992</v>
      </c>
      <c r="N41" s="59" t="s">
        <v>19</v>
      </c>
      <c r="O41" s="27" t="str">
        <v>138º PAV. - TRIPLEX - LANÇAMENTO</v>
      </c>
      <c r="P41" s="62">
        <f>SUMIFS($L$7:$L$1260,$C$7:$C$1260,P$6,$B$7:$B$1260,$O41,$A$7:$A$1260,$N41)</f>
        <v>4899.6372000000001</v>
      </c>
      <c r="Q41" s="62">
        <f>SUMIFS($L$7:$L$1260,$C$7:$C$1260,Q$6,$B$7:$B$1260,$O41,$A$7:$A$1260,$N41)</f>
        <v>512.4</v>
      </c>
      <c r="R41" s="62">
        <f>SUMIFS($L$7:$L$1260,$C$7:$C$1260,R$6,$B$7:$B$1260,$O41,$A$7:$A$1260,$N41)</f>
        <v>708.21999999999991</v>
      </c>
      <c r="S41" s="63">
        <f t="shared" si="3"/>
        <v>6120.2572</v>
      </c>
    </row>
    <row r="42" spans="1:19" outlineLevel="1">
      <c r="A42" s="24" t="str">
        <f t="shared" si="0"/>
        <v>GERAL</v>
      </c>
      <c r="B42" s="24" t="str">
        <f t="shared" si="1"/>
        <v>SUBSOLO</v>
      </c>
      <c r="C42" s="24" t="s">
        <v>221</v>
      </c>
      <c r="D42" s="68" t="s">
        <v>46</v>
      </c>
      <c r="E42" s="24" t="str">
        <f>Subsolo!C54&amp;" "&amp;Subsolo!D54</f>
        <v>PVC Flexível Antichama - NBR 15465 ø3/4"</v>
      </c>
      <c r="F42" s="25">
        <f>Subsolo!E54</f>
        <v>5.5</v>
      </c>
      <c r="G42" s="25">
        <v>1</v>
      </c>
      <c r="H42" s="29">
        <v>0</v>
      </c>
      <c r="I42" s="25">
        <f t="shared" ref="I42:I44" si="6">(F42+H42*F42)*G42</f>
        <v>5.5</v>
      </c>
      <c r="J42" s="25" t="str">
        <f>Subsolo!F54</f>
        <v>m</v>
      </c>
      <c r="K42" s="26">
        <f>_xlfn.XLOOKUP($E42,PREÇO!$C$7:$C$91,PREÇO!$E$7:$E$91)</f>
        <v>1.8</v>
      </c>
      <c r="L42" s="66">
        <f>IF(SUM(F42:K42)=0,SUMIFS($L43:$L$1593,$B43:$B$1593,$B42,$A43:$A$1593,$A42),I42*K42)</f>
        <v>9.9</v>
      </c>
      <c r="N42" s="59" t="s">
        <v>19</v>
      </c>
      <c r="O42" s="27" t="str">
        <v>139º PAV. - ÁREA TÉCNICA 08 - LANÇAMENTO</v>
      </c>
      <c r="P42" s="62">
        <f>SUMIFS($L$7:$L$1260,$C$7:$C$1260,P$6,$B$7:$B$1260,$O42,$A$7:$A$1260,$N42)</f>
        <v>3394.5980999999992</v>
      </c>
      <c r="Q42" s="62">
        <f>SUMIFS($L$7:$L$1260,$C$7:$C$1260,Q$6,$B$7:$B$1260,$O42,$A$7:$A$1260,$N42)</f>
        <v>591.9</v>
      </c>
      <c r="R42" s="62">
        <f>SUMIFS($L$7:$L$1260,$C$7:$C$1260,R$6,$B$7:$B$1260,$O42,$A$7:$A$1260,$N42)</f>
        <v>2771.22</v>
      </c>
      <c r="S42" s="63">
        <f t="shared" si="3"/>
        <v>6757.7180999999991</v>
      </c>
    </row>
    <row r="43" spans="1:19" outlineLevel="1">
      <c r="A43" s="24" t="str">
        <f t="shared" si="0"/>
        <v>GERAL</v>
      </c>
      <c r="B43" s="24" t="str">
        <f t="shared" si="1"/>
        <v>SUBSOLO</v>
      </c>
      <c r="C43" s="24" t="s">
        <v>221</v>
      </c>
      <c r="D43" s="68" t="s">
        <v>89</v>
      </c>
      <c r="E43" s="24" t="str">
        <f>Subsolo!C57&amp;" "&amp;Subsolo!D57</f>
        <v>Classe A - PVC Anti-chama - 105ºC - Isolação 600V 0.75 mm²</v>
      </c>
      <c r="F43" s="25">
        <f>Subsolo!E57</f>
        <v>379.87</v>
      </c>
      <c r="G43" s="25">
        <v>1</v>
      </c>
      <c r="H43" s="29">
        <v>0</v>
      </c>
      <c r="I43" s="25">
        <f t="shared" si="6"/>
        <v>379.87</v>
      </c>
      <c r="J43" s="25" t="str">
        <f>Subsolo!F57</f>
        <v>m</v>
      </c>
      <c r="K43" s="26">
        <f>_xlfn.XLOOKUP($E43,PREÇO!$C$7:$C$91,PREÇO!$E$7:$E$91)</f>
        <v>0.99</v>
      </c>
      <c r="L43" s="66">
        <f>IF(SUM(F43:K43)=0,SUMIFS($L44:$L$1593,$B44:$B$1593,$B43,$A44:$A$1593,$A43),I43*K43)</f>
        <v>376.07130000000001</v>
      </c>
      <c r="N43" s="59" t="s">
        <v>19</v>
      </c>
      <c r="O43" s="27" t="str">
        <v>140º PAV. - LAZER 05</v>
      </c>
      <c r="P43" s="62">
        <f>SUMIFS($L$7:$L$1260,$C$7:$C$1260,P$6,$B$7:$B$1260,$O43,$A$7:$A$1260,$N43)</f>
        <v>4467.8708000000006</v>
      </c>
      <c r="Q43" s="62">
        <f>SUMIFS($L$7:$L$1260,$C$7:$C$1260,Q$6,$B$7:$B$1260,$O43,$A$7:$A$1260,$N43)</f>
        <v>814.5</v>
      </c>
      <c r="R43" s="62">
        <f>SUMIFS($L$7:$L$1260,$C$7:$C$1260,R$6,$B$7:$B$1260,$O43,$A$7:$A$1260,$N43)</f>
        <v>1478.1</v>
      </c>
      <c r="S43" s="63">
        <f t="shared" si="3"/>
        <v>6760.470800000001</v>
      </c>
    </row>
    <row r="44" spans="1:19" ht="15.75" outlineLevel="1" thickBot="1">
      <c r="A44" s="24" t="str">
        <f t="shared" si="0"/>
        <v>GERAL</v>
      </c>
      <c r="B44" s="24" t="str">
        <f t="shared" si="1"/>
        <v>SUBSOLO</v>
      </c>
      <c r="C44" s="24" t="s">
        <v>221</v>
      </c>
      <c r="D44" s="68" t="s">
        <v>89</v>
      </c>
      <c r="E44" s="24" t="str">
        <f>Subsolo!C58&amp;" "&amp;Subsolo!D58</f>
        <v>Classe B - PVC Anti-chama - 105ºC - Isolação 600V 1.5 mm²</v>
      </c>
      <c r="F44" s="25">
        <f>Subsolo!E58</f>
        <v>271.39999999999998</v>
      </c>
      <c r="G44" s="25">
        <v>1</v>
      </c>
      <c r="H44" s="29">
        <v>0</v>
      </c>
      <c r="I44" s="25">
        <f t="shared" si="6"/>
        <v>271.39999999999998</v>
      </c>
      <c r="J44" s="25" t="str">
        <f>Subsolo!F58</f>
        <v>m</v>
      </c>
      <c r="K44" s="26">
        <f>_xlfn.XLOOKUP($E44,PREÇO!$C$7:$C$91,PREÇO!$E$7:$E$91)</f>
        <v>1.69</v>
      </c>
      <c r="L44" s="66">
        <f>IF(SUM(F44:K44)=0,SUMIFS($L45:$L$1593,$B45:$B$1593,$B44,$A45:$A$1593,$A44),I44*K44)</f>
        <v>458.66599999999994</v>
      </c>
      <c r="N44" s="59" t="s">
        <v>19</v>
      </c>
      <c r="O44" s="27" t="str">
        <v>141º PAV. - LAZER 06</v>
      </c>
      <c r="P44" s="62">
        <f>SUMIFS($L$7:$L$1260,$C$7:$C$1260,P$6,$B$7:$B$1260,$O44,$A$7:$A$1260,$N44)</f>
        <v>3766.0577999999996</v>
      </c>
      <c r="Q44" s="62">
        <f>SUMIFS($L$7:$L$1260,$C$7:$C$1260,Q$6,$B$7:$B$1260,$O44,$A$7:$A$1260,$N44)</f>
        <v>719.09999999999991</v>
      </c>
      <c r="R44" s="62">
        <f>SUMIFS($L$7:$L$1260,$C$7:$C$1260,R$6,$B$7:$B$1260,$O44,$A$7:$A$1260,$N44)</f>
        <v>1478.1</v>
      </c>
      <c r="S44" s="63">
        <f t="shared" si="3"/>
        <v>5963.2577999999994</v>
      </c>
    </row>
    <row r="45" spans="1:19" ht="15.75" thickTop="1">
      <c r="A45" s="79" t="s">
        <v>19</v>
      </c>
      <c r="B45" s="79" t="s">
        <v>105</v>
      </c>
      <c r="C45" s="43"/>
      <c r="D45" s="44"/>
      <c r="E45" s="44"/>
      <c r="F45" s="45"/>
      <c r="G45" s="45"/>
      <c r="H45" s="45"/>
      <c r="I45" s="46"/>
      <c r="J45" s="45"/>
      <c r="K45" s="47"/>
      <c r="L45" s="48">
        <f>IF(SUM(F45:K45)=0,SUMIFS($L46:$L$1593,$B46:$B$1593,$B45,$A46:$A$1593,$A45),I45*K45)</f>
        <v>48540.185000000012</v>
      </c>
      <c r="N45" s="59" t="s">
        <v>19</v>
      </c>
      <c r="O45" s="27" t="str">
        <v>142º PAV. - TERRAÇO TÉCNICO</v>
      </c>
      <c r="P45" s="62">
        <f>SUMIFS($L$7:$L$1260,$C$7:$C$1260,P$6,$B$7:$B$1260,$O45,$A$7:$A$1260,$N45)</f>
        <v>4944.5295000000006</v>
      </c>
      <c r="Q45" s="62">
        <f>SUMIFS($L$7:$L$1260,$C$7:$C$1260,Q$6,$B$7:$B$1260,$O45,$A$7:$A$1260,$N45)</f>
        <v>973.80000000000007</v>
      </c>
      <c r="R45" s="62">
        <f>SUMIFS($L$7:$L$1260,$C$7:$C$1260,R$6,$B$7:$B$1260,$O45,$A$7:$A$1260,$N45)</f>
        <v>3017.8599999999997</v>
      </c>
      <c r="S45" s="63">
        <f t="shared" si="3"/>
        <v>8936.1895000000004</v>
      </c>
    </row>
    <row r="46" spans="1:19" outlineLevel="1">
      <c r="A46" s="24" t="str">
        <f t="shared" ref="A46:B48" si="7">A45</f>
        <v>GERAL</v>
      </c>
      <c r="B46" s="24" t="str">
        <f t="shared" si="7"/>
        <v>1° PAV. TÉRREO</v>
      </c>
      <c r="C46" s="24" t="s">
        <v>221</v>
      </c>
      <c r="D46" s="80" t="str">
        <f>_xlfn.XLOOKUP('Equipamentos de emergência'!E46,Térreo!$D$6:$D$66,Térreo!$C$6:$C$66)</f>
        <v>Acionadores</v>
      </c>
      <c r="E46" s="30" t="str">
        <f>Térreo!D6</f>
        <v>Acionador Manual de Alarme de Incêndio</v>
      </c>
      <c r="F46" s="25">
        <f>Térreo!E6</f>
        <v>11</v>
      </c>
      <c r="G46" s="25">
        <v>1</v>
      </c>
      <c r="H46" s="25">
        <v>0</v>
      </c>
      <c r="I46" s="25">
        <f t="shared" ref="I46:I48" si="8">(F46+H46*F46)*G46</f>
        <v>11</v>
      </c>
      <c r="J46" s="25" t="s">
        <v>16</v>
      </c>
      <c r="K46" s="26">
        <f>_xlfn.XLOOKUP($E46,PREÇO!$C$7:$C$91,PREÇO!$E$7:$E$91)</f>
        <v>65</v>
      </c>
      <c r="L46" s="66">
        <f>IF(SUM(F46:K46)=0,SUMIFS($L47:$L$1593,$B47:$B$1593,$B46,$A47:$A$1593,$A46),I46*K46)</f>
        <v>715</v>
      </c>
      <c r="N46" s="59" t="s">
        <v>19</v>
      </c>
      <c r="O46" s="27" t="str">
        <v>GERAL</v>
      </c>
      <c r="P46" s="62">
        <f>SUMIFS($L$7:$L$1260,$C$7:$C$1260,P$6,$B$7:$B$1260,$O46,$A$7:$A$1260,$N46)</f>
        <v>776164.13</v>
      </c>
      <c r="Q46" s="62">
        <f>SUMIFS($L$7:$L$1260,$C$7:$C$1260,Q$6,$B$7:$B$1260,$O46,$A$7:$A$1260,$N46)</f>
        <v>0</v>
      </c>
      <c r="R46" s="62">
        <f>SUMIFS($L$7:$L$1260,$C$7:$C$1260,R$6,$B$7:$B$1260,$O46,$A$7:$A$1260,$N46)</f>
        <v>0</v>
      </c>
      <c r="S46" s="63">
        <f>SUM(P46:R46)</f>
        <v>776164.13</v>
      </c>
    </row>
    <row r="47" spans="1:19" ht="15.75" outlineLevel="1" thickBot="1">
      <c r="A47" s="24" t="str">
        <f t="shared" si="7"/>
        <v>GERAL</v>
      </c>
      <c r="B47" s="24" t="str">
        <f t="shared" si="7"/>
        <v>1° PAV. TÉRREO</v>
      </c>
      <c r="C47" s="24" t="s">
        <v>221</v>
      </c>
      <c r="D47" s="80" t="str">
        <f>_xlfn.XLOOKUP('Equipamentos de emergência'!E47,Térreo!$D$6:$D$66,Térreo!$C$6:$C$66)</f>
        <v>Anunciadores</v>
      </c>
      <c r="E47" s="30" t="str">
        <f>Térreo!D7</f>
        <v>Anunciador Audiovisual de Alarme de Incêndio de Parede</v>
      </c>
      <c r="F47" s="25">
        <f>Térreo!E7</f>
        <v>11</v>
      </c>
      <c r="G47" s="25">
        <v>1</v>
      </c>
      <c r="H47" s="25">
        <v>0</v>
      </c>
      <c r="I47" s="25">
        <f t="shared" si="8"/>
        <v>11</v>
      </c>
      <c r="J47" s="25" t="s">
        <v>16</v>
      </c>
      <c r="K47" s="26">
        <f>_xlfn.XLOOKUP($E47,PREÇO!$C$7:$C$91,PREÇO!$E$7:$E$91)</f>
        <v>191.81</v>
      </c>
      <c r="L47" s="66">
        <f>IF(SUM(F47:K47)=0,SUMIFS($L48:$L$1593,$B48:$B$1593,$B47,$A48:$A$1593,$A47),I47*K47)</f>
        <v>2109.91</v>
      </c>
      <c r="N47" s="60" t="s">
        <v>19</v>
      </c>
      <c r="O47" s="61"/>
      <c r="P47" s="64">
        <f>SUMIFS($L$7:$L$1260,$C$7:$C$1260,P$6,$B$7:$B$1260,$O47,$A$7:$A$1260,$N47)</f>
        <v>0</v>
      </c>
      <c r="Q47" s="64">
        <f>SUMIFS($L$7:$L$1260,$C$7:$C$1260,Q$6,$B$7:$B$1260,$O47,$A$7:$A$1260,$N47)</f>
        <v>0</v>
      </c>
      <c r="R47" s="64">
        <f>SUMIFS($L$7:$L$1260,$C$7:$C$1260,R$6,$B$7:$B$1260,$O47,$A$7:$A$1260,$N47)</f>
        <v>0</v>
      </c>
      <c r="S47" s="65">
        <f>SUM(P47:R47)</f>
        <v>0</v>
      </c>
    </row>
    <row r="48" spans="1:19" outlineLevel="1">
      <c r="A48" s="24" t="str">
        <f t="shared" si="7"/>
        <v>GERAL</v>
      </c>
      <c r="B48" s="24" t="str">
        <f t="shared" si="7"/>
        <v>1° PAV. TÉRREO</v>
      </c>
      <c r="C48" s="24" t="s">
        <v>221</v>
      </c>
      <c r="D48" s="80" t="str">
        <f>_xlfn.XLOOKUP('Equipamentos de emergência'!E48,Térreo!$D$6:$D$66,Térreo!$C$6:$C$66)</f>
        <v>Atuadores</v>
      </c>
      <c r="E48" s="30" t="str">
        <f>Térreo!D8</f>
        <v>Atuador Janela Desenfumagem</v>
      </c>
      <c r="F48" s="25">
        <f>Térreo!E8</f>
        <v>1</v>
      </c>
      <c r="G48" s="25">
        <v>1</v>
      </c>
      <c r="H48" s="25">
        <v>0</v>
      </c>
      <c r="I48" s="25">
        <f t="shared" si="8"/>
        <v>1</v>
      </c>
      <c r="J48" s="25" t="s">
        <v>16</v>
      </c>
      <c r="K48" s="26">
        <f>_xlfn.XLOOKUP($E48,PREÇO!$C$7:$C$91,PREÇO!$E$7:$E$91)</f>
        <v>1150</v>
      </c>
      <c r="L48" s="66">
        <f>IF(SUM(F48:K48)=0,SUMIFS($L49:$L$1593,$B49:$B$1593,$B48,$A49:$A$1593,$A48),I48*K48)</f>
        <v>1150</v>
      </c>
      <c r="N48"/>
      <c r="O48"/>
      <c r="P48" s="114">
        <f>SUM(P7:P47)</f>
        <v>1589806.7729000002</v>
      </c>
      <c r="Q48" s="114">
        <f t="shared" ref="Q48:R48" si="9">SUM(Q7:Q47)</f>
        <v>125358.5</v>
      </c>
      <c r="R48" s="114">
        <f t="shared" si="9"/>
        <v>239901.02000000005</v>
      </c>
      <c r="S48" s="104">
        <f>SUM(S7:S47)</f>
        <v>1955066.2928999998</v>
      </c>
    </row>
    <row r="49" spans="1:18" outlineLevel="1">
      <c r="A49" s="24" t="str">
        <f t="shared" ref="A49:B49" si="10">A48</f>
        <v>GERAL</v>
      </c>
      <c r="B49" s="24" t="str">
        <f t="shared" si="10"/>
        <v>1° PAV. TÉRREO</v>
      </c>
      <c r="C49" s="24" t="s">
        <v>221</v>
      </c>
      <c r="D49" s="80" t="str">
        <f>_xlfn.XLOOKUP('Equipamentos de emergência'!E49,Térreo!$D$6:$D$66,Térreo!$C$6:$C$66)</f>
        <v>Central de Alarme</v>
      </c>
      <c r="E49" s="30" t="str">
        <f>Térreo!D9</f>
        <v>Central de Alarme de Incêndio</v>
      </c>
      <c r="F49" s="25">
        <f>Térreo!E9</f>
        <v>2</v>
      </c>
      <c r="G49" s="25">
        <v>1</v>
      </c>
      <c r="H49" s="25">
        <v>0</v>
      </c>
      <c r="I49" s="25">
        <f t="shared" ref="I49:I68" si="11">(F49+H49*F49)*G49</f>
        <v>2</v>
      </c>
      <c r="J49" s="25" t="s">
        <v>16</v>
      </c>
      <c r="K49" s="26">
        <f>_xlfn.XLOOKUP($E49,PREÇO!$C$7:$C$91,PREÇO!$E$7:$E$91)</f>
        <v>855.86</v>
      </c>
      <c r="L49" s="66">
        <f>IF(SUM(F49:K49)=0,SUMIFS($L50:$L$1593,$B50:$B$1593,$B49,$A50:$A$1593,$A49),I49*K49)</f>
        <v>1711.72</v>
      </c>
      <c r="N49"/>
      <c r="O49"/>
      <c r="P49"/>
      <c r="Q49"/>
      <c r="R49"/>
    </row>
    <row r="50" spans="1:18" outlineLevel="1">
      <c r="A50" s="24" t="str">
        <f t="shared" ref="A50:B50" si="12">A49</f>
        <v>GERAL</v>
      </c>
      <c r="B50" s="24" t="str">
        <f t="shared" si="12"/>
        <v>1° PAV. TÉRREO</v>
      </c>
      <c r="C50" s="24" t="s">
        <v>221</v>
      </c>
      <c r="D50" s="80" t="str">
        <f>_xlfn.XLOOKUP('Equipamentos de emergência'!E50,Térreo!$D$6:$D$66,Térreo!$C$6:$C$66)</f>
        <v>Central de Alarme</v>
      </c>
      <c r="E50" s="30" t="str">
        <f>Térreo!D10</f>
        <v>Repetidor para Central de Alarme de Incêndio</v>
      </c>
      <c r="F50" s="25">
        <f>Térreo!E10</f>
        <v>1</v>
      </c>
      <c r="G50" s="25">
        <v>1</v>
      </c>
      <c r="H50" s="25">
        <v>0</v>
      </c>
      <c r="I50" s="25">
        <f t="shared" si="11"/>
        <v>1</v>
      </c>
      <c r="J50" s="25" t="s">
        <v>16</v>
      </c>
      <c r="K50" s="26">
        <f>_xlfn.XLOOKUP($E50,PREÇO!$C$7:$C$91,PREÇO!$E$7:$E$91)</f>
        <v>922.9</v>
      </c>
      <c r="L50" s="66">
        <f>IF(SUM(F50:K50)=0,SUMIFS($L51:$L$1593,$B51:$B$1593,$B50,$A51:$A$1593,$A50),I50*K50)</f>
        <v>922.9</v>
      </c>
      <c r="N50"/>
      <c r="O50"/>
      <c r="P50"/>
      <c r="Q50"/>
      <c r="R50"/>
    </row>
    <row r="51" spans="1:18" outlineLevel="1">
      <c r="A51" s="24" t="str">
        <f t="shared" ref="A51:B51" si="13">A50</f>
        <v>GERAL</v>
      </c>
      <c r="B51" s="24" t="str">
        <f t="shared" si="13"/>
        <v>1° PAV. TÉRREO</v>
      </c>
      <c r="C51" s="24" t="s">
        <v>221</v>
      </c>
      <c r="D51" s="80" t="str">
        <f>_xlfn.XLOOKUP('Equipamentos de emergência'!E51,Térreo!$D$6:$D$66,Térreo!$C$6:$C$66)</f>
        <v>Sensores</v>
      </c>
      <c r="E51" s="30" t="str">
        <f>Térreo!D11</f>
        <v>Sensor de Fumaça</v>
      </c>
      <c r="F51" s="25">
        <f>Térreo!E11</f>
        <v>14</v>
      </c>
      <c r="G51" s="25">
        <v>1</v>
      </c>
      <c r="H51" s="25">
        <v>0</v>
      </c>
      <c r="I51" s="25">
        <f t="shared" si="11"/>
        <v>14</v>
      </c>
      <c r="J51" s="25" t="s">
        <v>16</v>
      </c>
      <c r="K51" s="26">
        <f>_xlfn.XLOOKUP($E51,PREÇO!$C$7:$C$91,PREÇO!$E$7:$E$91)</f>
        <v>53.9</v>
      </c>
      <c r="L51" s="66">
        <f>IF(SUM(F51:K51)=0,SUMIFS($L52:$L$1593,$B52:$B$1593,$B51,$A52:$A$1593,$A51),I51*K51)</f>
        <v>754.6</v>
      </c>
      <c r="N51"/>
      <c r="O51"/>
      <c r="P51"/>
      <c r="Q51"/>
      <c r="R51"/>
    </row>
    <row r="52" spans="1:18" outlineLevel="1">
      <c r="A52" s="24" t="str">
        <f t="shared" ref="A52:B52" si="14">A51</f>
        <v>GERAL</v>
      </c>
      <c r="B52" s="24" t="str">
        <f t="shared" si="14"/>
        <v>1° PAV. TÉRREO</v>
      </c>
      <c r="C52" s="24" t="s">
        <v>221</v>
      </c>
      <c r="D52" s="80" t="str">
        <f>_xlfn.XLOOKUP('Equipamentos de emergência'!E52,Térreo!$D$6:$D$66,Térreo!$C$6:$C$66)</f>
        <v>Sensores</v>
      </c>
      <c r="E52" s="30" t="str">
        <f>Térreo!D12</f>
        <v>Sensor de Fumaça para Duto</v>
      </c>
      <c r="F52" s="25">
        <f>Térreo!E12</f>
        <v>1</v>
      </c>
      <c r="G52" s="25">
        <v>1</v>
      </c>
      <c r="H52" s="25">
        <v>0</v>
      </c>
      <c r="I52" s="25">
        <f t="shared" si="11"/>
        <v>1</v>
      </c>
      <c r="J52" s="25" t="s">
        <v>16</v>
      </c>
      <c r="K52" s="26">
        <f>_xlfn.XLOOKUP($E52,PREÇO!$C$7:$C$91,PREÇO!$E$7:$E$91)</f>
        <v>3680</v>
      </c>
      <c r="L52" s="66">
        <f>IF(SUM(F52:K52)=0,SUMIFS($L53:$L$1593,$B53:$B$1593,$B52,$A53:$A$1593,$A52),I52*K52)</f>
        <v>3680</v>
      </c>
      <c r="N52"/>
      <c r="O52"/>
      <c r="P52"/>
      <c r="Q52"/>
      <c r="R52"/>
    </row>
    <row r="53" spans="1:18" outlineLevel="1">
      <c r="A53" s="24" t="str">
        <f t="shared" ref="A53" si="15">A52</f>
        <v>GERAL</v>
      </c>
      <c r="B53" s="24" t="str">
        <f t="shared" ref="B53" si="16">B52</f>
        <v>1° PAV. TÉRREO</v>
      </c>
      <c r="C53" s="24" t="s">
        <v>221</v>
      </c>
      <c r="D53" s="80" t="str">
        <f>_xlfn.XLOOKUP('Equipamentos de emergência'!E53,Térreo!$D$6:$D$66,Térreo!$C$6:$C$66)</f>
        <v>Caixas</v>
      </c>
      <c r="E53" s="30" t="str">
        <f>Térreo!D15</f>
        <v>Caixa Octogonal Padrão NBR IEC 60670</v>
      </c>
      <c r="F53" s="25">
        <f>Térreo!E15</f>
        <v>116</v>
      </c>
      <c r="G53" s="25">
        <v>1</v>
      </c>
      <c r="H53" s="25">
        <v>0</v>
      </c>
      <c r="I53" s="25">
        <f t="shared" si="11"/>
        <v>116</v>
      </c>
      <c r="J53" s="25" t="s">
        <v>16</v>
      </c>
      <c r="K53" s="26">
        <f>_xlfn.XLOOKUP($E53,PREÇO!$C$7:$C$91,PREÇO!$E$7:$E$91)</f>
        <v>5.32</v>
      </c>
      <c r="L53" s="66">
        <f>IF(SUM(F53:K53)=0,SUMIFS($L54:$L$1593,$B54:$B$1593,$B53,$A54:$A$1593,$A53),I53*K53)</f>
        <v>617.12</v>
      </c>
      <c r="N53"/>
      <c r="O53"/>
      <c r="P53"/>
      <c r="Q53"/>
      <c r="R53"/>
    </row>
    <row r="54" spans="1:18" outlineLevel="1">
      <c r="A54" s="24" t="str">
        <f t="shared" ref="A54" si="17">A53</f>
        <v>GERAL</v>
      </c>
      <c r="B54" s="24" t="str">
        <f t="shared" ref="B54" si="18">B53</f>
        <v>1° PAV. TÉRREO</v>
      </c>
      <c r="C54" s="24" t="s">
        <v>221</v>
      </c>
      <c r="D54" s="80" t="str">
        <f>_xlfn.XLOOKUP('Equipamentos de emergência'!E54,Térreo!$D$6:$D$66,Térreo!$C$6:$C$66)</f>
        <v>Placas</v>
      </c>
      <c r="E54" s="30" t="str">
        <f>Térreo!D16</f>
        <v>Placa cega para caixa octogonal Padrão NBR IEC 60670</v>
      </c>
      <c r="F54" s="25">
        <f>Térreo!E16</f>
        <v>41</v>
      </c>
      <c r="G54" s="25">
        <v>1</v>
      </c>
      <c r="H54" s="25">
        <v>0</v>
      </c>
      <c r="I54" s="25">
        <f t="shared" si="11"/>
        <v>41</v>
      </c>
      <c r="J54" s="25" t="s">
        <v>16</v>
      </c>
      <c r="K54" s="26">
        <f>_xlfn.XLOOKUP($E54,PREÇO!$C$7:$C$91,PREÇO!$E$7:$E$91)</f>
        <v>2.5</v>
      </c>
      <c r="L54" s="66">
        <f>IF(SUM(F54:K54)=0,SUMIFS($L55:$L$1593,$B55:$B$1593,$B54,$A55:$A$1593,$A54),I54*K54)</f>
        <v>102.5</v>
      </c>
      <c r="N54"/>
      <c r="O54"/>
      <c r="P54"/>
      <c r="Q54"/>
      <c r="R54"/>
    </row>
    <row r="55" spans="1:18" outlineLevel="1">
      <c r="A55" s="24" t="str">
        <f t="shared" ref="A55" si="19">A54</f>
        <v>GERAL</v>
      </c>
      <c r="B55" s="24" t="str">
        <f t="shared" ref="B55" si="20">B54</f>
        <v>1° PAV. TÉRREO</v>
      </c>
      <c r="C55" s="24" t="s">
        <v>221</v>
      </c>
      <c r="D55" s="80" t="str">
        <f>_xlfn.XLOOKUP('Equipamentos de emergência'!E55,Térreo!$D$6:$D$66,Térreo!$C$6:$C$66)</f>
        <v>Caixas</v>
      </c>
      <c r="E55" s="30" t="str">
        <f>Térreo!D19</f>
        <v>Caixa 4x2" de Embutir em PVC Padrão NBR IEC 60670</v>
      </c>
      <c r="F55" s="25">
        <f>Térreo!E19</f>
        <v>197</v>
      </c>
      <c r="G55" s="25">
        <v>1</v>
      </c>
      <c r="H55" s="25">
        <v>0</v>
      </c>
      <c r="I55" s="25">
        <f t="shared" si="11"/>
        <v>197</v>
      </c>
      <c r="J55" s="25" t="s">
        <v>16</v>
      </c>
      <c r="K55" s="26">
        <f>_xlfn.XLOOKUP($E55,PREÇO!$C$7:$C$91,PREÇO!$E$7:$E$91)</f>
        <v>1.72</v>
      </c>
      <c r="L55" s="66">
        <f>IF(SUM(F55:K55)=0,SUMIFS($L56:$L$1593,$B56:$B$1593,$B55,$A56:$A$1593,$A55),I55*K55)</f>
        <v>338.84</v>
      </c>
      <c r="N55"/>
      <c r="O55"/>
      <c r="P55"/>
      <c r="Q55"/>
      <c r="R55"/>
    </row>
    <row r="56" spans="1:18" outlineLevel="1">
      <c r="A56" s="24" t="str">
        <f t="shared" ref="A56" si="21">A55</f>
        <v>GERAL</v>
      </c>
      <c r="B56" s="24" t="str">
        <f t="shared" ref="B56" si="22">B55</f>
        <v>1° PAV. TÉRREO</v>
      </c>
      <c r="C56" s="24" t="s">
        <v>221</v>
      </c>
      <c r="D56" s="80" t="str">
        <f>_xlfn.XLOOKUP('Equipamentos de emergência'!E56,Térreo!$D$6:$D$66,Térreo!$C$6:$C$66)</f>
        <v>Caixas</v>
      </c>
      <c r="E56" s="30" t="str">
        <f>Térreo!D20</f>
        <v>Caixa 4x4" de Embutir em PVC Padrão NBR IEC 60670</v>
      </c>
      <c r="F56" s="25">
        <f>Térreo!E20</f>
        <v>2</v>
      </c>
      <c r="G56" s="25">
        <v>1</v>
      </c>
      <c r="H56" s="25">
        <v>0</v>
      </c>
      <c r="I56" s="25">
        <f t="shared" si="11"/>
        <v>2</v>
      </c>
      <c r="J56" s="25" t="s">
        <v>16</v>
      </c>
      <c r="K56" s="26">
        <f>_xlfn.XLOOKUP($E56,PREÇO!$C$7:$C$91,PREÇO!$E$7:$E$91)</f>
        <v>1.72</v>
      </c>
      <c r="L56" s="66">
        <f>IF(SUM(F56:K56)=0,SUMIFS($L57:$L$1593,$B57:$B$1593,$B56,$A57:$A$1593,$A56),I56*K56)</f>
        <v>3.44</v>
      </c>
      <c r="N56"/>
      <c r="O56"/>
      <c r="P56"/>
      <c r="Q56"/>
      <c r="R56"/>
    </row>
    <row r="57" spans="1:18" outlineLevel="1">
      <c r="A57" s="24" t="str">
        <f t="shared" ref="A57" si="23">A56</f>
        <v>GERAL</v>
      </c>
      <c r="B57" s="24" t="str">
        <f t="shared" ref="B57" si="24">B56</f>
        <v>1° PAV. TÉRREO</v>
      </c>
      <c r="C57" s="24" t="s">
        <v>221</v>
      </c>
      <c r="D57" s="80" t="str">
        <f>_xlfn.XLOOKUP('Equipamentos de emergência'!E57,Térreo!$D$6:$D$66,Térreo!$C$6:$C$66)</f>
        <v>Placas</v>
      </c>
      <c r="E57" s="30" t="str">
        <f>Térreo!D21</f>
        <v>Placa 4x2" cega Padrão NBR IEC 60670</v>
      </c>
      <c r="F57" s="25">
        <f>Térreo!E21</f>
        <v>113</v>
      </c>
      <c r="G57" s="25">
        <v>1</v>
      </c>
      <c r="H57" s="25">
        <v>0</v>
      </c>
      <c r="I57" s="25">
        <f t="shared" si="11"/>
        <v>113</v>
      </c>
      <c r="J57" s="25" t="s">
        <v>16</v>
      </c>
      <c r="K57" s="26">
        <f>_xlfn.XLOOKUP($E57,PREÇO!$C$7:$C$91,PREÇO!$E$7:$E$91)</f>
        <v>4.59</v>
      </c>
      <c r="L57" s="66">
        <f>IF(SUM(F57:K57)=0,SUMIFS($L58:$L$1593,$B58:$B$1593,$B57,$A58:$A$1593,$A57),I57*K57)</f>
        <v>518.66999999999996</v>
      </c>
      <c r="N57"/>
      <c r="O57"/>
      <c r="P57"/>
      <c r="Q57"/>
      <c r="R57"/>
    </row>
    <row r="58" spans="1:18" outlineLevel="1">
      <c r="A58" s="24" t="str">
        <f t="shared" ref="A58" si="25">A57</f>
        <v>GERAL</v>
      </c>
      <c r="B58" s="24" t="str">
        <f t="shared" ref="B58" si="26">B57</f>
        <v>1° PAV. TÉRREO</v>
      </c>
      <c r="C58" s="24" t="s">
        <v>221</v>
      </c>
      <c r="D58" s="80" t="str">
        <f>_xlfn.XLOOKUP('Equipamentos de emergência'!E58,Térreo!$D$6:$D$66,Térreo!$C$6:$C$66)</f>
        <v>Placas</v>
      </c>
      <c r="E58" s="30" t="str">
        <f>Térreo!D22</f>
        <v>Placa 4x2" com furo para saída de cabos Padrão NBR IEC 60670</v>
      </c>
      <c r="F58" s="25">
        <f>Térreo!E22</f>
        <v>84</v>
      </c>
      <c r="G58" s="25">
        <v>1</v>
      </c>
      <c r="H58" s="25">
        <v>0</v>
      </c>
      <c r="I58" s="25">
        <f t="shared" si="11"/>
        <v>84</v>
      </c>
      <c r="J58" s="25" t="s">
        <v>16</v>
      </c>
      <c r="K58" s="26">
        <f>_xlfn.XLOOKUP($E58,PREÇO!$C$7:$C$91,PREÇO!$E$7:$E$91)</f>
        <v>6.55</v>
      </c>
      <c r="L58" s="66">
        <f>IF(SUM(F58:K58)=0,SUMIFS($L59:$L$1593,$B59:$B$1593,$B58,$A59:$A$1593,$A58),I58*K58)</f>
        <v>550.19999999999993</v>
      </c>
      <c r="N58"/>
      <c r="O58"/>
      <c r="P58"/>
      <c r="Q58"/>
      <c r="R58"/>
    </row>
    <row r="59" spans="1:18" outlineLevel="1">
      <c r="A59" s="24" t="str">
        <f t="shared" ref="A59" si="27">A58</f>
        <v>GERAL</v>
      </c>
      <c r="B59" s="24" t="str">
        <f t="shared" ref="B59" si="28">B58</f>
        <v>1° PAV. TÉRREO</v>
      </c>
      <c r="C59" s="24" t="s">
        <v>221</v>
      </c>
      <c r="D59" s="80" t="str">
        <f>_xlfn.XLOOKUP('Equipamentos de emergência'!E59,Térreo!$D$6:$D$66,Térreo!$C$6:$C$66)</f>
        <v>Placas</v>
      </c>
      <c r="E59" s="30" t="str">
        <f>Térreo!D23</f>
        <v>Placa 4x4" cega Padrão NBR IEC 60670</v>
      </c>
      <c r="F59" s="25">
        <f>Térreo!E23</f>
        <v>2</v>
      </c>
      <c r="G59" s="25">
        <v>1</v>
      </c>
      <c r="H59" s="25">
        <v>0</v>
      </c>
      <c r="I59" s="25">
        <f t="shared" si="11"/>
        <v>2</v>
      </c>
      <c r="J59" s="25" t="s">
        <v>16</v>
      </c>
      <c r="K59" s="26">
        <f>_xlfn.XLOOKUP($E59,PREÇO!$C$7:$C$91,PREÇO!$E$7:$E$91)</f>
        <v>12.25</v>
      </c>
      <c r="L59" s="66">
        <f>IF(SUM(F59:K59)=0,SUMIFS($L60:$L$1593,$B60:$B$1593,$B59,$A60:$A$1593,$A59),I59*K59)</f>
        <v>24.5</v>
      </c>
      <c r="N59"/>
      <c r="O59"/>
      <c r="P59"/>
      <c r="Q59"/>
      <c r="R59"/>
    </row>
    <row r="60" spans="1:18" outlineLevel="1">
      <c r="A60" s="24" t="str">
        <f t="shared" ref="A60" si="29">A59</f>
        <v>GERAL</v>
      </c>
      <c r="B60" s="24" t="str">
        <f t="shared" ref="B60" si="30">B59</f>
        <v>1° PAV. TÉRREO</v>
      </c>
      <c r="C60" s="24" t="s">
        <v>221</v>
      </c>
      <c r="D60" s="80" t="str">
        <f>_xlfn.XLOOKUP('Equipamentos de emergência'!E60,Térreo!$D$6:$D$66,Térreo!$C$6:$C$66)</f>
        <v>Suportes</v>
      </c>
      <c r="E60" s="30" t="str">
        <f>Térreo!D24</f>
        <v>Suporte p/ caixa 4x2" Padrão NBR IEC 60670</v>
      </c>
      <c r="F60" s="25">
        <f>Térreo!E24</f>
        <v>197</v>
      </c>
      <c r="G60" s="25">
        <v>1</v>
      </c>
      <c r="H60" s="25">
        <v>0</v>
      </c>
      <c r="I60" s="25">
        <f t="shared" si="11"/>
        <v>197</v>
      </c>
      <c r="J60" s="25" t="s">
        <v>16</v>
      </c>
      <c r="K60" s="26">
        <f>_xlfn.XLOOKUP($E60,PREÇO!$C$7:$C$91,PREÇO!$E$7:$E$91)</f>
        <v>1.85</v>
      </c>
      <c r="L60" s="66">
        <f>IF(SUM(F60:K60)=0,SUMIFS($L61:$L$1593,$B61:$B$1593,$B60,$A61:$A$1593,$A60),I60*K60)</f>
        <v>364.45000000000005</v>
      </c>
      <c r="N60"/>
      <c r="O60"/>
      <c r="P60"/>
      <c r="Q60"/>
      <c r="R60"/>
    </row>
    <row r="61" spans="1:18" outlineLevel="1">
      <c r="A61" s="24" t="str">
        <f t="shared" ref="A61" si="31">A60</f>
        <v>GERAL</v>
      </c>
      <c r="B61" s="24" t="str">
        <f t="shared" ref="B61" si="32">B60</f>
        <v>1° PAV. TÉRREO</v>
      </c>
      <c r="C61" s="24" t="s">
        <v>221</v>
      </c>
      <c r="D61" s="80" t="str">
        <f>_xlfn.XLOOKUP('Equipamentos de emergência'!E61,Térreo!$D$6:$D$66,Térreo!$C$6:$C$66)</f>
        <v>Suportes</v>
      </c>
      <c r="E61" s="30" t="str">
        <f>Térreo!D25</f>
        <v>Suporte p/ caixa 4x4" Padrão NBR IEC 60670</v>
      </c>
      <c r="F61" s="25">
        <f>Térreo!E25</f>
        <v>2</v>
      </c>
      <c r="G61" s="25">
        <v>1</v>
      </c>
      <c r="H61" s="25">
        <v>0</v>
      </c>
      <c r="I61" s="25">
        <f t="shared" si="11"/>
        <v>2</v>
      </c>
      <c r="J61" s="25" t="s">
        <v>16</v>
      </c>
      <c r="K61" s="26">
        <f>_xlfn.XLOOKUP($E61,PREÇO!$C$7:$C$91,PREÇO!$E$7:$E$91)</f>
        <v>3.15</v>
      </c>
      <c r="L61" s="66">
        <f>IF(SUM(F61:K61)=0,SUMIFS($L62:$L$1593,$B62:$B$1593,$B61,$A62:$A$1593,$A61),I61*K61)</f>
        <v>6.3</v>
      </c>
      <c r="N61"/>
      <c r="O61"/>
      <c r="P61"/>
      <c r="Q61"/>
      <c r="R61"/>
    </row>
    <row r="62" spans="1:18" outlineLevel="1">
      <c r="A62" s="24" t="str">
        <f t="shared" ref="A62" si="33">A61</f>
        <v>GERAL</v>
      </c>
      <c r="B62" s="24" t="str">
        <f t="shared" ref="B62" si="34">B61</f>
        <v>1° PAV. TÉRREO</v>
      </c>
      <c r="C62" s="24" t="s">
        <v>221</v>
      </c>
      <c r="D62" s="80" t="str">
        <f>_xlfn.XLOOKUP('Equipamentos de emergência'!E62,Térreo!$D$6:$D$66,Térreo!$C$6:$C$66)</f>
        <v>Embutir</v>
      </c>
      <c r="E62" s="30" t="str">
        <f>Térreo!D28</f>
        <v>Cx de passagem de embutir com dimensão de 50x50x15 cm</v>
      </c>
      <c r="F62" s="25">
        <f>Térreo!E28</f>
        <v>1</v>
      </c>
      <c r="G62" s="25">
        <v>1</v>
      </c>
      <c r="H62" s="25">
        <v>0</v>
      </c>
      <c r="I62" s="25">
        <f t="shared" si="11"/>
        <v>1</v>
      </c>
      <c r="J62" s="25" t="s">
        <v>16</v>
      </c>
      <c r="K62" s="26">
        <f>_xlfn.XLOOKUP($E62,PREÇO!$C$7:$C$91,PREÇO!$E$7:$E$91)</f>
        <v>291.60000000000002</v>
      </c>
      <c r="L62" s="66">
        <f>IF(SUM(F62:K62)=0,SUMIFS($L63:$L$1593,$B63:$B$1593,$B62,$A63:$A$1593,$A62),I62*K62)</f>
        <v>291.60000000000002</v>
      </c>
      <c r="N62"/>
      <c r="O62" s="28"/>
      <c r="P62" s="28"/>
      <c r="Q62" s="28"/>
      <c r="R62" s="28"/>
    </row>
    <row r="63" spans="1:18" outlineLevel="1">
      <c r="A63" s="24" t="str">
        <f t="shared" ref="A63" si="35">A62</f>
        <v>GERAL</v>
      </c>
      <c r="B63" s="24" t="str">
        <f t="shared" ref="B63" si="36">B62</f>
        <v>1° PAV. TÉRREO</v>
      </c>
      <c r="C63" s="24" t="s">
        <v>221</v>
      </c>
      <c r="D63" s="80" t="s">
        <v>46</v>
      </c>
      <c r="E63" s="30" t="str">
        <f>Térreo!C31&amp;" "&amp;Térreo!D31</f>
        <v>PVC Flexível Antichama - NBR 15465 ø1"</v>
      </c>
      <c r="F63" s="25">
        <f>Térreo!E31</f>
        <v>205.47</v>
      </c>
      <c r="G63" s="25">
        <v>1</v>
      </c>
      <c r="H63" s="25">
        <v>0</v>
      </c>
      <c r="I63" s="25">
        <f t="shared" si="11"/>
        <v>205.47</v>
      </c>
      <c r="J63" s="25" t="s">
        <v>16</v>
      </c>
      <c r="K63" s="26">
        <f>_xlfn.XLOOKUP($E63,PREÇO!$C$7:$C$91,PREÇO!$E$7:$E$91)</f>
        <v>2.5299999999999998</v>
      </c>
      <c r="L63" s="66">
        <f>IF(SUM(F63:K63)=0,SUMIFS($L64:$L$1593,$B64:$B$1593,$B63,$A64:$A$1593,$A63),I63*K63)</f>
        <v>519.83909999999992</v>
      </c>
      <c r="N63"/>
      <c r="O63"/>
      <c r="P63" s="28"/>
      <c r="Q63" s="28"/>
      <c r="R63" s="28"/>
    </row>
    <row r="64" spans="1:18" outlineLevel="1">
      <c r="A64" s="24" t="str">
        <f t="shared" ref="A64" si="37">A63</f>
        <v>GERAL</v>
      </c>
      <c r="B64" s="24" t="str">
        <f t="shared" ref="B64" si="38">B63</f>
        <v>1° PAV. TÉRREO</v>
      </c>
      <c r="C64" s="24" t="s">
        <v>221</v>
      </c>
      <c r="D64" s="80" t="s">
        <v>46</v>
      </c>
      <c r="E64" s="30" t="str">
        <f>Térreo!C32&amp;" "&amp;Térreo!D32</f>
        <v>PVC Flexível Antichama - NBR 15465 ø3/4"</v>
      </c>
      <c r="F64" s="25">
        <f>Térreo!E32</f>
        <v>690.61</v>
      </c>
      <c r="G64" s="25">
        <v>1</v>
      </c>
      <c r="H64" s="25">
        <v>0</v>
      </c>
      <c r="I64" s="25">
        <f t="shared" si="11"/>
        <v>690.61</v>
      </c>
      <c r="J64" s="25" t="s">
        <v>16</v>
      </c>
      <c r="K64" s="26">
        <f>_xlfn.XLOOKUP($E64,PREÇO!$C$7:$C$91,PREÇO!$E$7:$E$91)</f>
        <v>1.8</v>
      </c>
      <c r="L64" s="66">
        <f>IF(SUM(F64:K64)=0,SUMIFS($L65:$L$1593,$B65:$B$1593,$B64,$A65:$A$1593,$A64),I64*K64)</f>
        <v>1243.098</v>
      </c>
      <c r="N64"/>
      <c r="O64"/>
      <c r="P64" s="28"/>
      <c r="Q64" s="28"/>
      <c r="R64" s="28"/>
    </row>
    <row r="65" spans="1:18" outlineLevel="1">
      <c r="A65" s="24" t="str">
        <f t="shared" ref="A65" si="39">A64</f>
        <v>GERAL</v>
      </c>
      <c r="B65" s="24" t="str">
        <f t="shared" ref="B65" si="40">B64</f>
        <v>1° PAV. TÉRREO</v>
      </c>
      <c r="C65" s="88" t="s">
        <v>220</v>
      </c>
      <c r="D65" s="80" t="str">
        <f>_xlfn.XLOOKUP('Equipamentos de emergência'!E65,Térreo!$D$6:$D$66,Térreo!$C$6:$C$66)</f>
        <v>Blocos Autônomos</v>
      </c>
      <c r="E65" s="30" t="str">
        <f>Térreo!D35</f>
        <v>Luminária de Emergência de Parede - Autônoma</v>
      </c>
      <c r="F65" s="25">
        <f>Térreo!E35</f>
        <v>8</v>
      </c>
      <c r="G65" s="25">
        <v>1</v>
      </c>
      <c r="H65" s="25">
        <v>0</v>
      </c>
      <c r="I65" s="25">
        <f t="shared" si="11"/>
        <v>8</v>
      </c>
      <c r="J65" s="25" t="s">
        <v>16</v>
      </c>
      <c r="K65" s="26">
        <f>_xlfn.XLOOKUP($E65,PREÇO!$C$7:$C$91,PREÇO!$E$7:$E$91)</f>
        <v>59.9</v>
      </c>
      <c r="L65" s="66">
        <f>IF(SUM(F65:K65)=0,SUMIFS($L66:$L$1593,$B66:$B$1593,$B65,$A66:$A$1593,$A65),I65*K65)</f>
        <v>479.2</v>
      </c>
      <c r="N65"/>
      <c r="O65"/>
      <c r="P65" s="28"/>
      <c r="Q65" s="28"/>
      <c r="R65" s="28"/>
    </row>
    <row r="66" spans="1:18" outlineLevel="1">
      <c r="A66" s="24" t="str">
        <f t="shared" ref="A66" si="41">A65</f>
        <v>GERAL</v>
      </c>
      <c r="B66" s="24" t="str">
        <f t="shared" ref="B66" si="42">B65</f>
        <v>1° PAV. TÉRREO</v>
      </c>
      <c r="C66" s="88" t="s">
        <v>220</v>
      </c>
      <c r="D66" s="80" t="str">
        <f>_xlfn.XLOOKUP('Equipamentos de emergência'!E66,Térreo!$D$6:$D$66,Térreo!$C$6:$C$66)</f>
        <v>Blocos Autônomos</v>
      </c>
      <c r="E66" s="30" t="str">
        <f>Térreo!D36</f>
        <v>Placa de Saída de Parede sem Direção - Autônoma</v>
      </c>
      <c r="F66" s="25">
        <f>Térreo!E36</f>
        <v>1</v>
      </c>
      <c r="G66" s="25">
        <v>1</v>
      </c>
      <c r="H66" s="25">
        <v>0</v>
      </c>
      <c r="I66" s="25">
        <f t="shared" si="11"/>
        <v>1</v>
      </c>
      <c r="J66" s="25" t="s">
        <v>16</v>
      </c>
      <c r="K66" s="26">
        <f>_xlfn.XLOOKUP($E66,PREÇO!$C$7:$C$91,PREÇO!$E$7:$E$91)</f>
        <v>62.9</v>
      </c>
      <c r="L66" s="66">
        <f>IF(SUM(F66:K66)=0,SUMIFS($L67:$L$1593,$B67:$B$1593,$B66,$A67:$A$1593,$A66),I66*K66)</f>
        <v>62.9</v>
      </c>
      <c r="N66"/>
      <c r="O66"/>
      <c r="P66" s="28"/>
      <c r="Q66" s="28"/>
      <c r="R66" s="28"/>
    </row>
    <row r="67" spans="1:18" outlineLevel="1">
      <c r="A67" s="24" t="str">
        <f t="shared" ref="A67" si="43">A66</f>
        <v>GERAL</v>
      </c>
      <c r="B67" s="24" t="str">
        <f t="shared" ref="B67" si="44">B66</f>
        <v>1° PAV. TÉRREO</v>
      </c>
      <c r="C67" s="88" t="s">
        <v>220</v>
      </c>
      <c r="D67" s="80" t="str">
        <f>_xlfn.XLOOKUP('Equipamentos de emergência'!E67,Térreo!$D$6:$D$66,Térreo!$C$6:$C$66)</f>
        <v>Blocos Autônomos</v>
      </c>
      <c r="E67" s="30" t="str">
        <f>Térreo!D37</f>
        <v>Placa de Saída de Teto sem Direção - Autônoma</v>
      </c>
      <c r="F67" s="25">
        <f>Térreo!E37</f>
        <v>3</v>
      </c>
      <c r="G67" s="25">
        <v>1</v>
      </c>
      <c r="H67" s="25">
        <v>0</v>
      </c>
      <c r="I67" s="25">
        <f t="shared" si="11"/>
        <v>3</v>
      </c>
      <c r="J67" s="25" t="s">
        <v>16</v>
      </c>
      <c r="K67" s="26">
        <f>_xlfn.XLOOKUP($E67,PREÇO!$C$7:$C$91,PREÇO!$E$7:$E$91)</f>
        <v>62.9</v>
      </c>
      <c r="L67" s="66">
        <f>IF(SUM(F67:K67)=0,SUMIFS($L68:$L$1593,$B68:$B$1593,$B67,$A68:$A$1593,$A67),I67*K67)</f>
        <v>188.7</v>
      </c>
      <c r="N67"/>
      <c r="O67"/>
      <c r="P67" s="28"/>
      <c r="Q67" s="28"/>
      <c r="R67" s="28"/>
    </row>
    <row r="68" spans="1:18" outlineLevel="1">
      <c r="A68" s="24" t="str">
        <f t="shared" ref="A68" si="45">A67</f>
        <v>GERAL</v>
      </c>
      <c r="B68" s="24" t="str">
        <f t="shared" ref="B68" si="46">B67</f>
        <v>1° PAV. TÉRREO</v>
      </c>
      <c r="C68" s="88" t="s">
        <v>220</v>
      </c>
      <c r="D68" s="80" t="str">
        <f>_xlfn.XLOOKUP('Equipamentos de emergência'!E68,Térreo!$D$6:$D$66,Térreo!$C$6:$C$66)</f>
        <v>Luminárias e Placas de Saída</v>
      </c>
      <c r="E68" s="30" t="str">
        <f>Térreo!D38</f>
        <v>Luminária de Emergência 24V de Parede</v>
      </c>
      <c r="F68" s="25">
        <f>Térreo!E38</f>
        <v>110</v>
      </c>
      <c r="G68" s="25">
        <v>1</v>
      </c>
      <c r="H68" s="25">
        <v>0</v>
      </c>
      <c r="I68" s="25">
        <f t="shared" si="11"/>
        <v>110</v>
      </c>
      <c r="J68" s="25" t="s">
        <v>16</v>
      </c>
      <c r="K68" s="26">
        <f>_xlfn.XLOOKUP($E68,PREÇO!$C$7:$C$91,PREÇO!$E$7:$E$91)</f>
        <v>15.9</v>
      </c>
      <c r="L68" s="66">
        <f>IF(SUM(F68:K68)=0,SUMIFS($L69:$L$1593,$B69:$B$1593,$B68,$A69:$A$1593,$A68),I68*K68)</f>
        <v>1749</v>
      </c>
      <c r="N68"/>
      <c r="O68"/>
      <c r="P68" s="28"/>
      <c r="Q68" s="28"/>
      <c r="R68" s="28"/>
    </row>
    <row r="69" spans="1:18" outlineLevel="1">
      <c r="A69" s="24" t="str">
        <f t="shared" ref="A69" si="47">A68</f>
        <v>GERAL</v>
      </c>
      <c r="B69" s="24" t="str">
        <f t="shared" ref="B69:B90" si="48">B68</f>
        <v>1° PAV. TÉRREO</v>
      </c>
      <c r="C69" s="88" t="s">
        <v>220</v>
      </c>
      <c r="D69" s="80" t="str">
        <f>_xlfn.XLOOKUP('Equipamentos de emergência'!E69,Térreo!$D$6:$D$66,Térreo!$C$6:$C$66)</f>
        <v>Luminárias e Placas de Saída</v>
      </c>
      <c r="E69" s="30" t="str">
        <f>Térreo!D39</f>
        <v>Luminária de Emergência 24V de Teto</v>
      </c>
      <c r="F69" s="25">
        <f>Térreo!E39</f>
        <v>41</v>
      </c>
      <c r="G69" s="25">
        <v>1</v>
      </c>
      <c r="H69" s="25">
        <v>0</v>
      </c>
      <c r="I69" s="25">
        <f t="shared" ref="I69:I78" si="49">(F69+H69*F69)*G69</f>
        <v>41</v>
      </c>
      <c r="J69" s="25" t="s">
        <v>16</v>
      </c>
      <c r="K69" s="26">
        <f>_xlfn.XLOOKUP($E69,PREÇO!$C$7:$C$91,PREÇO!$E$7:$E$91)</f>
        <v>69.900000000000006</v>
      </c>
      <c r="L69" s="66">
        <f>IF(SUM(F69:K69)=0,SUMIFS($L70:$L$1593,$B70:$B$1593,$B69,$A70:$A$1593,$A69),I69*K69)</f>
        <v>2865.9</v>
      </c>
      <c r="N69"/>
      <c r="O69"/>
      <c r="P69" s="28"/>
      <c r="Q69" s="28"/>
      <c r="R69" s="28"/>
    </row>
    <row r="70" spans="1:18" outlineLevel="1">
      <c r="A70" s="24" t="str">
        <f t="shared" ref="A70" si="50">A69</f>
        <v>GERAL</v>
      </c>
      <c r="B70" s="24" t="str">
        <f t="shared" si="48"/>
        <v>1° PAV. TÉRREO</v>
      </c>
      <c r="C70" s="24" t="s">
        <v>222</v>
      </c>
      <c r="D70" s="80" t="str">
        <f>_xlfn.XLOOKUP('Equipamentos de emergência'!E70,Térreo!$D$6:$D$66,Térreo!$C$6:$C$66)</f>
        <v>Luminárias e Placas de Saída</v>
      </c>
      <c r="E70" s="30" t="str">
        <f>Térreo!D40</f>
        <v>Placa de Saída 24V de Parede com Direção</v>
      </c>
      <c r="F70" s="25">
        <f>Térreo!E40</f>
        <v>16</v>
      </c>
      <c r="G70" s="25">
        <v>1</v>
      </c>
      <c r="H70" s="25">
        <v>0</v>
      </c>
      <c r="I70" s="25">
        <f t="shared" si="49"/>
        <v>16</v>
      </c>
      <c r="J70" s="25" t="s">
        <v>16</v>
      </c>
      <c r="K70" s="26">
        <f>_xlfn.XLOOKUP($E70,PREÇO!$C$7:$C$91,PREÇO!$E$7:$E$91)</f>
        <v>67.900000000000006</v>
      </c>
      <c r="L70" s="66">
        <f>IF(SUM(F70:K70)=0,SUMIFS($L71:$L$1593,$B71:$B$1593,$B70,$A71:$A$1593,$A70),I70*K70)</f>
        <v>1086.4000000000001</v>
      </c>
      <c r="N70"/>
      <c r="O70"/>
      <c r="P70" s="28"/>
      <c r="Q70" s="28"/>
      <c r="R70" s="28"/>
    </row>
    <row r="71" spans="1:18" outlineLevel="1">
      <c r="A71" s="24" t="str">
        <f t="shared" ref="A71" si="51">A70</f>
        <v>GERAL</v>
      </c>
      <c r="B71" s="24" t="str">
        <f t="shared" si="48"/>
        <v>1° PAV. TÉRREO</v>
      </c>
      <c r="C71" s="24" t="s">
        <v>222</v>
      </c>
      <c r="D71" s="80" t="str">
        <f>_xlfn.XLOOKUP('Equipamentos de emergência'!E71,Térreo!$D$6:$D$66,Térreo!$C$6:$C$66)</f>
        <v>Luminárias e Placas de Saída</v>
      </c>
      <c r="E71" s="30" t="str">
        <f>Térreo!D41</f>
        <v>Placa de Saída 24V de Parede sem Direção</v>
      </c>
      <c r="F71" s="25">
        <f>Térreo!E41</f>
        <v>29</v>
      </c>
      <c r="G71" s="25">
        <v>1</v>
      </c>
      <c r="H71" s="25">
        <v>0</v>
      </c>
      <c r="I71" s="25">
        <f t="shared" si="49"/>
        <v>29</v>
      </c>
      <c r="J71" s="25" t="s">
        <v>16</v>
      </c>
      <c r="K71" s="26">
        <f>_xlfn.XLOOKUP($E71,PREÇO!$C$7:$C$91,PREÇO!$E$7:$E$91)</f>
        <v>61.66</v>
      </c>
      <c r="L71" s="66">
        <f>IF(SUM(F71:K71)=0,SUMIFS($L72:$L$1593,$B72:$B$1593,$B71,$A72:$A$1593,$A71),I71*K71)</f>
        <v>1788.1399999999999</v>
      </c>
      <c r="N71"/>
      <c r="O71"/>
      <c r="P71" s="28"/>
      <c r="Q71" s="28"/>
      <c r="R71" s="28"/>
    </row>
    <row r="72" spans="1:18" outlineLevel="1">
      <c r="A72" s="24" t="str">
        <f t="shared" ref="A72" si="52">A71</f>
        <v>GERAL</v>
      </c>
      <c r="B72" s="24" t="str">
        <f t="shared" si="48"/>
        <v>1° PAV. TÉRREO</v>
      </c>
      <c r="C72" s="24" t="s">
        <v>222</v>
      </c>
      <c r="D72" s="80" t="str">
        <f>_xlfn.XLOOKUP('Equipamentos de emergência'!E72,Térreo!$D$6:$D$66,Térreo!$C$6:$C$66)</f>
        <v>Luminárias e Placas de Saída</v>
      </c>
      <c r="E72" s="30" t="str">
        <f>Térreo!D42</f>
        <v>Placa de Saída 24V de Teto sem Direção</v>
      </c>
      <c r="F72" s="25">
        <f>Térreo!E42</f>
        <v>4</v>
      </c>
      <c r="G72" s="25">
        <v>1</v>
      </c>
      <c r="H72" s="25">
        <v>0</v>
      </c>
      <c r="I72" s="25">
        <f t="shared" si="49"/>
        <v>4</v>
      </c>
      <c r="J72" s="25" t="s">
        <v>16</v>
      </c>
      <c r="K72" s="26">
        <f>_xlfn.XLOOKUP($E72,PREÇO!$C$7:$C$91,PREÇO!$E$7:$E$91)</f>
        <v>61.66</v>
      </c>
      <c r="L72" s="66">
        <f>IF(SUM(F72:K72)=0,SUMIFS($L73:$L$1593,$B73:$B$1593,$B72,$A73:$A$1593,$A72),I72*K72)</f>
        <v>246.64</v>
      </c>
      <c r="N72"/>
      <c r="O72"/>
      <c r="P72" s="28"/>
      <c r="Q72" s="28"/>
      <c r="R72" s="28"/>
    </row>
    <row r="73" spans="1:18" outlineLevel="1">
      <c r="A73" s="24" t="str">
        <f t="shared" ref="A73" si="53">A72</f>
        <v>GERAL</v>
      </c>
      <c r="B73" s="24" t="str">
        <f t="shared" si="48"/>
        <v>1° PAV. TÉRREO</v>
      </c>
      <c r="C73" s="24" t="s">
        <v>222</v>
      </c>
      <c r="D73" s="80" t="str">
        <f>_xlfn.XLOOKUP('Equipamentos de emergência'!E73,Térreo!$D$6:$D$66,Térreo!$C$6:$C$66)</f>
        <v>Luminárias e Placas de Saída</v>
      </c>
      <c r="E73" s="30" t="str">
        <f>Térreo!D43</f>
        <v>Placa de Saída Dupla Face 24V de Teto com Direção</v>
      </c>
      <c r="F73" s="25">
        <f>Térreo!E43</f>
        <v>7</v>
      </c>
      <c r="G73" s="25">
        <v>1</v>
      </c>
      <c r="H73" s="25">
        <v>0</v>
      </c>
      <c r="I73" s="25">
        <f t="shared" si="49"/>
        <v>7</v>
      </c>
      <c r="J73" s="25" t="s">
        <v>16</v>
      </c>
      <c r="K73" s="26">
        <f>_xlfn.XLOOKUP($E73,PREÇO!$C$7:$C$91,PREÇO!$E$7:$E$91)</f>
        <v>61.66</v>
      </c>
      <c r="L73" s="66">
        <f>IF(SUM(F73:K73)=0,SUMIFS($L75:$L$1593,$B75:$B$1593,$B73,$A75:$A$1593,$A73),I73*K73)</f>
        <v>431.62</v>
      </c>
      <c r="N73"/>
      <c r="O73"/>
      <c r="P73" s="28"/>
      <c r="Q73" s="28"/>
      <c r="R73" s="28"/>
    </row>
    <row r="74" spans="1:18" outlineLevel="1">
      <c r="A74" s="116" t="str">
        <f>A72</f>
        <v>GERAL</v>
      </c>
      <c r="B74" s="116" t="str">
        <f t="shared" si="48"/>
        <v>1° PAV. TÉRREO</v>
      </c>
      <c r="C74" s="116" t="s">
        <v>222</v>
      </c>
      <c r="D74" s="116" t="s">
        <v>223</v>
      </c>
      <c r="E74" s="116" t="s">
        <v>224</v>
      </c>
      <c r="F74" s="117">
        <v>14</v>
      </c>
      <c r="G74" s="117">
        <v>1</v>
      </c>
      <c r="H74" s="118">
        <v>0</v>
      </c>
      <c r="I74" s="117">
        <f t="shared" si="49"/>
        <v>14</v>
      </c>
      <c r="J74" s="117" t="s">
        <v>11</v>
      </c>
      <c r="K74" s="119">
        <f>_xlfn.XLOOKUP($E74,PREÇO!$C$7:$C$91,PREÇO!$E$7:$E$91)</f>
        <v>646.55999999999995</v>
      </c>
      <c r="L74" s="120">
        <f>IF(SUM(F74:K74)=0,SUMIFS($L75:$L$1593,$B75:$B$1593,$B74,$A75:$A$1593,$A74),I74*K74)</f>
        <v>9051.84</v>
      </c>
      <c r="N74"/>
      <c r="O74"/>
      <c r="P74" s="28"/>
      <c r="Q74" s="28"/>
      <c r="R74" s="28"/>
    </row>
    <row r="75" spans="1:18" outlineLevel="1">
      <c r="A75" s="24" t="str">
        <f t="shared" ref="A75" si="54">A73</f>
        <v>GERAL</v>
      </c>
      <c r="B75" s="24" t="str">
        <f>B73</f>
        <v>1° PAV. TÉRREO</v>
      </c>
      <c r="C75" s="88" t="s">
        <v>220</v>
      </c>
      <c r="D75" s="80" t="str">
        <f>_xlfn.XLOOKUP('Equipamentos de emergência'!E75,Térreo!$D$6:$D$66,Térreo!$C$6:$C$66)</f>
        <v>Sensores de Presença</v>
      </c>
      <c r="E75" s="30" t="str">
        <f>Térreo!D44</f>
        <v>Sensor de Presença 24V de teto</v>
      </c>
      <c r="F75" s="25">
        <f>Térreo!E44</f>
        <v>20</v>
      </c>
      <c r="G75" s="25">
        <v>1</v>
      </c>
      <c r="H75" s="25">
        <v>0</v>
      </c>
      <c r="I75" s="25">
        <f t="shared" si="49"/>
        <v>20</v>
      </c>
      <c r="J75" s="25" t="s">
        <v>16</v>
      </c>
      <c r="K75" s="26">
        <f>_xlfn.XLOOKUP($E75,PREÇO!$C$7:$C$91,PREÇO!$E$7:$E$91)</f>
        <v>38.4</v>
      </c>
      <c r="L75" s="66">
        <f>IF(SUM(F75:K75)=0,SUMIFS($L76:$L$1593,$B76:$B$1593,$B75,$A76:$A$1593,$A75),I75*K75)</f>
        <v>768</v>
      </c>
      <c r="N75"/>
      <c r="O75"/>
      <c r="P75" s="28"/>
      <c r="Q75" s="28"/>
      <c r="R75" s="28"/>
    </row>
    <row r="76" spans="1:18" outlineLevel="1">
      <c r="A76" s="24" t="str">
        <f t="shared" ref="A76" si="55">A75</f>
        <v>GERAL</v>
      </c>
      <c r="B76" s="24" t="str">
        <f t="shared" ref="B76" si="56">B75</f>
        <v>1° PAV. TÉRREO</v>
      </c>
      <c r="C76" s="88" t="s">
        <v>221</v>
      </c>
      <c r="D76" s="80" t="s">
        <v>87</v>
      </c>
      <c r="E76" s="30" t="str">
        <f>Térreo!C47&amp;" "&amp;Térreo!D47</f>
        <v>Isolação em PVC (70ºC) 1.5 mm² - Amarelo</v>
      </c>
      <c r="F76" s="25">
        <f>Térreo!E47</f>
        <v>227.56</v>
      </c>
      <c r="G76" s="25">
        <v>1</v>
      </c>
      <c r="H76" s="25">
        <v>0</v>
      </c>
      <c r="I76" s="25">
        <f t="shared" si="49"/>
        <v>227.56</v>
      </c>
      <c r="J76" s="25" t="s">
        <v>17</v>
      </c>
      <c r="K76" s="26">
        <f>_xlfn.XLOOKUP($E76,PREÇO!$C$7:$C$91,PREÇO!$E$7:$E$91)</f>
        <v>1.59</v>
      </c>
      <c r="L76" s="66">
        <f>IF(SUM(F76:K76)=0,SUMIFS($L77:$L$1593,$B77:$B$1593,$B76,$A77:$A$1593,$A76),I76*K76)</f>
        <v>361.82040000000001</v>
      </c>
      <c r="N76"/>
      <c r="O76"/>
      <c r="P76" s="28"/>
      <c r="Q76" s="28"/>
      <c r="R76" s="28"/>
    </row>
    <row r="77" spans="1:18" outlineLevel="1">
      <c r="A77" s="24" t="str">
        <f t="shared" ref="A77" si="57">A76</f>
        <v>GERAL</v>
      </c>
      <c r="B77" s="24" t="str">
        <f t="shared" si="48"/>
        <v>1° PAV. TÉRREO</v>
      </c>
      <c r="C77" s="88" t="s">
        <v>221</v>
      </c>
      <c r="D77" s="80" t="s">
        <v>87</v>
      </c>
      <c r="E77" s="30" t="str">
        <f>Térreo!C48&amp;" "&amp;Térreo!D48</f>
        <v>Isolação em PVC (70ºC) 1.5 mm² - Preto</v>
      </c>
      <c r="F77" s="25">
        <f>Térreo!E48</f>
        <v>113.78</v>
      </c>
      <c r="G77" s="25">
        <v>1</v>
      </c>
      <c r="H77" s="25">
        <v>0</v>
      </c>
      <c r="I77" s="25">
        <f t="shared" si="49"/>
        <v>113.78</v>
      </c>
      <c r="J77" s="25" t="s">
        <v>17</v>
      </c>
      <c r="K77" s="26">
        <f>_xlfn.XLOOKUP($E77,PREÇO!$C$7:$C$91,PREÇO!$E$7:$E$91)</f>
        <v>1.59</v>
      </c>
      <c r="L77" s="66">
        <f>IF(SUM(F77:K77)=0,SUMIFS($L78:$L$1593,$B78:$B$1593,$B77,$A78:$A$1593,$A77),I77*K77)</f>
        <v>180.9102</v>
      </c>
      <c r="N77"/>
      <c r="O77"/>
      <c r="P77" s="28"/>
      <c r="Q77" s="28"/>
      <c r="R77" s="28"/>
    </row>
    <row r="78" spans="1:18" outlineLevel="1">
      <c r="A78" s="24" t="str">
        <f t="shared" ref="A78" si="58">A77</f>
        <v>GERAL</v>
      </c>
      <c r="B78" s="24" t="str">
        <f t="shared" si="48"/>
        <v>1° PAV. TÉRREO</v>
      </c>
      <c r="C78" s="88" t="s">
        <v>221</v>
      </c>
      <c r="D78" s="80" t="s">
        <v>87</v>
      </c>
      <c r="E78" s="30" t="str">
        <f>Térreo!C49&amp;" "&amp;Térreo!D49</f>
        <v>Isolação em PVC (70ºC) 1.5 mm² - Vermelho</v>
      </c>
      <c r="F78" s="25">
        <f>Térreo!E49</f>
        <v>113.78</v>
      </c>
      <c r="G78" s="25">
        <v>1</v>
      </c>
      <c r="H78" s="25">
        <v>0</v>
      </c>
      <c r="I78" s="25">
        <f t="shared" si="49"/>
        <v>113.78</v>
      </c>
      <c r="J78" s="25" t="s">
        <v>17</v>
      </c>
      <c r="K78" s="26">
        <f>_xlfn.XLOOKUP($E78,PREÇO!$C$7:$C$91,PREÇO!$E$7:$E$91)</f>
        <v>1.59</v>
      </c>
      <c r="L78" s="66">
        <f>IF(SUM(F78:K78)=0,SUMIFS($L79:$L$1593,$B79:$B$1593,$B78,$A79:$A$1593,$A78),I78*K78)</f>
        <v>180.9102</v>
      </c>
      <c r="N78"/>
      <c r="O78"/>
      <c r="P78" s="28"/>
      <c r="Q78" s="28"/>
      <c r="R78" s="28"/>
    </row>
    <row r="79" spans="1:18" outlineLevel="1">
      <c r="A79" s="24" t="str">
        <f t="shared" ref="A79" si="59">A78</f>
        <v>GERAL</v>
      </c>
      <c r="B79" s="24" t="str">
        <f t="shared" si="48"/>
        <v>1° PAV. TÉRREO</v>
      </c>
      <c r="C79" s="88" t="s">
        <v>221</v>
      </c>
      <c r="D79" s="80" t="s">
        <v>87</v>
      </c>
      <c r="E79" s="30" t="str">
        <f>Térreo!C50&amp;" "&amp;Térreo!D50</f>
        <v>Isolação em PVC (70ºC) 2.5 mm² - Amarelo</v>
      </c>
      <c r="F79" s="25">
        <f>Térreo!E50</f>
        <v>15.5</v>
      </c>
      <c r="G79" s="25">
        <v>1</v>
      </c>
      <c r="H79" s="25">
        <v>0</v>
      </c>
      <c r="I79" s="25">
        <f t="shared" ref="I79:I90" si="60">(F79+H79*F79)*G79</f>
        <v>15.5</v>
      </c>
      <c r="J79" s="25" t="s">
        <v>17</v>
      </c>
      <c r="K79" s="26">
        <f>_xlfn.XLOOKUP($E79,PREÇO!$C$7:$C$91,PREÇO!$E$7:$E$91)</f>
        <v>2.19</v>
      </c>
      <c r="L79" s="66">
        <f>IF(SUM(F79:K79)=0,SUMIFS($L80:$L$1593,$B80:$B$1593,$B79,$A80:$A$1593,$A79),I79*K79)</f>
        <v>33.945</v>
      </c>
      <c r="N79"/>
      <c r="O79"/>
      <c r="P79" s="28"/>
      <c r="Q79" s="28"/>
      <c r="R79" s="28"/>
    </row>
    <row r="80" spans="1:18" outlineLevel="1">
      <c r="A80" s="24" t="str">
        <f t="shared" ref="A80" si="61">A79</f>
        <v>GERAL</v>
      </c>
      <c r="B80" s="24" t="str">
        <f t="shared" si="48"/>
        <v>1° PAV. TÉRREO</v>
      </c>
      <c r="C80" s="88" t="s">
        <v>221</v>
      </c>
      <c r="D80" s="80" t="s">
        <v>87</v>
      </c>
      <c r="E80" s="30" t="str">
        <f>Térreo!C51&amp;" "&amp;Térreo!D51</f>
        <v>Isolação em PVC (70ºC) 2.5 mm² - Preto</v>
      </c>
      <c r="F80" s="25">
        <f>Térreo!E51</f>
        <v>217.09</v>
      </c>
      <c r="G80" s="25">
        <v>1</v>
      </c>
      <c r="H80" s="25">
        <v>0</v>
      </c>
      <c r="I80" s="25">
        <f t="shared" si="60"/>
        <v>217.09</v>
      </c>
      <c r="J80" s="25" t="s">
        <v>17</v>
      </c>
      <c r="K80" s="26">
        <f>_xlfn.XLOOKUP($E80,PREÇO!$C$7:$C$91,PREÇO!$E$7:$E$91)</f>
        <v>2.19</v>
      </c>
      <c r="L80" s="66">
        <f>IF(SUM(F80:K80)=0,SUMIFS($L81:$L$1593,$B81:$B$1593,$B80,$A81:$A$1593,$A80),I80*K80)</f>
        <v>475.4271</v>
      </c>
      <c r="N80"/>
      <c r="O80"/>
      <c r="P80" s="28"/>
      <c r="Q80" s="28"/>
      <c r="R80" s="28"/>
    </row>
    <row r="81" spans="1:18" outlineLevel="1">
      <c r="A81" s="24" t="str">
        <f t="shared" ref="A81" si="62">A80</f>
        <v>GERAL</v>
      </c>
      <c r="B81" s="24" t="str">
        <f t="shared" si="48"/>
        <v>1° PAV. TÉRREO</v>
      </c>
      <c r="C81" s="88" t="s">
        <v>221</v>
      </c>
      <c r="D81" s="80" t="s">
        <v>87</v>
      </c>
      <c r="E81" s="30" t="str">
        <f>Térreo!C52&amp;" "&amp;Térreo!D52</f>
        <v>Isolação em PVC (70ºC) 2.5 mm² - Vermelho</v>
      </c>
      <c r="F81" s="25">
        <f>Térreo!E52</f>
        <v>217.09</v>
      </c>
      <c r="G81" s="25">
        <v>1</v>
      </c>
      <c r="H81" s="25">
        <v>0</v>
      </c>
      <c r="I81" s="25">
        <f t="shared" si="60"/>
        <v>217.09</v>
      </c>
      <c r="J81" s="25" t="s">
        <v>17</v>
      </c>
      <c r="K81" s="26">
        <f>_xlfn.XLOOKUP($E81,PREÇO!$C$7:$C$91,PREÇO!$E$7:$E$91)</f>
        <v>2.19</v>
      </c>
      <c r="L81" s="66">
        <f>IF(SUM(F81:K81)=0,SUMIFS($L82:$L$1593,$B82:$B$1593,$B81,$A82:$A$1593,$A81),I81*K81)</f>
        <v>475.4271</v>
      </c>
      <c r="N81"/>
      <c r="O81"/>
      <c r="P81" s="28"/>
      <c r="Q81" s="28"/>
      <c r="R81" s="28"/>
    </row>
    <row r="82" spans="1:18" outlineLevel="1">
      <c r="A82" s="24" t="str">
        <f t="shared" ref="A82" si="63">A81</f>
        <v>GERAL</v>
      </c>
      <c r="B82" s="24" t="str">
        <f t="shared" si="48"/>
        <v>1° PAV. TÉRREO</v>
      </c>
      <c r="C82" s="88" t="s">
        <v>221</v>
      </c>
      <c r="D82" s="80" t="s">
        <v>87</v>
      </c>
      <c r="E82" s="30" t="str">
        <f>Térreo!C53&amp;" "&amp;Térreo!D53</f>
        <v>Isolação em PVC (70ºC) 4 mm² - Preto</v>
      </c>
      <c r="F82" s="25">
        <f>Térreo!E53</f>
        <v>546.89</v>
      </c>
      <c r="G82" s="25">
        <v>1</v>
      </c>
      <c r="H82" s="25">
        <v>0</v>
      </c>
      <c r="I82" s="25">
        <f t="shared" si="60"/>
        <v>546.89</v>
      </c>
      <c r="J82" s="25" t="s">
        <v>17</v>
      </c>
      <c r="K82" s="26">
        <f>_xlfn.XLOOKUP($E82,PREÇO!$C$7:$C$91,PREÇO!$E$7:$E$91)</f>
        <v>3.89</v>
      </c>
      <c r="L82" s="66">
        <f>IF(SUM(F82:K82)=0,SUMIFS($L83:$L$1593,$B83:$B$1593,$B82,$A83:$A$1593,$A82),I82*K82)</f>
        <v>2127.4020999999998</v>
      </c>
      <c r="N82"/>
      <c r="O82"/>
      <c r="P82" s="28"/>
      <c r="Q82" s="28"/>
      <c r="R82" s="28"/>
    </row>
    <row r="83" spans="1:18" outlineLevel="1">
      <c r="A83" s="24" t="str">
        <f t="shared" ref="A83" si="64">A82</f>
        <v>GERAL</v>
      </c>
      <c r="B83" s="24" t="str">
        <f t="shared" si="48"/>
        <v>1° PAV. TÉRREO</v>
      </c>
      <c r="C83" s="88" t="s">
        <v>221</v>
      </c>
      <c r="D83" s="80" t="s">
        <v>87</v>
      </c>
      <c r="E83" s="30" t="str">
        <f>Térreo!C54&amp;" "&amp;Térreo!D54</f>
        <v>Isolação em PVC (70ºC) 4 mm² - Vermelho</v>
      </c>
      <c r="F83" s="25">
        <f>Térreo!E54</f>
        <v>546.89</v>
      </c>
      <c r="G83" s="25">
        <v>1</v>
      </c>
      <c r="H83" s="25">
        <v>0</v>
      </c>
      <c r="I83" s="25">
        <f t="shared" si="60"/>
        <v>546.89</v>
      </c>
      <c r="J83" s="25" t="s">
        <v>17</v>
      </c>
      <c r="K83" s="26">
        <f>_xlfn.XLOOKUP($E83,PREÇO!$C$7:$C$91,PREÇO!$E$7:$E$91)</f>
        <v>3.89</v>
      </c>
      <c r="L83" s="66">
        <f>IF(SUM(F83:K83)=0,SUMIFS($L84:$L$1593,$B84:$B$1593,$B83,$A84:$A$1593,$A83),I83*K83)</f>
        <v>2127.4020999999998</v>
      </c>
      <c r="N83"/>
      <c r="O83"/>
      <c r="P83" s="28"/>
      <c r="Q83" s="28"/>
      <c r="R83" s="28"/>
    </row>
    <row r="84" spans="1:18" outlineLevel="1">
      <c r="A84" s="24" t="str">
        <f t="shared" ref="A84" si="65">A83</f>
        <v>GERAL</v>
      </c>
      <c r="B84" s="24" t="str">
        <f t="shared" si="48"/>
        <v>1° PAV. TÉRREO</v>
      </c>
      <c r="C84" s="88" t="s">
        <v>221</v>
      </c>
      <c r="D84" s="80" t="s">
        <v>87</v>
      </c>
      <c r="E84" s="30" t="str">
        <f>Térreo!C55&amp;" "&amp;Térreo!D55</f>
        <v>Isolação em PVC (70ºC) 6 mm² - Preto</v>
      </c>
      <c r="F84" s="25">
        <f>Térreo!E55</f>
        <v>559.28</v>
      </c>
      <c r="G84" s="25">
        <v>1</v>
      </c>
      <c r="H84" s="25">
        <v>0</v>
      </c>
      <c r="I84" s="25">
        <f t="shared" si="60"/>
        <v>559.28</v>
      </c>
      <c r="J84" s="25" t="s">
        <v>17</v>
      </c>
      <c r="K84" s="26">
        <f>_xlfn.XLOOKUP($E84,PREÇO!$C$7:$C$91,PREÇO!$E$7:$E$91)</f>
        <v>5.79</v>
      </c>
      <c r="L84" s="66">
        <f>IF(SUM(F84:K84)=0,SUMIFS($L85:$L$1593,$B85:$B$1593,$B84,$A85:$A$1593,$A84),I84*K84)</f>
        <v>3238.2311999999997</v>
      </c>
      <c r="N84"/>
      <c r="O84"/>
      <c r="P84" s="28"/>
      <c r="Q84" s="28"/>
      <c r="R84" s="28"/>
    </row>
    <row r="85" spans="1:18" outlineLevel="1">
      <c r="A85" s="24" t="str">
        <f t="shared" ref="A85" si="66">A84</f>
        <v>GERAL</v>
      </c>
      <c r="B85" s="24" t="str">
        <f t="shared" si="48"/>
        <v>1° PAV. TÉRREO</v>
      </c>
      <c r="C85" s="88" t="s">
        <v>221</v>
      </c>
      <c r="D85" s="80" t="s">
        <v>87</v>
      </c>
      <c r="E85" s="30" t="str">
        <f>Térreo!C56&amp;" "&amp;Térreo!D56</f>
        <v>Isolação em PVC (70ºC) 6 mm² - Vermelho</v>
      </c>
      <c r="F85" s="25">
        <f>Térreo!E56</f>
        <v>559.28</v>
      </c>
      <c r="G85" s="25">
        <v>1</v>
      </c>
      <c r="H85" s="25">
        <v>0</v>
      </c>
      <c r="I85" s="25">
        <f t="shared" si="60"/>
        <v>559.28</v>
      </c>
      <c r="J85" s="25" t="s">
        <v>17</v>
      </c>
      <c r="K85" s="26">
        <f>_xlfn.XLOOKUP($E85,PREÇO!$C$7:$C$91,PREÇO!$E$7:$E$91)</f>
        <v>5.79</v>
      </c>
      <c r="L85" s="66">
        <f>IF(SUM(F85:K85)=0,SUMIFS($L86:$L$1593,$B86:$B$1593,$B85,$A86:$A$1593,$A85),I85*K85)</f>
        <v>3238.2311999999997</v>
      </c>
      <c r="N85"/>
      <c r="O85"/>
      <c r="P85" s="28"/>
      <c r="Q85" s="28"/>
      <c r="R85" s="28"/>
    </row>
    <row r="86" spans="1:18" outlineLevel="1">
      <c r="A86" s="24" t="str">
        <f t="shared" ref="A86" si="67">A85</f>
        <v>GERAL</v>
      </c>
      <c r="B86" s="24" t="str">
        <f t="shared" ref="B86" si="68">B85</f>
        <v>1° PAV. TÉRREO</v>
      </c>
      <c r="C86" s="88" t="s">
        <v>221</v>
      </c>
      <c r="D86" s="80" t="s">
        <v>46</v>
      </c>
      <c r="E86" s="30" t="str">
        <f>Térreo!C60&amp;" "&amp;Térreo!D60</f>
        <v>PVC Flexível Antichama - NBR 15465 ø1"</v>
      </c>
      <c r="F86" s="25">
        <f>Térreo!E60</f>
        <v>385.44</v>
      </c>
      <c r="G86" s="25">
        <v>1</v>
      </c>
      <c r="H86" s="25">
        <v>0</v>
      </c>
      <c r="I86" s="25">
        <f t="shared" si="60"/>
        <v>385.44</v>
      </c>
      <c r="J86" s="25" t="s">
        <v>17</v>
      </c>
      <c r="K86" s="26">
        <f>_xlfn.XLOOKUP($E86,PREÇO!$C$7:$C$91,PREÇO!$E$7:$E$91)</f>
        <v>2.5299999999999998</v>
      </c>
      <c r="L86" s="66">
        <f>IF(SUM(F86:K86)=0,SUMIFS($L87:$L$1593,$B87:$B$1593,$B86,$A87:$A$1593,$A86),I86*K86)</f>
        <v>975.16319999999996</v>
      </c>
      <c r="N86"/>
      <c r="O86"/>
      <c r="P86" s="28"/>
      <c r="Q86" s="28"/>
      <c r="R86" s="28"/>
    </row>
    <row r="87" spans="1:18" outlineLevel="1">
      <c r="A87" s="24" t="str">
        <f t="shared" ref="A87" si="69">A86</f>
        <v>GERAL</v>
      </c>
      <c r="B87" s="24" t="str">
        <f t="shared" si="48"/>
        <v>1° PAV. TÉRREO</v>
      </c>
      <c r="C87" s="88" t="s">
        <v>221</v>
      </c>
      <c r="D87" s="80" t="s">
        <v>46</v>
      </c>
      <c r="E87" s="30" t="str">
        <f>Térreo!C61&amp;" "&amp;Térreo!D61</f>
        <v>PVC Flexível Antichama - NBR 15465 ø3/4"</v>
      </c>
      <c r="F87" s="25">
        <f>Térreo!E61</f>
        <v>13.06</v>
      </c>
      <c r="G87" s="25">
        <v>1</v>
      </c>
      <c r="H87" s="25">
        <v>0</v>
      </c>
      <c r="I87" s="25">
        <f t="shared" si="60"/>
        <v>13.06</v>
      </c>
      <c r="J87" s="25" t="s">
        <v>17</v>
      </c>
      <c r="K87" s="26">
        <f>_xlfn.XLOOKUP($E87,PREÇO!$C$7:$C$91,PREÇO!$E$7:$E$91)</f>
        <v>1.8</v>
      </c>
      <c r="L87" s="66">
        <f>IF(SUM(F87:K87)=0,SUMIFS($L88:$L$1593,$B88:$B$1593,$B87,$A88:$A$1593,$A87),I87*K87)</f>
        <v>23.508000000000003</v>
      </c>
      <c r="N87"/>
      <c r="O87"/>
      <c r="P87" s="28"/>
      <c r="Q87" s="28"/>
      <c r="R87" s="28"/>
    </row>
    <row r="88" spans="1:18" outlineLevel="1">
      <c r="A88" s="24" t="str">
        <f t="shared" ref="A88" si="70">A87</f>
        <v>GERAL</v>
      </c>
      <c r="B88" s="24" t="str">
        <f t="shared" si="48"/>
        <v>1° PAV. TÉRREO</v>
      </c>
      <c r="C88" s="88" t="s">
        <v>221</v>
      </c>
      <c r="D88" s="80" t="s">
        <v>46</v>
      </c>
      <c r="E88" s="30" t="str">
        <f>Térreo!C62&amp;" "&amp;Térreo!D62</f>
        <v>PVC Rígido - NBR 15465 ø2"</v>
      </c>
      <c r="F88" s="25">
        <f>Térreo!E62</f>
        <v>3.6</v>
      </c>
      <c r="G88" s="25">
        <v>1</v>
      </c>
      <c r="H88" s="25">
        <v>0</v>
      </c>
      <c r="I88" s="25">
        <f t="shared" si="60"/>
        <v>3.6</v>
      </c>
      <c r="J88" s="25" t="s">
        <v>17</v>
      </c>
      <c r="K88" s="26">
        <f>_xlfn.XLOOKUP($E88,PREÇO!$C$7:$C$91,PREÇO!$E$7:$E$91)</f>
        <v>25.33</v>
      </c>
      <c r="L88" s="66">
        <f>IF(SUM(F88:K88)=0,SUMIFS($L89:$L$1593,$B89:$B$1593,$B88,$A89:$A$1593,$A88),I88*K88)</f>
        <v>91.188000000000002</v>
      </c>
      <c r="N88"/>
      <c r="O88"/>
      <c r="P88" s="28"/>
      <c r="Q88" s="28"/>
      <c r="R88" s="28"/>
    </row>
    <row r="89" spans="1:18" outlineLevel="1">
      <c r="A89" s="24" t="str">
        <f t="shared" ref="A89" si="71">A88</f>
        <v>GERAL</v>
      </c>
      <c r="B89" s="24" t="str">
        <f t="shared" ref="B89" si="72">B88</f>
        <v>1° PAV. TÉRREO</v>
      </c>
      <c r="C89" s="88" t="s">
        <v>221</v>
      </c>
      <c r="D89" s="80" t="s">
        <v>89</v>
      </c>
      <c r="E89" s="30" t="str">
        <f>Térreo!C65&amp;" "&amp;Térreo!D65</f>
        <v>Classe A - PVC Anti-chama - 105ºC - Isolação 600V 0.75 mm²</v>
      </c>
      <c r="F89" s="25">
        <f>Térreo!E65</f>
        <v>375.82</v>
      </c>
      <c r="G89" s="25">
        <v>1</v>
      </c>
      <c r="H89" s="25">
        <v>0</v>
      </c>
      <c r="I89" s="25">
        <f t="shared" si="60"/>
        <v>375.82</v>
      </c>
      <c r="J89" s="25" t="s">
        <v>17</v>
      </c>
      <c r="K89" s="26">
        <f>_xlfn.XLOOKUP($E89,PREÇO!$C$7:$C$91,PREÇO!$E$7:$E$91)</f>
        <v>0.99</v>
      </c>
      <c r="L89" s="66">
        <f>IF(SUM(F89:K89)=0,SUMIFS($L90:$L$1593,$B90:$B$1593,$B89,$A90:$A$1593,$A89),I89*K89)</f>
        <v>372.06180000000001</v>
      </c>
      <c r="N89"/>
      <c r="O89"/>
      <c r="P89" s="28"/>
      <c r="Q89" s="28"/>
      <c r="R89" s="28"/>
    </row>
    <row r="90" spans="1:18" ht="15.75" outlineLevel="1" thickBot="1">
      <c r="A90" s="24" t="str">
        <f t="shared" ref="A90" si="73">A89</f>
        <v>GERAL</v>
      </c>
      <c r="B90" s="24" t="str">
        <f t="shared" si="48"/>
        <v>1° PAV. TÉRREO</v>
      </c>
      <c r="C90" s="88" t="s">
        <v>221</v>
      </c>
      <c r="D90" s="80" t="s">
        <v>89</v>
      </c>
      <c r="E90" s="30" t="str">
        <f>Térreo!C66&amp;" "&amp;Térreo!D66</f>
        <v>Classe B - PVC Anti-chama - 105ºC - Isolação 600V 1.5 mm²</v>
      </c>
      <c r="F90" s="25">
        <f>Térreo!E66</f>
        <v>174.87</v>
      </c>
      <c r="G90" s="25">
        <v>1</v>
      </c>
      <c r="H90" s="25">
        <v>0</v>
      </c>
      <c r="I90" s="25">
        <f t="shared" si="60"/>
        <v>174.87</v>
      </c>
      <c r="J90" s="25" t="s">
        <v>17</v>
      </c>
      <c r="K90" s="26">
        <f>_xlfn.XLOOKUP($E90,PREÇO!$C$7:$C$91,PREÇO!$E$7:$E$91)</f>
        <v>1.69</v>
      </c>
      <c r="L90" s="66">
        <f>IF(SUM(F90:K90)=0,SUMIFS($L91:$L$1593,$B91:$B$1593,$B90,$A91:$A$1593,$A90),I90*K90)</f>
        <v>295.53030000000001</v>
      </c>
      <c r="N90"/>
      <c r="O90"/>
      <c r="P90" s="28"/>
      <c r="Q90" s="28"/>
      <c r="R90" s="28"/>
    </row>
    <row r="91" spans="1:18" ht="15.75" thickTop="1">
      <c r="A91" s="79" t="s">
        <v>19</v>
      </c>
      <c r="B91" s="79" t="s">
        <v>106</v>
      </c>
      <c r="C91" s="43"/>
      <c r="D91" s="44"/>
      <c r="E91" s="44"/>
      <c r="F91" s="45"/>
      <c r="G91" s="45"/>
      <c r="H91" s="45"/>
      <c r="I91" s="46"/>
      <c r="J91" s="45"/>
      <c r="K91" s="47"/>
      <c r="L91" s="48">
        <f>IF(SUM(F91:K91)=0,SUMIFS($L92:$L$1593,$B92:$B$1593,$B91,$A92:$A$1593,$A91),I91*K91)</f>
        <v>39376.318400000004</v>
      </c>
      <c r="N91"/>
      <c r="O91"/>
      <c r="P91" s="28"/>
      <c r="Q91" s="28"/>
      <c r="R91" s="28"/>
    </row>
    <row r="92" spans="1:18" outlineLevel="1">
      <c r="A92" s="24" t="str">
        <f t="shared" ref="A92:A129" si="74">A91</f>
        <v>GERAL</v>
      </c>
      <c r="B92" s="24" t="str">
        <f t="shared" ref="B92:B129" si="75">B91</f>
        <v>2° PAV. - ESTAC. 01</v>
      </c>
      <c r="C92" s="89" t="s">
        <v>221</v>
      </c>
      <c r="D92" s="24" t="str">
        <f>'Garagem 01'!C6</f>
        <v>Acionadores</v>
      </c>
      <c r="E92" s="24" t="str">
        <f>'Garagem 01'!D6</f>
        <v>Acionador Manual de Alarme de Incêndio</v>
      </c>
      <c r="F92" s="25">
        <f>'Garagem 01'!E6</f>
        <v>7</v>
      </c>
      <c r="G92" s="25">
        <v>1</v>
      </c>
      <c r="H92" s="25">
        <v>0</v>
      </c>
      <c r="I92" s="25">
        <f t="shared" ref="I92:I183" si="76">(F92+H92*F92)*G92</f>
        <v>7</v>
      </c>
      <c r="J92" s="25" t="str">
        <f>'Garagem 01'!F6</f>
        <v>pç</v>
      </c>
      <c r="K92" s="26">
        <f>_xlfn.XLOOKUP($E92,PREÇO!$C$7:$C$91,PREÇO!$E$7:$E$91)</f>
        <v>65</v>
      </c>
      <c r="L92" s="66">
        <f>IF(SUM(F92:K92)=0,SUMIFS($L93:$L$1593,$B93:$B$1593,$B92,$A93:$A$1593,$A92),I92*K92)</f>
        <v>455</v>
      </c>
      <c r="N92"/>
      <c r="O92"/>
      <c r="P92" s="28"/>
      <c r="Q92" s="28"/>
      <c r="R92" s="28"/>
    </row>
    <row r="93" spans="1:18" outlineLevel="1">
      <c r="A93" s="24" t="str">
        <f t="shared" si="74"/>
        <v>GERAL</v>
      </c>
      <c r="B93" s="24" t="str">
        <f t="shared" si="75"/>
        <v>2° PAV. - ESTAC. 01</v>
      </c>
      <c r="C93" s="89" t="s">
        <v>221</v>
      </c>
      <c r="D93" s="24" t="str">
        <f>'Garagem 01'!C7</f>
        <v>Anunciadores</v>
      </c>
      <c r="E93" s="24" t="str">
        <f>'Garagem 01'!D7</f>
        <v>Anunciador Audiovisual de Alarme de Incêndio de Parede</v>
      </c>
      <c r="F93" s="25">
        <f>'Garagem 01'!E7</f>
        <v>7</v>
      </c>
      <c r="G93" s="25">
        <v>1</v>
      </c>
      <c r="H93" s="25">
        <v>0</v>
      </c>
      <c r="I93" s="25">
        <f t="shared" si="76"/>
        <v>7</v>
      </c>
      <c r="J93" s="25" t="str">
        <f>'Garagem 01'!F7</f>
        <v>pç</v>
      </c>
      <c r="K93" s="26">
        <f>_xlfn.XLOOKUP($E93,PREÇO!$C$7:$C$91,PREÇO!$E$7:$E$91)</f>
        <v>191.81</v>
      </c>
      <c r="L93" s="66">
        <f>IF(SUM(F93:K93)=0,SUMIFS($L94:$L$1593,$B94:$B$1593,$B93,$A94:$A$1593,$A93),I93*K93)</f>
        <v>1342.67</v>
      </c>
      <c r="N93"/>
      <c r="O93"/>
      <c r="P93" s="28"/>
      <c r="Q93" s="28"/>
      <c r="R93" s="28"/>
    </row>
    <row r="94" spans="1:18" outlineLevel="1">
      <c r="A94" s="24" t="str">
        <f t="shared" si="74"/>
        <v>GERAL</v>
      </c>
      <c r="B94" s="24" t="str">
        <f t="shared" si="75"/>
        <v>2° PAV. - ESTAC. 01</v>
      </c>
      <c r="C94" s="89" t="s">
        <v>221</v>
      </c>
      <c r="D94" s="24" t="str">
        <f>'Garagem 01'!C8</f>
        <v>Atuadores</v>
      </c>
      <c r="E94" s="24" t="str">
        <f>'Garagem 01'!D8</f>
        <v>Atuador Janela Desenfumagem</v>
      </c>
      <c r="F94" s="25">
        <f>'Garagem 01'!E8</f>
        <v>1</v>
      </c>
      <c r="G94" s="25">
        <v>1</v>
      </c>
      <c r="H94" s="25">
        <v>0</v>
      </c>
      <c r="I94" s="25">
        <f t="shared" si="76"/>
        <v>1</v>
      </c>
      <c r="J94" s="25" t="str">
        <f>'Garagem 01'!F8</f>
        <v>pç</v>
      </c>
      <c r="K94" s="26">
        <f>_xlfn.XLOOKUP($E94,PREÇO!$C$7:$C$91,PREÇO!$E$7:$E$91)</f>
        <v>1150</v>
      </c>
      <c r="L94" s="66">
        <f>IF(SUM(F94:K94)=0,SUMIFS($L95:$L$1593,$B95:$B$1593,$B94,$A95:$A$1593,$A94),I94*K94)</f>
        <v>1150</v>
      </c>
      <c r="N94"/>
      <c r="O94"/>
      <c r="P94" s="28"/>
      <c r="Q94" s="28"/>
      <c r="R94" s="28"/>
    </row>
    <row r="95" spans="1:18" outlineLevel="1">
      <c r="A95" s="24" t="str">
        <f t="shared" si="74"/>
        <v>GERAL</v>
      </c>
      <c r="B95" s="24" t="str">
        <f t="shared" si="75"/>
        <v>2° PAV. - ESTAC. 01</v>
      </c>
      <c r="C95" s="89" t="s">
        <v>221</v>
      </c>
      <c r="D95" s="24" t="str">
        <f>'Garagem 01'!C9</f>
        <v>Atuadores</v>
      </c>
      <c r="E95" s="24" t="str">
        <f>'Garagem 01'!D9</f>
        <v>Dispositivo Eletromagnético de Porta Aberta</v>
      </c>
      <c r="F95" s="25">
        <f>'Garagem 01'!E9</f>
        <v>1</v>
      </c>
      <c r="G95" s="25">
        <v>1</v>
      </c>
      <c r="H95" s="25">
        <v>0</v>
      </c>
      <c r="I95" s="25">
        <f t="shared" si="76"/>
        <v>1</v>
      </c>
      <c r="J95" s="25" t="str">
        <f>'Garagem 01'!F9</f>
        <v>pç</v>
      </c>
      <c r="K95" s="26">
        <f>_xlfn.XLOOKUP($E95,PREÇO!$C$7:$C$91,PREÇO!$E$7:$E$91)</f>
        <v>416.9</v>
      </c>
      <c r="L95" s="66">
        <f>IF(SUM(F95:K95)=0,SUMIFS($L96:$L$1593,$B96:$B$1593,$B95,$A96:$A$1593,$A95),I95*K95)</f>
        <v>416.9</v>
      </c>
      <c r="N95"/>
      <c r="O95"/>
      <c r="P95" s="28"/>
      <c r="Q95" s="28"/>
      <c r="R95" s="28"/>
    </row>
    <row r="96" spans="1:18" outlineLevel="1">
      <c r="A96" s="24" t="str">
        <f t="shared" si="74"/>
        <v>GERAL</v>
      </c>
      <c r="B96" s="24" t="str">
        <f t="shared" si="75"/>
        <v>2° PAV. - ESTAC. 01</v>
      </c>
      <c r="C96" s="89" t="s">
        <v>221</v>
      </c>
      <c r="D96" s="24" t="str">
        <f>'Garagem 01'!C10</f>
        <v>Sensores</v>
      </c>
      <c r="E96" s="24" t="str">
        <f>'Garagem 01'!D10</f>
        <v>Sensor de Fumaça</v>
      </c>
      <c r="F96" s="25">
        <f>'Garagem 01'!E10</f>
        <v>7</v>
      </c>
      <c r="G96" s="25">
        <v>1</v>
      </c>
      <c r="H96" s="25">
        <v>0</v>
      </c>
      <c r="I96" s="25">
        <f t="shared" si="76"/>
        <v>7</v>
      </c>
      <c r="J96" s="25" t="str">
        <f>'Garagem 01'!F10</f>
        <v>pç</v>
      </c>
      <c r="K96" s="26">
        <f>_xlfn.XLOOKUP($E96,PREÇO!$C$7:$C$91,PREÇO!$E$7:$E$91)</f>
        <v>53.9</v>
      </c>
      <c r="L96" s="66">
        <f>IF(SUM(F96:K96)=0,SUMIFS($L97:$L$1593,$B97:$B$1593,$B96,$A97:$A$1593,$A96),I96*K96)</f>
        <v>377.3</v>
      </c>
      <c r="N96"/>
      <c r="O96"/>
      <c r="P96" s="28"/>
      <c r="Q96" s="28"/>
      <c r="R96" s="28"/>
    </row>
    <row r="97" spans="1:18" outlineLevel="1">
      <c r="A97" s="24" t="str">
        <f t="shared" si="74"/>
        <v>GERAL</v>
      </c>
      <c r="B97" s="24" t="str">
        <f t="shared" si="75"/>
        <v>2° PAV. - ESTAC. 01</v>
      </c>
      <c r="C97" s="89" t="s">
        <v>221</v>
      </c>
      <c r="D97" s="24" t="str">
        <f>'Garagem 01'!C13</f>
        <v>Caixas</v>
      </c>
      <c r="E97" s="24" t="str">
        <f>'Garagem 01'!D13</f>
        <v>Caixa Octogonal Padrão NBR IEC 60670</v>
      </c>
      <c r="F97" s="25">
        <f>'Garagem 01'!E13</f>
        <v>130</v>
      </c>
      <c r="G97" s="25">
        <v>1</v>
      </c>
      <c r="H97" s="25">
        <v>0</v>
      </c>
      <c r="I97" s="25">
        <f t="shared" si="76"/>
        <v>130</v>
      </c>
      <c r="J97" s="25" t="str">
        <f>'Garagem 01'!F13</f>
        <v>pç</v>
      </c>
      <c r="K97" s="26">
        <f>_xlfn.XLOOKUP($E97,PREÇO!$C$7:$C$91,PREÇO!$E$7:$E$91)</f>
        <v>5.32</v>
      </c>
      <c r="L97" s="66">
        <f>IF(SUM(F97:K97)=0,SUMIFS($L98:$L$1593,$B98:$B$1593,$B97,$A98:$A$1593,$A97),I97*K97)</f>
        <v>691.6</v>
      </c>
      <c r="N97"/>
      <c r="O97"/>
      <c r="P97" s="28"/>
      <c r="Q97" s="28"/>
      <c r="R97" s="28"/>
    </row>
    <row r="98" spans="1:18" outlineLevel="1">
      <c r="A98" s="24" t="str">
        <f t="shared" si="74"/>
        <v>GERAL</v>
      </c>
      <c r="B98" s="24" t="str">
        <f t="shared" si="75"/>
        <v>2° PAV. - ESTAC. 01</v>
      </c>
      <c r="C98" s="89" t="s">
        <v>221</v>
      </c>
      <c r="D98" s="24" t="str">
        <f>'Garagem 01'!C14</f>
        <v>Placas</v>
      </c>
      <c r="E98" s="24" t="str">
        <f>'Garagem 01'!D14</f>
        <v>Placa cega para caixa octogonal Padrão NBR IEC 60670</v>
      </c>
      <c r="F98" s="25">
        <f>'Garagem 01'!E14</f>
        <v>19</v>
      </c>
      <c r="G98" s="25">
        <v>1</v>
      </c>
      <c r="H98" s="25">
        <v>0</v>
      </c>
      <c r="I98" s="25">
        <f t="shared" si="76"/>
        <v>19</v>
      </c>
      <c r="J98" s="25" t="str">
        <f>'Garagem 01'!F14</f>
        <v>pç</v>
      </c>
      <c r="K98" s="26">
        <f>_xlfn.XLOOKUP($E98,PREÇO!$C$7:$C$91,PREÇO!$E$7:$E$91)</f>
        <v>2.5</v>
      </c>
      <c r="L98" s="66">
        <f>IF(SUM(F98:K98)=0,SUMIFS($L99:$L$1593,$B99:$B$1593,$B98,$A99:$A$1593,$A98),I98*K98)</f>
        <v>47.5</v>
      </c>
      <c r="N98"/>
      <c r="O98"/>
      <c r="P98" s="28"/>
      <c r="Q98" s="28"/>
      <c r="R98" s="28"/>
    </row>
    <row r="99" spans="1:18" outlineLevel="1">
      <c r="A99" s="24" t="str">
        <f t="shared" si="74"/>
        <v>GERAL</v>
      </c>
      <c r="B99" s="24" t="str">
        <f t="shared" si="75"/>
        <v>2° PAV. - ESTAC. 01</v>
      </c>
      <c r="C99" s="89" t="s">
        <v>221</v>
      </c>
      <c r="D99" s="24" t="str">
        <f>'Garagem 01'!C17</f>
        <v>Caixas</v>
      </c>
      <c r="E99" s="24" t="str">
        <f>'Garagem 01'!D17</f>
        <v>Caixa 4x2" de Embutir em PVC Padrão NBR IEC 60670</v>
      </c>
      <c r="F99" s="25">
        <f>'Garagem 01'!E17</f>
        <v>47</v>
      </c>
      <c r="G99" s="25">
        <v>1</v>
      </c>
      <c r="H99" s="25">
        <v>0</v>
      </c>
      <c r="I99" s="25">
        <f t="shared" si="76"/>
        <v>47</v>
      </c>
      <c r="J99" s="25" t="str">
        <f>'Garagem 01'!F17</f>
        <v>pç</v>
      </c>
      <c r="K99" s="26">
        <f>_xlfn.XLOOKUP($E99,PREÇO!$C$7:$C$91,PREÇO!$E$7:$E$91)</f>
        <v>1.72</v>
      </c>
      <c r="L99" s="66">
        <f>IF(SUM(F99:K99)=0,SUMIFS($L100:$L$1593,$B100:$B$1593,$B99,$A100:$A$1593,$A99),I99*K99)</f>
        <v>80.84</v>
      </c>
      <c r="N99"/>
      <c r="O99"/>
      <c r="P99" s="28"/>
      <c r="Q99" s="28"/>
      <c r="R99" s="28"/>
    </row>
    <row r="100" spans="1:18" outlineLevel="1">
      <c r="A100" s="24" t="str">
        <f t="shared" si="74"/>
        <v>GERAL</v>
      </c>
      <c r="B100" s="24" t="str">
        <f t="shared" si="75"/>
        <v>2° PAV. - ESTAC. 01</v>
      </c>
      <c r="C100" s="89" t="s">
        <v>221</v>
      </c>
      <c r="D100" s="24" t="str">
        <f>'Garagem 01'!C18</f>
        <v>Caixas</v>
      </c>
      <c r="E100" s="24" t="str">
        <f>'Garagem 01'!D18</f>
        <v>Caixa 4x4" de Embutir em PVC Padrão NBR IEC 60670</v>
      </c>
      <c r="F100" s="25">
        <f>'Garagem 01'!E18</f>
        <v>3</v>
      </c>
      <c r="G100" s="25">
        <v>1</v>
      </c>
      <c r="H100" s="25">
        <v>0</v>
      </c>
      <c r="I100" s="25">
        <f t="shared" si="76"/>
        <v>3</v>
      </c>
      <c r="J100" s="25" t="str">
        <f>'Garagem 01'!F18</f>
        <v>pç</v>
      </c>
      <c r="K100" s="26">
        <f>_xlfn.XLOOKUP($E100,PREÇO!$C$7:$C$91,PREÇO!$E$7:$E$91)</f>
        <v>1.72</v>
      </c>
      <c r="L100" s="66">
        <f>IF(SUM(F100:K100)=0,SUMIFS($L101:$L$1593,$B101:$B$1593,$B100,$A101:$A$1593,$A100),I100*K100)</f>
        <v>5.16</v>
      </c>
      <c r="N100"/>
      <c r="O100"/>
      <c r="P100" s="28"/>
      <c r="Q100" s="28"/>
      <c r="R100" s="28"/>
    </row>
    <row r="101" spans="1:18" outlineLevel="1">
      <c r="A101" s="24" t="str">
        <f t="shared" si="74"/>
        <v>GERAL</v>
      </c>
      <c r="B101" s="24" t="str">
        <f t="shared" si="75"/>
        <v>2° PAV. - ESTAC. 01</v>
      </c>
      <c r="C101" s="89" t="s">
        <v>221</v>
      </c>
      <c r="D101" s="24" t="str">
        <f>'Garagem 01'!C19</f>
        <v>Placas</v>
      </c>
      <c r="E101" s="24" t="str">
        <f>'Garagem 01'!D19</f>
        <v>Placa 4x2" cega Padrão NBR IEC 60670</v>
      </c>
      <c r="F101" s="25">
        <f>'Garagem 01'!E19</f>
        <v>7</v>
      </c>
      <c r="G101" s="25">
        <v>1</v>
      </c>
      <c r="H101" s="25">
        <v>0</v>
      </c>
      <c r="I101" s="25">
        <f t="shared" si="76"/>
        <v>7</v>
      </c>
      <c r="J101" s="25" t="str">
        <f>'Garagem 01'!F19</f>
        <v>pç</v>
      </c>
      <c r="K101" s="26">
        <f>_xlfn.XLOOKUP($E101,PREÇO!$C$7:$C$91,PREÇO!$E$7:$E$91)</f>
        <v>4.59</v>
      </c>
      <c r="L101" s="66">
        <f>IF(SUM(F101:K101)=0,SUMIFS($L102:$L$1593,$B102:$B$1593,$B101,$A102:$A$1593,$A101),I101*K101)</f>
        <v>32.129999999999995</v>
      </c>
      <c r="N101"/>
      <c r="O101"/>
      <c r="P101" s="28"/>
      <c r="Q101" s="28"/>
      <c r="R101" s="28"/>
    </row>
    <row r="102" spans="1:18" outlineLevel="1">
      <c r="A102" s="24" t="str">
        <f t="shared" si="74"/>
        <v>GERAL</v>
      </c>
      <c r="B102" s="24" t="str">
        <f t="shared" si="75"/>
        <v>2° PAV. - ESTAC. 01</v>
      </c>
      <c r="C102" s="89" t="s">
        <v>221</v>
      </c>
      <c r="D102" s="24" t="str">
        <f>'Garagem 01'!C20</f>
        <v>Placas</v>
      </c>
      <c r="E102" s="24" t="str">
        <f>'Garagem 01'!D20</f>
        <v>Placa 4x2" com furo para saída de cabos Padrão NBR IEC 60670</v>
      </c>
      <c r="F102" s="25">
        <f>'Garagem 01'!E20</f>
        <v>40</v>
      </c>
      <c r="G102" s="25">
        <v>1</v>
      </c>
      <c r="H102" s="25">
        <v>0</v>
      </c>
      <c r="I102" s="25">
        <f t="shared" si="76"/>
        <v>40</v>
      </c>
      <c r="J102" s="25" t="str">
        <f>'Garagem 01'!F20</f>
        <v>pç</v>
      </c>
      <c r="K102" s="26">
        <f>_xlfn.XLOOKUP($E102,PREÇO!$C$7:$C$91,PREÇO!$E$7:$E$91)</f>
        <v>6.55</v>
      </c>
      <c r="L102" s="66">
        <f>IF(SUM(F102:K102)=0,SUMIFS($L103:$L$1593,$B103:$B$1593,$B102,$A103:$A$1593,$A102),I102*K102)</f>
        <v>262</v>
      </c>
      <c r="N102"/>
      <c r="O102"/>
      <c r="P102" s="28"/>
      <c r="Q102" s="28"/>
      <c r="R102" s="28"/>
    </row>
    <row r="103" spans="1:18" outlineLevel="1">
      <c r="A103" s="24" t="str">
        <f t="shared" si="74"/>
        <v>GERAL</v>
      </c>
      <c r="B103" s="24" t="str">
        <f t="shared" si="75"/>
        <v>2° PAV. - ESTAC. 01</v>
      </c>
      <c r="C103" s="89" t="s">
        <v>221</v>
      </c>
      <c r="D103" s="24" t="str">
        <f>'Garagem 01'!C21</f>
        <v>Placas</v>
      </c>
      <c r="E103" s="24" t="str">
        <f>'Garagem 01'!D21</f>
        <v>Placa 4x4" cega Padrão NBR IEC 60670</v>
      </c>
      <c r="F103" s="25">
        <f>'Garagem 01'!E21</f>
        <v>3</v>
      </c>
      <c r="G103" s="25">
        <v>1</v>
      </c>
      <c r="H103" s="25">
        <v>0</v>
      </c>
      <c r="I103" s="25">
        <f t="shared" si="76"/>
        <v>3</v>
      </c>
      <c r="J103" s="25" t="str">
        <f>'Garagem 01'!F21</f>
        <v>pç</v>
      </c>
      <c r="K103" s="26">
        <f>_xlfn.XLOOKUP($E103,PREÇO!$C$7:$C$91,PREÇO!$E$7:$E$91)</f>
        <v>12.25</v>
      </c>
      <c r="L103" s="66">
        <f>IF(SUM(F103:K103)=0,SUMIFS($L104:$L$1593,$B104:$B$1593,$B103,$A104:$A$1593,$A103),I103*K103)</f>
        <v>36.75</v>
      </c>
      <c r="N103"/>
      <c r="O103"/>
      <c r="P103" s="28"/>
      <c r="Q103" s="28"/>
      <c r="R103" s="28"/>
    </row>
    <row r="104" spans="1:18" outlineLevel="1">
      <c r="A104" s="24" t="str">
        <f t="shared" si="74"/>
        <v>GERAL</v>
      </c>
      <c r="B104" s="24" t="str">
        <f t="shared" si="75"/>
        <v>2° PAV. - ESTAC. 01</v>
      </c>
      <c r="C104" s="89" t="s">
        <v>221</v>
      </c>
      <c r="D104" s="24" t="str">
        <f>'Garagem 01'!C22</f>
        <v>Suportes</v>
      </c>
      <c r="E104" s="24" t="str">
        <f>'Garagem 01'!D22</f>
        <v>Suporte p/ caixa 4x2" Padrão NBR IEC 60670</v>
      </c>
      <c r="F104" s="25">
        <f>'Garagem 01'!E22</f>
        <v>47</v>
      </c>
      <c r="G104" s="25">
        <v>1</v>
      </c>
      <c r="H104" s="25">
        <v>0</v>
      </c>
      <c r="I104" s="25">
        <f t="shared" si="76"/>
        <v>47</v>
      </c>
      <c r="J104" s="25" t="str">
        <f>'Garagem 01'!F22</f>
        <v>pç</v>
      </c>
      <c r="K104" s="26">
        <f>_xlfn.XLOOKUP($E104,PREÇO!$C$7:$C$91,PREÇO!$E$7:$E$91)</f>
        <v>1.85</v>
      </c>
      <c r="L104" s="66">
        <f>IF(SUM(F104:K104)=0,SUMIFS($L105:$L$1593,$B105:$B$1593,$B104,$A105:$A$1593,$A104),I104*K104)</f>
        <v>86.95</v>
      </c>
      <c r="N104"/>
      <c r="O104"/>
      <c r="P104" s="28"/>
      <c r="Q104" s="28"/>
      <c r="R104" s="28"/>
    </row>
    <row r="105" spans="1:18" outlineLevel="1">
      <c r="A105" s="24" t="str">
        <f t="shared" si="74"/>
        <v>GERAL</v>
      </c>
      <c r="B105" s="24" t="str">
        <f t="shared" si="75"/>
        <v>2° PAV. - ESTAC. 01</v>
      </c>
      <c r="C105" s="89" t="s">
        <v>221</v>
      </c>
      <c r="D105" s="24" t="str">
        <f>'Garagem 01'!C23</f>
        <v>Suportes</v>
      </c>
      <c r="E105" s="24" t="str">
        <f>'Garagem 01'!D23</f>
        <v>Suporte p/ caixa 4x4" Padrão NBR IEC 60670</v>
      </c>
      <c r="F105" s="25">
        <f>'Garagem 01'!E23</f>
        <v>3</v>
      </c>
      <c r="G105" s="25">
        <v>1</v>
      </c>
      <c r="H105" s="25">
        <v>0</v>
      </c>
      <c r="I105" s="25">
        <f t="shared" si="76"/>
        <v>3</v>
      </c>
      <c r="J105" s="25" t="str">
        <f>'Garagem 01'!F23</f>
        <v>pç</v>
      </c>
      <c r="K105" s="26">
        <f>_xlfn.XLOOKUP($E105,PREÇO!$C$7:$C$91,PREÇO!$E$7:$E$91)</f>
        <v>3.15</v>
      </c>
      <c r="L105" s="66">
        <f>IF(SUM(F105:K105)=0,SUMIFS($L106:$L$1593,$B106:$B$1593,$B105,$A106:$A$1593,$A105),I105*K105)</f>
        <v>9.4499999999999993</v>
      </c>
      <c r="N105"/>
      <c r="O105"/>
      <c r="P105" s="28"/>
      <c r="Q105" s="28"/>
      <c r="R105" s="28"/>
    </row>
    <row r="106" spans="1:18" outlineLevel="1">
      <c r="A106" s="24" t="str">
        <f t="shared" si="74"/>
        <v>GERAL</v>
      </c>
      <c r="B106" s="24" t="str">
        <f t="shared" si="75"/>
        <v>2° PAV. - ESTAC. 01</v>
      </c>
      <c r="C106" s="89" t="s">
        <v>221</v>
      </c>
      <c r="D106" s="24" t="str">
        <f>'Garagem 01'!C26</f>
        <v>Embutir</v>
      </c>
      <c r="E106" s="24" t="str">
        <f>'Garagem 01'!D26</f>
        <v>Cx de passagem de embutir com dimensão de 50x50x15 cm</v>
      </c>
      <c r="F106" s="25">
        <f>'Garagem 01'!E26</f>
        <v>1</v>
      </c>
      <c r="G106" s="25">
        <v>1</v>
      </c>
      <c r="H106" s="25">
        <v>0</v>
      </c>
      <c r="I106" s="25">
        <f t="shared" si="76"/>
        <v>1</v>
      </c>
      <c r="J106" s="25" t="str">
        <f>'Garagem 01'!F26</f>
        <v>pç</v>
      </c>
      <c r="K106" s="26">
        <f>_xlfn.XLOOKUP($E106,PREÇO!$C$7:$C$91,PREÇO!$E$7:$E$91)</f>
        <v>291.60000000000002</v>
      </c>
      <c r="L106" s="66">
        <f>IF(SUM(F106:K106)=0,SUMIFS($L107:$L$1593,$B107:$B$1593,$B106,$A107:$A$1593,$A106),I106*K106)</f>
        <v>291.60000000000002</v>
      </c>
      <c r="N106"/>
      <c r="O106"/>
      <c r="P106" s="28"/>
      <c r="Q106" s="28"/>
      <c r="R106" s="28"/>
    </row>
    <row r="107" spans="1:18" outlineLevel="1">
      <c r="A107" s="24" t="str">
        <f t="shared" si="74"/>
        <v>GERAL</v>
      </c>
      <c r="B107" s="24" t="str">
        <f t="shared" si="75"/>
        <v>2° PAV. - ESTAC. 01</v>
      </c>
      <c r="C107" s="89" t="s">
        <v>221</v>
      </c>
      <c r="D107" s="24" t="s">
        <v>46</v>
      </c>
      <c r="E107" s="24" t="str">
        <f>'Garagem 01'!C29&amp;" "&amp;'Garagem 01'!D29</f>
        <v>PVC Flexível Antichama - NBR 15465 ø1"</v>
      </c>
      <c r="F107" s="25">
        <f>'Garagem 01'!E29</f>
        <v>451.28</v>
      </c>
      <c r="G107" s="25">
        <v>1</v>
      </c>
      <c r="H107" s="25">
        <v>0</v>
      </c>
      <c r="I107" s="25">
        <f t="shared" si="76"/>
        <v>451.28</v>
      </c>
      <c r="J107" s="25" t="str">
        <f>'Garagem 01'!F29</f>
        <v>m</v>
      </c>
      <c r="K107" s="26">
        <f>_xlfn.XLOOKUP($E107,PREÇO!$C$7:$C$91,PREÇO!$E$7:$E$91)</f>
        <v>2.5299999999999998</v>
      </c>
      <c r="L107" s="66">
        <f>IF(SUM(F107:K107)=0,SUMIFS($L108:$L$1593,$B108:$B$1593,$B107,$A108:$A$1593,$A107),I107*K107)</f>
        <v>1141.7384</v>
      </c>
      <c r="N107"/>
      <c r="O107"/>
      <c r="P107" s="28"/>
      <c r="Q107" s="28"/>
      <c r="R107" s="28"/>
    </row>
    <row r="108" spans="1:18" outlineLevel="1">
      <c r="A108" s="24" t="str">
        <f t="shared" si="74"/>
        <v>GERAL</v>
      </c>
      <c r="B108" s="24" t="str">
        <f t="shared" si="75"/>
        <v>2° PAV. - ESTAC. 01</v>
      </c>
      <c r="C108" s="89" t="s">
        <v>221</v>
      </c>
      <c r="D108" s="24" t="s">
        <v>46</v>
      </c>
      <c r="E108" s="24" t="str">
        <f>'Garagem 01'!C30&amp;" "&amp;'Garagem 01'!D30</f>
        <v>PVC Flexível Antichama - NBR 15465 ø3/4"</v>
      </c>
      <c r="F108" s="25">
        <f>'Garagem 01'!E30</f>
        <v>152.91</v>
      </c>
      <c r="G108" s="25">
        <v>1</v>
      </c>
      <c r="H108" s="25">
        <v>0</v>
      </c>
      <c r="I108" s="25">
        <f t="shared" si="76"/>
        <v>152.91</v>
      </c>
      <c r="J108" s="25" t="str">
        <f>'Garagem 01'!F30</f>
        <v>m</v>
      </c>
      <c r="K108" s="26">
        <f>_xlfn.XLOOKUP($E108,PREÇO!$C$7:$C$91,PREÇO!$E$7:$E$91)</f>
        <v>1.8</v>
      </c>
      <c r="L108" s="66">
        <f>IF(SUM(F108:K108)=0,SUMIFS($L109:$L$1593,$B109:$B$1593,$B108,$A109:$A$1593,$A108),I108*K108)</f>
        <v>275.238</v>
      </c>
      <c r="N108"/>
      <c r="O108"/>
      <c r="P108" s="28"/>
      <c r="Q108" s="28"/>
      <c r="R108" s="28"/>
    </row>
    <row r="109" spans="1:18" outlineLevel="1">
      <c r="A109" s="24" t="str">
        <f t="shared" si="74"/>
        <v>GERAL</v>
      </c>
      <c r="B109" s="24" t="str">
        <f t="shared" si="75"/>
        <v>2° PAV. - ESTAC. 01</v>
      </c>
      <c r="C109" s="89" t="s">
        <v>220</v>
      </c>
      <c r="D109" s="24" t="str">
        <f>'Garagem 01'!C33</f>
        <v>Blocos Autônomos</v>
      </c>
      <c r="E109" s="24" t="str">
        <f>'Garagem 01'!D33</f>
        <v>Luminária de Emergência de Parede - Autônoma</v>
      </c>
      <c r="F109" s="25">
        <f>'Garagem 01'!E33</f>
        <v>1</v>
      </c>
      <c r="G109" s="25">
        <v>1</v>
      </c>
      <c r="H109" s="25">
        <v>0</v>
      </c>
      <c r="I109" s="25">
        <f t="shared" si="76"/>
        <v>1</v>
      </c>
      <c r="J109" s="25" t="str">
        <f>'Garagem 01'!F33</f>
        <v>pç</v>
      </c>
      <c r="K109" s="26">
        <f>_xlfn.XLOOKUP($E109,PREÇO!$C$7:$C$91,PREÇO!$E$7:$E$91)</f>
        <v>59.9</v>
      </c>
      <c r="L109" s="66">
        <f>IF(SUM(F109:K109)=0,SUMIFS($L110:$L$1593,$B110:$B$1593,$B109,$A110:$A$1593,$A109),I109*K109)</f>
        <v>59.9</v>
      </c>
      <c r="N109"/>
      <c r="O109"/>
      <c r="P109" s="28"/>
      <c r="Q109" s="28"/>
      <c r="R109" s="28"/>
    </row>
    <row r="110" spans="1:18" outlineLevel="1">
      <c r="A110" s="24" t="str">
        <f t="shared" si="74"/>
        <v>GERAL</v>
      </c>
      <c r="B110" s="24" t="str">
        <f t="shared" si="75"/>
        <v>2° PAV. - ESTAC. 01</v>
      </c>
      <c r="C110" s="89" t="s">
        <v>220</v>
      </c>
      <c r="D110" s="24" t="str">
        <f>'Garagem 01'!C34</f>
        <v>Luminárias e Placas de Saída</v>
      </c>
      <c r="E110" s="24" t="str">
        <f>'Garagem 01'!D34</f>
        <v>Luminária de Emergência 24V de Parede</v>
      </c>
      <c r="F110" s="25">
        <f>'Garagem 01'!E34</f>
        <v>3</v>
      </c>
      <c r="G110" s="25">
        <v>1</v>
      </c>
      <c r="H110" s="25">
        <v>0</v>
      </c>
      <c r="I110" s="25">
        <f t="shared" si="76"/>
        <v>3</v>
      </c>
      <c r="J110" s="25" t="str">
        <f>'Garagem 01'!F34</f>
        <v>pç</v>
      </c>
      <c r="K110" s="26">
        <f>_xlfn.XLOOKUP($E110,PREÇO!$C$7:$C$91,PREÇO!$E$7:$E$91)</f>
        <v>15.9</v>
      </c>
      <c r="L110" s="66">
        <f>IF(SUM(F110:K110)=0,SUMIFS($L111:$L$1593,$B111:$B$1593,$B110,$A111:$A$1593,$A110),I110*K110)</f>
        <v>47.7</v>
      </c>
      <c r="N110"/>
      <c r="O110"/>
      <c r="P110" s="28"/>
      <c r="Q110" s="28"/>
      <c r="R110" s="28"/>
    </row>
    <row r="111" spans="1:18" outlineLevel="1">
      <c r="A111" s="24" t="str">
        <f t="shared" si="74"/>
        <v>GERAL</v>
      </c>
      <c r="B111" s="24" t="str">
        <f t="shared" si="75"/>
        <v>2° PAV. - ESTAC. 01</v>
      </c>
      <c r="C111" s="89" t="s">
        <v>220</v>
      </c>
      <c r="D111" s="24" t="str">
        <f>'Garagem 01'!C35</f>
        <v>Luminárias e Placas de Saída</v>
      </c>
      <c r="E111" s="24" t="str">
        <f>'Garagem 01'!D35</f>
        <v>Luminária de Emergência 24V de Teto</v>
      </c>
      <c r="F111" s="25">
        <f>'Garagem 01'!E35</f>
        <v>67</v>
      </c>
      <c r="G111" s="25">
        <v>1</v>
      </c>
      <c r="H111" s="25">
        <v>0</v>
      </c>
      <c r="I111" s="25">
        <f t="shared" si="76"/>
        <v>67</v>
      </c>
      <c r="J111" s="25" t="str">
        <f>'Garagem 01'!F35</f>
        <v>pç</v>
      </c>
      <c r="K111" s="26">
        <f>_xlfn.XLOOKUP($E111,PREÇO!$C$7:$C$91,PREÇO!$E$7:$E$91)</f>
        <v>69.900000000000006</v>
      </c>
      <c r="L111" s="66">
        <f>IF(SUM(F111:K111)=0,SUMIFS($L112:$L$1593,$B112:$B$1593,$B111,$A112:$A$1593,$A111),I111*K111)</f>
        <v>4683.3</v>
      </c>
      <c r="N111"/>
      <c r="O111"/>
      <c r="P111" s="28"/>
      <c r="Q111" s="28"/>
      <c r="R111" s="28"/>
    </row>
    <row r="112" spans="1:18" outlineLevel="1">
      <c r="A112" s="24" t="str">
        <f t="shared" si="74"/>
        <v>GERAL</v>
      </c>
      <c r="B112" s="24" t="str">
        <f t="shared" si="75"/>
        <v>2° PAV. - ESTAC. 01</v>
      </c>
      <c r="C112" s="24" t="s">
        <v>222</v>
      </c>
      <c r="D112" s="24" t="str">
        <f>'Garagem 01'!C36</f>
        <v>Luminárias e Placas de Saída</v>
      </c>
      <c r="E112" s="24" t="str">
        <f>'Garagem 01'!D36</f>
        <v>Placa de Saída 24V de Parede sem Direção</v>
      </c>
      <c r="F112" s="25">
        <f>'Garagem 01'!E36</f>
        <v>4</v>
      </c>
      <c r="G112" s="25">
        <v>1</v>
      </c>
      <c r="H112" s="25">
        <v>0</v>
      </c>
      <c r="I112" s="25">
        <f t="shared" si="76"/>
        <v>4</v>
      </c>
      <c r="J112" s="25" t="str">
        <f>'Garagem 01'!F36</f>
        <v>pç</v>
      </c>
      <c r="K112" s="26">
        <f>_xlfn.XLOOKUP($E112,PREÇO!$C$7:$C$91,PREÇO!$E$7:$E$91)</f>
        <v>61.66</v>
      </c>
      <c r="L112" s="66">
        <f>IF(SUM(F112:K112)=0,SUMIFS($L113:$L$1593,$B113:$B$1593,$B112,$A113:$A$1593,$A112),I112*K112)</f>
        <v>246.64</v>
      </c>
      <c r="N112"/>
      <c r="O112"/>
      <c r="P112" s="28"/>
      <c r="Q112" s="28"/>
      <c r="R112" s="28"/>
    </row>
    <row r="113" spans="1:18" outlineLevel="1">
      <c r="A113" s="24" t="str">
        <f t="shared" si="74"/>
        <v>GERAL</v>
      </c>
      <c r="B113" s="24" t="str">
        <f t="shared" si="75"/>
        <v>2° PAV. - ESTAC. 01</v>
      </c>
      <c r="C113" s="24" t="s">
        <v>222</v>
      </c>
      <c r="D113" s="24" t="str">
        <f>'Garagem 01'!C37</f>
        <v>Luminárias e Placas de Saída</v>
      </c>
      <c r="E113" s="24" t="str">
        <f>'Garagem 01'!D37</f>
        <v>Placa de Saída 24V de Teto sem Direção</v>
      </c>
      <c r="F113" s="25">
        <f>'Garagem 01'!E37</f>
        <v>1</v>
      </c>
      <c r="G113" s="25">
        <v>1</v>
      </c>
      <c r="H113" s="25">
        <v>0</v>
      </c>
      <c r="I113" s="25">
        <f t="shared" si="76"/>
        <v>1</v>
      </c>
      <c r="J113" s="25" t="str">
        <f>'Garagem 01'!F37</f>
        <v>pç</v>
      </c>
      <c r="K113" s="26">
        <f>_xlfn.XLOOKUP($E113,PREÇO!$C$7:$C$91,PREÇO!$E$7:$E$91)</f>
        <v>61.66</v>
      </c>
      <c r="L113" s="66">
        <f>IF(SUM(F113:K113)=0,SUMIFS($L114:$L$1593,$B114:$B$1593,$B113,$A114:$A$1593,$A113),I113*K113)</f>
        <v>61.66</v>
      </c>
      <c r="N113"/>
      <c r="O113"/>
      <c r="P113" s="28"/>
      <c r="Q113" s="28"/>
      <c r="R113" s="28"/>
    </row>
    <row r="114" spans="1:18" outlineLevel="1">
      <c r="A114" s="24" t="str">
        <f t="shared" si="74"/>
        <v>GERAL</v>
      </c>
      <c r="B114" s="24" t="str">
        <f t="shared" si="75"/>
        <v>2° PAV. - ESTAC. 01</v>
      </c>
      <c r="C114" s="24" t="s">
        <v>222</v>
      </c>
      <c r="D114" s="24" t="str">
        <f>'Garagem 01'!C38</f>
        <v>Luminárias e Placas de Saída</v>
      </c>
      <c r="E114" s="24" t="str">
        <f>'Garagem 01'!D38</f>
        <v>Placa de Saída Dupla Face 24V de Teto com Direção</v>
      </c>
      <c r="F114" s="25">
        <f>'Garagem 01'!E38</f>
        <v>18</v>
      </c>
      <c r="G114" s="25">
        <v>1</v>
      </c>
      <c r="H114" s="25">
        <v>0</v>
      </c>
      <c r="I114" s="25">
        <f t="shared" si="76"/>
        <v>18</v>
      </c>
      <c r="J114" s="25" t="str">
        <f>'Garagem 01'!F38</f>
        <v>pç</v>
      </c>
      <c r="K114" s="26">
        <f>_xlfn.XLOOKUP($E114,PREÇO!$C$7:$C$91,PREÇO!$E$7:$E$91)</f>
        <v>61.66</v>
      </c>
      <c r="L114" s="66">
        <f>IF(SUM(F114:K114)=0,SUMIFS($L116:$L$1593,$B116:$B$1593,$B114,$A116:$A$1593,$A114),I114*K114)</f>
        <v>1109.8799999999999</v>
      </c>
      <c r="N114"/>
      <c r="O114"/>
      <c r="P114" s="28"/>
      <c r="Q114" s="28"/>
      <c r="R114" s="28"/>
    </row>
    <row r="115" spans="1:18" outlineLevel="1">
      <c r="A115" s="116" t="str">
        <f>A113</f>
        <v>GERAL</v>
      </c>
      <c r="B115" s="116" t="s">
        <v>106</v>
      </c>
      <c r="C115" s="116" t="s">
        <v>222</v>
      </c>
      <c r="D115" s="116" t="s">
        <v>223</v>
      </c>
      <c r="E115" s="116" t="s">
        <v>224</v>
      </c>
      <c r="F115" s="117">
        <v>14</v>
      </c>
      <c r="G115" s="117">
        <v>1</v>
      </c>
      <c r="H115" s="118">
        <v>0</v>
      </c>
      <c r="I115" s="117">
        <f t="shared" si="76"/>
        <v>14</v>
      </c>
      <c r="J115" s="117" t="s">
        <v>11</v>
      </c>
      <c r="K115" s="119">
        <f>_xlfn.XLOOKUP($E115,PREÇO!$C$7:$C$91,PREÇO!$E$7:$E$91)</f>
        <v>646.55999999999995</v>
      </c>
      <c r="L115" s="120">
        <f>IF(SUM(F115:K115)=0,SUMIFS($L116:$L$1593,$B116:$B$1593,$B115,$A116:$A$1593,$A115),I115*K115)</f>
        <v>9051.84</v>
      </c>
      <c r="N115"/>
      <c r="O115"/>
      <c r="P115" s="28"/>
      <c r="Q115" s="28"/>
      <c r="R115" s="28"/>
    </row>
    <row r="116" spans="1:18" outlineLevel="1">
      <c r="A116" s="24" t="str">
        <f>A114</f>
        <v>GERAL</v>
      </c>
      <c r="B116" s="24" t="str">
        <f>B114</f>
        <v>2° PAV. - ESTAC. 01</v>
      </c>
      <c r="C116" s="89" t="s">
        <v>220</v>
      </c>
      <c r="D116" s="24" t="str">
        <f>'Garagem 01'!C39</f>
        <v>Sensores de Presença</v>
      </c>
      <c r="E116" s="24" t="str">
        <f>'Garagem 01'!D39</f>
        <v>Sensor de Presença 24V de teto</v>
      </c>
      <c r="F116" s="25">
        <f>'Garagem 01'!E39</f>
        <v>37</v>
      </c>
      <c r="G116" s="25">
        <v>1</v>
      </c>
      <c r="H116" s="25">
        <v>0</v>
      </c>
      <c r="I116" s="25">
        <f t="shared" si="76"/>
        <v>37</v>
      </c>
      <c r="J116" s="25" t="str">
        <f>'Garagem 01'!F39</f>
        <v>pç</v>
      </c>
      <c r="K116" s="26">
        <f>_xlfn.XLOOKUP($E116,PREÇO!$C$7:$C$91,PREÇO!$E$7:$E$91)</f>
        <v>38.4</v>
      </c>
      <c r="L116" s="66">
        <f>IF(SUM(F116:K116)=0,SUMIFS($L117:$L$1593,$B117:$B$1593,$B116,$A117:$A$1593,$A116),I116*K116)</f>
        <v>1420.8</v>
      </c>
      <c r="N116"/>
      <c r="O116"/>
      <c r="P116" s="28"/>
      <c r="Q116" s="28"/>
      <c r="R116" s="28"/>
    </row>
    <row r="117" spans="1:18" outlineLevel="1">
      <c r="A117" s="24" t="str">
        <f t="shared" si="74"/>
        <v>GERAL</v>
      </c>
      <c r="B117" s="24" t="str">
        <f t="shared" si="75"/>
        <v>2° PAV. - ESTAC. 01</v>
      </c>
      <c r="C117" s="89" t="s">
        <v>221</v>
      </c>
      <c r="D117" s="24" t="s">
        <v>87</v>
      </c>
      <c r="E117" s="24" t="str">
        <f>'Garagem 01'!C42&amp;" "&amp;'Garagem 01'!D42</f>
        <v>Isolação em PVC (70ºC) 1.5 mm² - Amarelo</v>
      </c>
      <c r="F117" s="25">
        <f>'Garagem 01'!E42</f>
        <v>1102.96</v>
      </c>
      <c r="G117" s="25">
        <v>1</v>
      </c>
      <c r="H117" s="25">
        <v>0</v>
      </c>
      <c r="I117" s="25">
        <f t="shared" si="76"/>
        <v>1102.96</v>
      </c>
      <c r="J117" s="25" t="str">
        <f>'Garagem 01'!F42</f>
        <v>m</v>
      </c>
      <c r="K117" s="26">
        <f>_xlfn.XLOOKUP($E117,PREÇO!$C$7:$C$91,PREÇO!$E$7:$E$91)</f>
        <v>1.59</v>
      </c>
      <c r="L117" s="66">
        <f>IF(SUM(F117:K117)=0,SUMIFS($L118:$L$1593,$B118:$B$1593,$B117,$A118:$A$1593,$A117),I117*K117)</f>
        <v>1753.7064000000003</v>
      </c>
      <c r="N117"/>
      <c r="O117"/>
      <c r="P117" s="28"/>
      <c r="Q117" s="28"/>
      <c r="R117" s="28"/>
    </row>
    <row r="118" spans="1:18" outlineLevel="1">
      <c r="A118" s="24" t="str">
        <f t="shared" si="74"/>
        <v>GERAL</v>
      </c>
      <c r="B118" s="24" t="str">
        <f t="shared" si="75"/>
        <v>2° PAV. - ESTAC. 01</v>
      </c>
      <c r="C118" s="89" t="s">
        <v>221</v>
      </c>
      <c r="D118" s="24" t="s">
        <v>87</v>
      </c>
      <c r="E118" s="24" t="str">
        <f>'Garagem 01'!C43&amp;" "&amp;'Garagem 01'!D43</f>
        <v>Isolação em PVC (70ºC) 1.5 mm² - Preto</v>
      </c>
      <c r="F118" s="25">
        <f>'Garagem 01'!E43</f>
        <v>551.48</v>
      </c>
      <c r="G118" s="25">
        <v>1</v>
      </c>
      <c r="H118" s="25">
        <v>0</v>
      </c>
      <c r="I118" s="25">
        <f t="shared" si="76"/>
        <v>551.48</v>
      </c>
      <c r="J118" s="25" t="str">
        <f>'Garagem 01'!F43</f>
        <v>m</v>
      </c>
      <c r="K118" s="26">
        <f>_xlfn.XLOOKUP($E118,PREÇO!$C$7:$C$91,PREÇO!$E$7:$E$91)</f>
        <v>1.59</v>
      </c>
      <c r="L118" s="66">
        <f>IF(SUM(F118:K118)=0,SUMIFS($L119:$L$1593,$B119:$B$1593,$B118,$A119:$A$1593,$A118),I118*K118)</f>
        <v>876.85320000000013</v>
      </c>
      <c r="N118"/>
      <c r="O118"/>
      <c r="P118" s="28"/>
      <c r="Q118" s="28"/>
      <c r="R118" s="28"/>
    </row>
    <row r="119" spans="1:18" outlineLevel="1">
      <c r="A119" s="24" t="str">
        <f t="shared" si="74"/>
        <v>GERAL</v>
      </c>
      <c r="B119" s="24" t="str">
        <f t="shared" si="75"/>
        <v>2° PAV. - ESTAC. 01</v>
      </c>
      <c r="C119" s="89" t="s">
        <v>221</v>
      </c>
      <c r="D119" s="24" t="s">
        <v>87</v>
      </c>
      <c r="E119" s="24" t="str">
        <f>'Garagem 01'!C44&amp;" "&amp;'Garagem 01'!D44</f>
        <v>Isolação em PVC (70ºC) 1.5 mm² - Vermelho</v>
      </c>
      <c r="F119" s="25">
        <f>'Garagem 01'!E44</f>
        <v>551.48</v>
      </c>
      <c r="G119" s="25">
        <v>1</v>
      </c>
      <c r="H119" s="25">
        <v>0</v>
      </c>
      <c r="I119" s="25">
        <f t="shared" si="76"/>
        <v>551.48</v>
      </c>
      <c r="J119" s="25" t="str">
        <f>'Garagem 01'!F44</f>
        <v>m</v>
      </c>
      <c r="K119" s="26">
        <f>_xlfn.XLOOKUP($E119,PREÇO!$C$7:$C$91,PREÇO!$E$7:$E$91)</f>
        <v>1.59</v>
      </c>
      <c r="L119" s="66">
        <f>IF(SUM(F119:K119)=0,SUMIFS($L120:$L$1593,$B120:$B$1593,$B119,$A120:$A$1593,$A119),I119*K119)</f>
        <v>876.85320000000013</v>
      </c>
      <c r="N119"/>
      <c r="O119"/>
      <c r="P119" s="28"/>
      <c r="Q119" s="28"/>
      <c r="R119" s="28"/>
    </row>
    <row r="120" spans="1:18" outlineLevel="1">
      <c r="A120" s="24" t="str">
        <f t="shared" si="74"/>
        <v>GERAL</v>
      </c>
      <c r="B120" s="24" t="str">
        <f t="shared" si="75"/>
        <v>2° PAV. - ESTAC. 01</v>
      </c>
      <c r="C120" s="89" t="s">
        <v>221</v>
      </c>
      <c r="D120" s="24" t="s">
        <v>87</v>
      </c>
      <c r="E120" s="24" t="str">
        <f>'Garagem 01'!C45&amp;" "&amp;'Garagem 01'!D45</f>
        <v>Isolação em PVC (70ºC) 2.5 mm² - Amarelo</v>
      </c>
      <c r="F120" s="25">
        <f>'Garagem 01'!E45</f>
        <v>24.42</v>
      </c>
      <c r="G120" s="25">
        <v>1</v>
      </c>
      <c r="H120" s="25">
        <v>0</v>
      </c>
      <c r="I120" s="25">
        <f t="shared" si="76"/>
        <v>24.42</v>
      </c>
      <c r="J120" s="25" t="str">
        <f>'Garagem 01'!F45</f>
        <v>m</v>
      </c>
      <c r="K120" s="26">
        <f>_xlfn.XLOOKUP($E120,PREÇO!$C$7:$C$91,PREÇO!$E$7:$E$91)</f>
        <v>2.19</v>
      </c>
      <c r="L120" s="66">
        <f>IF(SUM(F120:K120)=0,SUMIFS($L121:$L$1593,$B121:$B$1593,$B120,$A121:$A$1593,$A120),I120*K120)</f>
        <v>53.479800000000004</v>
      </c>
      <c r="N120"/>
      <c r="O120"/>
      <c r="P120" s="28"/>
      <c r="Q120" s="28"/>
      <c r="R120" s="28"/>
    </row>
    <row r="121" spans="1:18" outlineLevel="1">
      <c r="A121" s="24" t="str">
        <f t="shared" si="74"/>
        <v>GERAL</v>
      </c>
      <c r="B121" s="24" t="str">
        <f t="shared" si="75"/>
        <v>2° PAV. - ESTAC. 01</v>
      </c>
      <c r="C121" s="89" t="s">
        <v>221</v>
      </c>
      <c r="D121" s="24" t="s">
        <v>87</v>
      </c>
      <c r="E121" s="24" t="str">
        <f>'Garagem 01'!C46&amp;" "&amp;'Garagem 01'!D46</f>
        <v>Isolação em PVC (70ºC) 2.5 mm² - Preto</v>
      </c>
      <c r="F121" s="25">
        <f>'Garagem 01'!E46</f>
        <v>166.6</v>
      </c>
      <c r="G121" s="25">
        <v>1</v>
      </c>
      <c r="H121" s="25">
        <v>0</v>
      </c>
      <c r="I121" s="25">
        <f t="shared" si="76"/>
        <v>166.6</v>
      </c>
      <c r="J121" s="25" t="str">
        <f>'Garagem 01'!F46</f>
        <v>m</v>
      </c>
      <c r="K121" s="26">
        <f>_xlfn.XLOOKUP($E121,PREÇO!$C$7:$C$91,PREÇO!$E$7:$E$91)</f>
        <v>2.19</v>
      </c>
      <c r="L121" s="66">
        <f>IF(SUM(F121:K121)=0,SUMIFS($L122:$L$1593,$B122:$B$1593,$B121,$A122:$A$1593,$A121),I121*K121)</f>
        <v>364.85399999999998</v>
      </c>
      <c r="N121"/>
      <c r="O121"/>
      <c r="P121" s="28"/>
      <c r="Q121" s="28"/>
      <c r="R121" s="28"/>
    </row>
    <row r="122" spans="1:18" outlineLevel="1">
      <c r="A122" s="24" t="str">
        <f t="shared" si="74"/>
        <v>GERAL</v>
      </c>
      <c r="B122" s="24" t="str">
        <f t="shared" si="75"/>
        <v>2° PAV. - ESTAC. 01</v>
      </c>
      <c r="C122" s="89" t="s">
        <v>221</v>
      </c>
      <c r="D122" s="24" t="s">
        <v>87</v>
      </c>
      <c r="E122" s="24" t="str">
        <f>'Garagem 01'!C47&amp;" "&amp;'Garagem 01'!D47</f>
        <v>Isolação em PVC (70ºC) 2.5 mm² - Vermelho</v>
      </c>
      <c r="F122" s="25">
        <f>'Garagem 01'!E47</f>
        <v>166.6</v>
      </c>
      <c r="G122" s="25">
        <v>1</v>
      </c>
      <c r="H122" s="25">
        <v>0</v>
      </c>
      <c r="I122" s="25">
        <f t="shared" si="76"/>
        <v>166.6</v>
      </c>
      <c r="J122" s="25" t="str">
        <f>'Garagem 01'!F47</f>
        <v>m</v>
      </c>
      <c r="K122" s="26">
        <f>_xlfn.XLOOKUP($E122,PREÇO!$C$7:$C$91,PREÇO!$E$7:$E$91)</f>
        <v>2.19</v>
      </c>
      <c r="L122" s="66">
        <f>IF(SUM(F122:K122)=0,SUMIFS($L123:$L$1593,$B123:$B$1593,$B122,$A123:$A$1593,$A122),I122*K122)</f>
        <v>364.85399999999998</v>
      </c>
      <c r="N122"/>
      <c r="O122"/>
      <c r="P122" s="28"/>
      <c r="Q122" s="28"/>
      <c r="R122" s="28"/>
    </row>
    <row r="123" spans="1:18" outlineLevel="1">
      <c r="A123" s="24" t="str">
        <f t="shared" si="74"/>
        <v>GERAL</v>
      </c>
      <c r="B123" s="24" t="str">
        <f t="shared" si="75"/>
        <v>2° PAV. - ESTAC. 01</v>
      </c>
      <c r="C123" s="89" t="s">
        <v>221</v>
      </c>
      <c r="D123" s="24" t="s">
        <v>87</v>
      </c>
      <c r="E123" s="24" t="str">
        <f>'Garagem 01'!C48&amp;" "&amp;'Garagem 01'!D48</f>
        <v>Isolação em PVC (70ºC) 4 mm² - Preto</v>
      </c>
      <c r="F123" s="25">
        <f>'Garagem 01'!E48</f>
        <v>789.13</v>
      </c>
      <c r="G123" s="25">
        <v>1</v>
      </c>
      <c r="H123" s="25">
        <v>0</v>
      </c>
      <c r="I123" s="25">
        <f t="shared" si="76"/>
        <v>789.13</v>
      </c>
      <c r="J123" s="25" t="str">
        <f>'Garagem 01'!F48</f>
        <v>m</v>
      </c>
      <c r="K123" s="26">
        <f>_xlfn.XLOOKUP($E123,PREÇO!$C$7:$C$91,PREÇO!$E$7:$E$91)</f>
        <v>3.89</v>
      </c>
      <c r="L123" s="66">
        <f>IF(SUM(F123:K123)=0,SUMIFS($L124:$L$1593,$B124:$B$1593,$B123,$A124:$A$1593,$A123),I123*K123)</f>
        <v>3069.7157000000002</v>
      </c>
      <c r="N123"/>
      <c r="O123"/>
      <c r="P123" s="28"/>
      <c r="Q123" s="28"/>
      <c r="R123" s="28"/>
    </row>
    <row r="124" spans="1:18" outlineLevel="1">
      <c r="A124" s="24" t="str">
        <f t="shared" si="74"/>
        <v>GERAL</v>
      </c>
      <c r="B124" s="24" t="str">
        <f t="shared" si="75"/>
        <v>2° PAV. - ESTAC. 01</v>
      </c>
      <c r="C124" s="89" t="s">
        <v>221</v>
      </c>
      <c r="D124" s="24" t="s">
        <v>87</v>
      </c>
      <c r="E124" s="24" t="str">
        <f>'Garagem 01'!C49&amp;" "&amp;'Garagem 01'!D49</f>
        <v>Isolação em PVC (70ºC) 4 mm² - Vermelho</v>
      </c>
      <c r="F124" s="25">
        <f>'Garagem 01'!E49</f>
        <v>789.13</v>
      </c>
      <c r="G124" s="25">
        <v>1</v>
      </c>
      <c r="H124" s="25">
        <v>0</v>
      </c>
      <c r="I124" s="25">
        <f t="shared" si="76"/>
        <v>789.13</v>
      </c>
      <c r="J124" s="25" t="str">
        <f>'Garagem 01'!F49</f>
        <v>m</v>
      </c>
      <c r="K124" s="26">
        <f>_xlfn.XLOOKUP($E124,PREÇO!$C$7:$C$91,PREÇO!$E$7:$E$91)</f>
        <v>3.89</v>
      </c>
      <c r="L124" s="66">
        <f>IF(SUM(F124:K124)=0,SUMIFS($L125:$L$1593,$B125:$B$1593,$B124,$A125:$A$1593,$A124),I124*K124)</f>
        <v>3069.7157000000002</v>
      </c>
      <c r="N124"/>
      <c r="O124"/>
      <c r="P124" s="28"/>
      <c r="Q124" s="28"/>
      <c r="R124" s="28"/>
    </row>
    <row r="125" spans="1:18" outlineLevel="1">
      <c r="A125" s="24" t="str">
        <f t="shared" si="74"/>
        <v>GERAL</v>
      </c>
      <c r="B125" s="24" t="str">
        <f t="shared" si="75"/>
        <v>2° PAV. - ESTAC. 01</v>
      </c>
      <c r="C125" s="89" t="s">
        <v>221</v>
      </c>
      <c r="D125" s="24" t="s">
        <v>87</v>
      </c>
      <c r="E125" s="24" t="str">
        <f>'Garagem 01'!C50&amp;" "&amp;'Garagem 01'!D50</f>
        <v>Isolação em PVC (70ºC) 6 mm² - Preto</v>
      </c>
      <c r="F125" s="25">
        <f>'Garagem 01'!E50</f>
        <v>365.14</v>
      </c>
      <c r="G125" s="25">
        <v>1</v>
      </c>
      <c r="H125" s="25">
        <v>0</v>
      </c>
      <c r="I125" s="25">
        <f t="shared" si="76"/>
        <v>365.14</v>
      </c>
      <c r="J125" s="25" t="str">
        <f>'Garagem 01'!F50</f>
        <v>m</v>
      </c>
      <c r="K125" s="26">
        <f>_xlfn.XLOOKUP($E125,PREÇO!$C$7:$C$91,PREÇO!$E$7:$E$91)</f>
        <v>5.79</v>
      </c>
      <c r="L125" s="66">
        <f>IF(SUM(F125:K125)=0,SUMIFS($L126:$L$1593,$B126:$B$1593,$B125,$A126:$A$1593,$A125),I125*K125)</f>
        <v>2114.1606000000002</v>
      </c>
      <c r="N125"/>
      <c r="O125"/>
      <c r="P125" s="28"/>
      <c r="Q125" s="28"/>
      <c r="R125" s="28"/>
    </row>
    <row r="126" spans="1:18" outlineLevel="1">
      <c r="A126" s="24" t="str">
        <f t="shared" si="74"/>
        <v>GERAL</v>
      </c>
      <c r="B126" s="24" t="str">
        <f t="shared" si="75"/>
        <v>2° PAV. - ESTAC. 01</v>
      </c>
      <c r="C126" s="89" t="s">
        <v>221</v>
      </c>
      <c r="D126" s="24" t="s">
        <v>87</v>
      </c>
      <c r="E126" s="24" t="str">
        <f>'Garagem 01'!C51&amp;" "&amp;'Garagem 01'!D51</f>
        <v>Isolação em PVC (70ºC) 6 mm² - Vermelho</v>
      </c>
      <c r="F126" s="25">
        <f>'Garagem 01'!E51</f>
        <v>365.14</v>
      </c>
      <c r="G126" s="25">
        <v>1</v>
      </c>
      <c r="H126" s="25">
        <v>0</v>
      </c>
      <c r="I126" s="25">
        <f t="shared" si="76"/>
        <v>365.14</v>
      </c>
      <c r="J126" s="25" t="str">
        <f>'Garagem 01'!F51</f>
        <v>m</v>
      </c>
      <c r="K126" s="26">
        <f>_xlfn.XLOOKUP($E126,PREÇO!$C$7:$C$91,PREÇO!$E$7:$E$91)</f>
        <v>5.79</v>
      </c>
      <c r="L126" s="66">
        <f>IF(SUM(F126:K126)=0,SUMIFS($L127:$L$1593,$B127:$B$1593,$B126,$A127:$A$1593,$A126),I126*K126)</f>
        <v>2114.1606000000002</v>
      </c>
      <c r="N126"/>
      <c r="O126"/>
      <c r="P126" s="28"/>
      <c r="Q126" s="28"/>
      <c r="R126" s="28"/>
    </row>
    <row r="127" spans="1:18" outlineLevel="1">
      <c r="A127" s="24" t="str">
        <f t="shared" si="74"/>
        <v>GERAL</v>
      </c>
      <c r="B127" s="24" t="str">
        <f t="shared" si="75"/>
        <v>2° PAV. - ESTAC. 01</v>
      </c>
      <c r="C127" s="89" t="s">
        <v>221</v>
      </c>
      <c r="D127" s="24" t="s">
        <v>46</v>
      </c>
      <c r="E127" s="24" t="str">
        <f>'Garagem 01'!C55&amp;" "&amp;'Garagem 01'!D55</f>
        <v>PVC Flexível Antichama - NBR 15465 ø1"</v>
      </c>
      <c r="F127" s="25">
        <f>'Garagem 01'!E55</f>
        <v>280.16000000000003</v>
      </c>
      <c r="G127" s="25">
        <v>1</v>
      </c>
      <c r="H127" s="25">
        <v>0</v>
      </c>
      <c r="I127" s="25">
        <f t="shared" si="76"/>
        <v>280.16000000000003</v>
      </c>
      <c r="J127" s="25" t="str">
        <f>'Garagem 01'!F55</f>
        <v>m</v>
      </c>
      <c r="K127" s="26">
        <f>_xlfn.XLOOKUP($E127,PREÇO!$C$7:$C$91,PREÇO!$E$7:$E$91)</f>
        <v>2.5299999999999998</v>
      </c>
      <c r="L127" s="66">
        <f>IF(SUM(F127:K127)=0,SUMIFS($L128:$L$1593,$B128:$B$1593,$B127,$A128:$A$1593,$A127),I127*K127)</f>
        <v>708.8048</v>
      </c>
      <c r="N127"/>
      <c r="O127"/>
      <c r="P127" s="28"/>
      <c r="Q127" s="28"/>
      <c r="R127" s="28"/>
    </row>
    <row r="128" spans="1:18" outlineLevel="1">
      <c r="A128" s="24" t="str">
        <f t="shared" si="74"/>
        <v>GERAL</v>
      </c>
      <c r="B128" s="24" t="str">
        <f t="shared" si="75"/>
        <v>2° PAV. - ESTAC. 01</v>
      </c>
      <c r="C128" s="89" t="s">
        <v>221</v>
      </c>
      <c r="D128" s="24" t="s">
        <v>89</v>
      </c>
      <c r="E128" s="24" t="str">
        <f>'Garagem 01'!C58&amp;" "&amp;'Garagem 01'!D58</f>
        <v>Classe A - PVC Anti-chama - 105ºC - Isolação 600V 0.75 mm²</v>
      </c>
      <c r="F128" s="25">
        <f>'Garagem 01'!E58</f>
        <v>269.69</v>
      </c>
      <c r="G128" s="25">
        <v>1</v>
      </c>
      <c r="H128" s="25">
        <v>0</v>
      </c>
      <c r="I128" s="25">
        <f t="shared" si="76"/>
        <v>269.69</v>
      </c>
      <c r="J128" s="25" t="str">
        <f>'Garagem 01'!F58</f>
        <v>m</v>
      </c>
      <c r="K128" s="26">
        <f>_xlfn.XLOOKUP($E128,PREÇO!$C$7:$C$91,PREÇO!$E$7:$E$91)</f>
        <v>0.99</v>
      </c>
      <c r="L128" s="66">
        <f>IF(SUM(F128:K128)=0,SUMIFS($L129:$L$1593,$B129:$B$1593,$B128,$A129:$A$1593,$A128),I128*K128)</f>
        <v>266.99309999999997</v>
      </c>
      <c r="N128"/>
      <c r="O128"/>
      <c r="P128" s="28"/>
      <c r="Q128" s="28"/>
      <c r="R128" s="28"/>
    </row>
    <row r="129" spans="1:18" ht="15.75" outlineLevel="1" thickBot="1">
      <c r="A129" s="24" t="str">
        <f t="shared" si="74"/>
        <v>GERAL</v>
      </c>
      <c r="B129" s="24" t="str">
        <f t="shared" si="75"/>
        <v>2° PAV. - ESTAC. 01</v>
      </c>
      <c r="C129" s="89" t="s">
        <v>221</v>
      </c>
      <c r="D129" s="24" t="s">
        <v>89</v>
      </c>
      <c r="E129" s="24" t="str">
        <f>'Garagem 01'!C59&amp;" "&amp;'Garagem 01'!D59</f>
        <v>Classe B - PVC Anti-chama - 105ºC - Isolação 600V 1.5 mm²</v>
      </c>
      <c r="F129" s="25">
        <f>'Garagem 01'!E59</f>
        <v>211.61</v>
      </c>
      <c r="G129" s="25">
        <v>1</v>
      </c>
      <c r="H129" s="25">
        <v>0</v>
      </c>
      <c r="I129" s="25">
        <f t="shared" si="76"/>
        <v>211.61</v>
      </c>
      <c r="J129" s="25" t="str">
        <f>'Garagem 01'!F59</f>
        <v>m</v>
      </c>
      <c r="K129" s="26">
        <f>_xlfn.XLOOKUP($E129,PREÇO!$C$7:$C$91,PREÇO!$E$7:$E$91)</f>
        <v>1.69</v>
      </c>
      <c r="L129" s="66">
        <f>IF(SUM(F129:K129)=0,SUMIFS($L130:$L$1593,$B130:$B$1593,$B129,$A130:$A$1593,$A129),I129*K129)</f>
        <v>357.62090000000001</v>
      </c>
      <c r="N129"/>
      <c r="O129"/>
      <c r="P129" s="28"/>
      <c r="Q129" s="28"/>
      <c r="R129" s="28"/>
    </row>
    <row r="130" spans="1:18" ht="15.75" thickTop="1">
      <c r="A130" s="79" t="s">
        <v>19</v>
      </c>
      <c r="B130" s="79" t="s">
        <v>110</v>
      </c>
      <c r="C130" s="43"/>
      <c r="D130" s="44"/>
      <c r="E130" s="44"/>
      <c r="F130" s="45"/>
      <c r="G130" s="45"/>
      <c r="H130" s="45"/>
      <c r="I130" s="45"/>
      <c r="J130" s="45"/>
      <c r="K130" s="47"/>
      <c r="L130" s="48">
        <f>IF(SUM(F130:K130)=0,SUMIFS($L131:$L$1593,$B131:$B$1593,$B130,$A131:$A$1593,$A130),I130*K130)</f>
        <v>35090.22570000001</v>
      </c>
      <c r="N130"/>
      <c r="O130"/>
      <c r="P130" s="28"/>
      <c r="Q130" s="28"/>
      <c r="R130" s="28"/>
    </row>
    <row r="131" spans="1:18" outlineLevel="1">
      <c r="A131" s="24" t="str">
        <f t="shared" ref="A131:B135" si="77">A130</f>
        <v>GERAL</v>
      </c>
      <c r="B131" s="24" t="str">
        <f t="shared" si="77"/>
        <v>3° PAV. - ESTAC. 02</v>
      </c>
      <c r="C131" s="89" t="s">
        <v>221</v>
      </c>
      <c r="D131" s="30" t="str">
        <f>'Garagem 02'!C6</f>
        <v>Acionadores</v>
      </c>
      <c r="E131" s="30" t="str">
        <f>'Garagem 02'!D6</f>
        <v>Acionador Manual de Alarme de Incêndio</v>
      </c>
      <c r="F131" s="25">
        <f>'Garagem 02'!E6</f>
        <v>7</v>
      </c>
      <c r="G131" s="25">
        <v>1</v>
      </c>
      <c r="H131" s="25">
        <v>0</v>
      </c>
      <c r="I131" s="25">
        <f t="shared" ref="I131:I136" si="78">(F131+H131*F131)*G131</f>
        <v>7</v>
      </c>
      <c r="J131" s="25" t="str">
        <f>'Garagem 02'!F6</f>
        <v>pç</v>
      </c>
      <c r="K131" s="26">
        <f>_xlfn.XLOOKUP($E131,PREÇO!$C$7:$C$91,PREÇO!$E$7:$E$91)</f>
        <v>65</v>
      </c>
      <c r="L131" s="66">
        <f>IF(SUM(F131:K131)=0,SUMIFS($L132:$L$1593,$B132:$B$1593,$B131,$A132:$A$1593,$A131),I131*K131)</f>
        <v>455</v>
      </c>
      <c r="N131"/>
      <c r="O131"/>
      <c r="P131" s="28"/>
      <c r="Q131" s="28"/>
      <c r="R131" s="28"/>
    </row>
    <row r="132" spans="1:18" outlineLevel="1">
      <c r="A132" s="24" t="str">
        <f t="shared" ref="A132" si="79">A131</f>
        <v>GERAL</v>
      </c>
      <c r="B132" s="24" t="str">
        <f t="shared" si="77"/>
        <v>3° PAV. - ESTAC. 02</v>
      </c>
      <c r="C132" s="89" t="s">
        <v>221</v>
      </c>
      <c r="D132" s="30" t="str">
        <f>'Garagem 02'!C7</f>
        <v>Anunciadores</v>
      </c>
      <c r="E132" s="30" t="str">
        <f>'Garagem 02'!D7</f>
        <v>Anunciador Audiovisual de Alarme de Incêndio de Parede</v>
      </c>
      <c r="F132" s="25">
        <f>'Garagem 02'!E7</f>
        <v>7</v>
      </c>
      <c r="G132" s="25">
        <v>1</v>
      </c>
      <c r="H132" s="25">
        <v>0</v>
      </c>
      <c r="I132" s="25">
        <f t="shared" si="78"/>
        <v>7</v>
      </c>
      <c r="J132" s="25" t="str">
        <f>'Garagem 02'!F7</f>
        <v>pç</v>
      </c>
      <c r="K132" s="26">
        <f>_xlfn.XLOOKUP($E132,PREÇO!$C$7:$C$91,PREÇO!$E$7:$E$91)</f>
        <v>191.81</v>
      </c>
      <c r="L132" s="66">
        <f>IF(SUM(F132:K132)=0,SUMIFS($L133:$L$1593,$B133:$B$1593,$B132,$A133:$A$1593,$A132),I132*K132)</f>
        <v>1342.67</v>
      </c>
      <c r="N132"/>
      <c r="O132"/>
      <c r="P132" s="28"/>
      <c r="Q132" s="28"/>
      <c r="R132" s="28"/>
    </row>
    <row r="133" spans="1:18" outlineLevel="1">
      <c r="A133" s="24" t="str">
        <f t="shared" ref="A133" si="80">A132</f>
        <v>GERAL</v>
      </c>
      <c r="B133" s="24" t="str">
        <f t="shared" si="77"/>
        <v>3° PAV. - ESTAC. 02</v>
      </c>
      <c r="C133" s="89" t="s">
        <v>221</v>
      </c>
      <c r="D133" s="30" t="str">
        <f>'Garagem 02'!C8</f>
        <v>Atuadores</v>
      </c>
      <c r="E133" s="30" t="str">
        <f>'Garagem 02'!D8</f>
        <v>Atuador Janela Desenfumagem</v>
      </c>
      <c r="F133" s="25">
        <f>'Garagem 02'!E8</f>
        <v>1</v>
      </c>
      <c r="G133" s="25">
        <v>1</v>
      </c>
      <c r="H133" s="25">
        <v>0</v>
      </c>
      <c r="I133" s="25">
        <f t="shared" si="78"/>
        <v>1</v>
      </c>
      <c r="J133" s="25" t="str">
        <f>'Garagem 02'!F8</f>
        <v>pç</v>
      </c>
      <c r="K133" s="26">
        <f>_xlfn.XLOOKUP($E133,PREÇO!$C$7:$C$91,PREÇO!$E$7:$E$91)</f>
        <v>1150</v>
      </c>
      <c r="L133" s="66">
        <f>IF(SUM(F133:K133)=0,SUMIFS($L134:$L$1593,$B134:$B$1593,$B133,$A134:$A$1593,$A133),I133*K133)</f>
        <v>1150</v>
      </c>
      <c r="N133"/>
      <c r="O133"/>
      <c r="P133" s="28"/>
      <c r="Q133" s="28"/>
      <c r="R133" s="28"/>
    </row>
    <row r="134" spans="1:18" outlineLevel="1">
      <c r="A134" s="24" t="str">
        <f t="shared" ref="A134" si="81">A133</f>
        <v>GERAL</v>
      </c>
      <c r="B134" s="24" t="str">
        <f t="shared" si="77"/>
        <v>3° PAV. - ESTAC. 02</v>
      </c>
      <c r="C134" s="89" t="s">
        <v>221</v>
      </c>
      <c r="D134" s="30" t="str">
        <f>'Garagem 02'!C9</f>
        <v>Atuadores</v>
      </c>
      <c r="E134" s="30" t="str">
        <f>'Garagem 02'!D9</f>
        <v>Dispositivo Eletromagnético de Porta Aberta</v>
      </c>
      <c r="F134" s="25">
        <f>'Garagem 02'!E9</f>
        <v>1</v>
      </c>
      <c r="G134" s="25">
        <v>1</v>
      </c>
      <c r="H134" s="25">
        <v>0</v>
      </c>
      <c r="I134" s="25">
        <f t="shared" si="78"/>
        <v>1</v>
      </c>
      <c r="J134" s="25" t="str">
        <f>'Garagem 02'!F9</f>
        <v>pç</v>
      </c>
      <c r="K134" s="26">
        <f>_xlfn.XLOOKUP($E134,PREÇO!$C$7:$C$91,PREÇO!$E$7:$E$91)</f>
        <v>416.9</v>
      </c>
      <c r="L134" s="66">
        <f>IF(SUM(F134:K134)=0,SUMIFS($L135:$L$1593,$B135:$B$1593,$B134,$A135:$A$1593,$A134),I134*K134)</f>
        <v>416.9</v>
      </c>
      <c r="N134"/>
      <c r="O134"/>
      <c r="P134" s="28"/>
      <c r="Q134" s="28"/>
      <c r="R134" s="28"/>
    </row>
    <row r="135" spans="1:18" outlineLevel="1">
      <c r="A135" s="24" t="str">
        <f t="shared" ref="A135:B150" si="82">A134</f>
        <v>GERAL</v>
      </c>
      <c r="B135" s="24" t="str">
        <f t="shared" si="77"/>
        <v>3° PAV. - ESTAC. 02</v>
      </c>
      <c r="C135" s="89" t="s">
        <v>221</v>
      </c>
      <c r="D135" s="30" t="str">
        <f>'Garagem 02'!C10</f>
        <v>Sensores</v>
      </c>
      <c r="E135" s="30" t="str">
        <f>'Garagem 02'!D10</f>
        <v>Sensor de Fumaça</v>
      </c>
      <c r="F135" s="25">
        <f>'Garagem 02'!E10</f>
        <v>3</v>
      </c>
      <c r="G135" s="25">
        <v>1</v>
      </c>
      <c r="H135" s="25">
        <v>0</v>
      </c>
      <c r="I135" s="25">
        <f t="shared" si="78"/>
        <v>3</v>
      </c>
      <c r="J135" s="25" t="str">
        <f>'Garagem 02'!F10</f>
        <v>pç</v>
      </c>
      <c r="K135" s="26">
        <f>_xlfn.XLOOKUP($E135,PREÇO!$C$7:$C$91,PREÇO!$E$7:$E$91)</f>
        <v>53.9</v>
      </c>
      <c r="L135" s="66">
        <f>IF(SUM(F135:K135)=0,SUMIFS($L136:$L$1593,$B136:$B$1593,$B135,$A136:$A$1593,$A135),I135*K135)</f>
        <v>161.69999999999999</v>
      </c>
      <c r="N135"/>
      <c r="O135"/>
      <c r="P135" s="28"/>
      <c r="Q135" s="28"/>
      <c r="R135" s="28"/>
    </row>
    <row r="136" spans="1:18" outlineLevel="1">
      <c r="A136" s="24" t="str">
        <f t="shared" si="82"/>
        <v>GERAL</v>
      </c>
      <c r="B136" s="24" t="str">
        <f t="shared" si="82"/>
        <v>3° PAV. - ESTAC. 02</v>
      </c>
      <c r="C136" s="89" t="s">
        <v>221</v>
      </c>
      <c r="D136" s="30" t="str">
        <f>'Garagem 02'!C13</f>
        <v>Caixas</v>
      </c>
      <c r="E136" s="30" t="str">
        <f>'Garagem 02'!D13</f>
        <v>Caixa Octogonal Padrão NBR IEC 60670</v>
      </c>
      <c r="F136" s="25">
        <f>'Garagem 02'!E13</f>
        <v>123</v>
      </c>
      <c r="G136" s="25">
        <v>1</v>
      </c>
      <c r="H136" s="25">
        <v>0</v>
      </c>
      <c r="I136" s="25">
        <f t="shared" si="78"/>
        <v>123</v>
      </c>
      <c r="J136" s="25" t="str">
        <f>'Garagem 02'!F13</f>
        <v>pç</v>
      </c>
      <c r="K136" s="26">
        <f>_xlfn.XLOOKUP($E136,PREÇO!$C$7:$C$91,PREÇO!$E$7:$E$91)</f>
        <v>5.32</v>
      </c>
      <c r="L136" s="66">
        <f>IF(SUM(F136:K136)=0,SUMIFS($L137:$L$1593,$B137:$B$1593,$B136,$A137:$A$1593,$A136),I136*K136)</f>
        <v>654.36</v>
      </c>
      <c r="N136"/>
      <c r="O136"/>
      <c r="P136" s="28"/>
      <c r="Q136" s="28"/>
      <c r="R136" s="28"/>
    </row>
    <row r="137" spans="1:18" outlineLevel="1">
      <c r="A137" s="24" t="str">
        <f t="shared" si="82"/>
        <v>GERAL</v>
      </c>
      <c r="B137" s="24" t="str">
        <f t="shared" si="82"/>
        <v>3° PAV. - ESTAC. 02</v>
      </c>
      <c r="C137" s="89" t="s">
        <v>221</v>
      </c>
      <c r="D137" s="30" t="str">
        <f>'Garagem 02'!C14</f>
        <v>Placas</v>
      </c>
      <c r="E137" s="30" t="str">
        <f>'Garagem 02'!D14</f>
        <v>Placa cega para caixa octogonal Padrão NBR IEC 60670</v>
      </c>
      <c r="F137" s="25">
        <f>'Garagem 02'!E14</f>
        <v>17</v>
      </c>
      <c r="G137" s="25">
        <v>1</v>
      </c>
      <c r="H137" s="25">
        <v>0</v>
      </c>
      <c r="I137" s="25">
        <f t="shared" ref="I137:I167" si="83">(F137+H137*F137)*G137</f>
        <v>17</v>
      </c>
      <c r="J137" s="25" t="str">
        <f>'Garagem 02'!F14</f>
        <v>pç</v>
      </c>
      <c r="K137" s="26">
        <f>_xlfn.XLOOKUP($E137,PREÇO!$C$7:$C$91,PREÇO!$E$7:$E$91)</f>
        <v>2.5</v>
      </c>
      <c r="L137" s="66">
        <f>IF(SUM(F137:K137)=0,SUMIFS($L138:$L$1593,$B138:$B$1593,$B137,$A138:$A$1593,$A137),I137*K137)</f>
        <v>42.5</v>
      </c>
      <c r="N137"/>
      <c r="O137"/>
      <c r="P137" s="28"/>
      <c r="Q137" s="28"/>
      <c r="R137" s="28"/>
    </row>
    <row r="138" spans="1:18" outlineLevel="1">
      <c r="A138" s="24" t="str">
        <f t="shared" si="82"/>
        <v>GERAL</v>
      </c>
      <c r="B138" s="24" t="str">
        <f t="shared" si="82"/>
        <v>3° PAV. - ESTAC. 02</v>
      </c>
      <c r="C138" s="89" t="s">
        <v>221</v>
      </c>
      <c r="D138" s="30" t="str">
        <f>'Garagem 02'!C17</f>
        <v>Caixas</v>
      </c>
      <c r="E138" s="30" t="str">
        <f>'Garagem 02'!D17</f>
        <v>Caixa 4x2" de Embutir em PVC Padrão NBR IEC 60670</v>
      </c>
      <c r="F138" s="25">
        <f>'Garagem 02'!E17</f>
        <v>46</v>
      </c>
      <c r="G138" s="25">
        <v>1</v>
      </c>
      <c r="H138" s="25">
        <v>0</v>
      </c>
      <c r="I138" s="25">
        <f t="shared" si="83"/>
        <v>46</v>
      </c>
      <c r="J138" s="25" t="str">
        <f>'Garagem 02'!F17</f>
        <v>pç</v>
      </c>
      <c r="K138" s="26">
        <f>_xlfn.XLOOKUP($E138,PREÇO!$C$7:$C$91,PREÇO!$E$7:$E$91)</f>
        <v>1.72</v>
      </c>
      <c r="L138" s="66">
        <f>IF(SUM(F138:K138)=0,SUMIFS($L139:$L$1593,$B139:$B$1593,$B138,$A139:$A$1593,$A138),I138*K138)</f>
        <v>79.12</v>
      </c>
      <c r="N138"/>
      <c r="O138"/>
      <c r="P138" s="28"/>
      <c r="Q138" s="28"/>
      <c r="R138" s="28"/>
    </row>
    <row r="139" spans="1:18" outlineLevel="1">
      <c r="A139" s="24" t="str">
        <f t="shared" si="82"/>
        <v>GERAL</v>
      </c>
      <c r="B139" s="24" t="str">
        <f t="shared" si="82"/>
        <v>3° PAV. - ESTAC. 02</v>
      </c>
      <c r="C139" s="89" t="s">
        <v>221</v>
      </c>
      <c r="D139" s="30" t="str">
        <f>'Garagem 02'!C18</f>
        <v>Caixas</v>
      </c>
      <c r="E139" s="30" t="str">
        <f>'Garagem 02'!D18</f>
        <v>Caixa 4x4" de Embutir em PVC Padrão NBR IEC 60670</v>
      </c>
      <c r="F139" s="25">
        <f>'Garagem 02'!E18</f>
        <v>3</v>
      </c>
      <c r="G139" s="25">
        <v>1</v>
      </c>
      <c r="H139" s="25">
        <v>0</v>
      </c>
      <c r="I139" s="25">
        <f t="shared" si="83"/>
        <v>3</v>
      </c>
      <c r="J139" s="25" t="str">
        <f>'Garagem 02'!F18</f>
        <v>pç</v>
      </c>
      <c r="K139" s="26">
        <f>_xlfn.XLOOKUP($E139,PREÇO!$C$7:$C$91,PREÇO!$E$7:$E$91)</f>
        <v>1.72</v>
      </c>
      <c r="L139" s="66">
        <f>IF(SUM(F139:K139)=0,SUMIFS($L140:$L$1593,$B140:$B$1593,$B139,$A140:$A$1593,$A139),I139*K139)</f>
        <v>5.16</v>
      </c>
      <c r="N139"/>
      <c r="O139"/>
      <c r="P139" s="28"/>
      <c r="Q139" s="28"/>
      <c r="R139" s="28"/>
    </row>
    <row r="140" spans="1:18" outlineLevel="1">
      <c r="A140" s="24" t="str">
        <f t="shared" si="82"/>
        <v>GERAL</v>
      </c>
      <c r="B140" s="24" t="str">
        <f t="shared" si="82"/>
        <v>3° PAV. - ESTAC. 02</v>
      </c>
      <c r="C140" s="89" t="s">
        <v>221</v>
      </c>
      <c r="D140" s="30" t="str">
        <f>'Garagem 02'!C19</f>
        <v>Placas</v>
      </c>
      <c r="E140" s="30" t="str">
        <f>'Garagem 02'!D19</f>
        <v>Placa 4x2" cega Padrão NBR IEC 60670</v>
      </c>
      <c r="F140" s="25">
        <f>'Garagem 02'!E19</f>
        <v>7</v>
      </c>
      <c r="G140" s="25">
        <v>1</v>
      </c>
      <c r="H140" s="25">
        <v>0</v>
      </c>
      <c r="I140" s="25">
        <f t="shared" si="83"/>
        <v>7</v>
      </c>
      <c r="J140" s="25" t="str">
        <f>'Garagem 02'!F19</f>
        <v>pç</v>
      </c>
      <c r="K140" s="26">
        <f>_xlfn.XLOOKUP($E140,PREÇO!$C$7:$C$91,PREÇO!$E$7:$E$91)</f>
        <v>4.59</v>
      </c>
      <c r="L140" s="66">
        <f>IF(SUM(F140:K140)=0,SUMIFS($L141:$L$1593,$B141:$B$1593,$B140,$A141:$A$1593,$A140),I140*K140)</f>
        <v>32.129999999999995</v>
      </c>
      <c r="N140"/>
      <c r="O140"/>
      <c r="P140" s="28"/>
      <c r="Q140" s="28"/>
      <c r="R140" s="28"/>
    </row>
    <row r="141" spans="1:18" outlineLevel="1">
      <c r="A141" s="24" t="str">
        <f t="shared" si="82"/>
        <v>GERAL</v>
      </c>
      <c r="B141" s="24" t="str">
        <f t="shared" si="82"/>
        <v>3° PAV. - ESTAC. 02</v>
      </c>
      <c r="C141" s="89" t="s">
        <v>221</v>
      </c>
      <c r="D141" s="30" t="str">
        <f>'Garagem 02'!C20</f>
        <v>Placas</v>
      </c>
      <c r="E141" s="30" t="str">
        <f>'Garagem 02'!D20</f>
        <v>Placa 4x2" com furo para saída de cabos Padrão NBR IEC 60670</v>
      </c>
      <c r="F141" s="25">
        <f>'Garagem 02'!E20</f>
        <v>39</v>
      </c>
      <c r="G141" s="25">
        <v>1</v>
      </c>
      <c r="H141" s="25">
        <v>0</v>
      </c>
      <c r="I141" s="25">
        <f t="shared" si="83"/>
        <v>39</v>
      </c>
      <c r="J141" s="25" t="str">
        <f>'Garagem 02'!F20</f>
        <v>pç</v>
      </c>
      <c r="K141" s="26">
        <f>_xlfn.XLOOKUP($E141,PREÇO!$C$7:$C$91,PREÇO!$E$7:$E$91)</f>
        <v>6.55</v>
      </c>
      <c r="L141" s="66">
        <f>IF(SUM(F141:K141)=0,SUMIFS($L142:$L$1593,$B142:$B$1593,$B141,$A142:$A$1593,$A141),I141*K141)</f>
        <v>255.45</v>
      </c>
      <c r="N141"/>
      <c r="O141"/>
      <c r="P141" s="28"/>
      <c r="Q141" s="28"/>
      <c r="R141" s="28"/>
    </row>
    <row r="142" spans="1:18" outlineLevel="1">
      <c r="A142" s="24" t="str">
        <f t="shared" si="82"/>
        <v>GERAL</v>
      </c>
      <c r="B142" s="24" t="str">
        <f t="shared" si="82"/>
        <v>3° PAV. - ESTAC. 02</v>
      </c>
      <c r="C142" s="89" t="s">
        <v>221</v>
      </c>
      <c r="D142" s="30" t="str">
        <f>'Garagem 02'!C21</f>
        <v>Placas</v>
      </c>
      <c r="E142" s="30" t="str">
        <f>'Garagem 02'!D21</f>
        <v>Placa 4x4" cega Padrão NBR IEC 60670</v>
      </c>
      <c r="F142" s="25">
        <f>'Garagem 02'!E21</f>
        <v>3</v>
      </c>
      <c r="G142" s="25">
        <v>1</v>
      </c>
      <c r="H142" s="25">
        <v>0</v>
      </c>
      <c r="I142" s="25">
        <f t="shared" si="83"/>
        <v>3</v>
      </c>
      <c r="J142" s="25" t="str">
        <f>'Garagem 02'!F21</f>
        <v>pç</v>
      </c>
      <c r="K142" s="26">
        <f>_xlfn.XLOOKUP($E142,PREÇO!$C$7:$C$91,PREÇO!$E$7:$E$91)</f>
        <v>12.25</v>
      </c>
      <c r="L142" s="66">
        <f>IF(SUM(F142:K142)=0,SUMIFS($L143:$L$1593,$B143:$B$1593,$B142,$A143:$A$1593,$A142),I142*K142)</f>
        <v>36.75</v>
      </c>
      <c r="N142"/>
      <c r="O142"/>
      <c r="P142" s="28"/>
      <c r="Q142" s="28"/>
      <c r="R142" s="28"/>
    </row>
    <row r="143" spans="1:18" outlineLevel="1">
      <c r="A143" s="24" t="str">
        <f t="shared" si="82"/>
        <v>GERAL</v>
      </c>
      <c r="B143" s="24" t="str">
        <f t="shared" si="82"/>
        <v>3° PAV. - ESTAC. 02</v>
      </c>
      <c r="C143" s="89" t="s">
        <v>221</v>
      </c>
      <c r="D143" s="30" t="str">
        <f>'Garagem 02'!C22</f>
        <v>Suportes</v>
      </c>
      <c r="E143" s="30" t="str">
        <f>'Garagem 02'!D22</f>
        <v>Suporte p/ caixa 4x2" Padrão NBR IEC 60670</v>
      </c>
      <c r="F143" s="25">
        <f>'Garagem 02'!E22</f>
        <v>46</v>
      </c>
      <c r="G143" s="25">
        <v>1</v>
      </c>
      <c r="H143" s="25">
        <v>0</v>
      </c>
      <c r="I143" s="25">
        <f t="shared" si="83"/>
        <v>46</v>
      </c>
      <c r="J143" s="25" t="str">
        <f>'Garagem 02'!F22</f>
        <v>pç</v>
      </c>
      <c r="K143" s="26">
        <f>_xlfn.XLOOKUP($E143,PREÇO!$C$7:$C$91,PREÇO!$E$7:$E$91)</f>
        <v>1.85</v>
      </c>
      <c r="L143" s="66">
        <f>IF(SUM(F143:K143)=0,SUMIFS($L144:$L$1593,$B144:$B$1593,$B143,$A144:$A$1593,$A143),I143*K143)</f>
        <v>85.100000000000009</v>
      </c>
      <c r="N143"/>
      <c r="O143"/>
      <c r="P143" s="28"/>
      <c r="Q143" s="28"/>
      <c r="R143" s="28"/>
    </row>
    <row r="144" spans="1:18" outlineLevel="1">
      <c r="A144" s="24" t="str">
        <f t="shared" si="82"/>
        <v>GERAL</v>
      </c>
      <c r="B144" s="24" t="str">
        <f t="shared" si="82"/>
        <v>3° PAV. - ESTAC. 02</v>
      </c>
      <c r="C144" s="89" t="s">
        <v>221</v>
      </c>
      <c r="D144" s="30" t="str">
        <f>'Garagem 02'!C23</f>
        <v>Suportes</v>
      </c>
      <c r="E144" s="30" t="str">
        <f>'Garagem 02'!D23</f>
        <v>Suporte p/ caixa 4x4" Padrão NBR IEC 60670</v>
      </c>
      <c r="F144" s="25">
        <f>'Garagem 02'!E23</f>
        <v>3</v>
      </c>
      <c r="G144" s="25">
        <v>1</v>
      </c>
      <c r="H144" s="25">
        <v>0</v>
      </c>
      <c r="I144" s="25">
        <f t="shared" si="83"/>
        <v>3</v>
      </c>
      <c r="J144" s="25" t="str">
        <f>'Garagem 02'!F23</f>
        <v>pç</v>
      </c>
      <c r="K144" s="26">
        <f>_xlfn.XLOOKUP($E144,PREÇO!$C$7:$C$91,PREÇO!$E$7:$E$91)</f>
        <v>3.15</v>
      </c>
      <c r="L144" s="66">
        <f>IF(SUM(F144:K144)=0,SUMIFS($L145:$L$1593,$B145:$B$1593,$B144,$A145:$A$1593,$A144),I144*K144)</f>
        <v>9.4499999999999993</v>
      </c>
      <c r="N144"/>
      <c r="O144"/>
      <c r="P144" s="28"/>
      <c r="Q144" s="28"/>
      <c r="R144" s="28"/>
    </row>
    <row r="145" spans="1:18" outlineLevel="1">
      <c r="A145" s="24" t="str">
        <f t="shared" si="82"/>
        <v>GERAL</v>
      </c>
      <c r="B145" s="24" t="str">
        <f t="shared" si="82"/>
        <v>3° PAV. - ESTAC. 02</v>
      </c>
      <c r="C145" s="89" t="s">
        <v>221</v>
      </c>
      <c r="D145" s="30" t="str">
        <f>'Garagem 02'!C26</f>
        <v>Embutir</v>
      </c>
      <c r="E145" s="30" t="str">
        <f>'Garagem 02'!D26</f>
        <v>Cx de passagem de embutir com dimensão de 50x50x15 cm</v>
      </c>
      <c r="F145" s="25">
        <f>'Garagem 02'!E26</f>
        <v>1</v>
      </c>
      <c r="G145" s="25">
        <v>1</v>
      </c>
      <c r="H145" s="25">
        <v>0</v>
      </c>
      <c r="I145" s="25">
        <f t="shared" si="83"/>
        <v>1</v>
      </c>
      <c r="J145" s="25" t="str">
        <f>'Garagem 02'!F26</f>
        <v>pç</v>
      </c>
      <c r="K145" s="26">
        <f>_xlfn.XLOOKUP($E145,PREÇO!$C$7:$C$91,PREÇO!$E$7:$E$91)</f>
        <v>291.60000000000002</v>
      </c>
      <c r="L145" s="66">
        <f>IF(SUM(F145:K145)=0,SUMIFS($L146:$L$1593,$B146:$B$1593,$B145,$A146:$A$1593,$A145),I145*K145)</f>
        <v>291.60000000000002</v>
      </c>
      <c r="N145"/>
      <c r="O145"/>
      <c r="P145" s="28"/>
      <c r="Q145" s="28"/>
      <c r="R145" s="28"/>
    </row>
    <row r="146" spans="1:18" outlineLevel="1">
      <c r="A146" s="24" t="str">
        <f t="shared" si="82"/>
        <v>GERAL</v>
      </c>
      <c r="B146" s="24" t="str">
        <f t="shared" si="82"/>
        <v>3° PAV. - ESTAC. 02</v>
      </c>
      <c r="C146" s="89" t="s">
        <v>221</v>
      </c>
      <c r="D146" s="30" t="s">
        <v>46</v>
      </c>
      <c r="E146" s="30" t="str">
        <f>'Garagem 02'!C29&amp;" "&amp;'Garagem 02'!D29</f>
        <v>PVC Flexível Antichama - NBR 15465 ø1"</v>
      </c>
      <c r="F146" s="25">
        <f>'Garagem 02'!E29</f>
        <v>207.59</v>
      </c>
      <c r="G146" s="25">
        <v>1</v>
      </c>
      <c r="H146" s="25">
        <v>0</v>
      </c>
      <c r="I146" s="25">
        <f t="shared" si="83"/>
        <v>207.59</v>
      </c>
      <c r="J146" s="25" t="str">
        <f>'Garagem 02'!F29</f>
        <v>m</v>
      </c>
      <c r="K146" s="26">
        <f>_xlfn.XLOOKUP($E146,PREÇO!$C$7:$C$91,PREÇO!$E$7:$E$91)</f>
        <v>2.5299999999999998</v>
      </c>
      <c r="L146" s="66">
        <f>IF(SUM(F146:K146)=0,SUMIFS($L147:$L$1593,$B147:$B$1593,$B146,$A147:$A$1593,$A146),I146*K146)</f>
        <v>525.20269999999994</v>
      </c>
      <c r="N146"/>
      <c r="O146"/>
      <c r="P146" s="28"/>
      <c r="Q146" s="28"/>
      <c r="R146" s="28"/>
    </row>
    <row r="147" spans="1:18" outlineLevel="1">
      <c r="A147" s="24" t="str">
        <f t="shared" si="82"/>
        <v>GERAL</v>
      </c>
      <c r="B147" s="24" t="str">
        <f t="shared" si="82"/>
        <v>3° PAV. - ESTAC. 02</v>
      </c>
      <c r="C147" s="89" t="s">
        <v>221</v>
      </c>
      <c r="D147" s="30" t="s">
        <v>46</v>
      </c>
      <c r="E147" s="30" t="str">
        <f>'Garagem 02'!C30&amp;" "&amp;'Garagem 02'!D30</f>
        <v>PVC Flexível Antichama - NBR 15465 ø3/4"</v>
      </c>
      <c r="F147" s="25">
        <f>'Garagem 02'!E30</f>
        <v>220.26</v>
      </c>
      <c r="G147" s="25">
        <v>1</v>
      </c>
      <c r="H147" s="25">
        <v>0</v>
      </c>
      <c r="I147" s="25">
        <f t="shared" si="83"/>
        <v>220.26</v>
      </c>
      <c r="J147" s="25" t="str">
        <f>'Garagem 02'!F30</f>
        <v>m</v>
      </c>
      <c r="K147" s="26">
        <f>_xlfn.XLOOKUP($E147,PREÇO!$C$7:$C$91,PREÇO!$E$7:$E$91)</f>
        <v>1.8</v>
      </c>
      <c r="L147" s="66">
        <f>IF(SUM(F147:K147)=0,SUMIFS($L148:$L$1593,$B148:$B$1593,$B147,$A148:$A$1593,$A147),I147*K147)</f>
        <v>396.46800000000002</v>
      </c>
      <c r="N147"/>
      <c r="O147"/>
      <c r="P147" s="28"/>
      <c r="Q147" s="28"/>
      <c r="R147" s="28"/>
    </row>
    <row r="148" spans="1:18" outlineLevel="1">
      <c r="A148" s="24" t="str">
        <f t="shared" si="82"/>
        <v>GERAL</v>
      </c>
      <c r="B148" s="24" t="str">
        <f t="shared" si="82"/>
        <v>3° PAV. - ESTAC. 02</v>
      </c>
      <c r="C148" s="89" t="s">
        <v>220</v>
      </c>
      <c r="D148" s="30" t="str">
        <f>'Garagem 02'!C33</f>
        <v>Luminárias e Placas de Saída</v>
      </c>
      <c r="E148" s="30" t="str">
        <f>'Garagem 02'!D33</f>
        <v>Luminária de Emergência 24V de Parede</v>
      </c>
      <c r="F148" s="25">
        <f>'Garagem 02'!E33</f>
        <v>3</v>
      </c>
      <c r="G148" s="25">
        <v>1</v>
      </c>
      <c r="H148" s="25">
        <v>0</v>
      </c>
      <c r="I148" s="25">
        <f t="shared" si="83"/>
        <v>3</v>
      </c>
      <c r="J148" s="25" t="str">
        <f>'Garagem 02'!F33</f>
        <v>pç</v>
      </c>
      <c r="K148" s="26">
        <f>_xlfn.XLOOKUP($E148,PREÇO!$C$7:$C$91,PREÇO!$E$7:$E$91)</f>
        <v>15.9</v>
      </c>
      <c r="L148" s="66">
        <f>IF(SUM(F148:K148)=0,SUMIFS($L149:$L$1593,$B149:$B$1593,$B148,$A149:$A$1593,$A148),I148*K148)</f>
        <v>47.7</v>
      </c>
      <c r="N148"/>
      <c r="O148"/>
      <c r="P148" s="28"/>
      <c r="Q148" s="28"/>
      <c r="R148" s="28"/>
    </row>
    <row r="149" spans="1:18" outlineLevel="1">
      <c r="A149" s="24" t="str">
        <f t="shared" si="82"/>
        <v>GERAL</v>
      </c>
      <c r="B149" s="24" t="str">
        <f t="shared" si="82"/>
        <v>3° PAV. - ESTAC. 02</v>
      </c>
      <c r="C149" s="89" t="s">
        <v>220</v>
      </c>
      <c r="D149" s="30" t="str">
        <f>'Garagem 02'!C34</f>
        <v>Luminárias e Placas de Saída</v>
      </c>
      <c r="E149" s="30" t="str">
        <f>'Garagem 02'!D34</f>
        <v>Luminária de Emergência 24V de Teto</v>
      </c>
      <c r="F149" s="25">
        <f>'Garagem 02'!E34</f>
        <v>67</v>
      </c>
      <c r="G149" s="25">
        <v>1</v>
      </c>
      <c r="H149" s="25">
        <v>0</v>
      </c>
      <c r="I149" s="25">
        <f t="shared" si="83"/>
        <v>67</v>
      </c>
      <c r="J149" s="25" t="str">
        <f>'Garagem 02'!F34</f>
        <v>pç</v>
      </c>
      <c r="K149" s="26">
        <f>_xlfn.XLOOKUP($E149,PREÇO!$C$7:$C$91,PREÇO!$E$7:$E$91)</f>
        <v>69.900000000000006</v>
      </c>
      <c r="L149" s="66">
        <f>IF(SUM(F149:K149)=0,SUMIFS($L150:$L$1593,$B150:$B$1593,$B149,$A150:$A$1593,$A149),I149*K149)</f>
        <v>4683.3</v>
      </c>
      <c r="N149"/>
      <c r="O149"/>
      <c r="P149" s="28"/>
      <c r="Q149" s="28"/>
      <c r="R149" s="28"/>
    </row>
    <row r="150" spans="1:18" outlineLevel="1">
      <c r="A150" s="24" t="str">
        <f t="shared" si="82"/>
        <v>GERAL</v>
      </c>
      <c r="B150" s="24" t="str">
        <f t="shared" si="82"/>
        <v>3° PAV. - ESTAC. 02</v>
      </c>
      <c r="C150" s="24" t="s">
        <v>222</v>
      </c>
      <c r="D150" s="30" t="str">
        <f>'Garagem 02'!C35</f>
        <v>Luminárias e Placas de Saída</v>
      </c>
      <c r="E150" s="30" t="str">
        <f>'Garagem 02'!D35</f>
        <v>Placa de Saída 24V de Parede sem Direção</v>
      </c>
      <c r="F150" s="25">
        <f>'Garagem 02'!E35</f>
        <v>4</v>
      </c>
      <c r="G150" s="25">
        <v>1</v>
      </c>
      <c r="H150" s="25">
        <v>0</v>
      </c>
      <c r="I150" s="25">
        <f t="shared" si="83"/>
        <v>4</v>
      </c>
      <c r="J150" s="25" t="str">
        <f>'Garagem 02'!F35</f>
        <v>pç</v>
      </c>
      <c r="K150" s="26">
        <f>_xlfn.XLOOKUP($E150,PREÇO!$C$7:$C$91,PREÇO!$E$7:$E$91)</f>
        <v>61.66</v>
      </c>
      <c r="L150" s="66">
        <f>IF(SUM(F150:K150)=0,SUMIFS($L151:$L$1593,$B151:$B$1593,$B150,$A151:$A$1593,$A150),I150*K150)</f>
        <v>246.64</v>
      </c>
      <c r="N150"/>
      <c r="O150"/>
      <c r="P150" s="28"/>
      <c r="Q150" s="28"/>
      <c r="R150" s="28"/>
    </row>
    <row r="151" spans="1:18" outlineLevel="1">
      <c r="A151" s="24" t="str">
        <f t="shared" ref="A151:B167" si="84">A150</f>
        <v>GERAL</v>
      </c>
      <c r="B151" s="24" t="str">
        <f t="shared" si="84"/>
        <v>3° PAV. - ESTAC. 02</v>
      </c>
      <c r="C151" s="24" t="s">
        <v>222</v>
      </c>
      <c r="D151" s="30" t="str">
        <f>'Garagem 02'!C36</f>
        <v>Luminárias e Placas de Saída</v>
      </c>
      <c r="E151" s="30" t="str">
        <f>'Garagem 02'!D36</f>
        <v>Placa de Saída Dupla Face 24V de Teto com Direção</v>
      </c>
      <c r="F151" s="25">
        <f>'Garagem 02'!E36</f>
        <v>18</v>
      </c>
      <c r="G151" s="25">
        <v>1</v>
      </c>
      <c r="H151" s="25">
        <v>0</v>
      </c>
      <c r="I151" s="25">
        <f t="shared" si="83"/>
        <v>18</v>
      </c>
      <c r="J151" s="25" t="str">
        <f>'Garagem 02'!F36</f>
        <v>pç</v>
      </c>
      <c r="K151" s="26">
        <f>_xlfn.XLOOKUP($E151,PREÇO!$C$7:$C$91,PREÇO!$E$7:$E$91)</f>
        <v>61.66</v>
      </c>
      <c r="L151" s="66">
        <f>IF(SUM(F151:K151)=0,SUMIFS($L153:$L$1593,$B153:$B$1593,$B151,$A153:$A$1593,$A151),I151*K151)</f>
        <v>1109.8799999999999</v>
      </c>
      <c r="N151"/>
      <c r="O151"/>
      <c r="P151" s="28"/>
      <c r="Q151" s="28"/>
      <c r="R151" s="28"/>
    </row>
    <row r="152" spans="1:18" outlineLevel="1">
      <c r="A152" s="116" t="str">
        <f>A150</f>
        <v>GERAL</v>
      </c>
      <c r="B152" s="116" t="s">
        <v>110</v>
      </c>
      <c r="C152" s="116" t="s">
        <v>222</v>
      </c>
      <c r="D152" s="116" t="s">
        <v>223</v>
      </c>
      <c r="E152" s="116" t="s">
        <v>224</v>
      </c>
      <c r="F152" s="117">
        <v>14</v>
      </c>
      <c r="G152" s="117">
        <v>1</v>
      </c>
      <c r="H152" s="118">
        <v>0</v>
      </c>
      <c r="I152" s="117">
        <f t="shared" si="83"/>
        <v>14</v>
      </c>
      <c r="J152" s="117" t="s">
        <v>11</v>
      </c>
      <c r="K152" s="119">
        <f>_xlfn.XLOOKUP($E152,PREÇO!$C$7:$C$91,PREÇO!$E$7:$E$91)</f>
        <v>646.55999999999995</v>
      </c>
      <c r="L152" s="120">
        <f>IF(SUM(F152:K152)=0,SUMIFS($L153:$L$1593,$B153:$B$1593,$B152,$A153:$A$1593,$A152),I152*K152)</f>
        <v>9051.84</v>
      </c>
      <c r="N152"/>
      <c r="O152"/>
      <c r="P152" s="28"/>
      <c r="Q152" s="28"/>
      <c r="R152" s="28"/>
    </row>
    <row r="153" spans="1:18" outlineLevel="1">
      <c r="A153" s="24" t="str">
        <f>A151</f>
        <v>GERAL</v>
      </c>
      <c r="B153" s="24" t="str">
        <f>B151</f>
        <v>3° PAV. - ESTAC. 02</v>
      </c>
      <c r="C153" s="89" t="s">
        <v>220</v>
      </c>
      <c r="D153" s="30" t="str">
        <f>'Garagem 02'!C37</f>
        <v>Sensores de Presença</v>
      </c>
      <c r="E153" s="30" t="str">
        <f>'Garagem 02'!D37</f>
        <v>Sensor de Presença 24V de teto</v>
      </c>
      <c r="F153" s="25">
        <f>'Garagem 02'!E37</f>
        <v>36</v>
      </c>
      <c r="G153" s="25">
        <v>1</v>
      </c>
      <c r="H153" s="25">
        <v>0</v>
      </c>
      <c r="I153" s="25">
        <f t="shared" si="83"/>
        <v>36</v>
      </c>
      <c r="J153" s="25" t="str">
        <f>'Garagem 02'!F37</f>
        <v>pç</v>
      </c>
      <c r="K153" s="26">
        <f>_xlfn.XLOOKUP($E153,PREÇO!$C$7:$C$91,PREÇO!$E$7:$E$91)</f>
        <v>38.4</v>
      </c>
      <c r="L153" s="66">
        <f>IF(SUM(F153:K153)=0,SUMIFS($L154:$L$1593,$B154:$B$1593,$B153,$A154:$A$1593,$A153),I153*K153)</f>
        <v>1382.3999999999999</v>
      </c>
      <c r="N153"/>
      <c r="O153"/>
      <c r="P153" s="28"/>
      <c r="Q153" s="28"/>
      <c r="R153" s="28"/>
    </row>
    <row r="154" spans="1:18" outlineLevel="1">
      <c r="A154" s="24" t="str">
        <f t="shared" si="84"/>
        <v>GERAL</v>
      </c>
      <c r="B154" s="24" t="str">
        <f t="shared" si="84"/>
        <v>3° PAV. - ESTAC. 02</v>
      </c>
      <c r="C154" s="89" t="s">
        <v>221</v>
      </c>
      <c r="D154" s="30" t="s">
        <v>87</v>
      </c>
      <c r="E154" s="30" t="str">
        <f>'Garagem 02'!C40&amp;" "&amp;'Garagem 02'!D40</f>
        <v>Isolação em PVC (70ºC) 1.5 mm² - Amarelo</v>
      </c>
      <c r="F154" s="25">
        <f>'Garagem 02'!E40</f>
        <v>1088.32</v>
      </c>
      <c r="G154" s="25">
        <v>1</v>
      </c>
      <c r="H154" s="25">
        <v>0</v>
      </c>
      <c r="I154" s="25">
        <f t="shared" si="83"/>
        <v>1088.32</v>
      </c>
      <c r="J154" s="25" t="str">
        <f>'Garagem 02'!F40</f>
        <v>m</v>
      </c>
      <c r="K154" s="26">
        <f>_xlfn.XLOOKUP($E154,PREÇO!$C$7:$C$91,PREÇO!$E$7:$E$91)</f>
        <v>1.59</v>
      </c>
      <c r="L154" s="66">
        <f>IF(SUM(F154:K154)=0,SUMIFS($L155:$L$1593,$B155:$B$1593,$B154,$A155:$A$1593,$A154),I154*K154)</f>
        <v>1730.4287999999999</v>
      </c>
      <c r="N154"/>
      <c r="O154"/>
      <c r="P154" s="28"/>
      <c r="Q154" s="28"/>
      <c r="R154" s="28"/>
    </row>
    <row r="155" spans="1:18" outlineLevel="1">
      <c r="A155" s="24" t="str">
        <f t="shared" si="84"/>
        <v>GERAL</v>
      </c>
      <c r="B155" s="24" t="str">
        <f t="shared" si="84"/>
        <v>3° PAV. - ESTAC. 02</v>
      </c>
      <c r="C155" s="89" t="s">
        <v>221</v>
      </c>
      <c r="D155" s="30" t="s">
        <v>87</v>
      </c>
      <c r="E155" s="30" t="str">
        <f>'Garagem 02'!C41&amp;" "&amp;'Garagem 02'!D41</f>
        <v>Isolação em PVC (70ºC) 1.5 mm² - Preto</v>
      </c>
      <c r="F155" s="25">
        <f>'Garagem 02'!E41</f>
        <v>544.16</v>
      </c>
      <c r="G155" s="25">
        <v>1</v>
      </c>
      <c r="H155" s="25">
        <v>0</v>
      </c>
      <c r="I155" s="25">
        <f t="shared" si="83"/>
        <v>544.16</v>
      </c>
      <c r="J155" s="25" t="str">
        <f>'Garagem 02'!F41</f>
        <v>m</v>
      </c>
      <c r="K155" s="26">
        <f>_xlfn.XLOOKUP($E155,PREÇO!$C$7:$C$91,PREÇO!$E$7:$E$91)</f>
        <v>1.59</v>
      </c>
      <c r="L155" s="66">
        <f>IF(SUM(F155:K155)=0,SUMIFS($L156:$L$1593,$B156:$B$1593,$B155,$A156:$A$1593,$A155),I155*K155)</f>
        <v>865.21439999999996</v>
      </c>
      <c r="N155"/>
      <c r="O155"/>
      <c r="P155" s="28"/>
      <c r="Q155" s="28"/>
      <c r="R155" s="28"/>
    </row>
    <row r="156" spans="1:18" outlineLevel="1">
      <c r="A156" s="24" t="str">
        <f t="shared" si="84"/>
        <v>GERAL</v>
      </c>
      <c r="B156" s="24" t="str">
        <f t="shared" si="84"/>
        <v>3° PAV. - ESTAC. 02</v>
      </c>
      <c r="C156" s="89" t="s">
        <v>221</v>
      </c>
      <c r="D156" s="30" t="s">
        <v>87</v>
      </c>
      <c r="E156" s="30" t="str">
        <f>'Garagem 02'!C42&amp;" "&amp;'Garagem 02'!D42</f>
        <v>Isolação em PVC (70ºC) 1.5 mm² - Vermelho</v>
      </c>
      <c r="F156" s="25">
        <f>'Garagem 02'!E42</f>
        <v>544.16</v>
      </c>
      <c r="G156" s="25">
        <v>1</v>
      </c>
      <c r="H156" s="25">
        <v>0</v>
      </c>
      <c r="I156" s="25">
        <f t="shared" si="83"/>
        <v>544.16</v>
      </c>
      <c r="J156" s="25" t="str">
        <f>'Garagem 02'!F42</f>
        <v>m</v>
      </c>
      <c r="K156" s="26">
        <f>_xlfn.XLOOKUP($E156,PREÇO!$C$7:$C$91,PREÇO!$E$7:$E$91)</f>
        <v>1.59</v>
      </c>
      <c r="L156" s="66">
        <f>IF(SUM(F156:K156)=0,SUMIFS($L157:$L$1593,$B157:$B$1593,$B156,$A157:$A$1593,$A156),I156*K156)</f>
        <v>865.21439999999996</v>
      </c>
      <c r="N156"/>
      <c r="O156"/>
      <c r="P156" s="28"/>
      <c r="Q156" s="28"/>
      <c r="R156" s="28"/>
    </row>
    <row r="157" spans="1:18" outlineLevel="1">
      <c r="A157" s="24" t="str">
        <f t="shared" si="84"/>
        <v>GERAL</v>
      </c>
      <c r="B157" s="24" t="str">
        <f t="shared" si="84"/>
        <v>3° PAV. - ESTAC. 02</v>
      </c>
      <c r="C157" s="89" t="s">
        <v>221</v>
      </c>
      <c r="D157" s="30" t="s">
        <v>87</v>
      </c>
      <c r="E157" s="30" t="str">
        <f>'Garagem 02'!C43&amp;" "&amp;'Garagem 02'!D43</f>
        <v>Isolação em PVC (70ºC) 2.5 mm² - Amarelo</v>
      </c>
      <c r="F157" s="25">
        <f>'Garagem 02'!E43</f>
        <v>21.84</v>
      </c>
      <c r="G157" s="25">
        <v>1</v>
      </c>
      <c r="H157" s="25">
        <v>0</v>
      </c>
      <c r="I157" s="25">
        <f t="shared" si="83"/>
        <v>21.84</v>
      </c>
      <c r="J157" s="25" t="str">
        <f>'Garagem 02'!F43</f>
        <v>m</v>
      </c>
      <c r="K157" s="26">
        <f>_xlfn.XLOOKUP($E157,PREÇO!$C$7:$C$91,PREÇO!$E$7:$E$91)</f>
        <v>2.19</v>
      </c>
      <c r="L157" s="66">
        <f>IF(SUM(F157:K157)=0,SUMIFS($L158:$L$1593,$B158:$B$1593,$B157,$A158:$A$1593,$A157),I157*K157)</f>
        <v>47.829599999999999</v>
      </c>
      <c r="N157"/>
      <c r="O157"/>
      <c r="P157" s="28"/>
      <c r="Q157" s="28"/>
      <c r="R157" s="28"/>
    </row>
    <row r="158" spans="1:18" outlineLevel="1">
      <c r="A158" s="24" t="str">
        <f t="shared" si="84"/>
        <v>GERAL</v>
      </c>
      <c r="B158" s="24" t="str">
        <f t="shared" si="84"/>
        <v>3° PAV. - ESTAC. 02</v>
      </c>
      <c r="C158" s="89" t="s">
        <v>221</v>
      </c>
      <c r="D158" s="30" t="s">
        <v>87</v>
      </c>
      <c r="E158" s="30" t="str">
        <f>'Garagem 02'!C44&amp;" "&amp;'Garagem 02'!D44</f>
        <v>Isolação em PVC (70ºC) 2.5 mm² - Preto</v>
      </c>
      <c r="F158" s="25">
        <f>'Garagem 02'!E44</f>
        <v>156.35</v>
      </c>
      <c r="G158" s="25">
        <v>1</v>
      </c>
      <c r="H158" s="25">
        <v>0</v>
      </c>
      <c r="I158" s="25">
        <f t="shared" si="83"/>
        <v>156.35</v>
      </c>
      <c r="J158" s="25" t="str">
        <f>'Garagem 02'!F44</f>
        <v>m</v>
      </c>
      <c r="K158" s="26">
        <f>_xlfn.XLOOKUP($E158,PREÇO!$C$7:$C$91,PREÇO!$E$7:$E$91)</f>
        <v>2.19</v>
      </c>
      <c r="L158" s="66">
        <f>IF(SUM(F158:K158)=0,SUMIFS($L159:$L$1593,$B159:$B$1593,$B158,$A159:$A$1593,$A158),I158*K158)</f>
        <v>342.40649999999999</v>
      </c>
      <c r="N158"/>
      <c r="O158"/>
      <c r="P158" s="28"/>
      <c r="Q158" s="28"/>
      <c r="R158" s="28"/>
    </row>
    <row r="159" spans="1:18" outlineLevel="1">
      <c r="A159" s="24" t="str">
        <f t="shared" si="84"/>
        <v>GERAL</v>
      </c>
      <c r="B159" s="24" t="str">
        <f t="shared" si="84"/>
        <v>3° PAV. - ESTAC. 02</v>
      </c>
      <c r="C159" s="89" t="s">
        <v>221</v>
      </c>
      <c r="D159" s="30" t="s">
        <v>87</v>
      </c>
      <c r="E159" s="30" t="str">
        <f>'Garagem 02'!C45&amp;" "&amp;'Garagem 02'!D45</f>
        <v>Isolação em PVC (70ºC) 2.5 mm² - Vermelho</v>
      </c>
      <c r="F159" s="25">
        <f>'Garagem 02'!E45</f>
        <v>156.35</v>
      </c>
      <c r="G159" s="25">
        <v>1</v>
      </c>
      <c r="H159" s="25">
        <v>0</v>
      </c>
      <c r="I159" s="25">
        <f t="shared" si="83"/>
        <v>156.35</v>
      </c>
      <c r="J159" s="25" t="str">
        <f>'Garagem 02'!F45</f>
        <v>m</v>
      </c>
      <c r="K159" s="26">
        <f>_xlfn.XLOOKUP($E159,PREÇO!$C$7:$C$91,PREÇO!$E$7:$E$91)</f>
        <v>2.19</v>
      </c>
      <c r="L159" s="66">
        <f>IF(SUM(F159:K159)=0,SUMIFS($L160:$L$1593,$B160:$B$1593,$B159,$A160:$A$1593,$A159),I159*K159)</f>
        <v>342.40649999999999</v>
      </c>
      <c r="N159"/>
      <c r="O159"/>
      <c r="P159" s="28"/>
      <c r="Q159" s="28"/>
      <c r="R159" s="28"/>
    </row>
    <row r="160" spans="1:18" outlineLevel="1">
      <c r="A160" s="24" t="str">
        <f t="shared" si="84"/>
        <v>GERAL</v>
      </c>
      <c r="B160" s="24" t="str">
        <f t="shared" si="84"/>
        <v>3° PAV. - ESTAC. 02</v>
      </c>
      <c r="C160" s="89" t="s">
        <v>221</v>
      </c>
      <c r="D160" s="30" t="s">
        <v>87</v>
      </c>
      <c r="E160" s="30" t="str">
        <f>'Garagem 02'!C46&amp;" "&amp;'Garagem 02'!D46</f>
        <v>Isolação em PVC (70ºC) 4 mm² - Preto</v>
      </c>
      <c r="F160" s="25">
        <f>'Garagem 02'!E46</f>
        <v>446.43</v>
      </c>
      <c r="G160" s="25">
        <v>1</v>
      </c>
      <c r="H160" s="25">
        <v>0</v>
      </c>
      <c r="I160" s="25">
        <f t="shared" si="83"/>
        <v>446.43</v>
      </c>
      <c r="J160" s="25" t="str">
        <f>'Garagem 02'!F46</f>
        <v>m</v>
      </c>
      <c r="K160" s="26">
        <f>_xlfn.XLOOKUP($E160,PREÇO!$C$7:$C$91,PREÇO!$E$7:$E$91)</f>
        <v>3.89</v>
      </c>
      <c r="L160" s="66">
        <f>IF(SUM(F160:K160)=0,SUMIFS($L161:$L$1593,$B161:$B$1593,$B160,$A161:$A$1593,$A160),I160*K160)</f>
        <v>1736.6127000000001</v>
      </c>
      <c r="N160"/>
      <c r="O160"/>
      <c r="P160" s="28"/>
      <c r="Q160" s="28"/>
      <c r="R160" s="28"/>
    </row>
    <row r="161" spans="1:18" outlineLevel="1">
      <c r="A161" s="24" t="str">
        <f t="shared" si="84"/>
        <v>GERAL</v>
      </c>
      <c r="B161" s="24" t="str">
        <f t="shared" si="84"/>
        <v>3° PAV. - ESTAC. 02</v>
      </c>
      <c r="C161" s="89" t="s">
        <v>221</v>
      </c>
      <c r="D161" s="30" t="s">
        <v>87</v>
      </c>
      <c r="E161" s="30" t="str">
        <f>'Garagem 02'!C47&amp;" "&amp;'Garagem 02'!D47</f>
        <v>Isolação em PVC (70ºC) 4 mm² - Vermelho</v>
      </c>
      <c r="F161" s="25">
        <f>'Garagem 02'!E47</f>
        <v>446.43</v>
      </c>
      <c r="G161" s="25">
        <v>1</v>
      </c>
      <c r="H161" s="25">
        <v>0</v>
      </c>
      <c r="I161" s="25">
        <f t="shared" si="83"/>
        <v>446.43</v>
      </c>
      <c r="J161" s="25" t="str">
        <f>'Garagem 02'!F47</f>
        <v>m</v>
      </c>
      <c r="K161" s="26">
        <f>_xlfn.XLOOKUP($E161,PREÇO!$C$7:$C$91,PREÇO!$E$7:$E$91)</f>
        <v>3.89</v>
      </c>
      <c r="L161" s="66">
        <f>IF(SUM(F161:K161)=0,SUMIFS($L162:$L$1593,$B162:$B$1593,$B161,$A162:$A$1593,$A161),I161*K161)</f>
        <v>1736.6127000000001</v>
      </c>
      <c r="N161"/>
      <c r="O161"/>
      <c r="P161" s="28"/>
      <c r="Q161" s="28"/>
      <c r="R161" s="28"/>
    </row>
    <row r="162" spans="1:18" outlineLevel="1">
      <c r="A162" s="24" t="str">
        <f t="shared" si="84"/>
        <v>GERAL</v>
      </c>
      <c r="B162" s="24" t="str">
        <f t="shared" si="84"/>
        <v>3° PAV. - ESTAC. 02</v>
      </c>
      <c r="C162" s="89" t="s">
        <v>221</v>
      </c>
      <c r="D162" s="30" t="s">
        <v>87</v>
      </c>
      <c r="E162" s="30" t="str">
        <f>'Garagem 02'!C48&amp;" "&amp;'Garagem 02'!D48</f>
        <v>Isolação em PVC (70ºC) 6 mm² - Preto</v>
      </c>
      <c r="F162" s="25">
        <f>'Garagem 02'!E48</f>
        <v>322.91000000000003</v>
      </c>
      <c r="G162" s="25">
        <v>1</v>
      </c>
      <c r="H162" s="25">
        <v>0</v>
      </c>
      <c r="I162" s="25">
        <f t="shared" si="83"/>
        <v>322.91000000000003</v>
      </c>
      <c r="J162" s="25" t="str">
        <f>'Garagem 02'!F48</f>
        <v>m</v>
      </c>
      <c r="K162" s="26">
        <f>_xlfn.XLOOKUP($E162,PREÇO!$C$7:$C$91,PREÇO!$E$7:$E$91)</f>
        <v>5.79</v>
      </c>
      <c r="L162" s="66">
        <f>IF(SUM(F162:K162)=0,SUMIFS($L163:$L$1593,$B163:$B$1593,$B162,$A163:$A$1593,$A162),I162*K162)</f>
        <v>1869.6489000000001</v>
      </c>
      <c r="N162"/>
      <c r="O162"/>
      <c r="P162" s="28"/>
      <c r="Q162" s="28"/>
      <c r="R162" s="28"/>
    </row>
    <row r="163" spans="1:18" outlineLevel="1">
      <c r="A163" s="24" t="str">
        <f t="shared" si="84"/>
        <v>GERAL</v>
      </c>
      <c r="B163" s="24" t="str">
        <f t="shared" si="84"/>
        <v>3° PAV. - ESTAC. 02</v>
      </c>
      <c r="C163" s="89" t="s">
        <v>221</v>
      </c>
      <c r="D163" s="30" t="s">
        <v>87</v>
      </c>
      <c r="E163" s="30" t="str">
        <f>'Garagem 02'!C49&amp;" "&amp;'Garagem 02'!D49</f>
        <v>Isolação em PVC (70ºC) 6 mm² - Vermelho</v>
      </c>
      <c r="F163" s="25">
        <f>'Garagem 02'!E49</f>
        <v>322.91000000000003</v>
      </c>
      <c r="G163" s="25">
        <v>1</v>
      </c>
      <c r="H163" s="25">
        <v>0</v>
      </c>
      <c r="I163" s="25">
        <f t="shared" si="83"/>
        <v>322.91000000000003</v>
      </c>
      <c r="J163" s="25" t="str">
        <f>'Garagem 02'!F49</f>
        <v>m</v>
      </c>
      <c r="K163" s="26">
        <f>_xlfn.XLOOKUP($E163,PREÇO!$C$7:$C$91,PREÇO!$E$7:$E$91)</f>
        <v>5.79</v>
      </c>
      <c r="L163" s="66">
        <f>IF(SUM(F163:K163)=0,SUMIFS($L164:$L$1593,$B164:$B$1593,$B163,$A164:$A$1593,$A163),I163*K163)</f>
        <v>1869.6489000000001</v>
      </c>
      <c r="N163"/>
      <c r="O163"/>
      <c r="P163" s="28"/>
      <c r="Q163" s="28"/>
      <c r="R163" s="28"/>
    </row>
    <row r="164" spans="1:18" outlineLevel="1">
      <c r="A164" s="24" t="str">
        <f t="shared" si="84"/>
        <v>GERAL</v>
      </c>
      <c r="B164" s="24" t="str">
        <f t="shared" si="84"/>
        <v>3° PAV. - ESTAC. 02</v>
      </c>
      <c r="C164" s="89" t="s">
        <v>221</v>
      </c>
      <c r="D164" s="30" t="s">
        <v>46</v>
      </c>
      <c r="E164" s="30" t="str">
        <f>'Garagem 02'!C53&amp;" "&amp;'Garagem 02'!D53</f>
        <v>PVC Flexível Antichama - NBR 15465 ø1"</v>
      </c>
      <c r="F164" s="25">
        <f>'Garagem 02'!E53</f>
        <v>250.07</v>
      </c>
      <c r="G164" s="25">
        <v>1</v>
      </c>
      <c r="H164" s="25">
        <v>0</v>
      </c>
      <c r="I164" s="25">
        <f t="shared" si="83"/>
        <v>250.07</v>
      </c>
      <c r="J164" s="25" t="str">
        <f>'Garagem 02'!F53</f>
        <v>m</v>
      </c>
      <c r="K164" s="26">
        <f>_xlfn.XLOOKUP($E164,PREÇO!$C$7:$C$91,PREÇO!$E$7:$E$91)</f>
        <v>2.5299999999999998</v>
      </c>
      <c r="L164" s="66">
        <f>IF(SUM(F164:K164)=0,SUMIFS($L165:$L$1593,$B165:$B$1593,$B164,$A165:$A$1593,$A164),I164*K164)</f>
        <v>632.67709999999988</v>
      </c>
      <c r="N164"/>
      <c r="O164"/>
      <c r="P164" s="28"/>
      <c r="Q164" s="28"/>
      <c r="R164" s="28"/>
    </row>
    <row r="165" spans="1:18" outlineLevel="1">
      <c r="A165" s="24" t="str">
        <f t="shared" si="84"/>
        <v>GERAL</v>
      </c>
      <c r="B165" s="24" t="str">
        <f t="shared" si="84"/>
        <v>3° PAV. - ESTAC. 02</v>
      </c>
      <c r="C165" s="89" t="s">
        <v>221</v>
      </c>
      <c r="D165" s="30" t="s">
        <v>46</v>
      </c>
      <c r="E165" s="30" t="str">
        <f>'Garagem 02'!C54&amp;" "&amp;'Garagem 02'!D54</f>
        <v>PVC Flexível Antichama - NBR 15465 ø3/4"</v>
      </c>
      <c r="F165" s="25">
        <f>'Garagem 02'!E54</f>
        <v>1.1000000000000001</v>
      </c>
      <c r="G165" s="25">
        <v>1</v>
      </c>
      <c r="H165" s="25">
        <v>0</v>
      </c>
      <c r="I165" s="25">
        <f t="shared" si="83"/>
        <v>1.1000000000000001</v>
      </c>
      <c r="J165" s="25" t="str">
        <f>'Garagem 02'!F54</f>
        <v>m</v>
      </c>
      <c r="K165" s="26">
        <f>_xlfn.XLOOKUP($E165,PREÇO!$C$7:$C$91,PREÇO!$E$7:$E$91)</f>
        <v>1.8</v>
      </c>
      <c r="L165" s="66">
        <f>IF(SUM(F165:K165)=0,SUMIFS($L166:$L$1593,$B166:$B$1593,$B165,$A166:$A$1593,$A165),I165*K165)</f>
        <v>1.9800000000000002</v>
      </c>
      <c r="N165"/>
      <c r="O165"/>
      <c r="P165" s="28"/>
      <c r="Q165" s="28"/>
      <c r="R165" s="28"/>
    </row>
    <row r="166" spans="1:18" outlineLevel="1">
      <c r="A166" s="24" t="str">
        <f t="shared" si="84"/>
        <v>GERAL</v>
      </c>
      <c r="B166" s="24" t="str">
        <f t="shared" si="84"/>
        <v>3° PAV. - ESTAC. 02</v>
      </c>
      <c r="C166" s="89" t="s">
        <v>221</v>
      </c>
      <c r="D166" s="80" t="s">
        <v>89</v>
      </c>
      <c r="E166" s="30" t="str">
        <f>'Garagem 02'!C57&amp;" "&amp;'Garagem 02'!D57</f>
        <v>Classe A - PVC Anti-chama - 105ºC - Isolação 600V 0.75 mm²</v>
      </c>
      <c r="F166" s="25">
        <f>'Garagem 02'!E57</f>
        <v>241.4</v>
      </c>
      <c r="G166" s="25">
        <v>1</v>
      </c>
      <c r="H166" s="25">
        <v>0</v>
      </c>
      <c r="I166" s="25">
        <f t="shared" si="83"/>
        <v>241.4</v>
      </c>
      <c r="J166" s="25" t="str">
        <f>'Garagem 02'!F57</f>
        <v>m</v>
      </c>
      <c r="K166" s="26">
        <f>_xlfn.XLOOKUP($E166,PREÇO!$C$7:$C$91,PREÇO!$E$7:$E$91)</f>
        <v>0.99</v>
      </c>
      <c r="L166" s="66">
        <f>IF(SUM(F166:K166)=0,SUMIFS($L167:$L$1593,$B167:$B$1593,$B166,$A167:$A$1593,$A166),I166*K166)</f>
        <v>238.98599999999999</v>
      </c>
      <c r="N166"/>
      <c r="O166"/>
      <c r="P166" s="28"/>
      <c r="Q166" s="28"/>
      <c r="R166" s="28"/>
    </row>
    <row r="167" spans="1:18" ht="15.75" outlineLevel="1" thickBot="1">
      <c r="A167" s="24" t="str">
        <f t="shared" si="84"/>
        <v>GERAL</v>
      </c>
      <c r="B167" s="24" t="str">
        <f t="shared" si="84"/>
        <v>3° PAV. - ESTAC. 02</v>
      </c>
      <c r="C167" s="89" t="s">
        <v>221</v>
      </c>
      <c r="D167" s="80" t="s">
        <v>89</v>
      </c>
      <c r="E167" s="30" t="str">
        <f>'Garagem 02'!C58&amp;" "&amp;'Garagem 02'!D58</f>
        <v>Classe B - PVC Anti-chama - 105ºC - Isolação 600V 1.5 mm²</v>
      </c>
      <c r="F167" s="25">
        <f>'Garagem 02'!E58</f>
        <v>206.65</v>
      </c>
      <c r="G167" s="25">
        <v>1</v>
      </c>
      <c r="H167" s="25">
        <v>0</v>
      </c>
      <c r="I167" s="25">
        <f t="shared" si="83"/>
        <v>206.65</v>
      </c>
      <c r="J167" s="25" t="str">
        <f>'Garagem 02'!F58</f>
        <v>m</v>
      </c>
      <c r="K167" s="26">
        <f>_xlfn.XLOOKUP($E167,PREÇO!$C$7:$C$91,PREÇO!$E$7:$E$91)</f>
        <v>1.69</v>
      </c>
      <c r="L167" s="66">
        <f>IF(SUM(F167:K167)=0,SUMIFS($L168:$L$1593,$B168:$B$1593,$B167,$A168:$A$1593,$A167),I167*K167)</f>
        <v>349.23849999999999</v>
      </c>
      <c r="N167"/>
      <c r="O167"/>
      <c r="P167" s="28"/>
      <c r="Q167" s="28"/>
      <c r="R167" s="28"/>
    </row>
    <row r="168" spans="1:18" ht="15.75" thickTop="1">
      <c r="A168" s="79" t="s">
        <v>19</v>
      </c>
      <c r="B168" s="79" t="s">
        <v>112</v>
      </c>
      <c r="C168" s="43"/>
      <c r="D168" s="44"/>
      <c r="E168" s="44"/>
      <c r="F168" s="45"/>
      <c r="G168" s="45"/>
      <c r="H168" s="45"/>
      <c r="I168" s="45"/>
      <c r="J168" s="45"/>
      <c r="K168" s="47"/>
      <c r="L168" s="48">
        <f>IF(SUM(F168:K168)=0,SUMIFS($L169:$L$1593,$B169:$B$1593,$B168,$A169:$A$1593,$A168),I168*K168)</f>
        <v>44111.342499999999</v>
      </c>
      <c r="N168"/>
      <c r="O168"/>
      <c r="P168" s="28"/>
      <c r="Q168" s="28"/>
      <c r="R168" s="28"/>
    </row>
    <row r="169" spans="1:18" outlineLevel="1">
      <c r="A169" s="24" t="str">
        <f t="shared" ref="A169:B173" si="85">A168</f>
        <v>GERAL</v>
      </c>
      <c r="B169" s="24" t="str">
        <f t="shared" si="85"/>
        <v>4º PAV. - ESTAC. 03</v>
      </c>
      <c r="C169" s="24" t="s">
        <v>221</v>
      </c>
      <c r="D169" s="30" t="str">
        <f>'Garagem 03'!C6</f>
        <v>Acionadores</v>
      </c>
      <c r="E169" s="30" t="str">
        <f>'Garagem 03'!D6</f>
        <v>Acionador Manual de Alarme de Incêndio</v>
      </c>
      <c r="F169" s="25">
        <f>'Garagem 03'!E6</f>
        <v>7</v>
      </c>
      <c r="G169" s="25">
        <v>1</v>
      </c>
      <c r="H169" s="25">
        <v>0</v>
      </c>
      <c r="I169" s="25">
        <f t="shared" ref="I169:I175" si="86">(F169+H169*F169)*G169</f>
        <v>7</v>
      </c>
      <c r="J169" s="25" t="str">
        <f>'Garagem 03'!F6</f>
        <v>pç</v>
      </c>
      <c r="K169" s="26">
        <f>_xlfn.XLOOKUP($E169,PREÇO!$C$7:$C$91,PREÇO!$E$7:$E$91)</f>
        <v>65</v>
      </c>
      <c r="L169" s="66">
        <f>IF(SUM(F169:K169)=0,SUMIFS($L170:$L$1593,$B170:$B$1593,$B169,$A170:$A$1593,$A169),I169*K169)</f>
        <v>455</v>
      </c>
      <c r="N169"/>
      <c r="O169"/>
      <c r="P169" s="28"/>
      <c r="Q169" s="28"/>
      <c r="R169" s="28"/>
    </row>
    <row r="170" spans="1:18" outlineLevel="1">
      <c r="A170" s="24" t="str">
        <f t="shared" ref="A170" si="87">A169</f>
        <v>GERAL</v>
      </c>
      <c r="B170" s="24" t="str">
        <f t="shared" si="85"/>
        <v>4º PAV. - ESTAC. 03</v>
      </c>
      <c r="C170" s="30" t="s">
        <v>221</v>
      </c>
      <c r="D170" s="30" t="str">
        <f>'Garagem 03'!C7</f>
        <v>Anunciadores</v>
      </c>
      <c r="E170" s="30" t="str">
        <f>'Garagem 03'!D7</f>
        <v>Anunciador Audiovisual de Alarme de Incêndio de Parede</v>
      </c>
      <c r="F170" s="25">
        <f>'Garagem 03'!E7</f>
        <v>7</v>
      </c>
      <c r="G170" s="25">
        <v>1</v>
      </c>
      <c r="H170" s="25">
        <v>0</v>
      </c>
      <c r="I170" s="25">
        <f t="shared" si="86"/>
        <v>7</v>
      </c>
      <c r="J170" s="25" t="str">
        <f>'Garagem 03'!F7</f>
        <v>pç</v>
      </c>
      <c r="K170" s="26">
        <f>_xlfn.XLOOKUP($E170,PREÇO!$C$7:$C$91,PREÇO!$E$7:$E$91)</f>
        <v>191.81</v>
      </c>
      <c r="L170" s="66">
        <f>IF(SUM(F170:K170)=0,SUMIFS($L171:$L$1593,$B171:$B$1593,$B170,$A171:$A$1593,$A170),I170*K170)</f>
        <v>1342.67</v>
      </c>
      <c r="N170"/>
      <c r="O170"/>
      <c r="P170" s="28"/>
      <c r="Q170" s="28"/>
      <c r="R170" s="28"/>
    </row>
    <row r="171" spans="1:18" outlineLevel="1">
      <c r="A171" s="24" t="str">
        <f t="shared" ref="A171" si="88">A170</f>
        <v>GERAL</v>
      </c>
      <c r="B171" s="24" t="str">
        <f t="shared" si="85"/>
        <v>4º PAV. - ESTAC. 03</v>
      </c>
      <c r="C171" s="30" t="s">
        <v>221</v>
      </c>
      <c r="D171" s="30" t="str">
        <f>'Garagem 03'!C8</f>
        <v>Atuadores</v>
      </c>
      <c r="E171" s="30" t="str">
        <f>'Garagem 03'!D8</f>
        <v>Atuador Janela Desenfumagem</v>
      </c>
      <c r="F171" s="25">
        <f>'Garagem 03'!E8</f>
        <v>1</v>
      </c>
      <c r="G171" s="25">
        <v>1</v>
      </c>
      <c r="H171" s="25">
        <v>0</v>
      </c>
      <c r="I171" s="25">
        <f t="shared" si="86"/>
        <v>1</v>
      </c>
      <c r="J171" s="25" t="str">
        <f>'Garagem 03'!F8</f>
        <v>pç</v>
      </c>
      <c r="K171" s="26">
        <f>_xlfn.XLOOKUP($E171,PREÇO!$C$7:$C$91,PREÇO!$E$7:$E$91)</f>
        <v>1150</v>
      </c>
      <c r="L171" s="66">
        <f>IF(SUM(F171:K171)=0,SUMIFS($L172:$L$1593,$B172:$B$1593,$B171,$A172:$A$1593,$A171),I171*K171)</f>
        <v>1150</v>
      </c>
      <c r="N171"/>
      <c r="O171"/>
      <c r="P171" s="28"/>
      <c r="Q171" s="28"/>
      <c r="R171" s="28"/>
    </row>
    <row r="172" spans="1:18" outlineLevel="1">
      <c r="A172" s="24" t="str">
        <f t="shared" ref="A172" si="89">A171</f>
        <v>GERAL</v>
      </c>
      <c r="B172" s="24" t="str">
        <f t="shared" si="85"/>
        <v>4º PAV. - ESTAC. 03</v>
      </c>
      <c r="C172" s="30" t="s">
        <v>221</v>
      </c>
      <c r="D172" s="30" t="str">
        <f>'Garagem 03'!C9</f>
        <v>Atuadores</v>
      </c>
      <c r="E172" s="30" t="str">
        <f>'Garagem 03'!D9</f>
        <v>Dispositivo Eletromagnético de Porta Aberta</v>
      </c>
      <c r="F172" s="25">
        <f>'Garagem 03'!E9</f>
        <v>1</v>
      </c>
      <c r="G172" s="25">
        <v>1</v>
      </c>
      <c r="H172" s="25">
        <v>0</v>
      </c>
      <c r="I172" s="25">
        <f t="shared" si="86"/>
        <v>1</v>
      </c>
      <c r="J172" s="25" t="str">
        <f>'Garagem 03'!F9</f>
        <v>pç</v>
      </c>
      <c r="K172" s="26">
        <f>_xlfn.XLOOKUP($E172,PREÇO!$C$7:$C$91,PREÇO!$E$7:$E$91)</f>
        <v>416.9</v>
      </c>
      <c r="L172" s="66">
        <f>IF(SUM(F172:K172)=0,SUMIFS($L173:$L$1593,$B173:$B$1593,$B172,$A173:$A$1593,$A172),I172*K172)</f>
        <v>416.9</v>
      </c>
      <c r="N172"/>
      <c r="O172"/>
      <c r="P172" s="28"/>
      <c r="Q172" s="28"/>
      <c r="R172" s="28"/>
    </row>
    <row r="173" spans="1:18" outlineLevel="1">
      <c r="A173" s="24" t="str">
        <f t="shared" ref="A173:B189" si="90">A172</f>
        <v>GERAL</v>
      </c>
      <c r="B173" s="24" t="str">
        <f t="shared" si="85"/>
        <v>4º PAV. - ESTAC. 03</v>
      </c>
      <c r="C173" s="30" t="s">
        <v>221</v>
      </c>
      <c r="D173" s="30" t="str">
        <f>'Garagem 03'!C10</f>
        <v>Sensores</v>
      </c>
      <c r="E173" s="30" t="str">
        <f>'Garagem 03'!D10</f>
        <v>Sensor de Fumaça</v>
      </c>
      <c r="F173" s="25">
        <f>'Garagem 03'!E10</f>
        <v>3</v>
      </c>
      <c r="G173" s="25">
        <v>1</v>
      </c>
      <c r="H173" s="25">
        <v>0</v>
      </c>
      <c r="I173" s="25">
        <f t="shared" si="86"/>
        <v>3</v>
      </c>
      <c r="J173" s="25" t="str">
        <f>'Garagem 03'!F10</f>
        <v>pç</v>
      </c>
      <c r="K173" s="26">
        <f>_xlfn.XLOOKUP($E173,PREÇO!$C$7:$C$91,PREÇO!$E$7:$E$91)</f>
        <v>53.9</v>
      </c>
      <c r="L173" s="66">
        <f>IF(SUM(F173:K173)=0,SUMIFS($L174:$L$1593,$B174:$B$1593,$B173,$A174:$A$1593,$A173),I173*K173)</f>
        <v>161.69999999999999</v>
      </c>
      <c r="N173"/>
      <c r="O173"/>
      <c r="P173" s="28"/>
      <c r="Q173" s="28"/>
      <c r="R173" s="28"/>
    </row>
    <row r="174" spans="1:18" outlineLevel="1">
      <c r="A174" s="24" t="str">
        <f t="shared" si="90"/>
        <v>GERAL</v>
      </c>
      <c r="B174" s="24" t="str">
        <f t="shared" si="90"/>
        <v>4º PAV. - ESTAC. 03</v>
      </c>
      <c r="C174" s="30" t="s">
        <v>221</v>
      </c>
      <c r="D174" s="30" t="str">
        <f>'Garagem 03'!C13</f>
        <v>Caixas</v>
      </c>
      <c r="E174" s="30" t="str">
        <f>'Garagem 03'!D13</f>
        <v>Caixa Octogonal Padrão NBR IEC 60670</v>
      </c>
      <c r="F174" s="25">
        <f>'Garagem 03'!E13</f>
        <v>123</v>
      </c>
      <c r="G174" s="25">
        <v>1</v>
      </c>
      <c r="H174" s="25">
        <v>0</v>
      </c>
      <c r="I174" s="25">
        <f t="shared" si="86"/>
        <v>123</v>
      </c>
      <c r="J174" s="25" t="str">
        <f>'Garagem 03'!F13</f>
        <v>pç</v>
      </c>
      <c r="K174" s="26">
        <f>_xlfn.XLOOKUP($E174,PREÇO!$C$7:$C$91,PREÇO!$E$7:$E$91)</f>
        <v>5.32</v>
      </c>
      <c r="L174" s="66">
        <f>IF(SUM(F174:K174)=0,SUMIFS($L175:$L$1593,$B175:$B$1593,$B174,$A175:$A$1593,$A174),I174*K174)</f>
        <v>654.36</v>
      </c>
      <c r="N174"/>
      <c r="O174"/>
      <c r="P174" s="28"/>
      <c r="Q174" s="28"/>
      <c r="R174" s="28"/>
    </row>
    <row r="175" spans="1:18" outlineLevel="1">
      <c r="A175" s="24" t="str">
        <f t="shared" si="90"/>
        <v>GERAL</v>
      </c>
      <c r="B175" s="24" t="str">
        <f t="shared" si="90"/>
        <v>4º PAV. - ESTAC. 03</v>
      </c>
      <c r="C175" s="30" t="s">
        <v>221</v>
      </c>
      <c r="D175" s="30" t="str">
        <f>'Garagem 03'!C14</f>
        <v>Placas</v>
      </c>
      <c r="E175" s="30" t="str">
        <f>'Garagem 03'!D14</f>
        <v>Placa cega para caixa octogonal Padrão NBR IEC 60670</v>
      </c>
      <c r="F175" s="25">
        <f>'Garagem 03'!E14</f>
        <v>17</v>
      </c>
      <c r="G175" s="25">
        <v>1</v>
      </c>
      <c r="H175" s="25">
        <v>0</v>
      </c>
      <c r="I175" s="25">
        <f t="shared" si="86"/>
        <v>17</v>
      </c>
      <c r="J175" s="25" t="str">
        <f>'Garagem 03'!F14</f>
        <v>pç</v>
      </c>
      <c r="K175" s="26">
        <f>_xlfn.XLOOKUP($E175,PREÇO!$C$7:$C$91,PREÇO!$E$7:$E$91)</f>
        <v>2.5</v>
      </c>
      <c r="L175" s="66">
        <f>IF(SUM(F175:K175)=0,SUMIFS($L176:$L$1593,$B176:$B$1593,$B175,$A176:$A$1593,$A175),I175*K175)</f>
        <v>42.5</v>
      </c>
      <c r="N175"/>
      <c r="O175"/>
      <c r="P175" s="28"/>
      <c r="Q175" s="28"/>
      <c r="R175" s="28"/>
    </row>
    <row r="176" spans="1:18" outlineLevel="1">
      <c r="A176" s="24" t="str">
        <f t="shared" si="90"/>
        <v>GERAL</v>
      </c>
      <c r="B176" s="24" t="str">
        <f t="shared" si="90"/>
        <v>4º PAV. - ESTAC. 03</v>
      </c>
      <c r="C176" s="30" t="s">
        <v>221</v>
      </c>
      <c r="D176" s="30" t="str">
        <f>'Garagem 03'!C17</f>
        <v>Caixas</v>
      </c>
      <c r="E176" s="30" t="str">
        <f>'Garagem 03'!D17</f>
        <v>Caixa 4x2" de Embutir em PVC Padrão NBR IEC 60670</v>
      </c>
      <c r="F176" s="25">
        <f>'Garagem 03'!E17</f>
        <v>46</v>
      </c>
      <c r="G176" s="25">
        <v>1</v>
      </c>
      <c r="H176" s="25">
        <v>0</v>
      </c>
      <c r="I176" s="25">
        <f t="shared" ref="I176:I179" si="91">(F176+H176*F176)*G176</f>
        <v>46</v>
      </c>
      <c r="J176" s="25" t="str">
        <f>'Garagem 03'!F17</f>
        <v>pç</v>
      </c>
      <c r="K176" s="26">
        <f>_xlfn.XLOOKUP($E176,PREÇO!$C$7:$C$91,PREÇO!$E$7:$E$91)</f>
        <v>1.72</v>
      </c>
      <c r="L176" s="66">
        <f>IF(SUM(F176:K176)=0,SUMIFS($L177:$L$1593,$B177:$B$1593,$B176,$A177:$A$1593,$A176),I176*K176)</f>
        <v>79.12</v>
      </c>
      <c r="N176"/>
      <c r="O176"/>
      <c r="P176" s="28"/>
      <c r="Q176" s="28"/>
      <c r="R176" s="28"/>
    </row>
    <row r="177" spans="1:18" outlineLevel="1">
      <c r="A177" s="24" t="str">
        <f t="shared" si="90"/>
        <v>GERAL</v>
      </c>
      <c r="B177" s="24" t="str">
        <f t="shared" si="90"/>
        <v>4º PAV. - ESTAC. 03</v>
      </c>
      <c r="C177" s="30" t="s">
        <v>221</v>
      </c>
      <c r="D177" s="30" t="str">
        <f>'Garagem 03'!C18</f>
        <v>Caixas</v>
      </c>
      <c r="E177" s="30" t="str">
        <f>'Garagem 03'!D18</f>
        <v>Caixa 4x4" de Embutir em PVC Padrão NBR IEC 60670</v>
      </c>
      <c r="F177" s="25">
        <f>'Garagem 03'!E18</f>
        <v>3</v>
      </c>
      <c r="G177" s="25">
        <v>1</v>
      </c>
      <c r="H177" s="25">
        <v>0</v>
      </c>
      <c r="I177" s="25">
        <f t="shared" si="91"/>
        <v>3</v>
      </c>
      <c r="J177" s="25" t="str">
        <f>'Garagem 03'!F18</f>
        <v>pç</v>
      </c>
      <c r="K177" s="26">
        <f>_xlfn.XLOOKUP($E177,PREÇO!$C$7:$C$91,PREÇO!$E$7:$E$91)</f>
        <v>1.72</v>
      </c>
      <c r="L177" s="66">
        <f>IF(SUM(F177:K177)=0,SUMIFS($L178:$L$1593,$B178:$B$1593,$B177,$A178:$A$1593,$A177),I177*K177)</f>
        <v>5.16</v>
      </c>
      <c r="N177"/>
      <c r="O177"/>
      <c r="P177" s="28"/>
      <c r="Q177" s="28"/>
      <c r="R177" s="28"/>
    </row>
    <row r="178" spans="1:18" outlineLevel="1">
      <c r="A178" s="24" t="str">
        <f t="shared" si="90"/>
        <v>GERAL</v>
      </c>
      <c r="B178" s="24" t="str">
        <f t="shared" si="90"/>
        <v>4º PAV. - ESTAC. 03</v>
      </c>
      <c r="C178" s="30" t="s">
        <v>221</v>
      </c>
      <c r="D178" s="30" t="str">
        <f>'Garagem 03'!C19</f>
        <v>Placas</v>
      </c>
      <c r="E178" s="30" t="str">
        <f>'Garagem 03'!D19</f>
        <v>Placa 4x2" cega Padrão NBR IEC 60670</v>
      </c>
      <c r="F178" s="25">
        <f>'Garagem 03'!E19</f>
        <v>7</v>
      </c>
      <c r="G178" s="25">
        <v>1</v>
      </c>
      <c r="H178" s="25">
        <v>0</v>
      </c>
      <c r="I178" s="25">
        <f t="shared" si="91"/>
        <v>7</v>
      </c>
      <c r="J178" s="25" t="str">
        <f>'Garagem 03'!F19</f>
        <v>pç</v>
      </c>
      <c r="K178" s="26">
        <f>_xlfn.XLOOKUP($E178,PREÇO!$C$7:$C$91,PREÇO!$E$7:$E$91)</f>
        <v>4.59</v>
      </c>
      <c r="L178" s="66">
        <f>IF(SUM(F178:K178)=0,SUMIFS($L179:$L$1593,$B179:$B$1593,$B178,$A179:$A$1593,$A178),I178*K178)</f>
        <v>32.129999999999995</v>
      </c>
      <c r="N178"/>
      <c r="O178"/>
      <c r="P178" s="28"/>
      <c r="Q178" s="28"/>
      <c r="R178" s="28"/>
    </row>
    <row r="179" spans="1:18" outlineLevel="1">
      <c r="A179" s="24" t="str">
        <f t="shared" si="90"/>
        <v>GERAL</v>
      </c>
      <c r="B179" s="24" t="str">
        <f t="shared" si="90"/>
        <v>4º PAV. - ESTAC. 03</v>
      </c>
      <c r="C179" s="30" t="s">
        <v>221</v>
      </c>
      <c r="D179" s="30" t="str">
        <f>'Garagem 03'!C20</f>
        <v>Placas</v>
      </c>
      <c r="E179" s="30" t="str">
        <f>'Garagem 03'!D20</f>
        <v>Placa 4x2" com furo para saída de cabos Padrão NBR IEC 60670</v>
      </c>
      <c r="F179" s="25">
        <f>'Garagem 03'!E20</f>
        <v>39</v>
      </c>
      <c r="G179" s="25">
        <v>1</v>
      </c>
      <c r="H179" s="25">
        <v>0</v>
      </c>
      <c r="I179" s="25">
        <f t="shared" si="91"/>
        <v>39</v>
      </c>
      <c r="J179" s="25" t="str">
        <f>'Garagem 03'!F20</f>
        <v>pç</v>
      </c>
      <c r="K179" s="26">
        <f>_xlfn.XLOOKUP($E179,PREÇO!$C$7:$C$91,PREÇO!$E$7:$E$91)</f>
        <v>6.55</v>
      </c>
      <c r="L179" s="66">
        <f>IF(SUM(F179:K179)=0,SUMIFS($L180:$L$1593,$B180:$B$1593,$B179,$A180:$A$1593,$A179),I179*K179)</f>
        <v>255.45</v>
      </c>
      <c r="N179"/>
      <c r="O179"/>
      <c r="P179" s="28"/>
      <c r="Q179" s="28"/>
      <c r="R179" s="28"/>
    </row>
    <row r="180" spans="1:18" outlineLevel="1">
      <c r="A180" s="24" t="str">
        <f t="shared" si="90"/>
        <v>GERAL</v>
      </c>
      <c r="B180" s="24" t="str">
        <f t="shared" si="90"/>
        <v>4º PAV. - ESTAC. 03</v>
      </c>
      <c r="C180" s="24" t="s">
        <v>221</v>
      </c>
      <c r="D180" s="30" t="str">
        <f>'Garagem 03'!C21</f>
        <v>Placas</v>
      </c>
      <c r="E180" s="30" t="str">
        <f>'Garagem 03'!D21</f>
        <v>Placa 4x4" cega Padrão NBR IEC 60670</v>
      </c>
      <c r="F180" s="25">
        <f>'Garagem 03'!E21</f>
        <v>3</v>
      </c>
      <c r="G180" s="25">
        <v>1</v>
      </c>
      <c r="H180" s="25">
        <v>0</v>
      </c>
      <c r="I180" s="25">
        <f t="shared" si="76"/>
        <v>3</v>
      </c>
      <c r="J180" s="25" t="str">
        <f>'Garagem 03'!F21</f>
        <v>pç</v>
      </c>
      <c r="K180" s="26">
        <f>_xlfn.XLOOKUP($E180,PREÇO!$C$7:$C$91,PREÇO!$E$7:$E$91)</f>
        <v>12.25</v>
      </c>
      <c r="L180" s="66">
        <f>IF(SUM(F180:K180)=0,SUMIFS($L181:$L$1593,$B181:$B$1593,$B180,$A181:$A$1593,$A180),I180*K180)</f>
        <v>36.75</v>
      </c>
      <c r="N180"/>
      <c r="O180"/>
      <c r="P180" s="28"/>
      <c r="Q180" s="28"/>
      <c r="R180" s="28"/>
    </row>
    <row r="181" spans="1:18" outlineLevel="1">
      <c r="A181" s="24" t="str">
        <f t="shared" si="90"/>
        <v>GERAL</v>
      </c>
      <c r="B181" s="24" t="str">
        <f t="shared" si="90"/>
        <v>4º PAV. - ESTAC. 03</v>
      </c>
      <c r="C181" s="24" t="s">
        <v>221</v>
      </c>
      <c r="D181" s="30" t="str">
        <f>'Garagem 03'!C22</f>
        <v>Suportes</v>
      </c>
      <c r="E181" s="30" t="str">
        <f>'Garagem 03'!D22</f>
        <v>Suporte p/ caixa 4x2" Padrão NBR IEC 60670</v>
      </c>
      <c r="F181" s="25">
        <f>'Garagem 03'!E22</f>
        <v>46</v>
      </c>
      <c r="G181" s="25">
        <v>1</v>
      </c>
      <c r="H181" s="25">
        <v>0</v>
      </c>
      <c r="I181" s="25">
        <f t="shared" si="76"/>
        <v>46</v>
      </c>
      <c r="J181" s="25" t="str">
        <f>'Garagem 03'!F22</f>
        <v>pç</v>
      </c>
      <c r="K181" s="26">
        <f>_xlfn.XLOOKUP($E181,PREÇO!$C$7:$C$91,PREÇO!$E$7:$E$91)</f>
        <v>1.85</v>
      </c>
      <c r="L181" s="66">
        <f>IF(SUM(F181:K181)=0,SUMIFS($L182:$L$1593,$B182:$B$1593,$B181,$A182:$A$1593,$A181),I181*K181)</f>
        <v>85.100000000000009</v>
      </c>
      <c r="N181"/>
      <c r="O181"/>
      <c r="P181" s="28"/>
      <c r="Q181" s="28"/>
      <c r="R181" s="28"/>
    </row>
    <row r="182" spans="1:18" outlineLevel="1">
      <c r="A182" s="24" t="str">
        <f t="shared" si="90"/>
        <v>GERAL</v>
      </c>
      <c r="B182" s="24" t="str">
        <f t="shared" si="90"/>
        <v>4º PAV. - ESTAC. 03</v>
      </c>
      <c r="C182" s="24" t="s">
        <v>221</v>
      </c>
      <c r="D182" s="30" t="str">
        <f>'Garagem 03'!C23</f>
        <v>Suportes</v>
      </c>
      <c r="E182" s="30" t="str">
        <f>'Garagem 03'!D23</f>
        <v>Suporte p/ caixa 4x4" Padrão NBR IEC 60670</v>
      </c>
      <c r="F182" s="25">
        <f>'Garagem 03'!E23</f>
        <v>3</v>
      </c>
      <c r="G182" s="25">
        <v>1</v>
      </c>
      <c r="H182" s="25">
        <v>0</v>
      </c>
      <c r="I182" s="25">
        <f t="shared" si="76"/>
        <v>3</v>
      </c>
      <c r="J182" s="25" t="str">
        <f>'Garagem 03'!F23</f>
        <v>pç</v>
      </c>
      <c r="K182" s="26">
        <f>_xlfn.XLOOKUP($E182,PREÇO!$C$7:$C$91,PREÇO!$E$7:$E$91)</f>
        <v>3.15</v>
      </c>
      <c r="L182" s="66">
        <f>IF(SUM(F182:K182)=0,SUMIFS($L183:$L$1593,$B183:$B$1593,$B182,$A183:$A$1593,$A182),I182*K182)</f>
        <v>9.4499999999999993</v>
      </c>
      <c r="N182"/>
      <c r="O182"/>
      <c r="P182" s="28"/>
      <c r="Q182" s="28"/>
      <c r="R182" s="28"/>
    </row>
    <row r="183" spans="1:18" outlineLevel="1">
      <c r="A183" s="24" t="str">
        <f t="shared" si="90"/>
        <v>GERAL</v>
      </c>
      <c r="B183" s="24" t="str">
        <f t="shared" si="90"/>
        <v>4º PAV. - ESTAC. 03</v>
      </c>
      <c r="C183" s="24" t="s">
        <v>221</v>
      </c>
      <c r="D183" s="30" t="str">
        <f>'Garagem 03'!C26</f>
        <v>Embutir</v>
      </c>
      <c r="E183" s="30" t="str">
        <f>'Garagem 03'!D26</f>
        <v>Cx de passagem de embutir com dimensão de 50x50x15 cm</v>
      </c>
      <c r="F183" s="25">
        <f>'Garagem 03'!E26</f>
        <v>1</v>
      </c>
      <c r="G183" s="25">
        <v>1</v>
      </c>
      <c r="H183" s="25">
        <v>0</v>
      </c>
      <c r="I183" s="25">
        <f t="shared" si="76"/>
        <v>1</v>
      </c>
      <c r="J183" s="25" t="str">
        <f>'Garagem 03'!F26</f>
        <v>pç</v>
      </c>
      <c r="K183" s="26">
        <f>_xlfn.XLOOKUP($E183,PREÇO!$C$7:$C$91,PREÇO!$E$7:$E$91)</f>
        <v>291.60000000000002</v>
      </c>
      <c r="L183" s="66">
        <f>IF(SUM(F183:K183)=0,SUMIFS($L184:$L$1593,$B184:$B$1593,$B183,$A184:$A$1593,$A183),I183*K183)</f>
        <v>291.60000000000002</v>
      </c>
      <c r="N183"/>
      <c r="O183"/>
      <c r="P183" s="28"/>
      <c r="Q183" s="28"/>
      <c r="R183" s="28"/>
    </row>
    <row r="184" spans="1:18" outlineLevel="1">
      <c r="A184" s="24" t="str">
        <f t="shared" si="90"/>
        <v>GERAL</v>
      </c>
      <c r="B184" s="24" t="str">
        <f t="shared" si="90"/>
        <v>4º PAV. - ESTAC. 03</v>
      </c>
      <c r="C184" s="24" t="s">
        <v>221</v>
      </c>
      <c r="D184" s="30" t="s">
        <v>46</v>
      </c>
      <c r="E184" s="30" t="str">
        <f>'Garagem 03'!C29&amp;" "&amp;'Garagem 03'!D29</f>
        <v>PVC Flexível Antichama - NBR 15465 ø1"</v>
      </c>
      <c r="F184" s="25">
        <f>'Garagem 03'!E29</f>
        <v>207.86</v>
      </c>
      <c r="G184" s="25">
        <v>1</v>
      </c>
      <c r="H184" s="25">
        <v>0</v>
      </c>
      <c r="I184" s="25">
        <f t="shared" ref="I184:I192" si="92">(F184+H184*F184)*G184</f>
        <v>207.86</v>
      </c>
      <c r="J184" s="25" t="str">
        <f>'Garagem 03'!F29</f>
        <v>m</v>
      </c>
      <c r="K184" s="26">
        <f>_xlfn.XLOOKUP($E184,PREÇO!$C$7:$C$91,PREÇO!$E$7:$E$91)</f>
        <v>2.5299999999999998</v>
      </c>
      <c r="L184" s="66">
        <f>IF(SUM(F184:K184)=0,SUMIFS($L185:$L$1593,$B185:$B$1593,$B184,$A185:$A$1593,$A184),I184*K184)</f>
        <v>525.88580000000002</v>
      </c>
      <c r="N184"/>
      <c r="O184"/>
      <c r="P184" s="28"/>
      <c r="Q184" s="28"/>
      <c r="R184" s="28"/>
    </row>
    <row r="185" spans="1:18" outlineLevel="1">
      <c r="A185" s="24" t="str">
        <f t="shared" si="90"/>
        <v>GERAL</v>
      </c>
      <c r="B185" s="24" t="str">
        <f t="shared" si="90"/>
        <v>4º PAV. - ESTAC. 03</v>
      </c>
      <c r="C185" s="30" t="s">
        <v>221</v>
      </c>
      <c r="D185" s="30" t="s">
        <v>46</v>
      </c>
      <c r="E185" s="30" t="str">
        <f>'Garagem 03'!C30&amp;" "&amp;'Garagem 03'!D30</f>
        <v>PVC Flexível Antichama - NBR 15465 ø3/4"</v>
      </c>
      <c r="F185" s="25">
        <f>'Garagem 03'!E30</f>
        <v>223.24</v>
      </c>
      <c r="G185" s="25">
        <v>1</v>
      </c>
      <c r="H185" s="25">
        <v>0</v>
      </c>
      <c r="I185" s="25">
        <f t="shared" si="92"/>
        <v>223.24</v>
      </c>
      <c r="J185" s="25" t="str">
        <f>'Garagem 03'!F30</f>
        <v>m</v>
      </c>
      <c r="K185" s="26">
        <f>_xlfn.XLOOKUP($E185,PREÇO!$C$7:$C$91,PREÇO!$E$7:$E$91)</f>
        <v>1.8</v>
      </c>
      <c r="L185" s="66">
        <f>IF(SUM(F185:K185)=0,SUMIFS($L186:$L$1593,$B186:$B$1593,$B185,$A186:$A$1593,$A185),I185*K185)</f>
        <v>401.83200000000005</v>
      </c>
      <c r="N185"/>
      <c r="O185"/>
      <c r="P185" s="28"/>
      <c r="Q185" s="28"/>
      <c r="R185" s="28"/>
    </row>
    <row r="186" spans="1:18" outlineLevel="1">
      <c r="A186" s="24" t="str">
        <f t="shared" si="90"/>
        <v>GERAL</v>
      </c>
      <c r="B186" s="24" t="str">
        <f t="shared" si="90"/>
        <v>4º PAV. - ESTAC. 03</v>
      </c>
      <c r="C186" s="30" t="s">
        <v>220</v>
      </c>
      <c r="D186" s="30" t="str">
        <f>'Garagem 03'!C33</f>
        <v>Luminárias e Placas de Saída</v>
      </c>
      <c r="E186" s="30" t="str">
        <f>'Garagem 03'!D33</f>
        <v>Luminária de Emergência 24V de Parede</v>
      </c>
      <c r="F186" s="25">
        <f>'Garagem 03'!E33</f>
        <v>3</v>
      </c>
      <c r="G186" s="25">
        <v>1</v>
      </c>
      <c r="H186" s="25">
        <v>0</v>
      </c>
      <c r="I186" s="25">
        <f t="shared" si="92"/>
        <v>3</v>
      </c>
      <c r="J186" s="25" t="str">
        <f>'Garagem 03'!F33</f>
        <v>pç</v>
      </c>
      <c r="K186" s="26">
        <f>_xlfn.XLOOKUP($E186,PREÇO!$C$7:$C$91,PREÇO!$E$7:$E$91)</f>
        <v>15.9</v>
      </c>
      <c r="L186" s="66">
        <f>IF(SUM(F186:K186)=0,SUMIFS($L187:$L$1593,$B187:$B$1593,$B186,$A187:$A$1593,$A186),I186*K186)</f>
        <v>47.7</v>
      </c>
      <c r="N186"/>
      <c r="O186"/>
      <c r="P186" s="28"/>
      <c r="Q186" s="28"/>
      <c r="R186" s="28"/>
    </row>
    <row r="187" spans="1:18" outlineLevel="1">
      <c r="A187" s="24" t="str">
        <f t="shared" si="90"/>
        <v>GERAL</v>
      </c>
      <c r="B187" s="24" t="str">
        <f t="shared" si="90"/>
        <v>4º PAV. - ESTAC. 03</v>
      </c>
      <c r="C187" s="30" t="s">
        <v>220</v>
      </c>
      <c r="D187" s="30" t="str">
        <f>'Garagem 03'!C34</f>
        <v>Luminárias e Placas de Saída</v>
      </c>
      <c r="E187" s="30" t="str">
        <f>'Garagem 03'!D34</f>
        <v>Luminária de Emergência 24V de Teto</v>
      </c>
      <c r="F187" s="25">
        <f>'Garagem 03'!E34</f>
        <v>67</v>
      </c>
      <c r="G187" s="25">
        <v>1</v>
      </c>
      <c r="H187" s="25">
        <v>0</v>
      </c>
      <c r="I187" s="25">
        <f t="shared" si="92"/>
        <v>67</v>
      </c>
      <c r="J187" s="25" t="str">
        <f>'Garagem 03'!F34</f>
        <v>pç</v>
      </c>
      <c r="K187" s="26">
        <f>_xlfn.XLOOKUP($E187,PREÇO!$C$7:$C$91,PREÇO!$E$7:$E$91)</f>
        <v>69.900000000000006</v>
      </c>
      <c r="L187" s="66">
        <f>IF(SUM(F187:K187)=0,SUMIFS($L188:$L$1593,$B188:$B$1593,$B187,$A188:$A$1593,$A187),I187*K187)</f>
        <v>4683.3</v>
      </c>
      <c r="N187"/>
      <c r="O187"/>
      <c r="P187" s="28"/>
      <c r="Q187" s="28"/>
      <c r="R187" s="28"/>
    </row>
    <row r="188" spans="1:18" outlineLevel="1">
      <c r="A188" s="24" t="str">
        <f t="shared" si="90"/>
        <v>GERAL</v>
      </c>
      <c r="B188" s="24" t="str">
        <f t="shared" si="90"/>
        <v>4º PAV. - ESTAC. 03</v>
      </c>
      <c r="C188" s="24" t="s">
        <v>222</v>
      </c>
      <c r="D188" s="30" t="str">
        <f>'Garagem 03'!C35</f>
        <v>Luminárias e Placas de Saída</v>
      </c>
      <c r="E188" s="30" t="str">
        <f>'Garagem 03'!D35</f>
        <v>Placa de Saída 24V de Parede sem Direção</v>
      </c>
      <c r="F188" s="25">
        <f>'Garagem 03'!E35</f>
        <v>4</v>
      </c>
      <c r="G188" s="25">
        <v>1</v>
      </c>
      <c r="H188" s="25">
        <v>0</v>
      </c>
      <c r="I188" s="25">
        <f t="shared" si="92"/>
        <v>4</v>
      </c>
      <c r="J188" s="25" t="str">
        <f>'Garagem 03'!F35</f>
        <v>pç</v>
      </c>
      <c r="K188" s="26">
        <f>_xlfn.XLOOKUP($E188,PREÇO!$C$7:$C$91,PREÇO!$E$7:$E$91)</f>
        <v>61.66</v>
      </c>
      <c r="L188" s="66">
        <f>IF(SUM(F188:K188)=0,SUMIFS($L189:$L$1593,$B189:$B$1593,$B188,$A189:$A$1593,$A188),I188*K188)</f>
        <v>246.64</v>
      </c>
      <c r="N188"/>
      <c r="O188"/>
      <c r="P188" s="28"/>
      <c r="Q188" s="28"/>
      <c r="R188" s="28"/>
    </row>
    <row r="189" spans="1:18" outlineLevel="1">
      <c r="A189" s="24" t="str">
        <f t="shared" si="90"/>
        <v>GERAL</v>
      </c>
      <c r="B189" s="24" t="str">
        <f t="shared" si="90"/>
        <v>4º PAV. - ESTAC. 03</v>
      </c>
      <c r="C189" s="24" t="s">
        <v>222</v>
      </c>
      <c r="D189" s="30" t="str">
        <f>'Garagem 03'!C36</f>
        <v>Luminárias e Placas de Saída</v>
      </c>
      <c r="E189" s="30" t="str">
        <f>'Garagem 03'!D36</f>
        <v>Placa de Saída Dupla Face 24V de Teto com Direção</v>
      </c>
      <c r="F189" s="25">
        <f>'Garagem 03'!E36</f>
        <v>18</v>
      </c>
      <c r="G189" s="25">
        <v>1</v>
      </c>
      <c r="H189" s="25">
        <v>0</v>
      </c>
      <c r="I189" s="25">
        <f t="shared" si="92"/>
        <v>18</v>
      </c>
      <c r="J189" s="25" t="str">
        <f>'Garagem 03'!F36</f>
        <v>pç</v>
      </c>
      <c r="K189" s="26">
        <f>_xlfn.XLOOKUP($E189,PREÇO!$C$7:$C$91,PREÇO!$E$7:$E$91)</f>
        <v>61.66</v>
      </c>
      <c r="L189" s="66">
        <f>IF(SUM(F189:K189)=0,SUMIFS($L191:$L$1593,$B191:$B$1593,$B189,$A191:$A$1593,$A189),I189*K189)</f>
        <v>1109.8799999999999</v>
      </c>
      <c r="N189"/>
      <c r="O189"/>
      <c r="P189" s="28"/>
      <c r="Q189" s="28"/>
      <c r="R189" s="28"/>
    </row>
    <row r="190" spans="1:18" outlineLevel="1">
      <c r="A190" s="116" t="str">
        <f>A188</f>
        <v>GERAL</v>
      </c>
      <c r="B190" s="116" t="s">
        <v>112</v>
      </c>
      <c r="C190" s="116" t="s">
        <v>222</v>
      </c>
      <c r="D190" s="116" t="s">
        <v>223</v>
      </c>
      <c r="E190" s="116" t="s">
        <v>224</v>
      </c>
      <c r="F190" s="117">
        <v>14</v>
      </c>
      <c r="G190" s="117">
        <v>1</v>
      </c>
      <c r="H190" s="118">
        <v>0</v>
      </c>
      <c r="I190" s="117">
        <f t="shared" si="92"/>
        <v>14</v>
      </c>
      <c r="J190" s="117" t="s">
        <v>11</v>
      </c>
      <c r="K190" s="119">
        <f>_xlfn.XLOOKUP($E190,PREÇO!$C$7:$C$91,PREÇO!$E$7:$E$91)</f>
        <v>646.55999999999995</v>
      </c>
      <c r="L190" s="120">
        <f>IF(SUM(F190:K190)=0,SUMIFS($L191:$L$1593,$B191:$B$1593,$B190,$A191:$A$1593,$A190),I190*K190)</f>
        <v>9051.84</v>
      </c>
      <c r="N190"/>
      <c r="O190"/>
      <c r="P190" s="28"/>
      <c r="Q190" s="28"/>
      <c r="R190" s="28"/>
    </row>
    <row r="191" spans="1:18" outlineLevel="1">
      <c r="A191" s="24" t="str">
        <f>A189</f>
        <v>GERAL</v>
      </c>
      <c r="B191" s="24" t="str">
        <f>B189</f>
        <v>4º PAV. - ESTAC. 03</v>
      </c>
      <c r="C191" s="30" t="s">
        <v>220</v>
      </c>
      <c r="D191" s="30" t="str">
        <f>'Garagem 03'!C37</f>
        <v>Sensores de Presença</v>
      </c>
      <c r="E191" s="30" t="str">
        <f>'Garagem 03'!D37</f>
        <v>Sensor de Presença 24V de teto</v>
      </c>
      <c r="F191" s="25">
        <f>'Garagem 03'!E37</f>
        <v>36</v>
      </c>
      <c r="G191" s="25">
        <v>1</v>
      </c>
      <c r="H191" s="25">
        <v>0</v>
      </c>
      <c r="I191" s="25">
        <f t="shared" si="92"/>
        <v>36</v>
      </c>
      <c r="J191" s="25" t="str">
        <f>'Garagem 03'!F37</f>
        <v>pç</v>
      </c>
      <c r="K191" s="26">
        <f>_xlfn.XLOOKUP($E191,PREÇO!$C$7:$C$91,PREÇO!$E$7:$E$91)</f>
        <v>38.4</v>
      </c>
      <c r="L191" s="66">
        <f>IF(SUM(F191:K191)=0,SUMIFS($L192:$L$1593,$B192:$B$1593,$B191,$A192:$A$1593,$A191),I191*K191)</f>
        <v>1382.3999999999999</v>
      </c>
      <c r="N191"/>
      <c r="O191"/>
      <c r="P191" s="28"/>
      <c r="Q191" s="28"/>
      <c r="R191" s="28"/>
    </row>
    <row r="192" spans="1:18" outlineLevel="1">
      <c r="A192" s="24" t="str">
        <f t="shared" ref="A192" si="93">A191</f>
        <v>GERAL</v>
      </c>
      <c r="B192" s="24" t="str">
        <f t="shared" ref="B192" si="94">B191</f>
        <v>4º PAV. - ESTAC. 03</v>
      </c>
      <c r="C192" s="30" t="s">
        <v>221</v>
      </c>
      <c r="D192" s="30" t="s">
        <v>87</v>
      </c>
      <c r="E192" s="30" t="str">
        <f>'Garagem 03'!C40&amp;" "&amp;'Garagem 03'!D40</f>
        <v>Isolação em PVC (70ºC) 1.5 mm² - Amarelo</v>
      </c>
      <c r="F192" s="25">
        <f>'Garagem 03'!E40</f>
        <v>1083.1600000000001</v>
      </c>
      <c r="G192" s="25">
        <v>1</v>
      </c>
      <c r="H192" s="25">
        <v>0</v>
      </c>
      <c r="I192" s="25">
        <f t="shared" si="92"/>
        <v>1083.1600000000001</v>
      </c>
      <c r="J192" s="25" t="str">
        <f>'Garagem 03'!F40</f>
        <v>m</v>
      </c>
      <c r="K192" s="26">
        <f>_xlfn.XLOOKUP($E192,PREÇO!$C$7:$C$91,PREÇO!$E$7:$E$91)</f>
        <v>1.59</v>
      </c>
      <c r="L192" s="66">
        <f>IF(SUM(F192:K192)=0,SUMIFS($L193:$L$1593,$B193:$B$1593,$B192,$A193:$A$1593,$A192),I192*K192)</f>
        <v>1722.2244000000003</v>
      </c>
      <c r="N192"/>
      <c r="O192"/>
      <c r="P192" s="28"/>
      <c r="Q192" s="28"/>
      <c r="R192" s="28"/>
    </row>
    <row r="193" spans="1:18" outlineLevel="1">
      <c r="A193" s="24" t="str">
        <f t="shared" ref="A193" si="95">A192</f>
        <v>GERAL</v>
      </c>
      <c r="B193" s="24" t="str">
        <f t="shared" ref="B193:B205" si="96">B192</f>
        <v>4º PAV. - ESTAC. 03</v>
      </c>
      <c r="C193" s="30" t="s">
        <v>221</v>
      </c>
      <c r="D193" s="30" t="s">
        <v>87</v>
      </c>
      <c r="E193" s="30" t="str">
        <f>'Garagem 03'!C41&amp;" "&amp;'Garagem 03'!D41</f>
        <v>Isolação em PVC (70ºC) 1.5 mm² - Preto</v>
      </c>
      <c r="F193" s="25">
        <f>'Garagem 03'!E41</f>
        <v>541.58000000000004</v>
      </c>
      <c r="G193" s="25">
        <v>1</v>
      </c>
      <c r="H193" s="25">
        <v>0</v>
      </c>
      <c r="I193" s="25">
        <f t="shared" ref="I193:I201" si="97">(F193+H193*F193)*G193</f>
        <v>541.58000000000004</v>
      </c>
      <c r="J193" s="25" t="str">
        <f>'Garagem 03'!F41</f>
        <v>m</v>
      </c>
      <c r="K193" s="26">
        <f>_xlfn.XLOOKUP($E193,PREÇO!$C$7:$C$91,PREÇO!$E$7:$E$91)</f>
        <v>1.59</v>
      </c>
      <c r="L193" s="66">
        <f>IF(SUM(F193:K193)=0,SUMIFS($L194:$L$1593,$B194:$B$1593,$B193,$A194:$A$1593,$A193),I193*K193)</f>
        <v>861.11220000000014</v>
      </c>
      <c r="N193"/>
      <c r="O193"/>
      <c r="P193" s="28"/>
      <c r="Q193" s="28"/>
      <c r="R193" s="28"/>
    </row>
    <row r="194" spans="1:18" outlineLevel="1">
      <c r="A194" s="24" t="str">
        <f t="shared" ref="A194" si="98">A193</f>
        <v>GERAL</v>
      </c>
      <c r="B194" s="24" t="str">
        <f t="shared" si="96"/>
        <v>4º PAV. - ESTAC. 03</v>
      </c>
      <c r="C194" s="30" t="s">
        <v>221</v>
      </c>
      <c r="D194" s="30" t="s">
        <v>87</v>
      </c>
      <c r="E194" s="30" t="str">
        <f>'Garagem 03'!C42&amp;" "&amp;'Garagem 03'!D42</f>
        <v>Isolação em PVC (70ºC) 1.5 mm² - Vermelho</v>
      </c>
      <c r="F194" s="25">
        <f>'Garagem 03'!E42</f>
        <v>541.58000000000004</v>
      </c>
      <c r="G194" s="25">
        <v>1</v>
      </c>
      <c r="H194" s="25">
        <v>0</v>
      </c>
      <c r="I194" s="25">
        <f t="shared" si="97"/>
        <v>541.58000000000004</v>
      </c>
      <c r="J194" s="25" t="str">
        <f>'Garagem 03'!F42</f>
        <v>m</v>
      </c>
      <c r="K194" s="26">
        <f>_xlfn.XLOOKUP($E194,PREÇO!$C$7:$C$91,PREÇO!$E$7:$E$91)</f>
        <v>1.59</v>
      </c>
      <c r="L194" s="66">
        <f>IF(SUM(F194:K194)=0,SUMIFS($L195:$L$1593,$B195:$B$1593,$B194,$A195:$A$1593,$A194),I194*K194)</f>
        <v>861.11220000000014</v>
      </c>
      <c r="N194"/>
      <c r="O194"/>
      <c r="P194" s="28"/>
      <c r="Q194" s="28"/>
      <c r="R194" s="28"/>
    </row>
    <row r="195" spans="1:18" outlineLevel="1">
      <c r="A195" s="24" t="str">
        <f t="shared" ref="A195" si="99">A194</f>
        <v>GERAL</v>
      </c>
      <c r="B195" s="24" t="str">
        <f t="shared" si="96"/>
        <v>4º PAV. - ESTAC. 03</v>
      </c>
      <c r="C195" s="30" t="s">
        <v>221</v>
      </c>
      <c r="D195" s="30" t="s">
        <v>87</v>
      </c>
      <c r="E195" s="30" t="str">
        <f>'Garagem 03'!C43&amp;" "&amp;'Garagem 03'!D43</f>
        <v>Isolação em PVC (70ºC) 2.5 mm² - Amarelo</v>
      </c>
      <c r="F195" s="25">
        <f>'Garagem 03'!E43</f>
        <v>22.04</v>
      </c>
      <c r="G195" s="25">
        <v>1</v>
      </c>
      <c r="H195" s="25">
        <v>0</v>
      </c>
      <c r="I195" s="25">
        <f t="shared" si="97"/>
        <v>22.04</v>
      </c>
      <c r="J195" s="25" t="str">
        <f>'Garagem 03'!F43</f>
        <v>m</v>
      </c>
      <c r="K195" s="26">
        <f>_xlfn.XLOOKUP($E195,PREÇO!$C$7:$C$91,PREÇO!$E$7:$E$91)</f>
        <v>2.19</v>
      </c>
      <c r="L195" s="66">
        <f>IF(SUM(F195:K195)=0,SUMIFS($L196:$L$1593,$B196:$B$1593,$B195,$A196:$A$1593,$A195),I195*K195)</f>
        <v>48.267599999999995</v>
      </c>
      <c r="N195"/>
      <c r="O195"/>
      <c r="P195" s="28"/>
      <c r="Q195" s="28"/>
      <c r="R195" s="28"/>
    </row>
    <row r="196" spans="1:18" outlineLevel="1">
      <c r="A196" s="24" t="str">
        <f t="shared" ref="A196" si="100">A195</f>
        <v>GERAL</v>
      </c>
      <c r="B196" s="24" t="str">
        <f t="shared" si="96"/>
        <v>4º PAV. - ESTAC. 03</v>
      </c>
      <c r="C196" s="30" t="s">
        <v>221</v>
      </c>
      <c r="D196" s="30" t="s">
        <v>87</v>
      </c>
      <c r="E196" s="30" t="str">
        <f>'Garagem 03'!C44&amp;" "&amp;'Garagem 03'!D44</f>
        <v>Isolação em PVC (70ºC) 2.5 mm² - Preto</v>
      </c>
      <c r="F196" s="25">
        <f>'Garagem 03'!E44</f>
        <v>153.85</v>
      </c>
      <c r="G196" s="25">
        <v>1</v>
      </c>
      <c r="H196" s="25">
        <v>0</v>
      </c>
      <c r="I196" s="25">
        <f t="shared" si="97"/>
        <v>153.85</v>
      </c>
      <c r="J196" s="25" t="str">
        <f>'Garagem 03'!F44</f>
        <v>m</v>
      </c>
      <c r="K196" s="26">
        <f>_xlfn.XLOOKUP($E196,PREÇO!$C$7:$C$91,PREÇO!$E$7:$E$91)</f>
        <v>2.19</v>
      </c>
      <c r="L196" s="66">
        <f>IF(SUM(F196:K196)=0,SUMIFS($L197:$L$1593,$B197:$B$1593,$B196,$A197:$A$1593,$A196),I196*K196)</f>
        <v>336.93149999999997</v>
      </c>
      <c r="N196"/>
      <c r="O196"/>
      <c r="P196" s="28"/>
      <c r="Q196" s="28"/>
      <c r="R196" s="28"/>
    </row>
    <row r="197" spans="1:18" outlineLevel="1">
      <c r="A197" s="24" t="str">
        <f t="shared" ref="A197" si="101">A196</f>
        <v>GERAL</v>
      </c>
      <c r="B197" s="24" t="str">
        <f t="shared" si="96"/>
        <v>4º PAV. - ESTAC. 03</v>
      </c>
      <c r="C197" s="30" t="s">
        <v>221</v>
      </c>
      <c r="D197" s="30" t="s">
        <v>87</v>
      </c>
      <c r="E197" s="30" t="str">
        <f>'Garagem 03'!C45&amp;" "&amp;'Garagem 03'!D45</f>
        <v>Isolação em PVC (70ºC) 2.5 mm² - Vermelho</v>
      </c>
      <c r="F197" s="25">
        <f>'Garagem 03'!E45</f>
        <v>153.85</v>
      </c>
      <c r="G197" s="25">
        <v>1</v>
      </c>
      <c r="H197" s="25">
        <v>0</v>
      </c>
      <c r="I197" s="25">
        <f t="shared" si="97"/>
        <v>153.85</v>
      </c>
      <c r="J197" s="25" t="str">
        <f>'Garagem 03'!F45</f>
        <v>m</v>
      </c>
      <c r="K197" s="26">
        <f>_xlfn.XLOOKUP($E197,PREÇO!$C$7:$C$91,PREÇO!$E$7:$E$91)</f>
        <v>2.19</v>
      </c>
      <c r="L197" s="66">
        <f>IF(SUM(F197:K197)=0,SUMIFS($L198:$L$1593,$B198:$B$1593,$B197,$A198:$A$1593,$A197),I197*K197)</f>
        <v>336.93149999999997</v>
      </c>
      <c r="N197"/>
      <c r="O197"/>
      <c r="P197" s="28"/>
      <c r="Q197" s="28"/>
      <c r="R197" s="28"/>
    </row>
    <row r="198" spans="1:18" outlineLevel="1">
      <c r="A198" s="24" t="str">
        <f t="shared" ref="A198" si="102">A197</f>
        <v>GERAL</v>
      </c>
      <c r="B198" s="24" t="str">
        <f t="shared" si="96"/>
        <v>4º PAV. - ESTAC. 03</v>
      </c>
      <c r="C198" s="30" t="s">
        <v>221</v>
      </c>
      <c r="D198" s="30" t="s">
        <v>87</v>
      </c>
      <c r="E198" s="30" t="str">
        <f>'Garagem 03'!C46&amp;" "&amp;'Garagem 03'!D46</f>
        <v>Isolação em PVC (70ºC) 4 mm² - Preto</v>
      </c>
      <c r="F198" s="25">
        <f>'Garagem 03'!E46</f>
        <v>445.37</v>
      </c>
      <c r="G198" s="25">
        <v>1</v>
      </c>
      <c r="H198" s="25">
        <v>0</v>
      </c>
      <c r="I198" s="25">
        <f t="shared" si="97"/>
        <v>445.37</v>
      </c>
      <c r="J198" s="25" t="str">
        <f>'Garagem 03'!F46</f>
        <v>m</v>
      </c>
      <c r="K198" s="26">
        <f>_xlfn.XLOOKUP($E198,PREÇO!$C$7:$C$91,PREÇO!$E$7:$E$91)</f>
        <v>3.89</v>
      </c>
      <c r="L198" s="66">
        <f>IF(SUM(F198:K198)=0,SUMIFS($L199:$L$1593,$B199:$B$1593,$B198,$A199:$A$1593,$A198),I198*K198)</f>
        <v>1732.4893000000002</v>
      </c>
      <c r="N198"/>
      <c r="O198"/>
      <c r="P198" s="28"/>
      <c r="Q198" s="28"/>
      <c r="R198" s="28"/>
    </row>
    <row r="199" spans="1:18" outlineLevel="1">
      <c r="A199" s="24" t="str">
        <f t="shared" ref="A199" si="103">A198</f>
        <v>GERAL</v>
      </c>
      <c r="B199" s="24" t="str">
        <f t="shared" si="96"/>
        <v>4º PAV. - ESTAC. 03</v>
      </c>
      <c r="C199" s="30" t="s">
        <v>221</v>
      </c>
      <c r="D199" s="30" t="s">
        <v>87</v>
      </c>
      <c r="E199" s="30" t="str">
        <f>'Garagem 03'!C47&amp;" "&amp;'Garagem 03'!D47</f>
        <v>Isolação em PVC (70ºC) 4 mm² - Vermelho</v>
      </c>
      <c r="F199" s="25">
        <f>'Garagem 03'!E47</f>
        <v>445.37</v>
      </c>
      <c r="G199" s="25">
        <v>1</v>
      </c>
      <c r="H199" s="25">
        <v>0</v>
      </c>
      <c r="I199" s="25">
        <f t="shared" si="97"/>
        <v>445.37</v>
      </c>
      <c r="J199" s="25" t="str">
        <f>'Garagem 03'!F47</f>
        <v>m</v>
      </c>
      <c r="K199" s="26">
        <f>_xlfn.XLOOKUP($E199,PREÇO!$C$7:$C$91,PREÇO!$E$7:$E$91)</f>
        <v>3.89</v>
      </c>
      <c r="L199" s="66">
        <f>IF(SUM(F199:K199)=0,SUMIFS($L200:$L$1593,$B200:$B$1593,$B199,$A200:$A$1593,$A199),I199*K199)</f>
        <v>1732.4893000000002</v>
      </c>
      <c r="N199"/>
      <c r="O199"/>
      <c r="P199" s="28"/>
      <c r="Q199" s="28"/>
      <c r="R199" s="28"/>
    </row>
    <row r="200" spans="1:18" outlineLevel="1">
      <c r="A200" s="24" t="str">
        <f t="shared" ref="A200" si="104">A199</f>
        <v>GERAL</v>
      </c>
      <c r="B200" s="24" t="str">
        <f t="shared" si="96"/>
        <v>4º PAV. - ESTAC. 03</v>
      </c>
      <c r="C200" s="30" t="s">
        <v>221</v>
      </c>
      <c r="D200" s="30" t="s">
        <v>87</v>
      </c>
      <c r="E200" s="30" t="str">
        <f>'Garagem 03'!C48&amp;" "&amp;'Garagem 03'!D48</f>
        <v>Isolação em PVC (70ºC) 6 mm² - Preto</v>
      </c>
      <c r="F200" s="25">
        <f>'Garagem 03'!E48</f>
        <v>323.41000000000003</v>
      </c>
      <c r="G200" s="25">
        <v>1</v>
      </c>
      <c r="H200" s="25">
        <v>0</v>
      </c>
      <c r="I200" s="25">
        <f t="shared" si="97"/>
        <v>323.41000000000003</v>
      </c>
      <c r="J200" s="25" t="str">
        <f>'Garagem 03'!F48</f>
        <v>m</v>
      </c>
      <c r="K200" s="26">
        <f>_xlfn.XLOOKUP($E200,PREÇO!$C$7:$C$91,PREÇO!$E$7:$E$91)</f>
        <v>5.79</v>
      </c>
      <c r="L200" s="66">
        <f>IF(SUM(F200:K200)=0,SUMIFS($L201:$L$1593,$B201:$B$1593,$B200,$A201:$A$1593,$A200),I200*K200)</f>
        <v>1872.5439000000001</v>
      </c>
      <c r="N200"/>
      <c r="O200"/>
      <c r="P200" s="28"/>
      <c r="Q200" s="28"/>
      <c r="R200" s="28"/>
    </row>
    <row r="201" spans="1:18" outlineLevel="1">
      <c r="A201" s="24" t="str">
        <f t="shared" ref="A201" si="105">A200</f>
        <v>GERAL</v>
      </c>
      <c r="B201" s="24" t="str">
        <f t="shared" si="96"/>
        <v>4º PAV. - ESTAC. 03</v>
      </c>
      <c r="C201" s="30" t="s">
        <v>221</v>
      </c>
      <c r="D201" s="30" t="s">
        <v>87</v>
      </c>
      <c r="E201" s="30" t="str">
        <f>'Garagem 03'!C49&amp;" "&amp;'Garagem 03'!D49</f>
        <v>Isolação em PVC (70ºC) 6 mm² - Vermelho</v>
      </c>
      <c r="F201" s="25">
        <f>'Garagem 03'!E49</f>
        <v>323.41000000000003</v>
      </c>
      <c r="G201" s="25">
        <v>1</v>
      </c>
      <c r="H201" s="25">
        <v>0</v>
      </c>
      <c r="I201" s="25">
        <f t="shared" si="97"/>
        <v>323.41000000000003</v>
      </c>
      <c r="J201" s="25" t="str">
        <f>'Garagem 03'!F49</f>
        <v>m</v>
      </c>
      <c r="K201" s="26">
        <f>_xlfn.XLOOKUP($E201,PREÇO!$C$7:$C$91,PREÇO!$E$7:$E$91)</f>
        <v>5.79</v>
      </c>
      <c r="L201" s="66">
        <f>IF(SUM(F201:K201)=0,SUMIFS($L202:$L$1593,$B202:$B$1593,$B201,$A202:$A$1593,$A201),I201*K201)</f>
        <v>1872.5439000000001</v>
      </c>
      <c r="N201"/>
      <c r="O201"/>
      <c r="P201" s="28"/>
      <c r="Q201" s="28"/>
      <c r="R201" s="28"/>
    </row>
    <row r="202" spans="1:18" outlineLevel="1">
      <c r="A202" s="24" t="str">
        <f t="shared" ref="A202" si="106">A201</f>
        <v>GERAL</v>
      </c>
      <c r="B202" s="24" t="str">
        <f t="shared" si="96"/>
        <v>4º PAV. - ESTAC. 03</v>
      </c>
      <c r="C202" s="30" t="s">
        <v>221</v>
      </c>
      <c r="D202" s="30" t="s">
        <v>46</v>
      </c>
      <c r="E202" s="30" t="str">
        <f>'Garagem 03'!C53&amp;" "&amp;'Garagem 03'!D53</f>
        <v>PVC Flexível Antichama - NBR 15465 ø1"</v>
      </c>
      <c r="F202" s="25">
        <f>'Garagem 03'!E53</f>
        <v>248.81</v>
      </c>
      <c r="G202" s="25">
        <v>1</v>
      </c>
      <c r="H202" s="25">
        <v>0</v>
      </c>
      <c r="I202" s="25">
        <f t="shared" ref="I202:I205" si="107">(F202+H202*F202)*G202</f>
        <v>248.81</v>
      </c>
      <c r="J202" s="25" t="str">
        <f>'Garagem 03'!F53</f>
        <v>m</v>
      </c>
      <c r="K202" s="26">
        <f>_xlfn.XLOOKUP($E202,PREÇO!$C$7:$C$91,PREÇO!$E$7:$E$91)</f>
        <v>2.5299999999999998</v>
      </c>
      <c r="L202" s="66">
        <f>IF(SUM(F202:K202)=0,SUMIFS($L203:$L$1593,$B203:$B$1593,$B202,$A203:$A$1593,$A202),I202*K202)</f>
        <v>629.48929999999996</v>
      </c>
      <c r="N202"/>
      <c r="O202"/>
      <c r="P202" s="28"/>
      <c r="Q202" s="28"/>
      <c r="R202" s="28"/>
    </row>
    <row r="203" spans="1:18" outlineLevel="1">
      <c r="A203" s="24" t="str">
        <f t="shared" ref="A203" si="108">A202</f>
        <v>GERAL</v>
      </c>
      <c r="B203" s="24" t="str">
        <f t="shared" si="96"/>
        <v>4º PAV. - ESTAC. 03</v>
      </c>
      <c r="C203" s="30" t="s">
        <v>221</v>
      </c>
      <c r="D203" s="30" t="s">
        <v>46</v>
      </c>
      <c r="E203" s="30" t="str">
        <f>'Garagem 03'!C54&amp;" "&amp;'Garagem 03'!D54</f>
        <v>PVC Flexível Antichama - NBR 15465 ø3/4"</v>
      </c>
      <c r="F203" s="25">
        <f>'Garagem 03'!E54</f>
        <v>1.1000000000000001</v>
      </c>
      <c r="G203" s="25">
        <v>1</v>
      </c>
      <c r="H203" s="25">
        <v>0</v>
      </c>
      <c r="I203" s="25">
        <f t="shared" si="107"/>
        <v>1.1000000000000001</v>
      </c>
      <c r="J203" s="25" t="str">
        <f>'Garagem 03'!F54</f>
        <v>m</v>
      </c>
      <c r="K203" s="26">
        <f>_xlfn.XLOOKUP($E203,PREÇO!$C$7:$C$91,PREÇO!$E$7:$E$91)</f>
        <v>1.8</v>
      </c>
      <c r="L203" s="66">
        <f>IF(SUM(F203:K203)=0,SUMIFS($L204:$L$1593,$B204:$B$1593,$B203,$A204:$A$1593,$A203),I203*K203)</f>
        <v>1.9800000000000002</v>
      </c>
      <c r="N203"/>
      <c r="O203"/>
      <c r="P203" s="28"/>
      <c r="Q203" s="28"/>
      <c r="R203" s="28"/>
    </row>
    <row r="204" spans="1:18" outlineLevel="1">
      <c r="A204" s="24" t="str">
        <f t="shared" ref="A204" si="109">A203</f>
        <v>GERAL</v>
      </c>
      <c r="B204" s="24" t="str">
        <f t="shared" si="96"/>
        <v>4º PAV. - ESTAC. 03</v>
      </c>
      <c r="C204" s="30" t="s">
        <v>221</v>
      </c>
      <c r="D204" s="30" t="s">
        <v>89</v>
      </c>
      <c r="E204" s="30" t="str">
        <f>'Garagem 03'!C57&amp;" "&amp;'Garagem 03'!D57</f>
        <v>Classe A - PVC Anti-chama - 105ºC - Isolação 600V 0.75 mm²</v>
      </c>
      <c r="F204" s="25">
        <f>'Garagem 03'!E57</f>
        <v>240.14</v>
      </c>
      <c r="G204" s="25">
        <v>1</v>
      </c>
      <c r="H204" s="25">
        <v>0</v>
      </c>
      <c r="I204" s="25">
        <f t="shared" si="107"/>
        <v>240.14</v>
      </c>
      <c r="J204" s="25" t="str">
        <f>'Garagem 03'!F57</f>
        <v>m</v>
      </c>
      <c r="K204" s="26">
        <f>_xlfn.XLOOKUP($E204,PREÇO!$C$7:$C$91,PREÇO!$E$7:$E$91)</f>
        <v>0.99</v>
      </c>
      <c r="L204" s="66">
        <f>IF(SUM(F204:K204)=0,SUMIFS($L205:$L$1593,$B205:$B$1593,$B204,$A205:$A$1593,$A204),I204*K204)</f>
        <v>237.73859999999999</v>
      </c>
      <c r="N204"/>
      <c r="O204"/>
      <c r="P204" s="28"/>
      <c r="Q204" s="28"/>
      <c r="R204" s="28"/>
    </row>
    <row r="205" spans="1:18" ht="15.75" outlineLevel="1" thickBot="1">
      <c r="A205" s="24" t="str">
        <f t="shared" ref="A205" si="110">A204</f>
        <v>GERAL</v>
      </c>
      <c r="B205" s="24" t="str">
        <f t="shared" si="96"/>
        <v>4º PAV. - ESTAC. 03</v>
      </c>
      <c r="C205" s="30" t="s">
        <v>221</v>
      </c>
      <c r="D205" s="30" t="s">
        <v>89</v>
      </c>
      <c r="E205" s="30" t="str">
        <f>'Garagem 03'!C58&amp;" "&amp;'Garagem 03'!D58</f>
        <v>Classe B - PVC Anti-chama - 105ºC - Isolação 600V 1.5 mm²</v>
      </c>
      <c r="F205" s="25">
        <f>'Garagem 03'!E58</f>
        <v>204.9</v>
      </c>
      <c r="G205" s="25">
        <v>1</v>
      </c>
      <c r="H205" s="25">
        <v>0</v>
      </c>
      <c r="I205" s="25">
        <f t="shared" si="107"/>
        <v>204.9</v>
      </c>
      <c r="J205" s="25" t="str">
        <f>'Garagem 03'!F58</f>
        <v>m</v>
      </c>
      <c r="K205" s="26">
        <f>_xlfn.XLOOKUP($E205,PREÇO!$C$7:$C$91,PREÇO!$E$7:$E$91)</f>
        <v>1.69</v>
      </c>
      <c r="L205" s="66">
        <f>IF(SUM(F205:K205)=0,SUMIFS($L206:$L$1593,$B206:$B$1593,$B205,$A206:$A$1593,$A205),I205*K205)</f>
        <v>346.28100000000001</v>
      </c>
      <c r="N205"/>
      <c r="O205"/>
      <c r="P205" s="28"/>
      <c r="Q205" s="28"/>
      <c r="R205" s="28"/>
    </row>
    <row r="206" spans="1:18" ht="15.75" thickTop="1">
      <c r="A206" s="42" t="s">
        <v>19</v>
      </c>
      <c r="B206" s="82" t="s">
        <v>114</v>
      </c>
      <c r="C206" s="43"/>
      <c r="D206" s="44"/>
      <c r="E206" s="44"/>
      <c r="F206" s="45"/>
      <c r="G206" s="45"/>
      <c r="H206" s="45"/>
      <c r="I206" s="45"/>
      <c r="J206" s="45"/>
      <c r="K206" s="47"/>
      <c r="L206" s="48">
        <f>IF(SUM(F206:K206)=0,SUMIFS($L207:$L$1593,$B207:$B$1593,$B206,$A207:$A$1593,$A206),I206*K206)</f>
        <v>26993.444100000001</v>
      </c>
      <c r="N206"/>
      <c r="O206"/>
      <c r="P206" s="28"/>
      <c r="Q206" s="28"/>
      <c r="R206" s="28"/>
    </row>
    <row r="207" spans="1:18" outlineLevel="1">
      <c r="A207" s="24" t="str">
        <f t="shared" ref="A207:A242" si="111">A206</f>
        <v>GERAL</v>
      </c>
      <c r="B207" s="24" t="str">
        <f t="shared" ref="B207:B242" si="112">B206</f>
        <v>5º PAV. - ESTAC. 04</v>
      </c>
      <c r="C207" s="24" t="s">
        <v>221</v>
      </c>
      <c r="D207" s="30" t="str">
        <f>'Garagem 04'!C6</f>
        <v>Acionadores</v>
      </c>
      <c r="E207" s="30" t="str">
        <f>'Garagem 04'!D6</f>
        <v>Acionador Manual de Alarme de Incêndio</v>
      </c>
      <c r="F207" s="25">
        <f>'Garagem 04'!E6</f>
        <v>7</v>
      </c>
      <c r="G207" s="25">
        <v>1</v>
      </c>
      <c r="H207" s="25">
        <v>0</v>
      </c>
      <c r="I207" s="25">
        <f t="shared" ref="I207:I211" si="113">(F207+H207*F207)*G207</f>
        <v>7</v>
      </c>
      <c r="J207" s="25" t="str">
        <f>'Garagem 04'!F6</f>
        <v>pç</v>
      </c>
      <c r="K207" s="26">
        <f>_xlfn.XLOOKUP($E207,PREÇO!$C$7:$C$91,PREÇO!$E$7:$E$91)</f>
        <v>65</v>
      </c>
      <c r="L207" s="66">
        <f>IF(SUM(F207:K207)=0,SUMIFS($L208:$L$1593,$B208:$B$1593,$B207,$A208:$A$1593,$A207),I207*K207)</f>
        <v>455</v>
      </c>
      <c r="N207"/>
      <c r="O207"/>
      <c r="P207" s="28"/>
      <c r="Q207" s="28"/>
      <c r="R207" s="28"/>
    </row>
    <row r="208" spans="1:18" outlineLevel="1">
      <c r="A208" s="24" t="str">
        <f t="shared" si="111"/>
        <v>GERAL</v>
      </c>
      <c r="B208" s="24" t="str">
        <f t="shared" si="112"/>
        <v>5º PAV. - ESTAC. 04</v>
      </c>
      <c r="C208" s="30" t="s">
        <v>221</v>
      </c>
      <c r="D208" s="30" t="str">
        <f>'Garagem 04'!C7</f>
        <v>Anunciadores</v>
      </c>
      <c r="E208" s="30" t="str">
        <f>'Garagem 04'!D7</f>
        <v>Anunciador Audiovisual de Alarme de Incêndio de Parede</v>
      </c>
      <c r="F208" s="25">
        <f>'Garagem 04'!E7</f>
        <v>7</v>
      </c>
      <c r="G208" s="25">
        <v>1</v>
      </c>
      <c r="H208" s="25">
        <v>0</v>
      </c>
      <c r="I208" s="25">
        <f t="shared" si="113"/>
        <v>7</v>
      </c>
      <c r="J208" s="25" t="str">
        <f>'Garagem 04'!F7</f>
        <v>pç</v>
      </c>
      <c r="K208" s="26">
        <f>_xlfn.XLOOKUP($E208,PREÇO!$C$7:$C$91,PREÇO!$E$7:$E$91)</f>
        <v>191.81</v>
      </c>
      <c r="L208" s="66">
        <f>IF(SUM(F208:K208)=0,SUMIFS($L209:$L$1593,$B209:$B$1593,$B208,$A209:$A$1593,$A208),I208*K208)</f>
        <v>1342.67</v>
      </c>
      <c r="N208"/>
      <c r="O208"/>
      <c r="P208" s="28"/>
      <c r="Q208" s="28"/>
      <c r="R208" s="28"/>
    </row>
    <row r="209" spans="1:18" outlineLevel="1">
      <c r="A209" s="24" t="str">
        <f t="shared" si="111"/>
        <v>GERAL</v>
      </c>
      <c r="B209" s="24" t="str">
        <f t="shared" si="112"/>
        <v>5º PAV. - ESTAC. 04</v>
      </c>
      <c r="C209" s="30" t="s">
        <v>221</v>
      </c>
      <c r="D209" s="30" t="str">
        <f>'Garagem 04'!C8</f>
        <v>Atuadores</v>
      </c>
      <c r="E209" s="30" t="str">
        <f>'Garagem 04'!D8</f>
        <v>Atuador Janela Desenfumagem</v>
      </c>
      <c r="F209" s="25">
        <f>'Garagem 04'!E8</f>
        <v>1</v>
      </c>
      <c r="G209" s="25">
        <v>1</v>
      </c>
      <c r="H209" s="25">
        <v>0</v>
      </c>
      <c r="I209" s="25">
        <f t="shared" si="113"/>
        <v>1</v>
      </c>
      <c r="J209" s="25" t="str">
        <f>'Garagem 04'!F8</f>
        <v>pç</v>
      </c>
      <c r="K209" s="26">
        <f>_xlfn.XLOOKUP($E209,PREÇO!$C$7:$C$91,PREÇO!$E$7:$E$91)</f>
        <v>1150</v>
      </c>
      <c r="L209" s="66">
        <f>IF(SUM(F209:K209)=0,SUMIFS($L210:$L$1593,$B210:$B$1593,$B209,$A210:$A$1593,$A209),I209*K209)</f>
        <v>1150</v>
      </c>
      <c r="N209"/>
      <c r="O209"/>
      <c r="P209" s="28"/>
      <c r="Q209" s="28"/>
      <c r="R209" s="28"/>
    </row>
    <row r="210" spans="1:18" outlineLevel="1">
      <c r="A210" s="24" t="str">
        <f t="shared" si="111"/>
        <v>GERAL</v>
      </c>
      <c r="B210" s="24" t="str">
        <f t="shared" si="112"/>
        <v>5º PAV. - ESTAC. 04</v>
      </c>
      <c r="C210" s="30" t="s">
        <v>221</v>
      </c>
      <c r="D210" s="30" t="str">
        <f>'Garagem 04'!C9</f>
        <v>Atuadores</v>
      </c>
      <c r="E210" s="30" t="str">
        <f>'Garagem 04'!D9</f>
        <v>Dispositivo Eletromagnético de Porta Aberta</v>
      </c>
      <c r="F210" s="25">
        <f>'Garagem 04'!E9</f>
        <v>1</v>
      </c>
      <c r="G210" s="25">
        <v>1</v>
      </c>
      <c r="H210" s="25">
        <v>0</v>
      </c>
      <c r="I210" s="25">
        <f t="shared" si="113"/>
        <v>1</v>
      </c>
      <c r="J210" s="25" t="str">
        <f>'Garagem 04'!F9</f>
        <v>pç</v>
      </c>
      <c r="K210" s="26">
        <f>_xlfn.XLOOKUP($E210,PREÇO!$C$7:$C$91,PREÇO!$E$7:$E$91)</f>
        <v>416.9</v>
      </c>
      <c r="L210" s="66">
        <f>IF(SUM(F210:K210)=0,SUMIFS($L211:$L$1593,$B211:$B$1593,$B210,$A211:$A$1593,$A210),I210*K210)</f>
        <v>416.9</v>
      </c>
      <c r="N210"/>
      <c r="O210"/>
      <c r="P210" s="28"/>
      <c r="Q210" s="28"/>
      <c r="R210" s="28"/>
    </row>
    <row r="211" spans="1:18" outlineLevel="1">
      <c r="A211" s="24" t="str">
        <f t="shared" si="111"/>
        <v>GERAL</v>
      </c>
      <c r="B211" s="24" t="str">
        <f t="shared" si="112"/>
        <v>5º PAV. - ESTAC. 04</v>
      </c>
      <c r="C211" s="30" t="s">
        <v>221</v>
      </c>
      <c r="D211" s="30" t="str">
        <f>'Garagem 04'!C10</f>
        <v>Sensores</v>
      </c>
      <c r="E211" s="30" t="str">
        <f>'Garagem 04'!D10</f>
        <v>Sensor de Fumaça</v>
      </c>
      <c r="F211" s="25">
        <f>'Garagem 04'!E10</f>
        <v>3</v>
      </c>
      <c r="G211" s="25">
        <v>1</v>
      </c>
      <c r="H211" s="25">
        <v>0</v>
      </c>
      <c r="I211" s="25">
        <f t="shared" si="113"/>
        <v>3</v>
      </c>
      <c r="J211" s="25" t="str">
        <f>'Garagem 04'!F10</f>
        <v>pç</v>
      </c>
      <c r="K211" s="26">
        <f>_xlfn.XLOOKUP($E211,PREÇO!$C$7:$C$91,PREÇO!$E$7:$E$91)</f>
        <v>53.9</v>
      </c>
      <c r="L211" s="66">
        <f>IF(SUM(F211:K211)=0,SUMIFS($L212:$L$1593,$B212:$B$1593,$B211,$A212:$A$1593,$A211),I211*K211)</f>
        <v>161.69999999999999</v>
      </c>
      <c r="N211"/>
      <c r="O211"/>
      <c r="P211" s="28"/>
      <c r="Q211" s="28"/>
      <c r="R211" s="28"/>
    </row>
    <row r="212" spans="1:18" outlineLevel="1">
      <c r="A212" s="24" t="str">
        <f t="shared" si="111"/>
        <v>GERAL</v>
      </c>
      <c r="B212" s="24" t="str">
        <f t="shared" si="112"/>
        <v>5º PAV. - ESTAC. 04</v>
      </c>
      <c r="C212" s="30" t="s">
        <v>221</v>
      </c>
      <c r="D212" s="30" t="str">
        <f>'Garagem 04'!C13</f>
        <v>Caixas</v>
      </c>
      <c r="E212" s="30" t="str">
        <f>'Garagem 04'!D13</f>
        <v>Caixa Octogonal Padrão NBR IEC 60670</v>
      </c>
      <c r="F212" s="25">
        <f>'Garagem 04'!E13</f>
        <v>125</v>
      </c>
      <c r="G212" s="25">
        <v>1</v>
      </c>
      <c r="H212" s="25">
        <v>0</v>
      </c>
      <c r="I212" s="25">
        <f t="shared" ref="I212:I239" si="114">(F212+H212*F212)*G212</f>
        <v>125</v>
      </c>
      <c r="J212" s="25" t="str">
        <f>'Garagem 04'!F13</f>
        <v>pç</v>
      </c>
      <c r="K212" s="26">
        <f>_xlfn.XLOOKUP($E212,PREÇO!$C$7:$C$91,PREÇO!$E$7:$E$91)</f>
        <v>5.32</v>
      </c>
      <c r="L212" s="66">
        <f>IF(SUM(F212:K212)=0,SUMIFS($L213:$L$1593,$B213:$B$1593,$B212,$A213:$A$1593,$A212),I212*K212)</f>
        <v>665</v>
      </c>
      <c r="N212"/>
      <c r="O212"/>
      <c r="P212" s="28"/>
      <c r="Q212" s="28"/>
      <c r="R212" s="28"/>
    </row>
    <row r="213" spans="1:18" outlineLevel="1">
      <c r="A213" s="24" t="str">
        <f t="shared" si="111"/>
        <v>GERAL</v>
      </c>
      <c r="B213" s="24" t="str">
        <f t="shared" si="112"/>
        <v>5º PAV. - ESTAC. 04</v>
      </c>
      <c r="C213" s="30" t="s">
        <v>221</v>
      </c>
      <c r="D213" s="30" t="str">
        <f>'Garagem 04'!C14</f>
        <v>Placas</v>
      </c>
      <c r="E213" s="30" t="str">
        <f>'Garagem 04'!D14</f>
        <v>Placa cega para caixa octogonal Padrão NBR IEC 60670</v>
      </c>
      <c r="F213" s="25">
        <f>'Garagem 04'!E14</f>
        <v>17</v>
      </c>
      <c r="G213" s="25">
        <v>1</v>
      </c>
      <c r="H213" s="25">
        <v>0</v>
      </c>
      <c r="I213" s="25">
        <f t="shared" si="114"/>
        <v>17</v>
      </c>
      <c r="J213" s="25" t="str">
        <f>'Garagem 04'!F14</f>
        <v>pç</v>
      </c>
      <c r="K213" s="26">
        <f>_xlfn.XLOOKUP($E213,PREÇO!$C$7:$C$91,PREÇO!$E$7:$E$91)</f>
        <v>2.5</v>
      </c>
      <c r="L213" s="66">
        <f>IF(SUM(F213:K213)=0,SUMIFS($L214:$L$1593,$B214:$B$1593,$B213,$A214:$A$1593,$A213),I213*K213)</f>
        <v>42.5</v>
      </c>
      <c r="N213"/>
      <c r="O213"/>
      <c r="P213" s="28"/>
      <c r="Q213" s="28"/>
      <c r="R213" s="28"/>
    </row>
    <row r="214" spans="1:18" outlineLevel="1">
      <c r="A214" s="24" t="str">
        <f t="shared" si="111"/>
        <v>GERAL</v>
      </c>
      <c r="B214" s="24" t="str">
        <f t="shared" si="112"/>
        <v>5º PAV. - ESTAC. 04</v>
      </c>
      <c r="C214" s="30" t="s">
        <v>221</v>
      </c>
      <c r="D214" s="30" t="str">
        <f>'Garagem 04'!C17</f>
        <v>Caixas</v>
      </c>
      <c r="E214" s="30" t="str">
        <f>'Garagem 04'!D17</f>
        <v>Caixa 4x2" de Embutir em PVC Padrão NBR IEC 60670</v>
      </c>
      <c r="F214" s="25">
        <f>'Garagem 04'!E17</f>
        <v>48</v>
      </c>
      <c r="G214" s="25">
        <v>1</v>
      </c>
      <c r="H214" s="25">
        <v>0</v>
      </c>
      <c r="I214" s="25">
        <f t="shared" si="114"/>
        <v>48</v>
      </c>
      <c r="J214" s="25" t="str">
        <f>'Garagem 04'!F17</f>
        <v>pç</v>
      </c>
      <c r="K214" s="26">
        <f>_xlfn.XLOOKUP($E214,PREÇO!$C$7:$C$91,PREÇO!$E$7:$E$91)</f>
        <v>1.72</v>
      </c>
      <c r="L214" s="66">
        <f>IF(SUM(F214:K214)=0,SUMIFS($L215:$L$1593,$B215:$B$1593,$B214,$A215:$A$1593,$A214),I214*K214)</f>
        <v>82.56</v>
      </c>
      <c r="N214"/>
      <c r="O214"/>
      <c r="P214" s="28"/>
      <c r="Q214" s="28"/>
      <c r="R214" s="28"/>
    </row>
    <row r="215" spans="1:18" outlineLevel="1">
      <c r="A215" s="24" t="str">
        <f t="shared" si="111"/>
        <v>GERAL</v>
      </c>
      <c r="B215" s="24" t="str">
        <f t="shared" si="112"/>
        <v>5º PAV. - ESTAC. 04</v>
      </c>
      <c r="C215" s="30" t="s">
        <v>221</v>
      </c>
      <c r="D215" s="30" t="str">
        <f>'Garagem 04'!C18</f>
        <v>Caixas</v>
      </c>
      <c r="E215" s="30" t="str">
        <f>'Garagem 04'!D18</f>
        <v>Caixa 4x4" de Embutir em PVC Padrão NBR IEC 60670</v>
      </c>
      <c r="F215" s="25">
        <f>'Garagem 04'!E18</f>
        <v>3</v>
      </c>
      <c r="G215" s="25">
        <v>1</v>
      </c>
      <c r="H215" s="25">
        <v>0</v>
      </c>
      <c r="I215" s="25">
        <f t="shared" si="114"/>
        <v>3</v>
      </c>
      <c r="J215" s="25" t="str">
        <f>'Garagem 04'!F18</f>
        <v>pç</v>
      </c>
      <c r="K215" s="26">
        <f>_xlfn.XLOOKUP($E215,PREÇO!$C$7:$C$91,PREÇO!$E$7:$E$91)</f>
        <v>1.72</v>
      </c>
      <c r="L215" s="66">
        <f>IF(SUM(F215:K215)=0,SUMIFS($L216:$L$1593,$B216:$B$1593,$B215,$A216:$A$1593,$A215),I215*K215)</f>
        <v>5.16</v>
      </c>
      <c r="N215"/>
      <c r="O215"/>
      <c r="P215" s="28"/>
      <c r="Q215" s="28"/>
      <c r="R215" s="28"/>
    </row>
    <row r="216" spans="1:18" outlineLevel="1">
      <c r="A216" s="24" t="str">
        <f t="shared" si="111"/>
        <v>GERAL</v>
      </c>
      <c r="B216" s="24" t="str">
        <f t="shared" si="112"/>
        <v>5º PAV. - ESTAC. 04</v>
      </c>
      <c r="C216" s="30" t="s">
        <v>221</v>
      </c>
      <c r="D216" s="30" t="str">
        <f>'Garagem 04'!C19</f>
        <v>Placas</v>
      </c>
      <c r="E216" s="30" t="str">
        <f>'Garagem 04'!D19</f>
        <v>Placa 4x2" cega Padrão NBR IEC 60670</v>
      </c>
      <c r="F216" s="25">
        <f>'Garagem 04'!E19</f>
        <v>7</v>
      </c>
      <c r="G216" s="25">
        <v>1</v>
      </c>
      <c r="H216" s="25">
        <v>0</v>
      </c>
      <c r="I216" s="25">
        <f t="shared" si="114"/>
        <v>7</v>
      </c>
      <c r="J216" s="25" t="str">
        <f>'Garagem 04'!F19</f>
        <v>pç</v>
      </c>
      <c r="K216" s="26">
        <f>_xlfn.XLOOKUP($E216,PREÇO!$C$7:$C$91,PREÇO!$E$7:$E$91)</f>
        <v>4.59</v>
      </c>
      <c r="L216" s="66">
        <f>IF(SUM(F216:K216)=0,SUMIFS($L217:$L$1593,$B217:$B$1593,$B216,$A217:$A$1593,$A216),I216*K216)</f>
        <v>32.129999999999995</v>
      </c>
      <c r="N216"/>
      <c r="O216"/>
      <c r="P216" s="28"/>
      <c r="Q216" s="28"/>
      <c r="R216" s="28"/>
    </row>
    <row r="217" spans="1:18" outlineLevel="1">
      <c r="A217" s="24" t="str">
        <f t="shared" si="111"/>
        <v>GERAL</v>
      </c>
      <c r="B217" s="24" t="str">
        <f t="shared" si="112"/>
        <v>5º PAV. - ESTAC. 04</v>
      </c>
      <c r="C217" s="30" t="s">
        <v>221</v>
      </c>
      <c r="D217" s="30" t="str">
        <f>'Garagem 04'!C20</f>
        <v>Placas</v>
      </c>
      <c r="E217" s="30" t="str">
        <f>'Garagem 04'!D20</f>
        <v>Placa 4x2" com furo para saída de cabos Padrão NBR IEC 60670</v>
      </c>
      <c r="F217" s="25">
        <f>'Garagem 04'!E20</f>
        <v>41</v>
      </c>
      <c r="G217" s="25">
        <v>1</v>
      </c>
      <c r="H217" s="25">
        <v>0</v>
      </c>
      <c r="I217" s="25">
        <f t="shared" si="114"/>
        <v>41</v>
      </c>
      <c r="J217" s="25" t="str">
        <f>'Garagem 04'!F20</f>
        <v>pç</v>
      </c>
      <c r="K217" s="26">
        <f>_xlfn.XLOOKUP($E217,PREÇO!$C$7:$C$91,PREÇO!$E$7:$E$91)</f>
        <v>6.55</v>
      </c>
      <c r="L217" s="66">
        <f>IF(SUM(F217:K217)=0,SUMIFS($L218:$L$1593,$B218:$B$1593,$B217,$A218:$A$1593,$A217),I217*K217)</f>
        <v>268.55</v>
      </c>
      <c r="N217"/>
      <c r="O217"/>
      <c r="P217" s="28"/>
      <c r="Q217" s="28"/>
      <c r="R217" s="28"/>
    </row>
    <row r="218" spans="1:18" outlineLevel="1">
      <c r="A218" s="24" t="str">
        <f t="shared" si="111"/>
        <v>GERAL</v>
      </c>
      <c r="B218" s="24" t="str">
        <f t="shared" si="112"/>
        <v>5º PAV. - ESTAC. 04</v>
      </c>
      <c r="C218" s="30" t="s">
        <v>221</v>
      </c>
      <c r="D218" s="30" t="str">
        <f>'Garagem 04'!C21</f>
        <v>Placas</v>
      </c>
      <c r="E218" s="30" t="str">
        <f>'Garagem 04'!D21</f>
        <v>Placa 4x4" cega Padrão NBR IEC 60670</v>
      </c>
      <c r="F218" s="25">
        <f>'Garagem 04'!E21</f>
        <v>3</v>
      </c>
      <c r="G218" s="25">
        <v>1</v>
      </c>
      <c r="H218" s="25">
        <v>0</v>
      </c>
      <c r="I218" s="25">
        <f t="shared" si="114"/>
        <v>3</v>
      </c>
      <c r="J218" s="25" t="str">
        <f>'Garagem 04'!F21</f>
        <v>pç</v>
      </c>
      <c r="K218" s="26">
        <f>_xlfn.XLOOKUP($E218,PREÇO!$C$7:$C$91,PREÇO!$E$7:$E$91)</f>
        <v>12.25</v>
      </c>
      <c r="L218" s="66">
        <f>IF(SUM(F218:K218)=0,SUMIFS($L219:$L$1593,$B219:$B$1593,$B218,$A219:$A$1593,$A218),I218*K218)</f>
        <v>36.75</v>
      </c>
      <c r="N218"/>
      <c r="O218"/>
      <c r="P218" s="28"/>
      <c r="Q218" s="28"/>
      <c r="R218" s="28"/>
    </row>
    <row r="219" spans="1:18" outlineLevel="1">
      <c r="A219" s="24" t="str">
        <f t="shared" si="111"/>
        <v>GERAL</v>
      </c>
      <c r="B219" s="24" t="str">
        <f t="shared" si="112"/>
        <v>5º PAV. - ESTAC. 04</v>
      </c>
      <c r="C219" s="30" t="s">
        <v>221</v>
      </c>
      <c r="D219" s="30" t="str">
        <f>'Garagem 04'!C22</f>
        <v>Suportes</v>
      </c>
      <c r="E219" s="30" t="str">
        <f>'Garagem 04'!D22</f>
        <v>Suporte p/ caixa 4x2" Padrão NBR IEC 60670</v>
      </c>
      <c r="F219" s="25">
        <f>'Garagem 04'!E22</f>
        <v>48</v>
      </c>
      <c r="G219" s="25">
        <v>1</v>
      </c>
      <c r="H219" s="25">
        <v>0</v>
      </c>
      <c r="I219" s="25">
        <f t="shared" si="114"/>
        <v>48</v>
      </c>
      <c r="J219" s="25" t="str">
        <f>'Garagem 04'!F22</f>
        <v>pç</v>
      </c>
      <c r="K219" s="26">
        <f>_xlfn.XLOOKUP($E219,PREÇO!$C$7:$C$91,PREÇO!$E$7:$E$91)</f>
        <v>1.85</v>
      </c>
      <c r="L219" s="66">
        <f>IF(SUM(F219:K219)=0,SUMIFS($L220:$L$1593,$B220:$B$1593,$B219,$A220:$A$1593,$A219),I219*K219)</f>
        <v>88.800000000000011</v>
      </c>
      <c r="N219"/>
      <c r="O219"/>
      <c r="P219" s="28"/>
      <c r="Q219" s="28"/>
      <c r="R219" s="28"/>
    </row>
    <row r="220" spans="1:18" outlineLevel="1">
      <c r="A220" s="24" t="str">
        <f t="shared" si="111"/>
        <v>GERAL</v>
      </c>
      <c r="B220" s="24" t="str">
        <f t="shared" si="112"/>
        <v>5º PAV. - ESTAC. 04</v>
      </c>
      <c r="C220" s="30" t="s">
        <v>221</v>
      </c>
      <c r="D220" s="30" t="str">
        <f>'Garagem 04'!C23</f>
        <v>Suportes</v>
      </c>
      <c r="E220" s="30" t="str">
        <f>'Garagem 04'!D23</f>
        <v>Suporte p/ caixa 4x4" Padrão NBR IEC 60670</v>
      </c>
      <c r="F220" s="25">
        <f>'Garagem 04'!E23</f>
        <v>3</v>
      </c>
      <c r="G220" s="25">
        <v>1</v>
      </c>
      <c r="H220" s="25">
        <v>0</v>
      </c>
      <c r="I220" s="25">
        <f t="shared" si="114"/>
        <v>3</v>
      </c>
      <c r="J220" s="25" t="str">
        <f>'Garagem 04'!F23</f>
        <v>pç</v>
      </c>
      <c r="K220" s="26">
        <f>_xlfn.XLOOKUP($E220,PREÇO!$C$7:$C$91,PREÇO!$E$7:$E$91)</f>
        <v>3.15</v>
      </c>
      <c r="L220" s="66">
        <f>IF(SUM(F220:K220)=0,SUMIFS($L221:$L$1593,$B221:$B$1593,$B220,$A221:$A$1593,$A220),I220*K220)</f>
        <v>9.4499999999999993</v>
      </c>
      <c r="N220"/>
      <c r="O220"/>
      <c r="P220" s="28"/>
      <c r="Q220" s="28"/>
      <c r="R220" s="28"/>
    </row>
    <row r="221" spans="1:18" outlineLevel="1">
      <c r="A221" s="24" t="str">
        <f t="shared" si="111"/>
        <v>GERAL</v>
      </c>
      <c r="B221" s="24" t="str">
        <f t="shared" si="112"/>
        <v>5º PAV. - ESTAC. 04</v>
      </c>
      <c r="C221" s="30" t="s">
        <v>221</v>
      </c>
      <c r="D221" s="30" t="str">
        <f>'Garagem 04'!C26</f>
        <v>Embutir</v>
      </c>
      <c r="E221" s="30" t="str">
        <f>'Garagem 04'!D26</f>
        <v>Cx de passagem de embutir com dimensão de 50x50x15 cm</v>
      </c>
      <c r="F221" s="25">
        <f>'Garagem 04'!E26</f>
        <v>2</v>
      </c>
      <c r="G221" s="25">
        <v>1</v>
      </c>
      <c r="H221" s="25">
        <v>0</v>
      </c>
      <c r="I221" s="25">
        <f t="shared" si="114"/>
        <v>2</v>
      </c>
      <c r="J221" s="25" t="str">
        <f>'Garagem 04'!F26</f>
        <v>pç</v>
      </c>
      <c r="K221" s="26">
        <f>_xlfn.XLOOKUP($E221,PREÇO!$C$7:$C$91,PREÇO!$E$7:$E$91)</f>
        <v>291.60000000000002</v>
      </c>
      <c r="L221" s="66">
        <f>IF(SUM(F221:K221)=0,SUMIFS($L222:$L$1593,$B222:$B$1593,$B221,$A222:$A$1593,$A221),I221*K221)</f>
        <v>583.20000000000005</v>
      </c>
      <c r="N221"/>
      <c r="O221"/>
      <c r="P221" s="28"/>
      <c r="Q221" s="28"/>
      <c r="R221" s="28"/>
    </row>
    <row r="222" spans="1:18" outlineLevel="1">
      <c r="A222" s="24" t="str">
        <f t="shared" si="111"/>
        <v>GERAL</v>
      </c>
      <c r="B222" s="24" t="str">
        <f t="shared" si="112"/>
        <v>5º PAV. - ESTAC. 04</v>
      </c>
      <c r="C222" s="30" t="s">
        <v>221</v>
      </c>
      <c r="D222" s="30" t="s">
        <v>46</v>
      </c>
      <c r="E222" s="30" t="str">
        <f>'Garagem 04'!C29&amp;" "&amp;'Garagem 04'!D29</f>
        <v>PVC Flexível Antichama - NBR 15465 ø1"</v>
      </c>
      <c r="F222" s="25">
        <f>'Garagem 04'!E29</f>
        <v>214.15</v>
      </c>
      <c r="G222" s="25">
        <v>1</v>
      </c>
      <c r="H222" s="25">
        <v>0</v>
      </c>
      <c r="I222" s="25">
        <f t="shared" si="114"/>
        <v>214.15</v>
      </c>
      <c r="J222" s="25" t="str">
        <f>'Garagem 04'!F29</f>
        <v>m</v>
      </c>
      <c r="K222" s="26">
        <f>_xlfn.XLOOKUP($E222,PREÇO!$C$7:$C$91,PREÇO!$E$7:$E$91)</f>
        <v>2.5299999999999998</v>
      </c>
      <c r="L222" s="66">
        <f>IF(SUM(F222:K222)=0,SUMIFS($L223:$L$1593,$B223:$B$1593,$B222,$A223:$A$1593,$A222),I222*K222)</f>
        <v>541.79949999999997</v>
      </c>
      <c r="N222"/>
      <c r="O222"/>
      <c r="P222" s="28"/>
      <c r="Q222" s="28"/>
      <c r="R222" s="28"/>
    </row>
    <row r="223" spans="1:18" outlineLevel="1">
      <c r="A223" s="24" t="str">
        <f t="shared" si="111"/>
        <v>GERAL</v>
      </c>
      <c r="B223" s="24" t="str">
        <f t="shared" si="112"/>
        <v>5º PAV. - ESTAC. 04</v>
      </c>
      <c r="C223" s="30" t="s">
        <v>221</v>
      </c>
      <c r="D223" s="30" t="s">
        <v>46</v>
      </c>
      <c r="E223" s="30" t="str">
        <f>'Garagem 04'!C30&amp;" "&amp;'Garagem 04'!D30</f>
        <v>PVC Flexível Antichama - NBR 15465 ø3/4"</v>
      </c>
      <c r="F223" s="25">
        <f>'Garagem 04'!E30</f>
        <v>219.4</v>
      </c>
      <c r="G223" s="25">
        <v>1</v>
      </c>
      <c r="H223" s="25">
        <v>0</v>
      </c>
      <c r="I223" s="25">
        <f t="shared" si="114"/>
        <v>219.4</v>
      </c>
      <c r="J223" s="25" t="str">
        <f>'Garagem 04'!F30</f>
        <v>m</v>
      </c>
      <c r="K223" s="26">
        <f>_xlfn.XLOOKUP($E223,PREÇO!$C$7:$C$91,PREÇO!$E$7:$E$91)</f>
        <v>1.8</v>
      </c>
      <c r="L223" s="66">
        <f>IF(SUM(F223:K223)=0,SUMIFS($L224:$L$1593,$B224:$B$1593,$B223,$A224:$A$1593,$A223),I223*K223)</f>
        <v>394.92</v>
      </c>
      <c r="N223"/>
      <c r="O223"/>
      <c r="P223" s="28"/>
      <c r="Q223" s="28"/>
      <c r="R223" s="28"/>
    </row>
    <row r="224" spans="1:18" outlineLevel="1">
      <c r="A224" s="24" t="str">
        <f t="shared" si="111"/>
        <v>GERAL</v>
      </c>
      <c r="B224" s="24" t="str">
        <f t="shared" si="112"/>
        <v>5º PAV. - ESTAC. 04</v>
      </c>
      <c r="C224" s="30" t="s">
        <v>220</v>
      </c>
      <c r="D224" s="30" t="str">
        <f>'Garagem 04'!C33</f>
        <v>Luminárias e Placas de Saída</v>
      </c>
      <c r="E224" s="30" t="str">
        <f>'Garagem 04'!D33</f>
        <v>Luminária de Emergência 24V de Parede</v>
      </c>
      <c r="F224" s="25">
        <f>'Garagem 04'!E33</f>
        <v>3</v>
      </c>
      <c r="G224" s="25">
        <v>1</v>
      </c>
      <c r="H224" s="25">
        <v>0</v>
      </c>
      <c r="I224" s="25">
        <f t="shared" si="114"/>
        <v>3</v>
      </c>
      <c r="J224" s="25" t="str">
        <f>'Garagem 04'!F33</f>
        <v>pç</v>
      </c>
      <c r="K224" s="26">
        <f>_xlfn.XLOOKUP($E224,PREÇO!$C$7:$C$91,PREÇO!$E$7:$E$91)</f>
        <v>15.9</v>
      </c>
      <c r="L224" s="66">
        <f>IF(SUM(F224:K224)=0,SUMIFS($L225:$L$1593,$B225:$B$1593,$B224,$A225:$A$1593,$A224),I224*K224)</f>
        <v>47.7</v>
      </c>
      <c r="N224"/>
      <c r="O224"/>
      <c r="P224" s="28"/>
      <c r="Q224" s="28"/>
      <c r="R224" s="28"/>
    </row>
    <row r="225" spans="1:18" outlineLevel="1">
      <c r="A225" s="24" t="str">
        <f t="shared" si="111"/>
        <v>GERAL</v>
      </c>
      <c r="B225" s="24" t="str">
        <f t="shared" si="112"/>
        <v>5º PAV. - ESTAC. 04</v>
      </c>
      <c r="C225" s="30" t="s">
        <v>220</v>
      </c>
      <c r="D225" s="30" t="str">
        <f>'Garagem 04'!C34</f>
        <v>Luminárias e Placas de Saída</v>
      </c>
      <c r="E225" s="30" t="str">
        <f>'Garagem 04'!D34</f>
        <v>Luminária de Emergência 24V de Teto</v>
      </c>
      <c r="F225" s="25">
        <f>'Garagem 04'!E34</f>
        <v>68</v>
      </c>
      <c r="G225" s="25">
        <v>1</v>
      </c>
      <c r="H225" s="25">
        <v>0</v>
      </c>
      <c r="I225" s="25">
        <f t="shared" si="114"/>
        <v>68</v>
      </c>
      <c r="J225" s="25" t="str">
        <f>'Garagem 04'!F34</f>
        <v>pç</v>
      </c>
      <c r="K225" s="26">
        <f>_xlfn.XLOOKUP($E225,PREÇO!$C$7:$C$91,PREÇO!$E$7:$E$91)</f>
        <v>69.900000000000006</v>
      </c>
      <c r="L225" s="66">
        <f>IF(SUM(F225:K225)=0,SUMIFS($L226:$L$1593,$B226:$B$1593,$B225,$A226:$A$1593,$A225),I225*K225)</f>
        <v>4753.2000000000007</v>
      </c>
      <c r="N225"/>
      <c r="O225"/>
      <c r="P225" s="28"/>
      <c r="Q225" s="28"/>
      <c r="R225" s="28"/>
    </row>
    <row r="226" spans="1:18" outlineLevel="1">
      <c r="A226" s="24" t="str">
        <f t="shared" si="111"/>
        <v>GERAL</v>
      </c>
      <c r="B226" s="24" t="str">
        <f t="shared" si="112"/>
        <v>5º PAV. - ESTAC. 04</v>
      </c>
      <c r="C226" s="24" t="s">
        <v>222</v>
      </c>
      <c r="D226" s="30" t="str">
        <f>'Garagem 04'!C35</f>
        <v>Luminárias e Placas de Saída</v>
      </c>
      <c r="E226" s="30" t="str">
        <f>'Garagem 04'!D35</f>
        <v>Placa de Saída 24V de Parede sem Direção</v>
      </c>
      <c r="F226" s="25">
        <f>'Garagem 04'!E35</f>
        <v>5</v>
      </c>
      <c r="G226" s="25">
        <v>1</v>
      </c>
      <c r="H226" s="25">
        <v>0</v>
      </c>
      <c r="I226" s="25">
        <f t="shared" si="114"/>
        <v>5</v>
      </c>
      <c r="J226" s="25" t="str">
        <f>'Garagem 04'!F35</f>
        <v>pç</v>
      </c>
      <c r="K226" s="26">
        <f>_xlfn.XLOOKUP($E226,PREÇO!$C$7:$C$91,PREÇO!$E$7:$E$91)</f>
        <v>61.66</v>
      </c>
      <c r="L226" s="66">
        <f>IF(SUM(F226:K226)=0,SUMIFS($L227:$L$1593,$B227:$B$1593,$B226,$A227:$A$1593,$A226),I226*K226)</f>
        <v>308.29999999999995</v>
      </c>
      <c r="N226"/>
      <c r="O226"/>
      <c r="P226" s="28"/>
      <c r="Q226" s="28"/>
      <c r="R226" s="28"/>
    </row>
    <row r="227" spans="1:18" outlineLevel="1">
      <c r="A227" s="24" t="str">
        <f t="shared" si="111"/>
        <v>GERAL</v>
      </c>
      <c r="B227" s="24" t="str">
        <f t="shared" si="112"/>
        <v>5º PAV. - ESTAC. 04</v>
      </c>
      <c r="C227" s="24" t="s">
        <v>222</v>
      </c>
      <c r="D227" s="30" t="str">
        <f>'Garagem 04'!C36</f>
        <v>Luminárias e Placas de Saída</v>
      </c>
      <c r="E227" s="30" t="str">
        <f>'Garagem 04'!D36</f>
        <v>Placa de Saída Dupla Face 24V de Teto com Direção</v>
      </c>
      <c r="F227" s="25">
        <f>'Garagem 04'!E36</f>
        <v>19</v>
      </c>
      <c r="G227" s="25">
        <v>1</v>
      </c>
      <c r="H227" s="25">
        <v>0</v>
      </c>
      <c r="I227" s="25">
        <f t="shared" si="114"/>
        <v>19</v>
      </c>
      <c r="J227" s="25" t="str">
        <f>'Garagem 04'!F36</f>
        <v>pç</v>
      </c>
      <c r="K227" s="26">
        <f>_xlfn.XLOOKUP($E227,PREÇO!$C$7:$C$91,PREÇO!$E$7:$E$91)</f>
        <v>61.66</v>
      </c>
      <c r="L227" s="66">
        <f>IF(SUM(F227:K227)=0,SUMIFS($L229:$L$1593,$B229:$B$1593,$B227,$A229:$A$1593,$A227),I227*K227)</f>
        <v>1171.54</v>
      </c>
      <c r="N227"/>
      <c r="O227"/>
      <c r="P227" s="28"/>
      <c r="Q227" s="28"/>
      <c r="R227" s="28"/>
    </row>
    <row r="228" spans="1:18" outlineLevel="1">
      <c r="A228" s="116" t="str">
        <f>A226</f>
        <v>GERAL</v>
      </c>
      <c r="B228" s="116" t="s">
        <v>112</v>
      </c>
      <c r="C228" s="116" t="s">
        <v>222</v>
      </c>
      <c r="D228" s="116" t="s">
        <v>223</v>
      </c>
      <c r="E228" s="116" t="s">
        <v>224</v>
      </c>
      <c r="F228" s="117">
        <v>14</v>
      </c>
      <c r="G228" s="117">
        <v>1</v>
      </c>
      <c r="H228" s="118">
        <v>0</v>
      </c>
      <c r="I228" s="117">
        <f t="shared" si="114"/>
        <v>14</v>
      </c>
      <c r="J228" s="117" t="s">
        <v>11</v>
      </c>
      <c r="K228" s="119">
        <f>_xlfn.XLOOKUP($E228,PREÇO!$C$7:$C$91,PREÇO!$E$7:$E$91)</f>
        <v>646.55999999999995</v>
      </c>
      <c r="L228" s="120">
        <f>IF(SUM(F228:K228)=0,SUMIFS($L229:$L$1593,$B229:$B$1593,$B228,$A229:$A$1593,$A228),I228*K228)</f>
        <v>9051.84</v>
      </c>
      <c r="N228"/>
      <c r="O228"/>
      <c r="P228" s="28"/>
      <c r="Q228" s="28"/>
      <c r="R228" s="28"/>
    </row>
    <row r="229" spans="1:18" outlineLevel="1">
      <c r="A229" s="24" t="str">
        <f>A227</f>
        <v>GERAL</v>
      </c>
      <c r="B229" s="24" t="str">
        <f>B227</f>
        <v>5º PAV. - ESTAC. 04</v>
      </c>
      <c r="C229" s="30" t="s">
        <v>220</v>
      </c>
      <c r="D229" s="30" t="str">
        <f>'Garagem 04'!C37</f>
        <v>Sensores de Presença</v>
      </c>
      <c r="E229" s="30" t="str">
        <f>'Garagem 04'!D37</f>
        <v>Sensor de Presença 24V de teto</v>
      </c>
      <c r="F229" s="25">
        <f>'Garagem 04'!E37</f>
        <v>37</v>
      </c>
      <c r="G229" s="25">
        <v>1</v>
      </c>
      <c r="H229" s="25">
        <v>0</v>
      </c>
      <c r="I229" s="25">
        <f t="shared" si="114"/>
        <v>37</v>
      </c>
      <c r="J229" s="25" t="str">
        <f>'Garagem 04'!F37</f>
        <v>pç</v>
      </c>
      <c r="K229" s="26">
        <f>_xlfn.XLOOKUP($E229,PREÇO!$C$7:$C$91,PREÇO!$E$7:$E$91)</f>
        <v>38.4</v>
      </c>
      <c r="L229" s="66">
        <f>IF(SUM(F229:K229)=0,SUMIFS($L230:$L$1593,$B230:$B$1593,$B229,$A230:$A$1593,$A229),I229*K229)</f>
        <v>1420.8</v>
      </c>
      <c r="N229"/>
      <c r="O229"/>
      <c r="P229" s="28"/>
      <c r="Q229" s="28"/>
      <c r="R229" s="28"/>
    </row>
    <row r="230" spans="1:18" outlineLevel="1">
      <c r="A230" s="24" t="str">
        <f t="shared" si="111"/>
        <v>GERAL</v>
      </c>
      <c r="B230" s="24" t="str">
        <f t="shared" si="112"/>
        <v>5º PAV. - ESTAC. 04</v>
      </c>
      <c r="C230" s="30" t="s">
        <v>221</v>
      </c>
      <c r="D230" s="83" t="s">
        <v>87</v>
      </c>
      <c r="E230" s="30" t="str">
        <f>'Garagem 04'!C40&amp;" "&amp;'Garagem 04'!D40</f>
        <v>Isolação em PVC (70ºC) 1.5 mm² - Amarelo</v>
      </c>
      <c r="F230" s="25">
        <f>'Garagem 04'!E40</f>
        <v>1122.32</v>
      </c>
      <c r="G230" s="25">
        <v>1</v>
      </c>
      <c r="H230" s="25">
        <v>0</v>
      </c>
      <c r="I230" s="25">
        <f t="shared" si="114"/>
        <v>1122.32</v>
      </c>
      <c r="J230" s="25" t="str">
        <f>'Garagem 04'!F40</f>
        <v>m</v>
      </c>
      <c r="K230" s="26">
        <f>_xlfn.XLOOKUP($E230,PREÇO!$C$7:$C$91,PREÇO!$E$7:$E$91)</f>
        <v>1.59</v>
      </c>
      <c r="L230" s="66">
        <f>IF(SUM(F230:K230)=0,SUMIFS($L231:$L$1593,$B231:$B$1593,$B230,$A231:$A$1593,$A230),I230*K230)</f>
        <v>1784.4888000000001</v>
      </c>
      <c r="N230"/>
      <c r="O230"/>
      <c r="P230" s="28"/>
      <c r="Q230" s="28"/>
      <c r="R230" s="28"/>
    </row>
    <row r="231" spans="1:18" outlineLevel="1">
      <c r="A231" s="24" t="str">
        <f t="shared" si="111"/>
        <v>GERAL</v>
      </c>
      <c r="B231" s="24" t="str">
        <f t="shared" si="112"/>
        <v>5º PAV. - ESTAC. 04</v>
      </c>
      <c r="C231" s="30" t="s">
        <v>221</v>
      </c>
      <c r="D231" s="83" t="s">
        <v>87</v>
      </c>
      <c r="E231" s="30" t="str">
        <f>'Garagem 04'!C41&amp;" "&amp;'Garagem 04'!D41</f>
        <v>Isolação em PVC (70ºC) 1.5 mm² - Preto</v>
      </c>
      <c r="F231" s="25">
        <f>'Garagem 04'!E41</f>
        <v>561.16</v>
      </c>
      <c r="G231" s="25">
        <v>1</v>
      </c>
      <c r="H231" s="25">
        <v>0</v>
      </c>
      <c r="I231" s="25">
        <f t="shared" si="114"/>
        <v>561.16</v>
      </c>
      <c r="J231" s="25" t="str">
        <f>'Garagem 04'!F41</f>
        <v>m</v>
      </c>
      <c r="K231" s="26">
        <f>_xlfn.XLOOKUP($E231,PREÇO!$C$7:$C$91,PREÇO!$E$7:$E$91)</f>
        <v>1.59</v>
      </c>
      <c r="L231" s="66">
        <f>IF(SUM(F231:K231)=0,SUMIFS($L232:$L$1593,$B232:$B$1593,$B231,$A232:$A$1593,$A231),I231*K231)</f>
        <v>892.24440000000004</v>
      </c>
      <c r="N231"/>
      <c r="O231"/>
      <c r="P231" s="28"/>
      <c r="Q231" s="28"/>
      <c r="R231" s="28"/>
    </row>
    <row r="232" spans="1:18" outlineLevel="1">
      <c r="A232" s="24" t="str">
        <f t="shared" si="111"/>
        <v>GERAL</v>
      </c>
      <c r="B232" s="24" t="str">
        <f t="shared" si="112"/>
        <v>5º PAV. - ESTAC. 04</v>
      </c>
      <c r="C232" s="30" t="s">
        <v>221</v>
      </c>
      <c r="D232" s="83" t="s">
        <v>87</v>
      </c>
      <c r="E232" s="30" t="str">
        <f>'Garagem 04'!C42&amp;" "&amp;'Garagem 04'!D42</f>
        <v>Isolação em PVC (70ºC) 1.5 mm² - Vermelho</v>
      </c>
      <c r="F232" s="25">
        <f>'Garagem 04'!E42</f>
        <v>561.16</v>
      </c>
      <c r="G232" s="25">
        <v>1</v>
      </c>
      <c r="H232" s="25">
        <v>0</v>
      </c>
      <c r="I232" s="25">
        <f t="shared" si="114"/>
        <v>561.16</v>
      </c>
      <c r="J232" s="25" t="str">
        <f>'Garagem 04'!F42</f>
        <v>m</v>
      </c>
      <c r="K232" s="26">
        <f>_xlfn.XLOOKUP($E232,PREÇO!$C$7:$C$91,PREÇO!$E$7:$E$91)</f>
        <v>1.59</v>
      </c>
      <c r="L232" s="66">
        <f>IF(SUM(F232:K232)=0,SUMIFS($L233:$L$1593,$B233:$B$1593,$B232,$A233:$A$1593,$A232),I232*K232)</f>
        <v>892.24440000000004</v>
      </c>
      <c r="N232"/>
      <c r="O232"/>
      <c r="P232" s="28"/>
      <c r="Q232" s="28"/>
      <c r="R232" s="28"/>
    </row>
    <row r="233" spans="1:18" outlineLevel="1">
      <c r="A233" s="24" t="str">
        <f t="shared" si="111"/>
        <v>GERAL</v>
      </c>
      <c r="B233" s="24" t="str">
        <f t="shared" si="112"/>
        <v>5º PAV. - ESTAC. 04</v>
      </c>
      <c r="C233" s="30" t="s">
        <v>221</v>
      </c>
      <c r="D233" s="83" t="s">
        <v>87</v>
      </c>
      <c r="E233" s="30" t="str">
        <f>'Garagem 04'!C43&amp;" "&amp;'Garagem 04'!D43</f>
        <v>Isolação em PVC (70ºC) 2.5 mm² - Amarelo</v>
      </c>
      <c r="F233" s="25">
        <f>'Garagem 04'!E43</f>
        <v>22.04</v>
      </c>
      <c r="G233" s="25">
        <v>1</v>
      </c>
      <c r="H233" s="25">
        <v>0</v>
      </c>
      <c r="I233" s="25">
        <f t="shared" si="114"/>
        <v>22.04</v>
      </c>
      <c r="J233" s="25" t="str">
        <f>'Garagem 04'!F43</f>
        <v>m</v>
      </c>
      <c r="K233" s="26">
        <f>_xlfn.XLOOKUP($E233,PREÇO!$C$7:$C$91,PREÇO!$E$7:$E$91)</f>
        <v>2.19</v>
      </c>
      <c r="L233" s="66">
        <f>IF(SUM(F233:K233)=0,SUMIFS($L234:$L$1593,$B234:$B$1593,$B233,$A234:$A$1593,$A233),I233*K233)</f>
        <v>48.267599999999995</v>
      </c>
      <c r="N233"/>
      <c r="O233"/>
      <c r="P233" s="28"/>
      <c r="Q233" s="28"/>
      <c r="R233" s="28"/>
    </row>
    <row r="234" spans="1:18" outlineLevel="1">
      <c r="A234" s="24" t="str">
        <f t="shared" si="111"/>
        <v>GERAL</v>
      </c>
      <c r="B234" s="24" t="str">
        <f t="shared" si="112"/>
        <v>5º PAV. - ESTAC. 04</v>
      </c>
      <c r="C234" s="30" t="s">
        <v>221</v>
      </c>
      <c r="D234" s="83" t="s">
        <v>87</v>
      </c>
      <c r="E234" s="30" t="str">
        <f>'Garagem 04'!C44&amp;" "&amp;'Garagem 04'!D44</f>
        <v>Isolação em PVC (70ºC) 2.5 mm² - Preto</v>
      </c>
      <c r="F234" s="25">
        <f>'Garagem 04'!E44</f>
        <v>180.53</v>
      </c>
      <c r="G234" s="25">
        <v>1</v>
      </c>
      <c r="H234" s="25">
        <v>0</v>
      </c>
      <c r="I234" s="25">
        <f t="shared" si="114"/>
        <v>180.53</v>
      </c>
      <c r="J234" s="25" t="str">
        <f>'Garagem 04'!F44</f>
        <v>m</v>
      </c>
      <c r="K234" s="26">
        <f>_xlfn.XLOOKUP($E234,PREÇO!$C$7:$C$91,PREÇO!$E$7:$E$91)</f>
        <v>2.19</v>
      </c>
      <c r="L234" s="66">
        <f>IF(SUM(F234:K234)=0,SUMIFS($L235:$L$1593,$B235:$B$1593,$B234,$A235:$A$1593,$A234),I234*K234)</f>
        <v>395.36070000000001</v>
      </c>
      <c r="N234"/>
      <c r="O234"/>
      <c r="P234" s="28"/>
      <c r="Q234" s="28"/>
      <c r="R234" s="28"/>
    </row>
    <row r="235" spans="1:18" outlineLevel="1">
      <c r="A235" s="24" t="str">
        <f t="shared" si="111"/>
        <v>GERAL</v>
      </c>
      <c r="B235" s="24" t="str">
        <f t="shared" si="112"/>
        <v>5º PAV. - ESTAC. 04</v>
      </c>
      <c r="C235" s="30" t="s">
        <v>221</v>
      </c>
      <c r="D235" s="83" t="s">
        <v>87</v>
      </c>
      <c r="E235" s="30" t="str">
        <f>'Garagem 04'!C45&amp;" "&amp;'Garagem 04'!D45</f>
        <v>Isolação em PVC (70ºC) 2.5 mm² - Vermelho</v>
      </c>
      <c r="F235" s="25">
        <f>'Garagem 04'!E45</f>
        <v>180.53</v>
      </c>
      <c r="G235" s="25">
        <v>1</v>
      </c>
      <c r="H235" s="25">
        <v>0</v>
      </c>
      <c r="I235" s="25">
        <f t="shared" si="114"/>
        <v>180.53</v>
      </c>
      <c r="J235" s="25" t="str">
        <f>'Garagem 04'!F45</f>
        <v>m</v>
      </c>
      <c r="K235" s="26">
        <f>_xlfn.XLOOKUP($E235,PREÇO!$C$7:$C$91,PREÇO!$E$7:$E$91)</f>
        <v>2.19</v>
      </c>
      <c r="L235" s="66">
        <f>IF(SUM(F235:K235)=0,SUMIFS($L236:$L$1593,$B236:$B$1593,$B235,$A236:$A$1593,$A235),I235*K235)</f>
        <v>395.36070000000001</v>
      </c>
      <c r="N235"/>
      <c r="O235"/>
      <c r="P235" s="28"/>
      <c r="Q235" s="28"/>
      <c r="R235" s="28"/>
    </row>
    <row r="236" spans="1:18" outlineLevel="1">
      <c r="A236" s="24" t="str">
        <f t="shared" si="111"/>
        <v>GERAL</v>
      </c>
      <c r="B236" s="24" t="str">
        <f t="shared" si="112"/>
        <v>5º PAV. - ESTAC. 04</v>
      </c>
      <c r="C236" s="30" t="s">
        <v>221</v>
      </c>
      <c r="D236" s="83" t="s">
        <v>87</v>
      </c>
      <c r="E236" s="30" t="str">
        <f>'Garagem 04'!C46&amp;" "&amp;'Garagem 04'!D46</f>
        <v>Isolação em PVC (70ºC) 4 mm² - Preto</v>
      </c>
      <c r="F236" s="25">
        <f>'Garagem 04'!E46</f>
        <v>470.69</v>
      </c>
      <c r="G236" s="25">
        <v>1</v>
      </c>
      <c r="H236" s="25">
        <v>0</v>
      </c>
      <c r="I236" s="25">
        <f t="shared" si="114"/>
        <v>470.69</v>
      </c>
      <c r="J236" s="25" t="str">
        <f>'Garagem 04'!F46</f>
        <v>m</v>
      </c>
      <c r="K236" s="26">
        <f>_xlfn.XLOOKUP($E236,PREÇO!$C$7:$C$91,PREÇO!$E$7:$E$91)</f>
        <v>3.89</v>
      </c>
      <c r="L236" s="66">
        <f>IF(SUM(F236:K236)=0,SUMIFS($L237:$L$1593,$B237:$B$1593,$B236,$A237:$A$1593,$A236),I236*K236)</f>
        <v>1830.9841000000001</v>
      </c>
      <c r="N236"/>
      <c r="O236"/>
      <c r="P236" s="28"/>
      <c r="Q236" s="28"/>
      <c r="R236" s="28"/>
    </row>
    <row r="237" spans="1:18" outlineLevel="1">
      <c r="A237" s="24" t="str">
        <f t="shared" si="111"/>
        <v>GERAL</v>
      </c>
      <c r="B237" s="24" t="str">
        <f t="shared" si="112"/>
        <v>5º PAV. - ESTAC. 04</v>
      </c>
      <c r="C237" s="30" t="s">
        <v>221</v>
      </c>
      <c r="D237" s="83" t="s">
        <v>87</v>
      </c>
      <c r="E237" s="30" t="str">
        <f>'Garagem 04'!C47&amp;" "&amp;'Garagem 04'!D47</f>
        <v>Isolação em PVC (70ºC) 4 mm² - Vermelho</v>
      </c>
      <c r="F237" s="25">
        <f>'Garagem 04'!E47</f>
        <v>470.69</v>
      </c>
      <c r="G237" s="25">
        <v>1</v>
      </c>
      <c r="H237" s="25">
        <v>0</v>
      </c>
      <c r="I237" s="25">
        <f t="shared" si="114"/>
        <v>470.69</v>
      </c>
      <c r="J237" s="25" t="str">
        <f>'Garagem 04'!F47</f>
        <v>m</v>
      </c>
      <c r="K237" s="26">
        <f>_xlfn.XLOOKUP($E237,PREÇO!$C$7:$C$91,PREÇO!$E$7:$E$91)</f>
        <v>3.89</v>
      </c>
      <c r="L237" s="66">
        <f>IF(SUM(F237:K237)=0,SUMIFS($L238:$L$1593,$B238:$B$1593,$B237,$A238:$A$1593,$A237),I237*K237)</f>
        <v>1830.9841000000001</v>
      </c>
      <c r="N237"/>
      <c r="O237"/>
      <c r="P237" s="28"/>
      <c r="Q237" s="28"/>
      <c r="R237" s="28"/>
    </row>
    <row r="238" spans="1:18" outlineLevel="1">
      <c r="A238" s="24" t="str">
        <f t="shared" si="111"/>
        <v>GERAL</v>
      </c>
      <c r="B238" s="24" t="str">
        <f t="shared" si="112"/>
        <v>5º PAV. - ESTAC. 04</v>
      </c>
      <c r="C238" s="30" t="s">
        <v>221</v>
      </c>
      <c r="D238" s="83" t="s">
        <v>87</v>
      </c>
      <c r="E238" s="30" t="str">
        <f>'Garagem 04'!C48&amp;" "&amp;'Garagem 04'!D48</f>
        <v>Isolação em PVC (70ºC) 6 mm² - Preto</v>
      </c>
      <c r="F238" s="25">
        <f>'Garagem 04'!E48</f>
        <v>318.11</v>
      </c>
      <c r="G238" s="25">
        <v>1</v>
      </c>
      <c r="H238" s="25">
        <v>0</v>
      </c>
      <c r="I238" s="25">
        <f t="shared" si="114"/>
        <v>318.11</v>
      </c>
      <c r="J238" s="25" t="str">
        <f>'Garagem 04'!F48</f>
        <v>m</v>
      </c>
      <c r="K238" s="26">
        <f>_xlfn.XLOOKUP($E238,PREÇO!$C$7:$C$91,PREÇO!$E$7:$E$91)</f>
        <v>5.79</v>
      </c>
      <c r="L238" s="66">
        <f>IF(SUM(F238:K238)=0,SUMIFS($L239:$L$1593,$B239:$B$1593,$B238,$A239:$A$1593,$A238),I238*K238)</f>
        <v>1841.8569</v>
      </c>
      <c r="N238"/>
      <c r="O238"/>
      <c r="P238" s="28"/>
      <c r="Q238" s="28"/>
      <c r="R238" s="28"/>
    </row>
    <row r="239" spans="1:18" outlineLevel="1">
      <c r="A239" s="24" t="str">
        <f t="shared" si="111"/>
        <v>GERAL</v>
      </c>
      <c r="B239" s="24" t="str">
        <f t="shared" si="112"/>
        <v>5º PAV. - ESTAC. 04</v>
      </c>
      <c r="C239" s="30" t="s">
        <v>221</v>
      </c>
      <c r="D239" s="83" t="s">
        <v>87</v>
      </c>
      <c r="E239" s="30" t="str">
        <f>'Garagem 04'!C49&amp;" "&amp;'Garagem 04'!D49</f>
        <v>Isolação em PVC (70ºC) 6 mm² - Vermelho</v>
      </c>
      <c r="F239" s="25">
        <f>'Garagem 04'!E49</f>
        <v>318.11</v>
      </c>
      <c r="G239" s="25">
        <v>1</v>
      </c>
      <c r="H239" s="25">
        <v>0</v>
      </c>
      <c r="I239" s="25">
        <f t="shared" si="114"/>
        <v>318.11</v>
      </c>
      <c r="J239" s="25" t="str">
        <f>'Garagem 04'!F49</f>
        <v>m</v>
      </c>
      <c r="K239" s="26">
        <f>_xlfn.XLOOKUP($E239,PREÇO!$C$7:$C$91,PREÇO!$E$7:$E$91)</f>
        <v>5.79</v>
      </c>
      <c r="L239" s="66">
        <f>IF(SUM(F239:K239)=0,SUMIFS($L240:$L$1593,$B240:$B$1593,$B239,$A240:$A$1593,$A239),I239*K239)</f>
        <v>1841.8569</v>
      </c>
      <c r="N239"/>
      <c r="O239"/>
      <c r="P239" s="28"/>
      <c r="Q239" s="28"/>
      <c r="R239" s="28"/>
    </row>
    <row r="240" spans="1:18" outlineLevel="1">
      <c r="A240" s="24" t="str">
        <f t="shared" si="111"/>
        <v>GERAL</v>
      </c>
      <c r="B240" s="24" t="str">
        <f t="shared" si="112"/>
        <v>5º PAV. - ESTAC. 04</v>
      </c>
      <c r="C240" s="24" t="s">
        <v>221</v>
      </c>
      <c r="D240" s="30" t="s">
        <v>46</v>
      </c>
      <c r="E240" s="30" t="str">
        <f>'Garagem 04'!C53&amp;" "&amp;'Garagem 04'!D53</f>
        <v>PVC Flexível Antichama - NBR 15465 ø1"</v>
      </c>
      <c r="F240" s="25">
        <f>'Garagem 04'!E53</f>
        <v>262.98</v>
      </c>
      <c r="G240" s="25">
        <v>1</v>
      </c>
      <c r="H240" s="25">
        <v>0</v>
      </c>
      <c r="I240" s="25">
        <f t="shared" ref="I240:I242" si="115">(F240+H240*F240)*G240</f>
        <v>262.98</v>
      </c>
      <c r="J240" s="25" t="str">
        <f>'Garagem 04'!F53</f>
        <v>m</v>
      </c>
      <c r="K240" s="26">
        <f>_xlfn.XLOOKUP($E240,PREÇO!$C$7:$C$91,PREÇO!$E$7:$E$91)</f>
        <v>2.5299999999999998</v>
      </c>
      <c r="L240" s="66">
        <f>IF(SUM(F240:K240)=0,SUMIFS($L241:$L$1593,$B241:$B$1593,$B240,$A241:$A$1593,$A240),I240*K240)</f>
        <v>665.33939999999996</v>
      </c>
      <c r="N240"/>
      <c r="O240"/>
      <c r="P240" s="28"/>
      <c r="Q240" s="28"/>
      <c r="R240" s="28"/>
    </row>
    <row r="241" spans="1:18" outlineLevel="1">
      <c r="A241" s="24" t="str">
        <f t="shared" si="111"/>
        <v>GERAL</v>
      </c>
      <c r="B241" s="24" t="str">
        <f t="shared" si="112"/>
        <v>5º PAV. - ESTAC. 04</v>
      </c>
      <c r="C241" s="30" t="s">
        <v>221</v>
      </c>
      <c r="D241" s="83" t="s">
        <v>89</v>
      </c>
      <c r="E241" s="30" t="str">
        <f>'Garagem 04'!C56&amp;" "&amp;'Garagem 04'!D56</f>
        <v>Classe A - PVC Anti-chama - 105ºC - Isolação 600V 0.75 mm²</v>
      </c>
      <c r="F241" s="25">
        <f>'Garagem 04'!E56</f>
        <v>253.21</v>
      </c>
      <c r="G241" s="25">
        <v>1</v>
      </c>
      <c r="H241" s="25">
        <v>0</v>
      </c>
      <c r="I241" s="25">
        <f t="shared" si="115"/>
        <v>253.21</v>
      </c>
      <c r="J241" s="25" t="str">
        <f>'Garagem 04'!F56</f>
        <v>m</v>
      </c>
      <c r="K241" s="26">
        <f>_xlfn.XLOOKUP($E241,PREÇO!$C$7:$C$91,PREÇO!$E$7:$E$91)</f>
        <v>0.99</v>
      </c>
      <c r="L241" s="66">
        <f>IF(SUM(F241:K241)=0,SUMIFS($L242:$L$1593,$B242:$B$1593,$B241,$A242:$A$1593,$A241),I241*K241)</f>
        <v>250.67789999999999</v>
      </c>
      <c r="N241"/>
      <c r="O241"/>
      <c r="P241" s="28"/>
      <c r="Q241" s="28"/>
      <c r="R241" s="28"/>
    </row>
    <row r="242" spans="1:18" ht="15.75" outlineLevel="1" thickBot="1">
      <c r="A242" s="24" t="str">
        <f t="shared" si="111"/>
        <v>GERAL</v>
      </c>
      <c r="B242" s="24" t="str">
        <f t="shared" si="112"/>
        <v>5º PAV. - ESTAC. 04</v>
      </c>
      <c r="C242" s="30" t="s">
        <v>221</v>
      </c>
      <c r="D242" s="83" t="s">
        <v>89</v>
      </c>
      <c r="E242" s="30" t="str">
        <f>'Garagem 04'!C57&amp;" "&amp;'Garagem 04'!D57</f>
        <v>Classe B - PVC Anti-chama - 105ºC - Isolação 600V 1.5 mm²</v>
      </c>
      <c r="F242" s="25">
        <f>'Garagem 04'!E57</f>
        <v>204.23</v>
      </c>
      <c r="G242" s="25">
        <v>1</v>
      </c>
      <c r="H242" s="25">
        <v>0</v>
      </c>
      <c r="I242" s="25">
        <f t="shared" si="115"/>
        <v>204.23</v>
      </c>
      <c r="J242" s="25" t="str">
        <f>'Garagem 04'!F57</f>
        <v>m</v>
      </c>
      <c r="K242" s="26">
        <f>_xlfn.XLOOKUP($E242,PREÇO!$C$7:$C$91,PREÇO!$E$7:$E$91)</f>
        <v>1.69</v>
      </c>
      <c r="L242" s="66">
        <f>IF(SUM(F242:K242)=0,SUMIFS($L243:$L$1593,$B243:$B$1593,$B242,$A243:$A$1593,$A242),I242*K242)</f>
        <v>345.14869999999996</v>
      </c>
      <c r="N242"/>
      <c r="O242"/>
      <c r="P242" s="28"/>
      <c r="Q242" s="28"/>
      <c r="R242" s="28"/>
    </row>
    <row r="243" spans="1:18" ht="15.75" thickTop="1">
      <c r="A243" s="82" t="s">
        <v>19</v>
      </c>
      <c r="B243" s="82" t="s">
        <v>115</v>
      </c>
      <c r="C243" s="43"/>
      <c r="D243" s="44"/>
      <c r="E243" s="44"/>
      <c r="F243" s="45"/>
      <c r="G243" s="45"/>
      <c r="H243" s="45"/>
      <c r="I243" s="45"/>
      <c r="J243" s="45"/>
      <c r="K243" s="47"/>
      <c r="L243" s="48">
        <f>IF(SUM(F243:K243)=0,SUMIFS($L244:$L$1593,$B244:$B$1593,$B243,$A244:$A$1593,$A243),I243*K243)</f>
        <v>35671.544099999999</v>
      </c>
      <c r="N243"/>
      <c r="O243"/>
      <c r="P243" s="28"/>
      <c r="Q243" s="28"/>
      <c r="R243" s="28"/>
    </row>
    <row r="244" spans="1:18" outlineLevel="1">
      <c r="A244" s="24" t="str">
        <f t="shared" ref="A244:A279" si="116">A243</f>
        <v>GERAL</v>
      </c>
      <c r="B244" s="24" t="str">
        <f t="shared" ref="B244:B279" si="117">B243</f>
        <v>6º PAV. - ESTAC. 05</v>
      </c>
      <c r="C244" s="24" t="s">
        <v>221</v>
      </c>
      <c r="D244" s="30" t="str">
        <f>'Garagem 05'!C6</f>
        <v>Acionadores</v>
      </c>
      <c r="E244" s="30" t="str">
        <f>'Garagem 05'!D6</f>
        <v>Acionador Manual de Alarme de Incêndio</v>
      </c>
      <c r="F244" s="25">
        <f>'Garagem 05'!E6</f>
        <v>7</v>
      </c>
      <c r="G244" s="25">
        <v>1</v>
      </c>
      <c r="H244" s="25">
        <v>0</v>
      </c>
      <c r="I244" s="25">
        <f>(F244+H244*F244)*G244</f>
        <v>7</v>
      </c>
      <c r="J244" s="25" t="str">
        <f>'Garagem 05'!F6</f>
        <v>pç</v>
      </c>
      <c r="K244" s="26">
        <f>_xlfn.XLOOKUP($E244,PREÇO!$C$7:$C$91,PREÇO!$E$7:$E$91)</f>
        <v>65</v>
      </c>
      <c r="L244" s="66">
        <f>IF(SUM(F244:K244)=0,SUMIFS($L245:$L$1593,$B245:$B$1593,$B244,$A245:$A$1593,$A244),I244*K244)</f>
        <v>455</v>
      </c>
      <c r="N244"/>
      <c r="O244"/>
      <c r="P244" s="28"/>
      <c r="Q244" s="28"/>
      <c r="R244" s="28"/>
    </row>
    <row r="245" spans="1:18" outlineLevel="1">
      <c r="A245" s="24" t="str">
        <f t="shared" si="116"/>
        <v>GERAL</v>
      </c>
      <c r="B245" s="24" t="str">
        <f t="shared" si="117"/>
        <v>6º PAV. - ESTAC. 05</v>
      </c>
      <c r="C245" s="30" t="s">
        <v>221</v>
      </c>
      <c r="D245" s="30" t="str">
        <f>'Garagem 05'!C7</f>
        <v>Anunciadores</v>
      </c>
      <c r="E245" s="30" t="str">
        <f>'Garagem 05'!D7</f>
        <v>Anunciador Audiovisual de Alarme de Incêndio de Parede</v>
      </c>
      <c r="F245" s="25">
        <f>'Garagem 05'!E7</f>
        <v>7</v>
      </c>
      <c r="G245" s="25">
        <v>1</v>
      </c>
      <c r="H245" s="25">
        <v>0</v>
      </c>
      <c r="I245" s="25">
        <f t="shared" ref="I245:I250" si="118">(F245+H245*F245)*G245</f>
        <v>7</v>
      </c>
      <c r="J245" s="25" t="str">
        <f>'Garagem 05'!F7</f>
        <v>pç</v>
      </c>
      <c r="K245" s="26">
        <f>_xlfn.XLOOKUP($E245,PREÇO!$C$7:$C$91,PREÇO!$E$7:$E$91)</f>
        <v>191.81</v>
      </c>
      <c r="L245" s="66">
        <f>IF(SUM(F245:K245)=0,SUMIFS($L246:$L$1593,$B246:$B$1593,$B245,$A246:$A$1593,$A245),I245*K245)</f>
        <v>1342.67</v>
      </c>
      <c r="N245"/>
      <c r="O245"/>
      <c r="P245" s="28"/>
      <c r="Q245" s="28"/>
      <c r="R245" s="28"/>
    </row>
    <row r="246" spans="1:18" outlineLevel="1">
      <c r="A246" s="24" t="str">
        <f t="shared" si="116"/>
        <v>GERAL</v>
      </c>
      <c r="B246" s="24" t="str">
        <f t="shared" si="117"/>
        <v>6º PAV. - ESTAC. 05</v>
      </c>
      <c r="C246" s="30" t="s">
        <v>221</v>
      </c>
      <c r="D246" s="30" t="str">
        <f>'Garagem 05'!C8</f>
        <v>Atuadores</v>
      </c>
      <c r="E246" s="30" t="str">
        <f>'Garagem 05'!D8</f>
        <v>Atuador Janela Desenfumagem</v>
      </c>
      <c r="F246" s="25">
        <f>'Garagem 05'!E8</f>
        <v>1</v>
      </c>
      <c r="G246" s="25">
        <v>1</v>
      </c>
      <c r="H246" s="25">
        <v>0</v>
      </c>
      <c r="I246" s="25">
        <f t="shared" si="118"/>
        <v>1</v>
      </c>
      <c r="J246" s="25" t="str">
        <f>'Garagem 05'!F8</f>
        <v>pç</v>
      </c>
      <c r="K246" s="26">
        <f>_xlfn.XLOOKUP($E246,PREÇO!$C$7:$C$91,PREÇO!$E$7:$E$91)</f>
        <v>1150</v>
      </c>
      <c r="L246" s="66">
        <f>IF(SUM(F246:K246)=0,SUMIFS($L247:$L$1593,$B247:$B$1593,$B246,$A247:$A$1593,$A246),I246*K246)</f>
        <v>1150</v>
      </c>
      <c r="N246"/>
      <c r="O246"/>
      <c r="P246" s="28"/>
      <c r="Q246" s="28"/>
      <c r="R246" s="28"/>
    </row>
    <row r="247" spans="1:18" outlineLevel="1">
      <c r="A247" s="24" t="str">
        <f t="shared" si="116"/>
        <v>GERAL</v>
      </c>
      <c r="B247" s="24" t="str">
        <f t="shared" si="117"/>
        <v>6º PAV. - ESTAC. 05</v>
      </c>
      <c r="C247" s="30" t="s">
        <v>221</v>
      </c>
      <c r="D247" s="30" t="str">
        <f>'Garagem 05'!C9</f>
        <v>Atuadores</v>
      </c>
      <c r="E247" s="30" t="str">
        <f>'Garagem 05'!D9</f>
        <v>Dispositivo Eletromagnético de Porta Aberta</v>
      </c>
      <c r="F247" s="25">
        <f>'Garagem 05'!E9</f>
        <v>1</v>
      </c>
      <c r="G247" s="25">
        <v>1</v>
      </c>
      <c r="H247" s="25">
        <v>0</v>
      </c>
      <c r="I247" s="25">
        <f t="shared" si="118"/>
        <v>1</v>
      </c>
      <c r="J247" s="25" t="str">
        <f>'Garagem 05'!F9</f>
        <v>pç</v>
      </c>
      <c r="K247" s="26">
        <f>_xlfn.XLOOKUP($E247,PREÇO!$C$7:$C$91,PREÇO!$E$7:$E$91)</f>
        <v>416.9</v>
      </c>
      <c r="L247" s="66">
        <f>IF(SUM(F247:K247)=0,SUMIFS($L248:$L$1593,$B248:$B$1593,$B247,$A248:$A$1593,$A247),I247*K247)</f>
        <v>416.9</v>
      </c>
      <c r="N247"/>
      <c r="O247"/>
      <c r="P247" s="28"/>
      <c r="Q247" s="28"/>
      <c r="R247" s="28"/>
    </row>
    <row r="248" spans="1:18" outlineLevel="1">
      <c r="A248" s="24" t="str">
        <f t="shared" si="116"/>
        <v>GERAL</v>
      </c>
      <c r="B248" s="24" t="str">
        <f t="shared" si="117"/>
        <v>6º PAV. - ESTAC. 05</v>
      </c>
      <c r="C248" s="30" t="s">
        <v>221</v>
      </c>
      <c r="D248" s="30" t="str">
        <f>'Garagem 05'!C10</f>
        <v>Sensores</v>
      </c>
      <c r="E248" s="30" t="str">
        <f>'Garagem 05'!D10</f>
        <v>Sensor de Fumaça</v>
      </c>
      <c r="F248" s="25">
        <f>'Garagem 05'!E10</f>
        <v>3</v>
      </c>
      <c r="G248" s="25">
        <v>1</v>
      </c>
      <c r="H248" s="25">
        <v>0</v>
      </c>
      <c r="I248" s="25">
        <f t="shared" si="118"/>
        <v>3</v>
      </c>
      <c r="J248" s="25" t="str">
        <f>'Garagem 05'!F10</f>
        <v>pç</v>
      </c>
      <c r="K248" s="26">
        <f>_xlfn.XLOOKUP($E248,PREÇO!$C$7:$C$91,PREÇO!$E$7:$E$91)</f>
        <v>53.9</v>
      </c>
      <c r="L248" s="66">
        <f>IF(SUM(F248:K248)=0,SUMIFS($L249:$L$1593,$B249:$B$1593,$B248,$A249:$A$1593,$A248),I248*K248)</f>
        <v>161.69999999999999</v>
      </c>
      <c r="N248"/>
      <c r="O248"/>
      <c r="P248" s="28"/>
      <c r="Q248" s="28"/>
      <c r="R248" s="28"/>
    </row>
    <row r="249" spans="1:18" outlineLevel="1">
      <c r="A249" s="24" t="str">
        <f t="shared" si="116"/>
        <v>GERAL</v>
      </c>
      <c r="B249" s="24" t="str">
        <f t="shared" si="117"/>
        <v>6º PAV. - ESTAC. 05</v>
      </c>
      <c r="C249" s="30" t="s">
        <v>221</v>
      </c>
      <c r="D249" s="30" t="str">
        <f>'Garagem 05'!C13</f>
        <v>Caixas</v>
      </c>
      <c r="E249" s="30" t="str">
        <f>'Garagem 05'!D13</f>
        <v>Caixa Octogonal Padrão NBR IEC 60670</v>
      </c>
      <c r="F249" s="25">
        <f>'Garagem 05'!E13</f>
        <v>123</v>
      </c>
      <c r="G249" s="25">
        <v>1</v>
      </c>
      <c r="H249" s="25">
        <v>0</v>
      </c>
      <c r="I249" s="25">
        <f t="shared" si="118"/>
        <v>123</v>
      </c>
      <c r="J249" s="25" t="str">
        <f>'Garagem 05'!F13</f>
        <v>pç</v>
      </c>
      <c r="K249" s="26">
        <f>_xlfn.XLOOKUP($E249,PREÇO!$C$7:$C$91,PREÇO!$E$7:$E$91)</f>
        <v>5.32</v>
      </c>
      <c r="L249" s="66">
        <f>IF(SUM(F249:K249)=0,SUMIFS($L250:$L$1593,$B250:$B$1593,$B249,$A250:$A$1593,$A249),I249*K249)</f>
        <v>654.36</v>
      </c>
      <c r="N249"/>
      <c r="O249"/>
      <c r="P249" s="28"/>
      <c r="Q249" s="28"/>
      <c r="R249" s="28"/>
    </row>
    <row r="250" spans="1:18" outlineLevel="1">
      <c r="A250" s="24" t="str">
        <f t="shared" si="116"/>
        <v>GERAL</v>
      </c>
      <c r="B250" s="24" t="str">
        <f t="shared" si="117"/>
        <v>6º PAV. - ESTAC. 05</v>
      </c>
      <c r="C250" s="30" t="s">
        <v>221</v>
      </c>
      <c r="D250" s="30" t="str">
        <f>'Garagem 05'!C14</f>
        <v>Placas</v>
      </c>
      <c r="E250" s="30" t="str">
        <f>'Garagem 05'!D14</f>
        <v>Placa cega para caixa octogonal Padrão NBR IEC 60670</v>
      </c>
      <c r="F250" s="25">
        <f>'Garagem 05'!E14</f>
        <v>17</v>
      </c>
      <c r="G250" s="25">
        <v>1</v>
      </c>
      <c r="H250" s="25">
        <v>0</v>
      </c>
      <c r="I250" s="25">
        <f t="shared" si="118"/>
        <v>17</v>
      </c>
      <c r="J250" s="25" t="str">
        <f>'Garagem 05'!F14</f>
        <v>pç</v>
      </c>
      <c r="K250" s="26">
        <f>_xlfn.XLOOKUP($E250,PREÇO!$C$7:$C$91,PREÇO!$E$7:$E$91)</f>
        <v>2.5</v>
      </c>
      <c r="L250" s="66">
        <f>IF(SUM(F250:K250)=0,SUMIFS($L251:$L$1593,$B251:$B$1593,$B250,$A251:$A$1593,$A250),I250*K250)</f>
        <v>42.5</v>
      </c>
      <c r="N250"/>
      <c r="O250"/>
      <c r="P250" s="28"/>
      <c r="Q250" s="28"/>
      <c r="R250" s="28"/>
    </row>
    <row r="251" spans="1:18" outlineLevel="1">
      <c r="A251" s="24" t="str">
        <f t="shared" si="116"/>
        <v>GERAL</v>
      </c>
      <c r="B251" s="24" t="str">
        <f t="shared" si="117"/>
        <v>6º PAV. - ESTAC. 05</v>
      </c>
      <c r="C251" s="24" t="s">
        <v>221</v>
      </c>
      <c r="D251" s="30" t="str">
        <f>'Garagem 05'!C17</f>
        <v>Caixas</v>
      </c>
      <c r="E251" s="30" t="str">
        <f>'Garagem 05'!D17</f>
        <v>Caixa 4x2" de Embutir em PVC Padrão NBR IEC 60670</v>
      </c>
      <c r="F251" s="25">
        <f>'Garagem 05'!E17</f>
        <v>46</v>
      </c>
      <c r="G251" s="25">
        <v>1</v>
      </c>
      <c r="H251" s="25">
        <v>0</v>
      </c>
      <c r="I251" s="25">
        <f t="shared" ref="I251:I258" si="119">(F251+H251*F251)*G251</f>
        <v>46</v>
      </c>
      <c r="J251" s="25" t="str">
        <f>'Garagem 05'!F17</f>
        <v>pç</v>
      </c>
      <c r="K251" s="26">
        <f>_xlfn.XLOOKUP($E251,PREÇO!$C$7:$C$91,PREÇO!$E$7:$E$91)</f>
        <v>1.72</v>
      </c>
      <c r="L251" s="66">
        <f>IF(SUM(F251:K251)=0,SUMIFS($L252:$L$1593,$B252:$B$1593,$B251,$A252:$A$1593,$A251),I251*K251)</f>
        <v>79.12</v>
      </c>
      <c r="N251"/>
      <c r="O251"/>
      <c r="P251" s="28"/>
      <c r="Q251" s="28"/>
      <c r="R251" s="28"/>
    </row>
    <row r="252" spans="1:18" outlineLevel="1">
      <c r="A252" s="24" t="str">
        <f t="shared" si="116"/>
        <v>GERAL</v>
      </c>
      <c r="B252" s="24" t="str">
        <f t="shared" si="117"/>
        <v>6º PAV. - ESTAC. 05</v>
      </c>
      <c r="C252" s="30" t="s">
        <v>221</v>
      </c>
      <c r="D252" s="30" t="str">
        <f>'Garagem 05'!C18</f>
        <v>Caixas</v>
      </c>
      <c r="E252" s="30" t="str">
        <f>'Garagem 05'!D18</f>
        <v>Caixa 4x4" de Embutir em PVC Padrão NBR IEC 60670</v>
      </c>
      <c r="F252" s="25">
        <f>'Garagem 05'!E18</f>
        <v>3</v>
      </c>
      <c r="G252" s="25">
        <v>1</v>
      </c>
      <c r="H252" s="25">
        <v>0</v>
      </c>
      <c r="I252" s="25">
        <f t="shared" si="119"/>
        <v>3</v>
      </c>
      <c r="J252" s="25" t="str">
        <f>'Garagem 05'!F18</f>
        <v>pç</v>
      </c>
      <c r="K252" s="26">
        <f>_xlfn.XLOOKUP($E252,PREÇO!$C$7:$C$91,PREÇO!$E$7:$E$91)</f>
        <v>1.72</v>
      </c>
      <c r="L252" s="66">
        <f>IF(SUM(F252:K252)=0,SUMIFS($L253:$L$1593,$B253:$B$1593,$B252,$A253:$A$1593,$A252),I252*K252)</f>
        <v>5.16</v>
      </c>
      <c r="N252"/>
      <c r="O252"/>
      <c r="P252" s="28"/>
      <c r="Q252" s="28"/>
      <c r="R252" s="28"/>
    </row>
    <row r="253" spans="1:18" outlineLevel="1">
      <c r="A253" s="24" t="str">
        <f t="shared" si="116"/>
        <v>GERAL</v>
      </c>
      <c r="B253" s="24" t="str">
        <f t="shared" si="117"/>
        <v>6º PAV. - ESTAC. 05</v>
      </c>
      <c r="C253" s="30" t="s">
        <v>221</v>
      </c>
      <c r="D253" s="30" t="str">
        <f>'Garagem 05'!C19</f>
        <v>Placas</v>
      </c>
      <c r="E253" s="30" t="str">
        <f>'Garagem 05'!D19</f>
        <v>Placa 4x2" cega Padrão NBR IEC 60670</v>
      </c>
      <c r="F253" s="25">
        <f>'Garagem 05'!E19</f>
        <v>6</v>
      </c>
      <c r="G253" s="25">
        <v>1</v>
      </c>
      <c r="H253" s="25">
        <v>0</v>
      </c>
      <c r="I253" s="25">
        <f t="shared" si="119"/>
        <v>6</v>
      </c>
      <c r="J253" s="25" t="str">
        <f>'Garagem 05'!F19</f>
        <v>pç</v>
      </c>
      <c r="K253" s="26">
        <f>_xlfn.XLOOKUP($E253,PREÇO!$C$7:$C$91,PREÇO!$E$7:$E$91)</f>
        <v>4.59</v>
      </c>
      <c r="L253" s="66">
        <f>IF(SUM(F253:K253)=0,SUMIFS($L254:$L$1593,$B254:$B$1593,$B253,$A254:$A$1593,$A253),I253*K253)</f>
        <v>27.54</v>
      </c>
      <c r="N253"/>
      <c r="O253"/>
      <c r="P253" s="28"/>
      <c r="Q253" s="28"/>
      <c r="R253" s="28"/>
    </row>
    <row r="254" spans="1:18" outlineLevel="1">
      <c r="A254" s="24" t="str">
        <f t="shared" si="116"/>
        <v>GERAL</v>
      </c>
      <c r="B254" s="24" t="str">
        <f t="shared" si="117"/>
        <v>6º PAV. - ESTAC. 05</v>
      </c>
      <c r="C254" s="30" t="s">
        <v>221</v>
      </c>
      <c r="D254" s="30" t="str">
        <f>'Garagem 05'!C20</f>
        <v>Placas</v>
      </c>
      <c r="E254" s="30" t="str">
        <f>'Garagem 05'!D20</f>
        <v>Placa 4x2" com furo para saída de cabos Padrão NBR IEC 60670</v>
      </c>
      <c r="F254" s="25">
        <f>'Garagem 05'!E20</f>
        <v>40</v>
      </c>
      <c r="G254" s="25">
        <v>1</v>
      </c>
      <c r="H254" s="25">
        <v>0</v>
      </c>
      <c r="I254" s="25">
        <f t="shared" si="119"/>
        <v>40</v>
      </c>
      <c r="J254" s="25" t="str">
        <f>'Garagem 05'!F20</f>
        <v>pç</v>
      </c>
      <c r="K254" s="26">
        <f>_xlfn.XLOOKUP($E254,PREÇO!$C$7:$C$91,PREÇO!$E$7:$E$91)</f>
        <v>6.55</v>
      </c>
      <c r="L254" s="66">
        <f>IF(SUM(F254:K254)=0,SUMIFS($L255:$L$1593,$B255:$B$1593,$B254,$A255:$A$1593,$A254),I254*K254)</f>
        <v>262</v>
      </c>
      <c r="N254"/>
      <c r="O254"/>
      <c r="P254" s="28"/>
      <c r="Q254" s="28"/>
      <c r="R254" s="28"/>
    </row>
    <row r="255" spans="1:18" outlineLevel="1">
      <c r="A255" s="24" t="str">
        <f t="shared" si="116"/>
        <v>GERAL</v>
      </c>
      <c r="B255" s="24" t="str">
        <f t="shared" si="117"/>
        <v>6º PAV. - ESTAC. 05</v>
      </c>
      <c r="C255" s="30" t="s">
        <v>221</v>
      </c>
      <c r="D255" s="30" t="str">
        <f>'Garagem 05'!C21</f>
        <v>Placas</v>
      </c>
      <c r="E255" s="30" t="str">
        <f>'Garagem 05'!D21</f>
        <v>Placa 4x4" cega Padrão NBR IEC 60670</v>
      </c>
      <c r="F255" s="25">
        <f>'Garagem 05'!E21</f>
        <v>3</v>
      </c>
      <c r="G255" s="25">
        <v>1</v>
      </c>
      <c r="H255" s="25">
        <v>0</v>
      </c>
      <c r="I255" s="25">
        <f t="shared" si="119"/>
        <v>3</v>
      </c>
      <c r="J255" s="25" t="str">
        <f>'Garagem 05'!F21</f>
        <v>pç</v>
      </c>
      <c r="K255" s="26">
        <f>_xlfn.XLOOKUP($E255,PREÇO!$C$7:$C$91,PREÇO!$E$7:$E$91)</f>
        <v>12.25</v>
      </c>
      <c r="L255" s="66">
        <f>IF(SUM(F255:K255)=0,SUMIFS($L256:$L$1593,$B256:$B$1593,$B255,$A256:$A$1593,$A255),I255*K255)</f>
        <v>36.75</v>
      </c>
      <c r="N255"/>
      <c r="O255"/>
      <c r="P255" s="28"/>
      <c r="Q255" s="28"/>
      <c r="R255" s="28"/>
    </row>
    <row r="256" spans="1:18" outlineLevel="1">
      <c r="A256" s="24" t="str">
        <f t="shared" si="116"/>
        <v>GERAL</v>
      </c>
      <c r="B256" s="24" t="str">
        <f t="shared" si="117"/>
        <v>6º PAV. - ESTAC. 05</v>
      </c>
      <c r="C256" s="30" t="s">
        <v>221</v>
      </c>
      <c r="D256" s="30" t="str">
        <f>'Garagem 05'!C22</f>
        <v>Suportes</v>
      </c>
      <c r="E256" s="30" t="str">
        <f>'Garagem 05'!D22</f>
        <v>Suporte p/ caixa 4x2" Padrão NBR IEC 60670</v>
      </c>
      <c r="F256" s="25">
        <f>'Garagem 05'!E22</f>
        <v>46</v>
      </c>
      <c r="G256" s="25">
        <v>1</v>
      </c>
      <c r="H256" s="25">
        <v>0</v>
      </c>
      <c r="I256" s="25">
        <f t="shared" si="119"/>
        <v>46</v>
      </c>
      <c r="J256" s="25" t="str">
        <f>'Garagem 05'!F22</f>
        <v>pç</v>
      </c>
      <c r="K256" s="26">
        <f>_xlfn.XLOOKUP($E256,PREÇO!$C$7:$C$91,PREÇO!$E$7:$E$91)</f>
        <v>1.85</v>
      </c>
      <c r="L256" s="66">
        <f>IF(SUM(F256:K256)=0,SUMIFS($L257:$L$1593,$B257:$B$1593,$B256,$A257:$A$1593,$A256),I256*K256)</f>
        <v>85.100000000000009</v>
      </c>
      <c r="N256"/>
      <c r="O256"/>
      <c r="P256" s="28"/>
      <c r="Q256" s="28"/>
      <c r="R256" s="28"/>
    </row>
    <row r="257" spans="1:18" outlineLevel="1">
      <c r="A257" s="24" t="str">
        <f t="shared" si="116"/>
        <v>GERAL</v>
      </c>
      <c r="B257" s="24" t="str">
        <f t="shared" si="117"/>
        <v>6º PAV. - ESTAC. 05</v>
      </c>
      <c r="C257" s="30" t="s">
        <v>221</v>
      </c>
      <c r="D257" s="30" t="str">
        <f>'Garagem 05'!C23</f>
        <v>Suportes</v>
      </c>
      <c r="E257" s="30" t="str">
        <f>'Garagem 05'!D23</f>
        <v>Suporte p/ caixa 4x4" Padrão NBR IEC 60670</v>
      </c>
      <c r="F257" s="25">
        <f>'Garagem 05'!E23</f>
        <v>3</v>
      </c>
      <c r="G257" s="25">
        <v>1</v>
      </c>
      <c r="H257" s="25">
        <v>0</v>
      </c>
      <c r="I257" s="25">
        <f t="shared" si="119"/>
        <v>3</v>
      </c>
      <c r="J257" s="25" t="str">
        <f>'Garagem 05'!F23</f>
        <v>pç</v>
      </c>
      <c r="K257" s="26">
        <f>_xlfn.XLOOKUP($E257,PREÇO!$C$7:$C$91,PREÇO!$E$7:$E$91)</f>
        <v>3.15</v>
      </c>
      <c r="L257" s="66">
        <f>IF(SUM(F257:K257)=0,SUMIFS($L258:$L$1593,$B258:$B$1593,$B257,$A258:$A$1593,$A257),I257*K257)</f>
        <v>9.4499999999999993</v>
      </c>
      <c r="N257"/>
      <c r="O257"/>
      <c r="P257" s="28"/>
      <c r="Q257" s="28"/>
      <c r="R257" s="28"/>
    </row>
    <row r="258" spans="1:18" outlineLevel="1">
      <c r="A258" s="24" t="str">
        <f t="shared" si="116"/>
        <v>GERAL</v>
      </c>
      <c r="B258" s="24" t="str">
        <f t="shared" si="117"/>
        <v>6º PAV. - ESTAC. 05</v>
      </c>
      <c r="C258" s="41" t="s">
        <v>221</v>
      </c>
      <c r="D258" s="30" t="str">
        <f>'Garagem 05'!C26</f>
        <v>Embutir</v>
      </c>
      <c r="E258" s="30" t="str">
        <f>'Garagem 05'!D26</f>
        <v>Cx de passagem de embutir com dimensão de 50x50x15 cm</v>
      </c>
      <c r="F258" s="25">
        <f>'Garagem 05'!E26</f>
        <v>1</v>
      </c>
      <c r="G258" s="25">
        <v>1</v>
      </c>
      <c r="H258" s="39">
        <v>0</v>
      </c>
      <c r="I258" s="25">
        <f t="shared" si="119"/>
        <v>1</v>
      </c>
      <c r="J258" s="25" t="str">
        <f>'Garagem 05'!F26</f>
        <v>pç</v>
      </c>
      <c r="K258" s="26">
        <f>_xlfn.XLOOKUP($E258,PREÇO!$C$7:$C$91,PREÇO!$E$7:$E$91)</f>
        <v>291.60000000000002</v>
      </c>
      <c r="L258" s="66">
        <f>IF(SUM(F258:K258)=0,SUMIFS($L259:$L$1593,$B259:$B$1593,$B258,$A259:$A$1593,$A258),I258*K258)</f>
        <v>291.60000000000002</v>
      </c>
      <c r="N258"/>
      <c r="O258"/>
      <c r="P258" s="28"/>
      <c r="Q258" s="28"/>
      <c r="R258" s="28"/>
    </row>
    <row r="259" spans="1:18" outlineLevel="1">
      <c r="A259" s="24" t="str">
        <f t="shared" si="116"/>
        <v>GERAL</v>
      </c>
      <c r="B259" s="24" t="str">
        <f t="shared" si="117"/>
        <v>6º PAV. - ESTAC. 05</v>
      </c>
      <c r="C259" s="30" t="s">
        <v>221</v>
      </c>
      <c r="D259" s="30" t="s">
        <v>46</v>
      </c>
      <c r="E259" s="30" t="str">
        <f>'Garagem 05'!C29&amp;" "&amp;'Garagem 05'!D29</f>
        <v>PVC Flexível Antichama - NBR 15465 ø1"</v>
      </c>
      <c r="F259" s="25">
        <f>'Garagem 05'!E29</f>
        <v>206.89</v>
      </c>
      <c r="G259" s="25">
        <v>1</v>
      </c>
      <c r="H259" s="25">
        <v>0</v>
      </c>
      <c r="I259" s="25">
        <f t="shared" ref="I259:I270" si="120">(F259+H259*F259)*G259</f>
        <v>206.89</v>
      </c>
      <c r="J259" s="25" t="str">
        <f>'Garagem 05'!F29</f>
        <v>m</v>
      </c>
      <c r="K259" s="26">
        <f>_xlfn.XLOOKUP($E259,PREÇO!$C$7:$C$91,PREÇO!$E$7:$E$91)</f>
        <v>2.5299999999999998</v>
      </c>
      <c r="L259" s="66">
        <f>IF(SUM(F259:K259)=0,SUMIFS($L260:$L$1593,$B260:$B$1593,$B259,$A260:$A$1593,$A259),I259*K259)</f>
        <v>523.43169999999998</v>
      </c>
      <c r="N259"/>
      <c r="O259"/>
      <c r="P259" s="28"/>
      <c r="Q259" s="28"/>
      <c r="R259" s="28"/>
    </row>
    <row r="260" spans="1:18" outlineLevel="1">
      <c r="A260" s="24" t="str">
        <f t="shared" si="116"/>
        <v>GERAL</v>
      </c>
      <c r="B260" s="24" t="str">
        <f t="shared" si="117"/>
        <v>6º PAV. - ESTAC. 05</v>
      </c>
      <c r="C260" s="30" t="s">
        <v>221</v>
      </c>
      <c r="D260" s="30" t="s">
        <v>46</v>
      </c>
      <c r="E260" s="30" t="str">
        <f>'Garagem 05'!C30&amp;" "&amp;'Garagem 05'!D30</f>
        <v>PVC Flexível Antichama - NBR 15465 ø3/4"</v>
      </c>
      <c r="F260" s="25">
        <f>'Garagem 05'!E30</f>
        <v>222.33</v>
      </c>
      <c r="G260" s="25">
        <v>1</v>
      </c>
      <c r="H260" s="25">
        <v>0</v>
      </c>
      <c r="I260" s="25">
        <f t="shared" si="120"/>
        <v>222.33</v>
      </c>
      <c r="J260" s="25" t="str">
        <f>'Garagem 05'!F30</f>
        <v>m</v>
      </c>
      <c r="K260" s="26">
        <f>_xlfn.XLOOKUP($E260,PREÇO!$C$7:$C$91,PREÇO!$E$7:$E$91)</f>
        <v>1.8</v>
      </c>
      <c r="L260" s="66">
        <f>IF(SUM(F260:K260)=0,SUMIFS($L261:$L$1593,$B261:$B$1593,$B260,$A261:$A$1593,$A260),I260*K260)</f>
        <v>400.19400000000002</v>
      </c>
      <c r="N260"/>
      <c r="O260"/>
      <c r="P260" s="28"/>
      <c r="Q260" s="28"/>
      <c r="R260" s="28"/>
    </row>
    <row r="261" spans="1:18" outlineLevel="1">
      <c r="A261" s="24" t="str">
        <f t="shared" si="116"/>
        <v>GERAL</v>
      </c>
      <c r="B261" s="24" t="str">
        <f t="shared" si="117"/>
        <v>6º PAV. - ESTAC. 05</v>
      </c>
      <c r="C261" s="30" t="s">
        <v>220</v>
      </c>
      <c r="D261" s="30" t="str">
        <f>'Garagem 05'!C33</f>
        <v>Luminárias e Placas de Saída</v>
      </c>
      <c r="E261" s="30" t="str">
        <f>'Garagem 05'!D33</f>
        <v>Luminária de Emergência 24V de Parede</v>
      </c>
      <c r="F261" s="25">
        <f>'Garagem 05'!E33</f>
        <v>3</v>
      </c>
      <c r="G261" s="25">
        <v>1</v>
      </c>
      <c r="H261" s="25">
        <v>0</v>
      </c>
      <c r="I261" s="25">
        <f t="shared" si="120"/>
        <v>3</v>
      </c>
      <c r="J261" s="25" t="str">
        <f>'Garagem 05'!F33</f>
        <v>pç</v>
      </c>
      <c r="K261" s="26">
        <f>_xlfn.XLOOKUP($E261,PREÇO!$C$7:$C$91,PREÇO!$E$7:$E$91)</f>
        <v>15.9</v>
      </c>
      <c r="L261" s="66">
        <f>IF(SUM(F261:K261)=0,SUMIFS($L262:$L$1593,$B262:$B$1593,$B261,$A262:$A$1593,$A261),I261*K261)</f>
        <v>47.7</v>
      </c>
      <c r="N261"/>
      <c r="O261"/>
      <c r="P261" s="28"/>
      <c r="Q261" s="28"/>
      <c r="R261" s="28"/>
    </row>
    <row r="262" spans="1:18" outlineLevel="1">
      <c r="A262" s="24" t="str">
        <f t="shared" si="116"/>
        <v>GERAL</v>
      </c>
      <c r="B262" s="24" t="str">
        <f t="shared" si="117"/>
        <v>6º PAV. - ESTAC. 05</v>
      </c>
      <c r="C262" s="30" t="s">
        <v>220</v>
      </c>
      <c r="D262" s="30" t="str">
        <f>'Garagem 05'!C34</f>
        <v>Luminárias e Placas de Saída</v>
      </c>
      <c r="E262" s="30" t="str">
        <f>'Garagem 05'!D34</f>
        <v>Luminária de Emergência 24V de Teto</v>
      </c>
      <c r="F262" s="25">
        <f>'Garagem 05'!E34</f>
        <v>67</v>
      </c>
      <c r="G262" s="25">
        <v>1</v>
      </c>
      <c r="H262" s="25">
        <v>0</v>
      </c>
      <c r="I262" s="25">
        <f t="shared" si="120"/>
        <v>67</v>
      </c>
      <c r="J262" s="25" t="str">
        <f>'Garagem 05'!F34</f>
        <v>pç</v>
      </c>
      <c r="K262" s="26">
        <f>_xlfn.XLOOKUP($E262,PREÇO!$C$7:$C$91,PREÇO!$E$7:$E$91)</f>
        <v>69.900000000000006</v>
      </c>
      <c r="L262" s="66">
        <f>IF(SUM(F262:K262)=0,SUMIFS($L263:$L$1593,$B263:$B$1593,$B262,$A263:$A$1593,$A262),I262*K262)</f>
        <v>4683.3</v>
      </c>
      <c r="N262"/>
      <c r="O262"/>
      <c r="P262" s="28"/>
      <c r="Q262" s="28"/>
      <c r="R262" s="28"/>
    </row>
    <row r="263" spans="1:18" outlineLevel="1">
      <c r="A263" s="24" t="str">
        <f t="shared" si="116"/>
        <v>GERAL</v>
      </c>
      <c r="B263" s="24" t="str">
        <f t="shared" si="117"/>
        <v>6º PAV. - ESTAC. 05</v>
      </c>
      <c r="C263" s="24" t="s">
        <v>222</v>
      </c>
      <c r="D263" s="30" t="str">
        <f>'Garagem 05'!C35</f>
        <v>Luminárias e Placas de Saída</v>
      </c>
      <c r="E263" s="30" t="str">
        <f>'Garagem 05'!D35</f>
        <v>Placa de Saída 24V de Parede sem Direção</v>
      </c>
      <c r="F263" s="25">
        <f>'Garagem 05'!E35</f>
        <v>4</v>
      </c>
      <c r="G263" s="25">
        <v>1</v>
      </c>
      <c r="H263" s="25">
        <v>0</v>
      </c>
      <c r="I263" s="25">
        <f t="shared" si="120"/>
        <v>4</v>
      </c>
      <c r="J263" s="25" t="str">
        <f>'Garagem 05'!F35</f>
        <v>pç</v>
      </c>
      <c r="K263" s="26">
        <f>_xlfn.XLOOKUP($E263,PREÇO!$C$7:$C$91,PREÇO!$E$7:$E$91)</f>
        <v>61.66</v>
      </c>
      <c r="L263" s="66">
        <f>IF(SUM(F263:K263)=0,SUMIFS($L264:$L$1593,$B264:$B$1593,$B263,$A264:$A$1593,$A263),I263*K263)</f>
        <v>246.64</v>
      </c>
      <c r="N263"/>
      <c r="O263"/>
      <c r="P263" s="28"/>
      <c r="Q263" s="28"/>
      <c r="R263" s="28"/>
    </row>
    <row r="264" spans="1:18" outlineLevel="1">
      <c r="A264" s="24" t="str">
        <f t="shared" si="116"/>
        <v>GERAL</v>
      </c>
      <c r="B264" s="24" t="str">
        <f t="shared" si="117"/>
        <v>6º PAV. - ESTAC. 05</v>
      </c>
      <c r="C264" s="24" t="s">
        <v>222</v>
      </c>
      <c r="D264" s="30" t="str">
        <f>'Garagem 05'!C36</f>
        <v>Luminárias e Placas de Saída</v>
      </c>
      <c r="E264" s="30" t="str">
        <f>'Garagem 05'!D36</f>
        <v>Placa de Saída Dupla Face 24V de Teto com Direção</v>
      </c>
      <c r="F264" s="25">
        <f>'Garagem 05'!E36</f>
        <v>19</v>
      </c>
      <c r="G264" s="25">
        <v>1</v>
      </c>
      <c r="H264" s="25">
        <v>0</v>
      </c>
      <c r="I264" s="25">
        <f t="shared" si="120"/>
        <v>19</v>
      </c>
      <c r="J264" s="25" t="str">
        <f>'Garagem 05'!F36</f>
        <v>pç</v>
      </c>
      <c r="K264" s="26">
        <f>_xlfn.XLOOKUP($E264,PREÇO!$C$7:$C$91,PREÇO!$E$7:$E$91)</f>
        <v>61.66</v>
      </c>
      <c r="L264" s="66">
        <f>IF(SUM(F264:K264)=0,SUMIFS($L266:$L$1593,$B266:$B$1593,$B264,$A266:$A$1593,$A264),I264*K264)</f>
        <v>1171.54</v>
      </c>
      <c r="N264"/>
      <c r="O264"/>
      <c r="P264" s="28"/>
      <c r="Q264" s="28"/>
      <c r="R264" s="28"/>
    </row>
    <row r="265" spans="1:18" outlineLevel="1">
      <c r="A265" s="116" t="str">
        <f>A263</f>
        <v>GERAL</v>
      </c>
      <c r="B265" s="116" t="s">
        <v>115</v>
      </c>
      <c r="C265" s="116" t="s">
        <v>222</v>
      </c>
      <c r="D265" s="116" t="s">
        <v>223</v>
      </c>
      <c r="E265" s="116" t="s">
        <v>224</v>
      </c>
      <c r="F265" s="117">
        <v>14</v>
      </c>
      <c r="G265" s="117">
        <v>1</v>
      </c>
      <c r="H265" s="118">
        <v>0</v>
      </c>
      <c r="I265" s="117">
        <f t="shared" si="120"/>
        <v>14</v>
      </c>
      <c r="J265" s="117" t="s">
        <v>11</v>
      </c>
      <c r="K265" s="119">
        <f>_xlfn.XLOOKUP($E265,PREÇO!$C$7:$C$91,PREÇO!$E$7:$E$91)</f>
        <v>646.55999999999995</v>
      </c>
      <c r="L265" s="120">
        <f>IF(SUM(F265:K265)=0,SUMIFS($L266:$L$1593,$B266:$B$1593,$B265,$A266:$A$1593,$A265),I265*K265)</f>
        <v>9051.84</v>
      </c>
      <c r="N265"/>
      <c r="O265"/>
      <c r="P265" s="28"/>
      <c r="Q265" s="28"/>
      <c r="R265" s="28"/>
    </row>
    <row r="266" spans="1:18" outlineLevel="1">
      <c r="A266" s="24" t="str">
        <f>A264</f>
        <v>GERAL</v>
      </c>
      <c r="B266" s="24" t="str">
        <f>B264</f>
        <v>6º PAV. - ESTAC. 05</v>
      </c>
      <c r="C266" s="30" t="s">
        <v>220</v>
      </c>
      <c r="D266" s="30" t="str">
        <f>'Garagem 05'!C37</f>
        <v>Sensores de Presença</v>
      </c>
      <c r="E266" s="30" t="str">
        <f>'Garagem 05'!D37</f>
        <v>Sensor de Presença 24V de teto</v>
      </c>
      <c r="F266" s="25">
        <f>'Garagem 05'!E37</f>
        <v>36</v>
      </c>
      <c r="G266" s="25">
        <v>1</v>
      </c>
      <c r="H266" s="25">
        <v>0</v>
      </c>
      <c r="I266" s="25">
        <f t="shared" si="120"/>
        <v>36</v>
      </c>
      <c r="J266" s="25" t="str">
        <f>'Garagem 05'!F37</f>
        <v>pç</v>
      </c>
      <c r="K266" s="26">
        <f>_xlfn.XLOOKUP($E266,PREÇO!$C$7:$C$91,PREÇO!$E$7:$E$91)</f>
        <v>38.4</v>
      </c>
      <c r="L266" s="66">
        <f>IF(SUM(F266:K266)=0,SUMIFS($L267:$L$1593,$B267:$B$1593,$B266,$A267:$A$1593,$A266),I266*K266)</f>
        <v>1382.3999999999999</v>
      </c>
      <c r="N266"/>
      <c r="O266"/>
      <c r="P266" s="28"/>
      <c r="Q266" s="28"/>
      <c r="R266" s="28"/>
    </row>
    <row r="267" spans="1:18" outlineLevel="1">
      <c r="A267" s="24" t="str">
        <f t="shared" si="116"/>
        <v>GERAL</v>
      </c>
      <c r="B267" s="24" t="str">
        <f t="shared" si="117"/>
        <v>6º PAV. - ESTAC. 05</v>
      </c>
      <c r="C267" s="30" t="s">
        <v>221</v>
      </c>
      <c r="D267" s="30" t="s">
        <v>87</v>
      </c>
      <c r="E267" s="30" t="str">
        <f>'Garagem 05'!C40&amp;" "&amp;'Garagem 05'!D40</f>
        <v>Isolação em PVC (70ºC) 1.5 mm² - Amarelo</v>
      </c>
      <c r="F267" s="25">
        <f>'Garagem 05'!E40</f>
        <v>1109.81</v>
      </c>
      <c r="G267" s="25">
        <v>1</v>
      </c>
      <c r="H267" s="25">
        <v>0</v>
      </c>
      <c r="I267" s="25">
        <f t="shared" si="120"/>
        <v>1109.81</v>
      </c>
      <c r="J267" s="25" t="str">
        <f>'Garagem 05'!F40</f>
        <v>m</v>
      </c>
      <c r="K267" s="26">
        <f>_xlfn.XLOOKUP($E267,PREÇO!$C$7:$C$91,PREÇO!$E$7:$E$91)</f>
        <v>1.59</v>
      </c>
      <c r="L267" s="66">
        <f>IF(SUM(F267:K267)=0,SUMIFS($L268:$L$1593,$B268:$B$1593,$B267,$A268:$A$1593,$A267),I267*K267)</f>
        <v>1764.5979</v>
      </c>
      <c r="N267"/>
      <c r="O267"/>
      <c r="P267" s="28"/>
      <c r="Q267" s="28"/>
      <c r="R267" s="28"/>
    </row>
    <row r="268" spans="1:18" outlineLevel="1">
      <c r="A268" s="24" t="str">
        <f t="shared" si="116"/>
        <v>GERAL</v>
      </c>
      <c r="B268" s="24" t="str">
        <f t="shared" si="117"/>
        <v>6º PAV. - ESTAC. 05</v>
      </c>
      <c r="C268" s="30" t="s">
        <v>221</v>
      </c>
      <c r="D268" s="30" t="s">
        <v>87</v>
      </c>
      <c r="E268" s="30" t="str">
        <f>'Garagem 05'!C41&amp;" "&amp;'Garagem 05'!D41</f>
        <v>Isolação em PVC (70ºC) 1.5 mm² - Preto</v>
      </c>
      <c r="F268" s="25">
        <f>'Garagem 05'!E41</f>
        <v>554.9</v>
      </c>
      <c r="G268" s="25">
        <v>1</v>
      </c>
      <c r="H268" s="25">
        <v>0</v>
      </c>
      <c r="I268" s="25">
        <f t="shared" si="120"/>
        <v>554.9</v>
      </c>
      <c r="J268" s="25" t="str">
        <f>'Garagem 05'!F41</f>
        <v>m</v>
      </c>
      <c r="K268" s="26">
        <f>_xlfn.XLOOKUP($E268,PREÇO!$C$7:$C$91,PREÇO!$E$7:$E$91)</f>
        <v>1.59</v>
      </c>
      <c r="L268" s="66">
        <f>IF(SUM(F268:K268)=0,SUMIFS($L269:$L$1593,$B269:$B$1593,$B268,$A269:$A$1593,$A268),I268*K268)</f>
        <v>882.29100000000005</v>
      </c>
      <c r="N268"/>
      <c r="O268"/>
      <c r="P268" s="28"/>
      <c r="Q268" s="28"/>
      <c r="R268" s="28"/>
    </row>
    <row r="269" spans="1:18" outlineLevel="1">
      <c r="A269" s="24" t="str">
        <f t="shared" si="116"/>
        <v>GERAL</v>
      </c>
      <c r="B269" s="24" t="str">
        <f t="shared" si="117"/>
        <v>6º PAV. - ESTAC. 05</v>
      </c>
      <c r="C269" s="30" t="s">
        <v>221</v>
      </c>
      <c r="D269" s="30" t="s">
        <v>87</v>
      </c>
      <c r="E269" s="30" t="str">
        <f>'Garagem 05'!C42&amp;" "&amp;'Garagem 05'!D42</f>
        <v>Isolação em PVC (70ºC) 1.5 mm² - Vermelho</v>
      </c>
      <c r="F269" s="25">
        <f>'Garagem 05'!E42</f>
        <v>554.9</v>
      </c>
      <c r="G269" s="25">
        <v>1</v>
      </c>
      <c r="H269" s="25">
        <v>0</v>
      </c>
      <c r="I269" s="25">
        <f t="shared" si="120"/>
        <v>554.9</v>
      </c>
      <c r="J269" s="25" t="str">
        <f>'Garagem 05'!F42</f>
        <v>m</v>
      </c>
      <c r="K269" s="26">
        <f>_xlfn.XLOOKUP($E269,PREÇO!$C$7:$C$91,PREÇO!$E$7:$E$91)</f>
        <v>1.59</v>
      </c>
      <c r="L269" s="66">
        <f>IF(SUM(F269:K269)=0,SUMIFS($L270:$L$1593,$B270:$B$1593,$B269,$A270:$A$1593,$A269),I269*K269)</f>
        <v>882.29100000000005</v>
      </c>
      <c r="N269"/>
      <c r="O269"/>
      <c r="P269" s="28"/>
      <c r="Q269" s="28"/>
      <c r="R269" s="28"/>
    </row>
    <row r="270" spans="1:18" outlineLevel="1">
      <c r="A270" s="24" t="str">
        <f t="shared" si="116"/>
        <v>GERAL</v>
      </c>
      <c r="B270" s="24" t="str">
        <f t="shared" si="117"/>
        <v>6º PAV. - ESTAC. 05</v>
      </c>
      <c r="C270" s="30" t="s">
        <v>221</v>
      </c>
      <c r="D270" s="30" t="s">
        <v>87</v>
      </c>
      <c r="E270" s="30" t="str">
        <f>'Garagem 05'!C43&amp;" "&amp;'Garagem 05'!D43</f>
        <v>Isolação em PVC (70ºC) 2.5 mm² - Amarelo</v>
      </c>
      <c r="F270" s="25">
        <f>'Garagem 05'!E43</f>
        <v>22.04</v>
      </c>
      <c r="G270" s="25">
        <v>1</v>
      </c>
      <c r="H270" s="25">
        <v>0</v>
      </c>
      <c r="I270" s="25">
        <f t="shared" si="120"/>
        <v>22.04</v>
      </c>
      <c r="J270" s="25" t="str">
        <f>'Garagem 05'!F43</f>
        <v>m</v>
      </c>
      <c r="K270" s="26">
        <f>_xlfn.XLOOKUP($E270,PREÇO!$C$7:$C$91,PREÇO!$E$7:$E$91)</f>
        <v>2.19</v>
      </c>
      <c r="L270" s="66">
        <f>IF(SUM(F270:K270)=0,SUMIFS($L271:$L$1593,$B271:$B$1593,$B270,$A271:$A$1593,$A270),I270*K270)</f>
        <v>48.267599999999995</v>
      </c>
      <c r="N270"/>
      <c r="O270"/>
      <c r="P270" s="28"/>
      <c r="Q270" s="28"/>
      <c r="R270" s="28"/>
    </row>
    <row r="271" spans="1:18" outlineLevel="1">
      <c r="A271" s="24" t="str">
        <f t="shared" si="116"/>
        <v>GERAL</v>
      </c>
      <c r="B271" s="24" t="str">
        <f t="shared" si="117"/>
        <v>6º PAV. - ESTAC. 05</v>
      </c>
      <c r="C271" s="30" t="s">
        <v>221</v>
      </c>
      <c r="D271" s="30" t="s">
        <v>87</v>
      </c>
      <c r="E271" s="30" t="str">
        <f>'Garagem 05'!C44&amp;" "&amp;'Garagem 05'!D44</f>
        <v>Isolação em PVC (70ºC) 2.5 mm² - Preto</v>
      </c>
      <c r="F271" s="25">
        <f>'Garagem 05'!E44</f>
        <v>152.75</v>
      </c>
      <c r="G271" s="25">
        <v>1</v>
      </c>
      <c r="H271" s="25">
        <v>0</v>
      </c>
      <c r="I271" s="25">
        <f t="shared" ref="I271:I281" si="121">(F271+H271*F271)*G271</f>
        <v>152.75</v>
      </c>
      <c r="J271" s="25" t="str">
        <f>'Garagem 05'!F44</f>
        <v>m</v>
      </c>
      <c r="K271" s="26">
        <f>_xlfn.XLOOKUP($E271,PREÇO!$C$7:$C$91,PREÇO!$E$7:$E$91)</f>
        <v>2.19</v>
      </c>
      <c r="L271" s="66">
        <f>IF(SUM(F271:K271)=0,SUMIFS($L272:$L$1593,$B272:$B$1593,$B271,$A272:$A$1593,$A271),I271*K271)</f>
        <v>334.52249999999998</v>
      </c>
      <c r="N271"/>
      <c r="O271"/>
      <c r="P271" s="28"/>
      <c r="Q271" s="28"/>
      <c r="R271" s="28"/>
    </row>
    <row r="272" spans="1:18" outlineLevel="1">
      <c r="A272" s="24" t="str">
        <f t="shared" si="116"/>
        <v>GERAL</v>
      </c>
      <c r="B272" s="24" t="str">
        <f t="shared" si="117"/>
        <v>6º PAV. - ESTAC. 05</v>
      </c>
      <c r="C272" s="30" t="s">
        <v>221</v>
      </c>
      <c r="D272" s="30" t="s">
        <v>87</v>
      </c>
      <c r="E272" s="30" t="str">
        <f>'Garagem 05'!C45&amp;" "&amp;'Garagem 05'!D45</f>
        <v>Isolação em PVC (70ºC) 2.5 mm² - Vermelho</v>
      </c>
      <c r="F272" s="25">
        <f>'Garagem 05'!E45</f>
        <v>152.75</v>
      </c>
      <c r="G272" s="25">
        <v>1</v>
      </c>
      <c r="H272" s="25">
        <v>0</v>
      </c>
      <c r="I272" s="25">
        <f t="shared" si="121"/>
        <v>152.75</v>
      </c>
      <c r="J272" s="25" t="str">
        <f>'Garagem 05'!F45</f>
        <v>m</v>
      </c>
      <c r="K272" s="26">
        <f>_xlfn.XLOOKUP($E272,PREÇO!$C$7:$C$91,PREÇO!$E$7:$E$91)</f>
        <v>2.19</v>
      </c>
      <c r="L272" s="66">
        <f>IF(SUM(F272:K272)=0,SUMIFS($L273:$L$1593,$B273:$B$1593,$B272,$A273:$A$1593,$A272),I272*K272)</f>
        <v>334.52249999999998</v>
      </c>
      <c r="N272"/>
      <c r="O272"/>
      <c r="P272" s="28"/>
      <c r="Q272" s="28"/>
      <c r="R272" s="28"/>
    </row>
    <row r="273" spans="1:18" outlineLevel="1">
      <c r="A273" s="24" t="str">
        <f t="shared" si="116"/>
        <v>GERAL</v>
      </c>
      <c r="B273" s="24" t="str">
        <f t="shared" si="117"/>
        <v>6º PAV. - ESTAC. 05</v>
      </c>
      <c r="C273" s="30" t="s">
        <v>221</v>
      </c>
      <c r="D273" s="30" t="s">
        <v>87</v>
      </c>
      <c r="E273" s="30" t="str">
        <f>'Garagem 05'!C46&amp;" "&amp;'Garagem 05'!D46</f>
        <v>Isolação em PVC (70ºC) 4 mm² - Preto</v>
      </c>
      <c r="F273" s="25">
        <f>'Garagem 05'!E46</f>
        <v>405.71</v>
      </c>
      <c r="G273" s="25">
        <v>1</v>
      </c>
      <c r="H273" s="25">
        <v>0</v>
      </c>
      <c r="I273" s="25">
        <f t="shared" si="121"/>
        <v>405.71</v>
      </c>
      <c r="J273" s="25" t="str">
        <f>'Garagem 05'!F46</f>
        <v>m</v>
      </c>
      <c r="K273" s="26">
        <f>_xlfn.XLOOKUP($E273,PREÇO!$C$7:$C$91,PREÇO!$E$7:$E$91)</f>
        <v>3.89</v>
      </c>
      <c r="L273" s="66">
        <f>IF(SUM(F273:K273)=0,SUMIFS($L274:$L$1593,$B274:$B$1593,$B273,$A274:$A$1593,$A273),I273*K273)</f>
        <v>1578.2119</v>
      </c>
      <c r="N273"/>
      <c r="O273"/>
      <c r="P273" s="28"/>
      <c r="Q273" s="28"/>
      <c r="R273" s="28"/>
    </row>
    <row r="274" spans="1:18" outlineLevel="1">
      <c r="A274" s="24" t="str">
        <f t="shared" si="116"/>
        <v>GERAL</v>
      </c>
      <c r="B274" s="24" t="str">
        <f t="shared" si="117"/>
        <v>6º PAV. - ESTAC. 05</v>
      </c>
      <c r="C274" s="30" t="s">
        <v>221</v>
      </c>
      <c r="D274" s="30" t="s">
        <v>87</v>
      </c>
      <c r="E274" s="30" t="str">
        <f>'Garagem 05'!C47&amp;" "&amp;'Garagem 05'!D47</f>
        <v>Isolação em PVC (70ºC) 4 mm² - Vermelho</v>
      </c>
      <c r="F274" s="25">
        <f>'Garagem 05'!E47</f>
        <v>405.71</v>
      </c>
      <c r="G274" s="25">
        <v>1</v>
      </c>
      <c r="H274" s="25">
        <v>0</v>
      </c>
      <c r="I274" s="25">
        <f t="shared" si="121"/>
        <v>405.71</v>
      </c>
      <c r="J274" s="25" t="str">
        <f>'Garagem 05'!F47</f>
        <v>m</v>
      </c>
      <c r="K274" s="26">
        <f>_xlfn.XLOOKUP($E274,PREÇO!$C$7:$C$91,PREÇO!$E$7:$E$91)</f>
        <v>3.89</v>
      </c>
      <c r="L274" s="66">
        <f>IF(SUM(F274:K274)=0,SUMIFS($L275:$L$1593,$B275:$B$1593,$B274,$A275:$A$1593,$A274),I274*K274)</f>
        <v>1578.2119</v>
      </c>
      <c r="N274"/>
      <c r="O274"/>
      <c r="P274" s="28"/>
      <c r="Q274" s="28"/>
      <c r="R274" s="28"/>
    </row>
    <row r="275" spans="1:18" outlineLevel="1">
      <c r="A275" s="24" t="str">
        <f t="shared" si="116"/>
        <v>GERAL</v>
      </c>
      <c r="B275" s="24" t="str">
        <f t="shared" si="117"/>
        <v>6º PAV. - ESTAC. 05</v>
      </c>
      <c r="C275" s="30" t="s">
        <v>221</v>
      </c>
      <c r="D275" s="30" t="s">
        <v>87</v>
      </c>
      <c r="E275" s="30" t="str">
        <f>'Garagem 05'!C48&amp;" "&amp;'Garagem 05'!D48</f>
        <v>Isolação em PVC (70ºC) 6 mm² - Preto</v>
      </c>
      <c r="F275" s="25">
        <f>'Garagem 05'!E48</f>
        <v>391.69</v>
      </c>
      <c r="G275" s="25">
        <v>1</v>
      </c>
      <c r="H275" s="25">
        <v>0</v>
      </c>
      <c r="I275" s="25">
        <f t="shared" si="121"/>
        <v>391.69</v>
      </c>
      <c r="J275" s="25" t="str">
        <f>'Garagem 05'!F48</f>
        <v>m</v>
      </c>
      <c r="K275" s="26">
        <f>_xlfn.XLOOKUP($E275,PREÇO!$C$7:$C$91,PREÇO!$E$7:$E$91)</f>
        <v>5.79</v>
      </c>
      <c r="L275" s="66">
        <f>IF(SUM(F275:K275)=0,SUMIFS($L276:$L$1593,$B276:$B$1593,$B275,$A276:$A$1593,$A275),I275*K275)</f>
        <v>2267.8851</v>
      </c>
      <c r="N275"/>
      <c r="O275"/>
      <c r="P275" s="28"/>
      <c r="Q275" s="28"/>
      <c r="R275" s="28"/>
    </row>
    <row r="276" spans="1:18" outlineLevel="1">
      <c r="A276" s="24" t="str">
        <f t="shared" si="116"/>
        <v>GERAL</v>
      </c>
      <c r="B276" s="24" t="str">
        <f t="shared" si="117"/>
        <v>6º PAV. - ESTAC. 05</v>
      </c>
      <c r="C276" s="30" t="s">
        <v>221</v>
      </c>
      <c r="D276" s="30" t="s">
        <v>87</v>
      </c>
      <c r="E276" s="30" t="str">
        <f>'Garagem 05'!C49&amp;" "&amp;'Garagem 05'!D49</f>
        <v>Isolação em PVC (70ºC) 6 mm² - Vermelho</v>
      </c>
      <c r="F276" s="25">
        <f>'Garagem 05'!E49</f>
        <v>391.69</v>
      </c>
      <c r="G276" s="25">
        <v>1</v>
      </c>
      <c r="H276" s="25">
        <v>0</v>
      </c>
      <c r="I276" s="25">
        <f t="shared" si="121"/>
        <v>391.69</v>
      </c>
      <c r="J276" s="25" t="str">
        <f>'Garagem 05'!F49</f>
        <v>m</v>
      </c>
      <c r="K276" s="26">
        <f>_xlfn.XLOOKUP($E276,PREÇO!$C$7:$C$91,PREÇO!$E$7:$E$91)</f>
        <v>5.79</v>
      </c>
      <c r="L276" s="66">
        <f>IF(SUM(F276:K276)=0,SUMIFS($L277:$L$1593,$B277:$B$1593,$B276,$A277:$A$1593,$A276),I276*K276)</f>
        <v>2267.8851</v>
      </c>
      <c r="N276"/>
      <c r="O276"/>
      <c r="P276" s="28"/>
      <c r="Q276" s="28"/>
      <c r="R276" s="28"/>
    </row>
    <row r="277" spans="1:18" outlineLevel="1">
      <c r="A277" s="24" t="str">
        <f t="shared" si="116"/>
        <v>GERAL</v>
      </c>
      <c r="B277" s="24" t="str">
        <f t="shared" si="117"/>
        <v>6º PAV. - ESTAC. 05</v>
      </c>
      <c r="C277" s="30" t="s">
        <v>221</v>
      </c>
      <c r="D277" s="30" t="s">
        <v>46</v>
      </c>
      <c r="E277" s="30" t="str">
        <f>'Garagem 05'!C53&amp;" "&amp;'Garagem 05'!D53</f>
        <v>PVC Flexível Antichama - NBR 15465 ø1"</v>
      </c>
      <c r="F277" s="25">
        <f>'Garagem 05'!E53</f>
        <v>246.81</v>
      </c>
      <c r="G277" s="25">
        <v>1</v>
      </c>
      <c r="H277" s="25">
        <v>0</v>
      </c>
      <c r="I277" s="25">
        <f t="shared" si="121"/>
        <v>246.81</v>
      </c>
      <c r="J277" s="25" t="str">
        <f>'Garagem 05'!F53</f>
        <v>m</v>
      </c>
      <c r="K277" s="26">
        <f>_xlfn.XLOOKUP($E277,PREÇO!$C$7:$C$91,PREÇO!$E$7:$E$91)</f>
        <v>2.5299999999999998</v>
      </c>
      <c r="L277" s="66">
        <f>IF(SUM(F277:K277)=0,SUMIFS($L278:$L$1593,$B278:$B$1593,$B277,$A278:$A$1593,$A277),I277*K277)</f>
        <v>624.42930000000001</v>
      </c>
      <c r="N277"/>
      <c r="O277"/>
      <c r="P277" s="28"/>
      <c r="Q277" s="28"/>
      <c r="R277" s="28"/>
    </row>
    <row r="278" spans="1:18" outlineLevel="1">
      <c r="A278" s="24" t="str">
        <f t="shared" si="116"/>
        <v>GERAL</v>
      </c>
      <c r="B278" s="24" t="str">
        <f t="shared" si="117"/>
        <v>6º PAV. - ESTAC. 05</v>
      </c>
      <c r="C278" s="30" t="s">
        <v>221</v>
      </c>
      <c r="D278" s="30" t="s">
        <v>89</v>
      </c>
      <c r="E278" s="30" t="str">
        <f>'Garagem 05'!C56&amp;" "&amp;'Garagem 05'!D56</f>
        <v>Classe A - PVC Anti-chama - 105ºC - Isolação 600V 0.75 mm²</v>
      </c>
      <c r="F278" s="25">
        <f>'Garagem 05'!E56</f>
        <v>238.14</v>
      </c>
      <c r="G278" s="25">
        <v>1</v>
      </c>
      <c r="H278" s="25">
        <v>0</v>
      </c>
      <c r="I278" s="25">
        <f t="shared" si="121"/>
        <v>238.14</v>
      </c>
      <c r="J278" s="25" t="str">
        <f>'Garagem 05'!F56</f>
        <v>m</v>
      </c>
      <c r="K278" s="26">
        <f>_xlfn.XLOOKUP($E278,PREÇO!$C$7:$C$91,PREÇO!$E$7:$E$91)</f>
        <v>0.99</v>
      </c>
      <c r="L278" s="66">
        <f>IF(SUM(F278:K278)=0,SUMIFS($L279:$L$1593,$B279:$B$1593,$B278,$A279:$A$1593,$A278),I278*K278)</f>
        <v>235.75859999999997</v>
      </c>
      <c r="N278"/>
      <c r="O278"/>
      <c r="P278" s="28"/>
      <c r="Q278" s="28"/>
      <c r="R278" s="28"/>
    </row>
    <row r="279" spans="1:18" ht="15.75" outlineLevel="1" thickBot="1">
      <c r="A279" s="24" t="str">
        <f t="shared" si="116"/>
        <v>GERAL</v>
      </c>
      <c r="B279" s="24" t="str">
        <f t="shared" si="117"/>
        <v>6º PAV. - ESTAC. 05</v>
      </c>
      <c r="C279" s="30" t="s">
        <v>221</v>
      </c>
      <c r="D279" s="30" t="s">
        <v>89</v>
      </c>
      <c r="E279" s="30" t="str">
        <f>'Garagem 05'!C57&amp;" "&amp;'Garagem 05'!D57</f>
        <v>Classe B - PVC Anti-chama - 105ºC - Isolação 600V 1.5 mm²</v>
      </c>
      <c r="F279" s="25">
        <f>'Garagem 05'!E57</f>
        <v>204.6</v>
      </c>
      <c r="G279" s="25">
        <v>1</v>
      </c>
      <c r="H279" s="25">
        <v>0</v>
      </c>
      <c r="I279" s="25">
        <f t="shared" si="121"/>
        <v>204.6</v>
      </c>
      <c r="J279" s="25" t="str">
        <f>'Garagem 05'!F57</f>
        <v>m</v>
      </c>
      <c r="K279" s="26">
        <f>_xlfn.XLOOKUP($E279,PREÇO!$C$7:$C$91,PREÇO!$E$7:$E$91)</f>
        <v>1.69</v>
      </c>
      <c r="L279" s="66">
        <f>IF(SUM(F279:K279)=0,SUMIFS($L280:$L$1593,$B280:$B$1593,$B279,$A280:$A$1593,$A279),I279*K279)</f>
        <v>345.774</v>
      </c>
      <c r="N279"/>
      <c r="O279"/>
      <c r="P279" s="28"/>
      <c r="Q279" s="28"/>
      <c r="R279" s="28"/>
    </row>
    <row r="280" spans="1:18" ht="15.75" thickTop="1">
      <c r="A280" s="82" t="s">
        <v>19</v>
      </c>
      <c r="B280" s="82" t="s">
        <v>123</v>
      </c>
      <c r="C280" s="43"/>
      <c r="D280" s="44"/>
      <c r="E280" s="44"/>
      <c r="F280" s="45"/>
      <c r="G280" s="45"/>
      <c r="H280" s="45"/>
      <c r="I280" s="45"/>
      <c r="J280" s="45"/>
      <c r="K280" s="47"/>
      <c r="L280" s="48">
        <f>IF(SUM(F280:K280)=0,SUMIFS($L281:$L$1593,$B281:$B$1593,$B280,$A281:$A$1593,$A280),I280*K280)</f>
        <v>34724.372900000009</v>
      </c>
      <c r="N280"/>
      <c r="O280"/>
      <c r="P280" s="28"/>
      <c r="Q280" s="28"/>
      <c r="R280" s="28"/>
    </row>
    <row r="281" spans="1:18" outlineLevel="1">
      <c r="A281" s="24" t="str">
        <f t="shared" ref="A281:A403" si="122">A280</f>
        <v>GERAL</v>
      </c>
      <c r="B281" s="24" t="str">
        <f t="shared" ref="B281:B403" si="123">B280</f>
        <v>7º PAV. - ESTAC. 06</v>
      </c>
      <c r="C281" s="30" t="s">
        <v>221</v>
      </c>
      <c r="D281" s="30" t="str">
        <f>'Garagem 06'!C6</f>
        <v>Acionadores</v>
      </c>
      <c r="E281" s="30" t="str">
        <f>'Garagem 06'!D6</f>
        <v>Acionador Manual de Alarme de Incêndio</v>
      </c>
      <c r="F281" s="25">
        <f>'Garagem 06'!E6</f>
        <v>7</v>
      </c>
      <c r="G281" s="25">
        <v>1</v>
      </c>
      <c r="H281" s="25">
        <v>0</v>
      </c>
      <c r="I281" s="25">
        <f t="shared" si="121"/>
        <v>7</v>
      </c>
      <c r="J281" s="25" t="str">
        <f>'Garagem 06'!F6</f>
        <v>pç</v>
      </c>
      <c r="K281" s="26">
        <f>_xlfn.XLOOKUP($E281,PREÇO!$C$7:$C$91,PREÇO!$E$7:$E$91)</f>
        <v>65</v>
      </c>
      <c r="L281" s="66">
        <f>IF(SUM(F281:K281)=0,SUMIFS($L282:$L$1593,$B282:$B$1593,$B281,$A282:$A$1593,$A281),I281*K281)</f>
        <v>455</v>
      </c>
      <c r="N281"/>
      <c r="O281"/>
      <c r="P281" s="28"/>
      <c r="Q281" s="28"/>
      <c r="R281" s="28"/>
    </row>
    <row r="282" spans="1:18" outlineLevel="1">
      <c r="A282" s="24" t="str">
        <f t="shared" si="122"/>
        <v>GERAL</v>
      </c>
      <c r="B282" s="24" t="str">
        <f t="shared" si="123"/>
        <v>7º PAV. - ESTAC. 06</v>
      </c>
      <c r="C282" s="30" t="s">
        <v>221</v>
      </c>
      <c r="D282" s="30" t="str">
        <f>'Garagem 06'!C7</f>
        <v>Anunciadores</v>
      </c>
      <c r="E282" s="30" t="str">
        <f>'Garagem 06'!D7</f>
        <v>Anunciador Audiovisual de Alarme de Incêndio de Parede</v>
      </c>
      <c r="F282" s="25">
        <f>'Garagem 06'!E7</f>
        <v>7</v>
      </c>
      <c r="G282" s="25">
        <v>1</v>
      </c>
      <c r="H282" s="25">
        <v>0</v>
      </c>
      <c r="I282" s="25">
        <f t="shared" ref="I282:I305" si="124">(F282+H282*F282)*G282</f>
        <v>7</v>
      </c>
      <c r="J282" s="25" t="str">
        <f>'Garagem 06'!F7</f>
        <v>pç</v>
      </c>
      <c r="K282" s="26">
        <f>_xlfn.XLOOKUP($E282,PREÇO!$C$7:$C$91,PREÇO!$E$7:$E$91)</f>
        <v>191.81</v>
      </c>
      <c r="L282" s="66">
        <f>IF(SUM(F282:K282)=0,SUMIFS($L283:$L$1593,$B283:$B$1593,$B282,$A283:$A$1593,$A282),I282*K282)</f>
        <v>1342.67</v>
      </c>
      <c r="N282"/>
      <c r="O282"/>
      <c r="P282" s="28"/>
      <c r="Q282" s="28"/>
      <c r="R282" s="28"/>
    </row>
    <row r="283" spans="1:18" outlineLevel="1">
      <c r="A283" s="24" t="str">
        <f t="shared" si="122"/>
        <v>GERAL</v>
      </c>
      <c r="B283" s="24" t="str">
        <f t="shared" si="123"/>
        <v>7º PAV. - ESTAC. 06</v>
      </c>
      <c r="C283" s="30" t="s">
        <v>221</v>
      </c>
      <c r="D283" s="30" t="str">
        <f>'Garagem 06'!C8</f>
        <v>Atuadores</v>
      </c>
      <c r="E283" s="30" t="str">
        <f>'Garagem 06'!D8</f>
        <v>Atuador Janela Desenfumagem</v>
      </c>
      <c r="F283" s="25">
        <f>'Garagem 06'!E8</f>
        <v>1</v>
      </c>
      <c r="G283" s="25">
        <v>1</v>
      </c>
      <c r="H283" s="25">
        <v>0</v>
      </c>
      <c r="I283" s="25">
        <f t="shared" si="124"/>
        <v>1</v>
      </c>
      <c r="J283" s="25" t="str">
        <f>'Garagem 06'!F8</f>
        <v>pç</v>
      </c>
      <c r="K283" s="26">
        <f>_xlfn.XLOOKUP($E283,PREÇO!$C$7:$C$91,PREÇO!$E$7:$E$91)</f>
        <v>1150</v>
      </c>
      <c r="L283" s="66">
        <f>IF(SUM(F283:K283)=0,SUMIFS($L284:$L$1593,$B284:$B$1593,$B283,$A284:$A$1593,$A283),I283*K283)</f>
        <v>1150</v>
      </c>
      <c r="N283"/>
      <c r="O283"/>
      <c r="P283" s="28"/>
      <c r="Q283" s="28"/>
      <c r="R283" s="28"/>
    </row>
    <row r="284" spans="1:18" outlineLevel="1">
      <c r="A284" s="24" t="str">
        <f t="shared" si="122"/>
        <v>GERAL</v>
      </c>
      <c r="B284" s="24" t="str">
        <f t="shared" si="123"/>
        <v>7º PAV. - ESTAC. 06</v>
      </c>
      <c r="C284" s="30" t="s">
        <v>221</v>
      </c>
      <c r="D284" s="30" t="str">
        <f>'Garagem 06'!C9</f>
        <v>Atuadores</v>
      </c>
      <c r="E284" s="30" t="str">
        <f>'Garagem 06'!D9</f>
        <v>Dispositivo Eletromagnético de Porta Aberta</v>
      </c>
      <c r="F284" s="25">
        <f>'Garagem 06'!E9</f>
        <v>1</v>
      </c>
      <c r="G284" s="25">
        <v>1</v>
      </c>
      <c r="H284" s="25">
        <v>0</v>
      </c>
      <c r="I284" s="25">
        <f t="shared" si="124"/>
        <v>1</v>
      </c>
      <c r="J284" s="25" t="str">
        <f>'Garagem 06'!F9</f>
        <v>pç</v>
      </c>
      <c r="K284" s="26">
        <f>_xlfn.XLOOKUP($E284,PREÇO!$C$7:$C$91,PREÇO!$E$7:$E$91)</f>
        <v>416.9</v>
      </c>
      <c r="L284" s="66">
        <f>IF(SUM(F284:K284)=0,SUMIFS($L285:$L$1593,$B285:$B$1593,$B284,$A285:$A$1593,$A284),I284*K284)</f>
        <v>416.9</v>
      </c>
      <c r="N284"/>
      <c r="O284"/>
      <c r="P284" s="28"/>
      <c r="Q284" s="28"/>
      <c r="R284" s="28"/>
    </row>
    <row r="285" spans="1:18" outlineLevel="1">
      <c r="A285" s="24" t="str">
        <f t="shared" si="122"/>
        <v>GERAL</v>
      </c>
      <c r="B285" s="24" t="str">
        <f t="shared" si="123"/>
        <v>7º PAV. - ESTAC. 06</v>
      </c>
      <c r="C285" s="30" t="s">
        <v>221</v>
      </c>
      <c r="D285" s="30" t="str">
        <f>'Garagem 06'!C10</f>
        <v>Sensores</v>
      </c>
      <c r="E285" s="30" t="str">
        <f>'Garagem 06'!D10</f>
        <v>Sensor de Fumaça</v>
      </c>
      <c r="F285" s="25">
        <f>'Garagem 06'!E10</f>
        <v>3</v>
      </c>
      <c r="G285" s="25">
        <v>1</v>
      </c>
      <c r="H285" s="25">
        <v>0</v>
      </c>
      <c r="I285" s="25">
        <f t="shared" si="124"/>
        <v>3</v>
      </c>
      <c r="J285" s="25" t="str">
        <f>'Garagem 06'!F10</f>
        <v>pç</v>
      </c>
      <c r="K285" s="26">
        <f>_xlfn.XLOOKUP($E285,PREÇO!$C$7:$C$91,PREÇO!$E$7:$E$91)</f>
        <v>53.9</v>
      </c>
      <c r="L285" s="66">
        <f>IF(SUM(F285:K285)=0,SUMIFS($L286:$L$1593,$B286:$B$1593,$B285,$A286:$A$1593,$A285),I285*K285)</f>
        <v>161.69999999999999</v>
      </c>
      <c r="N285"/>
      <c r="O285"/>
      <c r="P285" s="28"/>
      <c r="Q285" s="28"/>
      <c r="R285" s="28"/>
    </row>
    <row r="286" spans="1:18" outlineLevel="1">
      <c r="A286" s="24" t="str">
        <f t="shared" si="122"/>
        <v>GERAL</v>
      </c>
      <c r="B286" s="24" t="str">
        <f t="shared" si="123"/>
        <v>7º PAV. - ESTAC. 06</v>
      </c>
      <c r="C286" s="30" t="s">
        <v>221</v>
      </c>
      <c r="D286" s="30" t="str">
        <f>'Garagem 06'!C13</f>
        <v>Caixas</v>
      </c>
      <c r="E286" s="30" t="str">
        <f>'Garagem 06'!D13</f>
        <v>Caixa Octogonal Padrão NBR IEC 60670</v>
      </c>
      <c r="F286" s="25">
        <f>'Garagem 06'!E13</f>
        <v>119</v>
      </c>
      <c r="G286" s="25">
        <v>1</v>
      </c>
      <c r="H286" s="25">
        <v>0</v>
      </c>
      <c r="I286" s="25">
        <f t="shared" si="124"/>
        <v>119</v>
      </c>
      <c r="J286" s="25" t="str">
        <f>'Garagem 06'!F13</f>
        <v>pç</v>
      </c>
      <c r="K286" s="26">
        <f>_xlfn.XLOOKUP($E286,PREÇO!$C$7:$C$91,PREÇO!$E$7:$E$91)</f>
        <v>5.32</v>
      </c>
      <c r="L286" s="66">
        <f>IF(SUM(F286:K286)=0,SUMIFS($L287:$L$1593,$B287:$B$1593,$B286,$A287:$A$1593,$A286),I286*K286)</f>
        <v>633.08000000000004</v>
      </c>
      <c r="N286"/>
      <c r="O286"/>
      <c r="P286" s="28"/>
      <c r="Q286" s="28"/>
      <c r="R286" s="28"/>
    </row>
    <row r="287" spans="1:18" outlineLevel="1">
      <c r="A287" s="24" t="str">
        <f t="shared" si="122"/>
        <v>GERAL</v>
      </c>
      <c r="B287" s="24" t="str">
        <f t="shared" si="123"/>
        <v>7º PAV. - ESTAC. 06</v>
      </c>
      <c r="C287" s="30" t="s">
        <v>221</v>
      </c>
      <c r="D287" s="30" t="str">
        <f>'Garagem 06'!C14</f>
        <v>Placas</v>
      </c>
      <c r="E287" s="30" t="str">
        <f>'Garagem 06'!D14</f>
        <v>Placa cega para caixa octogonal Padrão NBR IEC 60670</v>
      </c>
      <c r="F287" s="25">
        <f>'Garagem 06'!E14</f>
        <v>17</v>
      </c>
      <c r="G287" s="25">
        <v>1</v>
      </c>
      <c r="H287" s="25">
        <v>0</v>
      </c>
      <c r="I287" s="25">
        <f t="shared" si="124"/>
        <v>17</v>
      </c>
      <c r="J287" s="25" t="str">
        <f>'Garagem 06'!F14</f>
        <v>pç</v>
      </c>
      <c r="K287" s="26">
        <f>_xlfn.XLOOKUP($E287,PREÇO!$C$7:$C$91,PREÇO!$E$7:$E$91)</f>
        <v>2.5</v>
      </c>
      <c r="L287" s="66">
        <f>IF(SUM(F287:K287)=0,SUMIFS($L288:$L$1593,$B288:$B$1593,$B287,$A288:$A$1593,$A287),I287*K287)</f>
        <v>42.5</v>
      </c>
      <c r="N287"/>
      <c r="O287"/>
      <c r="P287" s="28"/>
      <c r="Q287" s="28"/>
      <c r="R287" s="28"/>
    </row>
    <row r="288" spans="1:18" outlineLevel="1">
      <c r="A288" s="24" t="str">
        <f t="shared" si="122"/>
        <v>GERAL</v>
      </c>
      <c r="B288" s="24" t="str">
        <f t="shared" si="123"/>
        <v>7º PAV. - ESTAC. 06</v>
      </c>
      <c r="C288" s="30" t="s">
        <v>221</v>
      </c>
      <c r="D288" s="30" t="str">
        <f>'Garagem 06'!C17</f>
        <v>Caixas</v>
      </c>
      <c r="E288" s="30" t="str">
        <f>'Garagem 06'!D17</f>
        <v>Caixa 4x2" de Embutir em PVC Padrão NBR IEC 60670</v>
      </c>
      <c r="F288" s="25">
        <f>'Garagem 06'!E17</f>
        <v>44</v>
      </c>
      <c r="G288" s="25">
        <v>1</v>
      </c>
      <c r="H288" s="25">
        <v>0</v>
      </c>
      <c r="I288" s="25">
        <f t="shared" si="124"/>
        <v>44</v>
      </c>
      <c r="J288" s="25" t="str">
        <f>'Garagem 06'!F17</f>
        <v>pç</v>
      </c>
      <c r="K288" s="26">
        <f>_xlfn.XLOOKUP($E288,PREÇO!$C$7:$C$91,PREÇO!$E$7:$E$91)</f>
        <v>1.72</v>
      </c>
      <c r="L288" s="66">
        <f>IF(SUM(F288:K288)=0,SUMIFS($L289:$L$1593,$B289:$B$1593,$B288,$A289:$A$1593,$A288),I288*K288)</f>
        <v>75.679999999999993</v>
      </c>
      <c r="N288"/>
      <c r="O288"/>
      <c r="P288" s="28"/>
      <c r="Q288" s="28"/>
      <c r="R288" s="28"/>
    </row>
    <row r="289" spans="1:18" outlineLevel="1">
      <c r="A289" s="24" t="str">
        <f t="shared" si="122"/>
        <v>GERAL</v>
      </c>
      <c r="B289" s="24" t="str">
        <f t="shared" si="123"/>
        <v>7º PAV. - ESTAC. 06</v>
      </c>
      <c r="C289" s="30" t="s">
        <v>221</v>
      </c>
      <c r="D289" s="30" t="str">
        <f>'Garagem 06'!C18</f>
        <v>Caixas</v>
      </c>
      <c r="E289" s="30" t="str">
        <f>'Garagem 06'!D18</f>
        <v>Caixa 4x4" de Embutir em PVC Padrão NBR IEC 60670</v>
      </c>
      <c r="F289" s="25">
        <f>'Garagem 06'!E18</f>
        <v>4</v>
      </c>
      <c r="G289" s="25">
        <v>1</v>
      </c>
      <c r="H289" s="25">
        <v>0</v>
      </c>
      <c r="I289" s="25">
        <f t="shared" si="124"/>
        <v>4</v>
      </c>
      <c r="J289" s="25" t="str">
        <f>'Garagem 06'!F18</f>
        <v>pç</v>
      </c>
      <c r="K289" s="26">
        <f>_xlfn.XLOOKUP($E289,PREÇO!$C$7:$C$91,PREÇO!$E$7:$E$91)</f>
        <v>1.72</v>
      </c>
      <c r="L289" s="66">
        <f>IF(SUM(F289:K289)=0,SUMIFS($L290:$L$1593,$B290:$B$1593,$B289,$A290:$A$1593,$A289),I289*K289)</f>
        <v>6.88</v>
      </c>
      <c r="N289"/>
      <c r="O289"/>
      <c r="P289" s="28"/>
      <c r="Q289" s="28"/>
      <c r="R289" s="28"/>
    </row>
    <row r="290" spans="1:18" outlineLevel="1">
      <c r="A290" s="24" t="str">
        <f t="shared" si="122"/>
        <v>GERAL</v>
      </c>
      <c r="B290" s="24" t="str">
        <f t="shared" si="123"/>
        <v>7º PAV. - ESTAC. 06</v>
      </c>
      <c r="C290" s="30" t="s">
        <v>221</v>
      </c>
      <c r="D290" s="30" t="str">
        <f>'Garagem 06'!C19</f>
        <v>Placas</v>
      </c>
      <c r="E290" s="30" t="str">
        <f>'Garagem 06'!D19</f>
        <v>Placa 4x2" cega Padrão NBR IEC 60670</v>
      </c>
      <c r="F290" s="25">
        <f>'Garagem 06'!E19</f>
        <v>5</v>
      </c>
      <c r="G290" s="25">
        <v>1</v>
      </c>
      <c r="H290" s="25">
        <v>0</v>
      </c>
      <c r="I290" s="25">
        <f t="shared" si="124"/>
        <v>5</v>
      </c>
      <c r="J290" s="25" t="str">
        <f>'Garagem 06'!F19</f>
        <v>pç</v>
      </c>
      <c r="K290" s="26">
        <f>_xlfn.XLOOKUP($E290,PREÇO!$C$7:$C$91,PREÇO!$E$7:$E$91)</f>
        <v>4.59</v>
      </c>
      <c r="L290" s="66">
        <f>IF(SUM(F290:K290)=0,SUMIFS($L291:$L$1593,$B291:$B$1593,$B290,$A291:$A$1593,$A290),I290*K290)</f>
        <v>22.95</v>
      </c>
      <c r="N290"/>
      <c r="O290"/>
      <c r="P290" s="28"/>
      <c r="Q290" s="28"/>
      <c r="R290" s="28"/>
    </row>
    <row r="291" spans="1:18" outlineLevel="1">
      <c r="A291" s="24" t="str">
        <f t="shared" si="122"/>
        <v>GERAL</v>
      </c>
      <c r="B291" s="24" t="str">
        <f t="shared" si="123"/>
        <v>7º PAV. - ESTAC. 06</v>
      </c>
      <c r="C291" s="30" t="s">
        <v>221</v>
      </c>
      <c r="D291" s="30" t="str">
        <f>'Garagem 06'!C20</f>
        <v>Placas</v>
      </c>
      <c r="E291" s="30" t="str">
        <f>'Garagem 06'!D20</f>
        <v>Placa 4x2" com furo para saída de cabos Padrão NBR IEC 60670</v>
      </c>
      <c r="F291" s="25">
        <f>'Garagem 06'!E20</f>
        <v>39</v>
      </c>
      <c r="G291" s="25">
        <v>1</v>
      </c>
      <c r="H291" s="25">
        <v>0</v>
      </c>
      <c r="I291" s="25">
        <f t="shared" si="124"/>
        <v>39</v>
      </c>
      <c r="J291" s="25" t="str">
        <f>'Garagem 06'!F20</f>
        <v>pç</v>
      </c>
      <c r="K291" s="26">
        <f>_xlfn.XLOOKUP($E291,PREÇO!$C$7:$C$91,PREÇO!$E$7:$E$91)</f>
        <v>6.55</v>
      </c>
      <c r="L291" s="66">
        <f>IF(SUM(F291:K291)=0,SUMIFS($L292:$L$1593,$B292:$B$1593,$B291,$A292:$A$1593,$A291),I291*K291)</f>
        <v>255.45</v>
      </c>
      <c r="N291"/>
      <c r="O291"/>
      <c r="P291" s="28"/>
      <c r="Q291" s="28"/>
      <c r="R291" s="28"/>
    </row>
    <row r="292" spans="1:18" outlineLevel="1">
      <c r="A292" s="24" t="str">
        <f t="shared" si="122"/>
        <v>GERAL</v>
      </c>
      <c r="B292" s="24" t="str">
        <f t="shared" si="123"/>
        <v>7º PAV. - ESTAC. 06</v>
      </c>
      <c r="C292" s="30" t="s">
        <v>221</v>
      </c>
      <c r="D292" s="30" t="str">
        <f>'Garagem 06'!C21</f>
        <v>Placas</v>
      </c>
      <c r="E292" s="30" t="str">
        <f>'Garagem 06'!D21</f>
        <v>Placa 4x4" cega Padrão NBR IEC 60670</v>
      </c>
      <c r="F292" s="25">
        <f>'Garagem 06'!E21</f>
        <v>4</v>
      </c>
      <c r="G292" s="25">
        <v>1</v>
      </c>
      <c r="H292" s="25">
        <v>0</v>
      </c>
      <c r="I292" s="25">
        <f t="shared" si="124"/>
        <v>4</v>
      </c>
      <c r="J292" s="25" t="str">
        <f>'Garagem 06'!F21</f>
        <v>pç</v>
      </c>
      <c r="K292" s="26">
        <f>_xlfn.XLOOKUP($E292,PREÇO!$C$7:$C$91,PREÇO!$E$7:$E$91)</f>
        <v>12.25</v>
      </c>
      <c r="L292" s="66">
        <f>IF(SUM(F292:K292)=0,SUMIFS($L293:$L$1593,$B293:$B$1593,$B292,$A293:$A$1593,$A292),I292*K292)</f>
        <v>49</v>
      </c>
      <c r="N292"/>
      <c r="O292"/>
      <c r="P292" s="28"/>
      <c r="Q292" s="28"/>
      <c r="R292" s="28"/>
    </row>
    <row r="293" spans="1:18" outlineLevel="1">
      <c r="A293" s="24" t="str">
        <f t="shared" si="122"/>
        <v>GERAL</v>
      </c>
      <c r="B293" s="24" t="str">
        <f t="shared" si="123"/>
        <v>7º PAV. - ESTAC. 06</v>
      </c>
      <c r="C293" s="30" t="s">
        <v>221</v>
      </c>
      <c r="D293" s="30" t="str">
        <f>'Garagem 06'!C22</f>
        <v>Suportes</v>
      </c>
      <c r="E293" s="30" t="str">
        <f>'Garagem 06'!D22</f>
        <v>Suporte p/ caixa 4x2" Padrão NBR IEC 60670</v>
      </c>
      <c r="F293" s="25">
        <f>'Garagem 06'!E22</f>
        <v>44</v>
      </c>
      <c r="G293" s="25">
        <v>1</v>
      </c>
      <c r="H293" s="25">
        <v>0</v>
      </c>
      <c r="I293" s="25">
        <f t="shared" si="124"/>
        <v>44</v>
      </c>
      <c r="J293" s="25" t="str">
        <f>'Garagem 06'!F22</f>
        <v>pç</v>
      </c>
      <c r="K293" s="26">
        <f>_xlfn.XLOOKUP($E293,PREÇO!$C$7:$C$91,PREÇO!$E$7:$E$91)</f>
        <v>1.85</v>
      </c>
      <c r="L293" s="66">
        <f>IF(SUM(F293:K293)=0,SUMIFS($L294:$L$1593,$B294:$B$1593,$B293,$A294:$A$1593,$A293),I293*K293)</f>
        <v>81.400000000000006</v>
      </c>
      <c r="N293"/>
      <c r="O293"/>
      <c r="P293" s="28"/>
      <c r="Q293" s="28"/>
      <c r="R293" s="28"/>
    </row>
    <row r="294" spans="1:18" outlineLevel="1">
      <c r="A294" s="24" t="str">
        <f t="shared" si="122"/>
        <v>GERAL</v>
      </c>
      <c r="B294" s="24" t="str">
        <f t="shared" si="123"/>
        <v>7º PAV. - ESTAC. 06</v>
      </c>
      <c r="C294" s="30" t="s">
        <v>221</v>
      </c>
      <c r="D294" s="30" t="str">
        <f>'Garagem 06'!C23</f>
        <v>Suportes</v>
      </c>
      <c r="E294" s="30" t="str">
        <f>'Garagem 06'!D23</f>
        <v>Suporte p/ caixa 4x4" Padrão NBR IEC 60670</v>
      </c>
      <c r="F294" s="25">
        <f>'Garagem 06'!E23</f>
        <v>4</v>
      </c>
      <c r="G294" s="25">
        <v>1</v>
      </c>
      <c r="H294" s="25">
        <v>0</v>
      </c>
      <c r="I294" s="25">
        <f t="shared" si="124"/>
        <v>4</v>
      </c>
      <c r="J294" s="25" t="str">
        <f>'Garagem 06'!F23</f>
        <v>pç</v>
      </c>
      <c r="K294" s="26">
        <f>_xlfn.XLOOKUP($E294,PREÇO!$C$7:$C$91,PREÇO!$E$7:$E$91)</f>
        <v>3.15</v>
      </c>
      <c r="L294" s="66">
        <f>IF(SUM(F294:K294)=0,SUMIFS($L295:$L$1593,$B295:$B$1593,$B294,$A295:$A$1593,$A294),I294*K294)</f>
        <v>12.6</v>
      </c>
      <c r="N294"/>
      <c r="O294"/>
      <c r="P294" s="28"/>
      <c r="Q294" s="28"/>
      <c r="R294" s="28"/>
    </row>
    <row r="295" spans="1:18" outlineLevel="1">
      <c r="A295" s="24" t="str">
        <f t="shared" si="122"/>
        <v>GERAL</v>
      </c>
      <c r="B295" s="24" t="str">
        <f t="shared" si="123"/>
        <v>7º PAV. - ESTAC. 06</v>
      </c>
      <c r="C295" s="30" t="s">
        <v>221</v>
      </c>
      <c r="D295" s="30" t="str">
        <f>'Garagem 06'!C26</f>
        <v>Embutir</v>
      </c>
      <c r="E295" s="30" t="str">
        <f>'Garagem 06'!D26</f>
        <v>Cx de passagem de embutir com dimensão de 50x50x15 cm</v>
      </c>
      <c r="F295" s="25">
        <f>'Garagem 06'!E26</f>
        <v>1</v>
      </c>
      <c r="G295" s="25">
        <v>1</v>
      </c>
      <c r="H295" s="25">
        <v>0</v>
      </c>
      <c r="I295" s="25">
        <f t="shared" si="124"/>
        <v>1</v>
      </c>
      <c r="J295" s="25" t="str">
        <f>'Garagem 06'!F26</f>
        <v>pç</v>
      </c>
      <c r="K295" s="26">
        <f>_xlfn.XLOOKUP($E295,PREÇO!$C$7:$C$91,PREÇO!$E$7:$E$91)</f>
        <v>291.60000000000002</v>
      </c>
      <c r="L295" s="66">
        <f>IF(SUM(F295:K295)=0,SUMIFS($L296:$L$1593,$B296:$B$1593,$B295,$A296:$A$1593,$A295),I295*K295)</f>
        <v>291.60000000000002</v>
      </c>
      <c r="N295"/>
      <c r="O295"/>
      <c r="P295" s="28"/>
      <c r="Q295" s="28"/>
      <c r="R295" s="28"/>
    </row>
    <row r="296" spans="1:18" outlineLevel="1">
      <c r="A296" s="24" t="str">
        <f t="shared" si="122"/>
        <v>GERAL</v>
      </c>
      <c r="B296" s="24" t="str">
        <f t="shared" si="123"/>
        <v>7º PAV. - ESTAC. 06</v>
      </c>
      <c r="C296" s="30" t="s">
        <v>221</v>
      </c>
      <c r="D296" s="83" t="s">
        <v>46</v>
      </c>
      <c r="E296" s="30" t="str">
        <f>'Garagem 06'!C29&amp;" "&amp;'Garagem 06'!D29</f>
        <v>PVC Flexível Antichama - NBR 15465 ø1"</v>
      </c>
      <c r="F296" s="25">
        <f>'Garagem 06'!E29</f>
        <v>214.06</v>
      </c>
      <c r="G296" s="25">
        <v>1</v>
      </c>
      <c r="H296" s="25">
        <v>0</v>
      </c>
      <c r="I296" s="25">
        <f t="shared" si="124"/>
        <v>214.06</v>
      </c>
      <c r="J296" s="25" t="str">
        <f>'Garagem 06'!F29</f>
        <v>m</v>
      </c>
      <c r="K296" s="26">
        <f>_xlfn.XLOOKUP($E296,PREÇO!$C$7:$C$91,PREÇO!$E$7:$E$91)</f>
        <v>2.5299999999999998</v>
      </c>
      <c r="L296" s="66">
        <f>IF(SUM(F296:K296)=0,SUMIFS($L297:$L$1593,$B297:$B$1593,$B296,$A297:$A$1593,$A296),I296*K296)</f>
        <v>541.57179999999994</v>
      </c>
      <c r="N296"/>
      <c r="O296"/>
      <c r="P296" s="28"/>
      <c r="Q296" s="28"/>
      <c r="R296" s="28"/>
    </row>
    <row r="297" spans="1:18" outlineLevel="1">
      <c r="A297" s="24" t="str">
        <f t="shared" si="122"/>
        <v>GERAL</v>
      </c>
      <c r="B297" s="24" t="str">
        <f t="shared" si="123"/>
        <v>7º PAV. - ESTAC. 06</v>
      </c>
      <c r="C297" s="30" t="s">
        <v>221</v>
      </c>
      <c r="D297" s="83" t="s">
        <v>46</v>
      </c>
      <c r="E297" s="30" t="str">
        <f>'Garagem 06'!C30&amp;" "&amp;'Garagem 06'!D30</f>
        <v>PVC Flexível Antichama - NBR 15465 ø3/4"</v>
      </c>
      <c r="F297" s="25">
        <f>'Garagem 06'!E30</f>
        <v>223.32</v>
      </c>
      <c r="G297" s="25">
        <v>1</v>
      </c>
      <c r="H297" s="25">
        <v>0</v>
      </c>
      <c r="I297" s="25">
        <f t="shared" si="124"/>
        <v>223.32</v>
      </c>
      <c r="J297" s="25" t="str">
        <f>'Garagem 06'!F30</f>
        <v>m</v>
      </c>
      <c r="K297" s="26">
        <f>_xlfn.XLOOKUP($E297,PREÇO!$C$7:$C$91,PREÇO!$E$7:$E$91)</f>
        <v>1.8</v>
      </c>
      <c r="L297" s="66">
        <f>IF(SUM(F297:K297)=0,SUMIFS($L298:$L$1593,$B298:$B$1593,$B297,$A298:$A$1593,$A297),I297*K297)</f>
        <v>401.976</v>
      </c>
      <c r="N297"/>
      <c r="O297"/>
      <c r="P297" s="28"/>
      <c r="Q297" s="28"/>
      <c r="R297" s="28"/>
    </row>
    <row r="298" spans="1:18" outlineLevel="1">
      <c r="A298" s="24" t="str">
        <f t="shared" si="122"/>
        <v>GERAL</v>
      </c>
      <c r="B298" s="24" t="str">
        <f t="shared" si="123"/>
        <v>7º PAV. - ESTAC. 06</v>
      </c>
      <c r="C298" s="30" t="s">
        <v>220</v>
      </c>
      <c r="D298" s="30" t="str">
        <f>'Garagem 06'!C33</f>
        <v>Luminárias e Placas de Saída</v>
      </c>
      <c r="E298" s="30" t="str">
        <f>'Garagem 06'!D33</f>
        <v>Luminária de Emergência 24V de Parede</v>
      </c>
      <c r="F298" s="25">
        <f>'Garagem 06'!E33</f>
        <v>3</v>
      </c>
      <c r="G298" s="25">
        <v>1</v>
      </c>
      <c r="H298" s="25">
        <v>0</v>
      </c>
      <c r="I298" s="25">
        <f t="shared" si="124"/>
        <v>3</v>
      </c>
      <c r="J298" s="25" t="str">
        <f>'Garagem 06'!F33</f>
        <v>pç</v>
      </c>
      <c r="K298" s="26">
        <f>_xlfn.XLOOKUP($E298,PREÇO!$C$7:$C$91,PREÇO!$E$7:$E$91)</f>
        <v>15.9</v>
      </c>
      <c r="L298" s="66">
        <f>IF(SUM(F298:K298)=0,SUMIFS($L299:$L$1593,$B299:$B$1593,$B298,$A299:$A$1593,$A298),I298*K298)</f>
        <v>47.7</v>
      </c>
      <c r="N298"/>
      <c r="O298"/>
      <c r="P298" s="28"/>
      <c r="Q298" s="28"/>
      <c r="R298" s="28"/>
    </row>
    <row r="299" spans="1:18" outlineLevel="1">
      <c r="A299" s="24" t="str">
        <f t="shared" si="122"/>
        <v>GERAL</v>
      </c>
      <c r="B299" s="24" t="str">
        <f t="shared" si="123"/>
        <v>7º PAV. - ESTAC. 06</v>
      </c>
      <c r="C299" s="30" t="s">
        <v>220</v>
      </c>
      <c r="D299" s="30" t="str">
        <f>'Garagem 06'!C34</f>
        <v>Luminárias e Placas de Saída</v>
      </c>
      <c r="E299" s="30" t="str">
        <f>'Garagem 06'!D34</f>
        <v>Luminária de Emergência 24V de Teto</v>
      </c>
      <c r="F299" s="25">
        <f>'Garagem 06'!E34</f>
        <v>65</v>
      </c>
      <c r="G299" s="25">
        <v>1</v>
      </c>
      <c r="H299" s="25">
        <v>0</v>
      </c>
      <c r="I299" s="25">
        <f t="shared" si="124"/>
        <v>65</v>
      </c>
      <c r="J299" s="25" t="str">
        <f>'Garagem 06'!F34</f>
        <v>pç</v>
      </c>
      <c r="K299" s="26">
        <f>_xlfn.XLOOKUP($E299,PREÇO!$C$7:$C$91,PREÇO!$E$7:$E$91)</f>
        <v>69.900000000000006</v>
      </c>
      <c r="L299" s="66">
        <f>IF(SUM(F299:K299)=0,SUMIFS($L300:$L$1593,$B300:$B$1593,$B299,$A300:$A$1593,$A299),I299*K299)</f>
        <v>4543.5</v>
      </c>
      <c r="N299"/>
      <c r="O299"/>
      <c r="P299" s="28"/>
      <c r="Q299" s="28"/>
      <c r="R299" s="28"/>
    </row>
    <row r="300" spans="1:18" outlineLevel="1">
      <c r="A300" s="24" t="str">
        <f t="shared" si="122"/>
        <v>GERAL</v>
      </c>
      <c r="B300" s="24" t="str">
        <f t="shared" si="123"/>
        <v>7º PAV. - ESTAC. 06</v>
      </c>
      <c r="C300" s="24" t="s">
        <v>222</v>
      </c>
      <c r="D300" s="30" t="str">
        <f>'Garagem 06'!C35</f>
        <v>Luminárias e Placas de Saída</v>
      </c>
      <c r="E300" s="30" t="str">
        <f>'Garagem 06'!D35</f>
        <v>Placa de Saída 24V de Parede sem Direção</v>
      </c>
      <c r="F300" s="25">
        <f>'Garagem 06'!E35</f>
        <v>4</v>
      </c>
      <c r="G300" s="25">
        <v>1</v>
      </c>
      <c r="H300" s="25">
        <v>0</v>
      </c>
      <c r="I300" s="25">
        <f t="shared" si="124"/>
        <v>4</v>
      </c>
      <c r="J300" s="25" t="str">
        <f>'Garagem 06'!F35</f>
        <v>pç</v>
      </c>
      <c r="K300" s="26">
        <f>_xlfn.XLOOKUP($E300,PREÇO!$C$7:$C$91,PREÇO!$E$7:$E$91)</f>
        <v>61.66</v>
      </c>
      <c r="L300" s="66">
        <f>IF(SUM(F300:K300)=0,SUMIFS($L301:$L$1593,$B301:$B$1593,$B300,$A301:$A$1593,$A300),I300*K300)</f>
        <v>246.64</v>
      </c>
      <c r="N300"/>
      <c r="O300"/>
      <c r="P300" s="28"/>
      <c r="Q300" s="28"/>
      <c r="R300" s="28"/>
    </row>
    <row r="301" spans="1:18" outlineLevel="1">
      <c r="A301" s="24" t="str">
        <f t="shared" si="122"/>
        <v>GERAL</v>
      </c>
      <c r="B301" s="24" t="str">
        <f t="shared" si="123"/>
        <v>7º PAV. - ESTAC. 06</v>
      </c>
      <c r="C301" s="24" t="s">
        <v>222</v>
      </c>
      <c r="D301" s="30" t="str">
        <f>'Garagem 06'!C36</f>
        <v>Luminárias e Placas de Saída</v>
      </c>
      <c r="E301" s="30" t="str">
        <f>'Garagem 06'!D36</f>
        <v>Placa de Saída Dupla Face 24V de Teto com Direção</v>
      </c>
      <c r="F301" s="25">
        <f>'Garagem 06'!E36</f>
        <v>18</v>
      </c>
      <c r="G301" s="25">
        <v>1</v>
      </c>
      <c r="H301" s="25">
        <v>0</v>
      </c>
      <c r="I301" s="25">
        <f t="shared" si="124"/>
        <v>18</v>
      </c>
      <c r="J301" s="25" t="str">
        <f>'Garagem 06'!F36</f>
        <v>pç</v>
      </c>
      <c r="K301" s="26">
        <f>_xlfn.XLOOKUP($E301,PREÇO!$C$7:$C$91,PREÇO!$E$7:$E$91)</f>
        <v>61.66</v>
      </c>
      <c r="L301" s="66">
        <f>IF(SUM(F301:K301)=0,SUMIFS($L303:$L$1593,$B303:$B$1593,$B301,$A303:$A$1593,$A301),I301*K301)</f>
        <v>1109.8799999999999</v>
      </c>
      <c r="N301"/>
      <c r="O301"/>
      <c r="P301" s="28"/>
      <c r="Q301" s="28"/>
      <c r="R301" s="28"/>
    </row>
    <row r="302" spans="1:18" outlineLevel="1">
      <c r="A302" s="116" t="str">
        <f>A300</f>
        <v>GERAL</v>
      </c>
      <c r="B302" s="116" t="s">
        <v>123</v>
      </c>
      <c r="C302" s="116" t="s">
        <v>222</v>
      </c>
      <c r="D302" s="116" t="s">
        <v>223</v>
      </c>
      <c r="E302" s="116" t="s">
        <v>224</v>
      </c>
      <c r="F302" s="117">
        <v>14</v>
      </c>
      <c r="G302" s="117">
        <v>1</v>
      </c>
      <c r="H302" s="118">
        <v>0</v>
      </c>
      <c r="I302" s="117">
        <f t="shared" si="124"/>
        <v>14</v>
      </c>
      <c r="J302" s="117" t="s">
        <v>11</v>
      </c>
      <c r="K302" s="119">
        <f>_xlfn.XLOOKUP($E302,PREÇO!$C$7:$C$91,PREÇO!$E$7:$E$91)</f>
        <v>646.55999999999995</v>
      </c>
      <c r="L302" s="120">
        <f>IF(SUM(F302:K302)=0,SUMIFS($L303:$L$1593,$B303:$B$1593,$B302,$A303:$A$1593,$A302),I302*K302)</f>
        <v>9051.84</v>
      </c>
      <c r="N302"/>
      <c r="O302"/>
      <c r="P302" s="28"/>
      <c r="Q302" s="28"/>
      <c r="R302" s="28"/>
    </row>
    <row r="303" spans="1:18" outlineLevel="1">
      <c r="A303" s="24" t="str">
        <f>A301</f>
        <v>GERAL</v>
      </c>
      <c r="B303" s="24" t="str">
        <f>B301</f>
        <v>7º PAV. - ESTAC. 06</v>
      </c>
      <c r="C303" s="30" t="s">
        <v>220</v>
      </c>
      <c r="D303" s="30" t="str">
        <f>'Garagem 06'!C37</f>
        <v>Sensores de Presença</v>
      </c>
      <c r="E303" s="30" t="str">
        <f>'Garagem 06'!D37</f>
        <v>Sensor de Presença 24V de teto</v>
      </c>
      <c r="F303" s="25">
        <f>'Garagem 06'!E37</f>
        <v>34</v>
      </c>
      <c r="G303" s="25">
        <v>1</v>
      </c>
      <c r="H303" s="25">
        <v>0</v>
      </c>
      <c r="I303" s="25">
        <f t="shared" si="124"/>
        <v>34</v>
      </c>
      <c r="J303" s="25" t="str">
        <f>'Garagem 06'!F37</f>
        <v>pç</v>
      </c>
      <c r="K303" s="26">
        <f>_xlfn.XLOOKUP($E303,PREÇO!$C$7:$C$91,PREÇO!$E$7:$E$91)</f>
        <v>38.4</v>
      </c>
      <c r="L303" s="66">
        <f>IF(SUM(F303:K303)=0,SUMIFS($L304:$L$1593,$B304:$B$1593,$B303,$A304:$A$1593,$A303),I303*K303)</f>
        <v>1305.5999999999999</v>
      </c>
      <c r="N303"/>
      <c r="O303"/>
      <c r="P303" s="28"/>
      <c r="Q303" s="28"/>
      <c r="R303" s="28"/>
    </row>
    <row r="304" spans="1:18" outlineLevel="1">
      <c r="A304" s="24" t="str">
        <f t="shared" si="122"/>
        <v>GERAL</v>
      </c>
      <c r="B304" s="24" t="str">
        <f t="shared" si="123"/>
        <v>7º PAV. - ESTAC. 06</v>
      </c>
      <c r="C304" s="30" t="s">
        <v>221</v>
      </c>
      <c r="D304" s="83" t="s">
        <v>120</v>
      </c>
      <c r="E304" s="30" t="str">
        <f>'Garagem 06'!C40&amp;" "&amp;'Garagem 06'!D40</f>
        <v>PVC - 750V (Prysmian) 4 mm² - Preto</v>
      </c>
      <c r="F304" s="25">
        <f>'Garagem 06'!E40</f>
        <v>51.44</v>
      </c>
      <c r="G304" s="25">
        <v>1</v>
      </c>
      <c r="H304" s="25">
        <v>0</v>
      </c>
      <c r="I304" s="25">
        <f t="shared" si="124"/>
        <v>51.44</v>
      </c>
      <c r="J304" s="25" t="str">
        <f>'Garagem 06'!F40</f>
        <v>m</v>
      </c>
      <c r="K304" s="26">
        <f>_xlfn.XLOOKUP($E304,PREÇO!$C$7:$C$91,PREÇO!$E$7:$E$91)</f>
        <v>3.89</v>
      </c>
      <c r="L304" s="66">
        <f>IF(SUM(F304:K304)=0,SUMIFS($L305:$L$1593,$B305:$B$1593,$B304,$A305:$A$1593,$A304),I304*K304)</f>
        <v>200.10159999999999</v>
      </c>
      <c r="N304"/>
      <c r="O304"/>
      <c r="P304" s="28"/>
      <c r="Q304" s="28"/>
      <c r="R304" s="28"/>
    </row>
    <row r="305" spans="1:18" outlineLevel="1">
      <c r="A305" s="24" t="str">
        <f t="shared" si="122"/>
        <v>GERAL</v>
      </c>
      <c r="B305" s="24" t="str">
        <f t="shared" si="123"/>
        <v>7º PAV. - ESTAC. 06</v>
      </c>
      <c r="C305" s="30" t="s">
        <v>221</v>
      </c>
      <c r="D305" s="83" t="s">
        <v>120</v>
      </c>
      <c r="E305" s="30" t="str">
        <f>'Garagem 06'!C41&amp;" "&amp;'Garagem 06'!D41</f>
        <v>PVC - 750V (Prysmian) 4 mm² - Vermelho</v>
      </c>
      <c r="F305" s="25">
        <f>'Garagem 06'!E41</f>
        <v>51.44</v>
      </c>
      <c r="G305" s="25">
        <v>1</v>
      </c>
      <c r="H305" s="25">
        <v>0</v>
      </c>
      <c r="I305" s="25">
        <f t="shared" si="124"/>
        <v>51.44</v>
      </c>
      <c r="J305" s="25" t="str">
        <f>'Garagem 06'!F41</f>
        <v>m</v>
      </c>
      <c r="K305" s="26">
        <f>_xlfn.XLOOKUP($E305,PREÇO!$C$7:$C$91,PREÇO!$E$7:$E$91)</f>
        <v>3.89</v>
      </c>
      <c r="L305" s="66">
        <f>IF(SUM(F305:K305)=0,SUMIFS($L306:$L$1593,$B306:$B$1593,$B305,$A306:$A$1593,$A305),I305*K305)</f>
        <v>200.10159999999999</v>
      </c>
      <c r="N305"/>
      <c r="O305"/>
      <c r="P305" s="28"/>
      <c r="Q305" s="28"/>
      <c r="R305" s="28"/>
    </row>
    <row r="306" spans="1:18" outlineLevel="1">
      <c r="A306" s="24" t="str">
        <f t="shared" si="122"/>
        <v>GERAL</v>
      </c>
      <c r="B306" s="24" t="str">
        <f t="shared" si="123"/>
        <v>7º PAV. - ESTAC. 06</v>
      </c>
      <c r="C306" s="30" t="s">
        <v>221</v>
      </c>
      <c r="D306" s="30" t="s">
        <v>87</v>
      </c>
      <c r="E306" s="30" t="str">
        <f>'Garagem 06'!C44&amp;" "&amp;'Garagem 06'!D44</f>
        <v>Isolação em PVC (70ºC) 1.5 mm² - Amarelo</v>
      </c>
      <c r="F306" s="25">
        <f>'Garagem 06'!E44</f>
        <v>1064.8599999999999</v>
      </c>
      <c r="G306" s="25">
        <v>1</v>
      </c>
      <c r="H306" s="25">
        <v>0</v>
      </c>
      <c r="I306" s="25">
        <f t="shared" ref="I306:I318" si="125">(F306+H306*F306)*G306</f>
        <v>1064.8599999999999</v>
      </c>
      <c r="J306" s="25" t="str">
        <f>'Garagem 06'!F44</f>
        <v>m</v>
      </c>
      <c r="K306" s="26">
        <f>_xlfn.XLOOKUP($E306,PREÇO!$C$7:$C$91,PREÇO!$E$7:$E$91)</f>
        <v>1.59</v>
      </c>
      <c r="L306" s="66">
        <f>IF(SUM(F306:K306)=0,SUMIFS($L307:$L$1593,$B307:$B$1593,$B306,$A307:$A$1593,$A306),I306*K306)</f>
        <v>1693.1273999999999</v>
      </c>
      <c r="N306"/>
      <c r="O306"/>
      <c r="P306" s="28"/>
      <c r="Q306" s="28"/>
      <c r="R306" s="28"/>
    </row>
    <row r="307" spans="1:18" outlineLevel="1">
      <c r="A307" s="24" t="str">
        <f t="shared" si="122"/>
        <v>GERAL</v>
      </c>
      <c r="B307" s="24" t="str">
        <f t="shared" si="123"/>
        <v>7º PAV. - ESTAC. 06</v>
      </c>
      <c r="C307" s="30" t="s">
        <v>221</v>
      </c>
      <c r="D307" s="30" t="s">
        <v>87</v>
      </c>
      <c r="E307" s="30" t="str">
        <f>'Garagem 06'!C45&amp;" "&amp;'Garagem 06'!D45</f>
        <v>Isolação em PVC (70ºC) 1.5 mm² - Preto</v>
      </c>
      <c r="F307" s="25">
        <f>'Garagem 06'!E45</f>
        <v>532.42999999999995</v>
      </c>
      <c r="G307" s="25">
        <v>1</v>
      </c>
      <c r="H307" s="25">
        <v>0</v>
      </c>
      <c r="I307" s="25">
        <f t="shared" si="125"/>
        <v>532.42999999999995</v>
      </c>
      <c r="J307" s="25" t="str">
        <f>'Garagem 06'!F45</f>
        <v>m</v>
      </c>
      <c r="K307" s="26">
        <f>_xlfn.XLOOKUP($E307,PREÇO!$C$7:$C$91,PREÇO!$E$7:$E$91)</f>
        <v>1.59</v>
      </c>
      <c r="L307" s="66">
        <f>IF(SUM(F307:K307)=0,SUMIFS($L308:$L$1593,$B308:$B$1593,$B307,$A308:$A$1593,$A307),I307*K307)</f>
        <v>846.56369999999993</v>
      </c>
      <c r="N307"/>
      <c r="O307"/>
      <c r="P307" s="28"/>
      <c r="Q307" s="28"/>
      <c r="R307" s="28"/>
    </row>
    <row r="308" spans="1:18" outlineLevel="1">
      <c r="A308" s="24" t="str">
        <f t="shared" si="122"/>
        <v>GERAL</v>
      </c>
      <c r="B308" s="24" t="str">
        <f t="shared" si="123"/>
        <v>7º PAV. - ESTAC. 06</v>
      </c>
      <c r="C308" s="30" t="s">
        <v>221</v>
      </c>
      <c r="D308" s="30" t="s">
        <v>87</v>
      </c>
      <c r="E308" s="30" t="str">
        <f>'Garagem 06'!C46&amp;" "&amp;'Garagem 06'!D46</f>
        <v>Isolação em PVC (70ºC) 1.5 mm² - Vermelho</v>
      </c>
      <c r="F308" s="25">
        <f>'Garagem 06'!E46</f>
        <v>532.42999999999995</v>
      </c>
      <c r="G308" s="25">
        <v>1</v>
      </c>
      <c r="H308" s="25">
        <v>0</v>
      </c>
      <c r="I308" s="25">
        <f t="shared" si="125"/>
        <v>532.42999999999995</v>
      </c>
      <c r="J308" s="25" t="str">
        <f>'Garagem 06'!F46</f>
        <v>m</v>
      </c>
      <c r="K308" s="26">
        <f>_xlfn.XLOOKUP($E308,PREÇO!$C$7:$C$91,PREÇO!$E$7:$E$91)</f>
        <v>1.59</v>
      </c>
      <c r="L308" s="66">
        <f>IF(SUM(F308:K308)=0,SUMIFS($L309:$L$1593,$B309:$B$1593,$B308,$A309:$A$1593,$A308),I308*K308)</f>
        <v>846.56369999999993</v>
      </c>
      <c r="N308"/>
      <c r="O308"/>
      <c r="P308" s="28"/>
      <c r="Q308" s="28"/>
      <c r="R308" s="28"/>
    </row>
    <row r="309" spans="1:18" outlineLevel="1">
      <c r="A309" s="24" t="str">
        <f t="shared" si="122"/>
        <v>GERAL</v>
      </c>
      <c r="B309" s="24" t="str">
        <f t="shared" si="123"/>
        <v>7º PAV. - ESTAC. 06</v>
      </c>
      <c r="C309" s="30" t="s">
        <v>221</v>
      </c>
      <c r="D309" s="30" t="s">
        <v>87</v>
      </c>
      <c r="E309" s="30" t="str">
        <f>'Garagem 06'!C47&amp;" "&amp;'Garagem 06'!D47</f>
        <v>Isolação em PVC (70ºC) 2.5 mm² - Amarelo</v>
      </c>
      <c r="F309" s="25">
        <f>'Garagem 06'!E47</f>
        <v>24.44</v>
      </c>
      <c r="G309" s="25">
        <v>1</v>
      </c>
      <c r="H309" s="25">
        <v>0</v>
      </c>
      <c r="I309" s="25">
        <f t="shared" si="125"/>
        <v>24.44</v>
      </c>
      <c r="J309" s="25" t="str">
        <f>'Garagem 06'!F47</f>
        <v>m</v>
      </c>
      <c r="K309" s="26">
        <f>_xlfn.XLOOKUP($E309,PREÇO!$C$7:$C$91,PREÇO!$E$7:$E$91)</f>
        <v>2.19</v>
      </c>
      <c r="L309" s="66">
        <f>IF(SUM(F309:K309)=0,SUMIFS($L310:$L$1593,$B310:$B$1593,$B309,$A310:$A$1593,$A309),I309*K309)</f>
        <v>53.523600000000002</v>
      </c>
      <c r="N309"/>
      <c r="O309"/>
      <c r="P309" s="28"/>
      <c r="Q309" s="28"/>
      <c r="R309" s="28"/>
    </row>
    <row r="310" spans="1:18" outlineLevel="1">
      <c r="A310" s="24" t="str">
        <f t="shared" si="122"/>
        <v>GERAL</v>
      </c>
      <c r="B310" s="24" t="str">
        <f t="shared" si="123"/>
        <v>7º PAV. - ESTAC. 06</v>
      </c>
      <c r="C310" s="30" t="s">
        <v>221</v>
      </c>
      <c r="D310" s="30" t="s">
        <v>87</v>
      </c>
      <c r="E310" s="30" t="str">
        <f>'Garagem 06'!C48&amp;" "&amp;'Garagem 06'!D48</f>
        <v>Isolação em PVC (70ºC) 2.5 mm² - Preto</v>
      </c>
      <c r="F310" s="25">
        <f>'Garagem 06'!E48</f>
        <v>241.84</v>
      </c>
      <c r="G310" s="25">
        <v>1</v>
      </c>
      <c r="H310" s="25">
        <v>0</v>
      </c>
      <c r="I310" s="25">
        <f t="shared" si="125"/>
        <v>241.84</v>
      </c>
      <c r="J310" s="25" t="str">
        <f>'Garagem 06'!F48</f>
        <v>m</v>
      </c>
      <c r="K310" s="26">
        <f>_xlfn.XLOOKUP($E310,PREÇO!$C$7:$C$91,PREÇO!$E$7:$E$91)</f>
        <v>2.19</v>
      </c>
      <c r="L310" s="66">
        <f>IF(SUM(F310:K310)=0,SUMIFS($L311:$L$1593,$B311:$B$1593,$B310,$A311:$A$1593,$A310),I310*K310)</f>
        <v>529.62959999999998</v>
      </c>
      <c r="N310"/>
      <c r="O310"/>
      <c r="P310" s="28"/>
      <c r="Q310" s="28"/>
      <c r="R310" s="28"/>
    </row>
    <row r="311" spans="1:18" outlineLevel="1">
      <c r="A311" s="24" t="str">
        <f t="shared" si="122"/>
        <v>GERAL</v>
      </c>
      <c r="B311" s="24" t="str">
        <f t="shared" si="123"/>
        <v>7º PAV. - ESTAC. 06</v>
      </c>
      <c r="C311" s="30" t="s">
        <v>221</v>
      </c>
      <c r="D311" s="30" t="s">
        <v>87</v>
      </c>
      <c r="E311" s="30" t="str">
        <f>'Garagem 06'!C49&amp;" "&amp;'Garagem 06'!D49</f>
        <v>Isolação em PVC (70ºC) 2.5 mm² - Vermelho</v>
      </c>
      <c r="F311" s="25">
        <f>'Garagem 06'!E49</f>
        <v>241.84</v>
      </c>
      <c r="G311" s="25">
        <v>1</v>
      </c>
      <c r="H311" s="25">
        <v>0</v>
      </c>
      <c r="I311" s="25">
        <f t="shared" si="125"/>
        <v>241.84</v>
      </c>
      <c r="J311" s="25" t="str">
        <f>'Garagem 06'!F49</f>
        <v>m</v>
      </c>
      <c r="K311" s="26">
        <f>_xlfn.XLOOKUP($E311,PREÇO!$C$7:$C$91,PREÇO!$E$7:$E$91)</f>
        <v>2.19</v>
      </c>
      <c r="L311" s="66">
        <f>IF(SUM(F311:K311)=0,SUMIFS($L312:$L$1593,$B312:$B$1593,$B311,$A312:$A$1593,$A311),I311*K311)</f>
        <v>529.62959999999998</v>
      </c>
      <c r="N311"/>
      <c r="O311"/>
      <c r="P311" s="28"/>
      <c r="Q311" s="28"/>
      <c r="R311" s="28"/>
    </row>
    <row r="312" spans="1:18" outlineLevel="1">
      <c r="A312" s="24" t="str">
        <f t="shared" si="122"/>
        <v>GERAL</v>
      </c>
      <c r="B312" s="24" t="str">
        <f t="shared" si="123"/>
        <v>7º PAV. - ESTAC. 06</v>
      </c>
      <c r="C312" s="30" t="s">
        <v>221</v>
      </c>
      <c r="D312" s="30" t="s">
        <v>87</v>
      </c>
      <c r="E312" s="30" t="str">
        <f>'Garagem 06'!C50&amp;" "&amp;'Garagem 06'!D50</f>
        <v>Isolação em PVC (70ºC) 4 mm² - Preto</v>
      </c>
      <c r="F312" s="25">
        <f>'Garagem 06'!E50</f>
        <v>340.51</v>
      </c>
      <c r="G312" s="25">
        <v>1</v>
      </c>
      <c r="H312" s="25">
        <v>0</v>
      </c>
      <c r="I312" s="25">
        <f t="shared" si="125"/>
        <v>340.51</v>
      </c>
      <c r="J312" s="25" t="str">
        <f>'Garagem 06'!F50</f>
        <v>m</v>
      </c>
      <c r="K312" s="26">
        <f>_xlfn.XLOOKUP($E312,PREÇO!$C$7:$C$91,PREÇO!$E$7:$E$91)</f>
        <v>3.89</v>
      </c>
      <c r="L312" s="66">
        <f>IF(SUM(F312:K312)=0,SUMIFS($L313:$L$1593,$B313:$B$1593,$B312,$A313:$A$1593,$A312),I312*K312)</f>
        <v>1324.5839000000001</v>
      </c>
      <c r="N312"/>
      <c r="O312"/>
      <c r="P312" s="28"/>
      <c r="Q312" s="28"/>
      <c r="R312" s="28"/>
    </row>
    <row r="313" spans="1:18" outlineLevel="1">
      <c r="A313" s="24" t="str">
        <f t="shared" si="122"/>
        <v>GERAL</v>
      </c>
      <c r="B313" s="24" t="str">
        <f t="shared" si="123"/>
        <v>7º PAV. - ESTAC. 06</v>
      </c>
      <c r="C313" s="30" t="s">
        <v>221</v>
      </c>
      <c r="D313" s="30" t="s">
        <v>87</v>
      </c>
      <c r="E313" s="30" t="str">
        <f>'Garagem 06'!C51&amp;" "&amp;'Garagem 06'!D51</f>
        <v>Isolação em PVC (70ºC) 4 mm² - Vermelho</v>
      </c>
      <c r="F313" s="25">
        <f>'Garagem 06'!E51</f>
        <v>340.51</v>
      </c>
      <c r="G313" s="25">
        <v>1</v>
      </c>
      <c r="H313" s="25">
        <v>0</v>
      </c>
      <c r="I313" s="25">
        <f t="shared" si="125"/>
        <v>340.51</v>
      </c>
      <c r="J313" s="25" t="str">
        <f>'Garagem 06'!F51</f>
        <v>m</v>
      </c>
      <c r="K313" s="26">
        <f>_xlfn.XLOOKUP($E313,PREÇO!$C$7:$C$91,PREÇO!$E$7:$E$91)</f>
        <v>3.89</v>
      </c>
      <c r="L313" s="66">
        <f>IF(SUM(F313:K313)=0,SUMIFS($L314:$L$1593,$B314:$B$1593,$B313,$A314:$A$1593,$A313),I313*K313)</f>
        <v>1324.5839000000001</v>
      </c>
      <c r="N313"/>
      <c r="O313"/>
      <c r="P313" s="28"/>
      <c r="Q313" s="28"/>
      <c r="R313" s="28"/>
    </row>
    <row r="314" spans="1:18" outlineLevel="1">
      <c r="A314" s="24" t="str">
        <f t="shared" si="122"/>
        <v>GERAL</v>
      </c>
      <c r="B314" s="24" t="str">
        <f t="shared" si="123"/>
        <v>7º PAV. - ESTAC. 06</v>
      </c>
      <c r="C314" s="30" t="s">
        <v>221</v>
      </c>
      <c r="D314" s="30" t="s">
        <v>87</v>
      </c>
      <c r="E314" s="30" t="str">
        <f>'Garagem 06'!C52&amp;" "&amp;'Garagem 06'!D52</f>
        <v>Isolação em PVC (70ºC) 6 mm² - Preto</v>
      </c>
      <c r="F314" s="25">
        <f>'Garagem 06'!E52</f>
        <v>314.45</v>
      </c>
      <c r="G314" s="25">
        <v>1</v>
      </c>
      <c r="H314" s="25">
        <v>0</v>
      </c>
      <c r="I314" s="25">
        <f t="shared" si="125"/>
        <v>314.45</v>
      </c>
      <c r="J314" s="25" t="str">
        <f>'Garagem 06'!F52</f>
        <v>m</v>
      </c>
      <c r="K314" s="26">
        <f>_xlfn.XLOOKUP($E314,PREÇO!$C$7:$C$91,PREÇO!$E$7:$E$91)</f>
        <v>5.79</v>
      </c>
      <c r="L314" s="66">
        <f>IF(SUM(F314:K314)=0,SUMIFS($L315:$L$1593,$B315:$B$1593,$B314,$A315:$A$1593,$A314),I314*K314)</f>
        <v>1820.6654999999998</v>
      </c>
      <c r="N314"/>
      <c r="O314"/>
      <c r="P314" s="28"/>
      <c r="Q314" s="28"/>
      <c r="R314" s="28"/>
    </row>
    <row r="315" spans="1:18" outlineLevel="1">
      <c r="A315" s="24" t="str">
        <f t="shared" si="122"/>
        <v>GERAL</v>
      </c>
      <c r="B315" s="24" t="str">
        <f t="shared" si="123"/>
        <v>7º PAV. - ESTAC. 06</v>
      </c>
      <c r="C315" s="30" t="s">
        <v>221</v>
      </c>
      <c r="D315" s="30" t="s">
        <v>87</v>
      </c>
      <c r="E315" s="30" t="str">
        <f>'Garagem 06'!C53&amp;" "&amp;'Garagem 06'!D53</f>
        <v>Isolação em PVC (70ºC) 6 mm² - Vermelho</v>
      </c>
      <c r="F315" s="25">
        <f>'Garagem 06'!E53</f>
        <v>314.45</v>
      </c>
      <c r="G315" s="25">
        <v>1</v>
      </c>
      <c r="H315" s="25">
        <v>0</v>
      </c>
      <c r="I315" s="25">
        <f t="shared" si="125"/>
        <v>314.45</v>
      </c>
      <c r="J315" s="25" t="str">
        <f>'Garagem 06'!F53</f>
        <v>m</v>
      </c>
      <c r="K315" s="26">
        <f>_xlfn.XLOOKUP($E315,PREÇO!$C$7:$C$91,PREÇO!$E$7:$E$91)</f>
        <v>5.79</v>
      </c>
      <c r="L315" s="66">
        <f>IF(SUM(F315:K315)=0,SUMIFS($L316:$L$1593,$B316:$B$1593,$B315,$A316:$A$1593,$A315),I315*K315)</f>
        <v>1820.6654999999998</v>
      </c>
      <c r="N315"/>
      <c r="O315"/>
      <c r="P315" s="28"/>
      <c r="Q315" s="28"/>
      <c r="R315" s="28"/>
    </row>
    <row r="316" spans="1:18" outlineLevel="1">
      <c r="A316" s="24" t="str">
        <f t="shared" si="122"/>
        <v>GERAL</v>
      </c>
      <c r="B316" s="24" t="str">
        <f t="shared" si="123"/>
        <v>7º PAV. - ESTAC. 06</v>
      </c>
      <c r="C316" s="30" t="s">
        <v>221</v>
      </c>
      <c r="D316" s="30" t="s">
        <v>46</v>
      </c>
      <c r="E316" s="30" t="str">
        <f>'Garagem 06'!C57&amp;" "&amp;'Garagem 06'!D57</f>
        <v>PVC Flexível Antichama - NBR 15465 ø1"</v>
      </c>
      <c r="F316" s="25">
        <f>'Garagem 06'!E57</f>
        <v>264.52</v>
      </c>
      <c r="G316" s="25">
        <v>1</v>
      </c>
      <c r="H316" s="25">
        <v>0</v>
      </c>
      <c r="I316" s="25">
        <f t="shared" si="125"/>
        <v>264.52</v>
      </c>
      <c r="J316" s="25" t="str">
        <f>'Garagem 06'!F57</f>
        <v>m</v>
      </c>
      <c r="K316" s="26">
        <f>_xlfn.XLOOKUP($E316,PREÇO!$C$7:$C$91,PREÇO!$E$7:$E$91)</f>
        <v>2.5299999999999998</v>
      </c>
      <c r="L316" s="66">
        <f>IF(SUM(F316:K316)=0,SUMIFS($L317:$L$1593,$B317:$B$1593,$B316,$A317:$A$1593,$A316),I316*K316)</f>
        <v>669.23559999999986</v>
      </c>
      <c r="N316"/>
      <c r="O316"/>
      <c r="P316" s="28"/>
      <c r="Q316" s="28"/>
      <c r="R316" s="28"/>
    </row>
    <row r="317" spans="1:18" outlineLevel="1">
      <c r="A317" s="24" t="str">
        <f t="shared" si="122"/>
        <v>GERAL</v>
      </c>
      <c r="B317" s="24" t="str">
        <f t="shared" si="123"/>
        <v>7º PAV. - ESTAC. 06</v>
      </c>
      <c r="C317" s="30" t="s">
        <v>221</v>
      </c>
      <c r="D317" s="30" t="s">
        <v>89</v>
      </c>
      <c r="E317" s="30" t="str">
        <f>'Garagem 06'!C60&amp;" "&amp;'Garagem 06'!D60</f>
        <v>Classe A - PVC Anti-chama - 105ºC - Isolação 600V 0.75 mm²</v>
      </c>
      <c r="F317" s="25">
        <f>'Garagem 06'!E60</f>
        <v>252.95</v>
      </c>
      <c r="G317" s="25">
        <v>1</v>
      </c>
      <c r="H317" s="25">
        <v>0</v>
      </c>
      <c r="I317" s="25">
        <f t="shared" si="125"/>
        <v>252.95</v>
      </c>
      <c r="J317" s="25" t="str">
        <f>'Garagem 06'!F60</f>
        <v>m</v>
      </c>
      <c r="K317" s="26">
        <f>_xlfn.XLOOKUP($E317,PREÇO!$C$7:$C$91,PREÇO!$E$7:$E$91)</f>
        <v>0.99</v>
      </c>
      <c r="L317" s="66">
        <f>IF(SUM(F317:K317)=0,SUMIFS($L318:$L$1593,$B318:$B$1593,$B317,$A318:$A$1593,$A317),I317*K317)</f>
        <v>250.42049999999998</v>
      </c>
      <c r="N317"/>
      <c r="O317"/>
      <c r="P317" s="28"/>
      <c r="Q317" s="28"/>
      <c r="R317" s="28"/>
    </row>
    <row r="318" spans="1:18" ht="15.75" outlineLevel="1" thickBot="1">
      <c r="A318" s="24" t="str">
        <f t="shared" si="122"/>
        <v>GERAL</v>
      </c>
      <c r="B318" s="24" t="str">
        <f t="shared" si="123"/>
        <v>7º PAV. - ESTAC. 06</v>
      </c>
      <c r="C318" s="30" t="s">
        <v>221</v>
      </c>
      <c r="D318" s="30" t="s">
        <v>89</v>
      </c>
      <c r="E318" s="30" t="str">
        <f>'Garagem 06'!C61&amp;" "&amp;'Garagem 06'!D61</f>
        <v>Classe B - PVC Anti-chama - 105ºC - Isolação 600V 1.5 mm²</v>
      </c>
      <c r="F318" s="25">
        <f>'Garagem 06'!E61</f>
        <v>218.26</v>
      </c>
      <c r="G318" s="25">
        <v>1</v>
      </c>
      <c r="H318" s="25">
        <v>0</v>
      </c>
      <c r="I318" s="25">
        <f t="shared" si="125"/>
        <v>218.26</v>
      </c>
      <c r="J318" s="25" t="str">
        <f>'Garagem 06'!F61</f>
        <v>m</v>
      </c>
      <c r="K318" s="26">
        <f>_xlfn.XLOOKUP($E318,PREÇO!$C$7:$C$91,PREÇO!$E$7:$E$91)</f>
        <v>1.69</v>
      </c>
      <c r="L318" s="66">
        <f>IF(SUM(F318:K318)=0,SUMIFS($L319:$L$1593,$B319:$B$1593,$B318,$A319:$A$1593,$A318),I318*K318)</f>
        <v>368.85939999999999</v>
      </c>
      <c r="N318"/>
      <c r="O318"/>
      <c r="P318" s="28"/>
      <c r="Q318" s="28"/>
      <c r="R318" s="28"/>
    </row>
    <row r="319" spans="1:18" ht="15.75" thickTop="1">
      <c r="A319" s="82" t="str">
        <f>A196</f>
        <v>GERAL</v>
      </c>
      <c r="B319" s="82" t="s">
        <v>122</v>
      </c>
      <c r="C319" s="43"/>
      <c r="D319" s="44"/>
      <c r="E319" s="44"/>
      <c r="F319" s="45"/>
      <c r="G319" s="45"/>
      <c r="H319" s="45"/>
      <c r="I319" s="45"/>
      <c r="J319" s="45"/>
      <c r="K319" s="47"/>
      <c r="L319" s="48">
        <f>IF(SUM(F319:K319)=0,SUMIFS($L320:$L$1593,$B320:$B$1593,$B319,$A320:$A$1593,$A319),I319*K319)</f>
        <v>23011.287500000006</v>
      </c>
      <c r="N319"/>
      <c r="O319"/>
      <c r="P319" s="28"/>
      <c r="Q319" s="28"/>
      <c r="R319" s="28"/>
    </row>
    <row r="320" spans="1:18" outlineLevel="1">
      <c r="A320" s="24" t="str">
        <f t="shared" si="122"/>
        <v>GERAL</v>
      </c>
      <c r="B320" s="24" t="str">
        <f t="shared" si="123"/>
        <v>8º PAV. - LAZER PÚBLICO 01</v>
      </c>
      <c r="C320" s="30" t="s">
        <v>221</v>
      </c>
      <c r="D320" s="30" t="str">
        <f>'Lazer Publ. 1'!C6</f>
        <v>Acionadores</v>
      </c>
      <c r="E320" s="30" t="str">
        <f>'Lazer Publ. 1'!D6</f>
        <v>Acionador Manual de Alarme de Incêndio</v>
      </c>
      <c r="F320" s="25">
        <f>'Lazer Publ. 1'!E6</f>
        <v>5</v>
      </c>
      <c r="G320" s="25">
        <v>1</v>
      </c>
      <c r="H320" s="25">
        <v>0</v>
      </c>
      <c r="I320" s="25">
        <f t="shared" ref="I320" si="126">(F320+H320*F320)*G320</f>
        <v>5</v>
      </c>
      <c r="J320" s="25" t="str">
        <f>'Lazer Publ. 1'!F6</f>
        <v>pç</v>
      </c>
      <c r="K320" s="26">
        <f>_xlfn.XLOOKUP($E320,PREÇO!$C$7:$C$91,PREÇO!$E$7:$E$91)</f>
        <v>65</v>
      </c>
      <c r="L320" s="66">
        <f>IF(SUM(F320:K320)=0,SUMIFS($L321:$L$1593,$B321:$B$1593,$B320,$A321:$A$1593,$A320),I320*K320)</f>
        <v>325</v>
      </c>
      <c r="N320"/>
      <c r="O320"/>
      <c r="P320" s="28"/>
      <c r="Q320" s="28"/>
      <c r="R320" s="28"/>
    </row>
    <row r="321" spans="1:18" outlineLevel="1">
      <c r="A321" s="24" t="str">
        <f t="shared" si="122"/>
        <v>GERAL</v>
      </c>
      <c r="B321" s="24" t="str">
        <f t="shared" si="123"/>
        <v>8º PAV. - LAZER PÚBLICO 01</v>
      </c>
      <c r="C321" s="30" t="s">
        <v>221</v>
      </c>
      <c r="D321" s="30" t="str">
        <f>'Lazer Publ. 1'!C7</f>
        <v>Anunciadores</v>
      </c>
      <c r="E321" s="30" t="str">
        <f>'Lazer Publ. 1'!D7</f>
        <v>Anunciador Audiovisual de Alarme de Incêndio de Parede</v>
      </c>
      <c r="F321" s="25">
        <f>'Lazer Publ. 1'!E7</f>
        <v>5</v>
      </c>
      <c r="G321" s="25">
        <v>1</v>
      </c>
      <c r="H321" s="25">
        <v>0</v>
      </c>
      <c r="I321" s="25">
        <f t="shared" ref="I321:I357" si="127">(F321+H321*F321)*G321</f>
        <v>5</v>
      </c>
      <c r="J321" s="25" t="str">
        <f>'Lazer Publ. 1'!F7</f>
        <v>pç</v>
      </c>
      <c r="K321" s="26">
        <f>_xlfn.XLOOKUP($E321,PREÇO!$C$7:$C$91,PREÇO!$E$7:$E$91)</f>
        <v>191.81</v>
      </c>
      <c r="L321" s="66">
        <f>IF(SUM(F321:K321)=0,SUMIFS($L322:$L$1593,$B322:$B$1593,$B321,$A322:$A$1593,$A321),I321*K321)</f>
        <v>959.05</v>
      </c>
      <c r="N321"/>
      <c r="O321"/>
      <c r="P321" s="28"/>
      <c r="Q321" s="28"/>
      <c r="R321" s="28"/>
    </row>
    <row r="322" spans="1:18" outlineLevel="1">
      <c r="A322" s="24" t="str">
        <f t="shared" si="122"/>
        <v>GERAL</v>
      </c>
      <c r="B322" s="24" t="str">
        <f t="shared" si="123"/>
        <v>8º PAV. - LAZER PÚBLICO 01</v>
      </c>
      <c r="C322" s="30" t="s">
        <v>221</v>
      </c>
      <c r="D322" s="30" t="str">
        <f>'Lazer Publ. 1'!C8</f>
        <v>Atuadores</v>
      </c>
      <c r="E322" s="30" t="str">
        <f>'Lazer Publ. 1'!D8</f>
        <v>Atuador Janela Desenfumagem</v>
      </c>
      <c r="F322" s="25">
        <f>'Lazer Publ. 1'!E8</f>
        <v>1</v>
      </c>
      <c r="G322" s="25">
        <v>1</v>
      </c>
      <c r="H322" s="25">
        <v>0</v>
      </c>
      <c r="I322" s="25">
        <f t="shared" si="127"/>
        <v>1</v>
      </c>
      <c r="J322" s="25" t="str">
        <f>'Lazer Publ. 1'!F8</f>
        <v>pç</v>
      </c>
      <c r="K322" s="26">
        <f>_xlfn.XLOOKUP($E322,PREÇO!$C$7:$C$91,PREÇO!$E$7:$E$91)</f>
        <v>1150</v>
      </c>
      <c r="L322" s="66">
        <f>IF(SUM(F322:K322)=0,SUMIFS($L323:$L$1593,$B323:$B$1593,$B322,$A323:$A$1593,$A322),I322*K322)</f>
        <v>1150</v>
      </c>
      <c r="N322"/>
      <c r="O322"/>
      <c r="P322" s="28"/>
      <c r="Q322" s="28"/>
      <c r="R322" s="28"/>
    </row>
    <row r="323" spans="1:18" outlineLevel="1">
      <c r="A323" s="24" t="str">
        <f t="shared" si="122"/>
        <v>GERAL</v>
      </c>
      <c r="B323" s="24" t="str">
        <f t="shared" si="123"/>
        <v>8º PAV. - LAZER PÚBLICO 01</v>
      </c>
      <c r="C323" s="30" t="s">
        <v>221</v>
      </c>
      <c r="D323" s="30" t="str">
        <f>'Lazer Publ. 1'!C9</f>
        <v>Atuadores</v>
      </c>
      <c r="E323" s="30" t="str">
        <f>'Lazer Publ. 1'!D9</f>
        <v>Dispositivo Eletromagnético de Porta Aberta</v>
      </c>
      <c r="F323" s="25">
        <f>'Lazer Publ. 1'!E9</f>
        <v>1</v>
      </c>
      <c r="G323" s="25">
        <v>1</v>
      </c>
      <c r="H323" s="25">
        <v>0</v>
      </c>
      <c r="I323" s="25">
        <f t="shared" si="127"/>
        <v>1</v>
      </c>
      <c r="J323" s="25" t="str">
        <f>'Lazer Publ. 1'!F9</f>
        <v>pç</v>
      </c>
      <c r="K323" s="26">
        <f>_xlfn.XLOOKUP($E323,PREÇO!$C$7:$C$91,PREÇO!$E$7:$E$91)</f>
        <v>416.9</v>
      </c>
      <c r="L323" s="66">
        <f>IF(SUM(F323:K323)=0,SUMIFS($L324:$L$1593,$B324:$B$1593,$B323,$A324:$A$1593,$A323),I323*K323)</f>
        <v>416.9</v>
      </c>
      <c r="N323"/>
      <c r="O323"/>
      <c r="P323" s="28"/>
      <c r="Q323" s="28"/>
      <c r="R323" s="28"/>
    </row>
    <row r="324" spans="1:18" outlineLevel="1">
      <c r="A324" s="24" t="str">
        <f t="shared" si="122"/>
        <v>GERAL</v>
      </c>
      <c r="B324" s="24" t="str">
        <f t="shared" si="123"/>
        <v>8º PAV. - LAZER PÚBLICO 01</v>
      </c>
      <c r="C324" s="30" t="s">
        <v>221</v>
      </c>
      <c r="D324" s="30" t="str">
        <f>'Lazer Publ. 1'!C10</f>
        <v>Sensores</v>
      </c>
      <c r="E324" s="30" t="str">
        <f>'Lazer Publ. 1'!D10</f>
        <v>Sensor de Fumaça</v>
      </c>
      <c r="F324" s="25">
        <f>'Lazer Publ. 1'!E10</f>
        <v>3</v>
      </c>
      <c r="G324" s="25">
        <v>1</v>
      </c>
      <c r="H324" s="25">
        <v>0</v>
      </c>
      <c r="I324" s="25">
        <f t="shared" si="127"/>
        <v>3</v>
      </c>
      <c r="J324" s="25" t="str">
        <f>'Lazer Publ. 1'!F10</f>
        <v>pç</v>
      </c>
      <c r="K324" s="26">
        <f>_xlfn.XLOOKUP($E324,PREÇO!$C$7:$C$91,PREÇO!$E$7:$E$91)</f>
        <v>53.9</v>
      </c>
      <c r="L324" s="66">
        <f>IF(SUM(F324:K324)=0,SUMIFS($L325:$L$1593,$B325:$B$1593,$B324,$A325:$A$1593,$A324),I324*K324)</f>
        <v>161.69999999999999</v>
      </c>
      <c r="N324"/>
      <c r="O324"/>
      <c r="P324" s="28"/>
      <c r="Q324" s="28"/>
      <c r="R324" s="28"/>
    </row>
    <row r="325" spans="1:18" outlineLevel="1">
      <c r="A325" s="24" t="str">
        <f t="shared" si="122"/>
        <v>GERAL</v>
      </c>
      <c r="B325" s="24" t="str">
        <f t="shared" si="123"/>
        <v>8º PAV. - LAZER PÚBLICO 01</v>
      </c>
      <c r="C325" s="30" t="s">
        <v>221</v>
      </c>
      <c r="D325" s="30" t="str">
        <f>'Lazer Publ. 1'!C13</f>
        <v>Caixas</v>
      </c>
      <c r="E325" s="30" t="str">
        <f>'Lazer Publ. 1'!D13</f>
        <v>Caixa Octogonal Padrão NBR IEC 60670</v>
      </c>
      <c r="F325" s="25">
        <f>'Lazer Publ. 1'!E13</f>
        <v>44</v>
      </c>
      <c r="G325" s="25">
        <v>1</v>
      </c>
      <c r="H325" s="25">
        <v>0</v>
      </c>
      <c r="I325" s="25">
        <f t="shared" si="127"/>
        <v>44</v>
      </c>
      <c r="J325" s="25" t="str">
        <f>'Lazer Publ. 1'!F13</f>
        <v>pç</v>
      </c>
      <c r="K325" s="26">
        <f>_xlfn.XLOOKUP($E325,PREÇO!$C$7:$C$91,PREÇO!$E$7:$E$91)</f>
        <v>5.32</v>
      </c>
      <c r="L325" s="66">
        <f>IF(SUM(F325:K325)=0,SUMIFS($L326:$L$1593,$B326:$B$1593,$B325,$A326:$A$1593,$A325),I325*K325)</f>
        <v>234.08</v>
      </c>
      <c r="N325"/>
      <c r="O325"/>
      <c r="P325" s="28"/>
      <c r="Q325" s="28"/>
      <c r="R325" s="28"/>
    </row>
    <row r="326" spans="1:18" outlineLevel="1">
      <c r="A326" s="24" t="str">
        <f t="shared" si="122"/>
        <v>GERAL</v>
      </c>
      <c r="B326" s="24" t="str">
        <f t="shared" si="123"/>
        <v>8º PAV. - LAZER PÚBLICO 01</v>
      </c>
      <c r="C326" s="30" t="s">
        <v>221</v>
      </c>
      <c r="D326" s="30" t="str">
        <f>'Lazer Publ. 1'!C14</f>
        <v>Placas</v>
      </c>
      <c r="E326" s="30" t="str">
        <f>'Lazer Publ. 1'!D14</f>
        <v>Placa cega para caixa octogonal Padrão NBR IEC 60670</v>
      </c>
      <c r="F326" s="25">
        <f>'Lazer Publ. 1'!E14</f>
        <v>9</v>
      </c>
      <c r="G326" s="25">
        <v>1</v>
      </c>
      <c r="H326" s="25">
        <v>0</v>
      </c>
      <c r="I326" s="25">
        <f t="shared" si="127"/>
        <v>9</v>
      </c>
      <c r="J326" s="25" t="str">
        <f>'Lazer Publ. 1'!F14</f>
        <v>pç</v>
      </c>
      <c r="K326" s="26">
        <f>_xlfn.XLOOKUP($E326,PREÇO!$C$7:$C$91,PREÇO!$E$7:$E$91)</f>
        <v>2.5</v>
      </c>
      <c r="L326" s="66">
        <f>IF(SUM(F326:K326)=0,SUMIFS($L327:$L$1593,$B327:$B$1593,$B326,$A327:$A$1593,$A326),I326*K326)</f>
        <v>22.5</v>
      </c>
      <c r="N326"/>
      <c r="O326"/>
      <c r="P326" s="28"/>
      <c r="Q326" s="28"/>
      <c r="R326" s="28"/>
    </row>
    <row r="327" spans="1:18" outlineLevel="1">
      <c r="A327" s="24" t="str">
        <f t="shared" si="122"/>
        <v>GERAL</v>
      </c>
      <c r="B327" s="24" t="str">
        <f t="shared" si="123"/>
        <v>8º PAV. - LAZER PÚBLICO 01</v>
      </c>
      <c r="C327" s="30" t="s">
        <v>221</v>
      </c>
      <c r="D327" s="30" t="str">
        <f>'Lazer Publ. 1'!C17</f>
        <v>Caixas</v>
      </c>
      <c r="E327" s="30" t="str">
        <f>'Lazer Publ. 1'!D17</f>
        <v>Caixa 4x2" de Embutir em PVC Padrão NBR IEC 60670</v>
      </c>
      <c r="F327" s="25">
        <f>'Lazer Publ. 1'!E17</f>
        <v>53</v>
      </c>
      <c r="G327" s="25">
        <v>1</v>
      </c>
      <c r="H327" s="25">
        <v>0</v>
      </c>
      <c r="I327" s="25">
        <f t="shared" si="127"/>
        <v>53</v>
      </c>
      <c r="J327" s="25" t="str">
        <f>'Lazer Publ. 1'!F17</f>
        <v>pç</v>
      </c>
      <c r="K327" s="26">
        <f>_xlfn.XLOOKUP($E327,PREÇO!$C$7:$C$91,PREÇO!$E$7:$E$91)</f>
        <v>1.72</v>
      </c>
      <c r="L327" s="66">
        <f>IF(SUM(F327:K327)=0,SUMIFS($L328:$L$1593,$B328:$B$1593,$B327,$A328:$A$1593,$A327),I327*K327)</f>
        <v>91.16</v>
      </c>
      <c r="N327"/>
      <c r="O327"/>
      <c r="P327" s="28"/>
      <c r="Q327" s="28"/>
      <c r="R327" s="28"/>
    </row>
    <row r="328" spans="1:18" outlineLevel="1">
      <c r="A328" s="24" t="str">
        <f t="shared" si="122"/>
        <v>GERAL</v>
      </c>
      <c r="B328" s="24" t="str">
        <f t="shared" si="123"/>
        <v>8º PAV. - LAZER PÚBLICO 01</v>
      </c>
      <c r="C328" s="30" t="s">
        <v>221</v>
      </c>
      <c r="D328" s="30" t="str">
        <f>'Lazer Publ. 1'!C18</f>
        <v>Caixas</v>
      </c>
      <c r="E328" s="30" t="str">
        <f>'Lazer Publ. 1'!D18</f>
        <v>Caixa 4x4" de Embutir em PVC Padrão NBR IEC 60670</v>
      </c>
      <c r="F328" s="25">
        <f>'Lazer Publ. 1'!E18</f>
        <v>2</v>
      </c>
      <c r="G328" s="25">
        <v>1</v>
      </c>
      <c r="H328" s="25">
        <v>0</v>
      </c>
      <c r="I328" s="25">
        <f t="shared" si="127"/>
        <v>2</v>
      </c>
      <c r="J328" s="25" t="str">
        <f>'Lazer Publ. 1'!F18</f>
        <v>pç</v>
      </c>
      <c r="K328" s="26">
        <f>_xlfn.XLOOKUP($E328,PREÇO!$C$7:$C$91,PREÇO!$E$7:$E$91)</f>
        <v>1.72</v>
      </c>
      <c r="L328" s="66">
        <f>IF(SUM(F328:K328)=0,SUMIFS($L329:$L$1593,$B329:$B$1593,$B328,$A329:$A$1593,$A328),I328*K328)</f>
        <v>3.44</v>
      </c>
      <c r="N328"/>
      <c r="O328"/>
      <c r="P328" s="28"/>
      <c r="Q328" s="28"/>
      <c r="R328" s="28"/>
    </row>
    <row r="329" spans="1:18" outlineLevel="1">
      <c r="A329" s="24" t="str">
        <f t="shared" si="122"/>
        <v>GERAL</v>
      </c>
      <c r="B329" s="24" t="str">
        <f t="shared" si="123"/>
        <v>8º PAV. - LAZER PÚBLICO 01</v>
      </c>
      <c r="C329" s="30" t="s">
        <v>221</v>
      </c>
      <c r="D329" s="30" t="str">
        <f>'Lazer Publ. 1'!C19</f>
        <v>Placas</v>
      </c>
      <c r="E329" s="30" t="str">
        <f>'Lazer Publ. 1'!D19</f>
        <v>Placa 4x2" cega Padrão NBR IEC 60670</v>
      </c>
      <c r="F329" s="25">
        <f>'Lazer Publ. 1'!E19</f>
        <v>31</v>
      </c>
      <c r="G329" s="25">
        <v>1</v>
      </c>
      <c r="H329" s="25">
        <v>0</v>
      </c>
      <c r="I329" s="25">
        <f t="shared" si="127"/>
        <v>31</v>
      </c>
      <c r="J329" s="25" t="str">
        <f>'Lazer Publ. 1'!F19</f>
        <v>pç</v>
      </c>
      <c r="K329" s="26">
        <f>_xlfn.XLOOKUP($E329,PREÇO!$C$7:$C$91,PREÇO!$E$7:$E$91)</f>
        <v>4.59</v>
      </c>
      <c r="L329" s="66">
        <f>IF(SUM(F329:K329)=0,SUMIFS($L330:$L$1593,$B330:$B$1593,$B329,$A330:$A$1593,$A329),I329*K329)</f>
        <v>142.29</v>
      </c>
      <c r="N329"/>
      <c r="O329"/>
      <c r="P329" s="28"/>
      <c r="Q329" s="28"/>
      <c r="R329" s="28"/>
    </row>
    <row r="330" spans="1:18" outlineLevel="1">
      <c r="A330" s="24" t="str">
        <f t="shared" si="122"/>
        <v>GERAL</v>
      </c>
      <c r="B330" s="24" t="str">
        <f t="shared" si="123"/>
        <v>8º PAV. - LAZER PÚBLICO 01</v>
      </c>
      <c r="C330" s="30" t="s">
        <v>221</v>
      </c>
      <c r="D330" s="30" t="str">
        <f>'Lazer Publ. 1'!C20</f>
        <v>Placas</v>
      </c>
      <c r="E330" s="30" t="str">
        <f>'Lazer Publ. 1'!D20</f>
        <v>Placa 4x2" com furo para saída de cabos Padrão NBR IEC 60670</v>
      </c>
      <c r="F330" s="25">
        <f>'Lazer Publ. 1'!E20</f>
        <v>22</v>
      </c>
      <c r="G330" s="25">
        <v>1</v>
      </c>
      <c r="H330" s="25">
        <v>0</v>
      </c>
      <c r="I330" s="25">
        <f t="shared" si="127"/>
        <v>22</v>
      </c>
      <c r="J330" s="25" t="str">
        <f>'Lazer Publ. 1'!F20</f>
        <v>pç</v>
      </c>
      <c r="K330" s="26">
        <f>_xlfn.XLOOKUP($E330,PREÇO!$C$7:$C$91,PREÇO!$E$7:$E$91)</f>
        <v>6.55</v>
      </c>
      <c r="L330" s="66">
        <f>IF(SUM(F330:K330)=0,SUMIFS($L331:$L$1593,$B331:$B$1593,$B330,$A331:$A$1593,$A330),I330*K330)</f>
        <v>144.1</v>
      </c>
      <c r="N330"/>
      <c r="O330"/>
      <c r="P330" s="28"/>
      <c r="Q330" s="28"/>
      <c r="R330" s="28"/>
    </row>
    <row r="331" spans="1:18" outlineLevel="1">
      <c r="A331" s="24" t="str">
        <f t="shared" si="122"/>
        <v>GERAL</v>
      </c>
      <c r="B331" s="24" t="str">
        <f t="shared" si="123"/>
        <v>8º PAV. - LAZER PÚBLICO 01</v>
      </c>
      <c r="C331" s="30" t="s">
        <v>221</v>
      </c>
      <c r="D331" s="30" t="str">
        <f>'Lazer Publ. 1'!C21</f>
        <v>Placas</v>
      </c>
      <c r="E331" s="30" t="str">
        <f>'Lazer Publ. 1'!D21</f>
        <v>Placa 4x4" cega Padrão NBR IEC 60670</v>
      </c>
      <c r="F331" s="25">
        <f>'Lazer Publ. 1'!E21</f>
        <v>2</v>
      </c>
      <c r="G331" s="25">
        <v>1</v>
      </c>
      <c r="H331" s="25">
        <v>0</v>
      </c>
      <c r="I331" s="25">
        <f t="shared" si="127"/>
        <v>2</v>
      </c>
      <c r="J331" s="25" t="str">
        <f>'Lazer Publ. 1'!F21</f>
        <v>pç</v>
      </c>
      <c r="K331" s="26">
        <f>_xlfn.XLOOKUP($E331,PREÇO!$C$7:$C$91,PREÇO!$E$7:$E$91)</f>
        <v>12.25</v>
      </c>
      <c r="L331" s="66">
        <f>IF(SUM(F331:K331)=0,SUMIFS($L332:$L$1593,$B332:$B$1593,$B331,$A332:$A$1593,$A331),I331*K331)</f>
        <v>24.5</v>
      </c>
      <c r="N331"/>
      <c r="O331"/>
      <c r="P331" s="28"/>
      <c r="Q331" s="28"/>
      <c r="R331" s="28"/>
    </row>
    <row r="332" spans="1:18" outlineLevel="1">
      <c r="A332" s="24" t="str">
        <f t="shared" si="122"/>
        <v>GERAL</v>
      </c>
      <c r="B332" s="24" t="str">
        <f t="shared" si="123"/>
        <v>8º PAV. - LAZER PÚBLICO 01</v>
      </c>
      <c r="C332" s="30" t="s">
        <v>221</v>
      </c>
      <c r="D332" s="30" t="str">
        <f>'Lazer Publ. 1'!C22</f>
        <v>Suportes</v>
      </c>
      <c r="E332" s="30" t="str">
        <f>'Lazer Publ. 1'!D22</f>
        <v>Suporte p/ caixa 4x2" Padrão NBR IEC 60670</v>
      </c>
      <c r="F332" s="25">
        <f>'Lazer Publ. 1'!E22</f>
        <v>53</v>
      </c>
      <c r="G332" s="25">
        <v>1</v>
      </c>
      <c r="H332" s="25">
        <v>0</v>
      </c>
      <c r="I332" s="25">
        <f t="shared" si="127"/>
        <v>53</v>
      </c>
      <c r="J332" s="25" t="str">
        <f>'Lazer Publ. 1'!F22</f>
        <v>pç</v>
      </c>
      <c r="K332" s="26">
        <f>_xlfn.XLOOKUP($E332,PREÇO!$C$7:$C$91,PREÇO!$E$7:$E$91)</f>
        <v>1.85</v>
      </c>
      <c r="L332" s="66">
        <f>IF(SUM(F332:K332)=0,SUMIFS($L333:$L$1593,$B333:$B$1593,$B332,$A333:$A$1593,$A332),I332*K332)</f>
        <v>98.050000000000011</v>
      </c>
      <c r="N332"/>
      <c r="O332"/>
      <c r="P332" s="28"/>
      <c r="Q332" s="28"/>
      <c r="R332" s="28"/>
    </row>
    <row r="333" spans="1:18" outlineLevel="1">
      <c r="A333" s="24" t="str">
        <f t="shared" si="122"/>
        <v>GERAL</v>
      </c>
      <c r="B333" s="24" t="str">
        <f t="shared" si="123"/>
        <v>8º PAV. - LAZER PÚBLICO 01</v>
      </c>
      <c r="C333" s="30" t="s">
        <v>221</v>
      </c>
      <c r="D333" s="30" t="str">
        <f>'Lazer Publ. 1'!C23</f>
        <v>Suportes</v>
      </c>
      <c r="E333" s="30" t="str">
        <f>'Lazer Publ. 1'!D23</f>
        <v>Suporte p/ caixa 4x4" Padrão NBR IEC 60670</v>
      </c>
      <c r="F333" s="25">
        <f>'Lazer Publ. 1'!E23</f>
        <v>2</v>
      </c>
      <c r="G333" s="25">
        <v>1</v>
      </c>
      <c r="H333" s="25">
        <v>0</v>
      </c>
      <c r="I333" s="25">
        <f t="shared" si="127"/>
        <v>2</v>
      </c>
      <c r="J333" s="25" t="str">
        <f>'Lazer Publ. 1'!F23</f>
        <v>pç</v>
      </c>
      <c r="K333" s="26">
        <f>_xlfn.XLOOKUP($E333,PREÇO!$C$7:$C$91,PREÇO!$E$7:$E$91)</f>
        <v>3.15</v>
      </c>
      <c r="L333" s="66">
        <f>IF(SUM(F333:K333)=0,SUMIFS($L334:$L$1593,$B334:$B$1593,$B333,$A334:$A$1593,$A333),I333*K333)</f>
        <v>6.3</v>
      </c>
      <c r="N333"/>
      <c r="O333"/>
      <c r="P333" s="28"/>
      <c r="Q333" s="28"/>
      <c r="R333" s="28"/>
    </row>
    <row r="334" spans="1:18" outlineLevel="1">
      <c r="A334" s="24" t="str">
        <f t="shared" si="122"/>
        <v>GERAL</v>
      </c>
      <c r="B334" s="24" t="str">
        <f t="shared" si="123"/>
        <v>8º PAV. - LAZER PÚBLICO 01</v>
      </c>
      <c r="C334" s="30" t="s">
        <v>221</v>
      </c>
      <c r="D334" s="30" t="str">
        <f>'Lazer Publ. 1'!C26</f>
        <v>Embutir</v>
      </c>
      <c r="E334" s="30" t="str">
        <f>'Lazer Publ. 1'!D26</f>
        <v>Cx de passagem de embutir com dimensão de 50x50x15 cm</v>
      </c>
      <c r="F334" s="25">
        <f>'Lazer Publ. 1'!E26</f>
        <v>4</v>
      </c>
      <c r="G334" s="25">
        <v>1</v>
      </c>
      <c r="H334" s="25">
        <v>0</v>
      </c>
      <c r="I334" s="25">
        <f t="shared" si="127"/>
        <v>4</v>
      </c>
      <c r="J334" s="25" t="str">
        <f>'Lazer Publ. 1'!F26</f>
        <v>pç</v>
      </c>
      <c r="K334" s="26">
        <f>_xlfn.XLOOKUP($E334,PREÇO!$C$7:$C$91,PREÇO!$E$7:$E$91)</f>
        <v>291.60000000000002</v>
      </c>
      <c r="L334" s="66">
        <f>IF(SUM(F334:K334)=0,SUMIFS($L335:$L$1593,$B335:$B$1593,$B334,$A335:$A$1593,$A334),I334*K334)</f>
        <v>1166.4000000000001</v>
      </c>
      <c r="N334"/>
      <c r="O334"/>
      <c r="P334" s="28"/>
      <c r="Q334" s="28"/>
      <c r="R334" s="28"/>
    </row>
    <row r="335" spans="1:18" outlineLevel="1">
      <c r="A335" s="24" t="str">
        <f t="shared" si="122"/>
        <v>GERAL</v>
      </c>
      <c r="B335" s="24" t="str">
        <f t="shared" si="123"/>
        <v>8º PAV. - LAZER PÚBLICO 01</v>
      </c>
      <c r="C335" s="30" t="s">
        <v>221</v>
      </c>
      <c r="D335" s="83" t="s">
        <v>46</v>
      </c>
      <c r="E335" s="30" t="str">
        <f>'Lazer Publ. 1'!C29&amp;" "&amp;'Lazer Publ. 1'!D29</f>
        <v>PVC Flexível Antichama - NBR 15465 ø1"</v>
      </c>
      <c r="F335" s="25">
        <f>'Lazer Publ. 1'!E29</f>
        <v>78.569999999999993</v>
      </c>
      <c r="G335" s="25">
        <v>1</v>
      </c>
      <c r="H335" s="25">
        <v>0</v>
      </c>
      <c r="I335" s="25">
        <f t="shared" si="127"/>
        <v>78.569999999999993</v>
      </c>
      <c r="J335" s="25" t="str">
        <f>'Lazer Publ. 1'!F29</f>
        <v>m</v>
      </c>
      <c r="K335" s="26">
        <f>_xlfn.XLOOKUP($E335,PREÇO!$C$7:$C$91,PREÇO!$E$7:$E$91)</f>
        <v>2.5299999999999998</v>
      </c>
      <c r="L335" s="66">
        <f>IF(SUM(F335:K335)=0,SUMIFS($L336:$L$1593,$B336:$B$1593,$B335,$A336:$A$1593,$A335),I335*K335)</f>
        <v>198.78209999999996</v>
      </c>
      <c r="N335"/>
      <c r="O335"/>
      <c r="P335" s="28"/>
      <c r="Q335" s="28"/>
      <c r="R335" s="28"/>
    </row>
    <row r="336" spans="1:18" outlineLevel="1">
      <c r="A336" s="24" t="str">
        <f t="shared" si="122"/>
        <v>GERAL</v>
      </c>
      <c r="B336" s="24" t="str">
        <f t="shared" si="123"/>
        <v>8º PAV. - LAZER PÚBLICO 01</v>
      </c>
      <c r="C336" s="30" t="s">
        <v>221</v>
      </c>
      <c r="D336" s="83" t="s">
        <v>46</v>
      </c>
      <c r="E336" s="30" t="str">
        <f>'Lazer Publ. 1'!C30&amp;" "&amp;'Lazer Publ. 1'!D30</f>
        <v>PVC Flexível Antichama - NBR 15465 ø3/4"</v>
      </c>
      <c r="F336" s="25">
        <f>'Lazer Publ. 1'!E30</f>
        <v>404.76</v>
      </c>
      <c r="G336" s="25">
        <v>1</v>
      </c>
      <c r="H336" s="25">
        <v>0</v>
      </c>
      <c r="I336" s="25">
        <f t="shared" si="127"/>
        <v>404.76</v>
      </c>
      <c r="J336" s="25" t="str">
        <f>'Lazer Publ. 1'!F30</f>
        <v>m</v>
      </c>
      <c r="K336" s="26">
        <f>_xlfn.XLOOKUP($E336,PREÇO!$C$7:$C$91,PREÇO!$E$7:$E$91)</f>
        <v>1.8</v>
      </c>
      <c r="L336" s="66">
        <f>IF(SUM(F336:K336)=0,SUMIFS($L337:$L$1593,$B337:$B$1593,$B336,$A337:$A$1593,$A336),I336*K336)</f>
        <v>728.56799999999998</v>
      </c>
      <c r="N336"/>
      <c r="O336"/>
      <c r="P336" s="28"/>
      <c r="Q336" s="28"/>
      <c r="R336" s="28"/>
    </row>
    <row r="337" spans="1:18" outlineLevel="1">
      <c r="A337" s="24" t="str">
        <f t="shared" si="122"/>
        <v>GERAL</v>
      </c>
      <c r="B337" s="24" t="str">
        <f t="shared" si="123"/>
        <v>8º PAV. - LAZER PÚBLICO 01</v>
      </c>
      <c r="C337" s="30" t="s">
        <v>220</v>
      </c>
      <c r="D337" s="30" t="str">
        <f>'Lazer Publ. 1'!C33</f>
        <v>Luminárias e Placas de Saída</v>
      </c>
      <c r="E337" s="30" t="str">
        <f>'Lazer Publ. 1'!D33</f>
        <v>Luminária de Emergência 24V de Parede</v>
      </c>
      <c r="F337" s="25">
        <f>'Lazer Publ. 1'!E33</f>
        <v>29</v>
      </c>
      <c r="G337" s="25">
        <v>1</v>
      </c>
      <c r="H337" s="25">
        <v>0</v>
      </c>
      <c r="I337" s="25">
        <f t="shared" si="127"/>
        <v>29</v>
      </c>
      <c r="J337" s="25" t="str">
        <f>'Lazer Publ. 1'!F33</f>
        <v>pç</v>
      </c>
      <c r="K337" s="26">
        <f>_xlfn.XLOOKUP($E337,PREÇO!$C$7:$C$91,PREÇO!$E$7:$E$91)</f>
        <v>15.9</v>
      </c>
      <c r="L337" s="66">
        <f>IF(SUM(F337:K337)=0,SUMIFS($L338:$L$1593,$B338:$B$1593,$B337,$A338:$A$1593,$A337),I337*K337)</f>
        <v>461.1</v>
      </c>
      <c r="N337"/>
      <c r="O337"/>
      <c r="P337" s="28"/>
      <c r="Q337" s="28"/>
      <c r="R337" s="28"/>
    </row>
    <row r="338" spans="1:18" outlineLevel="1">
      <c r="A338" s="24" t="str">
        <f t="shared" si="122"/>
        <v>GERAL</v>
      </c>
      <c r="B338" s="24" t="str">
        <f t="shared" si="123"/>
        <v>8º PAV. - LAZER PÚBLICO 01</v>
      </c>
      <c r="C338" s="30" t="s">
        <v>220</v>
      </c>
      <c r="D338" s="30" t="str">
        <f>'Lazer Publ. 1'!C34</f>
        <v>Luminárias e Placas de Saída</v>
      </c>
      <c r="E338" s="30" t="str">
        <f>'Lazer Publ. 1'!D34</f>
        <v>Luminária de Emergência 24V de Teto</v>
      </c>
      <c r="F338" s="25">
        <f>'Lazer Publ. 1'!E34</f>
        <v>20</v>
      </c>
      <c r="G338" s="25">
        <v>1</v>
      </c>
      <c r="H338" s="25">
        <v>0</v>
      </c>
      <c r="I338" s="25">
        <f t="shared" si="127"/>
        <v>20</v>
      </c>
      <c r="J338" s="25" t="str">
        <f>'Lazer Publ. 1'!F34</f>
        <v>pç</v>
      </c>
      <c r="K338" s="26">
        <f>_xlfn.XLOOKUP($E338,PREÇO!$C$7:$C$91,PREÇO!$E$7:$E$91)</f>
        <v>69.900000000000006</v>
      </c>
      <c r="L338" s="66">
        <f>IF(SUM(F338:K338)=0,SUMIFS($L339:$L$1593,$B339:$B$1593,$B338,$A339:$A$1593,$A338),I338*K338)</f>
        <v>1398</v>
      </c>
      <c r="N338"/>
      <c r="O338"/>
      <c r="P338" s="28"/>
      <c r="Q338" s="28"/>
      <c r="R338" s="28"/>
    </row>
    <row r="339" spans="1:18" outlineLevel="1">
      <c r="A339" s="24" t="str">
        <f t="shared" si="122"/>
        <v>GERAL</v>
      </c>
      <c r="B339" s="24" t="str">
        <f t="shared" si="123"/>
        <v>8º PAV. - LAZER PÚBLICO 01</v>
      </c>
      <c r="C339" s="24" t="s">
        <v>222</v>
      </c>
      <c r="D339" s="30" t="str">
        <f>'Lazer Publ. 1'!C35</f>
        <v>Luminárias e Placas de Saída</v>
      </c>
      <c r="E339" s="30" t="str">
        <f>'Lazer Publ. 1'!D35</f>
        <v>Placa de Saída 24V de Parede com Direção</v>
      </c>
      <c r="F339" s="25">
        <f>'Lazer Publ. 1'!E35</f>
        <v>2</v>
      </c>
      <c r="G339" s="25">
        <v>1</v>
      </c>
      <c r="H339" s="25">
        <v>0</v>
      </c>
      <c r="I339" s="25">
        <f t="shared" si="127"/>
        <v>2</v>
      </c>
      <c r="J339" s="25" t="str">
        <f>'Lazer Publ. 1'!F35</f>
        <v>pç</v>
      </c>
      <c r="K339" s="26">
        <f>_xlfn.XLOOKUP($E339,PREÇO!$C$7:$C$91,PREÇO!$E$7:$E$91)</f>
        <v>67.900000000000006</v>
      </c>
      <c r="L339" s="66">
        <f>IF(SUM(F339:K339)=0,SUMIFS($L340:$L$1593,$B340:$B$1593,$B339,$A340:$A$1593,$A339),I339*K339)</f>
        <v>135.80000000000001</v>
      </c>
      <c r="N339"/>
      <c r="O339"/>
      <c r="P339" s="28"/>
      <c r="Q339" s="28"/>
      <c r="R339" s="28"/>
    </row>
    <row r="340" spans="1:18" outlineLevel="1">
      <c r="A340" s="24" t="str">
        <f t="shared" si="122"/>
        <v>GERAL</v>
      </c>
      <c r="B340" s="24" t="str">
        <f t="shared" si="123"/>
        <v>8º PAV. - LAZER PÚBLICO 01</v>
      </c>
      <c r="C340" s="24" t="s">
        <v>222</v>
      </c>
      <c r="D340" s="30" t="str">
        <f>'Lazer Publ. 1'!C36</f>
        <v>Luminárias e Placas de Saída</v>
      </c>
      <c r="E340" s="30" t="str">
        <f>'Lazer Publ. 1'!D36</f>
        <v>Placa de Saída 24V de Parede sem Direção</v>
      </c>
      <c r="F340" s="25">
        <f>'Lazer Publ. 1'!E36</f>
        <v>5</v>
      </c>
      <c r="G340" s="25">
        <v>1</v>
      </c>
      <c r="H340" s="25">
        <v>0</v>
      </c>
      <c r="I340" s="25">
        <f t="shared" si="127"/>
        <v>5</v>
      </c>
      <c r="J340" s="25" t="str">
        <f>'Lazer Publ. 1'!F36</f>
        <v>pç</v>
      </c>
      <c r="K340" s="26">
        <f>_xlfn.XLOOKUP($E340,PREÇO!$C$7:$C$91,PREÇO!$E$7:$E$91)</f>
        <v>61.66</v>
      </c>
      <c r="L340" s="66">
        <f>IF(SUM(F340:K340)=0,SUMIFS($L341:$L$1593,$B341:$B$1593,$B340,$A341:$A$1593,$A340),I340*K340)</f>
        <v>308.29999999999995</v>
      </c>
      <c r="N340"/>
      <c r="O340"/>
      <c r="P340" s="28"/>
      <c r="Q340" s="28"/>
      <c r="R340" s="28"/>
    </row>
    <row r="341" spans="1:18" outlineLevel="1">
      <c r="A341" s="24" t="str">
        <f t="shared" si="122"/>
        <v>GERAL</v>
      </c>
      <c r="B341" s="24" t="str">
        <f t="shared" si="123"/>
        <v>8º PAV. - LAZER PÚBLICO 01</v>
      </c>
      <c r="C341" s="24" t="s">
        <v>222</v>
      </c>
      <c r="D341" s="30" t="str">
        <f>'Lazer Publ. 1'!C37</f>
        <v>Luminárias e Placas de Saída</v>
      </c>
      <c r="E341" s="30" t="str">
        <f>'Lazer Publ. 1'!D37</f>
        <v>Placa de Saída 24V de Teto sem Direção</v>
      </c>
      <c r="F341" s="25">
        <f>'Lazer Publ. 1'!E37</f>
        <v>1</v>
      </c>
      <c r="G341" s="25">
        <v>1</v>
      </c>
      <c r="H341" s="25">
        <v>0</v>
      </c>
      <c r="I341" s="25">
        <f t="shared" si="127"/>
        <v>1</v>
      </c>
      <c r="J341" s="25" t="str">
        <f>'Lazer Publ. 1'!F37</f>
        <v>pç</v>
      </c>
      <c r="K341" s="26">
        <f>_xlfn.XLOOKUP($E341,PREÇO!$C$7:$C$91,PREÇO!$E$7:$E$91)</f>
        <v>61.66</v>
      </c>
      <c r="L341" s="66">
        <f>IF(SUM(F341:K341)=0,SUMIFS($L342:$L$1593,$B342:$B$1593,$B341,$A342:$A$1593,$A341),I341*K341)</f>
        <v>61.66</v>
      </c>
      <c r="N341"/>
      <c r="O341"/>
      <c r="P341" s="28"/>
      <c r="Q341" s="28"/>
      <c r="R341" s="28"/>
    </row>
    <row r="342" spans="1:18" outlineLevel="1">
      <c r="A342" s="24" t="str">
        <f t="shared" si="122"/>
        <v>GERAL</v>
      </c>
      <c r="B342" s="24" t="str">
        <f t="shared" si="123"/>
        <v>8º PAV. - LAZER PÚBLICO 01</v>
      </c>
      <c r="C342" s="24" t="s">
        <v>222</v>
      </c>
      <c r="D342" s="30" t="str">
        <f>'Lazer Publ. 1'!C38</f>
        <v>Luminárias e Placas de Saída</v>
      </c>
      <c r="E342" s="30" t="str">
        <f>'Lazer Publ. 1'!D38</f>
        <v>Placa de Saída Dupla Face 24V de Teto com Direção</v>
      </c>
      <c r="F342" s="25">
        <f>'Lazer Publ. 1'!E38</f>
        <v>1</v>
      </c>
      <c r="G342" s="25">
        <v>1</v>
      </c>
      <c r="H342" s="25">
        <v>0</v>
      </c>
      <c r="I342" s="25">
        <f t="shared" si="127"/>
        <v>1</v>
      </c>
      <c r="J342" s="25" t="str">
        <f>'Lazer Publ. 1'!F38</f>
        <v>pç</v>
      </c>
      <c r="K342" s="26">
        <f>_xlfn.XLOOKUP($E342,PREÇO!$C$7:$C$91,PREÇO!$E$7:$E$91)</f>
        <v>61.66</v>
      </c>
      <c r="L342" s="66">
        <f>IF(SUM(F342:K342)=0,SUMIFS($L344:$L$1593,$B344:$B$1593,$B342,$A344:$A$1593,$A342),I342*K342)</f>
        <v>61.66</v>
      </c>
      <c r="N342"/>
      <c r="O342"/>
      <c r="P342" s="28"/>
      <c r="Q342" s="28"/>
      <c r="R342" s="28"/>
    </row>
    <row r="343" spans="1:18" outlineLevel="1">
      <c r="A343" s="116" t="str">
        <f>A341</f>
        <v>GERAL</v>
      </c>
      <c r="B343" s="116" t="s">
        <v>122</v>
      </c>
      <c r="C343" s="116" t="s">
        <v>222</v>
      </c>
      <c r="D343" s="116" t="s">
        <v>223</v>
      </c>
      <c r="E343" s="116" t="s">
        <v>224</v>
      </c>
      <c r="F343" s="117">
        <v>14</v>
      </c>
      <c r="G343" s="117">
        <v>1</v>
      </c>
      <c r="H343" s="118">
        <v>0</v>
      </c>
      <c r="I343" s="117">
        <f t="shared" si="127"/>
        <v>14</v>
      </c>
      <c r="J343" s="117" t="s">
        <v>11</v>
      </c>
      <c r="K343" s="119">
        <f>_xlfn.XLOOKUP($E343,PREÇO!$C$7:$C$91,PREÇO!$E$7:$E$91)</f>
        <v>646.55999999999995</v>
      </c>
      <c r="L343" s="120">
        <f>IF(SUM(F343:K343)=0,SUMIFS($L344:$L$1593,$B344:$B$1593,$B343,$A344:$A$1593,$A343),I343*K343)</f>
        <v>9051.84</v>
      </c>
      <c r="N343"/>
      <c r="O343"/>
      <c r="P343" s="28"/>
      <c r="Q343" s="28"/>
      <c r="R343" s="28"/>
    </row>
    <row r="344" spans="1:18" outlineLevel="1">
      <c r="A344" s="24" t="str">
        <f>A342</f>
        <v>GERAL</v>
      </c>
      <c r="B344" s="24" t="str">
        <f>B342</f>
        <v>8º PAV. - LAZER PÚBLICO 01</v>
      </c>
      <c r="C344" s="30" t="s">
        <v>220</v>
      </c>
      <c r="D344" s="30" t="str">
        <f>'Lazer Publ. 1'!C39</f>
        <v>Sensores de Presença</v>
      </c>
      <c r="E344" s="30" t="str">
        <f>'Lazer Publ. 1'!D39</f>
        <v>Sensor de Presença 24V de teto</v>
      </c>
      <c r="F344" s="25">
        <f>'Lazer Publ. 1'!E39</f>
        <v>12</v>
      </c>
      <c r="G344" s="25">
        <v>1</v>
      </c>
      <c r="H344" s="25">
        <v>0</v>
      </c>
      <c r="I344" s="25">
        <f t="shared" si="127"/>
        <v>12</v>
      </c>
      <c r="J344" s="25" t="str">
        <f>'Lazer Publ. 1'!F39</f>
        <v>pç</v>
      </c>
      <c r="K344" s="26">
        <f>_xlfn.XLOOKUP($E344,PREÇO!$C$7:$C$91,PREÇO!$E$7:$E$91)</f>
        <v>38.4</v>
      </c>
      <c r="L344" s="66">
        <f>IF(SUM(F344:K344)=0,SUMIFS($L345:$L$1593,$B345:$B$1593,$B344,$A345:$A$1593,$A344),I344*K344)</f>
        <v>460.79999999999995</v>
      </c>
      <c r="N344"/>
      <c r="O344"/>
      <c r="P344" s="28"/>
      <c r="Q344" s="28"/>
      <c r="R344" s="28"/>
    </row>
    <row r="345" spans="1:18" outlineLevel="1">
      <c r="A345" s="24" t="str">
        <f t="shared" si="122"/>
        <v>GERAL</v>
      </c>
      <c r="B345" s="24" t="str">
        <f t="shared" si="123"/>
        <v>8º PAV. - LAZER PÚBLICO 01</v>
      </c>
      <c r="C345" s="30" t="s">
        <v>221</v>
      </c>
      <c r="D345" s="30" t="s">
        <v>87</v>
      </c>
      <c r="E345" s="30" t="str">
        <f>'Lazer Publ. 1'!C42&amp;" "&amp;'Lazer Publ. 1'!D42</f>
        <v>Isolação em PVC (70ºC) 1.5 mm² - Amarelo</v>
      </c>
      <c r="F345" s="25">
        <f>'Lazer Publ. 1'!E42</f>
        <v>337.72</v>
      </c>
      <c r="G345" s="25">
        <v>1</v>
      </c>
      <c r="H345" s="25">
        <v>0</v>
      </c>
      <c r="I345" s="25">
        <f t="shared" si="127"/>
        <v>337.72</v>
      </c>
      <c r="J345" s="25" t="str">
        <f>'Lazer Publ. 1'!F42</f>
        <v>m</v>
      </c>
      <c r="K345" s="26">
        <f>_xlfn.XLOOKUP($E345,PREÇO!$C$7:$C$91,PREÇO!$E$7:$E$91)</f>
        <v>1.59</v>
      </c>
      <c r="L345" s="66">
        <f>IF(SUM(F345:K345)=0,SUMIFS($L346:$L$1593,$B346:$B$1593,$B345,$A346:$A$1593,$A345),I345*K345)</f>
        <v>536.97480000000007</v>
      </c>
      <c r="N345"/>
      <c r="O345"/>
      <c r="P345" s="28"/>
      <c r="Q345" s="28"/>
      <c r="R345" s="28"/>
    </row>
    <row r="346" spans="1:18" outlineLevel="1">
      <c r="A346" s="24" t="str">
        <f t="shared" si="122"/>
        <v>GERAL</v>
      </c>
      <c r="B346" s="24" t="str">
        <f t="shared" si="123"/>
        <v>8º PAV. - LAZER PÚBLICO 01</v>
      </c>
      <c r="C346" s="30" t="s">
        <v>221</v>
      </c>
      <c r="D346" s="30" t="s">
        <v>87</v>
      </c>
      <c r="E346" s="30" t="str">
        <f>'Lazer Publ. 1'!C43&amp;" "&amp;'Lazer Publ. 1'!D43</f>
        <v>Isolação em PVC (70ºC) 1.5 mm² - Preto</v>
      </c>
      <c r="F346" s="25">
        <f>'Lazer Publ. 1'!E43</f>
        <v>168.86</v>
      </c>
      <c r="G346" s="25">
        <v>1</v>
      </c>
      <c r="H346" s="25">
        <v>0</v>
      </c>
      <c r="I346" s="25">
        <f t="shared" si="127"/>
        <v>168.86</v>
      </c>
      <c r="J346" s="25" t="str">
        <f>'Lazer Publ. 1'!F43</f>
        <v>m</v>
      </c>
      <c r="K346" s="26">
        <f>_xlfn.XLOOKUP($E346,PREÇO!$C$7:$C$91,PREÇO!$E$7:$E$91)</f>
        <v>1.59</v>
      </c>
      <c r="L346" s="66">
        <f>IF(SUM(F346:K346)=0,SUMIFS($L347:$L$1593,$B347:$B$1593,$B346,$A347:$A$1593,$A346),I346*K346)</f>
        <v>268.48740000000004</v>
      </c>
      <c r="N346"/>
      <c r="O346"/>
      <c r="P346" s="28"/>
      <c r="Q346" s="28"/>
      <c r="R346" s="28"/>
    </row>
    <row r="347" spans="1:18" outlineLevel="1">
      <c r="A347" s="24" t="str">
        <f t="shared" si="122"/>
        <v>GERAL</v>
      </c>
      <c r="B347" s="24" t="str">
        <f t="shared" si="123"/>
        <v>8º PAV. - LAZER PÚBLICO 01</v>
      </c>
      <c r="C347" s="30" t="s">
        <v>221</v>
      </c>
      <c r="D347" s="30" t="s">
        <v>87</v>
      </c>
      <c r="E347" s="30" t="str">
        <f>'Lazer Publ. 1'!C44&amp;" "&amp;'Lazer Publ. 1'!D44</f>
        <v>Isolação em PVC (70ºC) 1.5 mm² - Vermelho</v>
      </c>
      <c r="F347" s="25">
        <f>'Lazer Publ. 1'!E44</f>
        <v>168.86</v>
      </c>
      <c r="G347" s="25">
        <v>1</v>
      </c>
      <c r="H347" s="25">
        <v>0</v>
      </c>
      <c r="I347" s="25">
        <f t="shared" si="127"/>
        <v>168.86</v>
      </c>
      <c r="J347" s="25" t="str">
        <f>'Lazer Publ. 1'!F44</f>
        <v>m</v>
      </c>
      <c r="K347" s="26">
        <f>_xlfn.XLOOKUP($E347,PREÇO!$C$7:$C$91,PREÇO!$E$7:$E$91)</f>
        <v>1.59</v>
      </c>
      <c r="L347" s="66">
        <f>IF(SUM(F347:K347)=0,SUMIFS($L348:$L$1593,$B348:$B$1593,$B347,$A348:$A$1593,$A347),I347*K347)</f>
        <v>268.48740000000004</v>
      </c>
      <c r="N347"/>
      <c r="O347"/>
      <c r="P347" s="28"/>
      <c r="Q347" s="28"/>
      <c r="R347" s="28"/>
    </row>
    <row r="348" spans="1:18" outlineLevel="1">
      <c r="A348" s="24" t="str">
        <f t="shared" si="122"/>
        <v>GERAL</v>
      </c>
      <c r="B348" s="24" t="str">
        <f t="shared" si="123"/>
        <v>8º PAV. - LAZER PÚBLICO 01</v>
      </c>
      <c r="C348" s="30" t="s">
        <v>221</v>
      </c>
      <c r="D348" s="30" t="s">
        <v>87</v>
      </c>
      <c r="E348" s="30" t="str">
        <f>'Lazer Publ. 1'!C45&amp;" "&amp;'Lazer Publ. 1'!D45</f>
        <v>Isolação em PVC (70ºC) 2.5 mm² - Amarelo</v>
      </c>
      <c r="F348" s="25">
        <f>'Lazer Publ. 1'!E45</f>
        <v>45.62</v>
      </c>
      <c r="G348" s="25">
        <v>1</v>
      </c>
      <c r="H348" s="25">
        <v>0</v>
      </c>
      <c r="I348" s="25">
        <f t="shared" si="127"/>
        <v>45.62</v>
      </c>
      <c r="J348" s="25" t="str">
        <f>'Lazer Publ. 1'!F45</f>
        <v>m</v>
      </c>
      <c r="K348" s="26">
        <f>_xlfn.XLOOKUP($E348,PREÇO!$C$7:$C$91,PREÇO!$E$7:$E$91)</f>
        <v>2.19</v>
      </c>
      <c r="L348" s="66">
        <f>IF(SUM(F348:K348)=0,SUMIFS($L349:$L$1593,$B349:$B$1593,$B348,$A349:$A$1593,$A348),I348*K348)</f>
        <v>99.907799999999995</v>
      </c>
      <c r="N348"/>
      <c r="O348"/>
      <c r="P348" s="28"/>
      <c r="Q348" s="28"/>
      <c r="R348" s="28"/>
    </row>
    <row r="349" spans="1:18" outlineLevel="1">
      <c r="A349" s="24" t="str">
        <f t="shared" si="122"/>
        <v>GERAL</v>
      </c>
      <c r="B349" s="24" t="str">
        <f t="shared" si="123"/>
        <v>8º PAV. - LAZER PÚBLICO 01</v>
      </c>
      <c r="C349" s="30" t="s">
        <v>221</v>
      </c>
      <c r="D349" s="30" t="s">
        <v>87</v>
      </c>
      <c r="E349" s="30" t="str">
        <f>'Lazer Publ. 1'!C46&amp;" "&amp;'Lazer Publ. 1'!D46</f>
        <v>Isolação em PVC (70ºC) 2.5 mm² - Preto</v>
      </c>
      <c r="F349" s="25">
        <f>'Lazer Publ. 1'!E46</f>
        <v>558.30999999999995</v>
      </c>
      <c r="G349" s="25">
        <v>1</v>
      </c>
      <c r="H349" s="25">
        <v>0</v>
      </c>
      <c r="I349" s="25">
        <f t="shared" si="127"/>
        <v>558.30999999999995</v>
      </c>
      <c r="J349" s="25" t="str">
        <f>'Lazer Publ. 1'!F46</f>
        <v>m</v>
      </c>
      <c r="K349" s="26">
        <f>_xlfn.XLOOKUP($E349,PREÇO!$C$7:$C$91,PREÇO!$E$7:$E$91)</f>
        <v>2.19</v>
      </c>
      <c r="L349" s="66">
        <f>IF(SUM(F349:K349)=0,SUMIFS($L350:$L$1593,$B350:$B$1593,$B349,$A350:$A$1593,$A349),I349*K349)</f>
        <v>1222.6988999999999</v>
      </c>
      <c r="N349"/>
      <c r="O349"/>
      <c r="P349" s="28"/>
      <c r="Q349" s="28"/>
      <c r="R349" s="28"/>
    </row>
    <row r="350" spans="1:18" outlineLevel="1">
      <c r="A350" s="24" t="str">
        <f t="shared" si="122"/>
        <v>GERAL</v>
      </c>
      <c r="B350" s="24" t="str">
        <f t="shared" si="123"/>
        <v>8º PAV. - LAZER PÚBLICO 01</v>
      </c>
      <c r="C350" s="30" t="s">
        <v>221</v>
      </c>
      <c r="D350" s="30" t="s">
        <v>87</v>
      </c>
      <c r="E350" s="30" t="str">
        <f>'Lazer Publ. 1'!C47&amp;" "&amp;'Lazer Publ. 1'!D47</f>
        <v>Isolação em PVC (70ºC) 2.5 mm² - Vermelho</v>
      </c>
      <c r="F350" s="25">
        <f>'Lazer Publ. 1'!E47</f>
        <v>558.30999999999995</v>
      </c>
      <c r="G350" s="25">
        <v>1</v>
      </c>
      <c r="H350" s="25">
        <v>0</v>
      </c>
      <c r="I350" s="25">
        <f t="shared" si="127"/>
        <v>558.30999999999995</v>
      </c>
      <c r="J350" s="25" t="str">
        <f>'Lazer Publ. 1'!F47</f>
        <v>m</v>
      </c>
      <c r="K350" s="26">
        <f>_xlfn.XLOOKUP($E350,PREÇO!$C$7:$C$91,PREÇO!$E$7:$E$91)</f>
        <v>2.19</v>
      </c>
      <c r="L350" s="66">
        <f>IF(SUM(F350:K350)=0,SUMIFS($L351:$L$1593,$B351:$B$1593,$B350,$A351:$A$1593,$A350),I350*K350)</f>
        <v>1222.6988999999999</v>
      </c>
      <c r="N350"/>
      <c r="O350"/>
      <c r="P350" s="28"/>
      <c r="Q350" s="28"/>
      <c r="R350" s="28"/>
    </row>
    <row r="351" spans="1:18" outlineLevel="1">
      <c r="A351" s="24" t="str">
        <f t="shared" si="122"/>
        <v>GERAL</v>
      </c>
      <c r="B351" s="24" t="str">
        <f t="shared" si="123"/>
        <v>8º PAV. - LAZER PÚBLICO 01</v>
      </c>
      <c r="C351" s="30" t="s">
        <v>221</v>
      </c>
      <c r="D351" s="30" t="s">
        <v>87</v>
      </c>
      <c r="E351" s="30" t="str">
        <f>'Lazer Publ. 1'!C48&amp;" "&amp;'Lazer Publ. 1'!D48</f>
        <v>Isolação em PVC (70ºC) 4 mm² - Preto</v>
      </c>
      <c r="F351" s="25">
        <f>'Lazer Publ. 1'!E48</f>
        <v>95.62</v>
      </c>
      <c r="G351" s="25">
        <v>1</v>
      </c>
      <c r="H351" s="25">
        <v>0</v>
      </c>
      <c r="I351" s="25">
        <f t="shared" si="127"/>
        <v>95.62</v>
      </c>
      <c r="J351" s="25" t="str">
        <f>'Lazer Publ. 1'!F48</f>
        <v>m</v>
      </c>
      <c r="K351" s="26">
        <f>_xlfn.XLOOKUP($E351,PREÇO!$C$7:$C$91,PREÇO!$E$7:$E$91)</f>
        <v>3.89</v>
      </c>
      <c r="L351" s="66">
        <f>IF(SUM(F351:K351)=0,SUMIFS($L352:$L$1593,$B352:$B$1593,$B351,$A352:$A$1593,$A351),I351*K351)</f>
        <v>371.96180000000004</v>
      </c>
      <c r="N351"/>
      <c r="O351"/>
      <c r="P351" s="28"/>
      <c r="Q351" s="28"/>
      <c r="R351" s="28"/>
    </row>
    <row r="352" spans="1:18" outlineLevel="1">
      <c r="A352" s="24" t="str">
        <f t="shared" si="122"/>
        <v>GERAL</v>
      </c>
      <c r="B352" s="24" t="str">
        <f t="shared" si="123"/>
        <v>8º PAV. - LAZER PÚBLICO 01</v>
      </c>
      <c r="C352" s="30" t="s">
        <v>221</v>
      </c>
      <c r="D352" s="30" t="s">
        <v>87</v>
      </c>
      <c r="E352" s="30" t="str">
        <f>'Lazer Publ. 1'!C49&amp;" "&amp;'Lazer Publ. 1'!D49</f>
        <v>Isolação em PVC (70ºC) 4 mm² - Vermelho</v>
      </c>
      <c r="F352" s="25">
        <f>'Lazer Publ. 1'!E49</f>
        <v>95.62</v>
      </c>
      <c r="G352" s="25">
        <v>1</v>
      </c>
      <c r="H352" s="25">
        <v>0</v>
      </c>
      <c r="I352" s="25">
        <f t="shared" si="127"/>
        <v>95.62</v>
      </c>
      <c r="J352" s="25" t="str">
        <f>'Lazer Publ. 1'!F49</f>
        <v>m</v>
      </c>
      <c r="K352" s="26">
        <f>_xlfn.XLOOKUP($E352,PREÇO!$C$7:$C$91,PREÇO!$E$7:$E$91)</f>
        <v>3.89</v>
      </c>
      <c r="L352" s="66">
        <f>IF(SUM(F352:K352)=0,SUMIFS($L353:$L$1593,$B353:$B$1593,$B352,$A353:$A$1593,$A352),I352*K352)</f>
        <v>371.96180000000004</v>
      </c>
      <c r="N352"/>
      <c r="O352"/>
      <c r="P352" s="28"/>
      <c r="Q352" s="28"/>
      <c r="R352" s="28"/>
    </row>
    <row r="353" spans="1:18" outlineLevel="1">
      <c r="A353" s="24" t="str">
        <f t="shared" si="122"/>
        <v>GERAL</v>
      </c>
      <c r="B353" s="24" t="str">
        <f t="shared" si="123"/>
        <v>8º PAV. - LAZER PÚBLICO 01</v>
      </c>
      <c r="C353" s="30" t="s">
        <v>221</v>
      </c>
      <c r="D353" s="83" t="s">
        <v>46</v>
      </c>
      <c r="E353" s="30" t="str">
        <f>'Lazer Publ. 1'!C53&amp;" "&amp;'Lazer Publ. 1'!D53</f>
        <v>PVC Flexível Antichama - NBR 15465 ø1"</v>
      </c>
      <c r="F353" s="25">
        <f>'Lazer Publ. 1'!E53</f>
        <v>188.45</v>
      </c>
      <c r="G353" s="25">
        <v>1</v>
      </c>
      <c r="H353" s="25">
        <v>0</v>
      </c>
      <c r="I353" s="25">
        <f t="shared" si="127"/>
        <v>188.45</v>
      </c>
      <c r="J353" s="25" t="str">
        <f>'Lazer Publ. 1'!F53</f>
        <v>m</v>
      </c>
      <c r="K353" s="26">
        <f>_xlfn.XLOOKUP($E353,PREÇO!$C$7:$C$91,PREÇO!$E$7:$E$91)</f>
        <v>2.5299999999999998</v>
      </c>
      <c r="L353" s="66">
        <f>IF(SUM(F353:K353)=0,SUMIFS($L354:$L$1593,$B354:$B$1593,$B353,$A354:$A$1593,$A353),I353*K353)</f>
        <v>476.77849999999995</v>
      </c>
      <c r="N353"/>
      <c r="O353"/>
      <c r="P353" s="28"/>
      <c r="Q353" s="28"/>
      <c r="R353" s="28"/>
    </row>
    <row r="354" spans="1:18" outlineLevel="1">
      <c r="A354" s="24" t="str">
        <f t="shared" si="122"/>
        <v>GERAL</v>
      </c>
      <c r="B354" s="24" t="str">
        <f t="shared" si="123"/>
        <v>8º PAV. - LAZER PÚBLICO 01</v>
      </c>
      <c r="C354" s="30" t="s">
        <v>221</v>
      </c>
      <c r="D354" s="30" t="s">
        <v>89</v>
      </c>
      <c r="E354" s="30" t="str">
        <f>'Lazer Publ. 1'!C56&amp;" "&amp;'Lazer Publ. 1'!D56</f>
        <v>Classe A - PVC Anti-chama - 105ºC - Isolação 600V 0.75 mm²</v>
      </c>
      <c r="F354" s="25">
        <f>'Lazer Publ. 1'!E56</f>
        <v>181.45</v>
      </c>
      <c r="G354" s="25">
        <v>1</v>
      </c>
      <c r="H354" s="25">
        <v>0</v>
      </c>
      <c r="I354" s="25">
        <f t="shared" si="127"/>
        <v>181.45</v>
      </c>
      <c r="J354" s="25" t="str">
        <f>'Lazer Publ. 1'!F56</f>
        <v>m</v>
      </c>
      <c r="K354" s="26">
        <f>_xlfn.XLOOKUP($E354,PREÇO!$C$7:$C$91,PREÇO!$E$7:$E$91)</f>
        <v>0.99</v>
      </c>
      <c r="L354" s="66">
        <f>IF(SUM(F354:K354)=0,SUMIFS($L355:$L$1593,$B355:$B$1593,$B354,$A355:$A$1593,$A354),I354*K354)</f>
        <v>179.63549999999998</v>
      </c>
      <c r="N354"/>
      <c r="O354"/>
      <c r="P354" s="28"/>
      <c r="Q354" s="28"/>
      <c r="R354" s="28"/>
    </row>
    <row r="355" spans="1:18" ht="15.75" outlineLevel="1" thickBot="1">
      <c r="A355" s="24" t="str">
        <f t="shared" si="122"/>
        <v>GERAL</v>
      </c>
      <c r="B355" s="24" t="str">
        <f t="shared" si="123"/>
        <v>8º PAV. - LAZER PÚBLICO 01</v>
      </c>
      <c r="C355" s="30" t="s">
        <v>221</v>
      </c>
      <c r="D355" s="30" t="s">
        <v>89</v>
      </c>
      <c r="E355" s="30" t="str">
        <f>'Lazer Publ. 1'!C57&amp;" "&amp;'Lazer Publ. 1'!D57</f>
        <v>Classe B - PVC Anti-chama - 105ºC - Isolação 600V 1.5 mm²</v>
      </c>
      <c r="F355" s="25">
        <f>'Lazer Publ. 1'!E57</f>
        <v>106.34</v>
      </c>
      <c r="G355" s="25">
        <v>1</v>
      </c>
      <c r="H355" s="25">
        <v>0</v>
      </c>
      <c r="I355" s="25">
        <f t="shared" si="127"/>
        <v>106.34</v>
      </c>
      <c r="J355" s="25" t="str">
        <f>'Lazer Publ. 1'!F57</f>
        <v>m</v>
      </c>
      <c r="K355" s="26">
        <f>_xlfn.XLOOKUP($E355,PREÇO!$C$7:$C$91,PREÇO!$E$7:$E$91)</f>
        <v>1.69</v>
      </c>
      <c r="L355" s="66">
        <f>IF(SUM(F355:K355)=0,SUMIFS($L356:$L$1593,$B356:$B$1593,$B355,$A356:$A$1593,$A355),I355*K355)</f>
        <v>179.71459999999999</v>
      </c>
      <c r="N355"/>
      <c r="O355"/>
      <c r="P355" s="28"/>
      <c r="Q355" s="28"/>
      <c r="R355" s="28"/>
    </row>
    <row r="356" spans="1:18" ht="15.75" thickTop="1">
      <c r="A356" s="82" t="str">
        <f t="shared" si="122"/>
        <v>GERAL</v>
      </c>
      <c r="B356" s="82" t="s">
        <v>125</v>
      </c>
      <c r="C356" s="43"/>
      <c r="D356" s="44" t="str">
        <f>'Lazer Publ. 1'!C58</f>
        <v/>
      </c>
      <c r="E356" s="44"/>
      <c r="F356" s="45" t="str">
        <f>'Lazer Publ. 1'!E58</f>
        <v/>
      </c>
      <c r="G356" s="45"/>
      <c r="H356" s="45"/>
      <c r="I356" s="45"/>
      <c r="J356" s="45"/>
      <c r="K356" s="47"/>
      <c r="L356" s="48">
        <f>IF(SUM(F356:K356)=0,SUMIFS($L357:$L$1593,$B357:$B$1593,$B356,$A357:$A$1593,$A356),I356*K356)</f>
        <v>20482.430400000001</v>
      </c>
      <c r="N356"/>
      <c r="O356"/>
      <c r="P356" s="28"/>
      <c r="Q356" s="28"/>
      <c r="R356" s="28"/>
    </row>
    <row r="357" spans="1:18" outlineLevel="1">
      <c r="A357" s="24" t="str">
        <f t="shared" si="122"/>
        <v>GERAL</v>
      </c>
      <c r="B357" s="24" t="str">
        <f t="shared" si="123"/>
        <v>9º PAV. - LAZER PÚBLICO 02</v>
      </c>
      <c r="C357" s="30" t="s">
        <v>221</v>
      </c>
      <c r="D357" s="30" t="str">
        <f>'Lazer Publ. 2'!C6</f>
        <v>Acionadores</v>
      </c>
      <c r="E357" s="30" t="str">
        <f>'Lazer Publ. 2'!D6</f>
        <v>Acionador Manual de Alarme de Incêndio</v>
      </c>
      <c r="F357" s="30">
        <f>'Lazer Publ. 2'!E6</f>
        <v>5</v>
      </c>
      <c r="G357" s="25">
        <v>1</v>
      </c>
      <c r="H357" s="25">
        <v>0</v>
      </c>
      <c r="I357" s="25">
        <f t="shared" si="127"/>
        <v>5</v>
      </c>
      <c r="J357" s="25" t="str">
        <f>'Lazer Publ. 2'!F6</f>
        <v>pç</v>
      </c>
      <c r="K357" s="26">
        <f>_xlfn.XLOOKUP($E357,PREÇO!$C$7:$C$91,PREÇO!$E$7:$E$91)</f>
        <v>65</v>
      </c>
      <c r="L357" s="66">
        <f>IF(SUM(F357:K357)=0,SUMIFS($L358:$L$1593,$B358:$B$1593,$B357,$A358:$A$1593,$A357),I357*K357)</f>
        <v>325</v>
      </c>
      <c r="N357"/>
      <c r="O357"/>
      <c r="P357" s="28"/>
      <c r="Q357" s="28"/>
      <c r="R357" s="28"/>
    </row>
    <row r="358" spans="1:18" outlineLevel="1">
      <c r="A358" s="24" t="str">
        <f t="shared" si="122"/>
        <v>GERAL</v>
      </c>
      <c r="B358" s="24" t="str">
        <f t="shared" si="123"/>
        <v>9º PAV. - LAZER PÚBLICO 02</v>
      </c>
      <c r="C358" s="30" t="s">
        <v>221</v>
      </c>
      <c r="D358" s="30" t="str">
        <f>'Lazer Publ. 2'!C7</f>
        <v>Anunciadores</v>
      </c>
      <c r="E358" s="30" t="str">
        <f>'Lazer Publ. 2'!D7</f>
        <v>Anunciador Audiovisual de Alarme de Incêndio de Parede</v>
      </c>
      <c r="F358" s="30">
        <f>'Lazer Publ. 2'!E7</f>
        <v>5</v>
      </c>
      <c r="G358" s="25">
        <v>1</v>
      </c>
      <c r="H358" s="25">
        <v>0</v>
      </c>
      <c r="I358" s="25">
        <f t="shared" ref="I358:I390" si="128">(F358+H358*F358)*G358</f>
        <v>5</v>
      </c>
      <c r="J358" s="25" t="str">
        <f>'Lazer Publ. 2'!F7</f>
        <v>pç</v>
      </c>
      <c r="K358" s="26">
        <f>_xlfn.XLOOKUP($E358,PREÇO!$C$7:$C$91,PREÇO!$E$7:$E$91)</f>
        <v>191.81</v>
      </c>
      <c r="L358" s="66">
        <f>IF(SUM(F358:K358)=0,SUMIFS($L359:$L$1593,$B359:$B$1593,$B358,$A359:$A$1593,$A358),I358*K358)</f>
        <v>959.05</v>
      </c>
      <c r="N358"/>
      <c r="O358"/>
      <c r="P358" s="28"/>
      <c r="Q358" s="28"/>
      <c r="R358" s="28"/>
    </row>
    <row r="359" spans="1:18" outlineLevel="1">
      <c r="A359" s="24" t="str">
        <f t="shared" si="122"/>
        <v>GERAL</v>
      </c>
      <c r="B359" s="24" t="str">
        <f t="shared" si="123"/>
        <v>9º PAV. - LAZER PÚBLICO 02</v>
      </c>
      <c r="C359" s="30" t="s">
        <v>221</v>
      </c>
      <c r="D359" s="30" t="str">
        <f>'Lazer Publ. 2'!C8</f>
        <v>Atuadores</v>
      </c>
      <c r="E359" s="30" t="str">
        <f>'Lazer Publ. 2'!D8</f>
        <v>Atuador Janela Desenfumagem</v>
      </c>
      <c r="F359" s="30">
        <f>'Lazer Publ. 2'!E8</f>
        <v>1</v>
      </c>
      <c r="G359" s="25">
        <v>1</v>
      </c>
      <c r="H359" s="25">
        <v>0</v>
      </c>
      <c r="I359" s="25">
        <f t="shared" si="128"/>
        <v>1</v>
      </c>
      <c r="J359" s="25" t="str">
        <f>'Lazer Publ. 2'!F8</f>
        <v>pç</v>
      </c>
      <c r="K359" s="26">
        <f>_xlfn.XLOOKUP($E359,PREÇO!$C$7:$C$91,PREÇO!$E$7:$E$91)</f>
        <v>1150</v>
      </c>
      <c r="L359" s="66">
        <f>IF(SUM(F359:K359)=0,SUMIFS($L360:$L$1593,$B360:$B$1593,$B359,$A360:$A$1593,$A359),I359*K359)</f>
        <v>1150</v>
      </c>
      <c r="N359"/>
      <c r="O359"/>
      <c r="P359" s="28"/>
      <c r="Q359" s="28"/>
      <c r="R359" s="28"/>
    </row>
    <row r="360" spans="1:18" outlineLevel="1">
      <c r="A360" s="24" t="str">
        <f t="shared" si="122"/>
        <v>GERAL</v>
      </c>
      <c r="B360" s="24" t="str">
        <f t="shared" si="123"/>
        <v>9º PAV. - LAZER PÚBLICO 02</v>
      </c>
      <c r="C360" s="30" t="s">
        <v>221</v>
      </c>
      <c r="D360" s="30" t="str">
        <f>'Lazer Publ. 2'!C9</f>
        <v>Atuadores</v>
      </c>
      <c r="E360" s="30" t="str">
        <f>'Lazer Publ. 2'!D9</f>
        <v>Dispositivo Eletromagnético de Porta Aberta</v>
      </c>
      <c r="F360" s="30">
        <f>'Lazer Publ. 2'!E9</f>
        <v>1</v>
      </c>
      <c r="G360" s="25">
        <v>1</v>
      </c>
      <c r="H360" s="25">
        <v>0</v>
      </c>
      <c r="I360" s="25">
        <f t="shared" si="128"/>
        <v>1</v>
      </c>
      <c r="J360" s="25" t="str">
        <f>'Lazer Publ. 2'!F9</f>
        <v>pç</v>
      </c>
      <c r="K360" s="26">
        <f>_xlfn.XLOOKUP($E360,PREÇO!$C$7:$C$91,PREÇO!$E$7:$E$91)</f>
        <v>416.9</v>
      </c>
      <c r="L360" s="66">
        <f>IF(SUM(F360:K360)=0,SUMIFS($L361:$L$1593,$B361:$B$1593,$B360,$A361:$A$1593,$A360),I360*K360)</f>
        <v>416.9</v>
      </c>
      <c r="N360"/>
      <c r="O360"/>
      <c r="P360" s="28"/>
      <c r="Q360" s="28"/>
      <c r="R360" s="28"/>
    </row>
    <row r="361" spans="1:18" outlineLevel="1">
      <c r="A361" s="24" t="str">
        <f t="shared" si="122"/>
        <v>GERAL</v>
      </c>
      <c r="B361" s="24" t="str">
        <f t="shared" si="123"/>
        <v>9º PAV. - LAZER PÚBLICO 02</v>
      </c>
      <c r="C361" s="30" t="s">
        <v>221</v>
      </c>
      <c r="D361" s="30" t="str">
        <f>'Lazer Publ. 2'!C10</f>
        <v>Sensores</v>
      </c>
      <c r="E361" s="30" t="str">
        <f>'Lazer Publ. 2'!D10</f>
        <v>Sensor de Fumaça</v>
      </c>
      <c r="F361" s="30">
        <f>'Lazer Publ. 2'!E10</f>
        <v>6</v>
      </c>
      <c r="G361" s="25">
        <v>1</v>
      </c>
      <c r="H361" s="25">
        <v>0</v>
      </c>
      <c r="I361" s="25">
        <f t="shared" si="128"/>
        <v>6</v>
      </c>
      <c r="J361" s="25" t="str">
        <f>'Lazer Publ. 2'!F10</f>
        <v>pç</v>
      </c>
      <c r="K361" s="26">
        <f>_xlfn.XLOOKUP($E361,PREÇO!$C$7:$C$91,PREÇO!$E$7:$E$91)</f>
        <v>53.9</v>
      </c>
      <c r="L361" s="66">
        <f>IF(SUM(F361:K361)=0,SUMIFS($L362:$L$1593,$B362:$B$1593,$B361,$A362:$A$1593,$A361),I361*K361)</f>
        <v>323.39999999999998</v>
      </c>
      <c r="N361"/>
      <c r="O361"/>
      <c r="P361" s="28"/>
      <c r="Q361" s="28"/>
      <c r="R361" s="28"/>
    </row>
    <row r="362" spans="1:18" outlineLevel="1">
      <c r="A362" s="24" t="str">
        <f t="shared" si="122"/>
        <v>GERAL</v>
      </c>
      <c r="B362" s="24" t="str">
        <f t="shared" si="123"/>
        <v>9º PAV. - LAZER PÚBLICO 02</v>
      </c>
      <c r="C362" s="30" t="s">
        <v>221</v>
      </c>
      <c r="D362" s="30" t="str">
        <f>'Lazer Publ. 2'!C13</f>
        <v>Caixas</v>
      </c>
      <c r="E362" s="30" t="str">
        <f>'Lazer Publ. 2'!D13</f>
        <v>Caixa Octogonal Padrão NBR IEC 60670</v>
      </c>
      <c r="F362" s="30">
        <f>'Lazer Publ. 2'!E13</f>
        <v>39</v>
      </c>
      <c r="G362" s="25">
        <v>1</v>
      </c>
      <c r="H362" s="25">
        <v>0</v>
      </c>
      <c r="I362" s="25">
        <f t="shared" si="128"/>
        <v>39</v>
      </c>
      <c r="J362" s="25" t="str">
        <f>'Lazer Publ. 2'!F13</f>
        <v>pç</v>
      </c>
      <c r="K362" s="26">
        <f>_xlfn.XLOOKUP($E362,PREÇO!$C$7:$C$91,PREÇO!$E$7:$E$91)</f>
        <v>5.32</v>
      </c>
      <c r="L362" s="66">
        <f>IF(SUM(F362:K362)=0,SUMIFS($L363:$L$1593,$B363:$B$1593,$B362,$A363:$A$1593,$A362),I362*K362)</f>
        <v>207.48000000000002</v>
      </c>
      <c r="N362"/>
      <c r="O362"/>
      <c r="P362" s="28"/>
      <c r="Q362" s="28"/>
      <c r="R362" s="28"/>
    </row>
    <row r="363" spans="1:18" outlineLevel="1">
      <c r="A363" s="24" t="str">
        <f t="shared" si="122"/>
        <v>GERAL</v>
      </c>
      <c r="B363" s="24" t="str">
        <f t="shared" si="123"/>
        <v>9º PAV. - LAZER PÚBLICO 02</v>
      </c>
      <c r="C363" s="30" t="s">
        <v>221</v>
      </c>
      <c r="D363" s="30" t="str">
        <f>'Lazer Publ. 2'!C14</f>
        <v>Placas</v>
      </c>
      <c r="E363" s="30" t="str">
        <f>'Lazer Publ. 2'!D14</f>
        <v>Placa cega para caixa octogonal Padrão NBR IEC 60670</v>
      </c>
      <c r="F363" s="30">
        <f>'Lazer Publ. 2'!E14</f>
        <v>8</v>
      </c>
      <c r="G363" s="25">
        <v>1</v>
      </c>
      <c r="H363" s="25">
        <v>0</v>
      </c>
      <c r="I363" s="25">
        <f t="shared" si="128"/>
        <v>8</v>
      </c>
      <c r="J363" s="25" t="str">
        <f>'Lazer Publ. 2'!F14</f>
        <v>pç</v>
      </c>
      <c r="K363" s="26">
        <f>_xlfn.XLOOKUP($E363,PREÇO!$C$7:$C$91,PREÇO!$E$7:$E$91)</f>
        <v>2.5</v>
      </c>
      <c r="L363" s="66">
        <f>IF(SUM(F363:K363)=0,SUMIFS($L364:$L$1593,$B364:$B$1593,$B363,$A364:$A$1593,$A363),I363*K363)</f>
        <v>20</v>
      </c>
      <c r="N363"/>
      <c r="O363"/>
      <c r="P363" s="28"/>
      <c r="Q363" s="28"/>
      <c r="R363" s="28"/>
    </row>
    <row r="364" spans="1:18" outlineLevel="1">
      <c r="A364" s="24" t="str">
        <f t="shared" si="122"/>
        <v>GERAL</v>
      </c>
      <c r="B364" s="24" t="str">
        <f t="shared" si="123"/>
        <v>9º PAV. - LAZER PÚBLICO 02</v>
      </c>
      <c r="C364" s="30" t="s">
        <v>221</v>
      </c>
      <c r="D364" s="30" t="str">
        <f>'Lazer Publ. 2'!C17</f>
        <v>Caixas</v>
      </c>
      <c r="E364" s="30" t="str">
        <f>'Lazer Publ. 2'!D17</f>
        <v>Caixa 4x2" de Embutir em PVC Padrão NBR IEC 60670</v>
      </c>
      <c r="F364" s="30">
        <f>'Lazer Publ. 2'!E17</f>
        <v>52</v>
      </c>
      <c r="G364" s="25">
        <v>1</v>
      </c>
      <c r="H364" s="25">
        <v>0</v>
      </c>
      <c r="I364" s="25">
        <f t="shared" si="128"/>
        <v>52</v>
      </c>
      <c r="J364" s="25" t="str">
        <f>'Lazer Publ. 2'!F17</f>
        <v>pç</v>
      </c>
      <c r="K364" s="26">
        <f>_xlfn.XLOOKUP($E364,PREÇO!$C$7:$C$91,PREÇO!$E$7:$E$91)</f>
        <v>1.72</v>
      </c>
      <c r="L364" s="66">
        <f>IF(SUM(F364:K364)=0,SUMIFS($L365:$L$1593,$B365:$B$1593,$B364,$A365:$A$1593,$A364),I364*K364)</f>
        <v>89.44</v>
      </c>
      <c r="N364"/>
      <c r="O364"/>
      <c r="P364" s="28"/>
      <c r="Q364" s="28"/>
      <c r="R364" s="28"/>
    </row>
    <row r="365" spans="1:18" outlineLevel="1">
      <c r="A365" s="24" t="str">
        <f t="shared" si="122"/>
        <v>GERAL</v>
      </c>
      <c r="B365" s="24" t="str">
        <f t="shared" si="123"/>
        <v>9º PAV. - LAZER PÚBLICO 02</v>
      </c>
      <c r="C365" s="30" t="s">
        <v>221</v>
      </c>
      <c r="D365" s="30" t="str">
        <f>'Lazer Publ. 2'!C18</f>
        <v>Placas</v>
      </c>
      <c r="E365" s="30" t="str">
        <f>'Lazer Publ. 2'!D18</f>
        <v>Placa 4x2" cega Padrão NBR IEC 60670</v>
      </c>
      <c r="F365" s="30">
        <f>'Lazer Publ. 2'!E18</f>
        <v>27</v>
      </c>
      <c r="G365" s="25">
        <v>1</v>
      </c>
      <c r="H365" s="25">
        <v>0</v>
      </c>
      <c r="I365" s="25">
        <f t="shared" si="128"/>
        <v>27</v>
      </c>
      <c r="J365" s="25" t="str">
        <f>'Lazer Publ. 2'!F18</f>
        <v>pç</v>
      </c>
      <c r="K365" s="26">
        <f>_xlfn.XLOOKUP($E365,PREÇO!$C$7:$C$91,PREÇO!$E$7:$E$91)</f>
        <v>4.59</v>
      </c>
      <c r="L365" s="66">
        <f>IF(SUM(F365:K365)=0,SUMIFS($L366:$L$1593,$B366:$B$1593,$B365,$A366:$A$1593,$A365),I365*K365)</f>
        <v>123.92999999999999</v>
      </c>
      <c r="N365"/>
      <c r="O365"/>
      <c r="P365" s="28"/>
      <c r="Q365" s="28"/>
      <c r="R365" s="28"/>
    </row>
    <row r="366" spans="1:18" outlineLevel="1">
      <c r="A366" s="24" t="str">
        <f t="shared" si="122"/>
        <v>GERAL</v>
      </c>
      <c r="B366" s="24" t="str">
        <f t="shared" si="123"/>
        <v>9º PAV. - LAZER PÚBLICO 02</v>
      </c>
      <c r="C366" s="30" t="s">
        <v>221</v>
      </c>
      <c r="D366" s="30" t="str">
        <f>'Lazer Publ. 2'!C19</f>
        <v>Placas</v>
      </c>
      <c r="E366" s="30" t="str">
        <f>'Lazer Publ. 2'!D19</f>
        <v>Placa 4x2" com furo para saída de cabos Padrão NBR IEC 60670</v>
      </c>
      <c r="F366" s="30">
        <f>'Lazer Publ. 2'!E19</f>
        <v>25</v>
      </c>
      <c r="G366" s="25">
        <v>1</v>
      </c>
      <c r="H366" s="25">
        <v>0</v>
      </c>
      <c r="I366" s="25">
        <f t="shared" si="128"/>
        <v>25</v>
      </c>
      <c r="J366" s="25" t="str">
        <f>'Lazer Publ. 2'!F19</f>
        <v>pç</v>
      </c>
      <c r="K366" s="26">
        <f>_xlfn.XLOOKUP($E366,PREÇO!$C$7:$C$91,PREÇO!$E$7:$E$91)</f>
        <v>6.55</v>
      </c>
      <c r="L366" s="66">
        <f>IF(SUM(F366:K366)=0,SUMIFS($L367:$L$1593,$B367:$B$1593,$B366,$A367:$A$1593,$A366),I366*K366)</f>
        <v>163.75</v>
      </c>
      <c r="N366"/>
      <c r="O366"/>
      <c r="P366" s="28"/>
      <c r="Q366" s="28"/>
      <c r="R366" s="28"/>
    </row>
    <row r="367" spans="1:18" outlineLevel="1">
      <c r="A367" s="24" t="str">
        <f t="shared" si="122"/>
        <v>GERAL</v>
      </c>
      <c r="B367" s="24" t="str">
        <f t="shared" si="123"/>
        <v>9º PAV. - LAZER PÚBLICO 02</v>
      </c>
      <c r="C367" s="30" t="s">
        <v>221</v>
      </c>
      <c r="D367" s="30" t="str">
        <f>'Lazer Publ. 2'!C20</f>
        <v>Suportes</v>
      </c>
      <c r="E367" s="30" t="str">
        <f>'Lazer Publ. 2'!D20</f>
        <v>Suporte p/ caixa 4x2" Padrão NBR IEC 60670</v>
      </c>
      <c r="F367" s="30">
        <f>'Lazer Publ. 2'!E20</f>
        <v>52</v>
      </c>
      <c r="G367" s="25">
        <v>1</v>
      </c>
      <c r="H367" s="25">
        <v>0</v>
      </c>
      <c r="I367" s="25">
        <f t="shared" si="128"/>
        <v>52</v>
      </c>
      <c r="J367" s="25" t="str">
        <f>'Lazer Publ. 2'!F20</f>
        <v>pç</v>
      </c>
      <c r="K367" s="26">
        <f>_xlfn.XLOOKUP($E367,PREÇO!$C$7:$C$91,PREÇO!$E$7:$E$91)</f>
        <v>1.85</v>
      </c>
      <c r="L367" s="66">
        <f>IF(SUM(F367:K367)=0,SUMIFS($L368:$L$1593,$B368:$B$1593,$B367,$A368:$A$1593,$A367),I367*K367)</f>
        <v>96.2</v>
      </c>
      <c r="N367"/>
      <c r="O367"/>
      <c r="P367" s="28"/>
      <c r="Q367" s="28"/>
      <c r="R367" s="28"/>
    </row>
    <row r="368" spans="1:18" outlineLevel="1">
      <c r="A368" s="24" t="str">
        <f t="shared" si="122"/>
        <v>GERAL</v>
      </c>
      <c r="B368" s="24" t="str">
        <f t="shared" si="123"/>
        <v>9º PAV. - LAZER PÚBLICO 02</v>
      </c>
      <c r="C368" s="30" t="s">
        <v>221</v>
      </c>
      <c r="D368" s="30" t="str">
        <f>'Lazer Publ. 2'!C23</f>
        <v>Embutir</v>
      </c>
      <c r="E368" s="30" t="str">
        <f>'Lazer Publ. 2'!D23</f>
        <v>Cx de passagem de embutir com dimensão de 50x50x15 cm</v>
      </c>
      <c r="F368" s="30">
        <f>'Lazer Publ. 2'!E23</f>
        <v>1</v>
      </c>
      <c r="G368" s="25">
        <v>1</v>
      </c>
      <c r="H368" s="25">
        <v>0</v>
      </c>
      <c r="I368" s="25">
        <f t="shared" si="128"/>
        <v>1</v>
      </c>
      <c r="J368" s="25" t="str">
        <f>'Lazer Publ. 2'!F23</f>
        <v>pç</v>
      </c>
      <c r="K368" s="26">
        <f>_xlfn.XLOOKUP($E368,PREÇO!$C$7:$C$91,PREÇO!$E$7:$E$91)</f>
        <v>291.60000000000002</v>
      </c>
      <c r="L368" s="66">
        <f>IF(SUM(F368:K368)=0,SUMIFS($L369:$L$1593,$B369:$B$1593,$B368,$A369:$A$1593,$A368),I368*K368)</f>
        <v>291.60000000000002</v>
      </c>
      <c r="N368"/>
      <c r="O368"/>
      <c r="P368" s="28"/>
      <c r="Q368" s="28"/>
      <c r="R368" s="28"/>
    </row>
    <row r="369" spans="1:18" outlineLevel="1">
      <c r="A369" s="24" t="str">
        <f t="shared" si="122"/>
        <v>GERAL</v>
      </c>
      <c r="B369" s="24" t="str">
        <f t="shared" si="123"/>
        <v>9º PAV. - LAZER PÚBLICO 02</v>
      </c>
      <c r="C369" s="30" t="s">
        <v>221</v>
      </c>
      <c r="D369" s="83" t="s">
        <v>46</v>
      </c>
      <c r="E369" s="30" t="str">
        <f>'Lazer Publ. 2'!C26&amp;" "&amp;'Lazer Publ. 2'!D26</f>
        <v>PVC Flexível Antichama - NBR 15465 ø1"</v>
      </c>
      <c r="F369" s="30">
        <f>'Lazer Publ. 2'!E26</f>
        <v>42.38</v>
      </c>
      <c r="G369" s="25">
        <v>1</v>
      </c>
      <c r="H369" s="25">
        <v>0</v>
      </c>
      <c r="I369" s="25">
        <f t="shared" si="128"/>
        <v>42.38</v>
      </c>
      <c r="J369" s="25" t="str">
        <f>'Lazer Publ. 2'!F26</f>
        <v>m</v>
      </c>
      <c r="K369" s="26">
        <f>_xlfn.XLOOKUP($E369,PREÇO!$C$7:$C$91,PREÇO!$E$7:$E$91)</f>
        <v>2.5299999999999998</v>
      </c>
      <c r="L369" s="66">
        <f>IF(SUM(F369:K369)=0,SUMIFS($L370:$L$1593,$B370:$B$1593,$B369,$A370:$A$1593,$A369),I369*K369)</f>
        <v>107.2214</v>
      </c>
      <c r="N369"/>
      <c r="O369"/>
      <c r="P369" s="28"/>
      <c r="Q369" s="28"/>
      <c r="R369" s="28"/>
    </row>
    <row r="370" spans="1:18" outlineLevel="1">
      <c r="A370" s="24" t="str">
        <f t="shared" si="122"/>
        <v>GERAL</v>
      </c>
      <c r="B370" s="24" t="str">
        <f t="shared" si="123"/>
        <v>9º PAV. - LAZER PÚBLICO 02</v>
      </c>
      <c r="C370" s="30" t="s">
        <v>221</v>
      </c>
      <c r="D370" s="83" t="s">
        <v>46</v>
      </c>
      <c r="E370" s="30" t="str">
        <f>'Lazer Publ. 2'!C27&amp;" "&amp;'Lazer Publ. 2'!D27</f>
        <v>PVC Flexível Antichama - NBR 15465 ø3/4"</v>
      </c>
      <c r="F370" s="30">
        <f>'Lazer Publ. 2'!E27</f>
        <v>325.7</v>
      </c>
      <c r="G370" s="25">
        <v>1</v>
      </c>
      <c r="H370" s="25">
        <v>0</v>
      </c>
      <c r="I370" s="25">
        <f t="shared" si="128"/>
        <v>325.7</v>
      </c>
      <c r="J370" s="25" t="str">
        <f>'Lazer Publ. 2'!F27</f>
        <v>m</v>
      </c>
      <c r="K370" s="26">
        <f>_xlfn.XLOOKUP($E370,PREÇO!$C$7:$C$91,PREÇO!$E$7:$E$91)</f>
        <v>1.8</v>
      </c>
      <c r="L370" s="66">
        <f>IF(SUM(F370:K370)=0,SUMIFS($L371:$L$1593,$B371:$B$1593,$B370,$A371:$A$1593,$A370),I370*K370)</f>
        <v>586.26</v>
      </c>
      <c r="N370"/>
      <c r="O370"/>
      <c r="P370" s="28"/>
      <c r="Q370" s="28"/>
      <c r="R370" s="28"/>
    </row>
    <row r="371" spans="1:18" outlineLevel="1">
      <c r="A371" s="24" t="str">
        <f t="shared" si="122"/>
        <v>GERAL</v>
      </c>
      <c r="B371" s="24" t="str">
        <f t="shared" si="123"/>
        <v>9º PAV. - LAZER PÚBLICO 02</v>
      </c>
      <c r="C371" s="30" t="s">
        <v>220</v>
      </c>
      <c r="D371" s="30" t="str">
        <f>'Lazer Publ. 2'!C30</f>
        <v>Luminárias e Placas de Saída</v>
      </c>
      <c r="E371" s="30" t="str">
        <f>'Lazer Publ. 2'!D30</f>
        <v>Luminária de Emergência 24V de Parede</v>
      </c>
      <c r="F371" s="30">
        <f>'Lazer Publ. 2'!E30</f>
        <v>24</v>
      </c>
      <c r="G371" s="25">
        <v>1</v>
      </c>
      <c r="H371" s="25">
        <v>0</v>
      </c>
      <c r="I371" s="25">
        <f t="shared" si="128"/>
        <v>24</v>
      </c>
      <c r="J371" s="25" t="str">
        <f>'Lazer Publ. 2'!F30</f>
        <v>pç</v>
      </c>
      <c r="K371" s="26">
        <f>_xlfn.XLOOKUP($E371,PREÇO!$C$7:$C$91,PREÇO!$E$7:$E$91)</f>
        <v>15.9</v>
      </c>
      <c r="L371" s="66">
        <f>IF(SUM(F371:K371)=0,SUMIFS($L372:$L$1593,$B372:$B$1593,$B371,$A372:$A$1593,$A371),I371*K371)</f>
        <v>381.6</v>
      </c>
      <c r="N371"/>
      <c r="O371"/>
      <c r="P371" s="28"/>
      <c r="Q371" s="28"/>
      <c r="R371" s="28"/>
    </row>
    <row r="372" spans="1:18" outlineLevel="1">
      <c r="A372" s="24" t="str">
        <f t="shared" si="122"/>
        <v>GERAL</v>
      </c>
      <c r="B372" s="24" t="str">
        <f t="shared" si="123"/>
        <v>9º PAV. - LAZER PÚBLICO 02</v>
      </c>
      <c r="C372" s="30" t="s">
        <v>220</v>
      </c>
      <c r="D372" s="30" t="str">
        <f>'Lazer Publ. 2'!C31</f>
        <v>Luminárias e Placas de Saída</v>
      </c>
      <c r="E372" s="30" t="str">
        <f>'Lazer Publ. 2'!D31</f>
        <v>Luminária de Emergência 24V de Teto</v>
      </c>
      <c r="F372" s="30">
        <f>'Lazer Publ. 2'!E31</f>
        <v>17</v>
      </c>
      <c r="G372" s="25">
        <v>1</v>
      </c>
      <c r="H372" s="25">
        <v>0</v>
      </c>
      <c r="I372" s="25">
        <f t="shared" si="128"/>
        <v>17</v>
      </c>
      <c r="J372" s="25" t="str">
        <f>'Lazer Publ. 2'!F31</f>
        <v>pç</v>
      </c>
      <c r="K372" s="26">
        <f>_xlfn.XLOOKUP($E372,PREÇO!$C$7:$C$91,PREÇO!$E$7:$E$91)</f>
        <v>69.900000000000006</v>
      </c>
      <c r="L372" s="66">
        <f>IF(SUM(F372:K372)=0,SUMIFS($L373:$L$1593,$B373:$B$1593,$B372,$A373:$A$1593,$A372),I372*K372)</f>
        <v>1188.3000000000002</v>
      </c>
      <c r="N372"/>
      <c r="O372"/>
      <c r="P372" s="28"/>
      <c r="Q372" s="28"/>
      <c r="R372" s="28"/>
    </row>
    <row r="373" spans="1:18" outlineLevel="1">
      <c r="A373" s="24" t="str">
        <f t="shared" si="122"/>
        <v>GERAL</v>
      </c>
      <c r="B373" s="24" t="str">
        <f t="shared" si="123"/>
        <v>9º PAV. - LAZER PÚBLICO 02</v>
      </c>
      <c r="C373" s="24" t="s">
        <v>222</v>
      </c>
      <c r="D373" s="30" t="str">
        <f>'Lazer Publ. 2'!C32</f>
        <v>Luminárias e Placas de Saída</v>
      </c>
      <c r="E373" s="30" t="str">
        <f>'Lazer Publ. 2'!D32</f>
        <v>Placa de Saída 24V de Parede com Direção</v>
      </c>
      <c r="F373" s="30">
        <f>'Lazer Publ. 2'!E32</f>
        <v>5</v>
      </c>
      <c r="G373" s="25">
        <v>1</v>
      </c>
      <c r="H373" s="25">
        <v>0</v>
      </c>
      <c r="I373" s="25">
        <f t="shared" si="128"/>
        <v>5</v>
      </c>
      <c r="J373" s="25" t="str">
        <f>'Lazer Publ. 2'!F32</f>
        <v>pç</v>
      </c>
      <c r="K373" s="26">
        <f>_xlfn.XLOOKUP($E373,PREÇO!$C$7:$C$91,PREÇO!$E$7:$E$91)</f>
        <v>67.900000000000006</v>
      </c>
      <c r="L373" s="66">
        <f>IF(SUM(F373:K373)=0,SUMIFS($L374:$L$1593,$B374:$B$1593,$B373,$A374:$A$1593,$A373),I373*K373)</f>
        <v>339.5</v>
      </c>
      <c r="N373"/>
      <c r="O373"/>
      <c r="P373" s="28"/>
      <c r="Q373" s="28"/>
      <c r="R373" s="28"/>
    </row>
    <row r="374" spans="1:18" outlineLevel="1">
      <c r="A374" s="24" t="str">
        <f t="shared" si="122"/>
        <v>GERAL</v>
      </c>
      <c r="B374" s="24" t="str">
        <f t="shared" si="123"/>
        <v>9º PAV. - LAZER PÚBLICO 02</v>
      </c>
      <c r="C374" s="24" t="s">
        <v>222</v>
      </c>
      <c r="D374" s="30" t="str">
        <f>'Lazer Publ. 2'!C33</f>
        <v>Luminárias e Placas de Saída</v>
      </c>
      <c r="E374" s="30" t="str">
        <f>'Lazer Publ. 2'!D33</f>
        <v>Placa de Saída 24V de Parede sem Direção</v>
      </c>
      <c r="F374" s="30">
        <f>'Lazer Publ. 2'!E33</f>
        <v>5</v>
      </c>
      <c r="G374" s="25">
        <v>1</v>
      </c>
      <c r="H374" s="25">
        <v>0</v>
      </c>
      <c r="I374" s="25">
        <f t="shared" si="128"/>
        <v>5</v>
      </c>
      <c r="J374" s="25" t="str">
        <f>'Lazer Publ. 2'!F33</f>
        <v>pç</v>
      </c>
      <c r="K374" s="26">
        <f>_xlfn.XLOOKUP($E374,PREÇO!$C$7:$C$91,PREÇO!$E$7:$E$91)</f>
        <v>61.66</v>
      </c>
      <c r="L374" s="66">
        <f>IF(SUM(F374:K374)=0,SUMIFS($L375:$L$1593,$B375:$B$1593,$B374,$A375:$A$1593,$A374),I374*K374)</f>
        <v>308.29999999999995</v>
      </c>
      <c r="N374"/>
      <c r="O374"/>
      <c r="P374" s="28"/>
      <c r="Q374" s="28"/>
      <c r="R374" s="28"/>
    </row>
    <row r="375" spans="1:18" outlineLevel="1">
      <c r="A375" s="24" t="str">
        <f t="shared" si="122"/>
        <v>GERAL</v>
      </c>
      <c r="B375" s="24" t="str">
        <f t="shared" si="123"/>
        <v>9º PAV. - LAZER PÚBLICO 02</v>
      </c>
      <c r="C375" s="24" t="s">
        <v>222</v>
      </c>
      <c r="D375" s="30" t="str">
        <f>'Lazer Publ. 2'!C34</f>
        <v>Luminárias e Placas de Saída</v>
      </c>
      <c r="E375" s="30" t="str">
        <f>'Lazer Publ. 2'!D34</f>
        <v>Placa de Saída Dupla Face 24V de Teto com Direção</v>
      </c>
      <c r="F375" s="30">
        <f>'Lazer Publ. 2'!E34</f>
        <v>2</v>
      </c>
      <c r="G375" s="25">
        <v>1</v>
      </c>
      <c r="H375" s="25">
        <v>0</v>
      </c>
      <c r="I375" s="25">
        <f t="shared" si="128"/>
        <v>2</v>
      </c>
      <c r="J375" s="25" t="str">
        <f>'Lazer Publ. 2'!F34</f>
        <v>pç</v>
      </c>
      <c r="K375" s="26">
        <f>_xlfn.XLOOKUP($E375,PREÇO!$C$7:$C$91,PREÇO!$E$7:$E$91)</f>
        <v>61.66</v>
      </c>
      <c r="L375" s="66">
        <f>IF(SUM(F375:K375)=0,SUMIFS($L377:$L$1593,$B377:$B$1593,$B375,$A377:$A$1593,$A375),I375*K375)</f>
        <v>123.32</v>
      </c>
      <c r="N375"/>
      <c r="O375"/>
      <c r="P375" s="28"/>
      <c r="Q375" s="28"/>
      <c r="R375" s="28"/>
    </row>
    <row r="376" spans="1:18" outlineLevel="1">
      <c r="A376" s="116" t="str">
        <f>A374</f>
        <v>GERAL</v>
      </c>
      <c r="B376" s="116" t="s">
        <v>125</v>
      </c>
      <c r="C376" s="116" t="s">
        <v>222</v>
      </c>
      <c r="D376" s="116" t="s">
        <v>223</v>
      </c>
      <c r="E376" s="116" t="s">
        <v>224</v>
      </c>
      <c r="F376" s="117">
        <v>14</v>
      </c>
      <c r="G376" s="117">
        <v>1</v>
      </c>
      <c r="H376" s="118">
        <v>0</v>
      </c>
      <c r="I376" s="117">
        <f t="shared" si="128"/>
        <v>14</v>
      </c>
      <c r="J376" s="117" t="s">
        <v>11</v>
      </c>
      <c r="K376" s="119">
        <f>_xlfn.XLOOKUP($E376,PREÇO!$C$7:$C$91,PREÇO!$E$7:$E$91)</f>
        <v>646.55999999999995</v>
      </c>
      <c r="L376" s="120">
        <f>IF(SUM(F376:K376)=0,SUMIFS($L377:$L$1593,$B377:$B$1593,$B376,$A377:$A$1593,$A376),I376*K376)</f>
        <v>9051.84</v>
      </c>
      <c r="N376"/>
      <c r="O376"/>
      <c r="P376" s="28"/>
      <c r="Q376" s="28"/>
      <c r="R376" s="28"/>
    </row>
    <row r="377" spans="1:18" outlineLevel="1">
      <c r="A377" s="24" t="str">
        <f>A375</f>
        <v>GERAL</v>
      </c>
      <c r="B377" s="24" t="str">
        <f>B375</f>
        <v>9º PAV. - LAZER PÚBLICO 02</v>
      </c>
      <c r="C377" s="30" t="s">
        <v>220</v>
      </c>
      <c r="D377" s="30" t="str">
        <f>'Lazer Publ. 2'!C35</f>
        <v>Sensores de Presença</v>
      </c>
      <c r="E377" s="30" t="str">
        <f>'Lazer Publ. 2'!D35</f>
        <v>Sensor de Presença 24V de teto</v>
      </c>
      <c r="F377" s="30">
        <f>'Lazer Publ. 2'!E35</f>
        <v>8</v>
      </c>
      <c r="G377" s="25">
        <v>1</v>
      </c>
      <c r="H377" s="25">
        <v>0</v>
      </c>
      <c r="I377" s="25">
        <f t="shared" si="128"/>
        <v>8</v>
      </c>
      <c r="J377" s="25" t="str">
        <f>'Lazer Publ. 2'!F35</f>
        <v>pç</v>
      </c>
      <c r="K377" s="26">
        <f>_xlfn.XLOOKUP($E377,PREÇO!$C$7:$C$91,PREÇO!$E$7:$E$91)</f>
        <v>38.4</v>
      </c>
      <c r="L377" s="66">
        <f>IF(SUM(F377:K377)=0,SUMIFS($L378:$L$1593,$B378:$B$1593,$B377,$A378:$A$1593,$A377),I377*K377)</f>
        <v>307.2</v>
      </c>
      <c r="N377"/>
      <c r="O377"/>
      <c r="P377" s="28"/>
      <c r="Q377" s="28"/>
      <c r="R377" s="28"/>
    </row>
    <row r="378" spans="1:18" outlineLevel="1">
      <c r="A378" s="24" t="str">
        <f t="shared" si="122"/>
        <v>GERAL</v>
      </c>
      <c r="B378" s="24" t="str">
        <f t="shared" si="123"/>
        <v>9º PAV. - LAZER PÚBLICO 02</v>
      </c>
      <c r="C378" s="30" t="s">
        <v>221</v>
      </c>
      <c r="D378" s="83" t="s">
        <v>87</v>
      </c>
      <c r="E378" s="30" t="str">
        <f>'Lazer Publ. 2'!C38&amp;" "&amp;'Lazer Publ. 2'!D38</f>
        <v>Isolação em PVC (70ºC) 1.5 mm² - Amarelo</v>
      </c>
      <c r="F378" s="30">
        <f>'Lazer Publ. 2'!E38</f>
        <v>95.03</v>
      </c>
      <c r="G378" s="25">
        <v>1</v>
      </c>
      <c r="H378" s="25">
        <v>0</v>
      </c>
      <c r="I378" s="25">
        <f t="shared" si="128"/>
        <v>95.03</v>
      </c>
      <c r="J378" s="25" t="str">
        <f>'Lazer Publ. 2'!F38</f>
        <v>m</v>
      </c>
      <c r="K378" s="26">
        <f>_xlfn.XLOOKUP($E378,PREÇO!$C$7:$C$91,PREÇO!$E$7:$E$91)</f>
        <v>1.59</v>
      </c>
      <c r="L378" s="66">
        <f>IF(SUM(F378:K378)=0,SUMIFS($L379:$L$1593,$B379:$B$1593,$B378,$A379:$A$1593,$A378),I378*K378)</f>
        <v>151.0977</v>
      </c>
      <c r="N378"/>
      <c r="O378"/>
      <c r="P378" s="28"/>
      <c r="Q378" s="28"/>
      <c r="R378" s="28"/>
    </row>
    <row r="379" spans="1:18" outlineLevel="1">
      <c r="A379" s="24" t="str">
        <f t="shared" si="122"/>
        <v>GERAL</v>
      </c>
      <c r="B379" s="24" t="str">
        <f t="shared" si="123"/>
        <v>9º PAV. - LAZER PÚBLICO 02</v>
      </c>
      <c r="C379" s="30" t="s">
        <v>221</v>
      </c>
      <c r="D379" s="83" t="s">
        <v>87</v>
      </c>
      <c r="E379" s="30" t="str">
        <f>'Lazer Publ. 2'!C39&amp;" "&amp;'Lazer Publ. 2'!D39</f>
        <v>Isolação em PVC (70ºC) 1.5 mm² - Preto</v>
      </c>
      <c r="F379" s="30">
        <f>'Lazer Publ. 2'!E39</f>
        <v>47.52</v>
      </c>
      <c r="G379" s="25">
        <v>1</v>
      </c>
      <c r="H379" s="25">
        <v>0</v>
      </c>
      <c r="I379" s="25">
        <f t="shared" si="128"/>
        <v>47.52</v>
      </c>
      <c r="J379" s="25" t="str">
        <f>'Lazer Publ. 2'!F39</f>
        <v>m</v>
      </c>
      <c r="K379" s="26">
        <f>_xlfn.XLOOKUP($E379,PREÇO!$C$7:$C$91,PREÇO!$E$7:$E$91)</f>
        <v>1.59</v>
      </c>
      <c r="L379" s="66">
        <f>IF(SUM(F379:K379)=0,SUMIFS($L380:$L$1593,$B380:$B$1593,$B379,$A380:$A$1593,$A379),I379*K379)</f>
        <v>75.55680000000001</v>
      </c>
      <c r="N379"/>
      <c r="O379"/>
      <c r="P379" s="28"/>
      <c r="Q379" s="28"/>
      <c r="R379" s="28"/>
    </row>
    <row r="380" spans="1:18" outlineLevel="1">
      <c r="A380" s="24" t="str">
        <f t="shared" si="122"/>
        <v>GERAL</v>
      </c>
      <c r="B380" s="24" t="str">
        <f t="shared" si="123"/>
        <v>9º PAV. - LAZER PÚBLICO 02</v>
      </c>
      <c r="C380" s="30" t="s">
        <v>221</v>
      </c>
      <c r="D380" s="83" t="s">
        <v>87</v>
      </c>
      <c r="E380" s="30" t="str">
        <f>'Lazer Publ. 2'!C40&amp;" "&amp;'Lazer Publ. 2'!D40</f>
        <v>Isolação em PVC (70ºC) 1.5 mm² - Vermelho</v>
      </c>
      <c r="F380" s="30">
        <f>'Lazer Publ. 2'!E40</f>
        <v>47.52</v>
      </c>
      <c r="G380" s="25">
        <v>1</v>
      </c>
      <c r="H380" s="25">
        <v>0</v>
      </c>
      <c r="I380" s="25">
        <f t="shared" si="128"/>
        <v>47.52</v>
      </c>
      <c r="J380" s="25" t="str">
        <f>'Lazer Publ. 2'!F40</f>
        <v>m</v>
      </c>
      <c r="K380" s="26">
        <f>_xlfn.XLOOKUP($E380,PREÇO!$C$7:$C$91,PREÇO!$E$7:$E$91)</f>
        <v>1.59</v>
      </c>
      <c r="L380" s="66">
        <f>IF(SUM(F380:K380)=0,SUMIFS($L381:$L$1593,$B381:$B$1593,$B380,$A381:$A$1593,$A380),I380*K380)</f>
        <v>75.55680000000001</v>
      </c>
      <c r="N380"/>
      <c r="O380"/>
      <c r="P380" s="28"/>
      <c r="Q380" s="28"/>
      <c r="R380" s="28"/>
    </row>
    <row r="381" spans="1:18" outlineLevel="1">
      <c r="A381" s="24" t="str">
        <f t="shared" si="122"/>
        <v>GERAL</v>
      </c>
      <c r="B381" s="24" t="str">
        <f t="shared" si="123"/>
        <v>9º PAV. - LAZER PÚBLICO 02</v>
      </c>
      <c r="C381" s="30" t="s">
        <v>221</v>
      </c>
      <c r="D381" s="83" t="s">
        <v>87</v>
      </c>
      <c r="E381" s="30" t="str">
        <f>'Lazer Publ. 2'!C41&amp;" "&amp;'Lazer Publ. 2'!D41</f>
        <v>Isolação em PVC (70ºC) 2.5 mm² - Amarelo</v>
      </c>
      <c r="F381" s="30">
        <f>'Lazer Publ. 2'!E41</f>
        <v>45.64</v>
      </c>
      <c r="G381" s="25">
        <v>1</v>
      </c>
      <c r="H381" s="25">
        <v>0</v>
      </c>
      <c r="I381" s="25">
        <f t="shared" si="128"/>
        <v>45.64</v>
      </c>
      <c r="J381" s="25" t="str">
        <f>'Lazer Publ. 2'!F41</f>
        <v>m</v>
      </c>
      <c r="K381" s="26">
        <f>_xlfn.XLOOKUP($E381,PREÇO!$C$7:$C$91,PREÇO!$E$7:$E$91)</f>
        <v>2.19</v>
      </c>
      <c r="L381" s="66">
        <f>IF(SUM(F381:K381)=0,SUMIFS($L382:$L$1593,$B382:$B$1593,$B381,$A382:$A$1593,$A381),I381*K381)</f>
        <v>99.951599999999999</v>
      </c>
      <c r="N381"/>
      <c r="O381"/>
      <c r="P381" s="28"/>
      <c r="Q381" s="28"/>
      <c r="R381" s="28"/>
    </row>
    <row r="382" spans="1:18" outlineLevel="1">
      <c r="A382" s="24" t="str">
        <f t="shared" si="122"/>
        <v>GERAL</v>
      </c>
      <c r="B382" s="24" t="str">
        <f t="shared" si="123"/>
        <v>9º PAV. - LAZER PÚBLICO 02</v>
      </c>
      <c r="C382" s="30" t="s">
        <v>221</v>
      </c>
      <c r="D382" s="83" t="s">
        <v>87</v>
      </c>
      <c r="E382" s="30" t="str">
        <f>'Lazer Publ. 2'!C42&amp;" "&amp;'Lazer Publ. 2'!D42</f>
        <v>Isolação em PVC (70ºC) 2.5 mm² - Preto</v>
      </c>
      <c r="F382" s="30">
        <f>'Lazer Publ. 2'!E42</f>
        <v>100.35</v>
      </c>
      <c r="G382" s="25">
        <v>1</v>
      </c>
      <c r="H382" s="25">
        <v>0</v>
      </c>
      <c r="I382" s="25">
        <f t="shared" si="128"/>
        <v>100.35</v>
      </c>
      <c r="J382" s="25" t="str">
        <f>'Lazer Publ. 2'!F42</f>
        <v>m</v>
      </c>
      <c r="K382" s="26">
        <f>_xlfn.XLOOKUP($E382,PREÇO!$C$7:$C$91,PREÇO!$E$7:$E$91)</f>
        <v>2.19</v>
      </c>
      <c r="L382" s="66">
        <f>IF(SUM(F382:K382)=0,SUMIFS($L383:$L$1593,$B383:$B$1593,$B382,$A383:$A$1593,$A382),I382*K382)</f>
        <v>219.76649999999998</v>
      </c>
      <c r="N382"/>
      <c r="O382"/>
      <c r="P382" s="28"/>
      <c r="Q382" s="28"/>
      <c r="R382" s="28"/>
    </row>
    <row r="383" spans="1:18" outlineLevel="1">
      <c r="A383" s="24" t="str">
        <f t="shared" si="122"/>
        <v>GERAL</v>
      </c>
      <c r="B383" s="24" t="str">
        <f t="shared" si="123"/>
        <v>9º PAV. - LAZER PÚBLICO 02</v>
      </c>
      <c r="C383" s="30" t="s">
        <v>221</v>
      </c>
      <c r="D383" s="83" t="s">
        <v>87</v>
      </c>
      <c r="E383" s="30" t="str">
        <f>'Lazer Publ. 2'!C43&amp;" "&amp;'Lazer Publ. 2'!D43</f>
        <v>Isolação em PVC (70ºC) 2.5 mm² - Vermelho</v>
      </c>
      <c r="F383" s="30">
        <f>'Lazer Publ. 2'!E43</f>
        <v>100.35</v>
      </c>
      <c r="G383" s="25">
        <v>1</v>
      </c>
      <c r="H383" s="25">
        <v>0</v>
      </c>
      <c r="I383" s="25">
        <f t="shared" si="128"/>
        <v>100.35</v>
      </c>
      <c r="J383" s="25" t="str">
        <f>'Lazer Publ. 2'!F43</f>
        <v>m</v>
      </c>
      <c r="K383" s="26">
        <f>_xlfn.XLOOKUP($E383,PREÇO!$C$7:$C$91,PREÇO!$E$7:$E$91)</f>
        <v>2.19</v>
      </c>
      <c r="L383" s="66">
        <f>IF(SUM(F383:K383)=0,SUMIFS($L384:$L$1593,$B384:$B$1593,$B383,$A384:$A$1593,$A383),I383*K383)</f>
        <v>219.76649999999998</v>
      </c>
      <c r="N383"/>
      <c r="O383"/>
      <c r="P383" s="28"/>
      <c r="Q383" s="28"/>
      <c r="R383" s="28"/>
    </row>
    <row r="384" spans="1:18" outlineLevel="1">
      <c r="A384" s="24" t="str">
        <f t="shared" si="122"/>
        <v>GERAL</v>
      </c>
      <c r="B384" s="24" t="str">
        <f t="shared" si="123"/>
        <v>9º PAV. - LAZER PÚBLICO 02</v>
      </c>
      <c r="C384" s="30" t="s">
        <v>221</v>
      </c>
      <c r="D384" s="83" t="s">
        <v>87</v>
      </c>
      <c r="E384" s="30" t="str">
        <f>'Lazer Publ. 2'!C44&amp;" "&amp;'Lazer Publ. 2'!D44</f>
        <v>Isolação em PVC (70ºC) 4 mm² - Preto</v>
      </c>
      <c r="F384" s="30">
        <f>'Lazer Publ. 2'!E44</f>
        <v>314.14999999999998</v>
      </c>
      <c r="G384" s="25">
        <v>1</v>
      </c>
      <c r="H384" s="25">
        <v>0</v>
      </c>
      <c r="I384" s="25">
        <f t="shared" si="128"/>
        <v>314.14999999999998</v>
      </c>
      <c r="J384" s="25" t="str">
        <f>'Lazer Publ. 2'!F44</f>
        <v>m</v>
      </c>
      <c r="K384" s="26">
        <f>_xlfn.XLOOKUP($E384,PREÇO!$C$7:$C$91,PREÇO!$E$7:$E$91)</f>
        <v>3.89</v>
      </c>
      <c r="L384" s="66">
        <f>IF(SUM(F384:K384)=0,SUMIFS($L385:$L$1593,$B385:$B$1593,$B384,$A385:$A$1593,$A384),I384*K384)</f>
        <v>1222.0435</v>
      </c>
      <c r="N384"/>
      <c r="O384"/>
      <c r="P384" s="28"/>
      <c r="Q384" s="28"/>
      <c r="R384" s="28"/>
    </row>
    <row r="385" spans="1:18" outlineLevel="1">
      <c r="A385" s="24" t="str">
        <f t="shared" si="122"/>
        <v>GERAL</v>
      </c>
      <c r="B385" s="24" t="str">
        <f t="shared" si="123"/>
        <v>9º PAV. - LAZER PÚBLICO 02</v>
      </c>
      <c r="C385" s="30" t="s">
        <v>221</v>
      </c>
      <c r="D385" s="83" t="s">
        <v>87</v>
      </c>
      <c r="E385" s="30" t="str">
        <f>'Lazer Publ. 2'!C45&amp;" "&amp;'Lazer Publ. 2'!D45</f>
        <v>Isolação em PVC (70ºC) 4 mm² - Vermelho</v>
      </c>
      <c r="F385" s="30">
        <f>'Lazer Publ. 2'!E45</f>
        <v>314.14999999999998</v>
      </c>
      <c r="G385" s="25">
        <v>1</v>
      </c>
      <c r="H385" s="25">
        <v>0</v>
      </c>
      <c r="I385" s="25">
        <f t="shared" si="128"/>
        <v>314.14999999999998</v>
      </c>
      <c r="J385" s="25" t="str">
        <f>'Lazer Publ. 2'!F45</f>
        <v>m</v>
      </c>
      <c r="K385" s="26">
        <f>_xlfn.XLOOKUP($E385,PREÇO!$C$7:$C$91,PREÇO!$E$7:$E$91)</f>
        <v>3.89</v>
      </c>
      <c r="L385" s="66">
        <f>IF(SUM(F385:K385)=0,SUMIFS($L386:$L$1593,$B386:$B$1593,$B385,$A386:$A$1593,$A385),I385*K385)</f>
        <v>1222.0435</v>
      </c>
      <c r="N385"/>
      <c r="O385"/>
      <c r="P385" s="28"/>
      <c r="Q385" s="28"/>
      <c r="R385" s="28"/>
    </row>
    <row r="386" spans="1:18" outlineLevel="1">
      <c r="A386" s="24" t="str">
        <f t="shared" si="122"/>
        <v>GERAL</v>
      </c>
      <c r="B386" s="24" t="str">
        <f t="shared" si="123"/>
        <v>9º PAV. - LAZER PÚBLICO 02</v>
      </c>
      <c r="C386" s="30" t="s">
        <v>221</v>
      </c>
      <c r="D386" s="83" t="s">
        <v>46</v>
      </c>
      <c r="E386" s="30" t="str">
        <f>'Lazer Publ. 2'!C49&amp;" "&amp;'Lazer Publ. 2'!D49</f>
        <v>PVC Flexível Antichama - NBR 15465 ø1"</v>
      </c>
      <c r="F386" s="30">
        <f>'Lazer Publ. 2'!E49</f>
        <v>143.79</v>
      </c>
      <c r="G386" s="25">
        <v>1</v>
      </c>
      <c r="H386" s="25">
        <v>0</v>
      </c>
      <c r="I386" s="25">
        <f t="shared" si="128"/>
        <v>143.79</v>
      </c>
      <c r="J386" s="25" t="str">
        <f>'Lazer Publ. 2'!F49</f>
        <v>m</v>
      </c>
      <c r="K386" s="26">
        <f>_xlfn.XLOOKUP($E386,PREÇO!$C$7:$C$91,PREÇO!$E$7:$E$91)</f>
        <v>2.5299999999999998</v>
      </c>
      <c r="L386" s="66">
        <f>IF(SUM(F386:K386)=0,SUMIFS($L387:$L$1593,$B387:$B$1593,$B386,$A387:$A$1593,$A386),I386*K386)</f>
        <v>363.78869999999995</v>
      </c>
      <c r="N386"/>
      <c r="O386"/>
      <c r="P386" s="28"/>
      <c r="Q386" s="28"/>
      <c r="R386" s="28"/>
    </row>
    <row r="387" spans="1:18" outlineLevel="1">
      <c r="A387" s="24" t="str">
        <f t="shared" si="122"/>
        <v>GERAL</v>
      </c>
      <c r="B387" s="24" t="str">
        <f t="shared" si="123"/>
        <v>9º PAV. - LAZER PÚBLICO 02</v>
      </c>
      <c r="C387" s="30" t="s">
        <v>221</v>
      </c>
      <c r="D387" s="30" t="s">
        <v>89</v>
      </c>
      <c r="E387" s="30" t="str">
        <f>'Lazer Publ. 2'!C52&amp;" "&amp;'Lazer Publ. 2'!D52</f>
        <v>Classe A - PVC Anti-chama - 105ºC - Isolação 600V 0.75 mm²</v>
      </c>
      <c r="F387" s="30">
        <f>'Lazer Publ. 2'!E52</f>
        <v>112.21</v>
      </c>
      <c r="G387" s="25">
        <v>1</v>
      </c>
      <c r="H387" s="25">
        <v>0</v>
      </c>
      <c r="I387" s="25">
        <f t="shared" si="128"/>
        <v>112.21</v>
      </c>
      <c r="J387" s="25" t="str">
        <f>'Lazer Publ. 2'!F52</f>
        <v>m</v>
      </c>
      <c r="K387" s="26">
        <f>_xlfn.XLOOKUP($E387,PREÇO!$C$7:$C$91,PREÇO!$E$7:$E$91)</f>
        <v>0.99</v>
      </c>
      <c r="L387" s="66">
        <f>IF(SUM(F387:K387)=0,SUMIFS($L388:$L$1593,$B388:$B$1593,$B387,$A388:$A$1593,$A387),I387*K387)</f>
        <v>111.08789999999999</v>
      </c>
      <c r="N387"/>
      <c r="O387"/>
      <c r="P387" s="28"/>
      <c r="Q387" s="28"/>
      <c r="R387" s="28"/>
    </row>
    <row r="388" spans="1:18" ht="15.75" outlineLevel="1" thickBot="1">
      <c r="A388" s="24" t="str">
        <f t="shared" si="122"/>
        <v>GERAL</v>
      </c>
      <c r="B388" s="24" t="str">
        <f t="shared" si="123"/>
        <v>9º PAV. - LAZER PÚBLICO 02</v>
      </c>
      <c r="C388" s="30" t="s">
        <v>221</v>
      </c>
      <c r="D388" s="30" t="s">
        <v>89</v>
      </c>
      <c r="E388" s="30" t="str">
        <f>'Lazer Publ. 2'!C53&amp;" "&amp;'Lazer Publ. 2'!D53</f>
        <v>Classe B - PVC Anti-chama - 105ºC - Isolação 600V 1.5 mm²</v>
      </c>
      <c r="F388" s="30">
        <f>'Lazer Publ. 2'!E53</f>
        <v>95.55</v>
      </c>
      <c r="G388" s="25">
        <v>1</v>
      </c>
      <c r="H388" s="25">
        <v>0</v>
      </c>
      <c r="I388" s="25">
        <f t="shared" si="128"/>
        <v>95.55</v>
      </c>
      <c r="J388" s="25" t="str">
        <f>'Lazer Publ. 2'!F53</f>
        <v>m</v>
      </c>
      <c r="K388" s="26">
        <f>_xlfn.XLOOKUP($E388,PREÇO!$C$7:$C$91,PREÇO!$E$7:$E$91)</f>
        <v>1.69</v>
      </c>
      <c r="L388" s="66">
        <f>IF(SUM(F388:K388)=0,SUMIFS($L389:$L$1593,$B389:$B$1593,$B388,$A389:$A$1593,$A388),I388*K388)</f>
        <v>161.4795</v>
      </c>
      <c r="N388"/>
      <c r="O388"/>
      <c r="P388" s="28"/>
      <c r="Q388" s="28"/>
      <c r="R388" s="28"/>
    </row>
    <row r="389" spans="1:18" ht="15.75" thickTop="1">
      <c r="A389" s="82" t="str">
        <f t="shared" si="122"/>
        <v>GERAL</v>
      </c>
      <c r="B389" s="82" t="s">
        <v>126</v>
      </c>
      <c r="C389" s="43"/>
      <c r="D389" s="44" t="str">
        <f>'Lazer Publ. 2'!C54</f>
        <v/>
      </c>
      <c r="E389" s="44" t="str">
        <f>'Lazer Publ. 2'!D54</f>
        <v/>
      </c>
      <c r="F389" s="45" t="str">
        <f>'Lazer Publ. 2'!E54</f>
        <v/>
      </c>
      <c r="G389" s="45"/>
      <c r="H389" s="45"/>
      <c r="I389" s="45"/>
      <c r="J389" s="45" t="str">
        <f>'Lazer Publ. 2'!F54</f>
        <v/>
      </c>
      <c r="K389" s="47"/>
      <c r="L389" s="48">
        <f>IF(SUM(F389:K389)=0,SUMIFS($L390:$L$1593,$B390:$B$1593,$B389,$A390:$A$1593,$A389),I389*K389)</f>
        <v>18342.337199999998</v>
      </c>
      <c r="N389"/>
      <c r="O389"/>
      <c r="P389" s="28"/>
      <c r="Q389" s="28"/>
      <c r="R389" s="28"/>
    </row>
    <row r="390" spans="1:18" outlineLevel="1">
      <c r="A390" s="24" t="str">
        <f t="shared" si="122"/>
        <v>GERAL</v>
      </c>
      <c r="B390" s="24" t="str">
        <f t="shared" si="123"/>
        <v>10º PAV. - LAZER 01</v>
      </c>
      <c r="C390" s="30" t="s">
        <v>221</v>
      </c>
      <c r="D390" s="30" t="str">
        <f>'Lazer 1'!C6</f>
        <v>Acionadores</v>
      </c>
      <c r="E390" s="30" t="str">
        <f>'Lazer 1'!D6</f>
        <v>Acionador Manual de Alarme de Incêndio</v>
      </c>
      <c r="F390" s="30">
        <f>'Lazer 1'!E6</f>
        <v>4</v>
      </c>
      <c r="G390" s="25">
        <v>1</v>
      </c>
      <c r="H390" s="25">
        <v>0</v>
      </c>
      <c r="I390" s="25">
        <f t="shared" si="128"/>
        <v>4</v>
      </c>
      <c r="J390" s="25" t="str">
        <f>'Lazer 1'!F6</f>
        <v>pç</v>
      </c>
      <c r="K390" s="26">
        <f>_xlfn.XLOOKUP($E390,PREÇO!$C$7:$C$91,PREÇO!$E$7:$E$91)</f>
        <v>65</v>
      </c>
      <c r="L390" s="66">
        <f>IF(SUM(F390:K390)=0,SUMIFS($L391:$L$1593,$B391:$B$1593,$B390,$A391:$A$1593,$A390),I390*K390)</f>
        <v>260</v>
      </c>
      <c r="N390"/>
      <c r="O390"/>
      <c r="P390" s="28"/>
      <c r="Q390" s="28"/>
      <c r="R390" s="28"/>
    </row>
    <row r="391" spans="1:18" outlineLevel="1">
      <c r="A391" s="24" t="str">
        <f t="shared" si="122"/>
        <v>GERAL</v>
      </c>
      <c r="B391" s="24" t="str">
        <f t="shared" si="123"/>
        <v>10º PAV. - LAZER 01</v>
      </c>
      <c r="C391" s="30" t="s">
        <v>221</v>
      </c>
      <c r="D391" s="30" t="str">
        <f>'Lazer 1'!C7</f>
        <v>Anunciadores</v>
      </c>
      <c r="E391" s="30" t="str">
        <f>'Lazer 1'!D7</f>
        <v>Anunciador Audiovisual de Alarme de Incêndio de Parede</v>
      </c>
      <c r="F391" s="30">
        <f>'Lazer 1'!E7</f>
        <v>4</v>
      </c>
      <c r="G391" s="25">
        <v>1</v>
      </c>
      <c r="H391" s="25">
        <v>0</v>
      </c>
      <c r="I391" s="25">
        <f t="shared" ref="I391:I417" si="129">(F391+H391*F391)*G391</f>
        <v>4</v>
      </c>
      <c r="J391" s="25" t="str">
        <f>'Lazer 1'!F7</f>
        <v>pç</v>
      </c>
      <c r="K391" s="26">
        <f>_xlfn.XLOOKUP($E391,PREÇO!$C$7:$C$91,PREÇO!$E$7:$E$91)</f>
        <v>191.81</v>
      </c>
      <c r="L391" s="66">
        <f>IF(SUM(F391:K391)=0,SUMIFS($L392:$L$1593,$B392:$B$1593,$B391,$A392:$A$1593,$A391),I391*K391)</f>
        <v>767.24</v>
      </c>
      <c r="N391"/>
      <c r="O391"/>
      <c r="P391" s="28"/>
      <c r="Q391" s="28"/>
      <c r="R391" s="28"/>
    </row>
    <row r="392" spans="1:18" outlineLevel="1">
      <c r="A392" s="24" t="str">
        <f t="shared" si="122"/>
        <v>GERAL</v>
      </c>
      <c r="B392" s="24" t="str">
        <f t="shared" si="123"/>
        <v>10º PAV. - LAZER 01</v>
      </c>
      <c r="C392" s="30" t="s">
        <v>221</v>
      </c>
      <c r="D392" s="30" t="str">
        <f>'Lazer 1'!C8</f>
        <v>Atuadores</v>
      </c>
      <c r="E392" s="30" t="str">
        <f>'Lazer 1'!D8</f>
        <v>Atuador Janela Desenfumagem</v>
      </c>
      <c r="F392" s="30">
        <f>'Lazer 1'!E8</f>
        <v>1</v>
      </c>
      <c r="G392" s="25">
        <v>1</v>
      </c>
      <c r="H392" s="25">
        <v>0</v>
      </c>
      <c r="I392" s="25">
        <f t="shared" si="129"/>
        <v>1</v>
      </c>
      <c r="J392" s="25" t="str">
        <f>'Lazer 1'!F8</f>
        <v>pç</v>
      </c>
      <c r="K392" s="26">
        <f>_xlfn.XLOOKUP($E392,PREÇO!$C$7:$C$91,PREÇO!$E$7:$E$91)</f>
        <v>1150</v>
      </c>
      <c r="L392" s="66">
        <f>IF(SUM(F392:K392)=0,SUMIFS($L393:$L$1593,$B393:$B$1593,$B392,$A393:$A$1593,$A392),I392*K392)</f>
        <v>1150</v>
      </c>
      <c r="N392"/>
      <c r="O392"/>
      <c r="P392" s="28"/>
      <c r="Q392" s="28"/>
      <c r="R392" s="28"/>
    </row>
    <row r="393" spans="1:18" outlineLevel="1">
      <c r="A393" s="24" t="str">
        <f t="shared" si="122"/>
        <v>GERAL</v>
      </c>
      <c r="B393" s="24" t="str">
        <f t="shared" si="123"/>
        <v>10º PAV. - LAZER 01</v>
      </c>
      <c r="C393" s="30" t="s">
        <v>221</v>
      </c>
      <c r="D393" s="30" t="str">
        <f>'Lazer 1'!C9</f>
        <v>Atuadores</v>
      </c>
      <c r="E393" s="30" t="str">
        <f>'Lazer 1'!D9</f>
        <v>Dispositivo Eletromagnético de Porta Aberta</v>
      </c>
      <c r="F393" s="30">
        <f>'Lazer 1'!E9</f>
        <v>1</v>
      </c>
      <c r="G393" s="25">
        <v>1</v>
      </c>
      <c r="H393" s="25">
        <v>0</v>
      </c>
      <c r="I393" s="25">
        <f t="shared" si="129"/>
        <v>1</v>
      </c>
      <c r="J393" s="25" t="str">
        <f>'Lazer 1'!F9</f>
        <v>pç</v>
      </c>
      <c r="K393" s="26">
        <f>_xlfn.XLOOKUP($E393,PREÇO!$C$7:$C$91,PREÇO!$E$7:$E$91)</f>
        <v>416.9</v>
      </c>
      <c r="L393" s="66">
        <f>IF(SUM(F393:K393)=0,SUMIFS($L394:$L$1593,$B394:$B$1593,$B393,$A394:$A$1593,$A393),I393*K393)</f>
        <v>416.9</v>
      </c>
      <c r="N393"/>
      <c r="O393"/>
      <c r="P393" s="28"/>
      <c r="Q393" s="28"/>
      <c r="R393" s="28"/>
    </row>
    <row r="394" spans="1:18" outlineLevel="1">
      <c r="A394" s="24" t="str">
        <f t="shared" si="122"/>
        <v>GERAL</v>
      </c>
      <c r="B394" s="24" t="str">
        <f t="shared" si="123"/>
        <v>10º PAV. - LAZER 01</v>
      </c>
      <c r="C394" s="30" t="s">
        <v>221</v>
      </c>
      <c r="D394" s="30" t="str">
        <f>'Lazer 1'!C10</f>
        <v>Sensores</v>
      </c>
      <c r="E394" s="30" t="str">
        <f>'Lazer 1'!D10</f>
        <v>Sensor de Fumaça</v>
      </c>
      <c r="F394" s="30">
        <f>'Lazer 1'!E10</f>
        <v>3</v>
      </c>
      <c r="G394" s="25">
        <v>1</v>
      </c>
      <c r="H394" s="25">
        <v>0</v>
      </c>
      <c r="I394" s="25">
        <f t="shared" si="129"/>
        <v>3</v>
      </c>
      <c r="J394" s="25" t="str">
        <f>'Lazer 1'!F10</f>
        <v>pç</v>
      </c>
      <c r="K394" s="26">
        <f>_xlfn.XLOOKUP($E394,PREÇO!$C$7:$C$91,PREÇO!$E$7:$E$91)</f>
        <v>53.9</v>
      </c>
      <c r="L394" s="66">
        <f>IF(SUM(F394:K394)=0,SUMIFS($L395:$L$1593,$B395:$B$1593,$B394,$A395:$A$1593,$A394),I394*K394)</f>
        <v>161.69999999999999</v>
      </c>
      <c r="N394"/>
      <c r="O394"/>
      <c r="P394" s="28"/>
      <c r="Q394" s="28"/>
      <c r="R394" s="28"/>
    </row>
    <row r="395" spans="1:18" outlineLevel="1">
      <c r="A395" s="24" t="str">
        <f t="shared" si="122"/>
        <v>GERAL</v>
      </c>
      <c r="B395" s="24" t="str">
        <f t="shared" si="123"/>
        <v>10º PAV. - LAZER 01</v>
      </c>
      <c r="C395" s="30" t="s">
        <v>221</v>
      </c>
      <c r="D395" s="30" t="str">
        <f>'Lazer 1'!C13</f>
        <v>Caixas</v>
      </c>
      <c r="E395" s="30" t="str">
        <f>'Lazer 1'!D13</f>
        <v>Caixa Octogonal Padrão NBR IEC 60670</v>
      </c>
      <c r="F395" s="30">
        <f>'Lazer 1'!E13</f>
        <v>24</v>
      </c>
      <c r="G395" s="25">
        <v>1</v>
      </c>
      <c r="H395" s="25">
        <v>0</v>
      </c>
      <c r="I395" s="25">
        <f t="shared" si="129"/>
        <v>24</v>
      </c>
      <c r="J395" s="25" t="str">
        <f>'Lazer 1'!F13</f>
        <v>pç</v>
      </c>
      <c r="K395" s="26">
        <f>_xlfn.XLOOKUP($E395,PREÇO!$C$7:$C$91,PREÇO!$E$7:$E$91)</f>
        <v>5.32</v>
      </c>
      <c r="L395" s="66">
        <f>IF(SUM(F395:K395)=0,SUMIFS($L396:$L$1593,$B396:$B$1593,$B395,$A396:$A$1593,$A395),I395*K395)</f>
        <v>127.68</v>
      </c>
      <c r="N395"/>
      <c r="O395"/>
      <c r="P395" s="28"/>
      <c r="Q395" s="28"/>
      <c r="R395" s="28"/>
    </row>
    <row r="396" spans="1:18" outlineLevel="1">
      <c r="A396" s="24" t="str">
        <f t="shared" si="122"/>
        <v>GERAL</v>
      </c>
      <c r="B396" s="24" t="str">
        <f t="shared" si="123"/>
        <v>10º PAV. - LAZER 01</v>
      </c>
      <c r="C396" s="30" t="s">
        <v>221</v>
      </c>
      <c r="D396" s="30" t="str">
        <f>'Lazer 1'!C14</f>
        <v>Placas</v>
      </c>
      <c r="E396" s="30" t="str">
        <f>'Lazer 1'!D14</f>
        <v>Placa cega para caixa octogonal Padrão NBR IEC 60670</v>
      </c>
      <c r="F396" s="30">
        <f>'Lazer 1'!E14</f>
        <v>13</v>
      </c>
      <c r="G396" s="25">
        <v>1</v>
      </c>
      <c r="H396" s="25">
        <v>0</v>
      </c>
      <c r="I396" s="25">
        <f t="shared" si="129"/>
        <v>13</v>
      </c>
      <c r="J396" s="25" t="str">
        <f>'Lazer 1'!F14</f>
        <v>pç</v>
      </c>
      <c r="K396" s="26">
        <f>_xlfn.XLOOKUP($E396,PREÇO!$C$7:$C$91,PREÇO!$E$7:$E$91)</f>
        <v>2.5</v>
      </c>
      <c r="L396" s="66">
        <f>IF(SUM(F396:K396)=0,SUMIFS($L397:$L$1593,$B397:$B$1593,$B396,$A397:$A$1593,$A396),I396*K396)</f>
        <v>32.5</v>
      </c>
      <c r="N396"/>
      <c r="O396"/>
      <c r="P396" s="28"/>
      <c r="Q396" s="28"/>
      <c r="R396" s="28"/>
    </row>
    <row r="397" spans="1:18" outlineLevel="1">
      <c r="A397" s="24" t="str">
        <f t="shared" si="122"/>
        <v>GERAL</v>
      </c>
      <c r="B397" s="24" t="str">
        <f t="shared" si="123"/>
        <v>10º PAV. - LAZER 01</v>
      </c>
      <c r="C397" s="30" t="s">
        <v>221</v>
      </c>
      <c r="D397" s="30" t="str">
        <f>'Lazer 1'!C17</f>
        <v>Caixas</v>
      </c>
      <c r="E397" s="30" t="str">
        <f>'Lazer 1'!D17</f>
        <v>Caixa 4x2" de Embutir em PVC Padrão NBR IEC 60670</v>
      </c>
      <c r="F397" s="30">
        <f>'Lazer 1'!E17</f>
        <v>54</v>
      </c>
      <c r="G397" s="25">
        <v>1</v>
      </c>
      <c r="H397" s="25">
        <v>0</v>
      </c>
      <c r="I397" s="25">
        <f t="shared" si="129"/>
        <v>54</v>
      </c>
      <c r="J397" s="25" t="str">
        <f>'Lazer 1'!F17</f>
        <v>pç</v>
      </c>
      <c r="K397" s="26">
        <f>_xlfn.XLOOKUP($E397,PREÇO!$C$7:$C$91,PREÇO!$E$7:$E$91)</f>
        <v>1.72</v>
      </c>
      <c r="L397" s="66">
        <f>IF(SUM(F397:K397)=0,SUMIFS($L398:$L$1593,$B398:$B$1593,$B397,$A398:$A$1593,$A397),I397*K397)</f>
        <v>92.88</v>
      </c>
      <c r="N397"/>
      <c r="O397"/>
      <c r="P397" s="28"/>
      <c r="Q397" s="28"/>
      <c r="R397" s="28"/>
    </row>
    <row r="398" spans="1:18" outlineLevel="1">
      <c r="A398" s="24" t="str">
        <f t="shared" si="122"/>
        <v>GERAL</v>
      </c>
      <c r="B398" s="24" t="str">
        <f t="shared" si="123"/>
        <v>10º PAV. - LAZER 01</v>
      </c>
      <c r="C398" s="30" t="s">
        <v>221</v>
      </c>
      <c r="D398" s="30" t="str">
        <f>'Lazer 1'!C18</f>
        <v>Placas</v>
      </c>
      <c r="E398" s="30" t="str">
        <f>'Lazer 1'!D18</f>
        <v>Placa 4x2" cega Padrão NBR IEC 60670</v>
      </c>
      <c r="F398" s="30">
        <f>'Lazer 1'!E18</f>
        <v>30</v>
      </c>
      <c r="G398" s="25">
        <v>1</v>
      </c>
      <c r="H398" s="25">
        <v>0</v>
      </c>
      <c r="I398" s="25">
        <f t="shared" si="129"/>
        <v>30</v>
      </c>
      <c r="J398" s="25" t="str">
        <f>'Lazer 1'!F18</f>
        <v>pç</v>
      </c>
      <c r="K398" s="26">
        <f>_xlfn.XLOOKUP($E398,PREÇO!$C$7:$C$91,PREÇO!$E$7:$E$91)</f>
        <v>4.59</v>
      </c>
      <c r="L398" s="66">
        <f>IF(SUM(F398:K398)=0,SUMIFS($L399:$L$1593,$B399:$B$1593,$B398,$A399:$A$1593,$A398),I398*K398)</f>
        <v>137.69999999999999</v>
      </c>
      <c r="N398"/>
      <c r="O398"/>
      <c r="P398" s="28"/>
      <c r="Q398" s="28"/>
      <c r="R398" s="28"/>
    </row>
    <row r="399" spans="1:18" outlineLevel="1">
      <c r="A399" s="24" t="str">
        <f t="shared" si="122"/>
        <v>GERAL</v>
      </c>
      <c r="B399" s="24" t="str">
        <f t="shared" si="123"/>
        <v>10º PAV. - LAZER 01</v>
      </c>
      <c r="C399" s="30" t="s">
        <v>221</v>
      </c>
      <c r="D399" s="30" t="str">
        <f>'Lazer 1'!C19</f>
        <v>Placas</v>
      </c>
      <c r="E399" s="30" t="str">
        <f>'Lazer 1'!D19</f>
        <v>Placa 4x2" com furo para saída de cabos Padrão NBR IEC 60670</v>
      </c>
      <c r="F399" s="30">
        <f>'Lazer 1'!E19</f>
        <v>24</v>
      </c>
      <c r="G399" s="25">
        <v>1</v>
      </c>
      <c r="H399" s="25">
        <v>0</v>
      </c>
      <c r="I399" s="25">
        <f t="shared" si="129"/>
        <v>24</v>
      </c>
      <c r="J399" s="25" t="str">
        <f>'Lazer 1'!F19</f>
        <v>pç</v>
      </c>
      <c r="K399" s="26">
        <f>_xlfn.XLOOKUP($E399,PREÇO!$C$7:$C$91,PREÇO!$E$7:$E$91)</f>
        <v>6.55</v>
      </c>
      <c r="L399" s="66">
        <f>IF(SUM(F399:K399)=0,SUMIFS($L400:$L$1593,$B400:$B$1593,$B399,$A400:$A$1593,$A399),I399*K399)</f>
        <v>157.19999999999999</v>
      </c>
      <c r="N399"/>
      <c r="O399"/>
      <c r="P399" s="28"/>
      <c r="Q399" s="28"/>
      <c r="R399" s="28"/>
    </row>
    <row r="400" spans="1:18" outlineLevel="1">
      <c r="A400" s="24" t="str">
        <f t="shared" si="122"/>
        <v>GERAL</v>
      </c>
      <c r="B400" s="24" t="str">
        <f t="shared" si="123"/>
        <v>10º PAV. - LAZER 01</v>
      </c>
      <c r="C400" s="30" t="s">
        <v>221</v>
      </c>
      <c r="D400" s="30" t="str">
        <f>'Lazer 1'!C20</f>
        <v>Suportes</v>
      </c>
      <c r="E400" s="30" t="str">
        <f>'Lazer 1'!D20</f>
        <v>Suporte p/ caixa 4x2" Padrão NBR IEC 60670</v>
      </c>
      <c r="F400" s="30">
        <f>'Lazer 1'!E20</f>
        <v>54</v>
      </c>
      <c r="G400" s="25">
        <v>1</v>
      </c>
      <c r="H400" s="25">
        <v>0</v>
      </c>
      <c r="I400" s="25">
        <f t="shared" si="129"/>
        <v>54</v>
      </c>
      <c r="J400" s="25" t="str">
        <f>'Lazer 1'!F20</f>
        <v>pç</v>
      </c>
      <c r="K400" s="26">
        <f>_xlfn.XLOOKUP($E400,PREÇO!$C$7:$C$91,PREÇO!$E$7:$E$91)</f>
        <v>1.85</v>
      </c>
      <c r="L400" s="66">
        <f>IF(SUM(F400:K400)=0,SUMIFS($L401:$L$1593,$B401:$B$1593,$B400,$A401:$A$1593,$A400),I400*K400)</f>
        <v>99.9</v>
      </c>
      <c r="N400"/>
      <c r="O400"/>
      <c r="P400" s="28"/>
      <c r="Q400" s="28"/>
      <c r="R400" s="28"/>
    </row>
    <row r="401" spans="1:18" outlineLevel="1">
      <c r="A401" s="24" t="str">
        <f t="shared" si="122"/>
        <v>GERAL</v>
      </c>
      <c r="B401" s="24" t="str">
        <f t="shared" si="123"/>
        <v>10º PAV. - LAZER 01</v>
      </c>
      <c r="C401" s="30" t="s">
        <v>221</v>
      </c>
      <c r="D401" s="30" t="str">
        <f>'Lazer 1'!C23</f>
        <v>Embutir</v>
      </c>
      <c r="E401" s="30" t="str">
        <f>'Lazer 1'!D23</f>
        <v>Cx de passagem de embutir com dimensão de 50x50x15 cm</v>
      </c>
      <c r="F401" s="30">
        <f>'Lazer 1'!E23</f>
        <v>1</v>
      </c>
      <c r="G401" s="25">
        <v>1</v>
      </c>
      <c r="H401" s="25">
        <v>0</v>
      </c>
      <c r="I401" s="25">
        <f t="shared" si="129"/>
        <v>1</v>
      </c>
      <c r="J401" s="25" t="str">
        <f>'Lazer 1'!F23</f>
        <v>pç</v>
      </c>
      <c r="K401" s="26">
        <f>_xlfn.XLOOKUP($E401,PREÇO!$C$7:$C$91,PREÇO!$E$7:$E$91)</f>
        <v>291.60000000000002</v>
      </c>
      <c r="L401" s="66">
        <f>IF(SUM(F401:K401)=0,SUMIFS($L402:$L$1593,$B402:$B$1593,$B401,$A402:$A$1593,$A401),I401*K401)</f>
        <v>291.60000000000002</v>
      </c>
      <c r="N401"/>
      <c r="O401"/>
      <c r="P401" s="28"/>
      <c r="Q401" s="28"/>
      <c r="R401" s="28"/>
    </row>
    <row r="402" spans="1:18" outlineLevel="1">
      <c r="A402" s="24" t="str">
        <f t="shared" si="122"/>
        <v>GERAL</v>
      </c>
      <c r="B402" s="24" t="str">
        <f t="shared" si="123"/>
        <v>10º PAV. - LAZER 01</v>
      </c>
      <c r="C402" s="30" t="s">
        <v>221</v>
      </c>
      <c r="D402" s="83" t="s">
        <v>46</v>
      </c>
      <c r="E402" s="30" t="str">
        <f>'Lazer 1'!C26&amp;" "&amp;'Lazer 1'!D26</f>
        <v>PVC Flexível Antichama - NBR 15465 ø1"</v>
      </c>
      <c r="F402" s="30">
        <f>'Lazer 1'!E26</f>
        <v>22.47</v>
      </c>
      <c r="G402" s="25">
        <v>1</v>
      </c>
      <c r="H402" s="25">
        <v>0</v>
      </c>
      <c r="I402" s="25">
        <f t="shared" si="129"/>
        <v>22.47</v>
      </c>
      <c r="J402" s="25" t="str">
        <f>'Lazer 1'!F26</f>
        <v>m</v>
      </c>
      <c r="K402" s="26">
        <f>_xlfn.XLOOKUP($E402,PREÇO!$C$7:$C$91,PREÇO!$E$7:$E$91)</f>
        <v>2.5299999999999998</v>
      </c>
      <c r="L402" s="66">
        <f>IF(SUM(F402:K402)=0,SUMIFS($L403:$L$1593,$B403:$B$1593,$B402,$A403:$A$1593,$A402),I402*K402)</f>
        <v>56.849099999999993</v>
      </c>
      <c r="N402"/>
      <c r="O402"/>
      <c r="P402" s="28"/>
      <c r="Q402" s="28"/>
      <c r="R402" s="28"/>
    </row>
    <row r="403" spans="1:18" outlineLevel="1">
      <c r="A403" s="24" t="str">
        <f t="shared" si="122"/>
        <v>GERAL</v>
      </c>
      <c r="B403" s="24" t="str">
        <f t="shared" si="123"/>
        <v>10º PAV. - LAZER 01</v>
      </c>
      <c r="C403" s="30" t="s">
        <v>221</v>
      </c>
      <c r="D403" s="83" t="s">
        <v>46</v>
      </c>
      <c r="E403" s="30" t="str">
        <f>'Lazer 1'!C27&amp;" "&amp;'Lazer 1'!D27</f>
        <v>PVC Flexível Antichama - NBR 15465 ø3/4"</v>
      </c>
      <c r="F403" s="30">
        <f>'Lazer 1'!E27</f>
        <v>324.2</v>
      </c>
      <c r="G403" s="25">
        <v>1</v>
      </c>
      <c r="H403" s="25">
        <v>0</v>
      </c>
      <c r="I403" s="25">
        <f t="shared" si="129"/>
        <v>324.2</v>
      </c>
      <c r="J403" s="25" t="str">
        <f>'Lazer 1'!F27</f>
        <v>m</v>
      </c>
      <c r="K403" s="26">
        <f>_xlfn.XLOOKUP($E403,PREÇO!$C$7:$C$91,PREÇO!$E$7:$E$91)</f>
        <v>1.8</v>
      </c>
      <c r="L403" s="66">
        <f>IF(SUM(F403:K403)=0,SUMIFS($L404:$L$1593,$B404:$B$1593,$B403,$A404:$A$1593,$A403),I403*K403)</f>
        <v>583.55999999999995</v>
      </c>
      <c r="N403"/>
      <c r="O403"/>
      <c r="P403" s="28"/>
      <c r="Q403" s="28"/>
      <c r="R403" s="28"/>
    </row>
    <row r="404" spans="1:18" outlineLevel="1">
      <c r="A404" s="24" t="str">
        <f t="shared" ref="A404:B420" si="130">A403</f>
        <v>GERAL</v>
      </c>
      <c r="B404" s="24" t="str">
        <f t="shared" si="130"/>
        <v>10º PAV. - LAZER 01</v>
      </c>
      <c r="C404" s="30" t="s">
        <v>220</v>
      </c>
      <c r="D404" s="30" t="str">
        <f>'Lazer 1'!C30</f>
        <v>Luminárias e Placas de Saída</v>
      </c>
      <c r="E404" s="30" t="str">
        <f>'Lazer 1'!D30</f>
        <v>Luminária de Emergência 24V de Parede</v>
      </c>
      <c r="F404" s="30">
        <f>'Lazer 1'!E30</f>
        <v>30</v>
      </c>
      <c r="G404" s="25">
        <v>1</v>
      </c>
      <c r="H404" s="25">
        <v>0</v>
      </c>
      <c r="I404" s="25">
        <f t="shared" si="129"/>
        <v>30</v>
      </c>
      <c r="J404" s="25" t="str">
        <f>'Lazer 1'!F30</f>
        <v>pç</v>
      </c>
      <c r="K404" s="26">
        <f>_xlfn.XLOOKUP($E404,PREÇO!$C$7:$C$91,PREÇO!$E$7:$E$91)</f>
        <v>15.9</v>
      </c>
      <c r="L404" s="66">
        <f>IF(SUM(F404:K404)=0,SUMIFS($L405:$L$1593,$B405:$B$1593,$B404,$A405:$A$1593,$A404),I404*K404)</f>
        <v>477</v>
      </c>
      <c r="N404"/>
      <c r="O404"/>
      <c r="P404" s="28"/>
      <c r="Q404" s="28"/>
      <c r="R404" s="28"/>
    </row>
    <row r="405" spans="1:18" outlineLevel="1">
      <c r="A405" s="24" t="str">
        <f t="shared" si="130"/>
        <v>GERAL</v>
      </c>
      <c r="B405" s="24" t="str">
        <f t="shared" si="130"/>
        <v>10º PAV. - LAZER 01</v>
      </c>
      <c r="C405" s="30" t="s">
        <v>220</v>
      </c>
      <c r="D405" s="30" t="str">
        <f>'Lazer 1'!C31</f>
        <v>Luminárias e Placas de Saída</v>
      </c>
      <c r="E405" s="30" t="str">
        <f>'Lazer 1'!D31</f>
        <v>Luminária de Emergência 24V de Teto</v>
      </c>
      <c r="F405" s="30">
        <f>'Lazer 1'!E31</f>
        <v>5</v>
      </c>
      <c r="G405" s="25">
        <v>1</v>
      </c>
      <c r="H405" s="25">
        <v>0</v>
      </c>
      <c r="I405" s="25">
        <f t="shared" si="129"/>
        <v>5</v>
      </c>
      <c r="J405" s="25" t="str">
        <f>'Lazer 1'!F31</f>
        <v>pç</v>
      </c>
      <c r="K405" s="26">
        <f>_xlfn.XLOOKUP($E405,PREÇO!$C$7:$C$91,PREÇO!$E$7:$E$91)</f>
        <v>69.900000000000006</v>
      </c>
      <c r="L405" s="66">
        <f>IF(SUM(F405:K405)=0,SUMIFS($L406:$L$1593,$B406:$B$1593,$B405,$A406:$A$1593,$A405),I405*K405)</f>
        <v>349.5</v>
      </c>
      <c r="N405"/>
      <c r="O405"/>
      <c r="P405" s="28"/>
      <c r="Q405" s="28"/>
      <c r="R405" s="28"/>
    </row>
    <row r="406" spans="1:18" outlineLevel="1">
      <c r="A406" s="24" t="str">
        <f t="shared" si="130"/>
        <v>GERAL</v>
      </c>
      <c r="B406" s="24" t="str">
        <f t="shared" si="130"/>
        <v>10º PAV. - LAZER 01</v>
      </c>
      <c r="C406" s="24" t="s">
        <v>222</v>
      </c>
      <c r="D406" s="30" t="str">
        <f>'Lazer 1'!C32</f>
        <v>Luminárias e Placas de Saída</v>
      </c>
      <c r="E406" s="30" t="str">
        <f>'Lazer 1'!D32</f>
        <v>Placa de Saída 24V de Parede com Direção</v>
      </c>
      <c r="F406" s="30">
        <f>'Lazer 1'!E32</f>
        <v>6</v>
      </c>
      <c r="G406" s="25">
        <v>1</v>
      </c>
      <c r="H406" s="25">
        <v>0</v>
      </c>
      <c r="I406" s="25">
        <f t="shared" si="129"/>
        <v>6</v>
      </c>
      <c r="J406" s="25" t="str">
        <f>'Lazer 1'!F32</f>
        <v>pç</v>
      </c>
      <c r="K406" s="26">
        <f>_xlfn.XLOOKUP($E406,PREÇO!$C$7:$C$91,PREÇO!$E$7:$E$91)</f>
        <v>67.900000000000006</v>
      </c>
      <c r="L406" s="66">
        <f>IF(SUM(F406:K406)=0,SUMIFS($L407:$L$1593,$B407:$B$1593,$B406,$A407:$A$1593,$A406),I406*K406)</f>
        <v>407.40000000000003</v>
      </c>
      <c r="N406"/>
      <c r="O406"/>
      <c r="P406" s="28"/>
      <c r="Q406" s="28"/>
      <c r="R406" s="28"/>
    </row>
    <row r="407" spans="1:18" outlineLevel="1">
      <c r="A407" s="24" t="str">
        <f t="shared" si="130"/>
        <v>GERAL</v>
      </c>
      <c r="B407" s="24" t="str">
        <f t="shared" si="130"/>
        <v>10º PAV. - LAZER 01</v>
      </c>
      <c r="C407" s="24" t="s">
        <v>222</v>
      </c>
      <c r="D407" s="30" t="str">
        <f>'Lazer 1'!C33</f>
        <v>Luminárias e Placas de Saída</v>
      </c>
      <c r="E407" s="30" t="str">
        <f>'Lazer 1'!D33</f>
        <v>Placa de Saída 24V de Parede sem Direção</v>
      </c>
      <c r="F407" s="30">
        <f>'Lazer 1'!E33</f>
        <v>1</v>
      </c>
      <c r="G407" s="25">
        <v>1</v>
      </c>
      <c r="H407" s="25">
        <v>0</v>
      </c>
      <c r="I407" s="25">
        <f t="shared" si="129"/>
        <v>1</v>
      </c>
      <c r="J407" s="25" t="str">
        <f>'Lazer 1'!F33</f>
        <v>pç</v>
      </c>
      <c r="K407" s="26">
        <f>_xlfn.XLOOKUP($E407,PREÇO!$C$7:$C$91,PREÇO!$E$7:$E$91)</f>
        <v>61.66</v>
      </c>
      <c r="L407" s="66">
        <f>IF(SUM(F407:K407)=0,SUMIFS($L408:$L$1593,$B408:$B$1593,$B407,$A408:$A$1593,$A407),I407*K407)</f>
        <v>61.66</v>
      </c>
      <c r="N407"/>
      <c r="O407"/>
      <c r="P407" s="28"/>
      <c r="Q407" s="28"/>
      <c r="R407" s="28"/>
    </row>
    <row r="408" spans="1:18" outlineLevel="1">
      <c r="A408" s="24" t="str">
        <f t="shared" si="130"/>
        <v>GERAL</v>
      </c>
      <c r="B408" s="24" t="str">
        <f t="shared" si="130"/>
        <v>10º PAV. - LAZER 01</v>
      </c>
      <c r="C408" s="24" t="s">
        <v>222</v>
      </c>
      <c r="D408" s="30" t="str">
        <f>'Lazer 1'!C34</f>
        <v>Luminárias e Placas de Saída</v>
      </c>
      <c r="E408" s="30" t="str">
        <f>'Lazer 1'!D34</f>
        <v>Placa de Saída 24V de Teto sem Direção</v>
      </c>
      <c r="F408" s="30">
        <f>'Lazer 1'!E34</f>
        <v>6</v>
      </c>
      <c r="G408" s="25">
        <v>1</v>
      </c>
      <c r="H408" s="25">
        <v>0</v>
      </c>
      <c r="I408" s="25">
        <f t="shared" si="129"/>
        <v>6</v>
      </c>
      <c r="J408" s="25" t="str">
        <f>'Lazer 1'!F34</f>
        <v>pç</v>
      </c>
      <c r="K408" s="26">
        <f>_xlfn.XLOOKUP($E408,PREÇO!$C$7:$C$91,PREÇO!$E$7:$E$91)</f>
        <v>61.66</v>
      </c>
      <c r="L408" s="66">
        <f>IF(SUM(F408:K408)=0,SUMIFS($L410:$L$1593,$B410:$B$1593,$B408,$A410:$A$1593,$A408),I408*K408)</f>
        <v>369.96</v>
      </c>
      <c r="N408"/>
      <c r="O408"/>
      <c r="P408" s="28"/>
      <c r="Q408" s="28"/>
      <c r="R408" s="28"/>
    </row>
    <row r="409" spans="1:18" outlineLevel="1">
      <c r="A409" s="116" t="str">
        <f>A407</f>
        <v>GERAL</v>
      </c>
      <c r="B409" s="116" t="s">
        <v>126</v>
      </c>
      <c r="C409" s="116" t="s">
        <v>222</v>
      </c>
      <c r="D409" s="116" t="s">
        <v>223</v>
      </c>
      <c r="E409" s="116" t="s">
        <v>224</v>
      </c>
      <c r="F409" s="117">
        <v>14</v>
      </c>
      <c r="G409" s="117">
        <v>1</v>
      </c>
      <c r="H409" s="118">
        <v>0</v>
      </c>
      <c r="I409" s="117">
        <f t="shared" si="129"/>
        <v>14</v>
      </c>
      <c r="J409" s="117" t="s">
        <v>11</v>
      </c>
      <c r="K409" s="119">
        <f>_xlfn.XLOOKUP($E409,PREÇO!$C$7:$C$91,PREÇO!$E$7:$E$91)</f>
        <v>646.55999999999995</v>
      </c>
      <c r="L409" s="120">
        <f>IF(SUM(F409:K409)=0,SUMIFS($L410:$L$1593,$B410:$B$1593,$B409,$A410:$A$1593,$A409),I409*K409)</f>
        <v>9051.84</v>
      </c>
      <c r="N409"/>
      <c r="O409"/>
      <c r="P409" s="28"/>
      <c r="Q409" s="28"/>
      <c r="R409" s="28"/>
    </row>
    <row r="410" spans="1:18" outlineLevel="1">
      <c r="A410" s="24" t="str">
        <f>A408</f>
        <v>GERAL</v>
      </c>
      <c r="B410" s="24" t="str">
        <f>B408</f>
        <v>10º PAV. - LAZER 01</v>
      </c>
      <c r="C410" s="30" t="s">
        <v>220</v>
      </c>
      <c r="D410" s="30" t="str">
        <f>'Lazer 1'!C35</f>
        <v>Sensores de Presença</v>
      </c>
      <c r="E410" s="30" t="str">
        <f>'Lazer 1'!D35</f>
        <v>Sensor de Presença 24V de teto</v>
      </c>
      <c r="F410" s="30">
        <f>'Lazer 1'!E35</f>
        <v>3</v>
      </c>
      <c r="G410" s="25">
        <v>1</v>
      </c>
      <c r="H410" s="25">
        <v>0</v>
      </c>
      <c r="I410" s="25">
        <f t="shared" si="129"/>
        <v>3</v>
      </c>
      <c r="J410" s="25" t="str">
        <f>'Lazer 1'!F35</f>
        <v>pç</v>
      </c>
      <c r="K410" s="26">
        <f>_xlfn.XLOOKUP($E410,PREÇO!$C$7:$C$91,PREÇO!$E$7:$E$91)</f>
        <v>38.4</v>
      </c>
      <c r="L410" s="66">
        <f>IF(SUM(F410:K410)=0,SUMIFS($L411:$L$1593,$B411:$B$1593,$B410,$A411:$A$1593,$A410),I410*K410)</f>
        <v>115.19999999999999</v>
      </c>
      <c r="N410"/>
      <c r="O410"/>
      <c r="P410" s="28"/>
      <c r="Q410" s="28"/>
      <c r="R410" s="28"/>
    </row>
    <row r="411" spans="1:18" outlineLevel="1">
      <c r="A411" s="24" t="str">
        <f t="shared" si="130"/>
        <v>GERAL</v>
      </c>
      <c r="B411" s="24" t="str">
        <f t="shared" si="130"/>
        <v>10º PAV. - LAZER 01</v>
      </c>
      <c r="C411" s="30" t="s">
        <v>221</v>
      </c>
      <c r="D411" s="30" t="s">
        <v>87</v>
      </c>
      <c r="E411" s="30" t="str">
        <f>'Lazer 1'!C38&amp;" "&amp;'Lazer 1'!D38</f>
        <v>Isolação em PVC (70ºC) 1.5 mm² - Amarelo</v>
      </c>
      <c r="F411" s="30">
        <f>'Lazer 1'!E38</f>
        <v>33.409999999999997</v>
      </c>
      <c r="G411" s="25">
        <v>1</v>
      </c>
      <c r="H411" s="25">
        <v>0</v>
      </c>
      <c r="I411" s="25">
        <f t="shared" si="129"/>
        <v>33.409999999999997</v>
      </c>
      <c r="J411" s="25" t="str">
        <f>'Lazer 1'!F38</f>
        <v>m</v>
      </c>
      <c r="K411" s="26">
        <f>_xlfn.XLOOKUP($E411,PREÇO!$C$7:$C$91,PREÇO!$E$7:$E$91)</f>
        <v>1.59</v>
      </c>
      <c r="L411" s="66">
        <f>IF(SUM(F411:K411)=0,SUMIFS($L412:$L$1593,$B412:$B$1593,$B411,$A412:$A$1593,$A411),I411*K411)</f>
        <v>53.121899999999997</v>
      </c>
      <c r="N411"/>
      <c r="O411"/>
      <c r="P411" s="28"/>
      <c r="Q411" s="28"/>
      <c r="R411" s="28"/>
    </row>
    <row r="412" spans="1:18" outlineLevel="1">
      <c r="A412" s="24" t="str">
        <f t="shared" si="130"/>
        <v>GERAL</v>
      </c>
      <c r="B412" s="24" t="str">
        <f t="shared" si="130"/>
        <v>10º PAV. - LAZER 01</v>
      </c>
      <c r="C412" s="30" t="s">
        <v>221</v>
      </c>
      <c r="D412" s="30" t="s">
        <v>87</v>
      </c>
      <c r="E412" s="30" t="str">
        <f>'Lazer 1'!C39&amp;" "&amp;'Lazer 1'!D39</f>
        <v>Isolação em PVC (70ºC) 1.5 mm² - Preto</v>
      </c>
      <c r="F412" s="30">
        <f>'Lazer 1'!E39</f>
        <v>16.71</v>
      </c>
      <c r="G412" s="25">
        <v>1</v>
      </c>
      <c r="H412" s="25">
        <v>0</v>
      </c>
      <c r="I412" s="25">
        <f t="shared" si="129"/>
        <v>16.71</v>
      </c>
      <c r="J412" s="25" t="str">
        <f>'Lazer 1'!F39</f>
        <v>m</v>
      </c>
      <c r="K412" s="26">
        <f>_xlfn.XLOOKUP($E412,PREÇO!$C$7:$C$91,PREÇO!$E$7:$E$91)</f>
        <v>1.59</v>
      </c>
      <c r="L412" s="66">
        <f>IF(SUM(F412:K412)=0,SUMIFS($L413:$L$1593,$B413:$B$1593,$B412,$A413:$A$1593,$A412),I412*K412)</f>
        <v>26.568900000000003</v>
      </c>
      <c r="N412"/>
      <c r="O412"/>
      <c r="P412" s="28"/>
      <c r="Q412" s="28"/>
      <c r="R412" s="28"/>
    </row>
    <row r="413" spans="1:18" outlineLevel="1">
      <c r="A413" s="24" t="str">
        <f t="shared" si="130"/>
        <v>GERAL</v>
      </c>
      <c r="B413" s="24" t="str">
        <f t="shared" si="130"/>
        <v>10º PAV. - LAZER 01</v>
      </c>
      <c r="C413" s="30" t="s">
        <v>221</v>
      </c>
      <c r="D413" s="30" t="s">
        <v>87</v>
      </c>
      <c r="E413" s="30" t="str">
        <f>'Lazer 1'!C40&amp;" "&amp;'Lazer 1'!D40</f>
        <v>Isolação em PVC (70ºC) 1.5 mm² - Vermelho</v>
      </c>
      <c r="F413" s="30">
        <f>'Lazer 1'!E40</f>
        <v>16.71</v>
      </c>
      <c r="G413" s="25">
        <v>1</v>
      </c>
      <c r="H413" s="25">
        <v>0</v>
      </c>
      <c r="I413" s="25">
        <f t="shared" si="129"/>
        <v>16.71</v>
      </c>
      <c r="J413" s="25" t="str">
        <f>'Lazer 1'!F40</f>
        <v>m</v>
      </c>
      <c r="K413" s="26">
        <f>_xlfn.XLOOKUP($E413,PREÇO!$C$7:$C$91,PREÇO!$E$7:$E$91)</f>
        <v>1.59</v>
      </c>
      <c r="L413" s="66">
        <f>IF(SUM(F413:K413)=0,SUMIFS($L414:$L$1593,$B414:$B$1593,$B413,$A414:$A$1593,$A413),I413*K413)</f>
        <v>26.568900000000003</v>
      </c>
      <c r="N413"/>
      <c r="O413"/>
      <c r="P413" s="28"/>
      <c r="Q413" s="28"/>
      <c r="R413" s="28"/>
    </row>
    <row r="414" spans="1:18" outlineLevel="1">
      <c r="A414" s="24" t="str">
        <f t="shared" si="130"/>
        <v>GERAL</v>
      </c>
      <c r="B414" s="24" t="str">
        <f t="shared" si="130"/>
        <v>10º PAV. - LAZER 01</v>
      </c>
      <c r="C414" s="30" t="s">
        <v>221</v>
      </c>
      <c r="D414" s="30" t="s">
        <v>87</v>
      </c>
      <c r="E414" s="30" t="str">
        <f>'Lazer 1'!C41&amp;" "&amp;'Lazer 1'!D41</f>
        <v>Isolação em PVC (70ºC) 2.5 mm² - Amarelo</v>
      </c>
      <c r="F414" s="30">
        <f>'Lazer 1'!E41</f>
        <v>45.64</v>
      </c>
      <c r="G414" s="25">
        <v>1</v>
      </c>
      <c r="H414" s="25">
        <v>0</v>
      </c>
      <c r="I414" s="25">
        <f t="shared" si="129"/>
        <v>45.64</v>
      </c>
      <c r="J414" s="25" t="str">
        <f>'Lazer 1'!F41</f>
        <v>m</v>
      </c>
      <c r="K414" s="26">
        <f>_xlfn.XLOOKUP($E414,PREÇO!$C$7:$C$91,PREÇO!$E$7:$E$91)</f>
        <v>2.19</v>
      </c>
      <c r="L414" s="66">
        <f>IF(SUM(F414:K414)=0,SUMIFS($L415:$L$1593,$B415:$B$1593,$B414,$A415:$A$1593,$A414),I414*K414)</f>
        <v>99.951599999999999</v>
      </c>
      <c r="N414"/>
      <c r="O414"/>
      <c r="P414" s="28"/>
      <c r="Q414" s="28"/>
      <c r="R414" s="28"/>
    </row>
    <row r="415" spans="1:18" outlineLevel="1">
      <c r="A415" s="24" t="str">
        <f t="shared" si="130"/>
        <v>GERAL</v>
      </c>
      <c r="B415" s="24" t="str">
        <f t="shared" si="130"/>
        <v>10º PAV. - LAZER 01</v>
      </c>
      <c r="C415" s="30" t="s">
        <v>221</v>
      </c>
      <c r="D415" s="30" t="s">
        <v>87</v>
      </c>
      <c r="E415" s="30" t="str">
        <f>'Lazer 1'!C42&amp;" "&amp;'Lazer 1'!D42</f>
        <v>Isolação em PVC (70ºC) 2.5 mm² - Preto</v>
      </c>
      <c r="F415" s="30">
        <f>'Lazer 1'!E42</f>
        <v>162.78</v>
      </c>
      <c r="G415" s="25">
        <v>1</v>
      </c>
      <c r="H415" s="25">
        <v>0</v>
      </c>
      <c r="I415" s="25">
        <f t="shared" si="129"/>
        <v>162.78</v>
      </c>
      <c r="J415" s="25" t="str">
        <f>'Lazer 1'!F42</f>
        <v>m</v>
      </c>
      <c r="K415" s="26">
        <f>_xlfn.XLOOKUP($E415,PREÇO!$C$7:$C$91,PREÇO!$E$7:$E$91)</f>
        <v>2.19</v>
      </c>
      <c r="L415" s="66">
        <f>IF(SUM(F415:K415)=0,SUMIFS($L416:$L$1593,$B416:$B$1593,$B415,$A416:$A$1593,$A415),I415*K415)</f>
        <v>356.48820000000001</v>
      </c>
      <c r="N415"/>
      <c r="O415"/>
      <c r="P415" s="28"/>
      <c r="Q415" s="28"/>
      <c r="R415" s="28"/>
    </row>
    <row r="416" spans="1:18" outlineLevel="1">
      <c r="A416" s="24" t="str">
        <f t="shared" si="130"/>
        <v>GERAL</v>
      </c>
      <c r="B416" s="24" t="str">
        <f t="shared" si="130"/>
        <v>10º PAV. - LAZER 01</v>
      </c>
      <c r="C416" s="30" t="s">
        <v>221</v>
      </c>
      <c r="D416" s="30" t="s">
        <v>87</v>
      </c>
      <c r="E416" s="30" t="str">
        <f>'Lazer 1'!C43&amp;" "&amp;'Lazer 1'!D43</f>
        <v>Isolação em PVC (70ºC) 2.5 mm² - Vermelho</v>
      </c>
      <c r="F416" s="30">
        <f>'Lazer 1'!E43</f>
        <v>162.78</v>
      </c>
      <c r="G416" s="25">
        <v>1</v>
      </c>
      <c r="H416" s="25">
        <v>0</v>
      </c>
      <c r="I416" s="25">
        <f t="shared" si="129"/>
        <v>162.78</v>
      </c>
      <c r="J416" s="25" t="str">
        <f>'Lazer 1'!F43</f>
        <v>m</v>
      </c>
      <c r="K416" s="26">
        <f>_xlfn.XLOOKUP($E416,PREÇO!$C$7:$C$91,PREÇO!$E$7:$E$91)</f>
        <v>2.19</v>
      </c>
      <c r="L416" s="66">
        <f>IF(SUM(F416:K416)=0,SUMIFS($L417:$L$1593,$B417:$B$1593,$B416,$A417:$A$1593,$A416),I416*K416)</f>
        <v>356.48820000000001</v>
      </c>
      <c r="N416"/>
      <c r="O416"/>
      <c r="P416" s="28"/>
      <c r="Q416" s="28"/>
      <c r="R416" s="28"/>
    </row>
    <row r="417" spans="1:18" outlineLevel="1">
      <c r="A417" s="24" t="str">
        <f t="shared" si="130"/>
        <v>GERAL</v>
      </c>
      <c r="B417" s="24" t="str">
        <f t="shared" si="130"/>
        <v>10º PAV. - LAZER 01</v>
      </c>
      <c r="C417" s="30" t="s">
        <v>221</v>
      </c>
      <c r="D417" s="30" t="s">
        <v>87</v>
      </c>
      <c r="E417" s="30" t="str">
        <f>'Lazer 1'!C44&amp;" "&amp;'Lazer 1'!D44</f>
        <v>Isolação em PVC (70ºC) 4 mm² - Preto</v>
      </c>
      <c r="F417" s="30">
        <f>'Lazer 1'!E44</f>
        <v>227.16</v>
      </c>
      <c r="G417" s="25">
        <v>1</v>
      </c>
      <c r="H417" s="25">
        <v>0</v>
      </c>
      <c r="I417" s="25">
        <f t="shared" si="129"/>
        <v>227.16</v>
      </c>
      <c r="J417" s="25" t="str">
        <f>'Lazer 1'!F44</f>
        <v>m</v>
      </c>
      <c r="K417" s="26">
        <f>_xlfn.XLOOKUP($E417,PREÇO!$C$7:$C$91,PREÇO!$E$7:$E$91)</f>
        <v>3.89</v>
      </c>
      <c r="L417" s="66">
        <f>IF(SUM(F417:K417)=0,SUMIFS($L418:$L$1593,$B418:$B$1593,$B417,$A418:$A$1593,$A417),I417*K417)</f>
        <v>883.65240000000006</v>
      </c>
      <c r="N417"/>
      <c r="O417"/>
      <c r="P417" s="28"/>
      <c r="Q417" s="28"/>
      <c r="R417" s="28"/>
    </row>
    <row r="418" spans="1:18" outlineLevel="1">
      <c r="A418" s="24" t="str">
        <f t="shared" si="130"/>
        <v>GERAL</v>
      </c>
      <c r="B418" s="24" t="str">
        <f t="shared" si="130"/>
        <v>10º PAV. - LAZER 01</v>
      </c>
      <c r="C418" s="30" t="s">
        <v>221</v>
      </c>
      <c r="D418" s="30" t="s">
        <v>87</v>
      </c>
      <c r="E418" s="30" t="str">
        <f>'Lazer 1'!C45&amp;" "&amp;'Lazer 1'!D45</f>
        <v>Isolação em PVC (70ºC) 4 mm² - Vermelho</v>
      </c>
      <c r="F418" s="30">
        <f>'Lazer 1'!E45</f>
        <v>227.16</v>
      </c>
      <c r="G418" s="25">
        <v>1</v>
      </c>
      <c r="H418" s="25">
        <v>0</v>
      </c>
      <c r="I418" s="25">
        <f t="shared" ref="I418:I423" si="131">(F418+H418*F418)*G418</f>
        <v>227.16</v>
      </c>
      <c r="J418" s="25" t="str">
        <f>'Lazer 1'!F45</f>
        <v>m</v>
      </c>
      <c r="K418" s="26">
        <f>_xlfn.XLOOKUP($E418,PREÇO!$C$7:$C$91,PREÇO!$E$7:$E$91)</f>
        <v>3.89</v>
      </c>
      <c r="L418" s="66">
        <f>IF(SUM(F418:K418)=0,SUMIFS($L419:$L$1593,$B419:$B$1593,$B418,$A419:$A$1593,$A418),I418*K418)</f>
        <v>883.65240000000006</v>
      </c>
      <c r="N418"/>
      <c r="O418"/>
      <c r="P418" s="28"/>
      <c r="Q418" s="28"/>
      <c r="R418" s="28"/>
    </row>
    <row r="419" spans="1:18" outlineLevel="1">
      <c r="A419" s="24" t="str">
        <f t="shared" si="130"/>
        <v>GERAL</v>
      </c>
      <c r="B419" s="24" t="str">
        <f t="shared" si="130"/>
        <v>10º PAV. - LAZER 01</v>
      </c>
      <c r="C419" s="30" t="s">
        <v>221</v>
      </c>
      <c r="D419" s="83" t="s">
        <v>46</v>
      </c>
      <c r="E419" s="30" t="str">
        <f>'Lazer 1'!C49&amp;" "&amp;'Lazer 1'!D49</f>
        <v>PVC Flexível Antichama - NBR 15465 ø1"</v>
      </c>
      <c r="F419" s="30">
        <f>'Lazer 1'!E49</f>
        <v>106.96</v>
      </c>
      <c r="G419" s="25">
        <v>1</v>
      </c>
      <c r="H419" s="25">
        <v>0</v>
      </c>
      <c r="I419" s="25">
        <f t="shared" si="131"/>
        <v>106.96</v>
      </c>
      <c r="J419" s="25" t="str">
        <f>'Lazer 1'!F49</f>
        <v>m</v>
      </c>
      <c r="K419" s="26">
        <f>_xlfn.XLOOKUP($E419,PREÇO!$C$7:$C$91,PREÇO!$E$7:$E$91)</f>
        <v>2.5299999999999998</v>
      </c>
      <c r="L419" s="66">
        <f>IF(SUM(F419:K419)=0,SUMIFS($L420:$L$1593,$B420:$B$1593,$B419,$A420:$A$1593,$A419),I419*K419)</f>
        <v>270.60879999999997</v>
      </c>
      <c r="N419"/>
      <c r="O419"/>
      <c r="P419" s="28"/>
      <c r="Q419" s="28"/>
      <c r="R419" s="28"/>
    </row>
    <row r="420" spans="1:18" outlineLevel="1">
      <c r="A420" s="24" t="str">
        <f t="shared" si="130"/>
        <v>GERAL</v>
      </c>
      <c r="B420" s="24" t="str">
        <f t="shared" si="130"/>
        <v>10º PAV. - LAZER 01</v>
      </c>
      <c r="C420" s="30" t="s">
        <v>221</v>
      </c>
      <c r="D420" s="83" t="s">
        <v>89</v>
      </c>
      <c r="E420" s="30" t="str">
        <f>'Lazer 1'!C52&amp;" "&amp;'Lazer 1'!D52</f>
        <v>Classe A - PVC Anti-chama - 105ºC - Isolação 600V 0.75 mm²</v>
      </c>
      <c r="F420" s="30">
        <f>'Lazer 1'!E52</f>
        <v>93.04</v>
      </c>
      <c r="G420" s="25">
        <v>1</v>
      </c>
      <c r="H420" s="25">
        <v>0</v>
      </c>
      <c r="I420" s="25">
        <f t="shared" si="131"/>
        <v>93.04</v>
      </c>
      <c r="J420" s="25" t="str">
        <f>'Lazer 1'!F52</f>
        <v>m</v>
      </c>
      <c r="K420" s="26">
        <f>_xlfn.XLOOKUP($E420,PREÇO!$C$7:$C$91,PREÇO!$E$7:$E$91)</f>
        <v>0.99</v>
      </c>
      <c r="L420" s="66">
        <f>IF(SUM(F420:K420)=0,SUMIFS($L421:$L$1593,$B421:$B$1593,$B420,$A421:$A$1593,$A420),I420*K420)</f>
        <v>92.1096</v>
      </c>
      <c r="N420"/>
      <c r="O420"/>
      <c r="P420" s="28"/>
      <c r="Q420" s="28"/>
      <c r="R420" s="28"/>
    </row>
    <row r="421" spans="1:18" ht="15.75" outlineLevel="1" thickBot="1">
      <c r="A421" s="24" t="str">
        <f t="shared" ref="A421:B421" si="132">A420</f>
        <v>GERAL</v>
      </c>
      <c r="B421" s="24" t="str">
        <f t="shared" si="132"/>
        <v>10º PAV. - LAZER 01</v>
      </c>
      <c r="C421" s="30" t="s">
        <v>221</v>
      </c>
      <c r="D421" s="83" t="s">
        <v>89</v>
      </c>
      <c r="E421" s="30" t="str">
        <f>'Lazer 1'!C53&amp;" "&amp;'Lazer 1'!D53</f>
        <v>Classe B - PVC Anti-chama - 105ºC - Isolação 600V 1.5 mm²</v>
      </c>
      <c r="F421" s="30">
        <f>'Lazer 1'!E53</f>
        <v>73.88</v>
      </c>
      <c r="G421" s="25">
        <v>1</v>
      </c>
      <c r="H421" s="25">
        <v>0</v>
      </c>
      <c r="I421" s="25">
        <f t="shared" si="131"/>
        <v>73.88</v>
      </c>
      <c r="J421" s="25" t="str">
        <f>'Lazer 1'!F53</f>
        <v>m</v>
      </c>
      <c r="K421" s="26">
        <f>_xlfn.XLOOKUP($E421,PREÇO!$C$7:$C$91,PREÇO!$E$7:$E$91)</f>
        <v>1.69</v>
      </c>
      <c r="L421" s="66">
        <f>IF(SUM(F421:K421)=0,SUMIFS($L422:$L$1593,$B422:$B$1593,$B421,$A422:$A$1593,$A421),I421*K421)</f>
        <v>124.85719999999999</v>
      </c>
      <c r="N421"/>
      <c r="O421"/>
      <c r="P421" s="28"/>
      <c r="Q421" s="28"/>
      <c r="R421" s="28"/>
    </row>
    <row r="422" spans="1:18" ht="15.75" thickTop="1">
      <c r="A422" s="82" t="str">
        <f t="shared" ref="A422:B427" si="133">A421</f>
        <v>GERAL</v>
      </c>
      <c r="B422" s="82" t="s">
        <v>143</v>
      </c>
      <c r="C422" s="43"/>
      <c r="D422" s="44" t="str">
        <f>'Lazer 1'!C54</f>
        <v/>
      </c>
      <c r="E422" s="44" t="str">
        <f>'Lazer 1'!D54</f>
        <v/>
      </c>
      <c r="F422" s="45" t="str">
        <f>'Lazer 1'!E54</f>
        <v/>
      </c>
      <c r="G422" s="45"/>
      <c r="H422" s="45"/>
      <c r="I422" s="45"/>
      <c r="J422" s="45"/>
      <c r="K422" s="47"/>
      <c r="L422" s="48">
        <f>IF(SUM(F422:K422)=0,SUMIFS($L423:$L$1593,$B423:$B$1593,$B422,$A423:$A$1593,$A422),I422*K422)</f>
        <v>17337.875999999997</v>
      </c>
      <c r="N422"/>
      <c r="O422"/>
      <c r="P422" s="28"/>
      <c r="Q422" s="28"/>
      <c r="R422" s="28"/>
    </row>
    <row r="423" spans="1:18" outlineLevel="1">
      <c r="A423" s="24" t="str">
        <f t="shared" si="133"/>
        <v>GERAL</v>
      </c>
      <c r="B423" s="24" t="str">
        <f t="shared" si="133"/>
        <v>11º PAV. - LAZER 02</v>
      </c>
      <c r="C423" s="30" t="s">
        <v>221</v>
      </c>
      <c r="D423" s="30" t="str">
        <f>'Lazer 2'!C6</f>
        <v>Acionadores</v>
      </c>
      <c r="E423" s="30" t="str">
        <f>'Lazer 2'!D6</f>
        <v>Acionador Manual de Alarme de Incêndio</v>
      </c>
      <c r="F423" s="25">
        <f>'Lazer 2'!E6</f>
        <v>2</v>
      </c>
      <c r="G423" s="25">
        <v>1</v>
      </c>
      <c r="H423" s="25">
        <v>0</v>
      </c>
      <c r="I423" s="25">
        <f t="shared" si="131"/>
        <v>2</v>
      </c>
      <c r="J423" s="25" t="str">
        <f>'Lazer 2'!F6</f>
        <v>pç</v>
      </c>
      <c r="K423" s="26">
        <f>_xlfn.XLOOKUP($E423,PREÇO!$C$7:$C$91,PREÇO!$E$7:$E$91)</f>
        <v>65</v>
      </c>
      <c r="L423" s="66">
        <f>IF(SUM(F423:K423)=0,SUMIFS($L424:$L$1593,$B424:$B$1593,$B423,$A424:$A$1593,$A423),I423*K423)</f>
        <v>130</v>
      </c>
      <c r="N423"/>
      <c r="O423"/>
      <c r="P423" s="28"/>
      <c r="Q423" s="28"/>
      <c r="R423" s="28"/>
    </row>
    <row r="424" spans="1:18" outlineLevel="1">
      <c r="A424" s="24" t="str">
        <f t="shared" si="133"/>
        <v>GERAL</v>
      </c>
      <c r="B424" s="24" t="str">
        <f t="shared" si="133"/>
        <v>11º PAV. - LAZER 02</v>
      </c>
      <c r="C424" s="30" t="s">
        <v>221</v>
      </c>
      <c r="D424" s="30" t="str">
        <f>'Lazer 2'!C7</f>
        <v>Anunciadores</v>
      </c>
      <c r="E424" s="30" t="str">
        <f>'Lazer 2'!D7</f>
        <v>Anunciador Audiovisual de Alarme de Incêndio de Parede</v>
      </c>
      <c r="F424" s="25">
        <f>'Lazer 2'!E7</f>
        <v>2</v>
      </c>
      <c r="G424" s="25">
        <v>1</v>
      </c>
      <c r="H424" s="25">
        <v>0</v>
      </c>
      <c r="I424" s="25">
        <f t="shared" ref="I424:I456" si="134">(F424+H424*F424)*G424</f>
        <v>2</v>
      </c>
      <c r="J424" s="25" t="str">
        <f>'Lazer 2'!F7</f>
        <v>pç</v>
      </c>
      <c r="K424" s="26">
        <f>_xlfn.XLOOKUP($E424,PREÇO!$C$7:$C$91,PREÇO!$E$7:$E$91)</f>
        <v>191.81</v>
      </c>
      <c r="L424" s="66">
        <f>IF(SUM(F424:K424)=0,SUMIFS($L425:$L$1593,$B425:$B$1593,$B424,$A425:$A$1593,$A424),I424*K424)</f>
        <v>383.62</v>
      </c>
      <c r="N424"/>
      <c r="O424"/>
      <c r="P424" s="28"/>
      <c r="Q424" s="28"/>
      <c r="R424" s="28"/>
    </row>
    <row r="425" spans="1:18" outlineLevel="1">
      <c r="A425" s="24" t="str">
        <f t="shared" si="133"/>
        <v>GERAL</v>
      </c>
      <c r="B425" s="24" t="str">
        <f t="shared" si="133"/>
        <v>11º PAV. - LAZER 02</v>
      </c>
      <c r="C425" s="30" t="s">
        <v>221</v>
      </c>
      <c r="D425" s="30" t="str">
        <f>'Lazer 2'!C8</f>
        <v>Atuadores</v>
      </c>
      <c r="E425" s="30" t="str">
        <f>'Lazer 2'!D8</f>
        <v>Atuador Janela Desenfumagem</v>
      </c>
      <c r="F425" s="25">
        <f>'Lazer 2'!E8</f>
        <v>1</v>
      </c>
      <c r="G425" s="25">
        <v>1</v>
      </c>
      <c r="H425" s="25">
        <v>0</v>
      </c>
      <c r="I425" s="25">
        <f t="shared" si="134"/>
        <v>1</v>
      </c>
      <c r="J425" s="25" t="str">
        <f>'Lazer 2'!F8</f>
        <v>pç</v>
      </c>
      <c r="K425" s="26">
        <f>_xlfn.XLOOKUP($E425,PREÇO!$C$7:$C$91,PREÇO!$E$7:$E$91)</f>
        <v>1150</v>
      </c>
      <c r="L425" s="66">
        <f>IF(SUM(F425:K425)=0,SUMIFS($L426:$L$1593,$B426:$B$1593,$B425,$A426:$A$1593,$A425),I425*K425)</f>
        <v>1150</v>
      </c>
      <c r="N425"/>
      <c r="O425"/>
      <c r="P425" s="28"/>
      <c r="Q425" s="28"/>
      <c r="R425" s="28"/>
    </row>
    <row r="426" spans="1:18" outlineLevel="1">
      <c r="A426" s="24" t="str">
        <f t="shared" si="133"/>
        <v>GERAL</v>
      </c>
      <c r="B426" s="24" t="str">
        <f t="shared" si="133"/>
        <v>11º PAV. - LAZER 02</v>
      </c>
      <c r="C426" s="30" t="s">
        <v>221</v>
      </c>
      <c r="D426" s="30" t="str">
        <f>'Lazer 2'!C9</f>
        <v>Atuadores</v>
      </c>
      <c r="E426" s="30" t="str">
        <f>'Lazer 2'!D9</f>
        <v>Dispositivo Eletromagnético de Porta Aberta</v>
      </c>
      <c r="F426" s="25">
        <f>'Lazer 2'!E9</f>
        <v>1</v>
      </c>
      <c r="G426" s="25">
        <v>1</v>
      </c>
      <c r="H426" s="25">
        <v>0</v>
      </c>
      <c r="I426" s="25">
        <f t="shared" si="134"/>
        <v>1</v>
      </c>
      <c r="J426" s="25" t="str">
        <f>'Lazer 2'!F9</f>
        <v>pç</v>
      </c>
      <c r="K426" s="26">
        <f>_xlfn.XLOOKUP($E426,PREÇO!$C$7:$C$91,PREÇO!$E$7:$E$91)</f>
        <v>416.9</v>
      </c>
      <c r="L426" s="66">
        <f>IF(SUM(F426:K426)=0,SUMIFS($L427:$L$1593,$B427:$B$1593,$B426,$A427:$A$1593,$A426),I426*K426)</f>
        <v>416.9</v>
      </c>
      <c r="N426"/>
      <c r="O426"/>
      <c r="P426" s="28"/>
      <c r="Q426" s="28"/>
      <c r="R426" s="28"/>
    </row>
    <row r="427" spans="1:18" outlineLevel="1">
      <c r="A427" s="24" t="str">
        <f t="shared" si="133"/>
        <v>GERAL</v>
      </c>
      <c r="B427" s="24" t="str">
        <f t="shared" si="133"/>
        <v>11º PAV. - LAZER 02</v>
      </c>
      <c r="C427" s="30" t="s">
        <v>221</v>
      </c>
      <c r="D427" s="30" t="str">
        <f>'Lazer 2'!C10</f>
        <v>Sensores</v>
      </c>
      <c r="E427" s="30" t="str">
        <f>'Lazer 2'!D10</f>
        <v>Sensor de Fumaça</v>
      </c>
      <c r="F427" s="25">
        <f>'Lazer 2'!E10</f>
        <v>3</v>
      </c>
      <c r="G427" s="25">
        <v>1</v>
      </c>
      <c r="H427" s="25">
        <v>0</v>
      </c>
      <c r="I427" s="25">
        <f t="shared" si="134"/>
        <v>3</v>
      </c>
      <c r="J427" s="25" t="str">
        <f>'Lazer 2'!F10</f>
        <v>pç</v>
      </c>
      <c r="K427" s="26">
        <f>_xlfn.XLOOKUP($E427,PREÇO!$C$7:$C$91,PREÇO!$E$7:$E$91)</f>
        <v>53.9</v>
      </c>
      <c r="L427" s="66">
        <f>IF(SUM(F427:K427)=0,SUMIFS($L428:$L$1593,$B428:$B$1593,$B427,$A428:$A$1593,$A427),I427*K427)</f>
        <v>161.69999999999999</v>
      </c>
      <c r="N427"/>
      <c r="O427"/>
      <c r="P427" s="28"/>
      <c r="Q427" s="28"/>
      <c r="R427" s="28"/>
    </row>
    <row r="428" spans="1:18" outlineLevel="1">
      <c r="A428" s="24" t="str">
        <f t="shared" ref="A428:B428" si="135">A427</f>
        <v>GERAL</v>
      </c>
      <c r="B428" s="24" t="str">
        <f t="shared" si="135"/>
        <v>11º PAV. - LAZER 02</v>
      </c>
      <c r="C428" s="30" t="s">
        <v>221</v>
      </c>
      <c r="D428" s="30" t="str">
        <f>'Lazer 2'!C13</f>
        <v>Caixas</v>
      </c>
      <c r="E428" s="30" t="str">
        <f>'Lazer 2'!D13</f>
        <v>Caixa Octogonal Padrão NBR IEC 60670</v>
      </c>
      <c r="F428" s="25">
        <f>'Lazer 2'!E13</f>
        <v>20</v>
      </c>
      <c r="G428" s="25">
        <v>1</v>
      </c>
      <c r="H428" s="25">
        <v>0</v>
      </c>
      <c r="I428" s="25">
        <f t="shared" si="134"/>
        <v>20</v>
      </c>
      <c r="J428" s="25" t="str">
        <f>'Lazer 2'!F13</f>
        <v>pç</v>
      </c>
      <c r="K428" s="26">
        <f>_xlfn.XLOOKUP($E428,PREÇO!$C$7:$C$91,PREÇO!$E$7:$E$91)</f>
        <v>5.32</v>
      </c>
      <c r="L428" s="66">
        <f>IF(SUM(F428:K428)=0,SUMIFS($L429:$L$1593,$B429:$B$1593,$B428,$A429:$A$1593,$A428),I428*K428)</f>
        <v>106.4</v>
      </c>
      <c r="N428"/>
      <c r="O428"/>
      <c r="P428" s="28"/>
      <c r="Q428" s="28"/>
      <c r="R428" s="28"/>
    </row>
    <row r="429" spans="1:18" outlineLevel="1">
      <c r="A429" s="24" t="str">
        <f t="shared" ref="A429:B429" si="136">A428</f>
        <v>GERAL</v>
      </c>
      <c r="B429" s="24" t="str">
        <f t="shared" si="136"/>
        <v>11º PAV. - LAZER 02</v>
      </c>
      <c r="C429" s="30" t="s">
        <v>221</v>
      </c>
      <c r="D429" s="30" t="str">
        <f>'Lazer 2'!C14</f>
        <v>Placas</v>
      </c>
      <c r="E429" s="30" t="str">
        <f>'Lazer 2'!D14</f>
        <v>Placa cega para caixa octogonal Padrão NBR IEC 60670</v>
      </c>
      <c r="F429" s="25">
        <f>'Lazer 2'!E14</f>
        <v>9</v>
      </c>
      <c r="G429" s="25">
        <v>1</v>
      </c>
      <c r="H429" s="25">
        <v>0</v>
      </c>
      <c r="I429" s="25">
        <f t="shared" si="134"/>
        <v>9</v>
      </c>
      <c r="J429" s="25" t="str">
        <f>'Lazer 2'!F14</f>
        <v>pç</v>
      </c>
      <c r="K429" s="26">
        <f>_xlfn.XLOOKUP($E429,PREÇO!$C$7:$C$91,PREÇO!$E$7:$E$91)</f>
        <v>2.5</v>
      </c>
      <c r="L429" s="66">
        <f>IF(SUM(F429:K429)=0,SUMIFS($L430:$L$1593,$B430:$B$1593,$B429,$A430:$A$1593,$A429),I429*K429)</f>
        <v>22.5</v>
      </c>
      <c r="N429"/>
      <c r="O429"/>
      <c r="P429" s="28"/>
      <c r="Q429" s="28"/>
      <c r="R429" s="28"/>
    </row>
    <row r="430" spans="1:18" outlineLevel="1">
      <c r="A430" s="24" t="str">
        <f t="shared" ref="A430:B430" si="137">A429</f>
        <v>GERAL</v>
      </c>
      <c r="B430" s="24" t="str">
        <f t="shared" si="137"/>
        <v>11º PAV. - LAZER 02</v>
      </c>
      <c r="C430" s="30" t="s">
        <v>221</v>
      </c>
      <c r="D430" s="30" t="str">
        <f>'Lazer 2'!C17</f>
        <v>Caixas</v>
      </c>
      <c r="E430" s="30" t="str">
        <f>'Lazer 2'!D17</f>
        <v>Caixa 4x2" de Embutir em PVC Padrão NBR IEC 60670</v>
      </c>
      <c r="F430" s="25">
        <f>'Lazer 2'!E17</f>
        <v>45</v>
      </c>
      <c r="G430" s="25">
        <v>1</v>
      </c>
      <c r="H430" s="25">
        <v>0</v>
      </c>
      <c r="I430" s="25">
        <f t="shared" si="134"/>
        <v>45</v>
      </c>
      <c r="J430" s="25" t="str">
        <f>'Lazer 2'!F17</f>
        <v>pç</v>
      </c>
      <c r="K430" s="26">
        <f>_xlfn.XLOOKUP($E430,PREÇO!$C$7:$C$91,PREÇO!$E$7:$E$91)</f>
        <v>1.72</v>
      </c>
      <c r="L430" s="66">
        <f>IF(SUM(F430:K430)=0,SUMIFS($L431:$L$1593,$B431:$B$1593,$B430,$A431:$A$1593,$A430),I430*K430)</f>
        <v>77.400000000000006</v>
      </c>
      <c r="N430"/>
      <c r="O430"/>
      <c r="P430" s="28"/>
      <c r="Q430" s="28"/>
      <c r="R430" s="28"/>
    </row>
    <row r="431" spans="1:18" outlineLevel="1">
      <c r="A431" s="24" t="str">
        <f t="shared" ref="A431:B431" si="138">A430</f>
        <v>GERAL</v>
      </c>
      <c r="B431" s="24" t="str">
        <f t="shared" si="138"/>
        <v>11º PAV. - LAZER 02</v>
      </c>
      <c r="C431" s="30" t="s">
        <v>221</v>
      </c>
      <c r="D431" s="30" t="str">
        <f>'Lazer 2'!C18</f>
        <v>Placas</v>
      </c>
      <c r="E431" s="30" t="str">
        <f>'Lazer 2'!D18</f>
        <v>Placa 4x2" cega Padrão NBR IEC 60670</v>
      </c>
      <c r="F431" s="25">
        <f>'Lazer 2'!E18</f>
        <v>26</v>
      </c>
      <c r="G431" s="25">
        <v>1</v>
      </c>
      <c r="H431" s="25">
        <v>0</v>
      </c>
      <c r="I431" s="25">
        <f t="shared" si="134"/>
        <v>26</v>
      </c>
      <c r="J431" s="25" t="str">
        <f>'Lazer 2'!F18</f>
        <v>pç</v>
      </c>
      <c r="K431" s="26">
        <f>_xlfn.XLOOKUP($E431,PREÇO!$C$7:$C$91,PREÇO!$E$7:$E$91)</f>
        <v>4.59</v>
      </c>
      <c r="L431" s="66">
        <f>IF(SUM(F431:K431)=0,SUMIFS($L432:$L$1593,$B432:$B$1593,$B431,$A432:$A$1593,$A431),I431*K431)</f>
        <v>119.34</v>
      </c>
      <c r="N431"/>
      <c r="O431"/>
      <c r="P431" s="28"/>
      <c r="Q431" s="28"/>
      <c r="R431" s="28"/>
    </row>
    <row r="432" spans="1:18" outlineLevel="1">
      <c r="A432" s="24" t="str">
        <f t="shared" ref="A432:B432" si="139">A431</f>
        <v>GERAL</v>
      </c>
      <c r="B432" s="24" t="str">
        <f t="shared" si="139"/>
        <v>11º PAV. - LAZER 02</v>
      </c>
      <c r="C432" s="30" t="s">
        <v>221</v>
      </c>
      <c r="D432" s="30" t="str">
        <f>'Lazer 2'!C19</f>
        <v>Placas</v>
      </c>
      <c r="E432" s="30" t="str">
        <f>'Lazer 2'!D19</f>
        <v>Placa 4x2" com furo para saída de cabos Padrão NBR IEC 60670</v>
      </c>
      <c r="F432" s="25">
        <f>'Lazer 2'!E19</f>
        <v>19</v>
      </c>
      <c r="G432" s="25">
        <v>1</v>
      </c>
      <c r="H432" s="25">
        <v>0</v>
      </c>
      <c r="I432" s="25">
        <f t="shared" si="134"/>
        <v>19</v>
      </c>
      <c r="J432" s="25" t="str">
        <f>'Lazer 2'!F19</f>
        <v>pç</v>
      </c>
      <c r="K432" s="26">
        <f>_xlfn.XLOOKUP($E432,PREÇO!$C$7:$C$91,PREÇO!$E$7:$E$91)</f>
        <v>6.55</v>
      </c>
      <c r="L432" s="66">
        <f>IF(SUM(F432:K432)=0,SUMIFS($L433:$L$1593,$B433:$B$1593,$B432,$A433:$A$1593,$A432),I432*K432)</f>
        <v>124.45</v>
      </c>
      <c r="N432"/>
      <c r="O432"/>
      <c r="P432" s="28"/>
      <c r="Q432" s="28"/>
      <c r="R432" s="28"/>
    </row>
    <row r="433" spans="1:18" outlineLevel="1">
      <c r="A433" s="24" t="str">
        <f t="shared" ref="A433:B433" si="140">A432</f>
        <v>GERAL</v>
      </c>
      <c r="B433" s="24" t="str">
        <f t="shared" si="140"/>
        <v>11º PAV. - LAZER 02</v>
      </c>
      <c r="C433" s="30" t="s">
        <v>221</v>
      </c>
      <c r="D433" s="30" t="str">
        <f>'Lazer 2'!C20</f>
        <v>Suportes</v>
      </c>
      <c r="E433" s="30" t="str">
        <f>'Lazer 2'!D20</f>
        <v>Suporte p/ caixa 4x2" Padrão NBR IEC 60670</v>
      </c>
      <c r="F433" s="25">
        <f>'Lazer 2'!E20</f>
        <v>45</v>
      </c>
      <c r="G433" s="25">
        <v>1</v>
      </c>
      <c r="H433" s="25">
        <v>0</v>
      </c>
      <c r="I433" s="25">
        <f t="shared" si="134"/>
        <v>45</v>
      </c>
      <c r="J433" s="25" t="str">
        <f>'Lazer 2'!F20</f>
        <v>pç</v>
      </c>
      <c r="K433" s="26">
        <f>_xlfn.XLOOKUP($E433,PREÇO!$C$7:$C$91,PREÇO!$E$7:$E$91)</f>
        <v>1.85</v>
      </c>
      <c r="L433" s="66">
        <f>IF(SUM(F433:K433)=0,SUMIFS($L434:$L$1593,$B434:$B$1593,$B433,$A434:$A$1593,$A433),I433*K433)</f>
        <v>83.25</v>
      </c>
      <c r="N433"/>
      <c r="O433"/>
      <c r="P433" s="28"/>
      <c r="Q433" s="28"/>
      <c r="R433" s="28"/>
    </row>
    <row r="434" spans="1:18" outlineLevel="1">
      <c r="A434" s="24" t="str">
        <f t="shared" ref="A434:B434" si="141">A433</f>
        <v>GERAL</v>
      </c>
      <c r="B434" s="24" t="str">
        <f t="shared" si="141"/>
        <v>11º PAV. - LAZER 02</v>
      </c>
      <c r="C434" s="30" t="s">
        <v>221</v>
      </c>
      <c r="D434" s="30" t="str">
        <f>'Lazer 2'!C23</f>
        <v>Embutir</v>
      </c>
      <c r="E434" s="30" t="str">
        <f>'Lazer 2'!D23</f>
        <v>Cx de passagem de embutir com dimensão de 50x50x15 cm</v>
      </c>
      <c r="F434" s="25">
        <f>'Lazer 2'!E23</f>
        <v>1</v>
      </c>
      <c r="G434" s="25">
        <v>1</v>
      </c>
      <c r="H434" s="25">
        <v>0</v>
      </c>
      <c r="I434" s="25">
        <f t="shared" si="134"/>
        <v>1</v>
      </c>
      <c r="J434" s="25" t="str">
        <f>'Lazer 2'!F23</f>
        <v>pç</v>
      </c>
      <c r="K434" s="26">
        <f>_xlfn.XLOOKUP($E434,PREÇO!$C$7:$C$91,PREÇO!$E$7:$E$91)</f>
        <v>291.60000000000002</v>
      </c>
      <c r="L434" s="66">
        <f>IF(SUM(F434:K434)=0,SUMIFS($L435:$L$1593,$B435:$B$1593,$B434,$A435:$A$1593,$A434),I434*K434)</f>
        <v>291.60000000000002</v>
      </c>
      <c r="N434"/>
      <c r="O434"/>
      <c r="P434" s="28"/>
      <c r="Q434" s="28"/>
      <c r="R434" s="28"/>
    </row>
    <row r="435" spans="1:18" outlineLevel="1">
      <c r="A435" s="24" t="str">
        <f t="shared" ref="A435:B435" si="142">A434</f>
        <v>GERAL</v>
      </c>
      <c r="B435" s="24" t="str">
        <f t="shared" si="142"/>
        <v>11º PAV. - LAZER 02</v>
      </c>
      <c r="C435" s="30" t="s">
        <v>221</v>
      </c>
      <c r="D435" s="83" t="s">
        <v>46</v>
      </c>
      <c r="E435" s="30" t="str">
        <f>'Lazer 2'!C26&amp;" "&amp;'Lazer 2'!D26</f>
        <v>PVC Flexível Antichama - NBR 15465 ø1"</v>
      </c>
      <c r="F435" s="25">
        <f>'Lazer 2'!E26</f>
        <v>19.97</v>
      </c>
      <c r="G435" s="25">
        <v>1</v>
      </c>
      <c r="H435" s="25">
        <v>0</v>
      </c>
      <c r="I435" s="25">
        <f t="shared" si="134"/>
        <v>19.97</v>
      </c>
      <c r="J435" s="25" t="str">
        <f>'Lazer 2'!F26</f>
        <v>m</v>
      </c>
      <c r="K435" s="26">
        <f>_xlfn.XLOOKUP($E435,PREÇO!$C$7:$C$91,PREÇO!$E$7:$E$91)</f>
        <v>2.5299999999999998</v>
      </c>
      <c r="L435" s="66">
        <f>IF(SUM(F435:K435)=0,SUMIFS($L436:$L$1593,$B436:$B$1593,$B435,$A436:$A$1593,$A435),I435*K435)</f>
        <v>50.52409999999999</v>
      </c>
      <c r="N435"/>
      <c r="O435"/>
      <c r="P435" s="28"/>
      <c r="Q435" s="28"/>
      <c r="R435" s="28"/>
    </row>
    <row r="436" spans="1:18" outlineLevel="1">
      <c r="A436" s="24" t="str">
        <f t="shared" ref="A436:B436" si="143">A435</f>
        <v>GERAL</v>
      </c>
      <c r="B436" s="24" t="str">
        <f t="shared" si="143"/>
        <v>11º PAV. - LAZER 02</v>
      </c>
      <c r="C436" s="30" t="s">
        <v>221</v>
      </c>
      <c r="D436" s="83" t="s">
        <v>46</v>
      </c>
      <c r="E436" s="30" t="str">
        <f>'Lazer 2'!C27&amp;" "&amp;'Lazer 2'!D27</f>
        <v>PVC Flexível Antichama - NBR 15465 ø3/4"</v>
      </c>
      <c r="F436" s="25">
        <f>'Lazer 2'!E27</f>
        <v>301.89999999999998</v>
      </c>
      <c r="G436" s="25">
        <v>1</v>
      </c>
      <c r="H436" s="25">
        <v>0</v>
      </c>
      <c r="I436" s="25">
        <f t="shared" si="134"/>
        <v>301.89999999999998</v>
      </c>
      <c r="J436" s="25" t="str">
        <f>'Lazer 2'!F27</f>
        <v>m</v>
      </c>
      <c r="K436" s="26">
        <f>_xlfn.XLOOKUP($E436,PREÇO!$C$7:$C$91,PREÇO!$E$7:$E$91)</f>
        <v>1.8</v>
      </c>
      <c r="L436" s="66">
        <f>IF(SUM(F436:K436)=0,SUMIFS($L437:$L$1593,$B437:$B$1593,$B436,$A437:$A$1593,$A436),I436*K436)</f>
        <v>543.41999999999996</v>
      </c>
      <c r="N436"/>
      <c r="O436"/>
      <c r="P436" s="28"/>
      <c r="Q436" s="28"/>
      <c r="R436" s="28"/>
    </row>
    <row r="437" spans="1:18" outlineLevel="1">
      <c r="A437" s="24" t="str">
        <f t="shared" ref="A437:B437" si="144">A436</f>
        <v>GERAL</v>
      </c>
      <c r="B437" s="24" t="str">
        <f t="shared" si="144"/>
        <v>11º PAV. - LAZER 02</v>
      </c>
      <c r="C437" s="30" t="s">
        <v>220</v>
      </c>
      <c r="D437" s="30" t="str">
        <f>'Lazer 2'!C30</f>
        <v>Luminárias e Placas de Saída</v>
      </c>
      <c r="E437" s="30" t="str">
        <f>'Lazer 2'!D30</f>
        <v>Luminária de Emergência 24V de Parede</v>
      </c>
      <c r="F437" s="25">
        <f>'Lazer 2'!E30</f>
        <v>26</v>
      </c>
      <c r="G437" s="25">
        <v>1</v>
      </c>
      <c r="H437" s="25">
        <v>0</v>
      </c>
      <c r="I437" s="25">
        <f t="shared" si="134"/>
        <v>26</v>
      </c>
      <c r="J437" s="25" t="str">
        <f>'Lazer 2'!F30</f>
        <v>pç</v>
      </c>
      <c r="K437" s="26">
        <f>_xlfn.XLOOKUP($E437,PREÇO!$C$7:$C$91,PREÇO!$E$7:$E$91)</f>
        <v>15.9</v>
      </c>
      <c r="L437" s="66">
        <f>IF(SUM(F437:K437)=0,SUMIFS($L438:$L$1593,$B438:$B$1593,$B437,$A438:$A$1593,$A437),I437*K437)</f>
        <v>413.40000000000003</v>
      </c>
      <c r="N437"/>
      <c r="O437"/>
      <c r="P437" s="28"/>
      <c r="Q437" s="28"/>
      <c r="R437" s="28"/>
    </row>
    <row r="438" spans="1:18" outlineLevel="1">
      <c r="A438" s="24" t="str">
        <f t="shared" ref="A438:B438" si="145">A437</f>
        <v>GERAL</v>
      </c>
      <c r="B438" s="24" t="str">
        <f t="shared" si="145"/>
        <v>11º PAV. - LAZER 02</v>
      </c>
      <c r="C438" s="30" t="s">
        <v>220</v>
      </c>
      <c r="D438" s="30" t="str">
        <f>'Lazer 2'!C31</f>
        <v>Luminárias e Placas de Saída</v>
      </c>
      <c r="E438" s="30" t="str">
        <f>'Lazer 2'!D31</f>
        <v>Luminária de Emergência 24V de Teto</v>
      </c>
      <c r="F438" s="25">
        <f>'Lazer 2'!E31</f>
        <v>5</v>
      </c>
      <c r="G438" s="25">
        <v>1</v>
      </c>
      <c r="H438" s="25">
        <v>0</v>
      </c>
      <c r="I438" s="25">
        <f t="shared" si="134"/>
        <v>5</v>
      </c>
      <c r="J438" s="25" t="str">
        <f>'Lazer 2'!F31</f>
        <v>pç</v>
      </c>
      <c r="K438" s="26">
        <f>_xlfn.XLOOKUP($E438,PREÇO!$C$7:$C$91,PREÇO!$E$7:$E$91)</f>
        <v>69.900000000000006</v>
      </c>
      <c r="L438" s="66">
        <f>IF(SUM(F438:K438)=0,SUMIFS($L439:$L$1593,$B439:$B$1593,$B438,$A439:$A$1593,$A438),I438*K438)</f>
        <v>349.5</v>
      </c>
      <c r="N438"/>
      <c r="O438"/>
      <c r="P438" s="28"/>
      <c r="Q438" s="28"/>
      <c r="R438" s="28"/>
    </row>
    <row r="439" spans="1:18" outlineLevel="1">
      <c r="A439" s="24" t="str">
        <f t="shared" ref="A439:B439" si="146">A438</f>
        <v>GERAL</v>
      </c>
      <c r="B439" s="24" t="str">
        <f t="shared" si="146"/>
        <v>11º PAV. - LAZER 02</v>
      </c>
      <c r="C439" s="24" t="s">
        <v>222</v>
      </c>
      <c r="D439" s="30" t="str">
        <f>'Lazer 2'!C32</f>
        <v>Luminárias e Placas de Saída</v>
      </c>
      <c r="E439" s="30" t="str">
        <f>'Lazer 2'!D32</f>
        <v>Placa de Saída 24V de Parede com Direção</v>
      </c>
      <c r="F439" s="25">
        <f>'Lazer 2'!E32</f>
        <v>4</v>
      </c>
      <c r="G439" s="25">
        <v>1</v>
      </c>
      <c r="H439" s="25">
        <v>0</v>
      </c>
      <c r="I439" s="25">
        <f t="shared" si="134"/>
        <v>4</v>
      </c>
      <c r="J439" s="25" t="str">
        <f>'Lazer 2'!F32</f>
        <v>pç</v>
      </c>
      <c r="K439" s="26">
        <f>_xlfn.XLOOKUP($E439,PREÇO!$C$7:$C$91,PREÇO!$E$7:$E$91)</f>
        <v>67.900000000000006</v>
      </c>
      <c r="L439" s="66">
        <f>IF(SUM(F439:K439)=0,SUMIFS($L440:$L$1593,$B440:$B$1593,$B439,$A440:$A$1593,$A439),I439*K439)</f>
        <v>271.60000000000002</v>
      </c>
      <c r="N439"/>
      <c r="O439"/>
      <c r="P439" s="28"/>
      <c r="Q439" s="28"/>
      <c r="R439" s="28"/>
    </row>
    <row r="440" spans="1:18" outlineLevel="1">
      <c r="A440" s="24" t="str">
        <f t="shared" ref="A440:B440" si="147">A439</f>
        <v>GERAL</v>
      </c>
      <c r="B440" s="24" t="str">
        <f t="shared" si="147"/>
        <v>11º PAV. - LAZER 02</v>
      </c>
      <c r="C440" s="24" t="s">
        <v>222</v>
      </c>
      <c r="D440" s="30" t="str">
        <f>'Lazer 2'!C33</f>
        <v>Luminárias e Placas de Saída</v>
      </c>
      <c r="E440" s="30" t="str">
        <f>'Lazer 2'!D33</f>
        <v>Placa de Saída 24V de Parede sem Direção</v>
      </c>
      <c r="F440" s="25">
        <f>'Lazer 2'!E33</f>
        <v>3</v>
      </c>
      <c r="G440" s="25">
        <v>1</v>
      </c>
      <c r="H440" s="25">
        <v>0</v>
      </c>
      <c r="I440" s="25">
        <f t="shared" si="134"/>
        <v>3</v>
      </c>
      <c r="J440" s="25" t="str">
        <f>'Lazer 2'!F33</f>
        <v>pç</v>
      </c>
      <c r="K440" s="26">
        <f>_xlfn.XLOOKUP($E440,PREÇO!$C$7:$C$91,PREÇO!$E$7:$E$91)</f>
        <v>61.66</v>
      </c>
      <c r="L440" s="66">
        <f>IF(SUM(F440:K440)=0,SUMIFS($L441:$L$1593,$B441:$B$1593,$B440,$A441:$A$1593,$A440),I440*K440)</f>
        <v>184.98</v>
      </c>
      <c r="N440"/>
      <c r="O440"/>
      <c r="P440" s="28"/>
      <c r="Q440" s="28"/>
      <c r="R440" s="28"/>
    </row>
    <row r="441" spans="1:18" outlineLevel="1">
      <c r="A441" s="24" t="str">
        <f t="shared" ref="A441:B441" si="148">A440</f>
        <v>GERAL</v>
      </c>
      <c r="B441" s="24" t="str">
        <f t="shared" si="148"/>
        <v>11º PAV. - LAZER 02</v>
      </c>
      <c r="C441" s="24" t="s">
        <v>222</v>
      </c>
      <c r="D441" s="30" t="str">
        <f>'Lazer 2'!C34</f>
        <v>Luminárias e Placas de Saída</v>
      </c>
      <c r="E441" s="30" t="str">
        <f>'Lazer 2'!D34</f>
        <v>Placa de Saída 24V de Teto sem Direção</v>
      </c>
      <c r="F441" s="25">
        <f>'Lazer 2'!E34</f>
        <v>5</v>
      </c>
      <c r="G441" s="25">
        <v>1</v>
      </c>
      <c r="H441" s="25">
        <v>0</v>
      </c>
      <c r="I441" s="25">
        <f t="shared" si="134"/>
        <v>5</v>
      </c>
      <c r="J441" s="25" t="str">
        <f>'Lazer 2'!F34</f>
        <v>pç</v>
      </c>
      <c r="K441" s="26">
        <f>_xlfn.XLOOKUP($E441,PREÇO!$C$7:$C$91,PREÇO!$E$7:$E$91)</f>
        <v>61.66</v>
      </c>
      <c r="L441" s="66">
        <f>IF(SUM(F441:K441)=0,SUMIFS($L443:$L$1593,$B443:$B$1593,$B441,$A443:$A$1593,$A441),I441*K441)</f>
        <v>308.29999999999995</v>
      </c>
      <c r="N441"/>
      <c r="O441"/>
      <c r="P441" s="28"/>
      <c r="Q441" s="28"/>
      <c r="R441" s="28"/>
    </row>
    <row r="442" spans="1:18" outlineLevel="1">
      <c r="A442" s="116" t="str">
        <f>A440</f>
        <v>GERAL</v>
      </c>
      <c r="B442" s="116" t="s">
        <v>143</v>
      </c>
      <c r="C442" s="116" t="s">
        <v>222</v>
      </c>
      <c r="D442" s="116" t="s">
        <v>223</v>
      </c>
      <c r="E442" s="116" t="s">
        <v>224</v>
      </c>
      <c r="F442" s="117">
        <v>14</v>
      </c>
      <c r="G442" s="117">
        <v>1</v>
      </c>
      <c r="H442" s="118">
        <v>0</v>
      </c>
      <c r="I442" s="117">
        <f t="shared" si="134"/>
        <v>14</v>
      </c>
      <c r="J442" s="117" t="s">
        <v>11</v>
      </c>
      <c r="K442" s="119">
        <f>_xlfn.XLOOKUP($E442,PREÇO!$C$7:$C$91,PREÇO!$E$7:$E$91)</f>
        <v>646.55999999999995</v>
      </c>
      <c r="L442" s="120">
        <f>IF(SUM(F442:K442)=0,SUMIFS($L443:$L$1593,$B443:$B$1593,$B442,$A443:$A$1593,$A442),I442*K442)</f>
        <v>9051.84</v>
      </c>
      <c r="N442"/>
      <c r="O442"/>
      <c r="P442" s="28"/>
      <c r="Q442" s="28"/>
      <c r="R442" s="28"/>
    </row>
    <row r="443" spans="1:18" outlineLevel="1">
      <c r="A443" s="24" t="str">
        <f t="shared" ref="A443:B443" si="149">A441</f>
        <v>GERAL</v>
      </c>
      <c r="B443" s="24" t="str">
        <f t="shared" si="149"/>
        <v>11º PAV. - LAZER 02</v>
      </c>
      <c r="C443" s="30" t="s">
        <v>220</v>
      </c>
      <c r="D443" s="30" t="str">
        <f>'Lazer 2'!C35</f>
        <v>Sensores de Presença</v>
      </c>
      <c r="E443" s="30" t="str">
        <f>'Lazer 2'!D35</f>
        <v>Sensor de Presença 24V de teto</v>
      </c>
      <c r="F443" s="25">
        <f>'Lazer 2'!E35</f>
        <v>3</v>
      </c>
      <c r="G443" s="25">
        <v>1</v>
      </c>
      <c r="H443" s="25">
        <v>0</v>
      </c>
      <c r="I443" s="25">
        <f t="shared" si="134"/>
        <v>3</v>
      </c>
      <c r="J443" s="25" t="str">
        <f>'Lazer 2'!F35</f>
        <v>pç</v>
      </c>
      <c r="K443" s="26">
        <f>_xlfn.XLOOKUP($E443,PREÇO!$C$7:$C$91,PREÇO!$E$7:$E$91)</f>
        <v>38.4</v>
      </c>
      <c r="L443" s="66">
        <f>IF(SUM(F443:K443)=0,SUMIFS($L444:$L$1593,$B444:$B$1593,$B443,$A444:$A$1593,$A443),I443*K443)</f>
        <v>115.19999999999999</v>
      </c>
      <c r="N443"/>
      <c r="O443"/>
      <c r="P443" s="28"/>
      <c r="Q443" s="28"/>
      <c r="R443" s="28"/>
    </row>
    <row r="444" spans="1:18" outlineLevel="1">
      <c r="A444" s="24" t="str">
        <f t="shared" ref="A444:B444" si="150">A443</f>
        <v>GERAL</v>
      </c>
      <c r="B444" s="24" t="str">
        <f t="shared" si="150"/>
        <v>11º PAV. - LAZER 02</v>
      </c>
      <c r="C444" s="30" t="s">
        <v>221</v>
      </c>
      <c r="D444" s="83" t="s">
        <v>87</v>
      </c>
      <c r="E444" s="30" t="str">
        <f>'Lazer 2'!C38&amp;" "&amp;'Lazer 2'!D38</f>
        <v>Isolação em PVC (70ºC) 1.5 mm² - Amarelo</v>
      </c>
      <c r="F444" s="25">
        <f>'Lazer 2'!E38</f>
        <v>33.409999999999997</v>
      </c>
      <c r="G444" s="25">
        <v>1</v>
      </c>
      <c r="H444" s="25">
        <v>0</v>
      </c>
      <c r="I444" s="25">
        <f t="shared" si="134"/>
        <v>33.409999999999997</v>
      </c>
      <c r="J444" s="25" t="str">
        <f>'Lazer 2'!F38</f>
        <v>m</v>
      </c>
      <c r="K444" s="26">
        <f>_xlfn.XLOOKUP($E444,PREÇO!$C$7:$C$91,PREÇO!$E$7:$E$91)</f>
        <v>1.59</v>
      </c>
      <c r="L444" s="66">
        <f>IF(SUM(F444:K444)=0,SUMIFS($L445:$L$1593,$B445:$B$1593,$B444,$A445:$A$1593,$A444),I444*K444)</f>
        <v>53.121899999999997</v>
      </c>
      <c r="N444"/>
      <c r="O444"/>
      <c r="P444" s="28"/>
      <c r="Q444" s="28"/>
      <c r="R444" s="28"/>
    </row>
    <row r="445" spans="1:18" outlineLevel="1">
      <c r="A445" s="24" t="str">
        <f t="shared" ref="A445:B445" si="151">A444</f>
        <v>GERAL</v>
      </c>
      <c r="B445" s="24" t="str">
        <f t="shared" si="151"/>
        <v>11º PAV. - LAZER 02</v>
      </c>
      <c r="C445" s="30" t="s">
        <v>221</v>
      </c>
      <c r="D445" s="83" t="s">
        <v>87</v>
      </c>
      <c r="E445" s="30" t="str">
        <f>'Lazer 2'!C39&amp;" "&amp;'Lazer 2'!D39</f>
        <v>Isolação em PVC (70ºC) 1.5 mm² - Preto</v>
      </c>
      <c r="F445" s="25">
        <f>'Lazer 2'!E39</f>
        <v>16.71</v>
      </c>
      <c r="G445" s="25">
        <v>1</v>
      </c>
      <c r="H445" s="25">
        <v>0</v>
      </c>
      <c r="I445" s="25">
        <f t="shared" si="134"/>
        <v>16.71</v>
      </c>
      <c r="J445" s="25" t="str">
        <f>'Lazer 2'!F39</f>
        <v>m</v>
      </c>
      <c r="K445" s="26">
        <f>_xlfn.XLOOKUP($E445,PREÇO!$C$7:$C$91,PREÇO!$E$7:$E$91)</f>
        <v>1.59</v>
      </c>
      <c r="L445" s="66">
        <f>IF(SUM(F445:K445)=0,SUMIFS($L446:$L$1593,$B446:$B$1593,$B445,$A446:$A$1593,$A445),I445*K445)</f>
        <v>26.568900000000003</v>
      </c>
      <c r="N445"/>
      <c r="O445"/>
      <c r="P445" s="28"/>
      <c r="Q445" s="28"/>
      <c r="R445" s="28"/>
    </row>
    <row r="446" spans="1:18" outlineLevel="1">
      <c r="A446" s="24" t="str">
        <f t="shared" ref="A446:B446" si="152">A445</f>
        <v>GERAL</v>
      </c>
      <c r="B446" s="24" t="str">
        <f t="shared" si="152"/>
        <v>11º PAV. - LAZER 02</v>
      </c>
      <c r="C446" s="30" t="s">
        <v>221</v>
      </c>
      <c r="D446" s="83" t="s">
        <v>87</v>
      </c>
      <c r="E446" s="30" t="str">
        <f>'Lazer 2'!C40&amp;" "&amp;'Lazer 2'!D40</f>
        <v>Isolação em PVC (70ºC) 1.5 mm² - Vermelho</v>
      </c>
      <c r="F446" s="25">
        <f>'Lazer 2'!E40</f>
        <v>16.71</v>
      </c>
      <c r="G446" s="25">
        <v>1</v>
      </c>
      <c r="H446" s="25">
        <v>0</v>
      </c>
      <c r="I446" s="25">
        <f t="shared" si="134"/>
        <v>16.71</v>
      </c>
      <c r="J446" s="25" t="str">
        <f>'Lazer 2'!F40</f>
        <v>m</v>
      </c>
      <c r="K446" s="26">
        <f>_xlfn.XLOOKUP($E446,PREÇO!$C$7:$C$91,PREÇO!$E$7:$E$91)</f>
        <v>1.59</v>
      </c>
      <c r="L446" s="66">
        <f>IF(SUM(F446:K446)=0,SUMIFS($L447:$L$1593,$B447:$B$1593,$B446,$A447:$A$1593,$A446),I446*K446)</f>
        <v>26.568900000000003</v>
      </c>
      <c r="N446"/>
      <c r="O446"/>
      <c r="P446" s="28"/>
      <c r="Q446" s="28"/>
      <c r="R446" s="28"/>
    </row>
    <row r="447" spans="1:18" outlineLevel="1">
      <c r="A447" s="24" t="str">
        <f t="shared" ref="A447:B447" si="153">A446</f>
        <v>GERAL</v>
      </c>
      <c r="B447" s="24" t="str">
        <f t="shared" si="153"/>
        <v>11º PAV. - LAZER 02</v>
      </c>
      <c r="C447" s="30" t="s">
        <v>221</v>
      </c>
      <c r="D447" s="83" t="s">
        <v>87</v>
      </c>
      <c r="E447" s="30" t="str">
        <f>'Lazer 2'!C41&amp;" "&amp;'Lazer 2'!D41</f>
        <v>Isolação em PVC (70ºC) 2.5 mm² - Amarelo</v>
      </c>
      <c r="F447" s="25">
        <f>'Lazer 2'!E41</f>
        <v>45.64</v>
      </c>
      <c r="G447" s="25">
        <v>1</v>
      </c>
      <c r="H447" s="25">
        <v>0</v>
      </c>
      <c r="I447" s="25">
        <f t="shared" si="134"/>
        <v>45.64</v>
      </c>
      <c r="J447" s="25" t="str">
        <f>'Lazer 2'!F41</f>
        <v>m</v>
      </c>
      <c r="K447" s="26">
        <f>_xlfn.XLOOKUP($E447,PREÇO!$C$7:$C$91,PREÇO!$E$7:$E$91)</f>
        <v>2.19</v>
      </c>
      <c r="L447" s="66">
        <f>IF(SUM(F447:K447)=0,SUMIFS($L448:$L$1593,$B448:$B$1593,$B447,$A448:$A$1593,$A447),I447*K447)</f>
        <v>99.951599999999999</v>
      </c>
      <c r="N447"/>
      <c r="O447"/>
      <c r="P447" s="28"/>
      <c r="Q447" s="28"/>
      <c r="R447" s="28"/>
    </row>
    <row r="448" spans="1:18" outlineLevel="1">
      <c r="A448" s="24" t="str">
        <f t="shared" ref="A448:B448" si="154">A447</f>
        <v>GERAL</v>
      </c>
      <c r="B448" s="24" t="str">
        <f t="shared" si="154"/>
        <v>11º PAV. - LAZER 02</v>
      </c>
      <c r="C448" s="30" t="s">
        <v>221</v>
      </c>
      <c r="D448" s="83" t="s">
        <v>87</v>
      </c>
      <c r="E448" s="30" t="str">
        <f>'Lazer 2'!C42&amp;" "&amp;'Lazer 2'!D42</f>
        <v>Isolação em PVC (70ºC) 2.5 mm² - Preto</v>
      </c>
      <c r="F448" s="25">
        <f>'Lazer 2'!E42</f>
        <v>122.03</v>
      </c>
      <c r="G448" s="25">
        <v>1</v>
      </c>
      <c r="H448" s="25">
        <v>0</v>
      </c>
      <c r="I448" s="25">
        <f t="shared" si="134"/>
        <v>122.03</v>
      </c>
      <c r="J448" s="25" t="str">
        <f>'Lazer 2'!F42</f>
        <v>m</v>
      </c>
      <c r="K448" s="26">
        <f>_xlfn.XLOOKUP($E448,PREÇO!$C$7:$C$91,PREÇO!$E$7:$E$91)</f>
        <v>2.19</v>
      </c>
      <c r="L448" s="66">
        <f>IF(SUM(F448:K448)=0,SUMIFS($L449:$L$1593,$B449:$B$1593,$B448,$A449:$A$1593,$A448),I448*K448)</f>
        <v>267.2457</v>
      </c>
      <c r="N448"/>
      <c r="O448"/>
      <c r="P448" s="28"/>
      <c r="Q448" s="28"/>
      <c r="R448" s="28"/>
    </row>
    <row r="449" spans="1:18" outlineLevel="1">
      <c r="A449" s="24" t="str">
        <f t="shared" ref="A449:B449" si="155">A448</f>
        <v>GERAL</v>
      </c>
      <c r="B449" s="24" t="str">
        <f t="shared" si="155"/>
        <v>11º PAV. - LAZER 02</v>
      </c>
      <c r="C449" s="30" t="s">
        <v>221</v>
      </c>
      <c r="D449" s="83" t="s">
        <v>87</v>
      </c>
      <c r="E449" s="30" t="str">
        <f>'Lazer 2'!C43&amp;" "&amp;'Lazer 2'!D43</f>
        <v>Isolação em PVC (70ºC) 2.5 mm² - Vermelho</v>
      </c>
      <c r="F449" s="25">
        <f>'Lazer 2'!E43</f>
        <v>122.03</v>
      </c>
      <c r="G449" s="25">
        <v>1</v>
      </c>
      <c r="H449" s="25">
        <v>0</v>
      </c>
      <c r="I449" s="25">
        <f t="shared" si="134"/>
        <v>122.03</v>
      </c>
      <c r="J449" s="25" t="str">
        <f>'Lazer 2'!F43</f>
        <v>m</v>
      </c>
      <c r="K449" s="26">
        <f>_xlfn.XLOOKUP($E449,PREÇO!$C$7:$C$91,PREÇO!$E$7:$E$91)</f>
        <v>2.19</v>
      </c>
      <c r="L449" s="66">
        <f>IF(SUM(F449:K449)=0,SUMIFS($L450:$L$1593,$B450:$B$1593,$B449,$A450:$A$1593,$A449),I449*K449)</f>
        <v>267.2457</v>
      </c>
      <c r="N449"/>
      <c r="O449"/>
      <c r="P449" s="28"/>
      <c r="Q449" s="28"/>
      <c r="R449" s="28"/>
    </row>
    <row r="450" spans="1:18" outlineLevel="1">
      <c r="A450" s="24" t="str">
        <f t="shared" ref="A450:B450" si="156">A449</f>
        <v>GERAL</v>
      </c>
      <c r="B450" s="24" t="str">
        <f t="shared" si="156"/>
        <v>11º PAV. - LAZER 02</v>
      </c>
      <c r="C450" s="30" t="s">
        <v>221</v>
      </c>
      <c r="D450" s="83" t="s">
        <v>87</v>
      </c>
      <c r="E450" s="30" t="str">
        <f>'Lazer 2'!C44&amp;" "&amp;'Lazer 2'!D44</f>
        <v>Isolação em PVC (70ºC) 4 mm² - Preto</v>
      </c>
      <c r="F450" s="25">
        <f>'Lazer 2'!E44</f>
        <v>243.12</v>
      </c>
      <c r="G450" s="25">
        <v>1</v>
      </c>
      <c r="H450" s="25">
        <v>0</v>
      </c>
      <c r="I450" s="25">
        <f t="shared" si="134"/>
        <v>243.12</v>
      </c>
      <c r="J450" s="25" t="str">
        <f>'Lazer 2'!F44</f>
        <v>m</v>
      </c>
      <c r="K450" s="26">
        <f>_xlfn.XLOOKUP($E450,PREÇO!$C$7:$C$91,PREÇO!$E$7:$E$91)</f>
        <v>3.89</v>
      </c>
      <c r="L450" s="66">
        <f>IF(SUM(F450:K450)=0,SUMIFS($L451:$L$1593,$B451:$B$1593,$B450,$A451:$A$1593,$A450),I450*K450)</f>
        <v>945.73680000000002</v>
      </c>
      <c r="N450"/>
      <c r="O450"/>
      <c r="P450" s="28"/>
      <c r="Q450" s="28"/>
      <c r="R450" s="28"/>
    </row>
    <row r="451" spans="1:18" outlineLevel="1">
      <c r="A451" s="24" t="str">
        <f t="shared" ref="A451:B451" si="157">A450</f>
        <v>GERAL</v>
      </c>
      <c r="B451" s="24" t="str">
        <f t="shared" si="157"/>
        <v>11º PAV. - LAZER 02</v>
      </c>
      <c r="C451" s="30" t="s">
        <v>221</v>
      </c>
      <c r="D451" s="83" t="s">
        <v>87</v>
      </c>
      <c r="E451" s="30" t="str">
        <f>'Lazer 2'!C45&amp;" "&amp;'Lazer 2'!D45</f>
        <v>Isolação em PVC (70ºC) 4 mm² - Vermelho</v>
      </c>
      <c r="F451" s="25">
        <f>'Lazer 2'!E45</f>
        <v>243.12</v>
      </c>
      <c r="G451" s="25">
        <v>1</v>
      </c>
      <c r="H451" s="25">
        <v>0</v>
      </c>
      <c r="I451" s="25">
        <f t="shared" si="134"/>
        <v>243.12</v>
      </c>
      <c r="J451" s="25" t="str">
        <f>'Lazer 2'!F45</f>
        <v>m</v>
      </c>
      <c r="K451" s="26">
        <f>_xlfn.XLOOKUP($E451,PREÇO!$C$7:$C$91,PREÇO!$E$7:$E$91)</f>
        <v>3.89</v>
      </c>
      <c r="L451" s="66">
        <f>IF(SUM(F451:K451)=0,SUMIFS($L452:$L$1593,$B452:$B$1593,$B451,$A452:$A$1593,$A451),I451*K451)</f>
        <v>945.73680000000002</v>
      </c>
      <c r="N451"/>
      <c r="O451"/>
      <c r="P451" s="28"/>
      <c r="Q451" s="28"/>
      <c r="R451" s="28"/>
    </row>
    <row r="452" spans="1:18" outlineLevel="1">
      <c r="A452" s="24" t="str">
        <f t="shared" ref="A452:B452" si="158">A451</f>
        <v>GERAL</v>
      </c>
      <c r="B452" s="24" t="str">
        <f t="shared" si="158"/>
        <v>11º PAV. - LAZER 02</v>
      </c>
      <c r="C452" s="30" t="s">
        <v>221</v>
      </c>
      <c r="D452" s="83" t="s">
        <v>46</v>
      </c>
      <c r="E452" s="30" t="str">
        <f>'Lazer 2'!C49&amp;" "&amp;'Lazer 2'!D49</f>
        <v>PVC Flexível Antichama - NBR 15465 ø1"</v>
      </c>
      <c r="F452" s="25">
        <f>'Lazer 2'!E49</f>
        <v>79.66</v>
      </c>
      <c r="G452" s="25">
        <v>1</v>
      </c>
      <c r="H452" s="25">
        <v>0</v>
      </c>
      <c r="I452" s="25">
        <f t="shared" si="134"/>
        <v>79.66</v>
      </c>
      <c r="J452" s="25" t="str">
        <f>'Lazer 2'!F49</f>
        <v>m</v>
      </c>
      <c r="K452" s="26">
        <f>_xlfn.XLOOKUP($E452,PREÇO!$C$7:$C$91,PREÇO!$E$7:$E$91)</f>
        <v>2.5299999999999998</v>
      </c>
      <c r="L452" s="66">
        <f>IF(SUM(F452:K452)=0,SUMIFS($L453:$L$1593,$B453:$B$1593,$B452,$A453:$A$1593,$A452),I452*K452)</f>
        <v>201.53979999999999</v>
      </c>
      <c r="N452"/>
      <c r="O452"/>
      <c r="P452" s="28"/>
      <c r="Q452" s="28"/>
      <c r="R452" s="28"/>
    </row>
    <row r="453" spans="1:18" outlineLevel="1">
      <c r="A453" s="24" t="str">
        <f t="shared" ref="A453:B453" si="159">A452</f>
        <v>GERAL</v>
      </c>
      <c r="B453" s="24" t="str">
        <f t="shared" si="159"/>
        <v>11º PAV. - LAZER 02</v>
      </c>
      <c r="C453" s="30" t="s">
        <v>221</v>
      </c>
      <c r="D453" s="83" t="s">
        <v>89</v>
      </c>
      <c r="E453" s="30" t="str">
        <f>'Lazer 2'!C52&amp;" "&amp;'Lazer 2'!D52</f>
        <v>Classe A - PVC Anti-chama - 105ºC - Isolação 600V 0.75 mm²</v>
      </c>
      <c r="F453" s="25">
        <f>'Lazer 2'!E52</f>
        <v>68.34</v>
      </c>
      <c r="G453" s="25">
        <v>1</v>
      </c>
      <c r="H453" s="25">
        <v>0</v>
      </c>
      <c r="I453" s="25">
        <f t="shared" si="134"/>
        <v>68.34</v>
      </c>
      <c r="J453" s="25" t="str">
        <f>'Lazer 2'!F52</f>
        <v>m</v>
      </c>
      <c r="K453" s="26">
        <f>_xlfn.XLOOKUP($E453,PREÇO!$C$7:$C$91,PREÇO!$E$7:$E$91)</f>
        <v>0.99</v>
      </c>
      <c r="L453" s="66">
        <f>IF(SUM(F453:K453)=0,SUMIFS($L454:$L$1593,$B454:$B$1593,$B453,$A454:$A$1593,$A453),I453*K453)</f>
        <v>67.656599999999997</v>
      </c>
      <c r="N453"/>
      <c r="O453"/>
      <c r="P453" s="28"/>
      <c r="Q453" s="28"/>
      <c r="R453" s="28"/>
    </row>
    <row r="454" spans="1:18" ht="15.75" outlineLevel="1" thickBot="1">
      <c r="A454" s="24" t="str">
        <f t="shared" ref="A454:B454" si="160">A453</f>
        <v>GERAL</v>
      </c>
      <c r="B454" s="24" t="str">
        <f t="shared" si="160"/>
        <v>11º PAV. - LAZER 02</v>
      </c>
      <c r="C454" s="30" t="s">
        <v>221</v>
      </c>
      <c r="D454" s="83" t="s">
        <v>89</v>
      </c>
      <c r="E454" s="30" t="str">
        <f>'Lazer 2'!C53&amp;" "&amp;'Lazer 2'!D53</f>
        <v>Classe B - PVC Anti-chama - 105ºC - Isolação 600V 1.5 mm²</v>
      </c>
      <c r="F454" s="25">
        <f>'Lazer 2'!E53</f>
        <v>47.68</v>
      </c>
      <c r="G454" s="25">
        <v>1</v>
      </c>
      <c r="H454" s="25">
        <v>0</v>
      </c>
      <c r="I454" s="25">
        <f t="shared" si="134"/>
        <v>47.68</v>
      </c>
      <c r="J454" s="25" t="str">
        <f>'Lazer 2'!F53</f>
        <v>m</v>
      </c>
      <c r="K454" s="26">
        <f>_xlfn.XLOOKUP($E454,PREÇO!$C$7:$C$91,PREÇO!$E$7:$E$91)</f>
        <v>1.69</v>
      </c>
      <c r="L454" s="66">
        <f>IF(SUM(F454:K454)=0,SUMIFS($L455:$L$1593,$B455:$B$1593,$B454,$A455:$A$1593,$A454),I454*K454)</f>
        <v>80.5792</v>
      </c>
      <c r="N454"/>
      <c r="O454"/>
      <c r="P454" s="28"/>
      <c r="Q454" s="28"/>
      <c r="R454" s="28"/>
    </row>
    <row r="455" spans="1:18" ht="15.75" thickTop="1">
      <c r="A455" s="82" t="str">
        <f t="shared" ref="A455:B460" si="161">A454</f>
        <v>GERAL</v>
      </c>
      <c r="B455" s="82" t="s">
        <v>144</v>
      </c>
      <c r="C455" s="43"/>
      <c r="D455" s="44" t="str">
        <f>'Lazer 2'!C54</f>
        <v/>
      </c>
      <c r="E455" s="44" t="str">
        <f>'Lazer 2'!D54</f>
        <v/>
      </c>
      <c r="F455" s="44" t="str">
        <f>'Lazer 2'!E54</f>
        <v/>
      </c>
      <c r="G455" s="45"/>
      <c r="H455" s="45"/>
      <c r="I455" s="45"/>
      <c r="J455" s="45"/>
      <c r="K455" s="47"/>
      <c r="L455" s="48">
        <f>IF(SUM(F455:K455)=0,SUMIFS($L456:$L$1593,$B456:$B$1593,$B455,$A456:$A$1593,$A455),I455*K455)</f>
        <v>6939.172099999998</v>
      </c>
      <c r="N455"/>
      <c r="O455"/>
      <c r="P455" s="28"/>
      <c r="Q455" s="28"/>
      <c r="R455" s="28"/>
    </row>
    <row r="456" spans="1:18" outlineLevel="1">
      <c r="A456" s="24" t="str">
        <f t="shared" si="161"/>
        <v>GERAL</v>
      </c>
      <c r="B456" s="24" t="str">
        <f t="shared" si="161"/>
        <v>12º PAV. - ÁREA TÉCNICA 01</v>
      </c>
      <c r="C456" s="30" t="s">
        <v>221</v>
      </c>
      <c r="D456" s="30" t="str">
        <f>'Técnico 1'!C6</f>
        <v>Acionadores</v>
      </c>
      <c r="E456" s="30" t="str">
        <f>'Técnico 1'!D6</f>
        <v>Acionador Manual de Alarme de Incêndio</v>
      </c>
      <c r="F456" s="25">
        <f>'Técnico 1'!E6</f>
        <v>1</v>
      </c>
      <c r="G456" s="25">
        <v>1</v>
      </c>
      <c r="H456" s="25">
        <v>0</v>
      </c>
      <c r="I456" s="25">
        <f t="shared" si="134"/>
        <v>1</v>
      </c>
      <c r="J456" s="25" t="str">
        <f>'Técnico 1'!F6</f>
        <v>pç</v>
      </c>
      <c r="K456" s="26">
        <f>_xlfn.XLOOKUP($E456,PREÇO!$C$7:$C$91,PREÇO!$E$7:$E$91)</f>
        <v>65</v>
      </c>
      <c r="L456" s="66">
        <f>IF(SUM(F456:K456)=0,SUMIFS($L457:$L$1593,$B457:$B$1593,$B456,$A457:$A$1593,$A456),I456*K456)</f>
        <v>65</v>
      </c>
      <c r="N456"/>
      <c r="O456"/>
      <c r="P456" s="28"/>
      <c r="Q456" s="28"/>
      <c r="R456" s="28"/>
    </row>
    <row r="457" spans="1:18" outlineLevel="1">
      <c r="A457" s="24" t="str">
        <f t="shared" si="161"/>
        <v>GERAL</v>
      </c>
      <c r="B457" s="24" t="str">
        <f t="shared" si="161"/>
        <v>12º PAV. - ÁREA TÉCNICA 01</v>
      </c>
      <c r="C457" s="30" t="s">
        <v>221</v>
      </c>
      <c r="D457" s="30" t="str">
        <f>'Técnico 1'!C7</f>
        <v>Anunciadores</v>
      </c>
      <c r="E457" s="30" t="str">
        <f>'Técnico 1'!D7</f>
        <v>Anunciador Audiovisual de Alarme de Incêndio de Parede</v>
      </c>
      <c r="F457" s="25">
        <f>'Técnico 1'!E7</f>
        <v>1</v>
      </c>
      <c r="G457" s="25">
        <v>1</v>
      </c>
      <c r="H457" s="25">
        <v>0</v>
      </c>
      <c r="I457" s="25">
        <f t="shared" ref="I457:I473" si="162">(F457+H457*F457)*G457</f>
        <v>1</v>
      </c>
      <c r="J457" s="25" t="str">
        <f>'Técnico 1'!F7</f>
        <v>pç</v>
      </c>
      <c r="K457" s="26">
        <f>_xlfn.XLOOKUP($E457,PREÇO!$C$7:$C$91,PREÇO!$E$7:$E$91)</f>
        <v>191.81</v>
      </c>
      <c r="L457" s="66">
        <f>IF(SUM(F457:K457)=0,SUMIFS($L458:$L$1593,$B458:$B$1593,$B457,$A458:$A$1593,$A457),I457*K457)</f>
        <v>191.81</v>
      </c>
      <c r="N457"/>
      <c r="O457"/>
      <c r="P457" s="28"/>
      <c r="Q457" s="28"/>
      <c r="R457" s="28"/>
    </row>
    <row r="458" spans="1:18" outlineLevel="1">
      <c r="A458" s="24" t="str">
        <f t="shared" si="161"/>
        <v>GERAL</v>
      </c>
      <c r="B458" s="24" t="str">
        <f t="shared" si="161"/>
        <v>12º PAV. - ÁREA TÉCNICA 01</v>
      </c>
      <c r="C458" s="30" t="s">
        <v>221</v>
      </c>
      <c r="D458" s="30" t="str">
        <f>'Técnico 1'!C8</f>
        <v>Atuadores</v>
      </c>
      <c r="E458" s="30" t="str">
        <f>'Técnico 1'!D8</f>
        <v>Atuador Janela Desenfumagem</v>
      </c>
      <c r="F458" s="25">
        <f>'Técnico 1'!E8</f>
        <v>1</v>
      </c>
      <c r="G458" s="25">
        <v>1</v>
      </c>
      <c r="H458" s="25">
        <v>0</v>
      </c>
      <c r="I458" s="25">
        <f t="shared" si="162"/>
        <v>1</v>
      </c>
      <c r="J458" s="25" t="str">
        <f>'Técnico 1'!F8</f>
        <v>pç</v>
      </c>
      <c r="K458" s="26">
        <f>_xlfn.XLOOKUP($E458,PREÇO!$C$7:$C$91,PREÇO!$E$7:$E$91)</f>
        <v>1150</v>
      </c>
      <c r="L458" s="66">
        <f>IF(SUM(F458:K458)=0,SUMIFS($L459:$L$1593,$B459:$B$1593,$B458,$A459:$A$1593,$A458),I458*K458)</f>
        <v>1150</v>
      </c>
      <c r="N458"/>
      <c r="O458"/>
      <c r="P458" s="28"/>
      <c r="Q458" s="28"/>
      <c r="R458" s="28"/>
    </row>
    <row r="459" spans="1:18" outlineLevel="1">
      <c r="A459" s="24" t="str">
        <f t="shared" si="161"/>
        <v>GERAL</v>
      </c>
      <c r="B459" s="24" t="str">
        <f t="shared" si="161"/>
        <v>12º PAV. - ÁREA TÉCNICA 01</v>
      </c>
      <c r="C459" s="30" t="s">
        <v>221</v>
      </c>
      <c r="D459" s="30" t="str">
        <f>'Técnico 1'!C9</f>
        <v>Atuadores</v>
      </c>
      <c r="E459" s="30" t="str">
        <f>'Técnico 1'!D9</f>
        <v>Dispositivo Eletromagnético de Porta Aberta</v>
      </c>
      <c r="F459" s="25">
        <f>'Técnico 1'!E9</f>
        <v>1</v>
      </c>
      <c r="G459" s="25">
        <v>1</v>
      </c>
      <c r="H459" s="25">
        <v>0</v>
      </c>
      <c r="I459" s="25">
        <f t="shared" si="162"/>
        <v>1</v>
      </c>
      <c r="J459" s="25" t="str">
        <f>'Técnico 1'!F9</f>
        <v>pç</v>
      </c>
      <c r="K459" s="26">
        <f>_xlfn.XLOOKUP($E459,PREÇO!$C$7:$C$91,PREÇO!$E$7:$E$91)</f>
        <v>416.9</v>
      </c>
      <c r="L459" s="66">
        <f>IF(SUM(F459:K459)=0,SUMIFS($L460:$L$1593,$B460:$B$1593,$B459,$A460:$A$1593,$A459),I459*K459)</f>
        <v>416.9</v>
      </c>
      <c r="N459"/>
      <c r="O459"/>
      <c r="P459" s="28"/>
      <c r="Q459" s="28"/>
      <c r="R459" s="28"/>
    </row>
    <row r="460" spans="1:18" outlineLevel="1">
      <c r="A460" s="24" t="str">
        <f t="shared" si="161"/>
        <v>GERAL</v>
      </c>
      <c r="B460" s="24" t="str">
        <f t="shared" si="161"/>
        <v>12º PAV. - ÁREA TÉCNICA 01</v>
      </c>
      <c r="C460" s="30" t="s">
        <v>221</v>
      </c>
      <c r="D460" s="30" t="str">
        <f>'Técnico 1'!C10</f>
        <v>Sensores</v>
      </c>
      <c r="E460" s="30" t="str">
        <f>'Técnico 1'!D10</f>
        <v>Sensor de Fumaça</v>
      </c>
      <c r="F460" s="25">
        <f>'Técnico 1'!E10</f>
        <v>4</v>
      </c>
      <c r="G460" s="25">
        <v>1</v>
      </c>
      <c r="H460" s="25">
        <v>0</v>
      </c>
      <c r="I460" s="25">
        <f t="shared" si="162"/>
        <v>4</v>
      </c>
      <c r="J460" s="25" t="str">
        <f>'Técnico 1'!F10</f>
        <v>pç</v>
      </c>
      <c r="K460" s="26">
        <f>_xlfn.XLOOKUP($E460,PREÇO!$C$7:$C$91,PREÇO!$E$7:$E$91)</f>
        <v>53.9</v>
      </c>
      <c r="L460" s="66">
        <f>IF(SUM(F460:K460)=0,SUMIFS($L461:$L$1593,$B461:$B$1593,$B460,$A461:$A$1593,$A460),I460*K460)</f>
        <v>215.6</v>
      </c>
      <c r="N460"/>
      <c r="O460"/>
      <c r="P460" s="28"/>
      <c r="Q460" s="28"/>
      <c r="R460" s="28"/>
    </row>
    <row r="461" spans="1:18" outlineLevel="1">
      <c r="A461" s="24" t="str">
        <f t="shared" ref="A461:B461" si="163">A460</f>
        <v>GERAL</v>
      </c>
      <c r="B461" s="24" t="str">
        <f t="shared" si="163"/>
        <v>12º PAV. - ÁREA TÉCNICA 01</v>
      </c>
      <c r="C461" s="30" t="s">
        <v>221</v>
      </c>
      <c r="D461" s="30" t="str">
        <f>'Técnico 1'!C13</f>
        <v>Caixas</v>
      </c>
      <c r="E461" s="30" t="str">
        <f>'Técnico 1'!D13</f>
        <v>Caixa Octogonal Padrão NBR IEC 60670</v>
      </c>
      <c r="F461" s="25">
        <f>'Técnico 1'!E13</f>
        <v>12</v>
      </c>
      <c r="G461" s="25">
        <v>1</v>
      </c>
      <c r="H461" s="25">
        <v>0</v>
      </c>
      <c r="I461" s="25">
        <f t="shared" si="162"/>
        <v>12</v>
      </c>
      <c r="J461" s="25" t="str">
        <f>'Técnico 1'!F13</f>
        <v>pç</v>
      </c>
      <c r="K461" s="26">
        <f>_xlfn.XLOOKUP($E461,PREÇO!$C$7:$C$91,PREÇO!$E$7:$E$91)</f>
        <v>5.32</v>
      </c>
      <c r="L461" s="66">
        <f>IF(SUM(F461:K461)=0,SUMIFS($L462:$L$1593,$B462:$B$1593,$B461,$A462:$A$1593,$A461),I461*K461)</f>
        <v>63.84</v>
      </c>
      <c r="N461"/>
      <c r="O461"/>
      <c r="P461" s="28"/>
      <c r="Q461" s="28"/>
      <c r="R461" s="28"/>
    </row>
    <row r="462" spans="1:18" outlineLevel="1">
      <c r="A462" s="24" t="str">
        <f t="shared" ref="A462:B462" si="164">A461</f>
        <v>GERAL</v>
      </c>
      <c r="B462" s="24" t="str">
        <f t="shared" si="164"/>
        <v>12º PAV. - ÁREA TÉCNICA 01</v>
      </c>
      <c r="C462" s="30" t="s">
        <v>221</v>
      </c>
      <c r="D462" s="30" t="str">
        <f>'Técnico 1'!C16</f>
        <v>Caixas</v>
      </c>
      <c r="E462" s="30" t="str">
        <f>'Técnico 1'!D16</f>
        <v>Caixa 4x2" de Embutir em PVC Padrão NBR IEC 60670</v>
      </c>
      <c r="F462" s="25">
        <f>'Técnico 1'!E16</f>
        <v>16</v>
      </c>
      <c r="G462" s="25">
        <v>1</v>
      </c>
      <c r="H462" s="25">
        <v>0</v>
      </c>
      <c r="I462" s="25">
        <f t="shared" si="162"/>
        <v>16</v>
      </c>
      <c r="J462" s="25" t="str">
        <f>'Técnico 1'!F16</f>
        <v>pç</v>
      </c>
      <c r="K462" s="26">
        <f>_xlfn.XLOOKUP($E462,PREÇO!$C$7:$C$91,PREÇO!$E$7:$E$91)</f>
        <v>1.72</v>
      </c>
      <c r="L462" s="66">
        <f>IF(SUM(F462:K462)=0,SUMIFS($L463:$L$1593,$B463:$B$1593,$B462,$A463:$A$1593,$A462),I462*K462)</f>
        <v>27.52</v>
      </c>
      <c r="N462"/>
      <c r="O462"/>
      <c r="P462" s="28"/>
      <c r="Q462" s="28"/>
      <c r="R462" s="28"/>
    </row>
    <row r="463" spans="1:18" outlineLevel="1">
      <c r="A463" s="24" t="str">
        <f t="shared" ref="A463:B463" si="165">A462</f>
        <v>GERAL</v>
      </c>
      <c r="B463" s="24" t="str">
        <f t="shared" si="165"/>
        <v>12º PAV. - ÁREA TÉCNICA 01</v>
      </c>
      <c r="C463" s="30" t="s">
        <v>221</v>
      </c>
      <c r="D463" s="30" t="str">
        <f>'Técnico 1'!C17</f>
        <v>Placas</v>
      </c>
      <c r="E463" s="30" t="str">
        <f>'Técnico 1'!D17</f>
        <v>Placa 4x2" cega Padrão NBR IEC 60670</v>
      </c>
      <c r="F463" s="25">
        <f>'Técnico 1'!E17</f>
        <v>8</v>
      </c>
      <c r="G463" s="25">
        <v>1</v>
      </c>
      <c r="H463" s="25">
        <v>0</v>
      </c>
      <c r="I463" s="25">
        <f t="shared" si="162"/>
        <v>8</v>
      </c>
      <c r="J463" s="25" t="str">
        <f>'Técnico 1'!F17</f>
        <v>pç</v>
      </c>
      <c r="K463" s="26">
        <f>_xlfn.XLOOKUP($E463,PREÇO!$C$7:$C$91,PREÇO!$E$7:$E$91)</f>
        <v>4.59</v>
      </c>
      <c r="L463" s="66">
        <f>IF(SUM(F463:K463)=0,SUMIFS($L464:$L$1593,$B464:$B$1593,$B463,$A464:$A$1593,$A463),I463*K463)</f>
        <v>36.72</v>
      </c>
      <c r="N463"/>
      <c r="O463"/>
      <c r="P463" s="28"/>
      <c r="Q463" s="28"/>
      <c r="R463" s="28"/>
    </row>
    <row r="464" spans="1:18" outlineLevel="1">
      <c r="A464" s="24" t="str">
        <f t="shared" ref="A464:B464" si="166">A463</f>
        <v>GERAL</v>
      </c>
      <c r="B464" s="24" t="str">
        <f t="shared" si="166"/>
        <v>12º PAV. - ÁREA TÉCNICA 01</v>
      </c>
      <c r="C464" s="30" t="s">
        <v>221</v>
      </c>
      <c r="D464" s="30" t="str">
        <f>'Técnico 1'!C18</f>
        <v>Placas</v>
      </c>
      <c r="E464" s="30" t="str">
        <f>'Técnico 1'!D18</f>
        <v>Placa 4x2" com furo para saída de cabos Padrão NBR IEC 60670</v>
      </c>
      <c r="F464" s="25">
        <f>'Técnico 1'!E18</f>
        <v>8</v>
      </c>
      <c r="G464" s="25">
        <v>1</v>
      </c>
      <c r="H464" s="25">
        <v>0</v>
      </c>
      <c r="I464" s="25">
        <f t="shared" si="162"/>
        <v>8</v>
      </c>
      <c r="J464" s="25" t="str">
        <f>'Técnico 1'!F18</f>
        <v>pç</v>
      </c>
      <c r="K464" s="26">
        <f>_xlfn.XLOOKUP($E464,PREÇO!$C$7:$C$91,PREÇO!$E$7:$E$91)</f>
        <v>6.55</v>
      </c>
      <c r="L464" s="66">
        <f>IF(SUM(F464:K464)=0,SUMIFS($L465:$L$1593,$B465:$B$1593,$B464,$A465:$A$1593,$A464),I464*K464)</f>
        <v>52.4</v>
      </c>
      <c r="N464"/>
      <c r="O464"/>
      <c r="P464" s="28"/>
      <c r="Q464" s="28"/>
      <c r="R464" s="28"/>
    </row>
    <row r="465" spans="1:18" outlineLevel="1">
      <c r="A465" s="24" t="str">
        <f t="shared" ref="A465:B465" si="167">A464</f>
        <v>GERAL</v>
      </c>
      <c r="B465" s="24" t="str">
        <f t="shared" si="167"/>
        <v>12º PAV. - ÁREA TÉCNICA 01</v>
      </c>
      <c r="C465" s="30" t="s">
        <v>221</v>
      </c>
      <c r="D465" s="30" t="str">
        <f>'Técnico 1'!C19</f>
        <v>Suportes</v>
      </c>
      <c r="E465" s="30" t="str">
        <f>'Técnico 1'!D19</f>
        <v>Suporte p/ caixa 4x2" Padrão NBR IEC 60670</v>
      </c>
      <c r="F465" s="25">
        <f>'Técnico 1'!E19</f>
        <v>16</v>
      </c>
      <c r="G465" s="25">
        <v>1</v>
      </c>
      <c r="H465" s="25">
        <v>0</v>
      </c>
      <c r="I465" s="25">
        <f t="shared" si="162"/>
        <v>16</v>
      </c>
      <c r="J465" s="25" t="str">
        <f>'Técnico 1'!F19</f>
        <v>pç</v>
      </c>
      <c r="K465" s="26">
        <f>_xlfn.XLOOKUP($E465,PREÇO!$C$7:$C$91,PREÇO!$E$7:$E$91)</f>
        <v>1.85</v>
      </c>
      <c r="L465" s="66">
        <f>IF(SUM(F465:K465)=0,SUMIFS($L466:$L$1593,$B466:$B$1593,$B465,$A466:$A$1593,$A465),I465*K465)</f>
        <v>29.6</v>
      </c>
      <c r="N465"/>
      <c r="O465"/>
      <c r="P465" s="28"/>
      <c r="Q465" s="28"/>
      <c r="R465" s="28"/>
    </row>
    <row r="466" spans="1:18" outlineLevel="1">
      <c r="A466" s="24" t="str">
        <f t="shared" ref="A466:B466" si="168">A465</f>
        <v>GERAL</v>
      </c>
      <c r="B466" s="24" t="str">
        <f t="shared" si="168"/>
        <v>12º PAV. - ÁREA TÉCNICA 01</v>
      </c>
      <c r="C466" s="30" t="s">
        <v>221</v>
      </c>
      <c r="D466" s="30" t="str">
        <f>'Técnico 1'!C22</f>
        <v>Embutir</v>
      </c>
      <c r="E466" s="30" t="str">
        <f>'Técnico 1'!D22</f>
        <v>Cx de passagem de embutir com dimensão de 50x50x15 cm</v>
      </c>
      <c r="F466" s="25">
        <f>'Técnico 1'!E22</f>
        <v>1</v>
      </c>
      <c r="G466" s="25">
        <v>1</v>
      </c>
      <c r="H466" s="25">
        <v>0</v>
      </c>
      <c r="I466" s="25">
        <f t="shared" si="162"/>
        <v>1</v>
      </c>
      <c r="J466" s="25" t="str">
        <f>'Técnico 1'!F22</f>
        <v>pç</v>
      </c>
      <c r="K466" s="26">
        <f>_xlfn.XLOOKUP($E466,PREÇO!$C$7:$C$91,PREÇO!$E$7:$E$91)</f>
        <v>291.60000000000002</v>
      </c>
      <c r="L466" s="66">
        <f>IF(SUM(F466:K466)=0,SUMIFS($L467:$L$1593,$B467:$B$1593,$B466,$A467:$A$1593,$A466),I466*K466)</f>
        <v>291.60000000000002</v>
      </c>
      <c r="N466"/>
      <c r="O466"/>
      <c r="P466" s="28"/>
      <c r="Q466" s="28"/>
      <c r="R466" s="28"/>
    </row>
    <row r="467" spans="1:18" outlineLevel="1">
      <c r="A467" s="24" t="str">
        <f t="shared" ref="A467:B467" si="169">A466</f>
        <v>GERAL</v>
      </c>
      <c r="B467" s="24" t="str">
        <f t="shared" si="169"/>
        <v>12º PAV. - ÁREA TÉCNICA 01</v>
      </c>
      <c r="C467" s="30" t="s">
        <v>221</v>
      </c>
      <c r="D467" s="83" t="s">
        <v>46</v>
      </c>
      <c r="E467" s="30" t="str">
        <f>'Técnico 1'!C25&amp;" "&amp;'Técnico 1'!D25</f>
        <v>PVC Flexível Antichama - NBR 15465 ø1"</v>
      </c>
      <c r="F467" s="25">
        <f>'Técnico 1'!E25</f>
        <v>4.1100000000000003</v>
      </c>
      <c r="G467" s="25">
        <v>1</v>
      </c>
      <c r="H467" s="25">
        <v>0</v>
      </c>
      <c r="I467" s="25">
        <f t="shared" si="162"/>
        <v>4.1100000000000003</v>
      </c>
      <c r="J467" s="25" t="str">
        <f>'Técnico 1'!F25</f>
        <v>m</v>
      </c>
      <c r="K467" s="26">
        <f>_xlfn.XLOOKUP($E467,PREÇO!$C$7:$C$91,PREÇO!$E$7:$E$91)</f>
        <v>2.5299999999999998</v>
      </c>
      <c r="L467" s="66">
        <f>IF(SUM(F467:K467)=0,SUMIFS($L468:$L$1593,$B468:$B$1593,$B467,$A468:$A$1593,$A467),I467*K467)</f>
        <v>10.398300000000001</v>
      </c>
      <c r="N467"/>
      <c r="O467"/>
      <c r="P467" s="28"/>
      <c r="Q467" s="28"/>
      <c r="R467" s="28"/>
    </row>
    <row r="468" spans="1:18" outlineLevel="1">
      <c r="A468" s="24" t="str">
        <f t="shared" ref="A468:B468" si="170">A467</f>
        <v>GERAL</v>
      </c>
      <c r="B468" s="24" t="str">
        <f t="shared" si="170"/>
        <v>12º PAV. - ÁREA TÉCNICA 01</v>
      </c>
      <c r="C468" s="30" t="s">
        <v>221</v>
      </c>
      <c r="D468" s="83" t="s">
        <v>46</v>
      </c>
      <c r="E468" s="30" t="str">
        <f>'Técnico 1'!C26&amp;" "&amp;'Técnico 1'!D26</f>
        <v>PVC Flexível Antichama - NBR 15465 ø3/4"</v>
      </c>
      <c r="F468" s="25">
        <f>'Técnico 1'!E26</f>
        <v>108.03</v>
      </c>
      <c r="G468" s="25">
        <v>1</v>
      </c>
      <c r="H468" s="25">
        <v>0</v>
      </c>
      <c r="I468" s="25">
        <f t="shared" si="162"/>
        <v>108.03</v>
      </c>
      <c r="J468" s="25" t="str">
        <f>'Técnico 1'!F26</f>
        <v>m</v>
      </c>
      <c r="K468" s="26">
        <f>_xlfn.XLOOKUP($E468,PREÇO!$C$7:$C$91,PREÇO!$E$7:$E$91)</f>
        <v>1.8</v>
      </c>
      <c r="L468" s="66">
        <f>IF(SUM(F468:K468)=0,SUMIFS($L469:$L$1593,$B469:$B$1593,$B468,$A469:$A$1593,$A468),I468*K468)</f>
        <v>194.45400000000001</v>
      </c>
      <c r="N468"/>
      <c r="O468"/>
      <c r="P468" s="28"/>
      <c r="Q468" s="28"/>
      <c r="R468" s="28"/>
    </row>
    <row r="469" spans="1:18" outlineLevel="1">
      <c r="A469" s="24" t="str">
        <f t="shared" ref="A469:B469" si="171">A468</f>
        <v>GERAL</v>
      </c>
      <c r="B469" s="24" t="str">
        <f t="shared" si="171"/>
        <v>12º PAV. - ÁREA TÉCNICA 01</v>
      </c>
      <c r="C469" s="30" t="s">
        <v>220</v>
      </c>
      <c r="D469" s="30" t="str">
        <f>'Técnico 1'!C29</f>
        <v>Luminárias e Placas de Saída</v>
      </c>
      <c r="E469" s="30" t="str">
        <f>'Técnico 1'!D29</f>
        <v>Luminária de Emergência 24V de Parede</v>
      </c>
      <c r="F469" s="25">
        <f>'Técnico 1'!E29</f>
        <v>8</v>
      </c>
      <c r="G469" s="25">
        <v>1</v>
      </c>
      <c r="H469" s="25">
        <v>0</v>
      </c>
      <c r="I469" s="25">
        <f t="shared" si="162"/>
        <v>8</v>
      </c>
      <c r="J469" s="25" t="str">
        <f>'Técnico 1'!F29</f>
        <v>pç</v>
      </c>
      <c r="K469" s="26">
        <f>_xlfn.XLOOKUP($E469,PREÇO!$C$7:$C$91,PREÇO!$E$7:$E$91)</f>
        <v>15.9</v>
      </c>
      <c r="L469" s="66">
        <f>IF(SUM(F469:K469)=0,SUMIFS($L470:$L$1593,$B470:$B$1593,$B469,$A470:$A$1593,$A469),I469*K469)</f>
        <v>127.2</v>
      </c>
      <c r="N469"/>
      <c r="O469"/>
      <c r="P469" s="28"/>
      <c r="Q469" s="28"/>
      <c r="R469" s="28"/>
    </row>
    <row r="470" spans="1:18" outlineLevel="1">
      <c r="A470" s="24" t="str">
        <f t="shared" ref="A470:B470" si="172">A469</f>
        <v>GERAL</v>
      </c>
      <c r="B470" s="24" t="str">
        <f t="shared" si="172"/>
        <v>12º PAV. - ÁREA TÉCNICA 01</v>
      </c>
      <c r="C470" s="30" t="s">
        <v>220</v>
      </c>
      <c r="D470" s="30" t="str">
        <f>'Técnico 1'!C30</f>
        <v>Luminárias e Placas de Saída</v>
      </c>
      <c r="E470" s="30" t="str">
        <f>'Técnico 1'!D30</f>
        <v>Luminária de Emergência 24V de Teto</v>
      </c>
      <c r="F470" s="25">
        <f>'Técnico 1'!E30</f>
        <v>5</v>
      </c>
      <c r="G470" s="25">
        <v>1</v>
      </c>
      <c r="H470" s="25">
        <v>0</v>
      </c>
      <c r="I470" s="25">
        <f t="shared" si="162"/>
        <v>5</v>
      </c>
      <c r="J470" s="25" t="str">
        <f>'Técnico 1'!F30</f>
        <v>pç</v>
      </c>
      <c r="K470" s="26">
        <f>_xlfn.XLOOKUP($E470,PREÇO!$C$7:$C$91,PREÇO!$E$7:$E$91)</f>
        <v>69.900000000000006</v>
      </c>
      <c r="L470" s="66">
        <f>IF(SUM(F470:K470)=0,SUMIFS($L471:$L$1593,$B471:$B$1593,$B470,$A471:$A$1593,$A470),I470*K470)</f>
        <v>349.5</v>
      </c>
      <c r="N470"/>
      <c r="O470"/>
      <c r="P470" s="28"/>
      <c r="Q470" s="28"/>
      <c r="R470" s="28"/>
    </row>
    <row r="471" spans="1:18" outlineLevel="1">
      <c r="A471" s="24" t="str">
        <f t="shared" ref="A471:B471" si="173">A470</f>
        <v>GERAL</v>
      </c>
      <c r="B471" s="24" t="str">
        <f t="shared" si="173"/>
        <v>12º PAV. - ÁREA TÉCNICA 01</v>
      </c>
      <c r="C471" s="24" t="s">
        <v>222</v>
      </c>
      <c r="D471" s="30" t="str">
        <f>'Técnico 1'!C31</f>
        <v>Luminárias e Placas de Saída</v>
      </c>
      <c r="E471" s="30" t="str">
        <f>'Técnico 1'!D31</f>
        <v>Placa de Saída 24V de Parede sem Direção</v>
      </c>
      <c r="F471" s="25">
        <f>'Técnico 1'!E31</f>
        <v>3</v>
      </c>
      <c r="G471" s="25">
        <v>1</v>
      </c>
      <c r="H471" s="25">
        <v>0</v>
      </c>
      <c r="I471" s="25">
        <f t="shared" si="162"/>
        <v>3</v>
      </c>
      <c r="J471" s="25" t="str">
        <f>'Técnico 1'!F31</f>
        <v>pç</v>
      </c>
      <c r="K471" s="26">
        <f>_xlfn.XLOOKUP($E471,PREÇO!$C$7:$C$91,PREÇO!$E$7:$E$91)</f>
        <v>61.66</v>
      </c>
      <c r="L471" s="66">
        <f>IF(SUM(F471:K471)=0,SUMIFS($L473:$L$1593,$B473:$B$1593,$B471,$A473:$A$1593,$A471),I471*K471)</f>
        <v>184.98</v>
      </c>
      <c r="N471"/>
      <c r="O471"/>
      <c r="P471" s="28"/>
      <c r="Q471" s="28"/>
      <c r="R471" s="28"/>
    </row>
    <row r="472" spans="1:18" outlineLevel="1">
      <c r="A472" s="116" t="str">
        <f>A470</f>
        <v>GERAL</v>
      </c>
      <c r="B472" s="116" t="str">
        <f>B471</f>
        <v>12º PAV. - ÁREA TÉCNICA 01</v>
      </c>
      <c r="C472" s="116" t="s">
        <v>222</v>
      </c>
      <c r="D472" s="116" t="s">
        <v>223</v>
      </c>
      <c r="E472" s="116" t="s">
        <v>224</v>
      </c>
      <c r="F472" s="117">
        <v>4</v>
      </c>
      <c r="G472" s="117">
        <f>G471</f>
        <v>1</v>
      </c>
      <c r="H472" s="118">
        <v>0</v>
      </c>
      <c r="I472" s="117">
        <f t="shared" si="162"/>
        <v>4</v>
      </c>
      <c r="J472" s="117" t="s">
        <v>11</v>
      </c>
      <c r="K472" s="119">
        <f>_xlfn.XLOOKUP($E472,PREÇO!$C$7:$C$91,PREÇO!$E$7:$E$91)</f>
        <v>646.55999999999995</v>
      </c>
      <c r="L472" s="120">
        <f>IF(SUM(F472:K472)=0,SUMIFS($L473:$L$1593,$B473:$B$1593,$B472,$A473:$A$1593,$A472),I472*K472)</f>
        <v>2586.2399999999998</v>
      </c>
      <c r="N472"/>
      <c r="O472"/>
      <c r="P472" s="28"/>
      <c r="Q472" s="28"/>
      <c r="R472" s="28"/>
    </row>
    <row r="473" spans="1:18" outlineLevel="1">
      <c r="A473" s="24" t="str">
        <f t="shared" ref="A473:B473" si="174">A471</f>
        <v>GERAL</v>
      </c>
      <c r="B473" s="24" t="str">
        <f t="shared" si="174"/>
        <v>12º PAV. - ÁREA TÉCNICA 01</v>
      </c>
      <c r="C473" s="30" t="s">
        <v>220</v>
      </c>
      <c r="D473" s="30" t="str">
        <f>'Técnico 1'!C32</f>
        <v>Sensores de Presença</v>
      </c>
      <c r="E473" s="30" t="str">
        <f>'Técnico 1'!D32</f>
        <v>Sensor de Presença 24V de teto</v>
      </c>
      <c r="F473" s="25">
        <f>'Técnico 1'!E32</f>
        <v>3</v>
      </c>
      <c r="G473" s="25">
        <v>1</v>
      </c>
      <c r="H473" s="25">
        <v>0</v>
      </c>
      <c r="I473" s="25">
        <f t="shared" si="162"/>
        <v>3</v>
      </c>
      <c r="J473" s="25" t="str">
        <f>'Técnico 1'!F32</f>
        <v>pç</v>
      </c>
      <c r="K473" s="26">
        <f>_xlfn.XLOOKUP($E473,PREÇO!$C$7:$C$91,PREÇO!$E$7:$E$91)</f>
        <v>38.4</v>
      </c>
      <c r="L473" s="66">
        <f>IF(SUM(F473:K473)=0,SUMIFS($L474:$L$1593,$B474:$B$1593,$B473,$A474:$A$1593,$A473),I473*K473)</f>
        <v>115.19999999999999</v>
      </c>
      <c r="N473"/>
      <c r="O473"/>
      <c r="P473" s="28"/>
      <c r="Q473" s="28"/>
      <c r="R473" s="28"/>
    </row>
    <row r="474" spans="1:18" outlineLevel="1">
      <c r="A474" s="24" t="str">
        <f t="shared" ref="A474:B474" si="175">A473</f>
        <v>GERAL</v>
      </c>
      <c r="B474" s="24" t="str">
        <f t="shared" si="175"/>
        <v>12º PAV. - ÁREA TÉCNICA 01</v>
      </c>
      <c r="C474" s="30" t="s">
        <v>221</v>
      </c>
      <c r="D474" s="83" t="s">
        <v>87</v>
      </c>
      <c r="E474" s="30" t="str">
        <f>'Técnico 1'!C35&amp;" "&amp;'Técnico 1'!D35</f>
        <v>Isolação em PVC (70ºC) 1.5 mm² - Amarelo</v>
      </c>
      <c r="F474" s="25">
        <f>'Técnico 1'!E35</f>
        <v>43.03</v>
      </c>
      <c r="G474" s="25">
        <v>1</v>
      </c>
      <c r="H474" s="25">
        <v>0</v>
      </c>
      <c r="I474" s="25">
        <f t="shared" ref="I474:I479" si="176">(F474+H474*F474)*G474</f>
        <v>43.03</v>
      </c>
      <c r="J474" s="25" t="str">
        <f>'Técnico 1'!F35</f>
        <v>m</v>
      </c>
      <c r="K474" s="26">
        <f>_xlfn.XLOOKUP($E474,PREÇO!$C$7:$C$91,PREÇO!$E$7:$E$91)</f>
        <v>1.59</v>
      </c>
      <c r="L474" s="66">
        <f>IF(SUM(F474:K474)=0,SUMIFS($L475:$L$1593,$B475:$B$1593,$B474,$A475:$A$1593,$A474),I474*K474)</f>
        <v>68.417700000000011</v>
      </c>
      <c r="N474"/>
      <c r="O474"/>
      <c r="P474" s="28"/>
      <c r="Q474" s="28"/>
      <c r="R474" s="28"/>
    </row>
    <row r="475" spans="1:18" outlineLevel="1">
      <c r="A475" s="24" t="str">
        <f t="shared" ref="A475:B475" si="177">A474</f>
        <v>GERAL</v>
      </c>
      <c r="B475" s="24" t="str">
        <f t="shared" si="177"/>
        <v>12º PAV. - ÁREA TÉCNICA 01</v>
      </c>
      <c r="C475" s="30" t="s">
        <v>221</v>
      </c>
      <c r="D475" s="83" t="s">
        <v>87</v>
      </c>
      <c r="E475" s="30" t="str">
        <f>'Técnico 1'!C36&amp;" "&amp;'Técnico 1'!D36</f>
        <v>Isolação em PVC (70ºC) 1.5 mm² - Preto</v>
      </c>
      <c r="F475" s="25">
        <f>'Técnico 1'!E36</f>
        <v>36.72</v>
      </c>
      <c r="G475" s="25">
        <v>1</v>
      </c>
      <c r="H475" s="25">
        <v>0</v>
      </c>
      <c r="I475" s="25">
        <f t="shared" si="176"/>
        <v>36.72</v>
      </c>
      <c r="J475" s="25" t="str">
        <f>'Técnico 1'!F36</f>
        <v>m</v>
      </c>
      <c r="K475" s="26">
        <f>_xlfn.XLOOKUP($E475,PREÇO!$C$7:$C$91,PREÇO!$E$7:$E$91)</f>
        <v>1.59</v>
      </c>
      <c r="L475" s="66">
        <f>IF(SUM(F475:K475)=0,SUMIFS($L476:$L$1593,$B476:$B$1593,$B475,$A476:$A$1593,$A475),I475*K475)</f>
        <v>58.384799999999998</v>
      </c>
      <c r="N475"/>
      <c r="O475"/>
      <c r="P475" s="28"/>
      <c r="Q475" s="28"/>
      <c r="R475" s="28"/>
    </row>
    <row r="476" spans="1:18" outlineLevel="1">
      <c r="A476" s="24" t="str">
        <f t="shared" ref="A476:B476" si="178">A475</f>
        <v>GERAL</v>
      </c>
      <c r="B476" s="24" t="str">
        <f t="shared" si="178"/>
        <v>12º PAV. - ÁREA TÉCNICA 01</v>
      </c>
      <c r="C476" s="30" t="s">
        <v>221</v>
      </c>
      <c r="D476" s="83" t="s">
        <v>87</v>
      </c>
      <c r="E476" s="30" t="str">
        <f>'Técnico 1'!C37&amp;" "&amp;'Técnico 1'!D37</f>
        <v>Isolação em PVC (70ºC) 1.5 mm² - Vermelho</v>
      </c>
      <c r="F476" s="25">
        <f>'Técnico 1'!E37</f>
        <v>36.72</v>
      </c>
      <c r="G476" s="25">
        <v>1</v>
      </c>
      <c r="H476" s="25">
        <v>0</v>
      </c>
      <c r="I476" s="25">
        <f t="shared" si="176"/>
        <v>36.72</v>
      </c>
      <c r="J476" s="25" t="str">
        <f>'Técnico 1'!F37</f>
        <v>m</v>
      </c>
      <c r="K476" s="26">
        <f>_xlfn.XLOOKUP($E476,PREÇO!$C$7:$C$91,PREÇO!$E$7:$E$91)</f>
        <v>1.59</v>
      </c>
      <c r="L476" s="66">
        <f>IF(SUM(F476:K476)=0,SUMIFS($L477:$L$1593,$B477:$B$1593,$B476,$A477:$A$1593,$A476),I476*K476)</f>
        <v>58.384799999999998</v>
      </c>
      <c r="N476"/>
      <c r="O476"/>
      <c r="P476" s="28"/>
      <c r="Q476" s="28"/>
      <c r="R476" s="28"/>
    </row>
    <row r="477" spans="1:18" outlineLevel="1">
      <c r="A477" s="24" t="str">
        <f t="shared" ref="A477:B477" si="179">A476</f>
        <v>GERAL</v>
      </c>
      <c r="B477" s="24" t="str">
        <f t="shared" si="179"/>
        <v>12º PAV. - ÁREA TÉCNICA 01</v>
      </c>
      <c r="C477" s="30" t="s">
        <v>221</v>
      </c>
      <c r="D477" s="83" t="s">
        <v>87</v>
      </c>
      <c r="E477" s="30" t="str">
        <f>'Técnico 1'!C38&amp;" "&amp;'Técnico 1'!D38</f>
        <v>Isolação em PVC (70ºC) 2.5 mm² - Amarelo</v>
      </c>
      <c r="F477" s="25">
        <f>'Técnico 1'!E38</f>
        <v>22.42</v>
      </c>
      <c r="G477" s="25">
        <v>1</v>
      </c>
      <c r="H477" s="25">
        <v>0</v>
      </c>
      <c r="I477" s="25">
        <f t="shared" si="176"/>
        <v>22.42</v>
      </c>
      <c r="J477" s="25" t="str">
        <f>'Técnico 1'!F38</f>
        <v>m</v>
      </c>
      <c r="K477" s="26">
        <f>_xlfn.XLOOKUP($E477,PREÇO!$C$7:$C$91,PREÇO!$E$7:$E$91)</f>
        <v>2.19</v>
      </c>
      <c r="L477" s="66">
        <f>IF(SUM(F477:K477)=0,SUMIFS($L478:$L$1593,$B478:$B$1593,$B477,$A478:$A$1593,$A477),I477*K477)</f>
        <v>49.099800000000002</v>
      </c>
      <c r="N477"/>
      <c r="O477"/>
      <c r="P477" s="28"/>
      <c r="Q477" s="28"/>
      <c r="R477" s="28"/>
    </row>
    <row r="478" spans="1:18" outlineLevel="1">
      <c r="A478" s="24" t="str">
        <f t="shared" ref="A478:B478" si="180">A477</f>
        <v>GERAL</v>
      </c>
      <c r="B478" s="24" t="str">
        <f t="shared" si="180"/>
        <v>12º PAV. - ÁREA TÉCNICA 01</v>
      </c>
      <c r="C478" s="30" t="s">
        <v>221</v>
      </c>
      <c r="D478" s="83" t="s">
        <v>87</v>
      </c>
      <c r="E478" s="30" t="str">
        <f>'Técnico 1'!C39&amp;" "&amp;'Técnico 1'!D39</f>
        <v>Isolação em PVC (70ºC) 2.5 mm² - Preto</v>
      </c>
      <c r="F478" s="25">
        <f>'Técnico 1'!E39</f>
        <v>104.84</v>
      </c>
      <c r="G478" s="25">
        <v>1</v>
      </c>
      <c r="H478" s="25">
        <v>0</v>
      </c>
      <c r="I478" s="25">
        <f t="shared" si="176"/>
        <v>104.84</v>
      </c>
      <c r="J478" s="25" t="str">
        <f>'Técnico 1'!F39</f>
        <v>m</v>
      </c>
      <c r="K478" s="26">
        <f>_xlfn.XLOOKUP($E478,PREÇO!$C$7:$C$91,PREÇO!$E$7:$E$91)</f>
        <v>2.19</v>
      </c>
      <c r="L478" s="66">
        <f>IF(SUM(F478:K478)=0,SUMIFS($L479:$L$1593,$B479:$B$1593,$B478,$A479:$A$1593,$A478),I478*K478)</f>
        <v>229.59960000000001</v>
      </c>
      <c r="N478"/>
      <c r="O478"/>
      <c r="P478" s="28"/>
      <c r="Q478" s="28"/>
      <c r="R478" s="28"/>
    </row>
    <row r="479" spans="1:18" outlineLevel="1">
      <c r="A479" s="24" t="str">
        <f t="shared" ref="A479:B479" si="181">A478</f>
        <v>GERAL</v>
      </c>
      <c r="B479" s="24" t="str">
        <f t="shared" si="181"/>
        <v>12º PAV. - ÁREA TÉCNICA 01</v>
      </c>
      <c r="C479" s="30" t="s">
        <v>221</v>
      </c>
      <c r="D479" s="83" t="s">
        <v>87</v>
      </c>
      <c r="E479" s="30" t="str">
        <f>'Técnico 1'!C40&amp;" "&amp;'Técnico 1'!D40</f>
        <v>Isolação em PVC (70ºC) 2.5 mm² - Vermelho</v>
      </c>
      <c r="F479" s="25">
        <f>'Técnico 1'!E40</f>
        <v>104.84</v>
      </c>
      <c r="G479" s="25">
        <v>1</v>
      </c>
      <c r="H479" s="25">
        <v>0</v>
      </c>
      <c r="I479" s="25">
        <f t="shared" si="176"/>
        <v>104.84</v>
      </c>
      <c r="J479" s="25" t="str">
        <f>'Técnico 1'!F40</f>
        <v>m</v>
      </c>
      <c r="K479" s="26">
        <f>_xlfn.XLOOKUP($E479,PREÇO!$C$7:$C$91,PREÇO!$E$7:$E$91)</f>
        <v>2.19</v>
      </c>
      <c r="L479" s="66">
        <f>IF(SUM(F479:K479)=0,SUMIFS($L480:$L$1593,$B480:$B$1593,$B479,$A480:$A$1593,$A479),I479*K479)</f>
        <v>229.59960000000001</v>
      </c>
      <c r="N479"/>
      <c r="O479"/>
      <c r="P479" s="28"/>
      <c r="Q479" s="28"/>
      <c r="R479" s="28"/>
    </row>
    <row r="480" spans="1:18" outlineLevel="1">
      <c r="A480" s="24" t="str">
        <f t="shared" ref="A480:B480" si="182">A479</f>
        <v>GERAL</v>
      </c>
      <c r="B480" s="24" t="str">
        <f t="shared" si="182"/>
        <v>12º PAV. - ÁREA TÉCNICA 01</v>
      </c>
      <c r="C480" s="30" t="s">
        <v>221</v>
      </c>
      <c r="D480" s="83" t="s">
        <v>46</v>
      </c>
      <c r="E480" s="30" t="str">
        <f>'Técnico 1'!C44&amp;" "&amp;'Técnico 1'!D44</f>
        <v>PVC Flexível Antichama - NBR 15465 ø1"</v>
      </c>
      <c r="F480" s="25">
        <f>'Técnico 1'!E44</f>
        <v>35.950000000000003</v>
      </c>
      <c r="G480" s="25">
        <v>1</v>
      </c>
      <c r="H480" s="25">
        <v>0</v>
      </c>
      <c r="I480" s="25">
        <f t="shared" ref="I480:I484" si="183">(F480+H480*F480)*G480</f>
        <v>35.950000000000003</v>
      </c>
      <c r="J480" s="25" t="str">
        <f>'Técnico 1'!F44</f>
        <v>m</v>
      </c>
      <c r="K480" s="26">
        <f>_xlfn.XLOOKUP($E480,PREÇO!$C$7:$C$91,PREÇO!$E$7:$E$91)</f>
        <v>2.5299999999999998</v>
      </c>
      <c r="L480" s="66">
        <f>IF(SUM(F480:K480)=0,SUMIFS($L481:$L$1593,$B481:$B$1593,$B480,$A481:$A$1593,$A480),I480*K480)</f>
        <v>90.953500000000005</v>
      </c>
      <c r="N480"/>
      <c r="O480"/>
      <c r="P480" s="28"/>
      <c r="Q480" s="28"/>
      <c r="R480" s="28"/>
    </row>
    <row r="481" spans="1:18" outlineLevel="1">
      <c r="A481" s="24" t="str">
        <f t="shared" ref="A481:B481" si="184">A480</f>
        <v>GERAL</v>
      </c>
      <c r="B481" s="24" t="str">
        <f t="shared" si="184"/>
        <v>12º PAV. - ÁREA TÉCNICA 01</v>
      </c>
      <c r="C481" s="30" t="s">
        <v>221</v>
      </c>
      <c r="D481" s="83" t="s">
        <v>89</v>
      </c>
      <c r="E481" s="30" t="str">
        <f>'Técnico 1'!C47&amp;" "&amp;'Técnico 1'!D47</f>
        <v>Classe A - PVC Anti-chama - 105ºC - Isolação 600V 0.75 mm²</v>
      </c>
      <c r="F481" s="25">
        <f>'Técnico 1'!E47</f>
        <v>28.53</v>
      </c>
      <c r="G481" s="25">
        <v>1</v>
      </c>
      <c r="H481" s="25">
        <v>0</v>
      </c>
      <c r="I481" s="25">
        <f t="shared" si="183"/>
        <v>28.53</v>
      </c>
      <c r="J481" s="25" t="str">
        <f>'Técnico 1'!F47</f>
        <v>m</v>
      </c>
      <c r="K481" s="26">
        <f>_xlfn.XLOOKUP($E481,PREÇO!$C$7:$C$91,PREÇO!$E$7:$E$91)</f>
        <v>0.99</v>
      </c>
      <c r="L481" s="66">
        <f>IF(SUM(F481:K481)=0,SUMIFS($L482:$L$1593,$B482:$B$1593,$B481,$A482:$A$1593,$A481),I481*K481)</f>
        <v>28.244700000000002</v>
      </c>
      <c r="N481"/>
      <c r="O481"/>
      <c r="P481" s="28"/>
      <c r="Q481" s="28"/>
      <c r="R481" s="28"/>
    </row>
    <row r="482" spans="1:18" ht="15.75" outlineLevel="1" thickBot="1">
      <c r="A482" s="24" t="str">
        <f t="shared" ref="A482:B482" si="185">A481</f>
        <v>GERAL</v>
      </c>
      <c r="B482" s="24" t="str">
        <f t="shared" si="185"/>
        <v>12º PAV. - ÁREA TÉCNICA 01</v>
      </c>
      <c r="C482" s="30" t="s">
        <v>221</v>
      </c>
      <c r="D482" s="83" t="s">
        <v>89</v>
      </c>
      <c r="E482" s="30" t="str">
        <f>'Técnico 1'!C48&amp;" "&amp;'Técnico 1'!D48</f>
        <v>Classe B - PVC Anti-chama - 105ºC - Isolação 600V 1.5 mm²</v>
      </c>
      <c r="F482" s="25">
        <f>'Técnico 1'!E48</f>
        <v>10.37</v>
      </c>
      <c r="G482" s="25">
        <v>1</v>
      </c>
      <c r="H482" s="25">
        <v>0</v>
      </c>
      <c r="I482" s="25">
        <f t="shared" si="183"/>
        <v>10.37</v>
      </c>
      <c r="J482" s="25" t="str">
        <f>'Técnico 1'!F48</f>
        <v>m</v>
      </c>
      <c r="K482" s="26">
        <f>_xlfn.XLOOKUP($E482,PREÇO!$C$7:$C$91,PREÇO!$E$7:$E$91)</f>
        <v>1.69</v>
      </c>
      <c r="L482" s="66">
        <f>IF(SUM(F482:K482)=0,SUMIFS($L483:$L$1593,$B483:$B$1593,$B482,$A483:$A$1593,$A482),I482*K482)</f>
        <v>17.525299999999998</v>
      </c>
      <c r="N482"/>
      <c r="O482"/>
      <c r="P482" s="28"/>
      <c r="Q482" s="28"/>
      <c r="R482" s="28"/>
    </row>
    <row r="483" spans="1:18" ht="15.75" thickTop="1">
      <c r="A483" s="82" t="s">
        <v>19</v>
      </c>
      <c r="B483" s="82" t="s">
        <v>142</v>
      </c>
      <c r="C483" s="43"/>
      <c r="D483" s="44" t="str">
        <f>'Técnico 1'!C49</f>
        <v/>
      </c>
      <c r="E483" s="44" t="str">
        <f>'Técnico 1'!D49</f>
        <v/>
      </c>
      <c r="F483" s="45" t="str">
        <f>'Técnico 1'!E49</f>
        <v/>
      </c>
      <c r="G483" s="45"/>
      <c r="H483" s="45"/>
      <c r="I483" s="45"/>
      <c r="J483" s="45"/>
      <c r="K483" s="47"/>
      <c r="L483" s="48">
        <f>IF(SUM(F483:K483)=0,SUMIFS($L484:$L$1593,$B484:$B$1593,$B483,$A484:$A$1593,$A483),I483*K483)</f>
        <v>37841.84580000001</v>
      </c>
      <c r="N483"/>
      <c r="O483"/>
      <c r="P483" s="28"/>
      <c r="Q483" s="28"/>
      <c r="R483" s="28"/>
    </row>
    <row r="484" spans="1:18" outlineLevel="1">
      <c r="A484" s="24" t="str">
        <f>A483</f>
        <v>GERAL</v>
      </c>
      <c r="B484" s="24" t="str">
        <f>B483</f>
        <v>13º PAV. - TIPO 01 - x6 - LANÇAMENTO</v>
      </c>
      <c r="C484" s="30" t="s">
        <v>221</v>
      </c>
      <c r="D484" s="30" t="str">
        <f>'Tipo 1 - x6'!C6</f>
        <v>Acionadores</v>
      </c>
      <c r="E484" s="30" t="str">
        <f>'Tipo 1 - x6'!D6</f>
        <v>Acionador Manual de Alarme de Incêndio</v>
      </c>
      <c r="F484" s="25">
        <f>'Tipo 1 - x6'!E6</f>
        <v>1</v>
      </c>
      <c r="G484" s="25">
        <v>6</v>
      </c>
      <c r="H484" s="25">
        <v>0</v>
      </c>
      <c r="I484" s="25">
        <f t="shared" si="183"/>
        <v>6</v>
      </c>
      <c r="J484" s="25" t="str">
        <f>'Tipo 1 - x6'!F6</f>
        <v>pç</v>
      </c>
      <c r="K484" s="26">
        <f>_xlfn.XLOOKUP($E484,PREÇO!$C$7:$C$91,PREÇO!$E$7:$E$91)</f>
        <v>65</v>
      </c>
      <c r="L484" s="66">
        <f>IF(SUM(F484:K484)=0,SUMIFS($L485:$L$1593,$B485:$B$1593,$B484,$A485:$A$1593,$A484),I484*K484)</f>
        <v>390</v>
      </c>
      <c r="N484"/>
      <c r="O484"/>
      <c r="P484" s="28"/>
      <c r="Q484" s="28"/>
      <c r="R484" s="28"/>
    </row>
    <row r="485" spans="1:18" outlineLevel="1">
      <c r="A485" s="24" t="str">
        <f t="shared" ref="A485:A512" si="186">A484</f>
        <v>GERAL</v>
      </c>
      <c r="B485" s="24" t="str">
        <f t="shared" ref="B485:B489" si="187">B484</f>
        <v>13º PAV. - TIPO 01 - x6 - LANÇAMENTO</v>
      </c>
      <c r="C485" s="30" t="s">
        <v>221</v>
      </c>
      <c r="D485" s="30" t="str">
        <f>'Tipo 1 - x6'!C7</f>
        <v>Anunciadores</v>
      </c>
      <c r="E485" s="30" t="str">
        <f>'Tipo 1 - x6'!D7</f>
        <v>Anunciador Audiovisual de Alarme de Incêndio de Parede</v>
      </c>
      <c r="F485" s="25">
        <f>'Tipo 1 - x6'!E7</f>
        <v>1</v>
      </c>
      <c r="G485" s="25">
        <v>6</v>
      </c>
      <c r="H485" s="25">
        <v>0</v>
      </c>
      <c r="I485" s="25">
        <f t="shared" ref="I485:I513" si="188">(F485+H485*F485)*G485</f>
        <v>6</v>
      </c>
      <c r="J485" s="25" t="str">
        <f>'Tipo 1 - x6'!F7</f>
        <v>pç</v>
      </c>
      <c r="K485" s="26">
        <f>_xlfn.XLOOKUP($E485,PREÇO!$C$7:$C$91,PREÇO!$E$7:$E$91)</f>
        <v>191.81</v>
      </c>
      <c r="L485" s="66">
        <f>IF(SUM(F485:K485)=0,SUMIFS($L486:$L$1593,$B486:$B$1593,$B485,$A486:$A$1593,$A485),I485*K485)</f>
        <v>1150.8600000000001</v>
      </c>
      <c r="N485"/>
      <c r="O485"/>
      <c r="P485" s="28"/>
      <c r="Q485" s="28"/>
      <c r="R485" s="28"/>
    </row>
    <row r="486" spans="1:18" outlineLevel="1">
      <c r="A486" s="24" t="str">
        <f t="shared" si="186"/>
        <v>GERAL</v>
      </c>
      <c r="B486" s="24" t="str">
        <f t="shared" si="187"/>
        <v>13º PAV. - TIPO 01 - x6 - LANÇAMENTO</v>
      </c>
      <c r="C486" s="30" t="s">
        <v>221</v>
      </c>
      <c r="D486" s="30" t="str">
        <f>'Tipo 1 - x6'!C8</f>
        <v>Anunciadores</v>
      </c>
      <c r="E486" s="30" t="str">
        <f>'Tipo 1 - x6'!D8</f>
        <v>Anunciador Audiovisual de Alarme de Incêndio de Teto</v>
      </c>
      <c r="F486" s="25">
        <f>'Tipo 1 - x6'!E8</f>
        <v>2</v>
      </c>
      <c r="G486" s="25">
        <v>6</v>
      </c>
      <c r="H486" s="25">
        <v>0</v>
      </c>
      <c r="I486" s="25">
        <f t="shared" si="188"/>
        <v>12</v>
      </c>
      <c r="J486" s="25" t="str">
        <f>'Tipo 1 - x6'!F8</f>
        <v>pç</v>
      </c>
      <c r="K486" s="26">
        <f>_xlfn.XLOOKUP($E486,PREÇO!$C$7:$C$91,PREÇO!$E$7:$E$91)</f>
        <v>169.96</v>
      </c>
      <c r="L486" s="66">
        <f>IF(SUM(F486:K486)=0,SUMIFS($L487:$L$1593,$B487:$B$1593,$B486,$A487:$A$1593,$A486),I486*K486)</f>
        <v>2039.52</v>
      </c>
      <c r="N486"/>
      <c r="O486"/>
      <c r="P486" s="28"/>
      <c r="Q486" s="28"/>
      <c r="R486" s="28"/>
    </row>
    <row r="487" spans="1:18" outlineLevel="1">
      <c r="A487" s="24" t="str">
        <f t="shared" si="186"/>
        <v>GERAL</v>
      </c>
      <c r="B487" s="24" t="str">
        <f t="shared" si="187"/>
        <v>13º PAV. - TIPO 01 - x6 - LANÇAMENTO</v>
      </c>
      <c r="C487" s="30" t="s">
        <v>221</v>
      </c>
      <c r="D487" s="30" t="str">
        <f>'Tipo 1 - x6'!C9</f>
        <v>Atuadores</v>
      </c>
      <c r="E487" s="30" t="str">
        <f>'Tipo 1 - x6'!D9</f>
        <v>Atuador Janela Desenfumagem</v>
      </c>
      <c r="F487" s="25">
        <f>'Tipo 1 - x6'!E9</f>
        <v>1</v>
      </c>
      <c r="G487" s="25">
        <v>6</v>
      </c>
      <c r="H487" s="25">
        <v>0</v>
      </c>
      <c r="I487" s="25">
        <f t="shared" si="188"/>
        <v>6</v>
      </c>
      <c r="J487" s="25" t="str">
        <f>'Tipo 1 - x6'!F9</f>
        <v>pç</v>
      </c>
      <c r="K487" s="26">
        <f>_xlfn.XLOOKUP($E487,PREÇO!$C$7:$C$91,PREÇO!$E$7:$E$91)</f>
        <v>1150</v>
      </c>
      <c r="L487" s="66">
        <f>IF(SUM(F487:K487)=0,SUMIFS($L488:$L$1593,$B488:$B$1593,$B487,$A488:$A$1593,$A487),I487*K487)</f>
        <v>6900</v>
      </c>
      <c r="N487"/>
      <c r="O487"/>
      <c r="P487" s="28"/>
      <c r="Q487" s="28"/>
      <c r="R487" s="28"/>
    </row>
    <row r="488" spans="1:18" outlineLevel="1">
      <c r="A488" s="24" t="str">
        <f t="shared" si="186"/>
        <v>GERAL</v>
      </c>
      <c r="B488" s="24" t="str">
        <f t="shared" si="187"/>
        <v>13º PAV. - TIPO 01 - x6 - LANÇAMENTO</v>
      </c>
      <c r="C488" s="30" t="s">
        <v>221</v>
      </c>
      <c r="D488" s="30" t="str">
        <f>'Tipo 1 - x6'!C10</f>
        <v>Atuadores</v>
      </c>
      <c r="E488" s="30" t="str">
        <f>'Tipo 1 - x6'!D10</f>
        <v>Dispositivo Eletromagnético de Porta Aberta</v>
      </c>
      <c r="F488" s="25">
        <f>'Tipo 1 - x6'!E10</f>
        <v>1</v>
      </c>
      <c r="G488" s="25">
        <v>6</v>
      </c>
      <c r="H488" s="25">
        <v>0</v>
      </c>
      <c r="I488" s="25">
        <f t="shared" si="188"/>
        <v>6</v>
      </c>
      <c r="J488" s="25" t="str">
        <f>'Tipo 1 - x6'!F10</f>
        <v>pç</v>
      </c>
      <c r="K488" s="26">
        <f>_xlfn.XLOOKUP($E488,PREÇO!$C$7:$C$91,PREÇO!$E$7:$E$91)</f>
        <v>416.9</v>
      </c>
      <c r="L488" s="66">
        <f>IF(SUM(F488:K488)=0,SUMIFS($L489:$L$1593,$B489:$B$1593,$B488,$A489:$A$1593,$A488),I488*K488)</f>
        <v>2501.3999999999996</v>
      </c>
      <c r="N488"/>
      <c r="O488"/>
      <c r="P488" s="28"/>
      <c r="Q488" s="28"/>
      <c r="R488" s="28"/>
    </row>
    <row r="489" spans="1:18" outlineLevel="1">
      <c r="A489" s="24" t="str">
        <f t="shared" si="186"/>
        <v>GERAL</v>
      </c>
      <c r="B489" s="24" t="str">
        <f t="shared" si="187"/>
        <v>13º PAV. - TIPO 01 - x6 - LANÇAMENTO</v>
      </c>
      <c r="C489" s="30" t="s">
        <v>221</v>
      </c>
      <c r="D489" s="30" t="str">
        <f>'Tipo 1 - x6'!C11</f>
        <v>Sensores</v>
      </c>
      <c r="E489" s="30" t="str">
        <f>'Tipo 1 - x6'!D11</f>
        <v>Sensor de Fumaça</v>
      </c>
      <c r="F489" s="25">
        <f>'Tipo 1 - x6'!E11</f>
        <v>19</v>
      </c>
      <c r="G489" s="25">
        <v>6</v>
      </c>
      <c r="H489" s="25">
        <v>0</v>
      </c>
      <c r="I489" s="25">
        <f t="shared" si="188"/>
        <v>114</v>
      </c>
      <c r="J489" s="25" t="str">
        <f>'Tipo 1 - x6'!F11</f>
        <v>pç</v>
      </c>
      <c r="K489" s="26">
        <f>_xlfn.XLOOKUP($E489,PREÇO!$C$7:$C$91,PREÇO!$E$7:$E$91)</f>
        <v>53.9</v>
      </c>
      <c r="L489" s="66">
        <f>IF(SUM(F489:K489)=0,SUMIFS($L490:$L$1593,$B490:$B$1593,$B489,$A490:$A$1593,$A489),I489*K489)</f>
        <v>6144.5999999999995</v>
      </c>
      <c r="N489"/>
      <c r="O489"/>
      <c r="P489" s="28"/>
      <c r="Q489" s="28"/>
      <c r="R489" s="28"/>
    </row>
    <row r="490" spans="1:18" outlineLevel="1">
      <c r="A490" s="24" t="str">
        <f t="shared" ref="A490:A511" si="189">A489</f>
        <v>GERAL</v>
      </c>
      <c r="B490" s="24" t="str">
        <f t="shared" ref="B490:B511" si="190">B489</f>
        <v>13º PAV. - TIPO 01 - x6 - LANÇAMENTO</v>
      </c>
      <c r="C490" s="30" t="s">
        <v>221</v>
      </c>
      <c r="D490" s="30" t="str">
        <f>'Tipo 1 - x6'!C14</f>
        <v>Caixas</v>
      </c>
      <c r="E490" s="30" t="str">
        <f>'Tipo 1 - x6'!D14</f>
        <v>Caixa Octogonal Padrão NBR IEC 60670</v>
      </c>
      <c r="F490" s="25">
        <f>'Tipo 1 - x6'!E14</f>
        <v>31</v>
      </c>
      <c r="G490" s="25">
        <v>6</v>
      </c>
      <c r="H490" s="25">
        <v>0</v>
      </c>
      <c r="I490" s="25">
        <f t="shared" si="188"/>
        <v>186</v>
      </c>
      <c r="J490" s="25" t="str">
        <f>'Tipo 1 - x6'!F14</f>
        <v>pç</v>
      </c>
      <c r="K490" s="26">
        <f>_xlfn.XLOOKUP($E490,PREÇO!$C$7:$C$91,PREÇO!$E$7:$E$91)</f>
        <v>5.32</v>
      </c>
      <c r="L490" s="66">
        <f>IF(SUM(F490:K490)=0,SUMIFS($L491:$L$1593,$B491:$B$1593,$B490,$A491:$A$1593,$A490),I490*K490)</f>
        <v>989.5200000000001</v>
      </c>
      <c r="N490"/>
      <c r="O490"/>
      <c r="P490" s="28"/>
      <c r="Q490" s="28"/>
      <c r="R490" s="28"/>
    </row>
    <row r="491" spans="1:18" outlineLevel="1">
      <c r="A491" s="24" t="str">
        <f t="shared" si="189"/>
        <v>GERAL</v>
      </c>
      <c r="B491" s="24" t="str">
        <f t="shared" si="190"/>
        <v>13º PAV. - TIPO 01 - x6 - LANÇAMENTO</v>
      </c>
      <c r="C491" s="30" t="s">
        <v>221</v>
      </c>
      <c r="D491" s="30" t="str">
        <f>'Tipo 1 - x6'!C15</f>
        <v>Placas</v>
      </c>
      <c r="E491" s="30" t="str">
        <f>'Tipo 1 - x6'!D15</f>
        <v>Placa cega para caixa octogonal Padrão NBR IEC 60670</v>
      </c>
      <c r="F491" s="25">
        <f>'Tipo 1 - x6'!E15</f>
        <v>2</v>
      </c>
      <c r="G491" s="25">
        <v>6</v>
      </c>
      <c r="H491" s="25">
        <v>0</v>
      </c>
      <c r="I491" s="25">
        <f t="shared" si="188"/>
        <v>12</v>
      </c>
      <c r="J491" s="25" t="str">
        <f>'Tipo 1 - x6'!F15</f>
        <v>pç</v>
      </c>
      <c r="K491" s="26">
        <f>_xlfn.XLOOKUP($E491,PREÇO!$C$7:$C$91,PREÇO!$E$7:$E$91)</f>
        <v>2.5</v>
      </c>
      <c r="L491" s="66">
        <f>IF(SUM(F491:K491)=0,SUMIFS($L492:$L$1593,$B492:$B$1593,$B491,$A492:$A$1593,$A491),I491*K491)</f>
        <v>30</v>
      </c>
      <c r="N491"/>
      <c r="O491"/>
      <c r="P491" s="28"/>
      <c r="Q491" s="28"/>
      <c r="R491" s="28"/>
    </row>
    <row r="492" spans="1:18" outlineLevel="1">
      <c r="A492" s="24" t="str">
        <f t="shared" si="189"/>
        <v>GERAL</v>
      </c>
      <c r="B492" s="24" t="str">
        <f t="shared" si="190"/>
        <v>13º PAV. - TIPO 01 - x6 - LANÇAMENTO</v>
      </c>
      <c r="C492" s="30" t="s">
        <v>221</v>
      </c>
      <c r="D492" s="30" t="str">
        <f>'Tipo 1 - x6'!C18</f>
        <v>Caixas</v>
      </c>
      <c r="E492" s="30" t="str">
        <f>'Tipo 1 - x6'!D18</f>
        <v>Caixa 4x2" de Embutir em PVC Padrão NBR IEC 60670</v>
      </c>
      <c r="F492" s="25">
        <f>'Tipo 1 - x6'!E18</f>
        <v>9</v>
      </c>
      <c r="G492" s="25">
        <v>6</v>
      </c>
      <c r="H492" s="25">
        <v>0</v>
      </c>
      <c r="I492" s="25">
        <f t="shared" si="188"/>
        <v>54</v>
      </c>
      <c r="J492" s="25" t="str">
        <f>'Tipo 1 - x6'!F18</f>
        <v>pç</v>
      </c>
      <c r="K492" s="26">
        <f>_xlfn.XLOOKUP($E492,PREÇO!$C$7:$C$91,PREÇO!$E$7:$E$91)</f>
        <v>1.72</v>
      </c>
      <c r="L492" s="66">
        <f>IF(SUM(F492:K492)=0,SUMIFS($L493:$L$1593,$B493:$B$1593,$B492,$A493:$A$1593,$A492),I492*K492)</f>
        <v>92.88</v>
      </c>
      <c r="N492"/>
      <c r="O492"/>
      <c r="P492" s="28"/>
      <c r="Q492" s="28"/>
      <c r="R492" s="28"/>
    </row>
    <row r="493" spans="1:18" outlineLevel="1">
      <c r="A493" s="24" t="str">
        <f t="shared" si="189"/>
        <v>GERAL</v>
      </c>
      <c r="B493" s="24" t="str">
        <f t="shared" si="190"/>
        <v>13º PAV. - TIPO 01 - x6 - LANÇAMENTO</v>
      </c>
      <c r="C493" s="30" t="s">
        <v>221</v>
      </c>
      <c r="D493" s="30" t="str">
        <f>'Tipo 1 - x6'!C19</f>
        <v>Placas</v>
      </c>
      <c r="E493" s="30" t="str">
        <f>'Tipo 1 - x6'!D19</f>
        <v>Placa 4x2" cega Padrão NBR IEC 60670</v>
      </c>
      <c r="F493" s="25">
        <f>'Tipo 1 - x6'!E19</f>
        <v>3</v>
      </c>
      <c r="G493" s="25">
        <v>6</v>
      </c>
      <c r="H493" s="25">
        <v>0</v>
      </c>
      <c r="I493" s="25">
        <f t="shared" si="188"/>
        <v>18</v>
      </c>
      <c r="J493" s="25" t="str">
        <f>'Tipo 1 - x6'!F19</f>
        <v>pç</v>
      </c>
      <c r="K493" s="26">
        <f>_xlfn.XLOOKUP($E493,PREÇO!$C$7:$C$91,PREÇO!$E$7:$E$91)</f>
        <v>4.59</v>
      </c>
      <c r="L493" s="66">
        <f>IF(SUM(F493:K493)=0,SUMIFS($L494:$L$1593,$B494:$B$1593,$B493,$A494:$A$1593,$A493),I493*K493)</f>
        <v>82.62</v>
      </c>
      <c r="N493"/>
      <c r="O493"/>
      <c r="P493" s="28"/>
      <c r="Q493" s="28"/>
      <c r="R493" s="28"/>
    </row>
    <row r="494" spans="1:18" outlineLevel="1">
      <c r="A494" s="24" t="str">
        <f t="shared" si="189"/>
        <v>GERAL</v>
      </c>
      <c r="B494" s="24" t="str">
        <f t="shared" si="190"/>
        <v>13º PAV. - TIPO 01 - x6 - LANÇAMENTO</v>
      </c>
      <c r="C494" s="30" t="s">
        <v>221</v>
      </c>
      <c r="D494" s="30" t="str">
        <f>'Tipo 1 - x6'!C20</f>
        <v>Placas</v>
      </c>
      <c r="E494" s="30" t="str">
        <f>'Tipo 1 - x6'!D20</f>
        <v>Placa 4x2" com furo para saída de cabos Padrão NBR IEC 60670</v>
      </c>
      <c r="F494" s="25">
        <f>'Tipo 1 - x6'!E20</f>
        <v>6</v>
      </c>
      <c r="G494" s="25">
        <v>6</v>
      </c>
      <c r="H494" s="25">
        <v>0</v>
      </c>
      <c r="I494" s="25">
        <f t="shared" si="188"/>
        <v>36</v>
      </c>
      <c r="J494" s="25" t="str">
        <f>'Tipo 1 - x6'!F20</f>
        <v>pç</v>
      </c>
      <c r="K494" s="26">
        <f>_xlfn.XLOOKUP($E494,PREÇO!$C$7:$C$91,PREÇO!$E$7:$E$91)</f>
        <v>6.55</v>
      </c>
      <c r="L494" s="66">
        <f>IF(SUM(F494:K494)=0,SUMIFS($L495:$L$1593,$B495:$B$1593,$B494,$A495:$A$1593,$A494),I494*K494)</f>
        <v>235.79999999999998</v>
      </c>
      <c r="N494"/>
      <c r="O494"/>
      <c r="P494" s="28"/>
      <c r="Q494" s="28"/>
      <c r="R494" s="28"/>
    </row>
    <row r="495" spans="1:18" outlineLevel="1">
      <c r="A495" s="24" t="str">
        <f t="shared" si="189"/>
        <v>GERAL</v>
      </c>
      <c r="B495" s="24" t="str">
        <f t="shared" si="190"/>
        <v>13º PAV. - TIPO 01 - x6 - LANÇAMENTO</v>
      </c>
      <c r="C495" s="30" t="s">
        <v>221</v>
      </c>
      <c r="D495" s="30" t="str">
        <f>'Tipo 1 - x6'!C21</f>
        <v>Suportes</v>
      </c>
      <c r="E495" s="30" t="str">
        <f>'Tipo 1 - x6'!D21</f>
        <v>Suporte p/ caixa 4x2" Padrão NBR IEC 60670</v>
      </c>
      <c r="F495" s="25">
        <f>'Tipo 1 - x6'!E21</f>
        <v>9</v>
      </c>
      <c r="G495" s="25">
        <v>6</v>
      </c>
      <c r="H495" s="25">
        <v>0</v>
      </c>
      <c r="I495" s="25">
        <f t="shared" si="188"/>
        <v>54</v>
      </c>
      <c r="J495" s="25" t="str">
        <f>'Tipo 1 - x6'!F21</f>
        <v>pç</v>
      </c>
      <c r="K495" s="26">
        <f>_xlfn.XLOOKUP($E495,PREÇO!$C$7:$C$91,PREÇO!$E$7:$E$91)</f>
        <v>1.85</v>
      </c>
      <c r="L495" s="66">
        <f>IF(SUM(F495:K495)=0,SUMIFS($L496:$L$1593,$B496:$B$1593,$B495,$A496:$A$1593,$A495),I495*K495)</f>
        <v>99.9</v>
      </c>
      <c r="N495"/>
      <c r="O495"/>
      <c r="P495" s="28"/>
      <c r="Q495" s="28"/>
      <c r="R495" s="28"/>
    </row>
    <row r="496" spans="1:18" outlineLevel="1">
      <c r="A496" s="24" t="str">
        <f t="shared" si="189"/>
        <v>GERAL</v>
      </c>
      <c r="B496" s="24" t="str">
        <f t="shared" si="190"/>
        <v>13º PAV. - TIPO 01 - x6 - LANÇAMENTO</v>
      </c>
      <c r="C496" s="30" t="s">
        <v>221</v>
      </c>
      <c r="D496" s="83" t="s">
        <v>46</v>
      </c>
      <c r="E496" s="30" t="str">
        <f>'Tipo 1 - x6'!C24&amp;" "&amp;'Tipo 1 - x6'!D24</f>
        <v>PVC Flexível Antichama - NBR 15465 ø1"</v>
      </c>
      <c r="F496" s="25">
        <f>'Tipo 1 - x6'!E24</f>
        <v>24.58</v>
      </c>
      <c r="G496" s="25">
        <v>6</v>
      </c>
      <c r="H496" s="25">
        <v>0</v>
      </c>
      <c r="I496" s="25">
        <f t="shared" si="188"/>
        <v>147.47999999999999</v>
      </c>
      <c r="J496" s="25" t="str">
        <f>'Tipo 1 - x6'!F24</f>
        <v>m</v>
      </c>
      <c r="K496" s="26">
        <f>_xlfn.XLOOKUP($E496,PREÇO!$C$7:$C$91,PREÇO!$E$7:$E$91)</f>
        <v>2.5299999999999998</v>
      </c>
      <c r="L496" s="66">
        <f>IF(SUM(F496:K496)=0,SUMIFS($L497:$L$1593,$B497:$B$1593,$B496,$A497:$A$1593,$A496),I496*K496)</f>
        <v>373.12439999999992</v>
      </c>
      <c r="N496"/>
      <c r="O496"/>
      <c r="P496" s="28"/>
      <c r="Q496" s="28"/>
      <c r="R496" s="28"/>
    </row>
    <row r="497" spans="1:18" outlineLevel="1">
      <c r="A497" s="24" t="str">
        <f t="shared" si="189"/>
        <v>GERAL</v>
      </c>
      <c r="B497" s="24" t="str">
        <f t="shared" si="190"/>
        <v>13º PAV. - TIPO 01 - x6 - LANÇAMENTO</v>
      </c>
      <c r="C497" s="30" t="s">
        <v>221</v>
      </c>
      <c r="D497" s="83" t="s">
        <v>46</v>
      </c>
      <c r="E497" s="30" t="str">
        <f>'Tipo 1 - x6'!C25&amp;" "&amp;'Tipo 1 - x6'!D25</f>
        <v>PVC Flexível Antichama - NBR 15465 ø3/4"</v>
      </c>
      <c r="F497" s="25">
        <f>'Tipo 1 - x6'!E25</f>
        <v>35.270000000000003</v>
      </c>
      <c r="G497" s="25">
        <v>6</v>
      </c>
      <c r="H497" s="25">
        <v>0</v>
      </c>
      <c r="I497" s="25">
        <f t="shared" si="188"/>
        <v>211.62</v>
      </c>
      <c r="J497" s="25" t="str">
        <f>'Tipo 1 - x6'!F25</f>
        <v>m</v>
      </c>
      <c r="K497" s="26">
        <f>_xlfn.XLOOKUP($E497,PREÇO!$C$7:$C$91,PREÇO!$E$7:$E$91)</f>
        <v>1.8</v>
      </c>
      <c r="L497" s="66">
        <f>IF(SUM(F497:K497)=0,SUMIFS($L498:$L$1593,$B498:$B$1593,$B497,$A498:$A$1593,$A497),I497*K497)</f>
        <v>380.916</v>
      </c>
      <c r="N497"/>
      <c r="O497"/>
      <c r="P497" s="28"/>
      <c r="Q497" s="28"/>
      <c r="R497" s="28"/>
    </row>
    <row r="498" spans="1:18" outlineLevel="1">
      <c r="A498" s="24" t="str">
        <f t="shared" si="189"/>
        <v>GERAL</v>
      </c>
      <c r="B498" s="24" t="str">
        <f t="shared" si="190"/>
        <v>13º PAV. - TIPO 01 - x6 - LANÇAMENTO</v>
      </c>
      <c r="C498" s="30" t="s">
        <v>220</v>
      </c>
      <c r="D498" s="30" t="str">
        <f>'Tipo 1 - x6'!C28</f>
        <v>Luminárias e Placas de Saída</v>
      </c>
      <c r="E498" s="30" t="str">
        <f>'Tipo 1 - x6'!D28</f>
        <v>Luminária de Emergência 24V de Parede</v>
      </c>
      <c r="F498" s="25">
        <f>'Tipo 1 - x6'!E28</f>
        <v>3</v>
      </c>
      <c r="G498" s="25">
        <v>6</v>
      </c>
      <c r="H498" s="25">
        <v>0</v>
      </c>
      <c r="I498" s="25">
        <f t="shared" si="188"/>
        <v>18</v>
      </c>
      <c r="J498" s="25" t="str">
        <f>'Tipo 1 - x6'!F28</f>
        <v>pç</v>
      </c>
      <c r="K498" s="26">
        <f>_xlfn.XLOOKUP($E498,PREÇO!$C$7:$C$91,PREÇO!$E$7:$E$91)</f>
        <v>15.9</v>
      </c>
      <c r="L498" s="66">
        <f>IF(SUM(F498:K498)=0,SUMIFS($L499:$L$1593,$B499:$B$1593,$B498,$A499:$A$1593,$A498),I498*K498)</f>
        <v>286.2</v>
      </c>
      <c r="N498"/>
      <c r="O498"/>
      <c r="P498" s="28"/>
      <c r="Q498" s="28"/>
      <c r="R498" s="28"/>
    </row>
    <row r="499" spans="1:18" outlineLevel="1">
      <c r="A499" s="24" t="str">
        <f t="shared" si="189"/>
        <v>GERAL</v>
      </c>
      <c r="B499" s="24" t="str">
        <f t="shared" si="190"/>
        <v>13º PAV. - TIPO 01 - x6 - LANÇAMENTO</v>
      </c>
      <c r="C499" s="30" t="s">
        <v>220</v>
      </c>
      <c r="D499" s="30" t="str">
        <f>'Tipo 1 - x6'!C29</f>
        <v>Luminárias e Placas de Saída</v>
      </c>
      <c r="E499" s="30" t="str">
        <f>'Tipo 1 - x6'!D29</f>
        <v>Luminária de Emergência 24V de Teto</v>
      </c>
      <c r="F499" s="25">
        <f>'Tipo 1 - x6'!E29</f>
        <v>5</v>
      </c>
      <c r="G499" s="25">
        <v>6</v>
      </c>
      <c r="H499" s="25">
        <v>0</v>
      </c>
      <c r="I499" s="25">
        <f t="shared" si="188"/>
        <v>30</v>
      </c>
      <c r="J499" s="25" t="str">
        <f>'Tipo 1 - x6'!F29</f>
        <v>pç</v>
      </c>
      <c r="K499" s="26">
        <f>_xlfn.XLOOKUP($E499,PREÇO!$C$7:$C$91,PREÇO!$E$7:$E$91)</f>
        <v>69.900000000000006</v>
      </c>
      <c r="L499" s="66">
        <f>IF(SUM(F499:K499)=0,SUMIFS($L500:$L$1593,$B500:$B$1593,$B499,$A500:$A$1593,$A499),I499*K499)</f>
        <v>2097</v>
      </c>
      <c r="N499"/>
      <c r="O499"/>
      <c r="P499" s="28"/>
      <c r="Q499" s="28"/>
      <c r="R499" s="28"/>
    </row>
    <row r="500" spans="1:18" outlineLevel="1">
      <c r="A500" s="24" t="str">
        <f t="shared" si="189"/>
        <v>GERAL</v>
      </c>
      <c r="B500" s="24" t="str">
        <f t="shared" si="190"/>
        <v>13º PAV. - TIPO 01 - x6 - LANÇAMENTO</v>
      </c>
      <c r="C500" s="24" t="s">
        <v>222</v>
      </c>
      <c r="D500" s="30" t="str">
        <f>'Tipo 1 - x6'!C30</f>
        <v>Luminárias e Placas de Saída</v>
      </c>
      <c r="E500" s="30" t="str">
        <f>'Tipo 1 - x6'!D30</f>
        <v>Placa de Saída 24V de Parede sem Direção</v>
      </c>
      <c r="F500" s="25">
        <f>'Tipo 1 - x6'!E30</f>
        <v>1</v>
      </c>
      <c r="G500" s="25">
        <v>6</v>
      </c>
      <c r="H500" s="25">
        <v>0</v>
      </c>
      <c r="I500" s="25">
        <f t="shared" si="188"/>
        <v>6</v>
      </c>
      <c r="J500" s="25" t="str">
        <f>'Tipo 1 - x6'!F30</f>
        <v>pç</v>
      </c>
      <c r="K500" s="26">
        <f>_xlfn.XLOOKUP($E500,PREÇO!$C$7:$C$91,PREÇO!$E$7:$E$91)</f>
        <v>61.66</v>
      </c>
      <c r="L500" s="66">
        <f>IF(SUM(F500:K500)=0,SUMIFS($L502:$L$1593,$B502:$B$1593,$B500,$A502:$A$1593,$A500),I500*K500)</f>
        <v>369.96</v>
      </c>
      <c r="N500"/>
      <c r="O500"/>
      <c r="P500" s="28"/>
      <c r="Q500" s="28"/>
      <c r="R500" s="28"/>
    </row>
    <row r="501" spans="1:18" outlineLevel="1">
      <c r="A501" s="116" t="str">
        <f>A499</f>
        <v>GERAL</v>
      </c>
      <c r="B501" s="116" t="str">
        <f>B500</f>
        <v>13º PAV. - TIPO 01 - x6 - LANÇAMENTO</v>
      </c>
      <c r="C501" s="116" t="s">
        <v>222</v>
      </c>
      <c r="D501" s="116" t="s">
        <v>223</v>
      </c>
      <c r="E501" s="116" t="s">
        <v>224</v>
      </c>
      <c r="F501" s="117">
        <v>1</v>
      </c>
      <c r="G501" s="117">
        <f>G500</f>
        <v>6</v>
      </c>
      <c r="H501" s="118">
        <v>0</v>
      </c>
      <c r="I501" s="117">
        <f t="shared" si="188"/>
        <v>6</v>
      </c>
      <c r="J501" s="117" t="s">
        <v>11</v>
      </c>
      <c r="K501" s="119">
        <f>_xlfn.XLOOKUP($E501,PREÇO!$C$7:$C$91,PREÇO!$E$7:$E$91)</f>
        <v>646.55999999999995</v>
      </c>
      <c r="L501" s="120">
        <f>IF(SUM(F501:K501)=0,SUMIFS($L502:$L$1593,$B502:$B$1593,$B501,$A502:$A$1593,$A501),I501*K501)</f>
        <v>3879.3599999999997</v>
      </c>
      <c r="N501"/>
      <c r="O501"/>
      <c r="P501" s="28"/>
      <c r="Q501" s="28"/>
      <c r="R501" s="28"/>
    </row>
    <row r="502" spans="1:18" outlineLevel="1">
      <c r="A502" s="24" t="str">
        <f>A500</f>
        <v>GERAL</v>
      </c>
      <c r="B502" s="24" t="str">
        <f>B500</f>
        <v>13º PAV. - TIPO 01 - x6 - LANÇAMENTO</v>
      </c>
      <c r="C502" s="30" t="s">
        <v>220</v>
      </c>
      <c r="D502" s="30" t="str">
        <f>'Tipo 1 - x6'!C31</f>
        <v>Sensores de Presença</v>
      </c>
      <c r="E502" s="30" t="str">
        <f>'Tipo 1 - x6'!D31</f>
        <v>Sensor de Presença 24V de teto</v>
      </c>
      <c r="F502" s="25">
        <f>'Tipo 1 - x6'!E31</f>
        <v>3</v>
      </c>
      <c r="G502" s="25">
        <v>6</v>
      </c>
      <c r="H502" s="25">
        <v>0</v>
      </c>
      <c r="I502" s="25">
        <f t="shared" si="188"/>
        <v>18</v>
      </c>
      <c r="J502" s="25" t="str">
        <f>'Tipo 1 - x6'!F31</f>
        <v>pç</v>
      </c>
      <c r="K502" s="26">
        <f>_xlfn.XLOOKUP($E502,PREÇO!$C$7:$C$91,PREÇO!$E$7:$E$91)</f>
        <v>38.4</v>
      </c>
      <c r="L502" s="66">
        <f>IF(SUM(F502:K502)=0,SUMIFS($L503:$L$1593,$B503:$B$1593,$B502,$A503:$A$1593,$A502),I502*K502)</f>
        <v>691.19999999999993</v>
      </c>
      <c r="N502"/>
      <c r="O502"/>
      <c r="P502" s="28"/>
      <c r="Q502" s="28"/>
      <c r="R502" s="28"/>
    </row>
    <row r="503" spans="1:18" outlineLevel="1">
      <c r="A503" s="24" t="str">
        <f t="shared" si="189"/>
        <v>GERAL</v>
      </c>
      <c r="B503" s="24" t="str">
        <f t="shared" si="190"/>
        <v>13º PAV. - TIPO 01 - x6 - LANÇAMENTO</v>
      </c>
      <c r="C503" s="30" t="s">
        <v>221</v>
      </c>
      <c r="D503" s="83" t="s">
        <v>87</v>
      </c>
      <c r="E503" s="30" t="str">
        <f>'Tipo 1 - x6'!C34&amp;" "&amp;'Tipo 1 - x6'!D34</f>
        <v>Isolação em PVC (70ºC) 1.5 mm² - Amarelo</v>
      </c>
      <c r="F503" s="25">
        <f>'Tipo 1 - x6'!E34</f>
        <v>76.680000000000007</v>
      </c>
      <c r="G503" s="25">
        <v>6</v>
      </c>
      <c r="H503" s="25">
        <v>0</v>
      </c>
      <c r="I503" s="25">
        <f t="shared" si="188"/>
        <v>460.08000000000004</v>
      </c>
      <c r="J503" s="25" t="str">
        <f>'Tipo 1 - x6'!F34</f>
        <v>m</v>
      </c>
      <c r="K503" s="26">
        <f>_xlfn.XLOOKUP($E503,PREÇO!$C$7:$C$91,PREÇO!$E$7:$E$91)</f>
        <v>1.59</v>
      </c>
      <c r="L503" s="66">
        <f>IF(SUM(F503:K503)=0,SUMIFS($L504:$L$1593,$B504:$B$1593,$B503,$A504:$A$1593,$A503),I503*K503)</f>
        <v>731.52720000000011</v>
      </c>
      <c r="N503"/>
      <c r="O503"/>
      <c r="P503" s="28"/>
      <c r="Q503" s="28"/>
      <c r="R503" s="28"/>
    </row>
    <row r="504" spans="1:18" outlineLevel="1">
      <c r="A504" s="24" t="str">
        <f t="shared" si="189"/>
        <v>GERAL</v>
      </c>
      <c r="B504" s="24" t="str">
        <f t="shared" si="190"/>
        <v>13º PAV. - TIPO 01 - x6 - LANÇAMENTO</v>
      </c>
      <c r="C504" s="30" t="s">
        <v>221</v>
      </c>
      <c r="D504" s="83" t="s">
        <v>87</v>
      </c>
      <c r="E504" s="30" t="str">
        <f>'Tipo 1 - x6'!C35&amp;" "&amp;'Tipo 1 - x6'!D35</f>
        <v>Isolação em PVC (70ºC) 1.5 mm² - Preto</v>
      </c>
      <c r="F504" s="25">
        <f>'Tipo 1 - x6'!E35</f>
        <v>115.81</v>
      </c>
      <c r="G504" s="25">
        <v>6</v>
      </c>
      <c r="H504" s="25">
        <v>0</v>
      </c>
      <c r="I504" s="25">
        <f t="shared" si="188"/>
        <v>694.86</v>
      </c>
      <c r="J504" s="25" t="str">
        <f>'Tipo 1 - x6'!F35</f>
        <v>m</v>
      </c>
      <c r="K504" s="26">
        <f>_xlfn.XLOOKUP($E504,PREÇO!$C$7:$C$91,PREÇO!$E$7:$E$91)</f>
        <v>1.59</v>
      </c>
      <c r="L504" s="66">
        <f>IF(SUM(F504:K504)=0,SUMIFS($L505:$L$1593,$B505:$B$1593,$B504,$A505:$A$1593,$A504),I504*K504)</f>
        <v>1104.8274000000001</v>
      </c>
      <c r="N504"/>
      <c r="O504"/>
      <c r="P504" s="28"/>
      <c r="Q504" s="28"/>
      <c r="R504" s="28"/>
    </row>
    <row r="505" spans="1:18" outlineLevel="1">
      <c r="A505" s="24" t="str">
        <f t="shared" si="189"/>
        <v>GERAL</v>
      </c>
      <c r="B505" s="24" t="str">
        <f t="shared" si="190"/>
        <v>13º PAV. - TIPO 01 - x6 - LANÇAMENTO</v>
      </c>
      <c r="C505" s="30" t="s">
        <v>221</v>
      </c>
      <c r="D505" s="83" t="s">
        <v>87</v>
      </c>
      <c r="E505" s="30" t="str">
        <f>'Tipo 1 - x6'!C36&amp;" "&amp;'Tipo 1 - x6'!D36</f>
        <v>Isolação em PVC (70ºC) 1.5 mm² - Vermelho</v>
      </c>
      <c r="F505" s="25">
        <f>'Tipo 1 - x6'!E36</f>
        <v>115.81</v>
      </c>
      <c r="G505" s="25">
        <v>6</v>
      </c>
      <c r="H505" s="25">
        <v>0</v>
      </c>
      <c r="I505" s="25">
        <f t="shared" si="188"/>
        <v>694.86</v>
      </c>
      <c r="J505" s="25" t="str">
        <f>'Tipo 1 - x6'!F36</f>
        <v>m</v>
      </c>
      <c r="K505" s="26">
        <f>_xlfn.XLOOKUP($E505,PREÇO!$C$7:$C$91,PREÇO!$E$7:$E$91)</f>
        <v>1.59</v>
      </c>
      <c r="L505" s="66">
        <f>IF(SUM(F505:K505)=0,SUMIFS($L506:$L$1593,$B506:$B$1593,$B505,$A506:$A$1593,$A505),I505*K505)</f>
        <v>1104.8274000000001</v>
      </c>
      <c r="N505"/>
      <c r="O505"/>
      <c r="P505" s="28"/>
      <c r="Q505" s="28"/>
      <c r="R505" s="28"/>
    </row>
    <row r="506" spans="1:18" outlineLevel="1">
      <c r="A506" s="24" t="str">
        <f t="shared" si="189"/>
        <v>GERAL</v>
      </c>
      <c r="B506" s="24" t="str">
        <f t="shared" si="190"/>
        <v>13º PAV. - TIPO 01 - x6 - LANÇAMENTO</v>
      </c>
      <c r="C506" s="30" t="s">
        <v>221</v>
      </c>
      <c r="D506" s="83" t="s">
        <v>87</v>
      </c>
      <c r="E506" s="30" t="str">
        <f>'Tipo 1 - x6'!C37&amp;" "&amp;'Tipo 1 - x6'!D37</f>
        <v>Isolação em PVC (70ºC) 4 mm² - Amarelo</v>
      </c>
      <c r="F506" s="25">
        <f>'Tipo 1 - x6'!E37</f>
        <v>26.72</v>
      </c>
      <c r="G506" s="25">
        <v>6</v>
      </c>
      <c r="H506" s="25">
        <v>0</v>
      </c>
      <c r="I506" s="25">
        <f t="shared" si="188"/>
        <v>160.32</v>
      </c>
      <c r="J506" s="25" t="str">
        <f>'Tipo 1 - x6'!F37</f>
        <v>m</v>
      </c>
      <c r="K506" s="26">
        <f>_xlfn.XLOOKUP($E506,PREÇO!$C$7:$C$91,PREÇO!$E$7:$E$91)</f>
        <v>3.89</v>
      </c>
      <c r="L506" s="66">
        <f>IF(SUM(F506:K506)=0,SUMIFS($L507:$L$1593,$B507:$B$1593,$B506,$A507:$A$1593,$A506),I506*K506)</f>
        <v>623.64480000000003</v>
      </c>
      <c r="N506"/>
      <c r="O506"/>
      <c r="P506" s="28"/>
      <c r="Q506" s="28"/>
      <c r="R506" s="28"/>
    </row>
    <row r="507" spans="1:18" outlineLevel="1">
      <c r="A507" s="24" t="str">
        <f t="shared" si="189"/>
        <v>GERAL</v>
      </c>
      <c r="B507" s="24" t="str">
        <f t="shared" si="190"/>
        <v>13º PAV. - TIPO 01 - x6 - LANÇAMENTO</v>
      </c>
      <c r="C507" s="30" t="s">
        <v>221</v>
      </c>
      <c r="D507" s="83" t="s">
        <v>87</v>
      </c>
      <c r="E507" s="30" t="str">
        <f>'Tipo 1 - x6'!C38&amp;" "&amp;'Tipo 1 - x6'!D38</f>
        <v>Isolação em PVC (70ºC) 4 mm² - Preto</v>
      </c>
      <c r="F507" s="25">
        <f>'Tipo 1 - x6'!E38</f>
        <v>13.36</v>
      </c>
      <c r="G507" s="25">
        <v>6</v>
      </c>
      <c r="H507" s="25">
        <v>0</v>
      </c>
      <c r="I507" s="25">
        <f t="shared" si="188"/>
        <v>80.16</v>
      </c>
      <c r="J507" s="25" t="str">
        <f>'Tipo 1 - x6'!F38</f>
        <v>m</v>
      </c>
      <c r="K507" s="26">
        <f>_xlfn.XLOOKUP($E507,PREÇO!$C$7:$C$91,PREÇO!$E$7:$E$91)</f>
        <v>3.89</v>
      </c>
      <c r="L507" s="66">
        <f>IF(SUM(F507:K507)=0,SUMIFS($L508:$L$1593,$B508:$B$1593,$B507,$A508:$A$1593,$A507),I507*K507)</f>
        <v>311.82240000000002</v>
      </c>
      <c r="N507"/>
      <c r="O507"/>
      <c r="P507" s="28"/>
      <c r="Q507" s="28"/>
      <c r="R507" s="28"/>
    </row>
    <row r="508" spans="1:18" outlineLevel="1">
      <c r="A508" s="24" t="str">
        <f t="shared" si="189"/>
        <v>GERAL</v>
      </c>
      <c r="B508" s="24" t="str">
        <f t="shared" si="190"/>
        <v>13º PAV. - TIPO 01 - x6 - LANÇAMENTO</v>
      </c>
      <c r="C508" s="30" t="s">
        <v>221</v>
      </c>
      <c r="D508" s="83" t="s">
        <v>87</v>
      </c>
      <c r="E508" s="30" t="str">
        <f>'Tipo 1 - x6'!C39&amp;" "&amp;'Tipo 1 - x6'!D39</f>
        <v>Isolação em PVC (70ºC) 4 mm² - Vermelho</v>
      </c>
      <c r="F508" s="25">
        <f>'Tipo 1 - x6'!E39</f>
        <v>13.36</v>
      </c>
      <c r="G508" s="25">
        <v>6</v>
      </c>
      <c r="H508" s="25">
        <v>0</v>
      </c>
      <c r="I508" s="25">
        <f t="shared" si="188"/>
        <v>80.16</v>
      </c>
      <c r="J508" s="25" t="str">
        <f>'Tipo 1 - x6'!F39</f>
        <v>m</v>
      </c>
      <c r="K508" s="26">
        <f>_xlfn.XLOOKUP($E508,PREÇO!$C$7:$C$91,PREÇO!$E$7:$E$91)</f>
        <v>3.89</v>
      </c>
      <c r="L508" s="66">
        <f>IF(SUM(F508:K508)=0,SUMIFS($L509:$L$1593,$B509:$B$1593,$B508,$A509:$A$1593,$A508),I508*K508)</f>
        <v>311.82240000000002</v>
      </c>
      <c r="N508"/>
      <c r="O508"/>
      <c r="P508" s="28"/>
      <c r="Q508" s="28"/>
      <c r="R508" s="28"/>
    </row>
    <row r="509" spans="1:18" outlineLevel="1">
      <c r="A509" s="24" t="str">
        <f t="shared" si="189"/>
        <v>GERAL</v>
      </c>
      <c r="B509" s="24" t="str">
        <f t="shared" si="190"/>
        <v>13º PAV. - TIPO 01 - x6 - LANÇAMENTO</v>
      </c>
      <c r="C509" s="30" t="s">
        <v>221</v>
      </c>
      <c r="D509" s="83" t="s">
        <v>46</v>
      </c>
      <c r="E509" s="30" t="str">
        <f>'Tipo 1 - x6'!C43&amp;" "&amp;'Tipo 1 - x6'!D43</f>
        <v>PVC Flexível Antichama - NBR 15465 ø1"</v>
      </c>
      <c r="F509" s="25">
        <f>'Tipo 1 - x6'!E43</f>
        <v>163.11000000000001</v>
      </c>
      <c r="G509" s="25">
        <v>6</v>
      </c>
      <c r="H509" s="25">
        <v>0</v>
      </c>
      <c r="I509" s="25">
        <f t="shared" si="188"/>
        <v>978.66000000000008</v>
      </c>
      <c r="J509" s="25" t="str">
        <f>'Tipo 1 - x6'!F43</f>
        <v>m</v>
      </c>
      <c r="K509" s="26">
        <f>_xlfn.XLOOKUP($E509,PREÇO!$C$7:$C$91,PREÇO!$E$7:$E$91)</f>
        <v>2.5299999999999998</v>
      </c>
      <c r="L509" s="66">
        <f>IF(SUM(F509:K509)=0,SUMIFS($L510:$L$1593,$B510:$B$1593,$B509,$A510:$A$1593,$A509),I509*K509)</f>
        <v>2476.0097999999998</v>
      </c>
      <c r="N509"/>
      <c r="O509"/>
      <c r="P509" s="28"/>
      <c r="Q509" s="28"/>
      <c r="R509" s="28"/>
    </row>
    <row r="510" spans="1:18" outlineLevel="1">
      <c r="A510" s="24" t="str">
        <f t="shared" si="189"/>
        <v>GERAL</v>
      </c>
      <c r="B510" s="24" t="str">
        <f t="shared" si="190"/>
        <v>13º PAV. - TIPO 01 - x6 - LANÇAMENTO</v>
      </c>
      <c r="C510" s="30" t="s">
        <v>221</v>
      </c>
      <c r="D510" s="83" t="s">
        <v>89</v>
      </c>
      <c r="E510" s="30" t="str">
        <f>'Tipo 1 - x6'!C46&amp;" "&amp;'Tipo 1 - x6'!D46</f>
        <v>Classe A - PVC Anti-chama - 105ºC - Isolação 600V 0.75 mm²</v>
      </c>
      <c r="F510" s="25">
        <f>'Tipo 1 - x6'!E46</f>
        <v>156.74</v>
      </c>
      <c r="G510" s="25">
        <v>6</v>
      </c>
      <c r="H510" s="25">
        <v>0</v>
      </c>
      <c r="I510" s="25">
        <f t="shared" si="188"/>
        <v>940.44</v>
      </c>
      <c r="J510" s="25" t="str">
        <f>'Tipo 1 - x6'!F46</f>
        <v>m</v>
      </c>
      <c r="K510" s="26">
        <f>_xlfn.XLOOKUP($E510,PREÇO!$C$7:$C$91,PREÇO!$E$7:$E$91)</f>
        <v>0.99</v>
      </c>
      <c r="L510" s="66">
        <f>IF(SUM(F510:K510)=0,SUMIFS($L511:$L$1593,$B511:$B$1593,$B510,$A511:$A$1593,$A510),I510*K510)</f>
        <v>931.03560000000004</v>
      </c>
      <c r="N510"/>
      <c r="O510"/>
      <c r="P510" s="28"/>
      <c r="Q510" s="28"/>
      <c r="R510" s="28"/>
    </row>
    <row r="511" spans="1:18" ht="15.75" outlineLevel="1" thickBot="1">
      <c r="A511" s="24" t="str">
        <f t="shared" si="189"/>
        <v>GERAL</v>
      </c>
      <c r="B511" s="24" t="str">
        <f t="shared" si="190"/>
        <v>13º PAV. - TIPO 01 - x6 - LANÇAMENTO</v>
      </c>
      <c r="C511" s="30" t="s">
        <v>221</v>
      </c>
      <c r="D511" s="83" t="s">
        <v>89</v>
      </c>
      <c r="E511" s="30" t="str">
        <f>'Tipo 1 - x6'!C47&amp;" "&amp;'Tipo 1 - x6'!D47</f>
        <v>Classe B - PVC Anti-chama - 105ºC - Isolação 600V 1.5 mm²</v>
      </c>
      <c r="F511" s="25">
        <f>'Tipo 1 - x6'!E47</f>
        <v>149.06</v>
      </c>
      <c r="G511" s="25">
        <v>6</v>
      </c>
      <c r="H511" s="25">
        <v>0</v>
      </c>
      <c r="I511" s="25">
        <f t="shared" si="188"/>
        <v>894.36</v>
      </c>
      <c r="J511" s="25" t="str">
        <f>'Tipo 1 - x6'!F47</f>
        <v>m</v>
      </c>
      <c r="K511" s="26">
        <f>_xlfn.XLOOKUP($E511,PREÇO!$C$7:$C$91,PREÇO!$E$7:$E$91)</f>
        <v>1.69</v>
      </c>
      <c r="L511" s="66">
        <f>IF(SUM(F511:K511)=0,SUMIFS($L512:$L$1593,$B512:$B$1593,$B511,$A512:$A$1593,$A511),I511*K511)</f>
        <v>1511.4684</v>
      </c>
      <c r="N511"/>
      <c r="O511"/>
      <c r="P511" s="28"/>
      <c r="Q511" s="28"/>
      <c r="R511" s="28"/>
    </row>
    <row r="512" spans="1:18" ht="15.75" thickTop="1">
      <c r="A512" s="82" t="str">
        <f t="shared" si="186"/>
        <v>GERAL</v>
      </c>
      <c r="B512" s="82" t="s">
        <v>145</v>
      </c>
      <c r="C512" s="43"/>
      <c r="D512" s="44" t="str">
        <f>'Tipo 1 - x6'!C48</f>
        <v/>
      </c>
      <c r="E512" s="44" t="str">
        <f>'Tipo 1 - x6'!D48</f>
        <v/>
      </c>
      <c r="F512" s="45" t="str">
        <f>'Tipo 1 - x6'!E48</f>
        <v/>
      </c>
      <c r="G512" s="45"/>
      <c r="H512" s="45"/>
      <c r="I512" s="45"/>
      <c r="J512" s="45"/>
      <c r="K512" s="47"/>
      <c r="L512" s="48">
        <f>IF(SUM(F512:K512)=0,SUMIFS($L513:$L$1593,$B513:$B$1593,$B512,$A513:$A$1593,$A512),I512*K512)</f>
        <v>18103.734300000007</v>
      </c>
      <c r="N512"/>
      <c r="O512"/>
      <c r="P512" s="28"/>
      <c r="Q512" s="28"/>
      <c r="R512" s="28"/>
    </row>
    <row r="513" spans="1:18" outlineLevel="1">
      <c r="A513" s="24" t="str">
        <f>A512</f>
        <v>GERAL</v>
      </c>
      <c r="B513" s="24" t="str">
        <f>B512</f>
        <v>19º PAV. - TIPO 02 - x3 - LANÇAMENTO</v>
      </c>
      <c r="C513" s="30" t="s">
        <v>221</v>
      </c>
      <c r="D513" s="30" t="str">
        <f>'Tipo 2 - x3'!C6</f>
        <v>Acionadores</v>
      </c>
      <c r="E513" s="30" t="str">
        <f>'Tipo 2 - x3'!D6</f>
        <v>Acionador Manual de Alarme de Incêndio</v>
      </c>
      <c r="F513" s="25">
        <f>'Tipo 2 - x3'!E6</f>
        <v>1</v>
      </c>
      <c r="G513" s="25">
        <v>3</v>
      </c>
      <c r="H513" s="25">
        <v>0</v>
      </c>
      <c r="I513" s="25">
        <f t="shared" si="188"/>
        <v>3</v>
      </c>
      <c r="J513" s="25" t="str">
        <f>'Tipo 2 - x3'!F6</f>
        <v>pç</v>
      </c>
      <c r="K513" s="26">
        <f>_xlfn.XLOOKUP($E513,PREÇO!$C$7:$C$91,PREÇO!$E$7:$E$91)</f>
        <v>65</v>
      </c>
      <c r="L513" s="66">
        <f>IF(SUM(F513:K513)=0,SUMIFS($L514:$L$1593,$B514:$B$1593,$B513,$A514:$A$1593,$A513),I513*K513)</f>
        <v>195</v>
      </c>
      <c r="N513"/>
      <c r="O513"/>
      <c r="P513" s="28"/>
      <c r="Q513" s="28"/>
      <c r="R513" s="28"/>
    </row>
    <row r="514" spans="1:18" outlineLevel="1">
      <c r="A514" s="24" t="str">
        <f t="shared" ref="A514:A546" si="191">A513</f>
        <v>GERAL</v>
      </c>
      <c r="B514" s="24" t="str">
        <f t="shared" ref="B514:B546" si="192">B513</f>
        <v>19º PAV. - TIPO 02 - x3 - LANÇAMENTO</v>
      </c>
      <c r="C514" s="30" t="s">
        <v>221</v>
      </c>
      <c r="D514" s="30" t="str">
        <f>'Tipo 2 - x3'!C7</f>
        <v>Anunciadores</v>
      </c>
      <c r="E514" s="30" t="str">
        <f>'Tipo 2 - x3'!D7</f>
        <v>Anunciador Audiovisual de Alarme de Incêndio de Parede</v>
      </c>
      <c r="F514" s="25">
        <f>'Tipo 2 - x3'!E7</f>
        <v>1</v>
      </c>
      <c r="G514" s="25">
        <v>3</v>
      </c>
      <c r="H514" s="25">
        <v>0</v>
      </c>
      <c r="I514" s="25">
        <f t="shared" ref="I514:I542" si="193">(F514+H514*F514)*G514</f>
        <v>3</v>
      </c>
      <c r="J514" s="25" t="str">
        <f>'Tipo 2 - x3'!F7</f>
        <v>pç</v>
      </c>
      <c r="K514" s="26">
        <f>_xlfn.XLOOKUP($E514,PREÇO!$C$7:$C$91,PREÇO!$E$7:$E$91)</f>
        <v>191.81</v>
      </c>
      <c r="L514" s="66">
        <f>IF(SUM(F514:K514)=0,SUMIFS($L515:$L$1593,$B515:$B$1593,$B514,$A515:$A$1593,$A514),I514*K514)</f>
        <v>575.43000000000006</v>
      </c>
      <c r="N514"/>
      <c r="O514"/>
      <c r="P514" s="28"/>
      <c r="Q514" s="28"/>
      <c r="R514" s="28"/>
    </row>
    <row r="515" spans="1:18" outlineLevel="1">
      <c r="A515" s="24" t="str">
        <f t="shared" si="191"/>
        <v>GERAL</v>
      </c>
      <c r="B515" s="24" t="str">
        <f t="shared" si="192"/>
        <v>19º PAV. - TIPO 02 - x3 - LANÇAMENTO</v>
      </c>
      <c r="C515" s="30" t="s">
        <v>221</v>
      </c>
      <c r="D515" s="30" t="str">
        <f>'Tipo 2 - x3'!C8</f>
        <v>Anunciadores</v>
      </c>
      <c r="E515" s="30" t="str">
        <f>'Tipo 2 - x3'!D8</f>
        <v>Anunciador Audiovisual de Alarme de Incêndio de Teto</v>
      </c>
      <c r="F515" s="25">
        <f>'Tipo 2 - x3'!E8</f>
        <v>2</v>
      </c>
      <c r="G515" s="25">
        <v>3</v>
      </c>
      <c r="H515" s="25">
        <v>0</v>
      </c>
      <c r="I515" s="25">
        <f t="shared" si="193"/>
        <v>6</v>
      </c>
      <c r="J515" s="25" t="str">
        <f>'Tipo 2 - x3'!F8</f>
        <v>pç</v>
      </c>
      <c r="K515" s="26">
        <f>_xlfn.XLOOKUP($E515,PREÇO!$C$7:$C$91,PREÇO!$E$7:$E$91)</f>
        <v>169.96</v>
      </c>
      <c r="L515" s="66">
        <f>IF(SUM(F515:K515)=0,SUMIFS($L516:$L$1593,$B516:$B$1593,$B515,$A516:$A$1593,$A515),I515*K515)</f>
        <v>1019.76</v>
      </c>
      <c r="N515"/>
      <c r="O515"/>
      <c r="P515" s="28"/>
      <c r="Q515" s="28"/>
      <c r="R515" s="28"/>
    </row>
    <row r="516" spans="1:18" outlineLevel="1">
      <c r="A516" s="24" t="str">
        <f t="shared" si="191"/>
        <v>GERAL</v>
      </c>
      <c r="B516" s="24" t="str">
        <f t="shared" si="192"/>
        <v>19º PAV. - TIPO 02 - x3 - LANÇAMENTO</v>
      </c>
      <c r="C516" s="30" t="s">
        <v>221</v>
      </c>
      <c r="D516" s="30" t="str">
        <f>'Tipo 2 - x3'!C9</f>
        <v>Atuadores</v>
      </c>
      <c r="E516" s="30" t="str">
        <f>'Tipo 2 - x3'!D9</f>
        <v>Atuador Janela Desenfumagem</v>
      </c>
      <c r="F516" s="25">
        <f>'Tipo 2 - x3'!E9</f>
        <v>1</v>
      </c>
      <c r="G516" s="25">
        <v>3</v>
      </c>
      <c r="H516" s="25">
        <v>0</v>
      </c>
      <c r="I516" s="25">
        <f t="shared" si="193"/>
        <v>3</v>
      </c>
      <c r="J516" s="25" t="str">
        <f>'Tipo 2 - x3'!F9</f>
        <v>pç</v>
      </c>
      <c r="K516" s="26">
        <f>_xlfn.XLOOKUP($E516,PREÇO!$C$7:$C$91,PREÇO!$E$7:$E$91)</f>
        <v>1150</v>
      </c>
      <c r="L516" s="66">
        <f>IF(SUM(F516:K516)=0,SUMIFS($L517:$L$1593,$B517:$B$1593,$B516,$A517:$A$1593,$A516),I516*K516)</f>
        <v>3450</v>
      </c>
      <c r="N516"/>
      <c r="O516"/>
      <c r="P516" s="28"/>
      <c r="Q516" s="28"/>
      <c r="R516" s="28"/>
    </row>
    <row r="517" spans="1:18" outlineLevel="1">
      <c r="A517" s="24" t="str">
        <f t="shared" si="191"/>
        <v>GERAL</v>
      </c>
      <c r="B517" s="24" t="str">
        <f t="shared" si="192"/>
        <v>19º PAV. - TIPO 02 - x3 - LANÇAMENTO</v>
      </c>
      <c r="C517" s="30" t="s">
        <v>221</v>
      </c>
      <c r="D517" s="30" t="str">
        <f>'Tipo 2 - x3'!C10</f>
        <v>Atuadores</v>
      </c>
      <c r="E517" s="30" t="str">
        <f>'Tipo 2 - x3'!D10</f>
        <v>Dispositivo Eletromagnético de Porta Aberta</v>
      </c>
      <c r="F517" s="25">
        <f>'Tipo 2 - x3'!E10</f>
        <v>1</v>
      </c>
      <c r="G517" s="25">
        <v>3</v>
      </c>
      <c r="H517" s="25">
        <v>0</v>
      </c>
      <c r="I517" s="25">
        <f t="shared" si="193"/>
        <v>3</v>
      </c>
      <c r="J517" s="25" t="str">
        <f>'Tipo 2 - x3'!F10</f>
        <v>pç</v>
      </c>
      <c r="K517" s="26">
        <f>_xlfn.XLOOKUP($E517,PREÇO!$C$7:$C$91,PREÇO!$E$7:$E$91)</f>
        <v>416.9</v>
      </c>
      <c r="L517" s="66">
        <f>IF(SUM(F517:K517)=0,SUMIFS($L518:$L$1593,$B518:$B$1593,$B517,$A518:$A$1593,$A517),I517*K517)</f>
        <v>1250.6999999999998</v>
      </c>
      <c r="N517"/>
      <c r="O517"/>
      <c r="P517" s="28"/>
      <c r="Q517" s="28"/>
      <c r="R517" s="28"/>
    </row>
    <row r="518" spans="1:18" outlineLevel="1">
      <c r="A518" s="24" t="str">
        <f t="shared" si="191"/>
        <v>GERAL</v>
      </c>
      <c r="B518" s="24" t="str">
        <f t="shared" si="192"/>
        <v>19º PAV. - TIPO 02 - x3 - LANÇAMENTO</v>
      </c>
      <c r="C518" s="30" t="s">
        <v>221</v>
      </c>
      <c r="D518" s="30" t="str">
        <f>'Tipo 2 - x3'!C11</f>
        <v>Sensores</v>
      </c>
      <c r="E518" s="30" t="str">
        <f>'Tipo 2 - x3'!D11</f>
        <v>Sensor de Fumaça</v>
      </c>
      <c r="F518" s="25">
        <f>'Tipo 2 - x3'!E11</f>
        <v>19</v>
      </c>
      <c r="G518" s="25">
        <v>3</v>
      </c>
      <c r="H518" s="25">
        <v>0</v>
      </c>
      <c r="I518" s="25">
        <f t="shared" si="193"/>
        <v>57</v>
      </c>
      <c r="J518" s="25" t="str">
        <f>'Tipo 2 - x3'!F11</f>
        <v>pç</v>
      </c>
      <c r="K518" s="26">
        <f>_xlfn.XLOOKUP($E518,PREÇO!$C$7:$C$91,PREÇO!$E$7:$E$91)</f>
        <v>53.9</v>
      </c>
      <c r="L518" s="66">
        <f>IF(SUM(F518:K518)=0,SUMIFS($L519:$L$1593,$B519:$B$1593,$B518,$A519:$A$1593,$A518),I518*K518)</f>
        <v>3072.2999999999997</v>
      </c>
      <c r="N518"/>
      <c r="O518"/>
      <c r="P518" s="28"/>
      <c r="Q518" s="28"/>
      <c r="R518" s="28"/>
    </row>
    <row r="519" spans="1:18" outlineLevel="1">
      <c r="A519" s="24" t="str">
        <f t="shared" ref="A519:A539" si="194">A518</f>
        <v>GERAL</v>
      </c>
      <c r="B519" s="24" t="str">
        <f t="shared" ref="B519:B539" si="195">B518</f>
        <v>19º PAV. - TIPO 02 - x3 - LANÇAMENTO</v>
      </c>
      <c r="C519" s="30" t="s">
        <v>221</v>
      </c>
      <c r="D519" s="30" t="str">
        <f>'Tipo 2 - x3'!C14</f>
        <v>Caixas</v>
      </c>
      <c r="E519" s="30" t="str">
        <f>'Tipo 2 - x3'!D14</f>
        <v>Caixa Octogonal Padrão NBR IEC 60670</v>
      </c>
      <c r="F519" s="25">
        <f>'Tipo 2 - x3'!E14</f>
        <v>31</v>
      </c>
      <c r="G519" s="25">
        <v>3</v>
      </c>
      <c r="H519" s="25">
        <v>0</v>
      </c>
      <c r="I519" s="25">
        <f t="shared" si="193"/>
        <v>93</v>
      </c>
      <c r="J519" s="25" t="str">
        <f>'Tipo 2 - x3'!F14</f>
        <v>pç</v>
      </c>
      <c r="K519" s="26">
        <f>_xlfn.XLOOKUP($E519,PREÇO!$C$7:$C$91,PREÇO!$E$7:$E$91)</f>
        <v>5.32</v>
      </c>
      <c r="L519" s="66">
        <f>IF(SUM(F519:K519)=0,SUMIFS($L520:$L$1593,$B520:$B$1593,$B519,$A520:$A$1593,$A519),I519*K519)</f>
        <v>494.76000000000005</v>
      </c>
      <c r="N519"/>
      <c r="O519"/>
      <c r="P519" s="28"/>
      <c r="Q519" s="28"/>
      <c r="R519" s="28"/>
    </row>
    <row r="520" spans="1:18" outlineLevel="1">
      <c r="A520" s="24" t="str">
        <f t="shared" si="194"/>
        <v>GERAL</v>
      </c>
      <c r="B520" s="24" t="str">
        <f t="shared" si="195"/>
        <v>19º PAV. - TIPO 02 - x3 - LANÇAMENTO</v>
      </c>
      <c r="C520" s="30" t="s">
        <v>221</v>
      </c>
      <c r="D520" s="30" t="str">
        <f>'Tipo 2 - x3'!C15</f>
        <v>Placas</v>
      </c>
      <c r="E520" s="30" t="str">
        <f>'Tipo 2 - x3'!D15</f>
        <v>Placa cega para caixa octogonal Padrão NBR IEC 60670</v>
      </c>
      <c r="F520" s="25">
        <f>'Tipo 2 - x3'!E15</f>
        <v>2</v>
      </c>
      <c r="G520" s="25">
        <v>3</v>
      </c>
      <c r="H520" s="25">
        <v>0</v>
      </c>
      <c r="I520" s="25">
        <f t="shared" si="193"/>
        <v>6</v>
      </c>
      <c r="J520" s="25" t="str">
        <f>'Tipo 2 - x3'!F15</f>
        <v>pç</v>
      </c>
      <c r="K520" s="26">
        <f>_xlfn.XLOOKUP($E520,PREÇO!$C$7:$C$91,PREÇO!$E$7:$E$91)</f>
        <v>2.5</v>
      </c>
      <c r="L520" s="66">
        <f>IF(SUM(F520:K520)=0,SUMIFS($L521:$L$1593,$B521:$B$1593,$B520,$A521:$A$1593,$A520),I520*K520)</f>
        <v>15</v>
      </c>
      <c r="N520"/>
      <c r="O520"/>
      <c r="P520" s="28"/>
      <c r="Q520" s="28"/>
      <c r="R520" s="28"/>
    </row>
    <row r="521" spans="1:18" outlineLevel="1">
      <c r="A521" s="24" t="str">
        <f t="shared" si="194"/>
        <v>GERAL</v>
      </c>
      <c r="B521" s="24" t="str">
        <f t="shared" si="195"/>
        <v>19º PAV. - TIPO 02 - x3 - LANÇAMENTO</v>
      </c>
      <c r="C521" s="30" t="s">
        <v>221</v>
      </c>
      <c r="D521" s="30" t="str">
        <f>'Tipo 2 - x3'!C18</f>
        <v>Caixas</v>
      </c>
      <c r="E521" s="30" t="str">
        <f>'Tipo 2 - x3'!D18</f>
        <v>Caixa 4x2" de Embutir em PVC Padrão NBR IEC 60670</v>
      </c>
      <c r="F521" s="25">
        <f>'Tipo 2 - x3'!E18</f>
        <v>9</v>
      </c>
      <c r="G521" s="25">
        <v>3</v>
      </c>
      <c r="H521" s="25">
        <v>0</v>
      </c>
      <c r="I521" s="25">
        <f t="shared" si="193"/>
        <v>27</v>
      </c>
      <c r="J521" s="25" t="str">
        <f>'Tipo 2 - x3'!F18</f>
        <v>pç</v>
      </c>
      <c r="K521" s="26">
        <f>_xlfn.XLOOKUP($E521,PREÇO!$C$7:$C$91,PREÇO!$E$7:$E$91)</f>
        <v>1.72</v>
      </c>
      <c r="L521" s="66">
        <f>IF(SUM(F521:K521)=0,SUMIFS($L522:$L$1593,$B522:$B$1593,$B521,$A522:$A$1593,$A521),I521*K521)</f>
        <v>46.44</v>
      </c>
      <c r="N521"/>
      <c r="O521"/>
      <c r="P521" s="28"/>
      <c r="Q521" s="28"/>
      <c r="R521" s="28"/>
    </row>
    <row r="522" spans="1:18" outlineLevel="1">
      <c r="A522" s="24" t="str">
        <f t="shared" si="194"/>
        <v>GERAL</v>
      </c>
      <c r="B522" s="24" t="str">
        <f t="shared" si="195"/>
        <v>19º PAV. - TIPO 02 - x3 - LANÇAMENTO</v>
      </c>
      <c r="C522" s="30" t="s">
        <v>221</v>
      </c>
      <c r="D522" s="30" t="str">
        <f>'Tipo 2 - x3'!C19</f>
        <v>Placas</v>
      </c>
      <c r="E522" s="30" t="str">
        <f>'Tipo 2 - x3'!D19</f>
        <v>Placa 4x2" cega Padrão NBR IEC 60670</v>
      </c>
      <c r="F522" s="25">
        <f>'Tipo 2 - x3'!E19</f>
        <v>3</v>
      </c>
      <c r="G522" s="25">
        <v>3</v>
      </c>
      <c r="H522" s="25">
        <v>0</v>
      </c>
      <c r="I522" s="25">
        <f t="shared" si="193"/>
        <v>9</v>
      </c>
      <c r="J522" s="25" t="str">
        <f>'Tipo 2 - x3'!F19</f>
        <v>pç</v>
      </c>
      <c r="K522" s="26">
        <f>_xlfn.XLOOKUP($E522,PREÇO!$C$7:$C$91,PREÇO!$E$7:$E$91)</f>
        <v>4.59</v>
      </c>
      <c r="L522" s="66">
        <f>IF(SUM(F522:K522)=0,SUMIFS($L523:$L$1593,$B523:$B$1593,$B522,$A523:$A$1593,$A522),I522*K522)</f>
        <v>41.31</v>
      </c>
      <c r="N522"/>
      <c r="O522"/>
      <c r="P522" s="28"/>
      <c r="Q522" s="28"/>
      <c r="R522" s="28"/>
    </row>
    <row r="523" spans="1:18" outlineLevel="1">
      <c r="A523" s="24" t="str">
        <f t="shared" si="194"/>
        <v>GERAL</v>
      </c>
      <c r="B523" s="24" t="str">
        <f t="shared" si="195"/>
        <v>19º PAV. - TIPO 02 - x3 - LANÇAMENTO</v>
      </c>
      <c r="C523" s="30" t="s">
        <v>221</v>
      </c>
      <c r="D523" s="30" t="str">
        <f>'Tipo 2 - x3'!C20</f>
        <v>Placas</v>
      </c>
      <c r="E523" s="30" t="str">
        <f>'Tipo 2 - x3'!D20</f>
        <v>Placa 4x2" com furo para saída de cabos Padrão NBR IEC 60670</v>
      </c>
      <c r="F523" s="25">
        <f>'Tipo 2 - x3'!E20</f>
        <v>6</v>
      </c>
      <c r="G523" s="25">
        <v>3</v>
      </c>
      <c r="H523" s="25">
        <v>0</v>
      </c>
      <c r="I523" s="25">
        <f t="shared" si="193"/>
        <v>18</v>
      </c>
      <c r="J523" s="25" t="str">
        <f>'Tipo 2 - x3'!F20</f>
        <v>pç</v>
      </c>
      <c r="K523" s="26">
        <f>_xlfn.XLOOKUP($E523,PREÇO!$C$7:$C$91,PREÇO!$E$7:$E$91)</f>
        <v>6.55</v>
      </c>
      <c r="L523" s="66">
        <f>IF(SUM(F523:K523)=0,SUMIFS($L524:$L$1593,$B524:$B$1593,$B523,$A524:$A$1593,$A523),I523*K523)</f>
        <v>117.89999999999999</v>
      </c>
      <c r="N523"/>
      <c r="O523"/>
      <c r="P523" s="28"/>
      <c r="Q523" s="28"/>
      <c r="R523" s="28"/>
    </row>
    <row r="524" spans="1:18" outlineLevel="1">
      <c r="A524" s="24" t="str">
        <f t="shared" si="194"/>
        <v>GERAL</v>
      </c>
      <c r="B524" s="24" t="str">
        <f t="shared" si="195"/>
        <v>19º PAV. - TIPO 02 - x3 - LANÇAMENTO</v>
      </c>
      <c r="C524" s="30" t="s">
        <v>221</v>
      </c>
      <c r="D524" s="30" t="str">
        <f>'Tipo 2 - x3'!C21</f>
        <v>Suportes</v>
      </c>
      <c r="E524" s="30" t="str">
        <f>'Tipo 2 - x3'!D21</f>
        <v>Suporte p/ caixa 4x2" Padrão NBR IEC 60670</v>
      </c>
      <c r="F524" s="25">
        <f>'Tipo 2 - x3'!E21</f>
        <v>9</v>
      </c>
      <c r="G524" s="25">
        <v>3</v>
      </c>
      <c r="H524" s="25">
        <v>0</v>
      </c>
      <c r="I524" s="25">
        <f t="shared" si="193"/>
        <v>27</v>
      </c>
      <c r="J524" s="25" t="str">
        <f>'Tipo 2 - x3'!F21</f>
        <v>pç</v>
      </c>
      <c r="K524" s="26">
        <f>_xlfn.XLOOKUP($E524,PREÇO!$C$7:$C$91,PREÇO!$E$7:$E$91)</f>
        <v>1.85</v>
      </c>
      <c r="L524" s="66">
        <f>IF(SUM(F524:K524)=0,SUMIFS($L525:$L$1593,$B525:$B$1593,$B524,$A525:$A$1593,$A524),I524*K524)</f>
        <v>49.95</v>
      </c>
      <c r="N524"/>
      <c r="O524"/>
      <c r="P524" s="28"/>
      <c r="Q524" s="28"/>
      <c r="R524" s="28"/>
    </row>
    <row r="525" spans="1:18" outlineLevel="1">
      <c r="A525" s="24" t="str">
        <f t="shared" si="194"/>
        <v>GERAL</v>
      </c>
      <c r="B525" s="24" t="str">
        <f t="shared" si="195"/>
        <v>19º PAV. - TIPO 02 - x3 - LANÇAMENTO</v>
      </c>
      <c r="C525" s="30" t="s">
        <v>221</v>
      </c>
      <c r="D525" s="83" t="s">
        <v>46</v>
      </c>
      <c r="E525" s="30" t="str">
        <f>'Tipo 2 - x3'!C24&amp;" "&amp;'Tipo 2 - x3'!D24</f>
        <v>PVC Flexível Antichama - NBR 15465 ø1"</v>
      </c>
      <c r="F525" s="25">
        <f>'Tipo 2 - x3'!E24</f>
        <v>30.34</v>
      </c>
      <c r="G525" s="25">
        <v>3</v>
      </c>
      <c r="H525" s="25">
        <v>0</v>
      </c>
      <c r="I525" s="25">
        <f t="shared" si="193"/>
        <v>91.02</v>
      </c>
      <c r="J525" s="25" t="str">
        <f>'Tipo 2 - x3'!F24</f>
        <v>m</v>
      </c>
      <c r="K525" s="26">
        <f>_xlfn.XLOOKUP($E525,PREÇO!$C$7:$C$91,PREÇO!$E$7:$E$91)</f>
        <v>2.5299999999999998</v>
      </c>
      <c r="L525" s="66">
        <f>IF(SUM(F525:K525)=0,SUMIFS($L526:$L$1593,$B526:$B$1593,$B525,$A526:$A$1593,$A525),I525*K525)</f>
        <v>230.28059999999996</v>
      </c>
      <c r="N525"/>
      <c r="O525"/>
      <c r="P525" s="28"/>
      <c r="Q525" s="28"/>
      <c r="R525" s="28"/>
    </row>
    <row r="526" spans="1:18" outlineLevel="1">
      <c r="A526" s="24" t="str">
        <f t="shared" si="194"/>
        <v>GERAL</v>
      </c>
      <c r="B526" s="24" t="str">
        <f t="shared" si="195"/>
        <v>19º PAV. - TIPO 02 - x3 - LANÇAMENTO</v>
      </c>
      <c r="C526" s="30" t="s">
        <v>221</v>
      </c>
      <c r="D526" s="83" t="s">
        <v>46</v>
      </c>
      <c r="E526" s="30" t="str">
        <f>'Tipo 2 - x3'!C25&amp;" "&amp;'Tipo 2 - x3'!D25</f>
        <v>PVC Flexível Antichama - NBR 15465 ø3/4"</v>
      </c>
      <c r="F526" s="25">
        <f>'Tipo 2 - x3'!E25</f>
        <v>33.42</v>
      </c>
      <c r="G526" s="25">
        <v>3</v>
      </c>
      <c r="H526" s="25">
        <v>0</v>
      </c>
      <c r="I526" s="25">
        <f t="shared" si="193"/>
        <v>100.26</v>
      </c>
      <c r="J526" s="25" t="str">
        <f>'Tipo 2 - x3'!F25</f>
        <v>m</v>
      </c>
      <c r="K526" s="26">
        <f>_xlfn.XLOOKUP($E526,PREÇO!$C$7:$C$91,PREÇO!$E$7:$E$91)</f>
        <v>1.8</v>
      </c>
      <c r="L526" s="66">
        <f>IF(SUM(F526:K526)=0,SUMIFS($L527:$L$1593,$B527:$B$1593,$B526,$A527:$A$1593,$A526),I526*K526)</f>
        <v>180.46800000000002</v>
      </c>
      <c r="N526"/>
      <c r="O526"/>
      <c r="P526" s="28"/>
      <c r="Q526" s="28"/>
      <c r="R526" s="28"/>
    </row>
    <row r="527" spans="1:18" outlineLevel="1">
      <c r="A527" s="24" t="str">
        <f t="shared" si="194"/>
        <v>GERAL</v>
      </c>
      <c r="B527" s="24" t="str">
        <f t="shared" si="195"/>
        <v>19º PAV. - TIPO 02 - x3 - LANÇAMENTO</v>
      </c>
      <c r="C527" s="30" t="s">
        <v>220</v>
      </c>
      <c r="D527" s="30" t="str">
        <f>'Tipo 2 - x3'!C28</f>
        <v>Luminárias e Placas de Saída</v>
      </c>
      <c r="E527" s="30" t="str">
        <f>'Tipo 2 - x3'!D28</f>
        <v>Luminária de Emergência 24V de Parede</v>
      </c>
      <c r="F527" s="25">
        <f>'Tipo 2 - x3'!E28</f>
        <v>3</v>
      </c>
      <c r="G527" s="25">
        <v>3</v>
      </c>
      <c r="H527" s="25">
        <v>0</v>
      </c>
      <c r="I527" s="25">
        <f t="shared" si="193"/>
        <v>9</v>
      </c>
      <c r="J527" s="25" t="str">
        <f>'Tipo 2 - x3'!F28</f>
        <v>pç</v>
      </c>
      <c r="K527" s="26">
        <f>_xlfn.XLOOKUP($E527,PREÇO!$C$7:$C$91,PREÇO!$E$7:$E$91)</f>
        <v>15.9</v>
      </c>
      <c r="L527" s="66">
        <f>IF(SUM(F527:K527)=0,SUMIFS($L528:$L$1593,$B528:$B$1593,$B527,$A528:$A$1593,$A527),I527*K527)</f>
        <v>143.1</v>
      </c>
      <c r="N527"/>
      <c r="O527"/>
      <c r="P527" s="28"/>
      <c r="Q527" s="28"/>
      <c r="R527" s="28"/>
    </row>
    <row r="528" spans="1:18" outlineLevel="1">
      <c r="A528" s="24" t="str">
        <f t="shared" si="194"/>
        <v>GERAL</v>
      </c>
      <c r="B528" s="24" t="str">
        <f t="shared" si="195"/>
        <v>19º PAV. - TIPO 02 - x3 - LANÇAMENTO</v>
      </c>
      <c r="C528" s="30" t="s">
        <v>220</v>
      </c>
      <c r="D528" s="30" t="str">
        <f>'Tipo 2 - x3'!C29</f>
        <v>Luminárias e Placas de Saída</v>
      </c>
      <c r="E528" s="30" t="str">
        <f>'Tipo 2 - x3'!D29</f>
        <v>Luminária de Emergência 24V de Teto</v>
      </c>
      <c r="F528" s="25">
        <f>'Tipo 2 - x3'!E29</f>
        <v>5</v>
      </c>
      <c r="G528" s="25">
        <v>3</v>
      </c>
      <c r="H528" s="25">
        <v>0</v>
      </c>
      <c r="I528" s="25">
        <f t="shared" si="193"/>
        <v>15</v>
      </c>
      <c r="J528" s="25" t="str">
        <f>'Tipo 2 - x3'!F29</f>
        <v>pç</v>
      </c>
      <c r="K528" s="26">
        <f>_xlfn.XLOOKUP($E528,PREÇO!$C$7:$C$91,PREÇO!$E$7:$E$91)</f>
        <v>69.900000000000006</v>
      </c>
      <c r="L528" s="66">
        <f>IF(SUM(F528:K528)=0,SUMIFS($L529:$L$1593,$B529:$B$1593,$B528,$A529:$A$1593,$A528),I528*K528)</f>
        <v>1048.5</v>
      </c>
      <c r="N528"/>
      <c r="O528"/>
      <c r="P528" s="28"/>
      <c r="Q528" s="28"/>
      <c r="R528" s="28"/>
    </row>
    <row r="529" spans="1:18" outlineLevel="1">
      <c r="A529" s="24" t="str">
        <f t="shared" si="194"/>
        <v>GERAL</v>
      </c>
      <c r="B529" s="24" t="str">
        <f t="shared" si="195"/>
        <v>19º PAV. - TIPO 02 - x3 - LANÇAMENTO</v>
      </c>
      <c r="C529" s="24" t="s">
        <v>222</v>
      </c>
      <c r="D529" s="30" t="str">
        <f>'Tipo 2 - x3'!C30</f>
        <v>Luminárias e Placas de Saída</v>
      </c>
      <c r="E529" s="30" t="str">
        <f>'Tipo 2 - x3'!D30</f>
        <v>Placa de Saída 24V de Parede sem Direção</v>
      </c>
      <c r="F529" s="25">
        <f>'Tipo 2 - x3'!E30</f>
        <v>1</v>
      </c>
      <c r="G529" s="25">
        <v>3</v>
      </c>
      <c r="H529" s="25">
        <v>0</v>
      </c>
      <c r="I529" s="25">
        <f t="shared" si="193"/>
        <v>3</v>
      </c>
      <c r="J529" s="25" t="str">
        <f>'Tipo 2 - x3'!F30</f>
        <v>pç</v>
      </c>
      <c r="K529" s="26">
        <f>_xlfn.XLOOKUP($E529,PREÇO!$C$7:$C$91,PREÇO!$E$7:$E$91)</f>
        <v>61.66</v>
      </c>
      <c r="L529" s="66">
        <f>IF(SUM(F529:K529)=0,SUMIFS($L531:$L$1593,$B531:$B$1593,$B529,$A531:$A$1593,$A529),I529*K529)</f>
        <v>184.98</v>
      </c>
      <c r="N529"/>
      <c r="O529"/>
      <c r="P529" s="28"/>
      <c r="Q529" s="28"/>
      <c r="R529" s="28"/>
    </row>
    <row r="530" spans="1:18" outlineLevel="1">
      <c r="A530" s="116" t="str">
        <f>A528</f>
        <v>GERAL</v>
      </c>
      <c r="B530" s="116" t="str">
        <f>B529</f>
        <v>19º PAV. - TIPO 02 - x3 - LANÇAMENTO</v>
      </c>
      <c r="C530" s="116" t="s">
        <v>222</v>
      </c>
      <c r="D530" s="116" t="s">
        <v>223</v>
      </c>
      <c r="E530" s="116" t="s">
        <v>224</v>
      </c>
      <c r="F530" s="117">
        <v>1</v>
      </c>
      <c r="G530" s="117">
        <f>G529</f>
        <v>3</v>
      </c>
      <c r="H530" s="118">
        <v>0</v>
      </c>
      <c r="I530" s="117">
        <f t="shared" si="193"/>
        <v>3</v>
      </c>
      <c r="J530" s="117" t="s">
        <v>11</v>
      </c>
      <c r="K530" s="119">
        <f>_xlfn.XLOOKUP($E530,PREÇO!$C$7:$C$91,PREÇO!$E$7:$E$91)</f>
        <v>646.55999999999995</v>
      </c>
      <c r="L530" s="120">
        <f>IF(SUM(F530:K530)=0,SUMIFS($L531:$L$1593,$B531:$B$1593,$B530,$A531:$A$1593,$A530),I530*K530)</f>
        <v>1939.6799999999998</v>
      </c>
      <c r="N530"/>
      <c r="O530"/>
      <c r="P530" s="28"/>
      <c r="Q530" s="28"/>
      <c r="R530" s="28"/>
    </row>
    <row r="531" spans="1:18" outlineLevel="1">
      <c r="A531" s="24" t="str">
        <f>A529</f>
        <v>GERAL</v>
      </c>
      <c r="B531" s="24" t="str">
        <f>B529</f>
        <v>19º PAV. - TIPO 02 - x3 - LANÇAMENTO</v>
      </c>
      <c r="C531" s="30" t="s">
        <v>220</v>
      </c>
      <c r="D531" s="30" t="str">
        <f>'Tipo 2 - x3'!C31</f>
        <v>Sensores de Presença</v>
      </c>
      <c r="E531" s="30" t="str">
        <f>'Tipo 2 - x3'!D31</f>
        <v>Sensor de Presença 24V de teto</v>
      </c>
      <c r="F531" s="25">
        <f>'Tipo 2 - x3'!E31</f>
        <v>3</v>
      </c>
      <c r="G531" s="25">
        <v>3</v>
      </c>
      <c r="H531" s="25">
        <v>0</v>
      </c>
      <c r="I531" s="25">
        <f t="shared" si="193"/>
        <v>9</v>
      </c>
      <c r="J531" s="25" t="str">
        <f>'Tipo 2 - x3'!F31</f>
        <v>pç</v>
      </c>
      <c r="K531" s="26">
        <f>_xlfn.XLOOKUP($E531,PREÇO!$C$7:$C$91,PREÇO!$E$7:$E$91)</f>
        <v>38.4</v>
      </c>
      <c r="L531" s="66">
        <f>IF(SUM(F531:K531)=0,SUMIFS($L532:$L$1593,$B532:$B$1593,$B531,$A532:$A$1593,$A531),I531*K531)</f>
        <v>345.59999999999997</v>
      </c>
      <c r="N531"/>
      <c r="O531"/>
      <c r="P531" s="28"/>
      <c r="Q531" s="28"/>
      <c r="R531" s="28"/>
    </row>
    <row r="532" spans="1:18" outlineLevel="1">
      <c r="A532" s="24" t="str">
        <f t="shared" si="194"/>
        <v>GERAL</v>
      </c>
      <c r="B532" s="24" t="str">
        <f t="shared" si="195"/>
        <v>19º PAV. - TIPO 02 - x3 - LANÇAMENTO</v>
      </c>
      <c r="C532" s="30" t="s">
        <v>221</v>
      </c>
      <c r="D532" s="83" t="s">
        <v>87</v>
      </c>
      <c r="E532" s="30" t="str">
        <f>'Tipo 2 - x3'!C34&amp;" "&amp;'Tipo 2 - x3'!D34</f>
        <v>Isolação em PVC (70ºC) 1.5 mm² - Amarelo</v>
      </c>
      <c r="F532" s="25">
        <f>'Tipo 2 - x3'!E34</f>
        <v>55.28</v>
      </c>
      <c r="G532" s="25">
        <v>3</v>
      </c>
      <c r="H532" s="25">
        <v>0</v>
      </c>
      <c r="I532" s="25">
        <f t="shared" si="193"/>
        <v>165.84</v>
      </c>
      <c r="J532" s="25" t="str">
        <f>'Tipo 2 - x3'!F34</f>
        <v>m</v>
      </c>
      <c r="K532" s="26">
        <f>_xlfn.XLOOKUP($E532,PREÇO!$C$7:$C$91,PREÇO!$E$7:$E$91)</f>
        <v>1.59</v>
      </c>
      <c r="L532" s="66">
        <f>IF(SUM(F532:K532)=0,SUMIFS($L533:$L$1593,$B533:$B$1593,$B532,$A533:$A$1593,$A532),I532*K532)</f>
        <v>263.68560000000002</v>
      </c>
      <c r="N532"/>
      <c r="O532"/>
      <c r="P532" s="28"/>
      <c r="Q532" s="28"/>
      <c r="R532" s="28"/>
    </row>
    <row r="533" spans="1:18" outlineLevel="1">
      <c r="A533" s="24" t="str">
        <f t="shared" si="194"/>
        <v>GERAL</v>
      </c>
      <c r="B533" s="24" t="str">
        <f t="shared" si="195"/>
        <v>19º PAV. - TIPO 02 - x3 - LANÇAMENTO</v>
      </c>
      <c r="C533" s="30" t="s">
        <v>221</v>
      </c>
      <c r="D533" s="83" t="s">
        <v>87</v>
      </c>
      <c r="E533" s="30" t="str">
        <f>'Tipo 2 - x3'!C35&amp;" "&amp;'Tipo 2 - x3'!D35</f>
        <v>Isolação em PVC (70ºC) 1.5 mm² - Preto</v>
      </c>
      <c r="F533" s="25">
        <f>'Tipo 2 - x3'!E35</f>
        <v>67.459999999999994</v>
      </c>
      <c r="G533" s="25">
        <v>3</v>
      </c>
      <c r="H533" s="25">
        <v>0</v>
      </c>
      <c r="I533" s="25">
        <f t="shared" si="193"/>
        <v>202.38</v>
      </c>
      <c r="J533" s="25" t="str">
        <f>'Tipo 2 - x3'!F35</f>
        <v>m</v>
      </c>
      <c r="K533" s="26">
        <f>_xlfn.XLOOKUP($E533,PREÇO!$C$7:$C$91,PREÇO!$E$7:$E$91)</f>
        <v>1.59</v>
      </c>
      <c r="L533" s="66">
        <f>IF(SUM(F533:K533)=0,SUMIFS($L534:$L$1593,$B534:$B$1593,$B533,$A534:$A$1593,$A533),I533*K533)</f>
        <v>321.7842</v>
      </c>
      <c r="N533"/>
      <c r="O533"/>
      <c r="P533" s="28"/>
      <c r="Q533" s="28"/>
      <c r="R533" s="28"/>
    </row>
    <row r="534" spans="1:18" outlineLevel="1">
      <c r="A534" s="24" t="str">
        <f t="shared" si="194"/>
        <v>GERAL</v>
      </c>
      <c r="B534" s="24" t="str">
        <f t="shared" si="195"/>
        <v>19º PAV. - TIPO 02 - x3 - LANÇAMENTO</v>
      </c>
      <c r="C534" s="30" t="s">
        <v>221</v>
      </c>
      <c r="D534" s="83" t="s">
        <v>87</v>
      </c>
      <c r="E534" s="30" t="str">
        <f>'Tipo 2 - x3'!C36&amp;" "&amp;'Tipo 2 - x3'!D36</f>
        <v>Isolação em PVC (70ºC) 1.5 mm² - Vermelho</v>
      </c>
      <c r="F534" s="25">
        <f>'Tipo 2 - x3'!E36</f>
        <v>67.459999999999994</v>
      </c>
      <c r="G534" s="25">
        <v>3</v>
      </c>
      <c r="H534" s="25">
        <v>0</v>
      </c>
      <c r="I534" s="25">
        <f t="shared" si="193"/>
        <v>202.38</v>
      </c>
      <c r="J534" s="25" t="str">
        <f>'Tipo 2 - x3'!F36</f>
        <v>m</v>
      </c>
      <c r="K534" s="26">
        <f>_xlfn.XLOOKUP($E534,PREÇO!$C$7:$C$91,PREÇO!$E$7:$E$91)</f>
        <v>1.59</v>
      </c>
      <c r="L534" s="66">
        <f>IF(SUM(F534:K534)=0,SUMIFS($L535:$L$1593,$B535:$B$1593,$B534,$A535:$A$1593,$A534),I534*K534)</f>
        <v>321.7842</v>
      </c>
      <c r="N534"/>
      <c r="O534"/>
      <c r="P534" s="28"/>
      <c r="Q534" s="28"/>
      <c r="R534" s="28"/>
    </row>
    <row r="535" spans="1:18" outlineLevel="1">
      <c r="A535" s="24" t="str">
        <f t="shared" si="194"/>
        <v>GERAL</v>
      </c>
      <c r="B535" s="24" t="str">
        <f t="shared" si="195"/>
        <v>19º PAV. - TIPO 02 - x3 - LANÇAMENTO</v>
      </c>
      <c r="C535" s="30" t="s">
        <v>221</v>
      </c>
      <c r="D535" s="83" t="s">
        <v>87</v>
      </c>
      <c r="E535" s="30" t="str">
        <f>'Tipo 2 - x3'!C37&amp;" "&amp;'Tipo 2 - x3'!D37</f>
        <v>Isolação em PVC (70ºC) 2.5 mm² - Amarelo</v>
      </c>
      <c r="F535" s="25">
        <f>'Tipo 2 - x3'!E37</f>
        <v>25.52</v>
      </c>
      <c r="G535" s="25">
        <v>3</v>
      </c>
      <c r="H535" s="25">
        <v>0</v>
      </c>
      <c r="I535" s="25">
        <f t="shared" si="193"/>
        <v>76.56</v>
      </c>
      <c r="J535" s="25" t="str">
        <f>'Tipo 2 - x3'!F37</f>
        <v>m</v>
      </c>
      <c r="K535" s="26">
        <f>_xlfn.XLOOKUP($E535,PREÇO!$C$7:$C$91,PREÇO!$E$7:$E$91)</f>
        <v>2.19</v>
      </c>
      <c r="L535" s="66">
        <f>IF(SUM(F535:K535)=0,SUMIFS($L536:$L$1593,$B536:$B$1593,$B535,$A536:$A$1593,$A535),I535*K535)</f>
        <v>167.66640000000001</v>
      </c>
      <c r="N535"/>
      <c r="O535"/>
      <c r="P535" s="28"/>
      <c r="Q535" s="28"/>
      <c r="R535" s="28"/>
    </row>
    <row r="536" spans="1:18" outlineLevel="1">
      <c r="A536" s="24" t="str">
        <f t="shared" si="194"/>
        <v>GERAL</v>
      </c>
      <c r="B536" s="24" t="str">
        <f t="shared" si="195"/>
        <v>19º PAV. - TIPO 02 - x3 - LANÇAMENTO</v>
      </c>
      <c r="C536" s="30" t="s">
        <v>221</v>
      </c>
      <c r="D536" s="83" t="s">
        <v>87</v>
      </c>
      <c r="E536" s="30" t="str">
        <f>'Tipo 2 - x3'!C38&amp;" "&amp;'Tipo 2 - x3'!D38</f>
        <v>Isolação em PVC (70ºC) 2.5 mm² - Preto</v>
      </c>
      <c r="F536" s="25">
        <f>'Tipo 2 - x3'!E38</f>
        <v>16.86</v>
      </c>
      <c r="G536" s="25">
        <v>3</v>
      </c>
      <c r="H536" s="25">
        <v>0</v>
      </c>
      <c r="I536" s="25">
        <f t="shared" si="193"/>
        <v>50.58</v>
      </c>
      <c r="J536" s="25" t="str">
        <f>'Tipo 2 - x3'!F38</f>
        <v>m</v>
      </c>
      <c r="K536" s="26">
        <f>_xlfn.XLOOKUP($E536,PREÇO!$C$7:$C$91,PREÇO!$E$7:$E$91)</f>
        <v>2.19</v>
      </c>
      <c r="L536" s="66">
        <f>IF(SUM(F536:K536)=0,SUMIFS($L537:$L$1593,$B537:$B$1593,$B536,$A537:$A$1593,$A536),I536*K536)</f>
        <v>110.77019999999999</v>
      </c>
      <c r="N536"/>
      <c r="O536"/>
      <c r="P536" s="28"/>
      <c r="Q536" s="28"/>
      <c r="R536" s="28"/>
    </row>
    <row r="537" spans="1:18" outlineLevel="1">
      <c r="A537" s="24" t="str">
        <f t="shared" si="194"/>
        <v>GERAL</v>
      </c>
      <c r="B537" s="24" t="str">
        <f t="shared" si="195"/>
        <v>19º PAV. - TIPO 02 - x3 - LANÇAMENTO</v>
      </c>
      <c r="C537" s="30" t="s">
        <v>221</v>
      </c>
      <c r="D537" s="83" t="s">
        <v>87</v>
      </c>
      <c r="E537" s="30" t="str">
        <f>'Tipo 2 - x3'!C39&amp;" "&amp;'Tipo 2 - x3'!D39</f>
        <v>Isolação em PVC (70ºC) 2.5 mm² - Vermelho</v>
      </c>
      <c r="F537" s="25">
        <f>'Tipo 2 - x3'!E39</f>
        <v>16.86</v>
      </c>
      <c r="G537" s="25">
        <v>3</v>
      </c>
      <c r="H537" s="25">
        <v>0</v>
      </c>
      <c r="I537" s="25">
        <f t="shared" si="193"/>
        <v>50.58</v>
      </c>
      <c r="J537" s="25" t="str">
        <f>'Tipo 2 - x3'!F39</f>
        <v>m</v>
      </c>
      <c r="K537" s="26">
        <f>_xlfn.XLOOKUP($E537,PREÇO!$C$7:$C$91,PREÇO!$E$7:$E$91)</f>
        <v>2.19</v>
      </c>
      <c r="L537" s="66">
        <f>IF(SUM(F537:K537)=0,SUMIFS($L538:$L$1593,$B538:$B$1593,$B537,$A538:$A$1593,$A537),I537*K537)</f>
        <v>110.77019999999999</v>
      </c>
      <c r="N537"/>
      <c r="O537"/>
      <c r="P537" s="28"/>
      <c r="Q537" s="28"/>
      <c r="R537" s="28"/>
    </row>
    <row r="538" spans="1:18" outlineLevel="1">
      <c r="A538" s="24" t="str">
        <f t="shared" si="194"/>
        <v>GERAL</v>
      </c>
      <c r="B538" s="24" t="str">
        <f t="shared" si="195"/>
        <v>19º PAV. - TIPO 02 - x3 - LANÇAMENTO</v>
      </c>
      <c r="C538" s="30" t="s">
        <v>221</v>
      </c>
      <c r="D538" s="83" t="s">
        <v>46</v>
      </c>
      <c r="E538" s="30" t="str">
        <f>'Tipo 2 - x3'!C43&amp;" "&amp;'Tipo 2 - x3'!D43</f>
        <v>PVC Flexível Antichama - NBR 15465 ø1"</v>
      </c>
      <c r="F538" s="25">
        <f>'Tipo 2 - x3'!E43</f>
        <v>159.71</v>
      </c>
      <c r="G538" s="25">
        <v>3</v>
      </c>
      <c r="H538" s="25">
        <v>0</v>
      </c>
      <c r="I538" s="25">
        <f t="shared" si="193"/>
        <v>479.13</v>
      </c>
      <c r="J538" s="25" t="str">
        <f>'Tipo 2 - x3'!F43</f>
        <v>m</v>
      </c>
      <c r="K538" s="26">
        <f>_xlfn.XLOOKUP($E538,PREÇO!$C$7:$C$91,PREÇO!$E$7:$E$91)</f>
        <v>2.5299999999999998</v>
      </c>
      <c r="L538" s="66">
        <f>IF(SUM(F538:K538)=0,SUMIFS($L539:$L$1593,$B539:$B$1593,$B538,$A539:$A$1593,$A538),I538*K538)</f>
        <v>1212.1988999999999</v>
      </c>
      <c r="N538"/>
      <c r="O538"/>
      <c r="P538" s="28"/>
      <c r="Q538" s="28"/>
      <c r="R538" s="28"/>
    </row>
    <row r="539" spans="1:18" outlineLevel="1">
      <c r="A539" s="24" t="str">
        <f t="shared" si="194"/>
        <v>GERAL</v>
      </c>
      <c r="B539" s="24" t="str">
        <f t="shared" si="195"/>
        <v>19º PAV. - TIPO 02 - x3 - LANÇAMENTO</v>
      </c>
      <c r="C539" s="30" t="s">
        <v>221</v>
      </c>
      <c r="D539" s="83" t="s">
        <v>89</v>
      </c>
      <c r="E539" s="30" t="str">
        <f>'Tipo 2 - x3'!C46&amp;" "&amp;'Tipo 2 - x3'!D46</f>
        <v>Classe A - PVC Anti-chama - 105ºC - Isolação 600V 0.75 mm²</v>
      </c>
      <c r="F539" s="25">
        <f>'Tipo 2 - x3'!E46</f>
        <v>153.34</v>
      </c>
      <c r="G539" s="25">
        <v>3</v>
      </c>
      <c r="H539" s="25">
        <v>0</v>
      </c>
      <c r="I539" s="25">
        <f t="shared" si="193"/>
        <v>460.02</v>
      </c>
      <c r="J539" s="25" t="str">
        <f>'Tipo 2 - x3'!F46</f>
        <v>m</v>
      </c>
      <c r="K539" s="26">
        <f>_xlfn.XLOOKUP($E539,PREÇO!$C$7:$C$91,PREÇO!$E$7:$E$91)</f>
        <v>0.99</v>
      </c>
      <c r="L539" s="66">
        <f>IF(SUM(F539:K539)=0,SUMIFS($L540:$L$1593,$B540:$B$1593,$B539,$A540:$A$1593,$A539),I539*K539)</f>
        <v>455.41979999999995</v>
      </c>
      <c r="N539"/>
      <c r="O539"/>
      <c r="P539" s="28"/>
      <c r="Q539" s="28"/>
      <c r="R539" s="28"/>
    </row>
    <row r="540" spans="1:18" ht="15.75" outlineLevel="1" thickBot="1">
      <c r="A540" s="24" t="str">
        <f t="shared" si="191"/>
        <v>GERAL</v>
      </c>
      <c r="B540" s="24" t="str">
        <f t="shared" si="192"/>
        <v>19º PAV. - TIPO 02 - x3 - LANÇAMENTO</v>
      </c>
      <c r="C540" s="30" t="s">
        <v>221</v>
      </c>
      <c r="D540" s="83" t="s">
        <v>89</v>
      </c>
      <c r="E540" s="30" t="str">
        <f>'Tipo 2 - x3'!C47&amp;" "&amp;'Tipo 2 - x3'!D47</f>
        <v>Classe B - PVC Anti-chama - 105ºC - Isolação 600V 1.5 mm²</v>
      </c>
      <c r="F540" s="25">
        <f>'Tipo 2 - x3'!E47</f>
        <v>145.66</v>
      </c>
      <c r="G540" s="25">
        <v>3</v>
      </c>
      <c r="H540" s="25">
        <v>0</v>
      </c>
      <c r="I540" s="25">
        <f t="shared" si="193"/>
        <v>436.98</v>
      </c>
      <c r="J540" s="25" t="str">
        <f>'Tipo 2 - x3'!F47</f>
        <v>m</v>
      </c>
      <c r="K540" s="26">
        <f>_xlfn.XLOOKUP($E540,PREÇO!$C$7:$C$91,PREÇO!$E$7:$E$91)</f>
        <v>1.69</v>
      </c>
      <c r="L540" s="66">
        <f>IF(SUM(F540:K540)=0,SUMIFS($L541:$L$1593,$B541:$B$1593,$B540,$A541:$A$1593,$A540),I540*K540)</f>
        <v>738.49620000000004</v>
      </c>
      <c r="N540"/>
      <c r="O540"/>
      <c r="P540" s="28"/>
      <c r="Q540" s="28"/>
      <c r="R540" s="28"/>
    </row>
    <row r="541" spans="1:18" ht="15.75" thickTop="1">
      <c r="A541" s="82" t="str">
        <f t="shared" si="191"/>
        <v>GERAL</v>
      </c>
      <c r="B541" s="82" t="s">
        <v>146</v>
      </c>
      <c r="C541" s="43"/>
      <c r="D541" s="44" t="str">
        <f>'Tipo 2 - x3'!C48</f>
        <v/>
      </c>
      <c r="E541" s="44" t="str">
        <f>'Tipo 2 - x3'!D48</f>
        <v/>
      </c>
      <c r="F541" s="45" t="str">
        <f>'Tipo 2 - x3'!E48</f>
        <v/>
      </c>
      <c r="G541" s="45"/>
      <c r="H541" s="45"/>
      <c r="I541" s="45"/>
      <c r="J541" s="45"/>
      <c r="K541" s="47"/>
      <c r="L541" s="48">
        <f>IF(SUM(F541:K541)=0,SUMIFS($L542:$L$1593,$B542:$B$1593,$B541,$A542:$A$1593,$A541),I541*K541)</f>
        <v>12969.842199999997</v>
      </c>
      <c r="N541"/>
      <c r="O541"/>
      <c r="P541" s="28"/>
      <c r="Q541" s="28"/>
      <c r="R541" s="28"/>
    </row>
    <row r="542" spans="1:18" outlineLevel="1">
      <c r="A542" s="24" t="str">
        <f t="shared" si="191"/>
        <v>GERAL</v>
      </c>
      <c r="B542" s="24" t="str">
        <f t="shared" si="192"/>
        <v>22º PAV. - ÁREA TÉCNICA 02</v>
      </c>
      <c r="C542" s="30" t="s">
        <v>221</v>
      </c>
      <c r="D542" s="30" t="str">
        <f>'Técnico 2'!C6</f>
        <v>Acionadores</v>
      </c>
      <c r="E542" s="30" t="str">
        <f>'Técnico 2'!D6</f>
        <v>Acionador Manual de Alarme de Incêndio</v>
      </c>
      <c r="F542" s="25">
        <f>'Técnico 2'!E6</f>
        <v>1</v>
      </c>
      <c r="G542" s="25">
        <v>1</v>
      </c>
      <c r="H542" s="25">
        <v>0</v>
      </c>
      <c r="I542" s="25">
        <f t="shared" si="193"/>
        <v>1</v>
      </c>
      <c r="J542" s="25" t="str">
        <f>'Técnico 2'!F6</f>
        <v>pç</v>
      </c>
      <c r="K542" s="26">
        <f>_xlfn.XLOOKUP($E542,PREÇO!$C$7:$C$91,PREÇO!$E$7:$E$91)</f>
        <v>65</v>
      </c>
      <c r="L542" s="66">
        <f>IF(SUM(F542:K542)=0,SUMIFS($L543:$L$1593,$B543:$B$1593,$B542,$A543:$A$1593,$A542),I542*K542)</f>
        <v>65</v>
      </c>
      <c r="N542"/>
      <c r="O542"/>
      <c r="P542" s="28"/>
      <c r="Q542" s="28"/>
      <c r="R542" s="28"/>
    </row>
    <row r="543" spans="1:18" outlineLevel="1">
      <c r="A543" s="24" t="str">
        <f t="shared" si="191"/>
        <v>GERAL</v>
      </c>
      <c r="B543" s="24" t="str">
        <f t="shared" si="192"/>
        <v>22º PAV. - ÁREA TÉCNICA 02</v>
      </c>
      <c r="C543" s="30" t="s">
        <v>221</v>
      </c>
      <c r="D543" s="30" t="str">
        <f>'Técnico 2'!C7</f>
        <v>Anunciadores</v>
      </c>
      <c r="E543" s="30" t="str">
        <f>'Técnico 2'!D7</f>
        <v>Anunciador Audiovisual de Alarme de Incêndio de Parede</v>
      </c>
      <c r="F543" s="25">
        <f>'Técnico 2'!E7</f>
        <v>1</v>
      </c>
      <c r="G543" s="25">
        <v>1</v>
      </c>
      <c r="H543" s="25">
        <v>0</v>
      </c>
      <c r="I543" s="25">
        <f t="shared" ref="I543:I569" si="196">(F543+H543*F543)*G543</f>
        <v>1</v>
      </c>
      <c r="J543" s="25" t="str">
        <f>'Técnico 2'!F7</f>
        <v>pç</v>
      </c>
      <c r="K543" s="26">
        <f>_xlfn.XLOOKUP($E543,PREÇO!$C$7:$C$91,PREÇO!$E$7:$E$91)</f>
        <v>191.81</v>
      </c>
      <c r="L543" s="66">
        <f>IF(SUM(F543:K543)=0,SUMIFS($L544:$L$1593,$B544:$B$1593,$B543,$A544:$A$1593,$A543),I543*K543)</f>
        <v>191.81</v>
      </c>
      <c r="N543"/>
      <c r="O543"/>
      <c r="P543" s="28"/>
      <c r="Q543" s="28"/>
      <c r="R543" s="28"/>
    </row>
    <row r="544" spans="1:18" outlineLevel="1">
      <c r="A544" s="24" t="str">
        <f t="shared" si="191"/>
        <v>GERAL</v>
      </c>
      <c r="B544" s="24" t="str">
        <f t="shared" si="192"/>
        <v>22º PAV. - ÁREA TÉCNICA 02</v>
      </c>
      <c r="C544" s="30" t="s">
        <v>221</v>
      </c>
      <c r="D544" s="30" t="str">
        <f>'Técnico 2'!C8</f>
        <v>Atuadores</v>
      </c>
      <c r="E544" s="30" t="str">
        <f>'Técnico 2'!D8</f>
        <v>Atuador Janela Desenfumagem</v>
      </c>
      <c r="F544" s="25">
        <f>'Técnico 2'!E8</f>
        <v>1</v>
      </c>
      <c r="G544" s="25">
        <v>1</v>
      </c>
      <c r="H544" s="25">
        <v>0</v>
      </c>
      <c r="I544" s="25">
        <f t="shared" si="196"/>
        <v>1</v>
      </c>
      <c r="J544" s="25" t="str">
        <f>'Técnico 2'!F8</f>
        <v>pç</v>
      </c>
      <c r="K544" s="26">
        <f>_xlfn.XLOOKUP($E544,PREÇO!$C$7:$C$91,PREÇO!$E$7:$E$91)</f>
        <v>1150</v>
      </c>
      <c r="L544" s="66">
        <f>IF(SUM(F544:K544)=0,SUMIFS($L545:$L$1593,$B545:$B$1593,$B544,$A545:$A$1593,$A544),I544*K544)</f>
        <v>1150</v>
      </c>
      <c r="N544"/>
      <c r="O544"/>
      <c r="P544" s="28"/>
      <c r="Q544" s="28"/>
      <c r="R544" s="28"/>
    </row>
    <row r="545" spans="1:18" outlineLevel="1">
      <c r="A545" s="24" t="str">
        <f t="shared" si="191"/>
        <v>GERAL</v>
      </c>
      <c r="B545" s="24" t="str">
        <f t="shared" si="192"/>
        <v>22º PAV. - ÁREA TÉCNICA 02</v>
      </c>
      <c r="C545" s="30" t="s">
        <v>221</v>
      </c>
      <c r="D545" s="30" t="str">
        <f>'Técnico 2'!C9</f>
        <v>Central de Alarme</v>
      </c>
      <c r="E545" s="30" t="str">
        <f>'Técnico 2'!D9</f>
        <v>Central de Alarme de Incêndio</v>
      </c>
      <c r="F545" s="25">
        <f>'Técnico 2'!E9</f>
        <v>1</v>
      </c>
      <c r="G545" s="25">
        <v>1</v>
      </c>
      <c r="H545" s="25">
        <v>0</v>
      </c>
      <c r="I545" s="25">
        <f t="shared" si="196"/>
        <v>1</v>
      </c>
      <c r="J545" s="25" t="str">
        <f>'Técnico 2'!F9</f>
        <v>pç</v>
      </c>
      <c r="K545" s="26">
        <f>_xlfn.XLOOKUP($E545,PREÇO!$C$7:$C$91,PREÇO!$E$7:$E$91)</f>
        <v>855.86</v>
      </c>
      <c r="L545" s="66">
        <f>IF(SUM(F545:K545)=0,SUMIFS($L546:$L$1593,$B546:$B$1593,$B545,$A546:$A$1593,$A545),I545*K545)</f>
        <v>855.86</v>
      </c>
      <c r="N545"/>
      <c r="O545"/>
      <c r="P545" s="28"/>
      <c r="Q545" s="28"/>
      <c r="R545" s="28"/>
    </row>
    <row r="546" spans="1:18" outlineLevel="1">
      <c r="A546" s="24" t="str">
        <f t="shared" si="191"/>
        <v>GERAL</v>
      </c>
      <c r="B546" s="24" t="str">
        <f t="shared" si="192"/>
        <v>22º PAV. - ÁREA TÉCNICA 02</v>
      </c>
      <c r="C546" s="30" t="s">
        <v>221</v>
      </c>
      <c r="D546" s="30" t="str">
        <f>'Técnico 2'!C10</f>
        <v>Sensores</v>
      </c>
      <c r="E546" s="30" t="str">
        <f>'Técnico 2'!D10</f>
        <v>Sensor de Fumaça</v>
      </c>
      <c r="F546" s="25">
        <f>'Técnico 2'!E10</f>
        <v>9</v>
      </c>
      <c r="G546" s="25">
        <v>1</v>
      </c>
      <c r="H546" s="25">
        <v>0</v>
      </c>
      <c r="I546" s="25">
        <f t="shared" si="196"/>
        <v>9</v>
      </c>
      <c r="J546" s="25" t="str">
        <f>'Técnico 2'!F10</f>
        <v>pç</v>
      </c>
      <c r="K546" s="26">
        <f>_xlfn.XLOOKUP($E546,PREÇO!$C$7:$C$91,PREÇO!$E$7:$E$91)</f>
        <v>53.9</v>
      </c>
      <c r="L546" s="66">
        <f>IF(SUM(F546:K546)=0,SUMIFS($L547:$L$1593,$B547:$B$1593,$B546,$A547:$A$1593,$A546),I546*K546)</f>
        <v>485.09999999999997</v>
      </c>
      <c r="N546"/>
      <c r="O546"/>
      <c r="P546" s="28"/>
      <c r="Q546" s="28"/>
      <c r="R546" s="28"/>
    </row>
    <row r="547" spans="1:18" outlineLevel="1">
      <c r="A547" s="24" t="str">
        <f t="shared" ref="A547:A576" si="197">A546</f>
        <v>GERAL</v>
      </c>
      <c r="B547" s="24" t="str">
        <f t="shared" ref="B547:B576" si="198">B546</f>
        <v>22º PAV. - ÁREA TÉCNICA 02</v>
      </c>
      <c r="C547" s="30" t="s">
        <v>221</v>
      </c>
      <c r="D547" s="30" t="str">
        <f>'Técnico 2'!C13</f>
        <v>Caixas</v>
      </c>
      <c r="E547" s="30" t="str">
        <f>'Técnico 2'!D13</f>
        <v>Caixa Octogonal Padrão NBR IEC 60670</v>
      </c>
      <c r="F547" s="25">
        <f>'Técnico 2'!E13</f>
        <v>32</v>
      </c>
      <c r="G547" s="25">
        <v>1</v>
      </c>
      <c r="H547" s="25">
        <v>0</v>
      </c>
      <c r="I547" s="25">
        <f t="shared" si="196"/>
        <v>32</v>
      </c>
      <c r="J547" s="25" t="str">
        <f>'Técnico 2'!F13</f>
        <v>pç</v>
      </c>
      <c r="K547" s="26">
        <f>_xlfn.XLOOKUP($E547,PREÇO!$C$7:$C$91,PREÇO!$E$7:$E$91)</f>
        <v>5.32</v>
      </c>
      <c r="L547" s="66">
        <f>IF(SUM(F547:K547)=0,SUMIFS($L548:$L$1593,$B548:$B$1593,$B547,$A548:$A$1593,$A547),I547*K547)</f>
        <v>170.24</v>
      </c>
      <c r="N547"/>
      <c r="O547"/>
      <c r="P547" s="28"/>
      <c r="Q547" s="28"/>
      <c r="R547" s="28"/>
    </row>
    <row r="548" spans="1:18" outlineLevel="1">
      <c r="A548" s="24" t="str">
        <f t="shared" si="197"/>
        <v>GERAL</v>
      </c>
      <c r="B548" s="24" t="str">
        <f t="shared" si="198"/>
        <v>22º PAV. - ÁREA TÉCNICA 02</v>
      </c>
      <c r="C548" s="30" t="s">
        <v>221</v>
      </c>
      <c r="D548" s="30" t="str">
        <f>'Técnico 2'!C16</f>
        <v>Caixas</v>
      </c>
      <c r="E548" s="30" t="str">
        <f>'Técnico 2'!D16</f>
        <v>Caixa 4x2" de Embutir em PVC Padrão NBR IEC 60670</v>
      </c>
      <c r="F548" s="25">
        <f>'Técnico 2'!E16</f>
        <v>12</v>
      </c>
      <c r="G548" s="25">
        <v>1</v>
      </c>
      <c r="H548" s="25">
        <v>0</v>
      </c>
      <c r="I548" s="25">
        <f t="shared" si="196"/>
        <v>12</v>
      </c>
      <c r="J548" s="25" t="str">
        <f>'Técnico 2'!F16</f>
        <v>pç</v>
      </c>
      <c r="K548" s="26">
        <f>_xlfn.XLOOKUP($E548,PREÇO!$C$7:$C$91,PREÇO!$E$7:$E$91)</f>
        <v>1.72</v>
      </c>
      <c r="L548" s="66">
        <f>IF(SUM(F548:K548)=0,SUMIFS($L549:$L$1593,$B549:$B$1593,$B548,$A549:$A$1593,$A548),I548*K548)</f>
        <v>20.64</v>
      </c>
      <c r="N548"/>
      <c r="O548"/>
      <c r="P548" s="28"/>
      <c r="Q548" s="28"/>
      <c r="R548" s="28"/>
    </row>
    <row r="549" spans="1:18" outlineLevel="1">
      <c r="A549" s="24" t="str">
        <f t="shared" si="197"/>
        <v>GERAL</v>
      </c>
      <c r="B549" s="24" t="str">
        <f t="shared" si="198"/>
        <v>22º PAV. - ÁREA TÉCNICA 02</v>
      </c>
      <c r="C549" s="30" t="s">
        <v>221</v>
      </c>
      <c r="D549" s="30" t="str">
        <f>'Técnico 2'!C17</f>
        <v>Caixas</v>
      </c>
      <c r="E549" s="30" t="str">
        <f>'Técnico 2'!D17</f>
        <v>Caixa 4x4" de Embutir em PVC Padrão NBR IEC 60670</v>
      </c>
      <c r="F549" s="25">
        <f>'Técnico 2'!E17</f>
        <v>7</v>
      </c>
      <c r="G549" s="25">
        <v>1</v>
      </c>
      <c r="H549" s="25">
        <v>0</v>
      </c>
      <c r="I549" s="25">
        <f t="shared" si="196"/>
        <v>7</v>
      </c>
      <c r="J549" s="25" t="str">
        <f>'Técnico 2'!F17</f>
        <v>pç</v>
      </c>
      <c r="K549" s="26">
        <f>_xlfn.XLOOKUP($E549,PREÇO!$C$7:$C$91,PREÇO!$E$7:$E$91)</f>
        <v>1.72</v>
      </c>
      <c r="L549" s="66">
        <f>IF(SUM(F549:K549)=0,SUMIFS($L550:$L$1593,$B550:$B$1593,$B549,$A550:$A$1593,$A549),I549*K549)</f>
        <v>12.04</v>
      </c>
      <c r="N549"/>
      <c r="O549"/>
      <c r="P549" s="28"/>
      <c r="Q549" s="28"/>
      <c r="R549" s="28"/>
    </row>
    <row r="550" spans="1:18" outlineLevel="1">
      <c r="A550" s="24" t="str">
        <f t="shared" si="197"/>
        <v>GERAL</v>
      </c>
      <c r="B550" s="24" t="str">
        <f t="shared" si="198"/>
        <v>22º PAV. - ÁREA TÉCNICA 02</v>
      </c>
      <c r="C550" s="30" t="s">
        <v>221</v>
      </c>
      <c r="D550" s="30" t="str">
        <f>'Técnico 2'!C18</f>
        <v>Placas</v>
      </c>
      <c r="E550" s="30" t="str">
        <f>'Técnico 2'!D18</f>
        <v>Placa 4x2" cega Padrão NBR IEC 60670</v>
      </c>
      <c r="F550" s="25">
        <f>'Técnico 2'!E18</f>
        <v>5</v>
      </c>
      <c r="G550" s="25">
        <v>1</v>
      </c>
      <c r="H550" s="25">
        <v>0</v>
      </c>
      <c r="I550" s="25">
        <f t="shared" si="196"/>
        <v>5</v>
      </c>
      <c r="J550" s="25" t="str">
        <f>'Técnico 2'!F18</f>
        <v>pç</v>
      </c>
      <c r="K550" s="26">
        <f>_xlfn.XLOOKUP($E550,PREÇO!$C$7:$C$91,PREÇO!$E$7:$E$91)</f>
        <v>4.59</v>
      </c>
      <c r="L550" s="66">
        <f>IF(SUM(F550:K550)=0,SUMIFS($L551:$L$1593,$B551:$B$1593,$B550,$A551:$A$1593,$A550),I550*K550)</f>
        <v>22.95</v>
      </c>
      <c r="N550"/>
      <c r="O550"/>
      <c r="P550" s="28"/>
      <c r="Q550" s="28"/>
      <c r="R550" s="28"/>
    </row>
    <row r="551" spans="1:18" outlineLevel="1">
      <c r="A551" s="24" t="str">
        <f t="shared" si="197"/>
        <v>GERAL</v>
      </c>
      <c r="B551" s="24" t="str">
        <f t="shared" si="198"/>
        <v>22º PAV. - ÁREA TÉCNICA 02</v>
      </c>
      <c r="C551" s="30" t="s">
        <v>221</v>
      </c>
      <c r="D551" s="30" t="str">
        <f>'Técnico 2'!C19</f>
        <v>Placas</v>
      </c>
      <c r="E551" s="30" t="str">
        <f>'Técnico 2'!D19</f>
        <v>Placa 4x2" com furo para saída de cabos Padrão NBR IEC 60670</v>
      </c>
      <c r="F551" s="25">
        <f>'Técnico 2'!E19</f>
        <v>7</v>
      </c>
      <c r="G551" s="25">
        <v>1</v>
      </c>
      <c r="H551" s="25">
        <v>0</v>
      </c>
      <c r="I551" s="25">
        <f t="shared" si="196"/>
        <v>7</v>
      </c>
      <c r="J551" s="25" t="str">
        <f>'Técnico 2'!F19</f>
        <v>pç</v>
      </c>
      <c r="K551" s="26">
        <f>_xlfn.XLOOKUP($E551,PREÇO!$C$7:$C$91,PREÇO!$E$7:$E$91)</f>
        <v>6.55</v>
      </c>
      <c r="L551" s="66">
        <f>IF(SUM(F551:K551)=0,SUMIFS($L552:$L$1593,$B552:$B$1593,$B551,$A552:$A$1593,$A551),I551*K551)</f>
        <v>45.85</v>
      </c>
      <c r="N551"/>
      <c r="O551"/>
      <c r="P551" s="28"/>
      <c r="Q551" s="28"/>
      <c r="R551" s="28"/>
    </row>
    <row r="552" spans="1:18" outlineLevel="1">
      <c r="A552" s="24" t="str">
        <f t="shared" si="197"/>
        <v>GERAL</v>
      </c>
      <c r="B552" s="24" t="str">
        <f t="shared" si="198"/>
        <v>22º PAV. - ÁREA TÉCNICA 02</v>
      </c>
      <c r="C552" s="30" t="s">
        <v>221</v>
      </c>
      <c r="D552" s="30" t="str">
        <f>'Técnico 2'!C20</f>
        <v>Placas</v>
      </c>
      <c r="E552" s="30" t="str">
        <f>'Técnico 2'!D20</f>
        <v>Placa 4x4" cega Padrão NBR IEC 60670</v>
      </c>
      <c r="F552" s="25">
        <f>'Técnico 2'!E20</f>
        <v>7</v>
      </c>
      <c r="G552" s="25">
        <v>1</v>
      </c>
      <c r="H552" s="25">
        <v>0</v>
      </c>
      <c r="I552" s="25">
        <f t="shared" si="196"/>
        <v>7</v>
      </c>
      <c r="J552" s="25" t="str">
        <f>'Técnico 2'!F20</f>
        <v>pç</v>
      </c>
      <c r="K552" s="26">
        <f>_xlfn.XLOOKUP($E552,PREÇO!$C$7:$C$91,PREÇO!$E$7:$E$91)</f>
        <v>12.25</v>
      </c>
      <c r="L552" s="66">
        <f>IF(SUM(F552:K552)=0,SUMIFS($L553:$L$1593,$B553:$B$1593,$B552,$A553:$A$1593,$A552),I552*K552)</f>
        <v>85.75</v>
      </c>
      <c r="N552"/>
      <c r="O552"/>
      <c r="P552" s="28"/>
      <c r="Q552" s="28"/>
      <c r="R552" s="28"/>
    </row>
    <row r="553" spans="1:18" outlineLevel="1">
      <c r="A553" s="24" t="str">
        <f t="shared" si="197"/>
        <v>GERAL</v>
      </c>
      <c r="B553" s="24" t="str">
        <f t="shared" si="198"/>
        <v>22º PAV. - ÁREA TÉCNICA 02</v>
      </c>
      <c r="C553" s="30" t="s">
        <v>221</v>
      </c>
      <c r="D553" s="30" t="str">
        <f>'Técnico 2'!C21</f>
        <v>Suportes</v>
      </c>
      <c r="E553" s="30" t="str">
        <f>'Técnico 2'!D21</f>
        <v>Suporte p/ caixa 4x2" Padrão NBR IEC 60670</v>
      </c>
      <c r="F553" s="25">
        <f>'Técnico 2'!E21</f>
        <v>12</v>
      </c>
      <c r="G553" s="25">
        <v>1</v>
      </c>
      <c r="H553" s="25">
        <v>0</v>
      </c>
      <c r="I553" s="25">
        <f t="shared" si="196"/>
        <v>12</v>
      </c>
      <c r="J553" s="25" t="str">
        <f>'Técnico 2'!F21</f>
        <v>pç</v>
      </c>
      <c r="K553" s="26">
        <f>_xlfn.XLOOKUP($E553,PREÇO!$C$7:$C$91,PREÇO!$E$7:$E$91)</f>
        <v>1.85</v>
      </c>
      <c r="L553" s="66">
        <f>IF(SUM(F553:K553)=0,SUMIFS($L554:$L$1593,$B554:$B$1593,$B553,$A554:$A$1593,$A553),I553*K553)</f>
        <v>22.200000000000003</v>
      </c>
      <c r="N553"/>
      <c r="O553"/>
      <c r="P553" s="28"/>
      <c r="Q553" s="28"/>
      <c r="R553" s="28"/>
    </row>
    <row r="554" spans="1:18" outlineLevel="1">
      <c r="A554" s="24" t="str">
        <f t="shared" si="197"/>
        <v>GERAL</v>
      </c>
      <c r="B554" s="24" t="str">
        <f t="shared" si="198"/>
        <v>22º PAV. - ÁREA TÉCNICA 02</v>
      </c>
      <c r="C554" s="30" t="s">
        <v>221</v>
      </c>
      <c r="D554" s="30" t="str">
        <f>'Técnico 2'!C22</f>
        <v>Suportes</v>
      </c>
      <c r="E554" s="30" t="str">
        <f>'Técnico 2'!D22</f>
        <v>Suporte p/ caixa 4x4" Padrão NBR IEC 60670</v>
      </c>
      <c r="F554" s="25">
        <f>'Técnico 2'!E22</f>
        <v>7</v>
      </c>
      <c r="G554" s="25">
        <v>1</v>
      </c>
      <c r="H554" s="25">
        <v>0</v>
      </c>
      <c r="I554" s="25">
        <f t="shared" si="196"/>
        <v>7</v>
      </c>
      <c r="J554" s="25" t="str">
        <f>'Técnico 2'!F22</f>
        <v>pç</v>
      </c>
      <c r="K554" s="26">
        <f>_xlfn.XLOOKUP($E554,PREÇO!$C$7:$C$91,PREÇO!$E$7:$E$91)</f>
        <v>3.15</v>
      </c>
      <c r="L554" s="66">
        <f>IF(SUM(F554:K554)=0,SUMIFS($L555:$L$1593,$B555:$B$1593,$B554,$A555:$A$1593,$A554),I554*K554)</f>
        <v>22.05</v>
      </c>
      <c r="N554"/>
      <c r="O554"/>
      <c r="P554" s="28"/>
      <c r="Q554" s="28"/>
      <c r="R554" s="28"/>
    </row>
    <row r="555" spans="1:18" outlineLevel="1">
      <c r="A555" s="24" t="str">
        <f t="shared" si="197"/>
        <v>GERAL</v>
      </c>
      <c r="B555" s="24" t="str">
        <f t="shared" si="198"/>
        <v>22º PAV. - ÁREA TÉCNICA 02</v>
      </c>
      <c r="C555" s="30" t="s">
        <v>221</v>
      </c>
      <c r="D555" s="30" t="str">
        <f>'Técnico 2'!C25</f>
        <v>Embutir</v>
      </c>
      <c r="E555" s="30" t="str">
        <f>'Técnico 2'!D25</f>
        <v>Cx de passagem de embutir com dimensão de 50x50x15 cm</v>
      </c>
      <c r="F555" s="25">
        <f>'Técnico 2'!E25</f>
        <v>1</v>
      </c>
      <c r="G555" s="25">
        <v>1</v>
      </c>
      <c r="H555" s="25">
        <v>0</v>
      </c>
      <c r="I555" s="25">
        <f t="shared" si="196"/>
        <v>1</v>
      </c>
      <c r="J555" s="25" t="str">
        <f>'Técnico 2'!F25</f>
        <v>pç</v>
      </c>
      <c r="K555" s="26">
        <f>_xlfn.XLOOKUP($E555,PREÇO!$C$7:$C$91,PREÇO!$E$7:$E$91)</f>
        <v>291.60000000000002</v>
      </c>
      <c r="L555" s="66">
        <f>IF(SUM(F555:K555)=0,SUMIFS($L556:$L$1593,$B556:$B$1593,$B555,$A556:$A$1593,$A555),I555*K555)</f>
        <v>291.60000000000002</v>
      </c>
      <c r="N555"/>
      <c r="O555"/>
      <c r="P555" s="28"/>
      <c r="Q555" s="28"/>
      <c r="R555" s="28"/>
    </row>
    <row r="556" spans="1:18" outlineLevel="1">
      <c r="A556" s="24" t="str">
        <f t="shared" si="197"/>
        <v>GERAL</v>
      </c>
      <c r="B556" s="24" t="str">
        <f t="shared" si="198"/>
        <v>22º PAV. - ÁREA TÉCNICA 02</v>
      </c>
      <c r="C556" s="30" t="s">
        <v>221</v>
      </c>
      <c r="D556" s="83" t="s">
        <v>46</v>
      </c>
      <c r="E556" s="30" t="str">
        <f>'Técnico 2'!C28&amp;" "&amp;'Técnico 2'!D28</f>
        <v>PVC Flexível Antichama - NBR 15465 ø1"</v>
      </c>
      <c r="F556" s="25">
        <f>'Técnico 2'!E28</f>
        <v>10.67</v>
      </c>
      <c r="G556" s="25">
        <v>1</v>
      </c>
      <c r="H556" s="25">
        <v>0</v>
      </c>
      <c r="I556" s="25">
        <f t="shared" si="196"/>
        <v>10.67</v>
      </c>
      <c r="J556" s="25" t="str">
        <f>'Técnico 2'!F28</f>
        <v>m</v>
      </c>
      <c r="K556" s="26">
        <f>_xlfn.XLOOKUP($E556,PREÇO!$C$7:$C$91,PREÇO!$E$7:$E$91)</f>
        <v>2.5299999999999998</v>
      </c>
      <c r="L556" s="66">
        <f>IF(SUM(F556:K556)=0,SUMIFS($L557:$L$1593,$B557:$B$1593,$B556,$A557:$A$1593,$A556),I556*K556)</f>
        <v>26.995099999999997</v>
      </c>
      <c r="N556"/>
      <c r="O556"/>
      <c r="P556" s="28"/>
      <c r="Q556" s="28"/>
      <c r="R556" s="28"/>
    </row>
    <row r="557" spans="1:18" outlineLevel="1">
      <c r="A557" s="24" t="str">
        <f t="shared" si="197"/>
        <v>GERAL</v>
      </c>
      <c r="B557" s="24" t="str">
        <f t="shared" si="198"/>
        <v>22º PAV. - ÁREA TÉCNICA 02</v>
      </c>
      <c r="C557" s="30" t="s">
        <v>221</v>
      </c>
      <c r="D557" s="83" t="s">
        <v>46</v>
      </c>
      <c r="E557" s="30" t="str">
        <f>'Técnico 2'!C29&amp;" "&amp;'Técnico 2'!D29</f>
        <v>PVC Flexível Antichama - NBR 15465 ø3/4"</v>
      </c>
      <c r="F557" s="25">
        <f>'Técnico 2'!E29</f>
        <v>0.2</v>
      </c>
      <c r="G557" s="25">
        <v>1</v>
      </c>
      <c r="H557" s="25">
        <v>0</v>
      </c>
      <c r="I557" s="25">
        <f t="shared" si="196"/>
        <v>0.2</v>
      </c>
      <c r="J557" s="25" t="str">
        <f>'Técnico 2'!F29</f>
        <v>m</v>
      </c>
      <c r="K557" s="26">
        <f>_xlfn.XLOOKUP($E557,PREÇO!$C$7:$C$91,PREÇO!$E$7:$E$91)</f>
        <v>1.8</v>
      </c>
      <c r="L557" s="66">
        <f>IF(SUM(F557:K557)=0,SUMIFS($L558:$L$1593,$B558:$B$1593,$B557,$A558:$A$1593,$A557),I557*K557)</f>
        <v>0.36000000000000004</v>
      </c>
      <c r="N557"/>
      <c r="O557"/>
      <c r="P557" s="28"/>
      <c r="Q557" s="28"/>
      <c r="R557" s="28"/>
    </row>
    <row r="558" spans="1:18" outlineLevel="1">
      <c r="A558" s="24" t="str">
        <f t="shared" si="197"/>
        <v>GERAL</v>
      </c>
      <c r="B558" s="24" t="str">
        <f t="shared" si="198"/>
        <v>22º PAV. - ÁREA TÉCNICA 02</v>
      </c>
      <c r="C558" s="30" t="s">
        <v>220</v>
      </c>
      <c r="D558" s="30" t="str">
        <f>'Técnico 2'!C32</f>
        <v>Luminárias e Placas de Saída</v>
      </c>
      <c r="E558" s="30" t="str">
        <f>'Técnico 2'!D32</f>
        <v>Luminária de Emergência 24V de Parede</v>
      </c>
      <c r="F558" s="25">
        <f>'Técnico 2'!E32</f>
        <v>5</v>
      </c>
      <c r="G558" s="25">
        <v>1</v>
      </c>
      <c r="H558" s="25">
        <v>0</v>
      </c>
      <c r="I558" s="25">
        <f t="shared" si="196"/>
        <v>5</v>
      </c>
      <c r="J558" s="25" t="str">
        <f>'Técnico 2'!F32</f>
        <v>pç</v>
      </c>
      <c r="K558" s="26">
        <f>_xlfn.XLOOKUP($E558,PREÇO!$C$7:$C$91,PREÇO!$E$7:$E$91)</f>
        <v>15.9</v>
      </c>
      <c r="L558" s="66">
        <f>IF(SUM(F558:K558)=0,SUMIFS($L559:$L$1593,$B559:$B$1593,$B558,$A559:$A$1593,$A558),I558*K558)</f>
        <v>79.5</v>
      </c>
      <c r="N558"/>
      <c r="O558"/>
      <c r="P558" s="28"/>
      <c r="Q558" s="28"/>
      <c r="R558" s="28"/>
    </row>
    <row r="559" spans="1:18" outlineLevel="1">
      <c r="A559" s="24" t="str">
        <f t="shared" si="197"/>
        <v>GERAL</v>
      </c>
      <c r="B559" s="24" t="str">
        <f t="shared" si="198"/>
        <v>22º PAV. - ÁREA TÉCNICA 02</v>
      </c>
      <c r="C559" s="30" t="s">
        <v>220</v>
      </c>
      <c r="D559" s="30" t="str">
        <f>'Técnico 2'!C33</f>
        <v>Luminárias e Placas de Saída</v>
      </c>
      <c r="E559" s="30" t="str">
        <f>'Técnico 2'!D33</f>
        <v>Luminária de Emergência 24V de Teto</v>
      </c>
      <c r="F559" s="25">
        <f>'Técnico 2'!E33</f>
        <v>17</v>
      </c>
      <c r="G559" s="25">
        <v>1</v>
      </c>
      <c r="H559" s="25">
        <v>0</v>
      </c>
      <c r="I559" s="25">
        <f t="shared" si="196"/>
        <v>17</v>
      </c>
      <c r="J559" s="25" t="str">
        <f>'Técnico 2'!F33</f>
        <v>pç</v>
      </c>
      <c r="K559" s="26">
        <f>_xlfn.XLOOKUP($E559,PREÇO!$C$7:$C$91,PREÇO!$E$7:$E$91)</f>
        <v>69.900000000000006</v>
      </c>
      <c r="L559" s="66">
        <f>IF(SUM(F559:K559)=0,SUMIFS($L560:$L$1593,$B560:$B$1593,$B559,$A560:$A$1593,$A559),I559*K559)</f>
        <v>1188.3000000000002</v>
      </c>
      <c r="N559"/>
      <c r="O559"/>
      <c r="P559" s="28"/>
      <c r="Q559" s="28"/>
      <c r="R559" s="28"/>
    </row>
    <row r="560" spans="1:18" outlineLevel="1">
      <c r="A560" s="24" t="str">
        <f t="shared" si="197"/>
        <v>GERAL</v>
      </c>
      <c r="B560" s="24" t="str">
        <f t="shared" si="198"/>
        <v>22º PAV. - ÁREA TÉCNICA 02</v>
      </c>
      <c r="C560" s="24" t="s">
        <v>222</v>
      </c>
      <c r="D560" s="30" t="str">
        <f>'Técnico 2'!C34</f>
        <v>Luminárias e Placas de Saída</v>
      </c>
      <c r="E560" s="30" t="str">
        <f>'Técnico 2'!D34</f>
        <v>Placa de Saída 24V de Parede sem Direção</v>
      </c>
      <c r="F560" s="25">
        <f>'Técnico 2'!E34</f>
        <v>3</v>
      </c>
      <c r="G560" s="25">
        <v>1</v>
      </c>
      <c r="H560" s="25">
        <v>0</v>
      </c>
      <c r="I560" s="25">
        <f t="shared" si="196"/>
        <v>3</v>
      </c>
      <c r="J560" s="25" t="str">
        <f>'Técnico 2'!F34</f>
        <v>pç</v>
      </c>
      <c r="K560" s="26">
        <f>_xlfn.XLOOKUP($E560,PREÇO!$C$7:$C$91,PREÇO!$E$7:$E$91)</f>
        <v>61.66</v>
      </c>
      <c r="L560" s="66">
        <f>IF(SUM(F560:K560)=0,SUMIFS($L562:$L$1593,$B562:$B$1593,$B560,$A562:$A$1593,$A560),I560*K560)</f>
        <v>184.98</v>
      </c>
      <c r="N560"/>
      <c r="O560"/>
      <c r="P560" s="28"/>
      <c r="Q560" s="28"/>
      <c r="R560" s="28"/>
    </row>
    <row r="561" spans="1:18" outlineLevel="1">
      <c r="A561" s="116" t="str">
        <f>A559</f>
        <v>GERAL</v>
      </c>
      <c r="B561" s="116" t="str">
        <f>B560</f>
        <v>22º PAV. - ÁREA TÉCNICA 02</v>
      </c>
      <c r="C561" s="116" t="s">
        <v>222</v>
      </c>
      <c r="D561" s="116" t="s">
        <v>223</v>
      </c>
      <c r="E561" s="116" t="s">
        <v>224</v>
      </c>
      <c r="F561" s="117">
        <v>4</v>
      </c>
      <c r="G561" s="117">
        <f>G560</f>
        <v>1</v>
      </c>
      <c r="H561" s="118">
        <v>0</v>
      </c>
      <c r="I561" s="117">
        <f t="shared" si="196"/>
        <v>4</v>
      </c>
      <c r="J561" s="117" t="s">
        <v>11</v>
      </c>
      <c r="K561" s="119">
        <f>_xlfn.XLOOKUP($E561,PREÇO!$C$7:$C$91,PREÇO!$E$7:$E$91)</f>
        <v>646.55999999999995</v>
      </c>
      <c r="L561" s="120">
        <f>IF(SUM(F561:K561)=0,SUMIFS($L562:$L$1593,$B562:$B$1593,$B561,$A562:$A$1593,$A561),I561*K561)</f>
        <v>2586.2399999999998</v>
      </c>
      <c r="N561"/>
      <c r="O561"/>
      <c r="P561" s="28"/>
      <c r="Q561" s="28"/>
      <c r="R561" s="28"/>
    </row>
    <row r="562" spans="1:18" outlineLevel="1">
      <c r="A562" s="24" t="str">
        <f>A560</f>
        <v>GERAL</v>
      </c>
      <c r="B562" s="24" t="str">
        <f>B560</f>
        <v>22º PAV. - ÁREA TÉCNICA 02</v>
      </c>
      <c r="C562" s="30" t="s">
        <v>220</v>
      </c>
      <c r="D562" s="30" t="str">
        <f>'Técnico 2'!C35</f>
        <v>Sensores de Presença</v>
      </c>
      <c r="E562" s="30" t="str">
        <f>'Técnico 2'!D35</f>
        <v>Sensor de Presença 24V de teto</v>
      </c>
      <c r="F562" s="25">
        <f>'Técnico 2'!E35</f>
        <v>6</v>
      </c>
      <c r="G562" s="25">
        <v>1</v>
      </c>
      <c r="H562" s="25">
        <v>0</v>
      </c>
      <c r="I562" s="25">
        <f t="shared" si="196"/>
        <v>6</v>
      </c>
      <c r="J562" s="25" t="str">
        <f>'Técnico 2'!F35</f>
        <v>pç</v>
      </c>
      <c r="K562" s="26">
        <f>_xlfn.XLOOKUP($E562,PREÇO!$C$7:$C$91,PREÇO!$E$7:$E$91)</f>
        <v>38.4</v>
      </c>
      <c r="L562" s="66">
        <f>IF(SUM(F562:K562)=0,SUMIFS($L563:$L$1593,$B563:$B$1593,$B562,$A563:$A$1593,$A562),I562*K562)</f>
        <v>230.39999999999998</v>
      </c>
      <c r="N562"/>
      <c r="O562"/>
      <c r="P562" s="28"/>
      <c r="Q562" s="28"/>
      <c r="R562" s="28"/>
    </row>
    <row r="563" spans="1:18" outlineLevel="1">
      <c r="A563" s="24" t="str">
        <f t="shared" si="197"/>
        <v>GERAL</v>
      </c>
      <c r="B563" s="24" t="str">
        <f t="shared" si="198"/>
        <v>22º PAV. - ÁREA TÉCNICA 02</v>
      </c>
      <c r="C563" s="30" t="s">
        <v>221</v>
      </c>
      <c r="D563" s="83" t="s">
        <v>147</v>
      </c>
      <c r="E563" s="30" t="str">
        <f>'Técnico 2'!C38&amp;" "&amp;'Técnico 2'!D38</f>
        <v>Metálicos Moldados - NBR IEC 62208 30x40x20 cm</v>
      </c>
      <c r="F563" s="25">
        <f>'Técnico 2'!E38</f>
        <v>7</v>
      </c>
      <c r="G563" s="25">
        <v>1</v>
      </c>
      <c r="H563" s="25">
        <v>0</v>
      </c>
      <c r="I563" s="25">
        <f t="shared" si="196"/>
        <v>7</v>
      </c>
      <c r="J563" s="25" t="str">
        <f>'Técnico 2'!F38</f>
        <v>pç</v>
      </c>
      <c r="K563" s="26">
        <f>_xlfn.XLOOKUP($E563,PREÇO!$C$7:$C$91,PREÇO!$E$7:$E$91)</f>
        <v>228.19</v>
      </c>
      <c r="L563" s="66">
        <f>IF(SUM(F563:K563)=0,SUMIFS($L564:$L$1593,$B564:$B$1593,$B563,$A564:$A$1593,$A563),I563*K563)</f>
        <v>1597.33</v>
      </c>
      <c r="N563"/>
      <c r="O563"/>
      <c r="P563" s="28"/>
      <c r="Q563" s="28"/>
      <c r="R563" s="28"/>
    </row>
    <row r="564" spans="1:18" outlineLevel="1">
      <c r="A564" s="24" t="str">
        <f t="shared" si="197"/>
        <v>GERAL</v>
      </c>
      <c r="B564" s="24" t="str">
        <f t="shared" si="198"/>
        <v>22º PAV. - ÁREA TÉCNICA 02</v>
      </c>
      <c r="C564" s="30" t="s">
        <v>221</v>
      </c>
      <c r="D564" s="83" t="s">
        <v>87</v>
      </c>
      <c r="E564" s="30" t="str">
        <f>'Técnico 2'!C41&amp;" "&amp;'Técnico 2'!D41</f>
        <v>Isolação em PVC (70ºC) 1.5 mm² - Amarelo</v>
      </c>
      <c r="F564" s="25">
        <f>'Técnico 2'!E41</f>
        <v>129.13999999999999</v>
      </c>
      <c r="G564" s="25">
        <v>1</v>
      </c>
      <c r="H564" s="25">
        <v>0</v>
      </c>
      <c r="I564" s="25">
        <f t="shared" si="196"/>
        <v>129.13999999999999</v>
      </c>
      <c r="J564" s="25" t="str">
        <f>'Técnico 2'!F41</f>
        <v>m</v>
      </c>
      <c r="K564" s="26">
        <f>_xlfn.XLOOKUP($E564,PREÇO!$C$7:$C$91,PREÇO!$E$7:$E$91)</f>
        <v>1.59</v>
      </c>
      <c r="L564" s="66">
        <f>IF(SUM(F564:K564)=0,SUMIFS($L565:$L$1593,$B565:$B$1593,$B564,$A565:$A$1593,$A564),I564*K564)</f>
        <v>205.33259999999999</v>
      </c>
      <c r="N564"/>
      <c r="O564"/>
      <c r="P564" s="28"/>
      <c r="Q564" s="28"/>
      <c r="R564" s="28"/>
    </row>
    <row r="565" spans="1:18" outlineLevel="1">
      <c r="A565" s="24" t="str">
        <f t="shared" si="197"/>
        <v>GERAL</v>
      </c>
      <c r="B565" s="24" t="str">
        <f t="shared" si="198"/>
        <v>22º PAV. - ÁREA TÉCNICA 02</v>
      </c>
      <c r="C565" s="30" t="s">
        <v>221</v>
      </c>
      <c r="D565" s="83" t="s">
        <v>87</v>
      </c>
      <c r="E565" s="30" t="str">
        <f>'Técnico 2'!C42&amp;" "&amp;'Técnico 2'!D42</f>
        <v>Isolação em PVC (70ºC) 1.5 mm² - Preto</v>
      </c>
      <c r="F565" s="25">
        <f>'Técnico 2'!E42</f>
        <v>96.18</v>
      </c>
      <c r="G565" s="25">
        <v>1</v>
      </c>
      <c r="H565" s="25">
        <v>0</v>
      </c>
      <c r="I565" s="25">
        <f t="shared" si="196"/>
        <v>96.18</v>
      </c>
      <c r="J565" s="25" t="str">
        <f>'Técnico 2'!F42</f>
        <v>m</v>
      </c>
      <c r="K565" s="26">
        <f>_xlfn.XLOOKUP($E565,PREÇO!$C$7:$C$91,PREÇO!$E$7:$E$91)</f>
        <v>1.59</v>
      </c>
      <c r="L565" s="66">
        <f>IF(SUM(F565:K565)=0,SUMIFS($L566:$L$1593,$B566:$B$1593,$B565,$A566:$A$1593,$A565),I565*K565)</f>
        <v>152.92620000000002</v>
      </c>
      <c r="N565"/>
      <c r="O565"/>
      <c r="P565" s="28"/>
      <c r="Q565" s="28"/>
      <c r="R565" s="28"/>
    </row>
    <row r="566" spans="1:18" outlineLevel="1">
      <c r="A566" s="24" t="str">
        <f t="shared" si="197"/>
        <v>GERAL</v>
      </c>
      <c r="B566" s="24" t="str">
        <f t="shared" si="198"/>
        <v>22º PAV. - ÁREA TÉCNICA 02</v>
      </c>
      <c r="C566" s="30" t="s">
        <v>221</v>
      </c>
      <c r="D566" s="83" t="s">
        <v>87</v>
      </c>
      <c r="E566" s="30" t="str">
        <f>'Técnico 2'!C43&amp;" "&amp;'Técnico 2'!D43</f>
        <v>Isolação em PVC (70ºC) 1.5 mm² - Vermelho</v>
      </c>
      <c r="F566" s="25">
        <f>'Técnico 2'!E43</f>
        <v>96.18</v>
      </c>
      <c r="G566" s="25">
        <v>1</v>
      </c>
      <c r="H566" s="25">
        <v>0</v>
      </c>
      <c r="I566" s="25">
        <f t="shared" si="196"/>
        <v>96.18</v>
      </c>
      <c r="J566" s="25" t="str">
        <f>'Técnico 2'!F43</f>
        <v>m</v>
      </c>
      <c r="K566" s="26">
        <f>_xlfn.XLOOKUP($E566,PREÇO!$C$7:$C$91,PREÇO!$E$7:$E$91)</f>
        <v>1.59</v>
      </c>
      <c r="L566" s="66">
        <f>IF(SUM(F566:K566)=0,SUMIFS($L567:$L$1593,$B567:$B$1593,$B566,$A567:$A$1593,$A566),I566*K566)</f>
        <v>152.92620000000002</v>
      </c>
      <c r="N566"/>
      <c r="O566"/>
      <c r="P566" s="28"/>
      <c r="Q566" s="28"/>
      <c r="R566" s="28"/>
    </row>
    <row r="567" spans="1:18" outlineLevel="1">
      <c r="A567" s="24" t="str">
        <f t="shared" si="197"/>
        <v>GERAL</v>
      </c>
      <c r="B567" s="24" t="str">
        <f t="shared" si="198"/>
        <v>22º PAV. - ÁREA TÉCNICA 02</v>
      </c>
      <c r="C567" s="30" t="s">
        <v>221</v>
      </c>
      <c r="D567" s="83" t="s">
        <v>87</v>
      </c>
      <c r="E567" s="30" t="str">
        <f>'Técnico 2'!C44&amp;" "&amp;'Técnico 2'!D44</f>
        <v>Isolação em PVC (70ºC) 2.5 mm² - Amarelo</v>
      </c>
      <c r="F567" s="25">
        <f>'Técnico 2'!E44</f>
        <v>17.62</v>
      </c>
      <c r="G567" s="25">
        <v>1</v>
      </c>
      <c r="H567" s="25">
        <v>0</v>
      </c>
      <c r="I567" s="25">
        <f t="shared" si="196"/>
        <v>17.62</v>
      </c>
      <c r="J567" s="25" t="str">
        <f>'Técnico 2'!F44</f>
        <v>m</v>
      </c>
      <c r="K567" s="26">
        <f>_xlfn.XLOOKUP($E567,PREÇO!$C$7:$C$91,PREÇO!$E$7:$E$91)</f>
        <v>2.19</v>
      </c>
      <c r="L567" s="66">
        <f>IF(SUM(F567:K567)=0,SUMIFS($L568:$L$1593,$B568:$B$1593,$B567,$A568:$A$1593,$A567),I567*K567)</f>
        <v>38.587800000000001</v>
      </c>
      <c r="N567"/>
      <c r="O567"/>
      <c r="P567" s="28"/>
      <c r="Q567" s="28"/>
      <c r="R567" s="28"/>
    </row>
    <row r="568" spans="1:18" outlineLevel="1">
      <c r="A568" s="24" t="str">
        <f t="shared" si="197"/>
        <v>GERAL</v>
      </c>
      <c r="B568" s="24" t="str">
        <f t="shared" si="198"/>
        <v>22º PAV. - ÁREA TÉCNICA 02</v>
      </c>
      <c r="C568" s="30" t="s">
        <v>221</v>
      </c>
      <c r="D568" s="83" t="s">
        <v>87</v>
      </c>
      <c r="E568" s="30" t="str">
        <f>'Técnico 2'!C45&amp;" "&amp;'Técnico 2'!D45</f>
        <v>Isolação em PVC (70ºC) 2.5 mm² - Preto</v>
      </c>
      <c r="F568" s="25">
        <f>'Técnico 2'!E45</f>
        <v>291.58</v>
      </c>
      <c r="G568" s="25">
        <v>1</v>
      </c>
      <c r="H568" s="25">
        <v>0</v>
      </c>
      <c r="I568" s="25">
        <f t="shared" si="196"/>
        <v>291.58</v>
      </c>
      <c r="J568" s="25" t="str">
        <f>'Técnico 2'!F45</f>
        <v>m</v>
      </c>
      <c r="K568" s="26">
        <f>_xlfn.XLOOKUP($E568,PREÇO!$C$7:$C$91,PREÇO!$E$7:$E$91)</f>
        <v>2.19</v>
      </c>
      <c r="L568" s="66">
        <f>IF(SUM(F568:K568)=0,SUMIFS($L569:$L$1593,$B569:$B$1593,$B568,$A569:$A$1593,$A568),I568*K568)</f>
        <v>638.5601999999999</v>
      </c>
      <c r="N568"/>
      <c r="O568"/>
      <c r="P568" s="28"/>
      <c r="Q568" s="28"/>
      <c r="R568" s="28"/>
    </row>
    <row r="569" spans="1:18" outlineLevel="1">
      <c r="A569" s="24" t="str">
        <f t="shared" si="197"/>
        <v>GERAL</v>
      </c>
      <c r="B569" s="24" t="str">
        <f t="shared" si="198"/>
        <v>22º PAV. - ÁREA TÉCNICA 02</v>
      </c>
      <c r="C569" s="30" t="s">
        <v>221</v>
      </c>
      <c r="D569" s="83" t="s">
        <v>87</v>
      </c>
      <c r="E569" s="30" t="str">
        <f>'Técnico 2'!C46&amp;" "&amp;'Técnico 2'!D46</f>
        <v>Isolação em PVC (70ºC) 2.5 mm² - Vermelho</v>
      </c>
      <c r="F569" s="25">
        <f>'Técnico 2'!E46</f>
        <v>291.58</v>
      </c>
      <c r="G569" s="25">
        <v>1</v>
      </c>
      <c r="H569" s="25">
        <v>0</v>
      </c>
      <c r="I569" s="25">
        <f t="shared" si="196"/>
        <v>291.58</v>
      </c>
      <c r="J569" s="25" t="str">
        <f>'Técnico 2'!F46</f>
        <v>m</v>
      </c>
      <c r="K569" s="26">
        <f>_xlfn.XLOOKUP($E569,PREÇO!$C$7:$C$91,PREÇO!$E$7:$E$91)</f>
        <v>2.19</v>
      </c>
      <c r="L569" s="66">
        <f>IF(SUM(F569:K569)=0,SUMIFS($L570:$L$1593,$B570:$B$1593,$B569,$A570:$A$1593,$A569),I569*K569)</f>
        <v>638.5601999999999</v>
      </c>
      <c r="N569"/>
      <c r="O569"/>
      <c r="P569" s="28"/>
      <c r="Q569" s="28"/>
      <c r="R569" s="28"/>
    </row>
    <row r="570" spans="1:18" outlineLevel="1">
      <c r="A570" s="24" t="str">
        <f t="shared" si="197"/>
        <v>GERAL</v>
      </c>
      <c r="B570" s="24" t="str">
        <f t="shared" si="198"/>
        <v>22º PAV. - ÁREA TÉCNICA 02</v>
      </c>
      <c r="C570" s="30" t="s">
        <v>221</v>
      </c>
      <c r="D570" s="83" t="s">
        <v>138</v>
      </c>
      <c r="E570" s="30" t="str">
        <f>'Técnico 2'!C49&amp;" "&amp;'Técnico 2'!D49</f>
        <v>Eletroduto leve 1"</v>
      </c>
      <c r="F570" s="25">
        <f>'Técnico 2'!E49</f>
        <v>18.510000000000002</v>
      </c>
      <c r="G570" s="25">
        <v>1</v>
      </c>
      <c r="H570" s="25">
        <v>0</v>
      </c>
      <c r="I570" s="25">
        <f t="shared" ref="I570:I578" si="199">(F570+H570*F570)*G570</f>
        <v>18.510000000000002</v>
      </c>
      <c r="J570" s="25" t="str">
        <f>'Técnico 2'!F49</f>
        <v>m</v>
      </c>
      <c r="K570" s="26">
        <f>_xlfn.XLOOKUP($E570,PREÇO!$C$7:$C$91,PREÇO!$E$7:$E$91)</f>
        <v>6.67</v>
      </c>
      <c r="L570" s="66">
        <f>IF(SUM(F570:K570)=0,SUMIFS($L571:$L$1593,$B571:$B$1593,$B570,$A571:$A$1593,$A570),I570*K570)</f>
        <v>123.46170000000001</v>
      </c>
      <c r="N570"/>
      <c r="O570"/>
      <c r="P570" s="28"/>
      <c r="Q570" s="28"/>
      <c r="R570" s="28"/>
    </row>
    <row r="571" spans="1:18" outlineLevel="1">
      <c r="A571" s="24" t="str">
        <f t="shared" si="197"/>
        <v>GERAL</v>
      </c>
      <c r="B571" s="24" t="str">
        <f t="shared" si="198"/>
        <v>22º PAV. - ÁREA TÉCNICA 02</v>
      </c>
      <c r="C571" s="30" t="s">
        <v>221</v>
      </c>
      <c r="D571" s="83" t="s">
        <v>138</v>
      </c>
      <c r="E571" s="30" t="str">
        <f>'Técnico 2'!C50&amp;" "&amp;'Técnico 2'!D50</f>
        <v>Eletroduto leve 3/4"</v>
      </c>
      <c r="F571" s="25">
        <f>'Técnico 2'!E50</f>
        <v>117.46</v>
      </c>
      <c r="G571" s="25">
        <v>1</v>
      </c>
      <c r="H571" s="25">
        <v>0</v>
      </c>
      <c r="I571" s="25">
        <f t="shared" si="199"/>
        <v>117.46</v>
      </c>
      <c r="J571" s="25" t="str">
        <f>'Técnico 2'!F50</f>
        <v>m</v>
      </c>
      <c r="K571" s="26">
        <f>_xlfn.XLOOKUP($E571,PREÇO!$C$7:$C$91,PREÇO!$E$7:$E$91)</f>
        <v>8.1</v>
      </c>
      <c r="L571" s="66">
        <f>IF(SUM(F571:K571)=0,SUMIFS($L572:$L$1593,$B572:$B$1593,$B571,$A572:$A$1593,$A571),I571*K571)</f>
        <v>951.42599999999993</v>
      </c>
      <c r="N571"/>
      <c r="O571"/>
      <c r="P571" s="28"/>
      <c r="Q571" s="28"/>
      <c r="R571" s="28"/>
    </row>
    <row r="572" spans="1:18" outlineLevel="1">
      <c r="A572" s="24" t="str">
        <f t="shared" si="197"/>
        <v>GERAL</v>
      </c>
      <c r="B572" s="24" t="str">
        <f t="shared" si="198"/>
        <v>22º PAV. - ÁREA TÉCNICA 02</v>
      </c>
      <c r="C572" s="30" t="s">
        <v>221</v>
      </c>
      <c r="D572" s="83" t="s">
        <v>46</v>
      </c>
      <c r="E572" s="30" t="str">
        <f>'Técnico 2'!C54&amp;" "&amp;'Técnico 2'!D54</f>
        <v>PVC Flexível Antichama - NBR 15465 ø1"</v>
      </c>
      <c r="F572" s="25">
        <f>'Técnico 2'!E54</f>
        <v>15.49</v>
      </c>
      <c r="G572" s="25">
        <v>1</v>
      </c>
      <c r="H572" s="25">
        <v>0</v>
      </c>
      <c r="I572" s="25">
        <f t="shared" si="199"/>
        <v>15.49</v>
      </c>
      <c r="J572" s="25" t="str">
        <f>'Técnico 2'!F54</f>
        <v>m</v>
      </c>
      <c r="K572" s="26">
        <f>_xlfn.XLOOKUP($E572,PREÇO!$C$7:$C$91,PREÇO!$E$7:$E$91)</f>
        <v>2.5299999999999998</v>
      </c>
      <c r="L572" s="66">
        <f>IF(SUM(F572:K572)=0,SUMIFS($L573:$L$1593,$B573:$B$1593,$B572,$A573:$A$1593,$A572),I572*K572)</f>
        <v>39.189699999999995</v>
      </c>
      <c r="N572"/>
      <c r="O572"/>
      <c r="P572" s="28"/>
      <c r="Q572" s="28"/>
      <c r="R572" s="28"/>
    </row>
    <row r="573" spans="1:18" outlineLevel="1">
      <c r="A573" s="24" t="str">
        <f t="shared" si="197"/>
        <v>GERAL</v>
      </c>
      <c r="B573" s="24" t="str">
        <f t="shared" si="198"/>
        <v>22º PAV. - ÁREA TÉCNICA 02</v>
      </c>
      <c r="C573" s="30" t="s">
        <v>221</v>
      </c>
      <c r="D573" s="30" t="s">
        <v>89</v>
      </c>
      <c r="E573" s="30" t="str">
        <f>'Técnico 2'!C57&amp;" "&amp;'Técnico 2'!D57</f>
        <v>Classe A - PVC Anti-chama - 105ºC - Isolação 600V 0.75 mm²</v>
      </c>
      <c r="F573" s="25">
        <f>'Técnico 2'!E57</f>
        <v>92.84</v>
      </c>
      <c r="G573" s="25">
        <v>1</v>
      </c>
      <c r="H573" s="25">
        <v>0</v>
      </c>
      <c r="I573" s="25">
        <f t="shared" si="199"/>
        <v>92.84</v>
      </c>
      <c r="J573" s="25" t="str">
        <f>'Técnico 2'!F57</f>
        <v>m</v>
      </c>
      <c r="K573" s="26">
        <f>_xlfn.XLOOKUP($E573,PREÇO!$C$7:$C$91,PREÇO!$E$7:$E$91)</f>
        <v>0.99</v>
      </c>
      <c r="L573" s="66">
        <f>IF(SUM(F573:K573)=0,SUMIFS($L574:$L$1593,$B574:$B$1593,$B573,$A574:$A$1593,$A573),I573*K573)</f>
        <v>91.911600000000007</v>
      </c>
      <c r="N573"/>
      <c r="O573"/>
      <c r="P573" s="28"/>
      <c r="Q573" s="28"/>
      <c r="R573" s="28"/>
    </row>
    <row r="574" spans="1:18" outlineLevel="1">
      <c r="A574" s="24" t="str">
        <f t="shared" si="197"/>
        <v>GERAL</v>
      </c>
      <c r="B574" s="24" t="str">
        <f t="shared" si="198"/>
        <v>22º PAV. - ÁREA TÉCNICA 02</v>
      </c>
      <c r="C574" s="30" t="s">
        <v>221</v>
      </c>
      <c r="D574" s="30" t="s">
        <v>89</v>
      </c>
      <c r="E574" s="30" t="str">
        <f>'Técnico 2'!C58&amp;" "&amp;'Técnico 2'!D58</f>
        <v>Classe B - PVC Anti-chama - 105ºC - Isolação 600V 1.5 mm²</v>
      </c>
      <c r="F574" s="25">
        <f>'Técnico 2'!E58</f>
        <v>9.8699999999999992</v>
      </c>
      <c r="G574" s="25">
        <v>1</v>
      </c>
      <c r="H574" s="25">
        <v>0</v>
      </c>
      <c r="I574" s="25">
        <f t="shared" si="199"/>
        <v>9.8699999999999992</v>
      </c>
      <c r="J574" s="25" t="str">
        <f>'Técnico 2'!F58</f>
        <v>m</v>
      </c>
      <c r="K574" s="26">
        <f>_xlfn.XLOOKUP($E574,PREÇO!$C$7:$C$91,PREÇO!$E$7:$E$91)</f>
        <v>1.69</v>
      </c>
      <c r="L574" s="66">
        <f>IF(SUM(F574:K574)=0,SUMIFS($L575:$L$1593,$B575:$B$1593,$B574,$A575:$A$1593,$A574),I574*K574)</f>
        <v>16.680299999999999</v>
      </c>
      <c r="N574"/>
      <c r="O574"/>
      <c r="P574" s="28"/>
      <c r="Q574" s="28"/>
      <c r="R574" s="28"/>
    </row>
    <row r="575" spans="1:18" outlineLevel="1">
      <c r="A575" s="24" t="str">
        <f t="shared" si="197"/>
        <v>GERAL</v>
      </c>
      <c r="B575" s="24" t="str">
        <f t="shared" si="198"/>
        <v>22º PAV. - ÁREA TÉCNICA 02</v>
      </c>
      <c r="C575" s="30" t="s">
        <v>221</v>
      </c>
      <c r="D575" s="30" t="s">
        <v>138</v>
      </c>
      <c r="E575" s="30" t="str">
        <f>'Técnico 2'!C61&amp;" "&amp;'Técnico 2'!D61</f>
        <v>Eletroduto leve 1"</v>
      </c>
      <c r="F575" s="25">
        <f>'Técnico 2'!E61</f>
        <v>84.78</v>
      </c>
      <c r="G575" s="25">
        <v>1</v>
      </c>
      <c r="H575" s="25">
        <v>0</v>
      </c>
      <c r="I575" s="25">
        <f t="shared" si="199"/>
        <v>84.78</v>
      </c>
      <c r="J575" s="25" t="str">
        <f>'Técnico 2'!F61</f>
        <v>m</v>
      </c>
      <c r="K575" s="26">
        <f>_xlfn.XLOOKUP($E575,PREÇO!$C$7:$C$91,PREÇO!$E$7:$E$91)</f>
        <v>6.67</v>
      </c>
      <c r="L575" s="66">
        <f>IF(SUM(F575:K575)=0,SUMIFS($L576:$L$1593,$B576:$B$1593,$B575,$A576:$A$1593,$A575),I575*K575)</f>
        <v>565.48260000000005</v>
      </c>
      <c r="N575"/>
      <c r="O575"/>
      <c r="P575" s="28"/>
      <c r="Q575" s="28"/>
      <c r="R575" s="28"/>
    </row>
    <row r="576" spans="1:18" ht="15.75" outlineLevel="1" thickBot="1">
      <c r="A576" s="24" t="str">
        <f t="shared" si="197"/>
        <v>GERAL</v>
      </c>
      <c r="B576" s="24" t="str">
        <f t="shared" si="198"/>
        <v>22º PAV. - ÁREA TÉCNICA 02</v>
      </c>
      <c r="C576" s="30" t="s">
        <v>221</v>
      </c>
      <c r="D576" s="30" t="s">
        <v>138</v>
      </c>
      <c r="E576" s="30" t="str">
        <f>'Técnico 2'!C62&amp;" "&amp;'Técnico 2'!D62</f>
        <v>Eletroduto leve 3/4"</v>
      </c>
      <c r="F576" s="25">
        <f>'Técnico 2'!E62</f>
        <v>2.42</v>
      </c>
      <c r="G576" s="25">
        <v>1</v>
      </c>
      <c r="H576" s="25">
        <v>0</v>
      </c>
      <c r="I576" s="25">
        <f t="shared" si="199"/>
        <v>2.42</v>
      </c>
      <c r="J576" s="25" t="str">
        <f>'Técnico 2'!F62</f>
        <v>m</v>
      </c>
      <c r="K576" s="26">
        <f>_xlfn.XLOOKUP($E576,PREÇO!$C$7:$C$91,PREÇO!$E$7:$E$91)</f>
        <v>8.1</v>
      </c>
      <c r="L576" s="66">
        <f>IF(SUM(F576:K576)=0,SUMIFS($L577:$L$1593,$B577:$B$1593,$B576,$A577:$A$1593,$A576),I576*K576)</f>
        <v>19.602</v>
      </c>
      <c r="N576"/>
      <c r="O576"/>
      <c r="P576" s="28"/>
      <c r="Q576" s="28"/>
      <c r="R576" s="28"/>
    </row>
    <row r="577" spans="1:18" ht="15.75" thickTop="1">
      <c r="A577" s="82" t="s">
        <v>19</v>
      </c>
      <c r="B577" s="82" t="s">
        <v>148</v>
      </c>
      <c r="C577" s="43"/>
      <c r="D577" s="44"/>
      <c r="E577" s="44"/>
      <c r="F577" s="45"/>
      <c r="G577" s="45"/>
      <c r="H577" s="45"/>
      <c r="I577" s="45"/>
      <c r="J577" s="45"/>
      <c r="K577" s="47"/>
      <c r="L577" s="48">
        <f>IF(SUM(F577:K577)=0,SUMIFS($L578:$L$1593,$B578:$B$1593,$B577,$A578:$A$1593,$A577),I577*K577)</f>
        <v>65818.512100000007</v>
      </c>
      <c r="N577"/>
      <c r="O577"/>
      <c r="P577" s="28"/>
      <c r="Q577" s="28"/>
      <c r="R577" s="28"/>
    </row>
    <row r="578" spans="1:18" outlineLevel="1">
      <c r="A578" s="24" t="str">
        <f>A577</f>
        <v>GERAL</v>
      </c>
      <c r="B578" s="24" t="str">
        <f>B577</f>
        <v>23º PAV. - TIPO 03A - x11 - LANÇAMENTO</v>
      </c>
      <c r="C578" s="30" t="s">
        <v>221</v>
      </c>
      <c r="D578" s="30" t="str">
        <f>'Tipo 3A - x11'!C6</f>
        <v>Acionadores</v>
      </c>
      <c r="E578" s="30" t="str">
        <f>'Tipo 3A - x11'!D6</f>
        <v>Acionador Manual de Alarme de Incêndio</v>
      </c>
      <c r="F578" s="30">
        <f>'Tipo 3A - x11'!E6</f>
        <v>1</v>
      </c>
      <c r="G578" s="25">
        <v>11</v>
      </c>
      <c r="H578" s="25">
        <v>0</v>
      </c>
      <c r="I578" s="25">
        <f t="shared" si="199"/>
        <v>11</v>
      </c>
      <c r="J578" s="25" t="str">
        <f>'Tipo 3A - x11'!F6</f>
        <v>pç</v>
      </c>
      <c r="K578" s="26">
        <f>_xlfn.XLOOKUP($E578,PREÇO!$C$7:$C$91,PREÇO!$E$7:$E$91)</f>
        <v>65</v>
      </c>
      <c r="L578" s="66">
        <f>IF(SUM(F578:K578)=0,SUMIFS($L579:$L$1593,$B579:$B$1593,$B578,$A579:$A$1593,$A578),I578*K578)</f>
        <v>715</v>
      </c>
      <c r="N578"/>
      <c r="O578"/>
      <c r="P578" s="28"/>
      <c r="Q578" s="28"/>
      <c r="R578" s="28"/>
    </row>
    <row r="579" spans="1:18" outlineLevel="1">
      <c r="A579" s="24" t="str">
        <f t="shared" ref="A579:A583" si="200">A578</f>
        <v>GERAL</v>
      </c>
      <c r="B579" s="24" t="str">
        <f t="shared" ref="B579:B583" si="201">B578</f>
        <v>23º PAV. - TIPO 03A - x11 - LANÇAMENTO</v>
      </c>
      <c r="C579" s="30" t="s">
        <v>221</v>
      </c>
      <c r="D579" s="30" t="str">
        <f>'Tipo 3A - x11'!C7</f>
        <v>Anunciadores</v>
      </c>
      <c r="E579" s="30" t="str">
        <f>'Tipo 3A - x11'!D7</f>
        <v>Anunciador Audiovisual de Alarme de Incêndio de Parede</v>
      </c>
      <c r="F579" s="30">
        <f>'Tipo 3A - x11'!E7</f>
        <v>1</v>
      </c>
      <c r="G579" s="25">
        <v>11</v>
      </c>
      <c r="H579" s="25">
        <v>0</v>
      </c>
      <c r="I579" s="25">
        <f t="shared" ref="I579:I607" si="202">(F579+H579*F579)*G579</f>
        <v>11</v>
      </c>
      <c r="J579" s="25" t="str">
        <f>'Tipo 3A - x11'!F7</f>
        <v>pç</v>
      </c>
      <c r="K579" s="26">
        <f>_xlfn.XLOOKUP($E579,PREÇO!$C$7:$C$91,PREÇO!$E$7:$E$91)</f>
        <v>191.81</v>
      </c>
      <c r="L579" s="66">
        <f>IF(SUM(F579:K579)=0,SUMIFS($L580:$L$1593,$B580:$B$1593,$B579,$A580:$A$1593,$A579),I579*K579)</f>
        <v>2109.91</v>
      </c>
      <c r="N579"/>
      <c r="O579"/>
      <c r="P579" s="28"/>
      <c r="Q579" s="28"/>
      <c r="R579" s="28"/>
    </row>
    <row r="580" spans="1:18" outlineLevel="1">
      <c r="A580" s="24" t="str">
        <f t="shared" si="200"/>
        <v>GERAL</v>
      </c>
      <c r="B580" s="24" t="str">
        <f t="shared" si="201"/>
        <v>23º PAV. - TIPO 03A - x11 - LANÇAMENTO</v>
      </c>
      <c r="C580" s="30" t="s">
        <v>221</v>
      </c>
      <c r="D580" s="30" t="str">
        <f>'Tipo 3A - x11'!C8</f>
        <v>Anunciadores</v>
      </c>
      <c r="E580" s="30" t="str">
        <f>'Tipo 3A - x11'!D8</f>
        <v>Anunciador Audiovisual de Alarme de Incêndio de Teto</v>
      </c>
      <c r="F580" s="30">
        <f>'Tipo 3A - x11'!E8</f>
        <v>2</v>
      </c>
      <c r="G580" s="25">
        <v>11</v>
      </c>
      <c r="H580" s="25">
        <v>0</v>
      </c>
      <c r="I580" s="25">
        <f t="shared" si="202"/>
        <v>22</v>
      </c>
      <c r="J580" s="25" t="str">
        <f>'Tipo 3A - x11'!F8</f>
        <v>pç</v>
      </c>
      <c r="K580" s="26">
        <f>_xlfn.XLOOKUP($E580,PREÇO!$C$7:$C$91,PREÇO!$E$7:$E$91)</f>
        <v>169.96</v>
      </c>
      <c r="L580" s="66">
        <f>IF(SUM(F580:K580)=0,SUMIFS($L581:$L$1593,$B581:$B$1593,$B580,$A581:$A$1593,$A580),I580*K580)</f>
        <v>3739.1200000000003</v>
      </c>
      <c r="N580"/>
      <c r="O580"/>
      <c r="P580" s="28"/>
      <c r="Q580" s="28"/>
      <c r="R580" s="28"/>
    </row>
    <row r="581" spans="1:18" outlineLevel="1">
      <c r="A581" s="24" t="str">
        <f t="shared" si="200"/>
        <v>GERAL</v>
      </c>
      <c r="B581" s="24" t="str">
        <f t="shared" si="201"/>
        <v>23º PAV. - TIPO 03A - x11 - LANÇAMENTO</v>
      </c>
      <c r="C581" s="30" t="s">
        <v>221</v>
      </c>
      <c r="D581" s="30" t="str">
        <f>'Tipo 3A - x11'!C9</f>
        <v>Atuadores</v>
      </c>
      <c r="E581" s="30" t="str">
        <f>'Tipo 3A - x11'!D9</f>
        <v>Atuador Janela Desenfumagem</v>
      </c>
      <c r="F581" s="30">
        <f>'Tipo 3A - x11'!E9</f>
        <v>1</v>
      </c>
      <c r="G581" s="25">
        <v>11</v>
      </c>
      <c r="H581" s="25">
        <v>0</v>
      </c>
      <c r="I581" s="25">
        <f t="shared" si="202"/>
        <v>11</v>
      </c>
      <c r="J581" s="25" t="str">
        <f>'Tipo 3A - x11'!F9</f>
        <v>pç</v>
      </c>
      <c r="K581" s="26">
        <f>_xlfn.XLOOKUP($E581,PREÇO!$C$7:$C$91,PREÇO!$E$7:$E$91)</f>
        <v>1150</v>
      </c>
      <c r="L581" s="66">
        <f>IF(SUM(F581:K581)=0,SUMIFS($L582:$L$1593,$B582:$B$1593,$B581,$A582:$A$1593,$A581),I581*K581)</f>
        <v>12650</v>
      </c>
      <c r="N581"/>
      <c r="O581"/>
      <c r="P581" s="28"/>
      <c r="Q581" s="28"/>
      <c r="R581" s="28"/>
    </row>
    <row r="582" spans="1:18" outlineLevel="1">
      <c r="A582" s="24" t="str">
        <f t="shared" si="200"/>
        <v>GERAL</v>
      </c>
      <c r="B582" s="24" t="str">
        <f t="shared" si="201"/>
        <v>23º PAV. - TIPO 03A - x11 - LANÇAMENTO</v>
      </c>
      <c r="C582" s="30" t="s">
        <v>221</v>
      </c>
      <c r="D582" s="30" t="str">
        <f>'Tipo 3A - x11'!C10</f>
        <v>Atuadores</v>
      </c>
      <c r="E582" s="30" t="str">
        <f>'Tipo 3A - x11'!D10</f>
        <v>Dispositivo Eletromagnético de Porta Aberta</v>
      </c>
      <c r="F582" s="30">
        <f>'Tipo 3A - x11'!E10</f>
        <v>1</v>
      </c>
      <c r="G582" s="25">
        <v>11</v>
      </c>
      <c r="H582" s="25">
        <v>0</v>
      </c>
      <c r="I582" s="25">
        <f t="shared" si="202"/>
        <v>11</v>
      </c>
      <c r="J582" s="25" t="str">
        <f>'Tipo 3A - x11'!F10</f>
        <v>pç</v>
      </c>
      <c r="K582" s="26">
        <f>_xlfn.XLOOKUP($E582,PREÇO!$C$7:$C$91,PREÇO!$E$7:$E$91)</f>
        <v>416.9</v>
      </c>
      <c r="L582" s="66">
        <f>IF(SUM(F582:K582)=0,SUMIFS($L583:$L$1593,$B583:$B$1593,$B582,$A583:$A$1593,$A582),I582*K582)</f>
        <v>4585.8999999999996</v>
      </c>
      <c r="N582"/>
      <c r="O582"/>
      <c r="P582" s="28"/>
      <c r="Q582" s="28"/>
      <c r="R582" s="28"/>
    </row>
    <row r="583" spans="1:18" outlineLevel="1">
      <c r="A583" s="24" t="str">
        <f t="shared" si="200"/>
        <v>GERAL</v>
      </c>
      <c r="B583" s="24" t="str">
        <f t="shared" si="201"/>
        <v>23º PAV. - TIPO 03A - x11 - LANÇAMENTO</v>
      </c>
      <c r="C583" s="30" t="s">
        <v>221</v>
      </c>
      <c r="D583" s="30" t="str">
        <f>'Tipo 3A - x11'!C11</f>
        <v>Sensores</v>
      </c>
      <c r="E583" s="30" t="str">
        <f>'Tipo 3A - x11'!D11</f>
        <v>Sensor de Fumaça</v>
      </c>
      <c r="F583" s="30">
        <f>'Tipo 3A - x11'!E11</f>
        <v>17</v>
      </c>
      <c r="G583" s="25">
        <v>11</v>
      </c>
      <c r="H583" s="25">
        <v>0</v>
      </c>
      <c r="I583" s="25">
        <f t="shared" si="202"/>
        <v>187</v>
      </c>
      <c r="J583" s="25" t="str">
        <f>'Tipo 3A - x11'!F11</f>
        <v>pç</v>
      </c>
      <c r="K583" s="26">
        <f>_xlfn.XLOOKUP($E583,PREÇO!$C$7:$C$91,PREÇO!$E$7:$E$91)</f>
        <v>53.9</v>
      </c>
      <c r="L583" s="66">
        <f>IF(SUM(F583:K583)=0,SUMIFS($L584:$L$1593,$B584:$B$1593,$B583,$A584:$A$1593,$A583),I583*K583)</f>
        <v>10079.299999999999</v>
      </c>
      <c r="N583"/>
      <c r="O583"/>
      <c r="P583" s="28"/>
      <c r="Q583" s="28"/>
      <c r="R583" s="28"/>
    </row>
    <row r="584" spans="1:18" outlineLevel="1">
      <c r="A584" s="24" t="str">
        <f t="shared" ref="A584:A605" si="203">A583</f>
        <v>GERAL</v>
      </c>
      <c r="B584" s="24" t="str">
        <f t="shared" ref="B584:B605" si="204">B583</f>
        <v>23º PAV. - TIPO 03A - x11 - LANÇAMENTO</v>
      </c>
      <c r="C584" s="30" t="s">
        <v>221</v>
      </c>
      <c r="D584" s="30" t="str">
        <f>'Tipo 3A - x11'!C14</f>
        <v>Caixas</v>
      </c>
      <c r="E584" s="30" t="str">
        <f>'Tipo 3A - x11'!D14</f>
        <v>Caixa Octogonal Padrão NBR IEC 60670</v>
      </c>
      <c r="F584" s="30">
        <f>'Tipo 3A - x11'!E14</f>
        <v>29</v>
      </c>
      <c r="G584" s="25">
        <v>11</v>
      </c>
      <c r="H584" s="25">
        <v>0</v>
      </c>
      <c r="I584" s="25">
        <f t="shared" si="202"/>
        <v>319</v>
      </c>
      <c r="J584" s="25" t="str">
        <f>'Tipo 3A - x11'!F14</f>
        <v>pç</v>
      </c>
      <c r="K584" s="26">
        <f>_xlfn.XLOOKUP($E584,PREÇO!$C$7:$C$91,PREÇO!$E$7:$E$91)</f>
        <v>5.32</v>
      </c>
      <c r="L584" s="66">
        <f>IF(SUM(F584:K584)=0,SUMIFS($L585:$L$1593,$B585:$B$1593,$B584,$A585:$A$1593,$A584),I584*K584)</f>
        <v>1697.0800000000002</v>
      </c>
      <c r="N584"/>
      <c r="O584"/>
      <c r="P584" s="28"/>
      <c r="Q584" s="28"/>
      <c r="R584" s="28"/>
    </row>
    <row r="585" spans="1:18" outlineLevel="1">
      <c r="A585" s="24" t="str">
        <f t="shared" si="203"/>
        <v>GERAL</v>
      </c>
      <c r="B585" s="24" t="str">
        <f t="shared" si="204"/>
        <v>23º PAV. - TIPO 03A - x11 - LANÇAMENTO</v>
      </c>
      <c r="C585" s="30" t="s">
        <v>221</v>
      </c>
      <c r="D585" s="30" t="str">
        <f>'Tipo 3A - x11'!C15</f>
        <v>Placas</v>
      </c>
      <c r="E585" s="30" t="str">
        <f>'Tipo 3A - x11'!D15</f>
        <v>Placa cega para caixa octogonal Padrão NBR IEC 60670</v>
      </c>
      <c r="F585" s="30">
        <f>'Tipo 3A - x11'!E15</f>
        <v>2</v>
      </c>
      <c r="G585" s="25">
        <v>11</v>
      </c>
      <c r="H585" s="25">
        <v>0</v>
      </c>
      <c r="I585" s="25">
        <f t="shared" si="202"/>
        <v>22</v>
      </c>
      <c r="J585" s="25" t="str">
        <f>'Tipo 3A - x11'!F15</f>
        <v>pç</v>
      </c>
      <c r="K585" s="26">
        <f>_xlfn.XLOOKUP($E585,PREÇO!$C$7:$C$91,PREÇO!$E$7:$E$91)</f>
        <v>2.5</v>
      </c>
      <c r="L585" s="66">
        <f>IF(SUM(F585:K585)=0,SUMIFS($L586:$L$1593,$B586:$B$1593,$B585,$A586:$A$1593,$A585),I585*K585)</f>
        <v>55</v>
      </c>
      <c r="N585"/>
      <c r="O585"/>
      <c r="P585" s="28"/>
      <c r="Q585" s="28"/>
      <c r="R585" s="28"/>
    </row>
    <row r="586" spans="1:18" outlineLevel="1">
      <c r="A586" s="24" t="str">
        <f t="shared" si="203"/>
        <v>GERAL</v>
      </c>
      <c r="B586" s="24" t="str">
        <f t="shared" si="204"/>
        <v>23º PAV. - TIPO 03A - x11 - LANÇAMENTO</v>
      </c>
      <c r="C586" s="30" t="s">
        <v>221</v>
      </c>
      <c r="D586" s="30" t="str">
        <f>'Tipo 3A - x11'!C18</f>
        <v>Caixas</v>
      </c>
      <c r="E586" s="30" t="str">
        <f>'Tipo 3A - x11'!D18</f>
        <v>Caixa 4x2" de Embutir em PVC Padrão NBR IEC 60670</v>
      </c>
      <c r="F586" s="30">
        <f>'Tipo 3A - x11'!E18</f>
        <v>9</v>
      </c>
      <c r="G586" s="25">
        <v>11</v>
      </c>
      <c r="H586" s="25">
        <v>0</v>
      </c>
      <c r="I586" s="25">
        <f t="shared" si="202"/>
        <v>99</v>
      </c>
      <c r="J586" s="25" t="str">
        <f>'Tipo 3A - x11'!F18</f>
        <v>pç</v>
      </c>
      <c r="K586" s="26">
        <f>_xlfn.XLOOKUP($E586,PREÇO!$C$7:$C$91,PREÇO!$E$7:$E$91)</f>
        <v>1.72</v>
      </c>
      <c r="L586" s="66">
        <f>IF(SUM(F586:K586)=0,SUMIFS($L587:$L$1593,$B587:$B$1593,$B586,$A587:$A$1593,$A586),I586*K586)</f>
        <v>170.28</v>
      </c>
      <c r="N586"/>
      <c r="O586"/>
      <c r="P586" s="28"/>
      <c r="Q586" s="28"/>
      <c r="R586" s="28"/>
    </row>
    <row r="587" spans="1:18" outlineLevel="1">
      <c r="A587" s="24" t="str">
        <f t="shared" si="203"/>
        <v>GERAL</v>
      </c>
      <c r="B587" s="24" t="str">
        <f t="shared" si="204"/>
        <v>23º PAV. - TIPO 03A - x11 - LANÇAMENTO</v>
      </c>
      <c r="C587" s="30" t="s">
        <v>221</v>
      </c>
      <c r="D587" s="30" t="str">
        <f>'Tipo 3A - x11'!C19</f>
        <v>Placas</v>
      </c>
      <c r="E587" s="30" t="str">
        <f>'Tipo 3A - x11'!D19</f>
        <v>Placa 4x2" cega Padrão NBR IEC 60670</v>
      </c>
      <c r="F587" s="30">
        <f>'Tipo 3A - x11'!E19</f>
        <v>3</v>
      </c>
      <c r="G587" s="25">
        <v>11</v>
      </c>
      <c r="H587" s="25">
        <v>0</v>
      </c>
      <c r="I587" s="25">
        <f t="shared" si="202"/>
        <v>33</v>
      </c>
      <c r="J587" s="25" t="str">
        <f>'Tipo 3A - x11'!F19</f>
        <v>pç</v>
      </c>
      <c r="K587" s="26">
        <f>_xlfn.XLOOKUP($E587,PREÇO!$C$7:$C$91,PREÇO!$E$7:$E$91)</f>
        <v>4.59</v>
      </c>
      <c r="L587" s="66">
        <f>IF(SUM(F587:K587)=0,SUMIFS($L588:$L$1593,$B588:$B$1593,$B587,$A588:$A$1593,$A587),I587*K587)</f>
        <v>151.47</v>
      </c>
      <c r="N587"/>
      <c r="O587"/>
      <c r="P587" s="28"/>
      <c r="Q587" s="28"/>
      <c r="R587" s="28"/>
    </row>
    <row r="588" spans="1:18" outlineLevel="1">
      <c r="A588" s="24" t="str">
        <f t="shared" si="203"/>
        <v>GERAL</v>
      </c>
      <c r="B588" s="24" t="str">
        <f t="shared" si="204"/>
        <v>23º PAV. - TIPO 03A - x11 - LANÇAMENTO</v>
      </c>
      <c r="C588" s="30" t="s">
        <v>221</v>
      </c>
      <c r="D588" s="30" t="str">
        <f>'Tipo 3A - x11'!C20</f>
        <v>Placas</v>
      </c>
      <c r="E588" s="30" t="str">
        <f>'Tipo 3A - x11'!D20</f>
        <v>Placa 4x2" com furo para saída de cabos Padrão NBR IEC 60670</v>
      </c>
      <c r="F588" s="30">
        <f>'Tipo 3A - x11'!E20</f>
        <v>6</v>
      </c>
      <c r="G588" s="25">
        <v>11</v>
      </c>
      <c r="H588" s="25">
        <v>0</v>
      </c>
      <c r="I588" s="25">
        <f t="shared" si="202"/>
        <v>66</v>
      </c>
      <c r="J588" s="25" t="str">
        <f>'Tipo 3A - x11'!F20</f>
        <v>pç</v>
      </c>
      <c r="K588" s="26">
        <f>_xlfn.XLOOKUP($E588,PREÇO!$C$7:$C$91,PREÇO!$E$7:$E$91)</f>
        <v>6.55</v>
      </c>
      <c r="L588" s="66">
        <f>IF(SUM(F588:K588)=0,SUMIFS($L589:$L$1593,$B589:$B$1593,$B588,$A589:$A$1593,$A588),I588*K588)</f>
        <v>432.3</v>
      </c>
      <c r="N588"/>
      <c r="O588"/>
      <c r="P588" s="28"/>
      <c r="Q588" s="28"/>
      <c r="R588" s="28"/>
    </row>
    <row r="589" spans="1:18" outlineLevel="1">
      <c r="A589" s="24" t="str">
        <f t="shared" si="203"/>
        <v>GERAL</v>
      </c>
      <c r="B589" s="24" t="str">
        <f t="shared" si="204"/>
        <v>23º PAV. - TIPO 03A - x11 - LANÇAMENTO</v>
      </c>
      <c r="C589" s="30" t="s">
        <v>221</v>
      </c>
      <c r="D589" s="30" t="str">
        <f>'Tipo 3A - x11'!C21</f>
        <v>Suportes</v>
      </c>
      <c r="E589" s="30" t="str">
        <f>'Tipo 3A - x11'!D21</f>
        <v>Suporte p/ caixa 4x2" Padrão NBR IEC 60670</v>
      </c>
      <c r="F589" s="30">
        <f>'Tipo 3A - x11'!E21</f>
        <v>9</v>
      </c>
      <c r="G589" s="25">
        <v>11</v>
      </c>
      <c r="H589" s="25">
        <v>0</v>
      </c>
      <c r="I589" s="25">
        <f t="shared" si="202"/>
        <v>99</v>
      </c>
      <c r="J589" s="25" t="str">
        <f>'Tipo 3A - x11'!F21</f>
        <v>pç</v>
      </c>
      <c r="K589" s="26">
        <f>_xlfn.XLOOKUP($E589,PREÇO!$C$7:$C$91,PREÇO!$E$7:$E$91)</f>
        <v>1.85</v>
      </c>
      <c r="L589" s="66">
        <f>IF(SUM(F589:K589)=0,SUMIFS($L590:$L$1593,$B590:$B$1593,$B589,$A590:$A$1593,$A589),I589*K589)</f>
        <v>183.15</v>
      </c>
      <c r="N589"/>
      <c r="O589"/>
      <c r="P589" s="28"/>
      <c r="Q589" s="28"/>
      <c r="R589" s="28"/>
    </row>
    <row r="590" spans="1:18" outlineLevel="1">
      <c r="A590" s="24" t="str">
        <f t="shared" si="203"/>
        <v>GERAL</v>
      </c>
      <c r="B590" s="24" t="str">
        <f t="shared" si="204"/>
        <v>23º PAV. - TIPO 03A - x11 - LANÇAMENTO</v>
      </c>
      <c r="C590" s="30" t="s">
        <v>221</v>
      </c>
      <c r="D590" s="86" t="s">
        <v>46</v>
      </c>
      <c r="E590" s="30" t="s">
        <v>44</v>
      </c>
      <c r="F590" s="30">
        <f>'Tipo 3A - x11'!E24</f>
        <v>21</v>
      </c>
      <c r="G590" s="25">
        <v>11</v>
      </c>
      <c r="H590" s="25">
        <v>0</v>
      </c>
      <c r="I590" s="25">
        <f t="shared" si="202"/>
        <v>231</v>
      </c>
      <c r="J590" s="25" t="str">
        <f>'Tipo 3A - x11'!F24</f>
        <v>m</v>
      </c>
      <c r="K590" s="26">
        <f>_xlfn.XLOOKUP($E590,PREÇO!$C$7:$C$91,PREÇO!$E$7:$E$91)</f>
        <v>2.5299999999999998</v>
      </c>
      <c r="L590" s="66">
        <f>IF(SUM(F590:K590)=0,SUMIFS($L591:$L$1593,$B591:$B$1593,$B590,$A591:$A$1593,$A590),I590*K590)</f>
        <v>584.42999999999995</v>
      </c>
      <c r="N590"/>
      <c r="O590"/>
      <c r="P590" s="28"/>
      <c r="Q590" s="28"/>
      <c r="R590" s="28"/>
    </row>
    <row r="591" spans="1:18" outlineLevel="1">
      <c r="A591" s="24" t="str">
        <f t="shared" si="203"/>
        <v>GERAL</v>
      </c>
      <c r="B591" s="24" t="str">
        <f t="shared" si="204"/>
        <v>23º PAV. - TIPO 03A - x11 - LANÇAMENTO</v>
      </c>
      <c r="C591" s="30" t="s">
        <v>221</v>
      </c>
      <c r="D591" s="86" t="s">
        <v>46</v>
      </c>
      <c r="E591" s="30" t="s">
        <v>45</v>
      </c>
      <c r="F591" s="30">
        <f>'Tipo 3A - x11'!E25</f>
        <v>35.380000000000003</v>
      </c>
      <c r="G591" s="25">
        <v>11</v>
      </c>
      <c r="H591" s="25">
        <v>0</v>
      </c>
      <c r="I591" s="25">
        <f t="shared" si="202"/>
        <v>389.18</v>
      </c>
      <c r="J591" s="25" t="str">
        <f>'Tipo 3A - x11'!F25</f>
        <v>m</v>
      </c>
      <c r="K591" s="26">
        <f>_xlfn.XLOOKUP($E591,PREÇO!$C$7:$C$91,PREÇO!$E$7:$E$91)</f>
        <v>1.8</v>
      </c>
      <c r="L591" s="66">
        <f>IF(SUM(F591:K591)=0,SUMIFS($L592:$L$1593,$B592:$B$1593,$B591,$A592:$A$1593,$A591),I591*K591)</f>
        <v>700.524</v>
      </c>
      <c r="N591"/>
      <c r="O591"/>
      <c r="P591" s="28"/>
      <c r="Q591" s="28"/>
      <c r="R591" s="28"/>
    </row>
    <row r="592" spans="1:18" outlineLevel="1">
      <c r="A592" s="24" t="str">
        <f t="shared" si="203"/>
        <v>GERAL</v>
      </c>
      <c r="B592" s="24" t="str">
        <f t="shared" si="204"/>
        <v>23º PAV. - TIPO 03A - x11 - LANÇAMENTO</v>
      </c>
      <c r="C592" s="30" t="s">
        <v>220</v>
      </c>
      <c r="D592" s="30" t="str">
        <f>'Tipo 3A - x11'!C28</f>
        <v>Luminárias e Placas de Saída</v>
      </c>
      <c r="E592" s="30" t="str">
        <f>'Tipo 3A - x11'!D28</f>
        <v>Luminária de Emergência 24V de Parede</v>
      </c>
      <c r="F592" s="30">
        <f>'Tipo 3A - x11'!E28</f>
        <v>3</v>
      </c>
      <c r="G592" s="25">
        <v>11</v>
      </c>
      <c r="H592" s="25">
        <v>0</v>
      </c>
      <c r="I592" s="25">
        <f t="shared" si="202"/>
        <v>33</v>
      </c>
      <c r="J592" s="25" t="str">
        <f>'Tipo 3A - x11'!F28</f>
        <v>pç</v>
      </c>
      <c r="K592" s="26">
        <f>_xlfn.XLOOKUP($E592,PREÇO!$C$7:$C$91,PREÇO!$E$7:$E$91)</f>
        <v>15.9</v>
      </c>
      <c r="L592" s="66">
        <f>IF(SUM(F592:K592)=0,SUMIFS($L593:$L$1593,$B593:$B$1593,$B592,$A593:$A$1593,$A592),I592*K592)</f>
        <v>524.70000000000005</v>
      </c>
      <c r="N592"/>
      <c r="O592"/>
      <c r="P592" s="28"/>
      <c r="Q592" s="28"/>
      <c r="R592" s="28"/>
    </row>
    <row r="593" spans="1:18" outlineLevel="1">
      <c r="A593" s="24" t="str">
        <f t="shared" si="203"/>
        <v>GERAL</v>
      </c>
      <c r="B593" s="24" t="str">
        <f t="shared" si="204"/>
        <v>23º PAV. - TIPO 03A - x11 - LANÇAMENTO</v>
      </c>
      <c r="C593" s="30" t="s">
        <v>220</v>
      </c>
      <c r="D593" s="30" t="str">
        <f>'Tipo 3A - x11'!C29</f>
        <v>Luminárias e Placas de Saída</v>
      </c>
      <c r="E593" s="30" t="str">
        <f>'Tipo 3A - x11'!D29</f>
        <v>Luminária de Emergência 24V de Teto</v>
      </c>
      <c r="F593" s="30">
        <f>'Tipo 3A - x11'!E29</f>
        <v>5</v>
      </c>
      <c r="G593" s="25">
        <v>11</v>
      </c>
      <c r="H593" s="25">
        <v>0</v>
      </c>
      <c r="I593" s="25">
        <f t="shared" si="202"/>
        <v>55</v>
      </c>
      <c r="J593" s="25" t="str">
        <f>'Tipo 3A - x11'!F29</f>
        <v>pç</v>
      </c>
      <c r="K593" s="26">
        <f>_xlfn.XLOOKUP($E593,PREÇO!$C$7:$C$91,PREÇO!$E$7:$E$91)</f>
        <v>69.900000000000006</v>
      </c>
      <c r="L593" s="66">
        <f>IF(SUM(F593:K593)=0,SUMIFS($L594:$L$1593,$B594:$B$1593,$B593,$A594:$A$1593,$A593),I593*K593)</f>
        <v>3844.5000000000005</v>
      </c>
      <c r="N593"/>
      <c r="O593"/>
      <c r="P593" s="28"/>
      <c r="Q593" s="28"/>
      <c r="R593" s="28"/>
    </row>
    <row r="594" spans="1:18" outlineLevel="1">
      <c r="A594" s="24" t="str">
        <f t="shared" si="203"/>
        <v>GERAL</v>
      </c>
      <c r="B594" s="24" t="str">
        <f t="shared" si="204"/>
        <v>23º PAV. - TIPO 03A - x11 - LANÇAMENTO</v>
      </c>
      <c r="C594" s="24" t="s">
        <v>222</v>
      </c>
      <c r="D594" s="30" t="str">
        <f>'Tipo 3A - x11'!C30</f>
        <v>Luminárias e Placas de Saída</v>
      </c>
      <c r="E594" s="30" t="str">
        <f>'Tipo 3A - x11'!D30</f>
        <v>Placa de Saída 24V de Parede sem Direção</v>
      </c>
      <c r="F594" s="30">
        <f>'Tipo 3A - x11'!E30</f>
        <v>1</v>
      </c>
      <c r="G594" s="25">
        <v>11</v>
      </c>
      <c r="H594" s="25">
        <v>0</v>
      </c>
      <c r="I594" s="25">
        <f t="shared" si="202"/>
        <v>11</v>
      </c>
      <c r="J594" s="25" t="str">
        <f>'Tipo 3A - x11'!F30</f>
        <v>pç</v>
      </c>
      <c r="K594" s="26">
        <f>_xlfn.XLOOKUP($E594,PREÇO!$C$7:$C$91,PREÇO!$E$7:$E$91)</f>
        <v>61.66</v>
      </c>
      <c r="L594" s="66">
        <f>IF(SUM(F594:K594)=0,SUMIFS($L596:$L$1593,$B596:$B$1593,$B594,$A596:$A$1593,$A594),I594*K594)</f>
        <v>678.26</v>
      </c>
      <c r="N594"/>
      <c r="O594"/>
      <c r="P594" s="28"/>
      <c r="Q594" s="28"/>
      <c r="R594" s="28"/>
    </row>
    <row r="595" spans="1:18" outlineLevel="1">
      <c r="A595" s="116" t="str">
        <f>A593</f>
        <v>GERAL</v>
      </c>
      <c r="B595" s="116" t="str">
        <f>B594</f>
        <v>23º PAV. - TIPO 03A - x11 - LANÇAMENTO</v>
      </c>
      <c r="C595" s="116" t="s">
        <v>222</v>
      </c>
      <c r="D595" s="116" t="s">
        <v>223</v>
      </c>
      <c r="E595" s="116" t="s">
        <v>224</v>
      </c>
      <c r="F595" s="117">
        <v>1</v>
      </c>
      <c r="G595" s="117">
        <f>G594</f>
        <v>11</v>
      </c>
      <c r="H595" s="118">
        <v>0</v>
      </c>
      <c r="I595" s="117">
        <f t="shared" si="202"/>
        <v>11</v>
      </c>
      <c r="J595" s="117" t="s">
        <v>11</v>
      </c>
      <c r="K595" s="119">
        <f>_xlfn.XLOOKUP($E595,PREÇO!$C$7:$C$91,PREÇO!$E$7:$E$91)</f>
        <v>646.55999999999995</v>
      </c>
      <c r="L595" s="120">
        <f>IF(SUM(F595:K595)=0,SUMIFS($L596:$L$1593,$B596:$B$1593,$B595,$A596:$A$1593,$A595),I595*K595)</f>
        <v>7112.16</v>
      </c>
      <c r="N595"/>
      <c r="O595"/>
      <c r="P595" s="28"/>
      <c r="Q595" s="28"/>
      <c r="R595" s="28"/>
    </row>
    <row r="596" spans="1:18" outlineLevel="1">
      <c r="A596" s="24" t="str">
        <f>A594</f>
        <v>GERAL</v>
      </c>
      <c r="B596" s="24" t="str">
        <f>B594</f>
        <v>23º PAV. - TIPO 03A - x11 - LANÇAMENTO</v>
      </c>
      <c r="C596" s="30" t="s">
        <v>220</v>
      </c>
      <c r="D596" s="30" t="str">
        <f>'Tipo 3A - x11'!C31</f>
        <v>Sensores de Presença</v>
      </c>
      <c r="E596" s="30" t="str">
        <f>'Tipo 3A - x11'!D31</f>
        <v>Sensor de Presença 24V de teto</v>
      </c>
      <c r="F596" s="30">
        <f>'Tipo 3A - x11'!E31</f>
        <v>3</v>
      </c>
      <c r="G596" s="25">
        <v>11</v>
      </c>
      <c r="H596" s="25">
        <v>0</v>
      </c>
      <c r="I596" s="25">
        <f t="shared" si="202"/>
        <v>33</v>
      </c>
      <c r="J596" s="25" t="str">
        <f>'Tipo 3A - x11'!F31</f>
        <v>pç</v>
      </c>
      <c r="K596" s="26">
        <f>_xlfn.XLOOKUP($E596,PREÇO!$C$7:$C$91,PREÇO!$E$7:$E$91)</f>
        <v>38.4</v>
      </c>
      <c r="L596" s="66">
        <f>IF(SUM(F596:K596)=0,SUMIFS($L597:$L$1593,$B597:$B$1593,$B596,$A597:$A$1593,$A596),I596*K596)</f>
        <v>1267.2</v>
      </c>
      <c r="N596"/>
      <c r="O596"/>
      <c r="P596" s="28"/>
      <c r="Q596" s="28"/>
      <c r="R596" s="28"/>
    </row>
    <row r="597" spans="1:18" outlineLevel="1">
      <c r="A597" s="24" t="str">
        <f t="shared" si="203"/>
        <v>GERAL</v>
      </c>
      <c r="B597" s="24" t="str">
        <f t="shared" si="204"/>
        <v>23º PAV. - TIPO 03A - x11 - LANÇAMENTO</v>
      </c>
      <c r="C597" s="30" t="s">
        <v>221</v>
      </c>
      <c r="D597" s="86" t="s">
        <v>87</v>
      </c>
      <c r="E597" s="30" t="s">
        <v>179</v>
      </c>
      <c r="F597" s="30">
        <f>'Tipo 3A - x11'!E34</f>
        <v>73.02</v>
      </c>
      <c r="G597" s="25">
        <v>11</v>
      </c>
      <c r="H597" s="25">
        <v>0</v>
      </c>
      <c r="I597" s="25">
        <f t="shared" si="202"/>
        <v>803.21999999999991</v>
      </c>
      <c r="J597" s="25" t="str">
        <f>'Tipo 3A - x11'!F34</f>
        <v>m</v>
      </c>
      <c r="K597" s="26">
        <f>_xlfn.XLOOKUP($E597,PREÇO!$C$7:$C$91,PREÇO!$E$7:$E$91)</f>
        <v>1.59</v>
      </c>
      <c r="L597" s="66">
        <f>IF(SUM(F597:K597)=0,SUMIFS($L598:$L$1593,$B598:$B$1593,$B597,$A598:$A$1593,$A597),I597*K597)</f>
        <v>1277.1197999999999</v>
      </c>
      <c r="N597"/>
      <c r="O597"/>
      <c r="P597" s="28"/>
      <c r="Q597" s="28"/>
      <c r="R597" s="28"/>
    </row>
    <row r="598" spans="1:18" outlineLevel="1">
      <c r="A598" s="24" t="str">
        <f t="shared" si="203"/>
        <v>GERAL</v>
      </c>
      <c r="B598" s="24" t="str">
        <f t="shared" si="204"/>
        <v>23º PAV. - TIPO 03A - x11 - LANÇAMENTO</v>
      </c>
      <c r="C598" s="30" t="s">
        <v>221</v>
      </c>
      <c r="D598" s="86" t="s">
        <v>87</v>
      </c>
      <c r="E598" s="30" t="s">
        <v>180</v>
      </c>
      <c r="F598" s="30">
        <f>'Tipo 3A - x11'!E35</f>
        <v>110.62</v>
      </c>
      <c r="G598" s="25">
        <v>11</v>
      </c>
      <c r="H598" s="25">
        <v>0</v>
      </c>
      <c r="I598" s="25">
        <f t="shared" si="202"/>
        <v>1216.8200000000002</v>
      </c>
      <c r="J598" s="25" t="str">
        <f>'Tipo 3A - x11'!F35</f>
        <v>m</v>
      </c>
      <c r="K598" s="26">
        <f>_xlfn.XLOOKUP($E598,PREÇO!$C$7:$C$91,PREÇO!$E$7:$E$91)</f>
        <v>1.59</v>
      </c>
      <c r="L598" s="66">
        <f>IF(SUM(F598:K598)=0,SUMIFS($L599:$L$1593,$B599:$B$1593,$B598,$A599:$A$1593,$A598),I598*K598)</f>
        <v>1934.7438000000004</v>
      </c>
      <c r="N598"/>
      <c r="O598"/>
      <c r="P598" s="28"/>
      <c r="Q598" s="28"/>
      <c r="R598" s="28"/>
    </row>
    <row r="599" spans="1:18" outlineLevel="1">
      <c r="A599" s="24" t="str">
        <f t="shared" si="203"/>
        <v>GERAL</v>
      </c>
      <c r="B599" s="24" t="str">
        <f t="shared" si="204"/>
        <v>23º PAV. - TIPO 03A - x11 - LANÇAMENTO</v>
      </c>
      <c r="C599" s="30" t="s">
        <v>221</v>
      </c>
      <c r="D599" s="86" t="s">
        <v>87</v>
      </c>
      <c r="E599" s="30" t="s">
        <v>181</v>
      </c>
      <c r="F599" s="30">
        <f>'Tipo 3A - x11'!E36</f>
        <v>110.62</v>
      </c>
      <c r="G599" s="25">
        <v>11</v>
      </c>
      <c r="H599" s="25">
        <v>0</v>
      </c>
      <c r="I599" s="25">
        <f t="shared" si="202"/>
        <v>1216.8200000000002</v>
      </c>
      <c r="J599" s="25" t="str">
        <f>'Tipo 3A - x11'!F36</f>
        <v>m</v>
      </c>
      <c r="K599" s="26">
        <f>_xlfn.XLOOKUP($E599,PREÇO!$C$7:$C$91,PREÇO!$E$7:$E$91)</f>
        <v>1.59</v>
      </c>
      <c r="L599" s="66">
        <f>IF(SUM(F599:K599)=0,SUMIFS($L600:$L$1593,$B600:$B$1593,$B599,$A600:$A$1593,$A599),I599*K599)</f>
        <v>1934.7438000000004</v>
      </c>
      <c r="N599"/>
      <c r="O599"/>
      <c r="P599" s="28"/>
      <c r="Q599" s="28"/>
      <c r="R599" s="28"/>
    </row>
    <row r="600" spans="1:18" outlineLevel="1">
      <c r="A600" s="24" t="str">
        <f t="shared" si="203"/>
        <v>GERAL</v>
      </c>
      <c r="B600" s="24" t="str">
        <f t="shared" si="204"/>
        <v>23º PAV. - TIPO 03A - x11 - LANÇAMENTO</v>
      </c>
      <c r="C600" s="30" t="s">
        <v>221</v>
      </c>
      <c r="D600" s="86" t="s">
        <v>87</v>
      </c>
      <c r="E600" s="30" t="s">
        <v>182</v>
      </c>
      <c r="F600" s="30">
        <f>'Tipo 3A - x11'!E37</f>
        <v>24.88</v>
      </c>
      <c r="G600" s="25">
        <v>11</v>
      </c>
      <c r="H600" s="25">
        <v>0</v>
      </c>
      <c r="I600" s="25">
        <f t="shared" si="202"/>
        <v>273.68</v>
      </c>
      <c r="J600" s="25" t="str">
        <f>'Tipo 3A - x11'!F37</f>
        <v>m</v>
      </c>
      <c r="K600" s="26">
        <f>_xlfn.XLOOKUP($E600,PREÇO!$C$7:$C$91,PREÇO!$E$7:$E$91)</f>
        <v>2.19</v>
      </c>
      <c r="L600" s="66">
        <f>IF(SUM(F600:K600)=0,SUMIFS($L601:$L$1593,$B601:$B$1593,$B600,$A601:$A$1593,$A600),I600*K600)</f>
        <v>599.35919999999999</v>
      </c>
      <c r="N600"/>
      <c r="O600"/>
      <c r="P600" s="28"/>
      <c r="Q600" s="28"/>
      <c r="R600" s="28"/>
    </row>
    <row r="601" spans="1:18" outlineLevel="1">
      <c r="A601" s="24" t="str">
        <f t="shared" si="203"/>
        <v>GERAL</v>
      </c>
      <c r="B601" s="24" t="str">
        <f t="shared" si="204"/>
        <v>23º PAV. - TIPO 03A - x11 - LANÇAMENTO</v>
      </c>
      <c r="C601" s="30" t="s">
        <v>221</v>
      </c>
      <c r="D601" s="86" t="s">
        <v>87</v>
      </c>
      <c r="E601" s="30" t="s">
        <v>183</v>
      </c>
      <c r="F601" s="30">
        <f>'Tipo 3A - x11'!E38</f>
        <v>12.44</v>
      </c>
      <c r="G601" s="25">
        <v>11</v>
      </c>
      <c r="H601" s="25">
        <v>0</v>
      </c>
      <c r="I601" s="25">
        <f t="shared" si="202"/>
        <v>136.84</v>
      </c>
      <c r="J601" s="25" t="str">
        <f>'Tipo 3A - x11'!F38</f>
        <v>m</v>
      </c>
      <c r="K601" s="26">
        <f>_xlfn.XLOOKUP($E601,PREÇO!$C$7:$C$91,PREÇO!$E$7:$E$91)</f>
        <v>2.19</v>
      </c>
      <c r="L601" s="66">
        <f>IF(SUM(F601:K601)=0,SUMIFS($L602:$L$1593,$B602:$B$1593,$B601,$A602:$A$1593,$A601),I601*K601)</f>
        <v>299.67959999999999</v>
      </c>
      <c r="N601"/>
      <c r="O601"/>
      <c r="P601" s="28"/>
      <c r="Q601" s="28"/>
      <c r="R601" s="28"/>
    </row>
    <row r="602" spans="1:18" outlineLevel="1">
      <c r="A602" s="24" t="str">
        <f t="shared" si="203"/>
        <v>GERAL</v>
      </c>
      <c r="B602" s="24" t="str">
        <f t="shared" si="204"/>
        <v>23º PAV. - TIPO 03A - x11 - LANÇAMENTO</v>
      </c>
      <c r="C602" s="30" t="s">
        <v>221</v>
      </c>
      <c r="D602" s="86" t="s">
        <v>87</v>
      </c>
      <c r="E602" s="30" t="s">
        <v>184</v>
      </c>
      <c r="F602" s="30">
        <f>'Tipo 3A - x11'!E39</f>
        <v>12.44</v>
      </c>
      <c r="G602" s="25">
        <v>11</v>
      </c>
      <c r="H602" s="25">
        <v>0</v>
      </c>
      <c r="I602" s="25">
        <f t="shared" si="202"/>
        <v>136.84</v>
      </c>
      <c r="J602" s="25" t="str">
        <f>'Tipo 3A - x11'!F39</f>
        <v>m</v>
      </c>
      <c r="K602" s="26">
        <f>_xlfn.XLOOKUP($E602,PREÇO!$C$7:$C$91,PREÇO!$E$7:$E$91)</f>
        <v>2.19</v>
      </c>
      <c r="L602" s="66">
        <f>IF(SUM(F602:K602)=0,SUMIFS($L603:$L$1593,$B603:$B$1593,$B602,$A603:$A$1593,$A602),I602*K602)</f>
        <v>299.67959999999999</v>
      </c>
      <c r="N602"/>
      <c r="O602"/>
      <c r="P602" s="28"/>
      <c r="Q602" s="28"/>
      <c r="R602" s="28"/>
    </row>
    <row r="603" spans="1:18" outlineLevel="1">
      <c r="A603" s="24" t="str">
        <f t="shared" si="203"/>
        <v>GERAL</v>
      </c>
      <c r="B603" s="24" t="str">
        <f t="shared" si="204"/>
        <v>23º PAV. - TIPO 03A - x11 - LANÇAMENTO</v>
      </c>
      <c r="C603" s="30" t="s">
        <v>221</v>
      </c>
      <c r="D603" s="86" t="s">
        <v>46</v>
      </c>
      <c r="E603" s="30" t="s">
        <v>44</v>
      </c>
      <c r="F603" s="30">
        <f>'Tipo 3A - x11'!E43</f>
        <v>148.02000000000001</v>
      </c>
      <c r="G603" s="25">
        <v>11</v>
      </c>
      <c r="H603" s="25">
        <v>0</v>
      </c>
      <c r="I603" s="25">
        <f t="shared" si="202"/>
        <v>1628.22</v>
      </c>
      <c r="J603" s="25" t="str">
        <f>'Tipo 3A - x11'!F43</f>
        <v>m</v>
      </c>
      <c r="K603" s="26">
        <f>_xlfn.XLOOKUP($E603,PREÇO!$C$7:$C$91,PREÇO!$E$7:$E$91)</f>
        <v>2.5299999999999998</v>
      </c>
      <c r="L603" s="66">
        <f>IF(SUM(F603:K603)=0,SUMIFS($L604:$L$1593,$B604:$B$1593,$B603,$A604:$A$1593,$A603),I603*K603)</f>
        <v>4119.3966</v>
      </c>
      <c r="N603"/>
      <c r="O603"/>
      <c r="P603" s="28"/>
      <c r="Q603" s="28"/>
      <c r="R603" s="28"/>
    </row>
    <row r="604" spans="1:18" outlineLevel="1">
      <c r="A604" s="24" t="str">
        <f t="shared" si="203"/>
        <v>GERAL</v>
      </c>
      <c r="B604" s="24" t="str">
        <f t="shared" si="204"/>
        <v>23º PAV. - TIPO 03A - x11 - LANÇAMENTO</v>
      </c>
      <c r="C604" s="30" t="s">
        <v>221</v>
      </c>
      <c r="D604" s="86" t="s">
        <v>89</v>
      </c>
      <c r="E604" s="30" t="s">
        <v>185</v>
      </c>
      <c r="F604" s="30">
        <f>'Tipo 3A - x11'!E46</f>
        <v>142.69999999999999</v>
      </c>
      <c r="G604" s="25">
        <v>11</v>
      </c>
      <c r="H604" s="25">
        <v>0</v>
      </c>
      <c r="I604" s="25">
        <f t="shared" si="202"/>
        <v>1569.6999999999998</v>
      </c>
      <c r="J604" s="25" t="str">
        <f>'Tipo 3A - x11'!F46</f>
        <v>m</v>
      </c>
      <c r="K604" s="26">
        <f>_xlfn.XLOOKUP($E604,PREÇO!$C$7:$C$91,PREÇO!$E$7:$E$91)</f>
        <v>0.99</v>
      </c>
      <c r="L604" s="66">
        <f>IF(SUM(F604:K604)=0,SUMIFS($L605:$L$1593,$B605:$B$1593,$B604,$A605:$A$1593,$A604),I604*K604)</f>
        <v>1554.0029999999997</v>
      </c>
      <c r="N604"/>
      <c r="O604"/>
      <c r="P604" s="28"/>
      <c r="Q604" s="28"/>
      <c r="R604" s="28"/>
    </row>
    <row r="605" spans="1:18" ht="15.75" outlineLevel="1" thickBot="1">
      <c r="A605" s="24" t="str">
        <f t="shared" si="203"/>
        <v>GERAL</v>
      </c>
      <c r="B605" s="24" t="str">
        <f t="shared" si="204"/>
        <v>23º PAV. - TIPO 03A - x11 - LANÇAMENTO</v>
      </c>
      <c r="C605" s="30" t="s">
        <v>221</v>
      </c>
      <c r="D605" s="86" t="s">
        <v>89</v>
      </c>
      <c r="E605" s="30" t="s">
        <v>186</v>
      </c>
      <c r="F605" s="30">
        <f>'Tipo 3A - x11'!E47</f>
        <v>135.53</v>
      </c>
      <c r="G605" s="25">
        <v>11</v>
      </c>
      <c r="H605" s="25">
        <v>0</v>
      </c>
      <c r="I605" s="25">
        <f t="shared" si="202"/>
        <v>1490.83</v>
      </c>
      <c r="J605" s="25" t="str">
        <f>'Tipo 3A - x11'!F47</f>
        <v>m</v>
      </c>
      <c r="K605" s="26">
        <f>_xlfn.XLOOKUP($E605,PREÇO!$C$7:$C$91,PREÇO!$E$7:$E$91)</f>
        <v>1.69</v>
      </c>
      <c r="L605" s="66">
        <f>IF(SUM(F605:K605)=0,SUMIFS($L606:$L$1593,$B606:$B$1593,$B605,$A606:$A$1593,$A605),I605*K605)</f>
        <v>2519.5027</v>
      </c>
      <c r="N605"/>
      <c r="O605"/>
      <c r="P605" s="28"/>
      <c r="Q605" s="28"/>
      <c r="R605" s="28"/>
    </row>
    <row r="606" spans="1:18" ht="15.75" thickTop="1">
      <c r="A606" s="82" t="s">
        <v>19</v>
      </c>
      <c r="B606" s="82" t="s">
        <v>172</v>
      </c>
      <c r="C606" s="43"/>
      <c r="D606" s="44" t="str">
        <f>'Tipo 3A - x11'!C48</f>
        <v/>
      </c>
      <c r="E606" s="44" t="str">
        <f>'Tipo 3A - x11'!D48</f>
        <v/>
      </c>
      <c r="F606" s="45" t="str">
        <f>'Tipo 3A - x11'!E48</f>
        <v/>
      </c>
      <c r="G606" s="45"/>
      <c r="H606" s="45"/>
      <c r="I606" s="45"/>
      <c r="J606" s="45" t="str">
        <f>'Tipo 3A - x11'!F48</f>
        <v/>
      </c>
      <c r="K606" s="47"/>
      <c r="L606" s="48">
        <f>IF(SUM(F606:K606)=0,SUMIFS($L607:$L$1593,$B607:$B$1593,$B606,$A607:$A$1593,$A606),I606*K606)</f>
        <v>46216.446400000001</v>
      </c>
      <c r="N606"/>
      <c r="O606"/>
      <c r="P606" s="28"/>
      <c r="Q606" s="28"/>
      <c r="R606" s="28"/>
    </row>
    <row r="607" spans="1:18" outlineLevel="1">
      <c r="A607" s="24" t="str">
        <f>A606</f>
        <v>GERAL</v>
      </c>
      <c r="B607" s="24" t="str">
        <f>B606</f>
        <v>34º PAV. - TIPO 03B - x8 - MODELO</v>
      </c>
      <c r="C607" s="30" t="s">
        <v>221</v>
      </c>
      <c r="D607" s="30" t="str">
        <f>'Tipo 3B - x8'!C6</f>
        <v>Acionadores</v>
      </c>
      <c r="E607" s="30" t="str">
        <f>'Tipo 3B - x8'!D6</f>
        <v>Acionador Manual de Alarme de Incêndio</v>
      </c>
      <c r="F607" s="30">
        <f>'Tipo 3B - x8'!E6</f>
        <v>1</v>
      </c>
      <c r="G607" s="25">
        <v>8</v>
      </c>
      <c r="H607" s="25">
        <v>0</v>
      </c>
      <c r="I607" s="25">
        <f t="shared" si="202"/>
        <v>8</v>
      </c>
      <c r="J607" s="25" t="str">
        <f>'Tipo 3B - x8'!F6</f>
        <v>pç</v>
      </c>
      <c r="K607" s="26">
        <f>_xlfn.XLOOKUP($E607,PREÇO!$C$7:$C$91,PREÇO!$E$7:$E$91)</f>
        <v>65</v>
      </c>
      <c r="L607" s="66">
        <f>IF(SUM(F607:K607)=0,SUMIFS($L608:$L$1593,$B608:$B$1593,$B607,$A608:$A$1593,$A607),I607*K607)</f>
        <v>520</v>
      </c>
      <c r="N607"/>
      <c r="O607"/>
      <c r="P607" s="28"/>
      <c r="Q607" s="28"/>
      <c r="R607" s="28"/>
    </row>
    <row r="608" spans="1:18" outlineLevel="1">
      <c r="A608" s="24" t="str">
        <f t="shared" ref="A608:A634" si="205">A607</f>
        <v>GERAL</v>
      </c>
      <c r="B608" s="24" t="str">
        <f t="shared" ref="B608:B634" si="206">B607</f>
        <v>34º PAV. - TIPO 03B - x8 - MODELO</v>
      </c>
      <c r="C608" s="30" t="s">
        <v>221</v>
      </c>
      <c r="D608" s="30" t="str">
        <f>'Tipo 3B - x8'!C7</f>
        <v>Anunciadores</v>
      </c>
      <c r="E608" s="30" t="str">
        <f>'Tipo 3B - x8'!D7</f>
        <v>Anunciador Audiovisual de Alarme de Incêndio de Parede</v>
      </c>
      <c r="F608" s="30">
        <f>'Tipo 3B - x8'!E7</f>
        <v>1</v>
      </c>
      <c r="G608" s="25">
        <v>8</v>
      </c>
      <c r="H608" s="25">
        <v>0</v>
      </c>
      <c r="I608" s="25">
        <f t="shared" ref="I608:I636" si="207">(F608+H608*F608)*G608</f>
        <v>8</v>
      </c>
      <c r="J608" s="25" t="str">
        <f>'Tipo 3B - x8'!F7</f>
        <v>pç</v>
      </c>
      <c r="K608" s="26">
        <f>_xlfn.XLOOKUP($E608,PREÇO!$C$7:$C$91,PREÇO!$E$7:$E$91)</f>
        <v>191.81</v>
      </c>
      <c r="L608" s="66">
        <f>IF(SUM(F608:K608)=0,SUMIFS($L609:$L$1593,$B609:$B$1593,$B608,$A609:$A$1593,$A608),I608*K608)</f>
        <v>1534.48</v>
      </c>
      <c r="N608"/>
      <c r="O608"/>
      <c r="P608" s="28"/>
      <c r="Q608" s="28"/>
      <c r="R608" s="28"/>
    </row>
    <row r="609" spans="1:18" outlineLevel="1">
      <c r="A609" s="24" t="str">
        <f t="shared" si="205"/>
        <v>GERAL</v>
      </c>
      <c r="B609" s="24" t="str">
        <f t="shared" si="206"/>
        <v>34º PAV. - TIPO 03B - x8 - MODELO</v>
      </c>
      <c r="C609" s="30" t="s">
        <v>221</v>
      </c>
      <c r="D609" s="30" t="str">
        <f>'Tipo 3B - x8'!C8</f>
        <v>Anunciadores</v>
      </c>
      <c r="E609" s="30" t="str">
        <f>'Tipo 3B - x8'!D8</f>
        <v>Anunciador Audiovisual de Alarme de Incêndio de Teto</v>
      </c>
      <c r="F609" s="30">
        <f>'Tipo 3B - x8'!E8</f>
        <v>2</v>
      </c>
      <c r="G609" s="25">
        <v>8</v>
      </c>
      <c r="H609" s="25">
        <v>0</v>
      </c>
      <c r="I609" s="25">
        <f t="shared" si="207"/>
        <v>16</v>
      </c>
      <c r="J609" s="25" t="str">
        <f>'Tipo 3B - x8'!F8</f>
        <v>pç</v>
      </c>
      <c r="K609" s="26">
        <f>_xlfn.XLOOKUP($E609,PREÇO!$C$7:$C$91,PREÇO!$E$7:$E$91)</f>
        <v>169.96</v>
      </c>
      <c r="L609" s="66">
        <f>IF(SUM(F609:K609)=0,SUMIFS($L610:$L$1593,$B610:$B$1593,$B609,$A610:$A$1593,$A609),I609*K609)</f>
        <v>2719.36</v>
      </c>
      <c r="N609"/>
      <c r="O609"/>
      <c r="P609" s="28"/>
      <c r="Q609" s="28"/>
      <c r="R609" s="28"/>
    </row>
    <row r="610" spans="1:18" outlineLevel="1">
      <c r="A610" s="24" t="str">
        <f t="shared" si="205"/>
        <v>GERAL</v>
      </c>
      <c r="B610" s="24" t="str">
        <f t="shared" si="206"/>
        <v>34º PAV. - TIPO 03B - x8 - MODELO</v>
      </c>
      <c r="C610" s="30" t="s">
        <v>221</v>
      </c>
      <c r="D610" s="30" t="str">
        <f>'Tipo 3B - x8'!C9</f>
        <v>Atuadores</v>
      </c>
      <c r="E610" s="30" t="str">
        <f>'Tipo 3B - x8'!D9</f>
        <v>Atuador Janela Desenfumagem</v>
      </c>
      <c r="F610" s="30">
        <f>'Tipo 3B - x8'!E9</f>
        <v>1</v>
      </c>
      <c r="G610" s="25">
        <v>8</v>
      </c>
      <c r="H610" s="25">
        <v>0</v>
      </c>
      <c r="I610" s="25">
        <f t="shared" si="207"/>
        <v>8</v>
      </c>
      <c r="J610" s="25" t="str">
        <f>'Tipo 3B - x8'!F9</f>
        <v>pç</v>
      </c>
      <c r="K610" s="26">
        <f>_xlfn.XLOOKUP($E610,PREÇO!$C$7:$C$91,PREÇO!$E$7:$E$91)</f>
        <v>1150</v>
      </c>
      <c r="L610" s="66">
        <f>IF(SUM(F610:K610)=0,SUMIFS($L611:$L$1593,$B611:$B$1593,$B610,$A611:$A$1593,$A610),I610*K610)</f>
        <v>9200</v>
      </c>
      <c r="N610"/>
      <c r="O610"/>
      <c r="P610" s="28"/>
      <c r="Q610" s="28"/>
      <c r="R610" s="28"/>
    </row>
    <row r="611" spans="1:18" outlineLevel="1">
      <c r="A611" s="24" t="str">
        <f t="shared" si="205"/>
        <v>GERAL</v>
      </c>
      <c r="B611" s="24" t="str">
        <f t="shared" si="206"/>
        <v>34º PAV. - TIPO 03B - x8 - MODELO</v>
      </c>
      <c r="C611" s="30" t="s">
        <v>221</v>
      </c>
      <c r="D611" s="30" t="str">
        <f>'Tipo 3B - x8'!C10</f>
        <v>Atuadores</v>
      </c>
      <c r="E611" s="30" t="str">
        <f>'Tipo 3B - x8'!D10</f>
        <v>Dispositivo Eletromagnético de Porta Aberta</v>
      </c>
      <c r="F611" s="30">
        <f>'Tipo 3B - x8'!E10</f>
        <v>1</v>
      </c>
      <c r="G611" s="25">
        <v>8</v>
      </c>
      <c r="H611" s="25">
        <v>0</v>
      </c>
      <c r="I611" s="25">
        <f t="shared" si="207"/>
        <v>8</v>
      </c>
      <c r="J611" s="25" t="str">
        <f>'Tipo 3B - x8'!F10</f>
        <v>pç</v>
      </c>
      <c r="K611" s="26">
        <f>_xlfn.XLOOKUP($E611,PREÇO!$C$7:$C$91,PREÇO!$E$7:$E$91)</f>
        <v>416.9</v>
      </c>
      <c r="L611" s="66">
        <f>IF(SUM(F611:K611)=0,SUMIFS($L612:$L$1593,$B612:$B$1593,$B611,$A612:$A$1593,$A611),I611*K611)</f>
        <v>3335.2</v>
      </c>
      <c r="N611"/>
      <c r="O611"/>
      <c r="P611" s="28"/>
      <c r="Q611" s="28"/>
      <c r="R611" s="28"/>
    </row>
    <row r="612" spans="1:18" outlineLevel="1">
      <c r="A612" s="24" t="str">
        <f t="shared" si="205"/>
        <v>GERAL</v>
      </c>
      <c r="B612" s="24" t="str">
        <f t="shared" si="206"/>
        <v>34º PAV. - TIPO 03B - x8 - MODELO</v>
      </c>
      <c r="C612" s="30" t="s">
        <v>221</v>
      </c>
      <c r="D612" s="30" t="str">
        <f>'Tipo 3B - x8'!C11</f>
        <v>Sensores</v>
      </c>
      <c r="E612" s="30" t="str">
        <f>'Tipo 3B - x8'!D11</f>
        <v>Sensor de Fumaça</v>
      </c>
      <c r="F612" s="30">
        <f>'Tipo 3B - x8'!E11</f>
        <v>19</v>
      </c>
      <c r="G612" s="25">
        <v>8</v>
      </c>
      <c r="H612" s="25">
        <v>0</v>
      </c>
      <c r="I612" s="25">
        <f t="shared" si="207"/>
        <v>152</v>
      </c>
      <c r="J612" s="25" t="str">
        <f>'Tipo 3B - x8'!F11</f>
        <v>pç</v>
      </c>
      <c r="K612" s="26">
        <f>_xlfn.XLOOKUP($E612,PREÇO!$C$7:$C$91,PREÇO!$E$7:$E$91)</f>
        <v>53.9</v>
      </c>
      <c r="L612" s="66">
        <f>IF(SUM(F612:K612)=0,SUMIFS($L613:$L$1593,$B613:$B$1593,$B612,$A613:$A$1593,$A612),I612*K612)</f>
        <v>8192.7999999999993</v>
      </c>
      <c r="N612"/>
      <c r="O612"/>
      <c r="P612" s="28"/>
      <c r="Q612" s="28"/>
      <c r="R612" s="28"/>
    </row>
    <row r="613" spans="1:18" outlineLevel="1">
      <c r="A613" s="24" t="str">
        <f t="shared" si="205"/>
        <v>GERAL</v>
      </c>
      <c r="B613" s="24" t="str">
        <f t="shared" si="206"/>
        <v>34º PAV. - TIPO 03B - x8 - MODELO</v>
      </c>
      <c r="C613" s="30" t="s">
        <v>221</v>
      </c>
      <c r="D613" s="30" t="str">
        <f>'Tipo 3B - x8'!C14</f>
        <v>Caixas</v>
      </c>
      <c r="E613" s="30" t="str">
        <f>'Tipo 3B - x8'!D14</f>
        <v>Caixa Octogonal Padrão NBR IEC 60670</v>
      </c>
      <c r="F613" s="30">
        <f>'Tipo 3B - x8'!E14</f>
        <v>31</v>
      </c>
      <c r="G613" s="25">
        <v>8</v>
      </c>
      <c r="H613" s="25">
        <v>0</v>
      </c>
      <c r="I613" s="25">
        <f t="shared" si="207"/>
        <v>248</v>
      </c>
      <c r="J613" s="25" t="str">
        <f>'Tipo 3B - x8'!F14</f>
        <v>pç</v>
      </c>
      <c r="K613" s="26">
        <f>_xlfn.XLOOKUP($E613,PREÇO!$C$7:$C$91,PREÇO!$E$7:$E$91)</f>
        <v>5.32</v>
      </c>
      <c r="L613" s="66">
        <f>IF(SUM(F613:K613)=0,SUMIFS($L614:$L$1593,$B614:$B$1593,$B613,$A614:$A$1593,$A613),I613*K613)</f>
        <v>1319.3600000000001</v>
      </c>
      <c r="N613"/>
      <c r="O613"/>
      <c r="P613" s="28"/>
      <c r="Q613" s="28"/>
      <c r="R613" s="28"/>
    </row>
    <row r="614" spans="1:18" outlineLevel="1">
      <c r="A614" s="24" t="str">
        <f t="shared" si="205"/>
        <v>GERAL</v>
      </c>
      <c r="B614" s="24" t="str">
        <f t="shared" si="206"/>
        <v>34º PAV. - TIPO 03B - x8 - MODELO</v>
      </c>
      <c r="C614" s="30" t="s">
        <v>221</v>
      </c>
      <c r="D614" s="30" t="str">
        <f>'Tipo 3B - x8'!C15</f>
        <v>Placas</v>
      </c>
      <c r="E614" s="30" t="str">
        <f>'Tipo 3B - x8'!D15</f>
        <v>Placa cega para caixa octogonal Padrão NBR IEC 60670</v>
      </c>
      <c r="F614" s="30">
        <f>'Tipo 3B - x8'!E15</f>
        <v>2</v>
      </c>
      <c r="G614" s="25">
        <v>8</v>
      </c>
      <c r="H614" s="25">
        <v>0</v>
      </c>
      <c r="I614" s="25">
        <f t="shared" si="207"/>
        <v>16</v>
      </c>
      <c r="J614" s="25" t="str">
        <f>'Tipo 3B - x8'!F15</f>
        <v>pç</v>
      </c>
      <c r="K614" s="26">
        <f>_xlfn.XLOOKUP($E614,PREÇO!$C$7:$C$91,PREÇO!$E$7:$E$91)</f>
        <v>2.5</v>
      </c>
      <c r="L614" s="66">
        <f>IF(SUM(F614:K614)=0,SUMIFS($L615:$L$1593,$B615:$B$1593,$B614,$A615:$A$1593,$A614),I614*K614)</f>
        <v>40</v>
      </c>
      <c r="N614"/>
      <c r="O614"/>
      <c r="P614" s="28"/>
      <c r="Q614" s="28"/>
      <c r="R614" s="28"/>
    </row>
    <row r="615" spans="1:18" outlineLevel="1">
      <c r="A615" s="24" t="str">
        <f t="shared" si="205"/>
        <v>GERAL</v>
      </c>
      <c r="B615" s="24" t="str">
        <f t="shared" si="206"/>
        <v>34º PAV. - TIPO 03B - x8 - MODELO</v>
      </c>
      <c r="C615" s="30" t="s">
        <v>221</v>
      </c>
      <c r="D615" s="30" t="str">
        <f>'Tipo 3B - x8'!C18</f>
        <v>Caixas</v>
      </c>
      <c r="E615" s="30" t="str">
        <f>'Tipo 3B - x8'!D18</f>
        <v>Caixa 4x2" de Embutir em PVC Padrão NBR IEC 60670</v>
      </c>
      <c r="F615" s="30">
        <f>'Tipo 3B - x8'!E18</f>
        <v>9</v>
      </c>
      <c r="G615" s="25">
        <v>8</v>
      </c>
      <c r="H615" s="25">
        <v>0</v>
      </c>
      <c r="I615" s="25">
        <f t="shared" si="207"/>
        <v>72</v>
      </c>
      <c r="J615" s="25" t="str">
        <f>'Tipo 3B - x8'!F18</f>
        <v>pç</v>
      </c>
      <c r="K615" s="26">
        <f>_xlfn.XLOOKUP($E615,PREÇO!$C$7:$C$91,PREÇO!$E$7:$E$91)</f>
        <v>1.72</v>
      </c>
      <c r="L615" s="66">
        <f>IF(SUM(F615:K615)=0,SUMIFS($L616:$L$1593,$B616:$B$1593,$B615,$A616:$A$1593,$A615),I615*K615)</f>
        <v>123.84</v>
      </c>
      <c r="N615"/>
      <c r="O615"/>
      <c r="P615" s="28"/>
      <c r="Q615" s="28"/>
      <c r="R615" s="28"/>
    </row>
    <row r="616" spans="1:18" outlineLevel="1">
      <c r="A616" s="24" t="str">
        <f t="shared" si="205"/>
        <v>GERAL</v>
      </c>
      <c r="B616" s="24" t="str">
        <f t="shared" si="206"/>
        <v>34º PAV. - TIPO 03B - x8 - MODELO</v>
      </c>
      <c r="C616" s="30" t="s">
        <v>221</v>
      </c>
      <c r="D616" s="30" t="str">
        <f>'Tipo 3B - x8'!C19</f>
        <v>Placas</v>
      </c>
      <c r="E616" s="30" t="str">
        <f>'Tipo 3B - x8'!D19</f>
        <v>Placa 4x2" cega Padrão NBR IEC 60670</v>
      </c>
      <c r="F616" s="30">
        <f>'Tipo 3B - x8'!E19</f>
        <v>3</v>
      </c>
      <c r="G616" s="25">
        <v>8</v>
      </c>
      <c r="H616" s="25">
        <v>0</v>
      </c>
      <c r="I616" s="25">
        <f t="shared" si="207"/>
        <v>24</v>
      </c>
      <c r="J616" s="25" t="str">
        <f>'Tipo 3B - x8'!F19</f>
        <v>pç</v>
      </c>
      <c r="K616" s="26">
        <f>_xlfn.XLOOKUP($E616,PREÇO!$C$7:$C$91,PREÇO!$E$7:$E$91)</f>
        <v>4.59</v>
      </c>
      <c r="L616" s="66">
        <f>IF(SUM(F616:K616)=0,SUMIFS($L617:$L$1593,$B617:$B$1593,$B616,$A617:$A$1593,$A616),I616*K616)</f>
        <v>110.16</v>
      </c>
      <c r="N616"/>
      <c r="O616"/>
      <c r="P616" s="28"/>
      <c r="Q616" s="28"/>
      <c r="R616" s="28"/>
    </row>
    <row r="617" spans="1:18" outlineLevel="1">
      <c r="A617" s="24" t="str">
        <f t="shared" si="205"/>
        <v>GERAL</v>
      </c>
      <c r="B617" s="24" t="str">
        <f t="shared" si="206"/>
        <v>34º PAV. - TIPO 03B - x8 - MODELO</v>
      </c>
      <c r="C617" s="30" t="s">
        <v>221</v>
      </c>
      <c r="D617" s="30" t="str">
        <f>'Tipo 3B - x8'!C20</f>
        <v>Placas</v>
      </c>
      <c r="E617" s="30" t="str">
        <f>'Tipo 3B - x8'!D20</f>
        <v>Placa 4x2" com furo para saída de cabos Padrão NBR IEC 60670</v>
      </c>
      <c r="F617" s="30">
        <f>'Tipo 3B - x8'!E20</f>
        <v>6</v>
      </c>
      <c r="G617" s="25">
        <v>8</v>
      </c>
      <c r="H617" s="25">
        <v>0</v>
      </c>
      <c r="I617" s="25">
        <f t="shared" si="207"/>
        <v>48</v>
      </c>
      <c r="J617" s="25" t="str">
        <f>'Tipo 3B - x8'!F20</f>
        <v>pç</v>
      </c>
      <c r="K617" s="26">
        <f>_xlfn.XLOOKUP($E617,PREÇO!$C$7:$C$91,PREÇO!$E$7:$E$91)</f>
        <v>6.55</v>
      </c>
      <c r="L617" s="66">
        <f>IF(SUM(F617:K617)=0,SUMIFS($L618:$L$1593,$B618:$B$1593,$B617,$A618:$A$1593,$A617),I617*K617)</f>
        <v>314.39999999999998</v>
      </c>
      <c r="N617"/>
      <c r="O617"/>
      <c r="P617" s="28"/>
      <c r="Q617" s="28"/>
      <c r="R617" s="28"/>
    </row>
    <row r="618" spans="1:18" outlineLevel="1">
      <c r="A618" s="24" t="str">
        <f t="shared" si="205"/>
        <v>GERAL</v>
      </c>
      <c r="B618" s="24" t="str">
        <f t="shared" si="206"/>
        <v>34º PAV. - TIPO 03B - x8 - MODELO</v>
      </c>
      <c r="C618" s="30" t="s">
        <v>221</v>
      </c>
      <c r="D618" s="30" t="str">
        <f>'Tipo 3B - x8'!C21</f>
        <v>Suportes</v>
      </c>
      <c r="E618" s="30" t="str">
        <f>'Tipo 3B - x8'!D21</f>
        <v>Suporte p/ caixa 4x2" Padrão NBR IEC 60670</v>
      </c>
      <c r="F618" s="30">
        <f>'Tipo 3B - x8'!E21</f>
        <v>9</v>
      </c>
      <c r="G618" s="25">
        <v>8</v>
      </c>
      <c r="H618" s="25">
        <v>0</v>
      </c>
      <c r="I618" s="25">
        <f t="shared" si="207"/>
        <v>72</v>
      </c>
      <c r="J618" s="25" t="str">
        <f>'Tipo 3B - x8'!F21</f>
        <v>pç</v>
      </c>
      <c r="K618" s="26">
        <f>_xlfn.XLOOKUP($E618,PREÇO!$C$7:$C$91,PREÇO!$E$7:$E$91)</f>
        <v>1.85</v>
      </c>
      <c r="L618" s="66">
        <f>IF(SUM(F618:K618)=0,SUMIFS($L619:$L$1593,$B619:$B$1593,$B618,$A619:$A$1593,$A618),I618*K618)</f>
        <v>133.20000000000002</v>
      </c>
      <c r="N618"/>
      <c r="O618"/>
      <c r="P618" s="28"/>
      <c r="Q618" s="28"/>
      <c r="R618" s="28"/>
    </row>
    <row r="619" spans="1:18" outlineLevel="1">
      <c r="A619" s="24" t="str">
        <f t="shared" si="205"/>
        <v>GERAL</v>
      </c>
      <c r="B619" s="24" t="str">
        <f t="shared" si="206"/>
        <v>34º PAV. - TIPO 03B - x8 - MODELO</v>
      </c>
      <c r="C619" s="30" t="s">
        <v>221</v>
      </c>
      <c r="D619" s="86" t="s">
        <v>46</v>
      </c>
      <c r="E619" s="30" t="s">
        <v>44</v>
      </c>
      <c r="F619" s="30">
        <f>'Tipo 3B - x8'!E24</f>
        <v>29.07</v>
      </c>
      <c r="G619" s="25">
        <v>8</v>
      </c>
      <c r="H619" s="25">
        <v>0</v>
      </c>
      <c r="I619" s="25">
        <f t="shared" si="207"/>
        <v>232.56</v>
      </c>
      <c r="J619" s="25" t="str">
        <f>'Tipo 3B - x8'!F24</f>
        <v>m</v>
      </c>
      <c r="K619" s="26">
        <f>_xlfn.XLOOKUP($E619,PREÇO!$C$7:$C$91,PREÇO!$E$7:$E$91)</f>
        <v>2.5299999999999998</v>
      </c>
      <c r="L619" s="66">
        <f>IF(SUM(F619:K619)=0,SUMIFS($L620:$L$1593,$B620:$B$1593,$B619,$A620:$A$1593,$A619),I619*K619)</f>
        <v>588.3768</v>
      </c>
      <c r="N619"/>
      <c r="O619"/>
      <c r="P619" s="28"/>
      <c r="Q619" s="28"/>
      <c r="R619" s="28"/>
    </row>
    <row r="620" spans="1:18" outlineLevel="1">
      <c r="A620" s="24" t="str">
        <f t="shared" si="205"/>
        <v>GERAL</v>
      </c>
      <c r="B620" s="24" t="str">
        <f t="shared" si="206"/>
        <v>34º PAV. - TIPO 03B - x8 - MODELO</v>
      </c>
      <c r="C620" s="30" t="s">
        <v>221</v>
      </c>
      <c r="D620" s="86" t="s">
        <v>46</v>
      </c>
      <c r="E620" s="30" t="s">
        <v>45</v>
      </c>
      <c r="F620" s="30">
        <f>'Tipo 3B - x8'!E25</f>
        <v>27.08</v>
      </c>
      <c r="G620" s="25">
        <v>8</v>
      </c>
      <c r="H620" s="25">
        <v>0</v>
      </c>
      <c r="I620" s="25">
        <f t="shared" si="207"/>
        <v>216.64</v>
      </c>
      <c r="J620" s="25" t="str">
        <f>'Tipo 3B - x8'!F25</f>
        <v>m</v>
      </c>
      <c r="K620" s="26">
        <f>_xlfn.XLOOKUP($E620,PREÇO!$C$7:$C$91,PREÇO!$E$7:$E$91)</f>
        <v>1.8</v>
      </c>
      <c r="L620" s="66">
        <f>IF(SUM(F620:K620)=0,SUMIFS($L621:$L$1593,$B621:$B$1593,$B620,$A621:$A$1593,$A620),I620*K620)</f>
        <v>389.952</v>
      </c>
      <c r="N620"/>
      <c r="O620"/>
      <c r="P620" s="28"/>
      <c r="Q620" s="28"/>
      <c r="R620" s="28"/>
    </row>
    <row r="621" spans="1:18" outlineLevel="1">
      <c r="A621" s="24" t="str">
        <f t="shared" si="205"/>
        <v>GERAL</v>
      </c>
      <c r="B621" s="24" t="str">
        <f t="shared" si="206"/>
        <v>34º PAV. - TIPO 03B - x8 - MODELO</v>
      </c>
      <c r="C621" s="30" t="s">
        <v>220</v>
      </c>
      <c r="D621" s="30" t="str">
        <f>'Tipo 3B - x8'!C28</f>
        <v>Luminárias e Placas de Saída</v>
      </c>
      <c r="E621" s="30" t="str">
        <f>'Tipo 3B - x8'!D28</f>
        <v>Luminária de Emergência 24V de Parede</v>
      </c>
      <c r="F621" s="30">
        <f>'Tipo 3B - x8'!E28</f>
        <v>3</v>
      </c>
      <c r="G621" s="25">
        <v>8</v>
      </c>
      <c r="H621" s="25">
        <v>0</v>
      </c>
      <c r="I621" s="25">
        <f t="shared" si="207"/>
        <v>24</v>
      </c>
      <c r="J621" s="25" t="str">
        <f>'Tipo 3B - x8'!F28</f>
        <v>pç</v>
      </c>
      <c r="K621" s="26">
        <f>_xlfn.XLOOKUP($E621,PREÇO!$C$7:$C$91,PREÇO!$E$7:$E$91)</f>
        <v>15.9</v>
      </c>
      <c r="L621" s="66">
        <f>IF(SUM(F621:K621)=0,SUMIFS($L622:$L$1593,$B622:$B$1593,$B621,$A622:$A$1593,$A621),I621*K621)</f>
        <v>381.6</v>
      </c>
      <c r="N621"/>
      <c r="O621"/>
      <c r="P621" s="28"/>
      <c r="Q621" s="28"/>
      <c r="R621" s="28"/>
    </row>
    <row r="622" spans="1:18" outlineLevel="1">
      <c r="A622" s="24" t="str">
        <f t="shared" si="205"/>
        <v>GERAL</v>
      </c>
      <c r="B622" s="24" t="str">
        <f t="shared" si="206"/>
        <v>34º PAV. - TIPO 03B - x8 - MODELO</v>
      </c>
      <c r="C622" s="30" t="s">
        <v>220</v>
      </c>
      <c r="D622" s="30" t="str">
        <f>'Tipo 3B - x8'!C29</f>
        <v>Luminárias e Placas de Saída</v>
      </c>
      <c r="E622" s="30" t="str">
        <f>'Tipo 3B - x8'!D29</f>
        <v>Luminária de Emergência 24V de Teto</v>
      </c>
      <c r="F622" s="30">
        <f>'Tipo 3B - x8'!E29</f>
        <v>5</v>
      </c>
      <c r="G622" s="25">
        <v>8</v>
      </c>
      <c r="H622" s="25">
        <v>0</v>
      </c>
      <c r="I622" s="25">
        <f t="shared" si="207"/>
        <v>40</v>
      </c>
      <c r="J622" s="25" t="str">
        <f>'Tipo 3B - x8'!F29</f>
        <v>pç</v>
      </c>
      <c r="K622" s="26">
        <f>_xlfn.XLOOKUP($E622,PREÇO!$C$7:$C$91,PREÇO!$E$7:$E$91)</f>
        <v>69.900000000000006</v>
      </c>
      <c r="L622" s="66">
        <f>IF(SUM(F622:K622)=0,SUMIFS($L623:$L$1593,$B623:$B$1593,$B622,$A623:$A$1593,$A622),I622*K622)</f>
        <v>2796</v>
      </c>
      <c r="N622"/>
      <c r="O622"/>
      <c r="P622" s="28"/>
      <c r="Q622" s="28"/>
      <c r="R622" s="28"/>
    </row>
    <row r="623" spans="1:18" outlineLevel="1">
      <c r="A623" s="24" t="str">
        <f t="shared" si="205"/>
        <v>GERAL</v>
      </c>
      <c r="B623" s="24" t="str">
        <f t="shared" si="206"/>
        <v>34º PAV. - TIPO 03B - x8 - MODELO</v>
      </c>
      <c r="C623" s="24" t="s">
        <v>222</v>
      </c>
      <c r="D623" s="30" t="str">
        <f>'Tipo 3B - x8'!C30</f>
        <v>Luminárias e Placas de Saída</v>
      </c>
      <c r="E623" s="30" t="str">
        <f>'Tipo 3B - x8'!D30</f>
        <v>Placa de Saída 24V de Parede sem Direção</v>
      </c>
      <c r="F623" s="30">
        <f>'Tipo 3B - x8'!E30</f>
        <v>1</v>
      </c>
      <c r="G623" s="25">
        <v>8</v>
      </c>
      <c r="H623" s="25">
        <v>0</v>
      </c>
      <c r="I623" s="25">
        <f t="shared" si="207"/>
        <v>8</v>
      </c>
      <c r="J623" s="25" t="str">
        <f>'Tipo 3B - x8'!F30</f>
        <v>pç</v>
      </c>
      <c r="K623" s="26">
        <f>_xlfn.XLOOKUP($E623,PREÇO!$C$7:$C$91,PREÇO!$E$7:$E$91)</f>
        <v>61.66</v>
      </c>
      <c r="L623" s="66">
        <f>IF(SUM(F623:K623)=0,SUMIFS($L625:$L$1593,$B625:$B$1593,$B623,$A625:$A$1593,$A623),I623*K623)</f>
        <v>493.28</v>
      </c>
      <c r="N623"/>
      <c r="O623"/>
      <c r="P623" s="28"/>
      <c r="Q623" s="28"/>
      <c r="R623" s="28"/>
    </row>
    <row r="624" spans="1:18" outlineLevel="1">
      <c r="A624" s="116" t="str">
        <f>A622</f>
        <v>GERAL</v>
      </c>
      <c r="B624" s="116" t="str">
        <f>B623</f>
        <v>34º PAV. - TIPO 03B - x8 - MODELO</v>
      </c>
      <c r="C624" s="116" t="s">
        <v>222</v>
      </c>
      <c r="D624" s="116" t="s">
        <v>223</v>
      </c>
      <c r="E624" s="116" t="s">
        <v>224</v>
      </c>
      <c r="F624" s="117">
        <v>1</v>
      </c>
      <c r="G624" s="117">
        <f>G623</f>
        <v>8</v>
      </c>
      <c r="H624" s="118">
        <v>0</v>
      </c>
      <c r="I624" s="117">
        <f t="shared" si="207"/>
        <v>8</v>
      </c>
      <c r="J624" s="117" t="s">
        <v>11</v>
      </c>
      <c r="K624" s="119">
        <f>_xlfn.XLOOKUP($E624,PREÇO!$C$7:$C$91,PREÇO!$E$7:$E$91)</f>
        <v>646.55999999999995</v>
      </c>
      <c r="L624" s="120">
        <f>IF(SUM(F624:K624)=0,SUMIFS($L625:$L$1593,$B625:$B$1593,$B624,$A625:$A$1593,$A624),I624*K624)</f>
        <v>5172.4799999999996</v>
      </c>
      <c r="N624"/>
      <c r="O624"/>
      <c r="P624" s="28"/>
      <c r="Q624" s="28"/>
      <c r="R624" s="28"/>
    </row>
    <row r="625" spans="1:18" outlineLevel="1">
      <c r="A625" s="24" t="str">
        <f>A623</f>
        <v>GERAL</v>
      </c>
      <c r="B625" s="24" t="str">
        <f>B623</f>
        <v>34º PAV. - TIPO 03B - x8 - MODELO</v>
      </c>
      <c r="C625" s="30" t="s">
        <v>220</v>
      </c>
      <c r="D625" s="30" t="str">
        <f>'Tipo 3B - x8'!C31</f>
        <v>Sensores de Presença</v>
      </c>
      <c r="E625" s="30" t="str">
        <f>'Tipo 3B - x8'!D31</f>
        <v>Sensor de Presença 24V de teto</v>
      </c>
      <c r="F625" s="30">
        <f>'Tipo 3B - x8'!E31</f>
        <v>3</v>
      </c>
      <c r="G625" s="25">
        <v>8</v>
      </c>
      <c r="H625" s="25">
        <v>0</v>
      </c>
      <c r="I625" s="25">
        <f t="shared" si="207"/>
        <v>24</v>
      </c>
      <c r="J625" s="25" t="str">
        <f>'Tipo 3B - x8'!F31</f>
        <v>pç</v>
      </c>
      <c r="K625" s="26">
        <f>_xlfn.XLOOKUP($E625,PREÇO!$C$7:$C$91,PREÇO!$E$7:$E$91)</f>
        <v>38.4</v>
      </c>
      <c r="L625" s="66">
        <f>IF(SUM(F625:K625)=0,SUMIFS($L626:$L$1593,$B626:$B$1593,$B625,$A626:$A$1593,$A625),I625*K625)</f>
        <v>921.59999999999991</v>
      </c>
      <c r="N625"/>
      <c r="O625"/>
      <c r="P625" s="28"/>
      <c r="Q625" s="28"/>
      <c r="R625" s="28"/>
    </row>
    <row r="626" spans="1:18" outlineLevel="1">
      <c r="A626" s="24" t="str">
        <f t="shared" si="205"/>
        <v>GERAL</v>
      </c>
      <c r="B626" s="24" t="str">
        <f t="shared" si="206"/>
        <v>34º PAV. - TIPO 03B - x8 - MODELO</v>
      </c>
      <c r="C626" s="30" t="s">
        <v>221</v>
      </c>
      <c r="D626" s="86" t="s">
        <v>87</v>
      </c>
      <c r="E626" s="30" t="s">
        <v>179</v>
      </c>
      <c r="F626" s="30">
        <f>'Tipo 3B - x8'!E34</f>
        <v>49.82</v>
      </c>
      <c r="G626" s="25">
        <v>8</v>
      </c>
      <c r="H626" s="25">
        <v>0</v>
      </c>
      <c r="I626" s="25">
        <f t="shared" si="207"/>
        <v>398.56</v>
      </c>
      <c r="J626" s="25" t="str">
        <f>'Tipo 3B - x8'!F34</f>
        <v>m</v>
      </c>
      <c r="K626" s="26">
        <f>_xlfn.XLOOKUP($E626,PREÇO!$C$7:$C$91,PREÇO!$E$7:$E$91)</f>
        <v>1.59</v>
      </c>
      <c r="L626" s="66">
        <f>IF(SUM(F626:K626)=0,SUMIFS($L627:$L$1593,$B627:$B$1593,$B626,$A627:$A$1593,$A626),I626*K626)</f>
        <v>633.71040000000005</v>
      </c>
      <c r="N626"/>
      <c r="O626"/>
      <c r="P626" s="28"/>
      <c r="Q626" s="28"/>
      <c r="R626" s="28"/>
    </row>
    <row r="627" spans="1:18" outlineLevel="1">
      <c r="A627" s="24" t="str">
        <f t="shared" si="205"/>
        <v>GERAL</v>
      </c>
      <c r="B627" s="24" t="str">
        <f t="shared" si="206"/>
        <v>34º PAV. - TIPO 03B - x8 - MODELO</v>
      </c>
      <c r="C627" s="30" t="s">
        <v>221</v>
      </c>
      <c r="D627" s="86" t="s">
        <v>87</v>
      </c>
      <c r="E627" s="30" t="s">
        <v>180</v>
      </c>
      <c r="F627" s="30">
        <f>'Tipo 3B - x8'!E35</f>
        <v>61.19</v>
      </c>
      <c r="G627" s="25">
        <v>8</v>
      </c>
      <c r="H627" s="25">
        <v>0</v>
      </c>
      <c r="I627" s="25">
        <f t="shared" si="207"/>
        <v>489.52</v>
      </c>
      <c r="J627" s="25" t="str">
        <f>'Tipo 3B - x8'!F35</f>
        <v>m</v>
      </c>
      <c r="K627" s="26">
        <f>_xlfn.XLOOKUP($E627,PREÇO!$C$7:$C$91,PREÇO!$E$7:$E$91)</f>
        <v>1.59</v>
      </c>
      <c r="L627" s="66">
        <f>IF(SUM(F627:K627)=0,SUMIFS($L628:$L$1593,$B628:$B$1593,$B627,$A628:$A$1593,$A627),I627*K627)</f>
        <v>778.33680000000004</v>
      </c>
      <c r="N627"/>
      <c r="O627"/>
      <c r="P627" s="28"/>
      <c r="Q627" s="28"/>
      <c r="R627" s="28"/>
    </row>
    <row r="628" spans="1:18" outlineLevel="1">
      <c r="A628" s="24" t="str">
        <f t="shared" si="205"/>
        <v>GERAL</v>
      </c>
      <c r="B628" s="24" t="str">
        <f t="shared" si="206"/>
        <v>34º PAV. - TIPO 03B - x8 - MODELO</v>
      </c>
      <c r="C628" s="30" t="s">
        <v>221</v>
      </c>
      <c r="D628" s="86" t="s">
        <v>87</v>
      </c>
      <c r="E628" s="30" t="s">
        <v>181</v>
      </c>
      <c r="F628" s="30">
        <f>'Tipo 3B - x8'!E36</f>
        <v>61.19</v>
      </c>
      <c r="G628" s="25">
        <v>8</v>
      </c>
      <c r="H628" s="25">
        <v>0</v>
      </c>
      <c r="I628" s="25">
        <f t="shared" si="207"/>
        <v>489.52</v>
      </c>
      <c r="J628" s="25" t="str">
        <f>'Tipo 3B - x8'!F36</f>
        <v>m</v>
      </c>
      <c r="K628" s="26">
        <f>_xlfn.XLOOKUP($E628,PREÇO!$C$7:$C$91,PREÇO!$E$7:$E$91)</f>
        <v>1.59</v>
      </c>
      <c r="L628" s="66">
        <f>IF(SUM(F628:K628)=0,SUMIFS($L629:$L$1593,$B629:$B$1593,$B628,$A629:$A$1593,$A628),I628*K628)</f>
        <v>778.33680000000004</v>
      </c>
      <c r="N628"/>
      <c r="O628"/>
      <c r="P628" s="28"/>
      <c r="Q628" s="28"/>
      <c r="R628" s="28"/>
    </row>
    <row r="629" spans="1:18" outlineLevel="1">
      <c r="A629" s="24" t="str">
        <f t="shared" si="205"/>
        <v>GERAL</v>
      </c>
      <c r="B629" s="24" t="str">
        <f t="shared" si="206"/>
        <v>34º PAV. - TIPO 03B - x8 - MODELO</v>
      </c>
      <c r="C629" s="30" t="s">
        <v>221</v>
      </c>
      <c r="D629" s="86" t="s">
        <v>87</v>
      </c>
      <c r="E629" s="30" t="s">
        <v>182</v>
      </c>
      <c r="F629" s="30">
        <f>'Tipo 3B - x8'!E37</f>
        <v>22.48</v>
      </c>
      <c r="G629" s="25">
        <v>8</v>
      </c>
      <c r="H629" s="25">
        <v>0</v>
      </c>
      <c r="I629" s="25">
        <f t="shared" si="207"/>
        <v>179.84</v>
      </c>
      <c r="J629" s="25" t="str">
        <f>'Tipo 3B - x8'!F37</f>
        <v>m</v>
      </c>
      <c r="K629" s="26">
        <f>_xlfn.XLOOKUP($E629,PREÇO!$C$7:$C$91,PREÇO!$E$7:$E$91)</f>
        <v>2.19</v>
      </c>
      <c r="L629" s="66">
        <f>IF(SUM(F629:K629)=0,SUMIFS($L630:$L$1593,$B630:$B$1593,$B629,$A630:$A$1593,$A629),I629*K629)</f>
        <v>393.84960000000001</v>
      </c>
      <c r="N629"/>
      <c r="O629"/>
      <c r="P629" s="28"/>
      <c r="Q629" s="28"/>
      <c r="R629" s="28"/>
    </row>
    <row r="630" spans="1:18" outlineLevel="1">
      <c r="A630" s="24" t="str">
        <f t="shared" si="205"/>
        <v>GERAL</v>
      </c>
      <c r="B630" s="24" t="str">
        <f t="shared" si="206"/>
        <v>34º PAV. - TIPO 03B - x8 - MODELO</v>
      </c>
      <c r="C630" s="30" t="s">
        <v>221</v>
      </c>
      <c r="D630" s="86" t="s">
        <v>87</v>
      </c>
      <c r="E630" s="30" t="s">
        <v>183</v>
      </c>
      <c r="F630" s="30">
        <f>'Tipo 3B - x8'!E38</f>
        <v>14.84</v>
      </c>
      <c r="G630" s="25">
        <v>8</v>
      </c>
      <c r="H630" s="25">
        <v>0</v>
      </c>
      <c r="I630" s="25">
        <f t="shared" si="207"/>
        <v>118.72</v>
      </c>
      <c r="J630" s="25" t="str">
        <f>'Tipo 3B - x8'!F38</f>
        <v>m</v>
      </c>
      <c r="K630" s="26">
        <f>_xlfn.XLOOKUP($E630,PREÇO!$C$7:$C$91,PREÇO!$E$7:$E$91)</f>
        <v>2.19</v>
      </c>
      <c r="L630" s="66">
        <f>IF(SUM(F630:K630)=0,SUMIFS($L631:$L$1593,$B631:$B$1593,$B630,$A631:$A$1593,$A630),I630*K630)</f>
        <v>259.99680000000001</v>
      </c>
      <c r="N630"/>
      <c r="O630"/>
      <c r="P630" s="28"/>
      <c r="Q630" s="28"/>
      <c r="R630" s="28"/>
    </row>
    <row r="631" spans="1:18" outlineLevel="1">
      <c r="A631" s="24" t="str">
        <f t="shared" si="205"/>
        <v>GERAL</v>
      </c>
      <c r="B631" s="24" t="str">
        <f t="shared" si="206"/>
        <v>34º PAV. - TIPO 03B - x8 - MODELO</v>
      </c>
      <c r="C631" s="30" t="s">
        <v>221</v>
      </c>
      <c r="D631" s="86" t="s">
        <v>87</v>
      </c>
      <c r="E631" s="30" t="s">
        <v>184</v>
      </c>
      <c r="F631" s="30">
        <f>'Tipo 3B - x8'!E39</f>
        <v>14.84</v>
      </c>
      <c r="G631" s="25">
        <v>8</v>
      </c>
      <c r="H631" s="25">
        <v>0</v>
      </c>
      <c r="I631" s="25">
        <f t="shared" si="207"/>
        <v>118.72</v>
      </c>
      <c r="J631" s="25" t="str">
        <f>'Tipo 3B - x8'!F39</f>
        <v>m</v>
      </c>
      <c r="K631" s="26">
        <f>_xlfn.XLOOKUP($E631,PREÇO!$C$7:$C$91,PREÇO!$E$7:$E$91)</f>
        <v>2.19</v>
      </c>
      <c r="L631" s="66">
        <f>IF(SUM(F631:K631)=0,SUMIFS($L632:$L$1593,$B632:$B$1593,$B631,$A632:$A$1593,$A631),I631*K631)</f>
        <v>259.99680000000001</v>
      </c>
      <c r="N631"/>
      <c r="O631"/>
      <c r="P631" s="28"/>
      <c r="Q631" s="28"/>
      <c r="R631" s="28"/>
    </row>
    <row r="632" spans="1:18" outlineLevel="1">
      <c r="A632" s="24" t="str">
        <f t="shared" si="205"/>
        <v>GERAL</v>
      </c>
      <c r="B632" s="24" t="str">
        <f t="shared" si="206"/>
        <v>34º PAV. - TIPO 03B - x8 - MODELO</v>
      </c>
      <c r="C632" s="30" t="s">
        <v>221</v>
      </c>
      <c r="D632" s="86" t="s">
        <v>46</v>
      </c>
      <c r="E632" s="30" t="s">
        <v>44</v>
      </c>
      <c r="F632" s="30">
        <f>'Tipo 3B - x8'!E43</f>
        <v>120.82</v>
      </c>
      <c r="G632" s="25">
        <v>8</v>
      </c>
      <c r="H632" s="25">
        <v>0</v>
      </c>
      <c r="I632" s="25">
        <f t="shared" si="207"/>
        <v>966.56</v>
      </c>
      <c r="J632" s="25" t="str">
        <f>'Tipo 3B - x8'!F43</f>
        <v>m</v>
      </c>
      <c r="K632" s="26">
        <f>_xlfn.XLOOKUP($E632,PREÇO!$C$7:$C$91,PREÇO!$E$7:$E$91)</f>
        <v>2.5299999999999998</v>
      </c>
      <c r="L632" s="66">
        <f>IF(SUM(F632:K632)=0,SUMIFS($L633:$L$1593,$B633:$B$1593,$B632,$A633:$A$1593,$A632),I632*K632)</f>
        <v>2445.3967999999995</v>
      </c>
      <c r="N632"/>
      <c r="O632"/>
      <c r="P632" s="28"/>
      <c r="Q632" s="28"/>
      <c r="R632" s="28"/>
    </row>
    <row r="633" spans="1:18" outlineLevel="1">
      <c r="A633" s="24" t="str">
        <f t="shared" si="205"/>
        <v>GERAL</v>
      </c>
      <c r="B633" s="24" t="str">
        <f t="shared" si="206"/>
        <v>34º PAV. - TIPO 03B - x8 - MODELO</v>
      </c>
      <c r="C633" s="30" t="s">
        <v>221</v>
      </c>
      <c r="D633" s="86" t="s">
        <v>89</v>
      </c>
      <c r="E633" s="30" t="s">
        <v>185</v>
      </c>
      <c r="F633" s="30">
        <f>'Tipo 3B - x8'!E46</f>
        <v>115.5</v>
      </c>
      <c r="G633" s="25">
        <v>8</v>
      </c>
      <c r="H633" s="25">
        <v>0</v>
      </c>
      <c r="I633" s="25">
        <f t="shared" si="207"/>
        <v>924</v>
      </c>
      <c r="J633" s="25" t="str">
        <f>'Tipo 3B - x8'!F46</f>
        <v>m</v>
      </c>
      <c r="K633" s="26">
        <f>_xlfn.XLOOKUP($E633,PREÇO!$C$7:$C$91,PREÇO!$E$7:$E$91)</f>
        <v>0.99</v>
      </c>
      <c r="L633" s="66">
        <f>IF(SUM(F633:K633)=0,SUMIFS($L634:$L$1593,$B634:$B$1593,$B633,$A634:$A$1593,$A633),I633*K633)</f>
        <v>914.76</v>
      </c>
      <c r="N633"/>
      <c r="O633"/>
      <c r="P633" s="28"/>
      <c r="Q633" s="28"/>
      <c r="R633" s="28"/>
    </row>
    <row r="634" spans="1:18" ht="15.75" outlineLevel="1" thickBot="1">
      <c r="A634" s="24" t="str">
        <f t="shared" si="205"/>
        <v>GERAL</v>
      </c>
      <c r="B634" s="24" t="str">
        <f t="shared" si="206"/>
        <v>34º PAV. - TIPO 03B - x8 - MODELO</v>
      </c>
      <c r="C634" s="30" t="s">
        <v>221</v>
      </c>
      <c r="D634" s="86" t="s">
        <v>89</v>
      </c>
      <c r="E634" s="30" t="s">
        <v>186</v>
      </c>
      <c r="F634" s="30">
        <f>'Tipo 3B - x8'!E47</f>
        <v>108.43</v>
      </c>
      <c r="G634" s="25">
        <v>8</v>
      </c>
      <c r="H634" s="25">
        <v>0</v>
      </c>
      <c r="I634" s="25">
        <f t="shared" si="207"/>
        <v>867.44</v>
      </c>
      <c r="J634" s="25" t="str">
        <f>'Tipo 3B - x8'!F47</f>
        <v>m</v>
      </c>
      <c r="K634" s="26">
        <f>_xlfn.XLOOKUP($E634,PREÇO!$C$7:$C$91,PREÇO!$E$7:$E$91)</f>
        <v>1.69</v>
      </c>
      <c r="L634" s="66">
        <f>IF(SUM(F634:K634)=0,SUMIFS($L635:$L$1593,$B635:$B$1593,$B634,$A635:$A$1593,$A634),I634*K634)</f>
        <v>1465.9736</v>
      </c>
      <c r="N634"/>
      <c r="O634"/>
      <c r="P634" s="28"/>
      <c r="Q634" s="28"/>
      <c r="R634" s="28"/>
    </row>
    <row r="635" spans="1:18" ht="15.75" thickTop="1">
      <c r="A635" s="82" t="s">
        <v>19</v>
      </c>
      <c r="B635" s="82" t="s">
        <v>173</v>
      </c>
      <c r="C635" s="43"/>
      <c r="D635" s="44" t="str">
        <f>'Tipo 3B - x8'!C48</f>
        <v/>
      </c>
      <c r="E635" s="44" t="str">
        <f>'Tipo 3B - x8'!D48</f>
        <v/>
      </c>
      <c r="F635" s="45" t="str">
        <f>'Tipo 3B - x8'!E48</f>
        <v/>
      </c>
      <c r="G635" s="45"/>
      <c r="H635" s="45"/>
      <c r="I635" s="45"/>
      <c r="J635" s="45"/>
      <c r="K635" s="47"/>
      <c r="L635" s="48">
        <f>IF(SUM(F635:K635)=0,SUMIFS($L636:$L$1593,$B636:$B$1593,$B635,$A636:$A$1593,$A635),I635*K635)</f>
        <v>9155.6666999999979</v>
      </c>
      <c r="N635"/>
      <c r="O635"/>
      <c r="P635" s="28"/>
      <c r="Q635" s="28"/>
      <c r="R635" s="28"/>
    </row>
    <row r="636" spans="1:18" outlineLevel="1">
      <c r="A636" s="24" t="str">
        <f>A635</f>
        <v>GERAL</v>
      </c>
      <c r="B636" s="24" t="str">
        <f>B635</f>
        <v>42º PAV. - ÁREA TÉCNICA 03</v>
      </c>
      <c r="C636" s="30" t="s">
        <v>221</v>
      </c>
      <c r="D636" s="30" t="str">
        <f>'Técnico 3'!C6</f>
        <v>Acionadores</v>
      </c>
      <c r="E636" s="30" t="str">
        <f>'Técnico 3'!D6</f>
        <v>Acionador Manual de Alarme de Incêndio</v>
      </c>
      <c r="F636" s="30">
        <f>'Técnico 3'!E6</f>
        <v>1</v>
      </c>
      <c r="G636" s="25">
        <v>1</v>
      </c>
      <c r="H636" s="25">
        <v>0</v>
      </c>
      <c r="I636" s="25">
        <f t="shared" si="207"/>
        <v>1</v>
      </c>
      <c r="J636" s="25" t="str">
        <f>'Técnico 3'!F6</f>
        <v>pç</v>
      </c>
      <c r="K636" s="26">
        <f>_xlfn.XLOOKUP($E636,PREÇO!$C$7:$C$91,PREÇO!$E$7:$E$91)</f>
        <v>65</v>
      </c>
      <c r="L636" s="66">
        <f>IF(SUM(F636:K636)=0,SUMIFS($L637:$L$1593,$B637:$B$1593,$B636,$A637:$A$1593,$A636),I636*K636)</f>
        <v>65</v>
      </c>
      <c r="N636"/>
      <c r="O636"/>
      <c r="P636" s="28"/>
      <c r="Q636" s="28"/>
      <c r="R636" s="28"/>
    </row>
    <row r="637" spans="1:18" outlineLevel="1">
      <c r="A637" s="24" t="str">
        <f t="shared" ref="A637:A662" si="208">A636</f>
        <v>GERAL</v>
      </c>
      <c r="B637" s="24" t="str">
        <f t="shared" ref="B637:B662" si="209">B636</f>
        <v>42º PAV. - ÁREA TÉCNICA 03</v>
      </c>
      <c r="C637" s="30" t="s">
        <v>221</v>
      </c>
      <c r="D637" s="30" t="str">
        <f>'Técnico 3'!C7</f>
        <v>Anunciadores</v>
      </c>
      <c r="E637" s="30" t="str">
        <f>'Técnico 3'!D7</f>
        <v>Anunciador Audiovisual de Alarme de Incêndio de Parede</v>
      </c>
      <c r="F637" s="30">
        <f>'Técnico 3'!E7</f>
        <v>1</v>
      </c>
      <c r="G637" s="25">
        <v>1</v>
      </c>
      <c r="H637" s="25">
        <v>0</v>
      </c>
      <c r="I637" s="25">
        <f t="shared" ref="I637:I653" si="210">(F637+H637*F637)*G637</f>
        <v>1</v>
      </c>
      <c r="J637" s="25" t="str">
        <f>'Técnico 3'!F7</f>
        <v>pç</v>
      </c>
      <c r="K637" s="26">
        <f>_xlfn.XLOOKUP($E637,PREÇO!$C$7:$C$91,PREÇO!$E$7:$E$91)</f>
        <v>191.81</v>
      </c>
      <c r="L637" s="66">
        <f>IF(SUM(F637:K637)=0,SUMIFS($L638:$L$1593,$B638:$B$1593,$B637,$A638:$A$1593,$A637),I637*K637)</f>
        <v>191.81</v>
      </c>
      <c r="N637"/>
      <c r="O637"/>
      <c r="P637" s="28"/>
      <c r="Q637" s="28"/>
      <c r="R637" s="28"/>
    </row>
    <row r="638" spans="1:18" outlineLevel="1">
      <c r="A638" s="24" t="str">
        <f t="shared" si="208"/>
        <v>GERAL</v>
      </c>
      <c r="B638" s="24" t="str">
        <f t="shared" si="209"/>
        <v>42º PAV. - ÁREA TÉCNICA 03</v>
      </c>
      <c r="C638" s="30" t="s">
        <v>221</v>
      </c>
      <c r="D638" s="30" t="str">
        <f>'Técnico 3'!C8</f>
        <v>Atuadores</v>
      </c>
      <c r="E638" s="30" t="str">
        <f>'Técnico 3'!D8</f>
        <v>Atuador Janela Desenfumagem</v>
      </c>
      <c r="F638" s="30">
        <f>'Técnico 3'!E8</f>
        <v>1</v>
      </c>
      <c r="G638" s="25">
        <v>1</v>
      </c>
      <c r="H638" s="25">
        <v>0</v>
      </c>
      <c r="I638" s="25">
        <f t="shared" si="210"/>
        <v>1</v>
      </c>
      <c r="J638" s="25" t="str">
        <f>'Técnico 3'!F8</f>
        <v>pç</v>
      </c>
      <c r="K638" s="26">
        <f>_xlfn.XLOOKUP($E638,PREÇO!$C$7:$C$91,PREÇO!$E$7:$E$91)</f>
        <v>1150</v>
      </c>
      <c r="L638" s="66">
        <f>IF(SUM(F638:K638)=0,SUMIFS($L639:$L$1593,$B639:$B$1593,$B638,$A639:$A$1593,$A638),I638*K638)</f>
        <v>1150</v>
      </c>
      <c r="N638"/>
      <c r="O638"/>
      <c r="P638" s="28"/>
      <c r="Q638" s="28"/>
      <c r="R638" s="28"/>
    </row>
    <row r="639" spans="1:18" outlineLevel="1">
      <c r="A639" s="24" t="str">
        <f t="shared" si="208"/>
        <v>GERAL</v>
      </c>
      <c r="B639" s="24" t="str">
        <f t="shared" si="209"/>
        <v>42º PAV. - ÁREA TÉCNICA 03</v>
      </c>
      <c r="C639" s="30" t="s">
        <v>221</v>
      </c>
      <c r="D639" s="30" t="str">
        <f>'Técnico 3'!C9</f>
        <v>Central de Alarme</v>
      </c>
      <c r="E639" s="30" t="str">
        <f>'Técnico 3'!D9</f>
        <v>Central de Alarme de Incêndio</v>
      </c>
      <c r="F639" s="30">
        <f>'Técnico 3'!E9</f>
        <v>1</v>
      </c>
      <c r="G639" s="25">
        <v>1</v>
      </c>
      <c r="H639" s="25">
        <v>0</v>
      </c>
      <c r="I639" s="25">
        <f t="shared" si="210"/>
        <v>1</v>
      </c>
      <c r="J639" s="25" t="str">
        <f>'Técnico 3'!F9</f>
        <v>pç</v>
      </c>
      <c r="K639" s="26">
        <f>_xlfn.XLOOKUP($E639,PREÇO!$C$7:$C$91,PREÇO!$E$7:$E$91)</f>
        <v>855.86</v>
      </c>
      <c r="L639" s="66">
        <f>IF(SUM(F639:K639)=0,SUMIFS($L640:$L$1593,$B640:$B$1593,$B639,$A640:$A$1593,$A639),I639*K639)</f>
        <v>855.86</v>
      </c>
      <c r="N639"/>
      <c r="O639"/>
      <c r="P639" s="28"/>
      <c r="Q639" s="28"/>
      <c r="R639" s="28"/>
    </row>
    <row r="640" spans="1:18" outlineLevel="1">
      <c r="A640" s="24" t="str">
        <f t="shared" si="208"/>
        <v>GERAL</v>
      </c>
      <c r="B640" s="24" t="str">
        <f t="shared" si="209"/>
        <v>42º PAV. - ÁREA TÉCNICA 03</v>
      </c>
      <c r="C640" s="30" t="s">
        <v>221</v>
      </c>
      <c r="D640" s="30" t="str">
        <f>'Técnico 3'!C10</f>
        <v>Sensores</v>
      </c>
      <c r="E640" s="30" t="str">
        <f>'Técnico 3'!D10</f>
        <v>Sensor de Fumaça</v>
      </c>
      <c r="F640" s="30">
        <f>'Técnico 3'!E10</f>
        <v>8</v>
      </c>
      <c r="G640" s="25">
        <v>1</v>
      </c>
      <c r="H640" s="25">
        <v>0</v>
      </c>
      <c r="I640" s="25">
        <f t="shared" si="210"/>
        <v>8</v>
      </c>
      <c r="J640" s="25" t="str">
        <f>'Técnico 3'!F10</f>
        <v>pç</v>
      </c>
      <c r="K640" s="26">
        <f>_xlfn.XLOOKUP($E640,PREÇO!$C$7:$C$91,PREÇO!$E$7:$E$91)</f>
        <v>53.9</v>
      </c>
      <c r="L640" s="66">
        <f>IF(SUM(F640:K640)=0,SUMIFS($L641:$L$1593,$B641:$B$1593,$B640,$A641:$A$1593,$A640),I640*K640)</f>
        <v>431.2</v>
      </c>
      <c r="N640"/>
      <c r="O640"/>
      <c r="P640" s="28"/>
      <c r="Q640" s="28"/>
      <c r="R640" s="28"/>
    </row>
    <row r="641" spans="1:18" outlineLevel="1">
      <c r="A641" s="24" t="str">
        <f t="shared" si="208"/>
        <v>GERAL</v>
      </c>
      <c r="B641" s="24" t="str">
        <f t="shared" si="209"/>
        <v>42º PAV. - ÁREA TÉCNICA 03</v>
      </c>
      <c r="C641" s="30" t="s">
        <v>221</v>
      </c>
      <c r="D641" s="30" t="str">
        <f>'Técnico 3'!C13</f>
        <v>Caixas</v>
      </c>
      <c r="E641" s="30" t="str">
        <f>'Técnico 3'!D13</f>
        <v>Caixa Octogonal Padrão NBR IEC 60670</v>
      </c>
      <c r="F641" s="30">
        <f>'Técnico 3'!E13</f>
        <v>31</v>
      </c>
      <c r="G641" s="25">
        <v>1</v>
      </c>
      <c r="H641" s="25">
        <v>0</v>
      </c>
      <c r="I641" s="25">
        <f t="shared" si="210"/>
        <v>31</v>
      </c>
      <c r="J641" s="25" t="str">
        <f>'Técnico 3'!F13</f>
        <v>pç</v>
      </c>
      <c r="K641" s="26">
        <f>_xlfn.XLOOKUP($E641,PREÇO!$C$7:$C$91,PREÇO!$E$7:$E$91)</f>
        <v>5.32</v>
      </c>
      <c r="L641" s="66">
        <f>IF(SUM(F641:K641)=0,SUMIFS($L642:$L$1593,$B642:$B$1593,$B641,$A642:$A$1593,$A641),I641*K641)</f>
        <v>164.92000000000002</v>
      </c>
      <c r="N641"/>
      <c r="O641"/>
      <c r="P641" s="28"/>
      <c r="Q641" s="28"/>
      <c r="R641" s="28"/>
    </row>
    <row r="642" spans="1:18" outlineLevel="1">
      <c r="A642" s="24" t="str">
        <f t="shared" si="208"/>
        <v>GERAL</v>
      </c>
      <c r="B642" s="24" t="str">
        <f t="shared" si="209"/>
        <v>42º PAV. - ÁREA TÉCNICA 03</v>
      </c>
      <c r="C642" s="30" t="s">
        <v>221</v>
      </c>
      <c r="D642" s="30" t="str">
        <f>'Técnico 3'!C16</f>
        <v>Caixas</v>
      </c>
      <c r="E642" s="30" t="str">
        <f>'Técnico 3'!D16</f>
        <v>Caixa 4x2" de Embutir em PVC Padrão NBR IEC 60670</v>
      </c>
      <c r="F642" s="30">
        <f>'Técnico 3'!E16</f>
        <v>12</v>
      </c>
      <c r="G642" s="25">
        <v>1</v>
      </c>
      <c r="H642" s="25">
        <v>0</v>
      </c>
      <c r="I642" s="25">
        <f t="shared" si="210"/>
        <v>12</v>
      </c>
      <c r="J642" s="25" t="str">
        <f>'Técnico 3'!F16</f>
        <v>pç</v>
      </c>
      <c r="K642" s="26">
        <f>_xlfn.XLOOKUP($E642,PREÇO!$C$7:$C$91,PREÇO!$E$7:$E$91)</f>
        <v>1.72</v>
      </c>
      <c r="L642" s="66">
        <f>IF(SUM(F642:K642)=0,SUMIFS($L643:$L$1593,$B643:$B$1593,$B642,$A643:$A$1593,$A642),I642*K642)</f>
        <v>20.64</v>
      </c>
      <c r="N642"/>
      <c r="O642"/>
      <c r="P642" s="28"/>
      <c r="Q642" s="28"/>
      <c r="R642" s="28"/>
    </row>
    <row r="643" spans="1:18" outlineLevel="1">
      <c r="A643" s="24" t="str">
        <f t="shared" si="208"/>
        <v>GERAL</v>
      </c>
      <c r="B643" s="24" t="str">
        <f t="shared" si="209"/>
        <v>42º PAV. - ÁREA TÉCNICA 03</v>
      </c>
      <c r="C643" s="30" t="s">
        <v>221</v>
      </c>
      <c r="D643" s="30" t="str">
        <f>'Técnico 3'!C17</f>
        <v>Placas</v>
      </c>
      <c r="E643" s="30" t="str">
        <f>'Técnico 3'!D17</f>
        <v>Placa 4x2" cega Padrão NBR IEC 60670</v>
      </c>
      <c r="F643" s="30">
        <f>'Técnico 3'!E17</f>
        <v>5</v>
      </c>
      <c r="G643" s="25">
        <v>1</v>
      </c>
      <c r="H643" s="25">
        <v>0</v>
      </c>
      <c r="I643" s="25">
        <f t="shared" si="210"/>
        <v>5</v>
      </c>
      <c r="J643" s="25" t="str">
        <f>'Técnico 3'!F17</f>
        <v>pç</v>
      </c>
      <c r="K643" s="26">
        <f>_xlfn.XLOOKUP($E643,PREÇO!$C$7:$C$91,PREÇO!$E$7:$E$91)</f>
        <v>4.59</v>
      </c>
      <c r="L643" s="66">
        <f>IF(SUM(F643:K643)=0,SUMIFS($L644:$L$1593,$B644:$B$1593,$B643,$A644:$A$1593,$A643),I643*K643)</f>
        <v>22.95</v>
      </c>
      <c r="N643"/>
      <c r="O643"/>
      <c r="P643" s="28"/>
      <c r="Q643" s="28"/>
      <c r="R643" s="28"/>
    </row>
    <row r="644" spans="1:18" outlineLevel="1">
      <c r="A644" s="24" t="str">
        <f t="shared" si="208"/>
        <v>GERAL</v>
      </c>
      <c r="B644" s="24" t="str">
        <f t="shared" si="209"/>
        <v>42º PAV. - ÁREA TÉCNICA 03</v>
      </c>
      <c r="C644" s="30" t="s">
        <v>221</v>
      </c>
      <c r="D644" s="30" t="str">
        <f>'Técnico 3'!C18</f>
        <v>Placas</v>
      </c>
      <c r="E644" s="30" t="str">
        <f>'Técnico 3'!D18</f>
        <v>Placa 4x2" com furo para saída de cabos Padrão NBR IEC 60670</v>
      </c>
      <c r="F644" s="30">
        <f>'Técnico 3'!E18</f>
        <v>7</v>
      </c>
      <c r="G644" s="25">
        <v>1</v>
      </c>
      <c r="H644" s="25">
        <v>0</v>
      </c>
      <c r="I644" s="25">
        <f t="shared" si="210"/>
        <v>7</v>
      </c>
      <c r="J644" s="25" t="str">
        <f>'Técnico 3'!F18</f>
        <v>pç</v>
      </c>
      <c r="K644" s="26">
        <f>_xlfn.XLOOKUP($E644,PREÇO!$C$7:$C$91,PREÇO!$E$7:$E$91)</f>
        <v>6.55</v>
      </c>
      <c r="L644" s="66">
        <f>IF(SUM(F644:K644)=0,SUMIFS($L645:$L$1593,$B645:$B$1593,$B644,$A645:$A$1593,$A644),I644*K644)</f>
        <v>45.85</v>
      </c>
      <c r="N644"/>
      <c r="O644"/>
      <c r="P644" s="28"/>
      <c r="Q644" s="28"/>
      <c r="R644" s="28"/>
    </row>
    <row r="645" spans="1:18" outlineLevel="1">
      <c r="A645" s="24" t="str">
        <f t="shared" si="208"/>
        <v>GERAL</v>
      </c>
      <c r="B645" s="24" t="str">
        <f t="shared" si="209"/>
        <v>42º PAV. - ÁREA TÉCNICA 03</v>
      </c>
      <c r="C645" s="30" t="s">
        <v>221</v>
      </c>
      <c r="D645" s="30" t="str">
        <f>'Técnico 3'!C19</f>
        <v>Suportes</v>
      </c>
      <c r="E645" s="30" t="str">
        <f>'Técnico 3'!D19</f>
        <v>Suporte p/ caixa 4x2" Padrão NBR IEC 60670</v>
      </c>
      <c r="F645" s="30">
        <f>'Técnico 3'!E19</f>
        <v>12</v>
      </c>
      <c r="G645" s="25">
        <v>1</v>
      </c>
      <c r="H645" s="25">
        <v>0</v>
      </c>
      <c r="I645" s="25">
        <f t="shared" si="210"/>
        <v>12</v>
      </c>
      <c r="J645" s="25" t="str">
        <f>'Técnico 3'!F19</f>
        <v>pç</v>
      </c>
      <c r="K645" s="26">
        <f>_xlfn.XLOOKUP($E645,PREÇO!$C$7:$C$91,PREÇO!$E$7:$E$91)</f>
        <v>1.85</v>
      </c>
      <c r="L645" s="66">
        <f>IF(SUM(F645:K645)=0,SUMIFS($L646:$L$1593,$B646:$B$1593,$B645,$A646:$A$1593,$A645),I645*K645)</f>
        <v>22.200000000000003</v>
      </c>
      <c r="N645"/>
      <c r="O645"/>
      <c r="P645" s="28"/>
      <c r="Q645" s="28"/>
      <c r="R645" s="28"/>
    </row>
    <row r="646" spans="1:18" outlineLevel="1">
      <c r="A646" s="24" t="str">
        <f t="shared" si="208"/>
        <v>GERAL</v>
      </c>
      <c r="B646" s="24" t="str">
        <f t="shared" si="209"/>
        <v>42º PAV. - ÁREA TÉCNICA 03</v>
      </c>
      <c r="C646" s="30" t="s">
        <v>221</v>
      </c>
      <c r="D646" s="30" t="str">
        <f>'Técnico 3'!C22</f>
        <v>Embutir</v>
      </c>
      <c r="E646" s="30" t="str">
        <f>'Técnico 3'!D22</f>
        <v>Cx de passagem de embutir com dimensão de 50x50x15 cm</v>
      </c>
      <c r="F646" s="30">
        <f>'Técnico 3'!E22</f>
        <v>1</v>
      </c>
      <c r="G646" s="25">
        <v>1</v>
      </c>
      <c r="H646" s="25">
        <v>0</v>
      </c>
      <c r="I646" s="25">
        <f t="shared" si="210"/>
        <v>1</v>
      </c>
      <c r="J646" s="25" t="str">
        <f>'Técnico 3'!F22</f>
        <v>pç</v>
      </c>
      <c r="K646" s="26">
        <f>_xlfn.XLOOKUP($E646,PREÇO!$C$7:$C$91,PREÇO!$E$7:$E$91)</f>
        <v>291.60000000000002</v>
      </c>
      <c r="L646" s="66">
        <f>IF(SUM(F646:K646)=0,SUMIFS($L647:$L$1593,$B647:$B$1593,$B646,$A647:$A$1593,$A646),I646*K646)</f>
        <v>291.60000000000002</v>
      </c>
      <c r="N646"/>
      <c r="O646"/>
      <c r="P646" s="28"/>
      <c r="Q646" s="28"/>
      <c r="R646" s="28"/>
    </row>
    <row r="647" spans="1:18" outlineLevel="1">
      <c r="A647" s="24" t="str">
        <f t="shared" si="208"/>
        <v>GERAL</v>
      </c>
      <c r="B647" s="24" t="str">
        <f t="shared" si="209"/>
        <v>42º PAV. - ÁREA TÉCNICA 03</v>
      </c>
      <c r="C647" s="30" t="s">
        <v>221</v>
      </c>
      <c r="D647" s="86" t="s">
        <v>46</v>
      </c>
      <c r="E647" s="30" t="s">
        <v>44</v>
      </c>
      <c r="F647" s="30">
        <f>'Técnico 3'!E25</f>
        <v>15</v>
      </c>
      <c r="G647" s="25">
        <v>1</v>
      </c>
      <c r="H647" s="25">
        <v>0</v>
      </c>
      <c r="I647" s="25">
        <f t="shared" si="210"/>
        <v>15</v>
      </c>
      <c r="J647" s="25" t="str">
        <f>'Técnico 3'!F25</f>
        <v>m</v>
      </c>
      <c r="K647" s="26">
        <f>_xlfn.XLOOKUP($E647,PREÇO!$C$7:$C$91,PREÇO!$E$7:$E$91)</f>
        <v>2.5299999999999998</v>
      </c>
      <c r="L647" s="66">
        <f>IF(SUM(F647:K647)=0,SUMIFS($L648:$L$1593,$B648:$B$1593,$B647,$A648:$A$1593,$A647),I647*K647)</f>
        <v>37.949999999999996</v>
      </c>
      <c r="N647"/>
      <c r="O647"/>
      <c r="P647" s="28"/>
      <c r="Q647" s="28"/>
      <c r="R647" s="28"/>
    </row>
    <row r="648" spans="1:18" outlineLevel="1">
      <c r="A648" s="24" t="str">
        <f t="shared" si="208"/>
        <v>GERAL</v>
      </c>
      <c r="B648" s="24" t="str">
        <f t="shared" si="209"/>
        <v>42º PAV. - ÁREA TÉCNICA 03</v>
      </c>
      <c r="C648" s="30" t="s">
        <v>221</v>
      </c>
      <c r="D648" s="86" t="s">
        <v>46</v>
      </c>
      <c r="E648" s="30" t="s">
        <v>45</v>
      </c>
      <c r="F648" s="30">
        <f>'Técnico 3'!E26</f>
        <v>119.25</v>
      </c>
      <c r="G648" s="25">
        <v>1</v>
      </c>
      <c r="H648" s="25">
        <v>0</v>
      </c>
      <c r="I648" s="25">
        <f t="shared" si="210"/>
        <v>119.25</v>
      </c>
      <c r="J648" s="25" t="str">
        <f>'Técnico 3'!F26</f>
        <v>m</v>
      </c>
      <c r="K648" s="26">
        <f>_xlfn.XLOOKUP($E648,PREÇO!$C$7:$C$91,PREÇO!$E$7:$E$91)</f>
        <v>1.8</v>
      </c>
      <c r="L648" s="66">
        <f>IF(SUM(F648:K648)=0,SUMIFS($L649:$L$1593,$B649:$B$1593,$B648,$A649:$A$1593,$A648),I648*K648)</f>
        <v>214.65</v>
      </c>
      <c r="N648"/>
      <c r="O648"/>
      <c r="P648" s="28"/>
      <c r="Q648" s="28"/>
      <c r="R648" s="28"/>
    </row>
    <row r="649" spans="1:18" outlineLevel="1">
      <c r="A649" s="24" t="str">
        <f t="shared" si="208"/>
        <v>GERAL</v>
      </c>
      <c r="B649" s="24" t="str">
        <f t="shared" si="209"/>
        <v>42º PAV. - ÁREA TÉCNICA 03</v>
      </c>
      <c r="C649" s="30" t="s">
        <v>220</v>
      </c>
      <c r="D649" s="30" t="str">
        <f>'Técnico 3'!C29</f>
        <v>Luminárias e Placas de Saída</v>
      </c>
      <c r="E649" s="30" t="str">
        <f>'Técnico 3'!D29</f>
        <v>Luminária de Emergência 24V de Parede</v>
      </c>
      <c r="F649" s="30">
        <f>'Técnico 3'!E29</f>
        <v>5</v>
      </c>
      <c r="G649" s="25">
        <v>1</v>
      </c>
      <c r="H649" s="25">
        <v>0</v>
      </c>
      <c r="I649" s="25">
        <f t="shared" si="210"/>
        <v>5</v>
      </c>
      <c r="J649" s="25" t="str">
        <f>'Técnico 3'!F29</f>
        <v>pç</v>
      </c>
      <c r="K649" s="26">
        <f>_xlfn.XLOOKUP($E649,PREÇO!$C$7:$C$91,PREÇO!$E$7:$E$91)</f>
        <v>15.9</v>
      </c>
      <c r="L649" s="66">
        <f>IF(SUM(F649:K649)=0,SUMIFS($L650:$L$1593,$B650:$B$1593,$B649,$A650:$A$1593,$A649),I649*K649)</f>
        <v>79.5</v>
      </c>
      <c r="N649"/>
      <c r="O649"/>
      <c r="P649" s="28"/>
      <c r="Q649" s="28"/>
      <c r="R649" s="28"/>
    </row>
    <row r="650" spans="1:18" outlineLevel="1">
      <c r="A650" s="24" t="str">
        <f t="shared" si="208"/>
        <v>GERAL</v>
      </c>
      <c r="B650" s="24" t="str">
        <f t="shared" si="209"/>
        <v>42º PAV. - ÁREA TÉCNICA 03</v>
      </c>
      <c r="C650" s="30" t="s">
        <v>220</v>
      </c>
      <c r="D650" s="30" t="str">
        <f>'Técnico 3'!C30</f>
        <v>Luminárias e Placas de Saída</v>
      </c>
      <c r="E650" s="30" t="str">
        <f>'Técnico 3'!D30</f>
        <v>Luminária de Emergência 24V de Teto</v>
      </c>
      <c r="F650" s="30">
        <f>'Técnico 3'!E30</f>
        <v>17</v>
      </c>
      <c r="G650" s="25">
        <v>1</v>
      </c>
      <c r="H650" s="25">
        <v>0</v>
      </c>
      <c r="I650" s="25">
        <f t="shared" si="210"/>
        <v>17</v>
      </c>
      <c r="J650" s="25" t="str">
        <f>'Técnico 3'!F30</f>
        <v>pç</v>
      </c>
      <c r="K650" s="26">
        <f>_xlfn.XLOOKUP($E650,PREÇO!$C$7:$C$91,PREÇO!$E$7:$E$91)</f>
        <v>69.900000000000006</v>
      </c>
      <c r="L650" s="66">
        <f>IF(SUM(F650:K650)=0,SUMIFS($L651:$L$1593,$B651:$B$1593,$B650,$A651:$A$1593,$A650),I650*K650)</f>
        <v>1188.3000000000002</v>
      </c>
      <c r="N650"/>
      <c r="O650"/>
      <c r="P650" s="28"/>
      <c r="Q650" s="28"/>
      <c r="R650" s="28"/>
    </row>
    <row r="651" spans="1:18" outlineLevel="1">
      <c r="A651" s="24" t="str">
        <f t="shared" si="208"/>
        <v>GERAL</v>
      </c>
      <c r="B651" s="24" t="str">
        <f t="shared" si="209"/>
        <v>42º PAV. - ÁREA TÉCNICA 03</v>
      </c>
      <c r="C651" s="24" t="s">
        <v>222</v>
      </c>
      <c r="D651" s="30" t="str">
        <f>'Técnico 3'!C31</f>
        <v>Luminárias e Placas de Saída</v>
      </c>
      <c r="E651" s="30" t="str">
        <f>'Técnico 3'!D31</f>
        <v>Placa de Saída 24V de Parede sem Direção</v>
      </c>
      <c r="F651" s="30">
        <f>'Técnico 3'!E31</f>
        <v>3</v>
      </c>
      <c r="G651" s="25">
        <v>1</v>
      </c>
      <c r="H651" s="25">
        <v>0</v>
      </c>
      <c r="I651" s="25">
        <f t="shared" si="210"/>
        <v>3</v>
      </c>
      <c r="J651" s="25" t="str">
        <f>'Técnico 3'!F31</f>
        <v>pç</v>
      </c>
      <c r="K651" s="26">
        <f>_xlfn.XLOOKUP($E651,PREÇO!$C$7:$C$91,PREÇO!$E$7:$E$91)</f>
        <v>61.66</v>
      </c>
      <c r="L651" s="66">
        <f>IF(SUM(F651:K651)=0,SUMIFS($L653:$L$1593,$B653:$B$1593,$B651,$A653:$A$1593,$A651),I651*K651)</f>
        <v>184.98</v>
      </c>
      <c r="N651"/>
      <c r="O651"/>
      <c r="P651" s="28"/>
      <c r="Q651" s="28"/>
      <c r="R651" s="28"/>
    </row>
    <row r="652" spans="1:18" outlineLevel="1">
      <c r="A652" s="116" t="str">
        <f>A650</f>
        <v>GERAL</v>
      </c>
      <c r="B652" s="116" t="str">
        <f>B651</f>
        <v>42º PAV. - ÁREA TÉCNICA 03</v>
      </c>
      <c r="C652" s="116" t="s">
        <v>222</v>
      </c>
      <c r="D652" s="116" t="s">
        <v>223</v>
      </c>
      <c r="E652" s="116" t="s">
        <v>224</v>
      </c>
      <c r="F652" s="117">
        <v>4</v>
      </c>
      <c r="G652" s="117">
        <f>G651</f>
        <v>1</v>
      </c>
      <c r="H652" s="118">
        <v>0</v>
      </c>
      <c r="I652" s="117">
        <f t="shared" si="210"/>
        <v>4</v>
      </c>
      <c r="J652" s="117" t="s">
        <v>11</v>
      </c>
      <c r="K652" s="119">
        <f>_xlfn.XLOOKUP($E652,PREÇO!$C$7:$C$91,PREÇO!$E$7:$E$91)</f>
        <v>646.55999999999995</v>
      </c>
      <c r="L652" s="120">
        <f>IF(SUM(F652:K652)=0,SUMIFS($L653:$L$1593,$B653:$B$1593,$B652,$A653:$A$1593,$A652),I652*K652)</f>
        <v>2586.2399999999998</v>
      </c>
      <c r="N652"/>
      <c r="O652"/>
      <c r="P652" s="28"/>
      <c r="Q652" s="28"/>
      <c r="R652" s="28"/>
    </row>
    <row r="653" spans="1:18" outlineLevel="1">
      <c r="A653" s="24" t="str">
        <f>A651</f>
        <v>GERAL</v>
      </c>
      <c r="B653" s="24" t="str">
        <f>B651</f>
        <v>42º PAV. - ÁREA TÉCNICA 03</v>
      </c>
      <c r="C653" s="30" t="s">
        <v>220</v>
      </c>
      <c r="D653" s="30" t="str">
        <f>'Técnico 3'!C32</f>
        <v>Sensores de Presença</v>
      </c>
      <c r="E653" s="30" t="str">
        <f>'Técnico 3'!D32</f>
        <v>Sensor de Presença 24V de teto</v>
      </c>
      <c r="F653" s="30">
        <f>'Técnico 3'!E32</f>
        <v>6</v>
      </c>
      <c r="G653" s="25">
        <v>1</v>
      </c>
      <c r="H653" s="25">
        <v>0</v>
      </c>
      <c r="I653" s="25">
        <f t="shared" si="210"/>
        <v>6</v>
      </c>
      <c r="J653" s="25" t="str">
        <f>'Técnico 3'!F32</f>
        <v>pç</v>
      </c>
      <c r="K653" s="26">
        <f>_xlfn.XLOOKUP($E653,PREÇO!$C$7:$C$91,PREÇO!$E$7:$E$91)</f>
        <v>38.4</v>
      </c>
      <c r="L653" s="66">
        <f>IF(SUM(F653:K653)=0,SUMIFS($L654:$L$1593,$B654:$B$1593,$B653,$A654:$A$1593,$A653),I653*K653)</f>
        <v>230.39999999999998</v>
      </c>
      <c r="N653"/>
      <c r="O653"/>
      <c r="P653" s="28"/>
      <c r="Q653" s="28"/>
      <c r="R653" s="28"/>
    </row>
    <row r="654" spans="1:18" outlineLevel="1">
      <c r="A654" s="24" t="str">
        <f t="shared" si="208"/>
        <v>GERAL</v>
      </c>
      <c r="B654" s="24" t="str">
        <f t="shared" si="209"/>
        <v>42º PAV. - ÁREA TÉCNICA 03</v>
      </c>
      <c r="C654" s="30" t="s">
        <v>221</v>
      </c>
      <c r="D654" s="86" t="s">
        <v>87</v>
      </c>
      <c r="E654" s="30" t="s">
        <v>179</v>
      </c>
      <c r="F654" s="30">
        <f>'Técnico 3'!E35</f>
        <v>118.06</v>
      </c>
      <c r="G654" s="25">
        <v>1</v>
      </c>
      <c r="H654" s="25">
        <v>0</v>
      </c>
      <c r="I654" s="25">
        <f t="shared" ref="I654:I664" si="211">(F654+H654*F654)*G654</f>
        <v>118.06</v>
      </c>
      <c r="J654" s="25" t="str">
        <f>'Técnico 3'!F35</f>
        <v>m</v>
      </c>
      <c r="K654" s="26">
        <f>_xlfn.XLOOKUP($E654,PREÇO!$C$7:$C$91,PREÇO!$E$7:$E$91)</f>
        <v>1.59</v>
      </c>
      <c r="L654" s="66">
        <f>IF(SUM(F654:K654)=0,SUMIFS($L655:$L$1593,$B655:$B$1593,$B654,$A655:$A$1593,$A654),I654*K654)</f>
        <v>187.71540000000002</v>
      </c>
      <c r="N654"/>
      <c r="O654"/>
      <c r="P654" s="28"/>
      <c r="Q654" s="28"/>
      <c r="R654" s="28"/>
    </row>
    <row r="655" spans="1:18" outlineLevel="1">
      <c r="A655" s="24" t="str">
        <f t="shared" si="208"/>
        <v>GERAL</v>
      </c>
      <c r="B655" s="24" t="str">
        <f t="shared" si="209"/>
        <v>42º PAV. - ÁREA TÉCNICA 03</v>
      </c>
      <c r="C655" s="30" t="s">
        <v>221</v>
      </c>
      <c r="D655" s="86" t="s">
        <v>87</v>
      </c>
      <c r="E655" s="30" t="s">
        <v>180</v>
      </c>
      <c r="F655" s="30">
        <f>'Técnico 3'!E36</f>
        <v>88.15</v>
      </c>
      <c r="G655" s="25">
        <v>1</v>
      </c>
      <c r="H655" s="25">
        <v>0</v>
      </c>
      <c r="I655" s="25">
        <f t="shared" si="211"/>
        <v>88.15</v>
      </c>
      <c r="J655" s="25" t="str">
        <f>'Técnico 3'!F36</f>
        <v>m</v>
      </c>
      <c r="K655" s="26">
        <f>_xlfn.XLOOKUP($E655,PREÇO!$C$7:$C$91,PREÇO!$E$7:$E$91)</f>
        <v>1.59</v>
      </c>
      <c r="L655" s="66">
        <f>IF(SUM(F655:K655)=0,SUMIFS($L656:$L$1593,$B656:$B$1593,$B655,$A656:$A$1593,$A655),I655*K655)</f>
        <v>140.1585</v>
      </c>
      <c r="N655"/>
      <c r="O655"/>
      <c r="P655" s="28"/>
      <c r="Q655" s="28"/>
      <c r="R655" s="28"/>
    </row>
    <row r="656" spans="1:18" outlineLevel="1">
      <c r="A656" s="24" t="str">
        <f t="shared" si="208"/>
        <v>GERAL</v>
      </c>
      <c r="B656" s="24" t="str">
        <f t="shared" si="209"/>
        <v>42º PAV. - ÁREA TÉCNICA 03</v>
      </c>
      <c r="C656" s="30" t="s">
        <v>221</v>
      </c>
      <c r="D656" s="86" t="s">
        <v>87</v>
      </c>
      <c r="E656" s="30" t="s">
        <v>181</v>
      </c>
      <c r="F656" s="30">
        <f>'Técnico 3'!E37</f>
        <v>88.15</v>
      </c>
      <c r="G656" s="25">
        <v>1</v>
      </c>
      <c r="H656" s="25">
        <v>0</v>
      </c>
      <c r="I656" s="25">
        <f t="shared" si="211"/>
        <v>88.15</v>
      </c>
      <c r="J656" s="25" t="str">
        <f>'Técnico 3'!F37</f>
        <v>m</v>
      </c>
      <c r="K656" s="26">
        <f>_xlfn.XLOOKUP($E656,PREÇO!$C$7:$C$91,PREÇO!$E$7:$E$91)</f>
        <v>1.59</v>
      </c>
      <c r="L656" s="66">
        <f>IF(SUM(F656:K656)=0,SUMIFS($L657:$L$1593,$B657:$B$1593,$B656,$A657:$A$1593,$A656),I656*K656)</f>
        <v>140.1585</v>
      </c>
      <c r="N656"/>
      <c r="O656"/>
      <c r="P656" s="28"/>
      <c r="Q656" s="28"/>
      <c r="R656" s="28"/>
    </row>
    <row r="657" spans="1:18" outlineLevel="1">
      <c r="A657" s="24" t="str">
        <f t="shared" si="208"/>
        <v>GERAL</v>
      </c>
      <c r="B657" s="24" t="str">
        <f t="shared" si="209"/>
        <v>42º PAV. - ÁREA TÉCNICA 03</v>
      </c>
      <c r="C657" s="30" t="s">
        <v>221</v>
      </c>
      <c r="D657" s="86" t="s">
        <v>87</v>
      </c>
      <c r="E657" s="30" t="s">
        <v>182</v>
      </c>
      <c r="F657" s="30">
        <f>'Técnico 3'!E38</f>
        <v>17.260000000000002</v>
      </c>
      <c r="G657" s="25">
        <v>1</v>
      </c>
      <c r="H657" s="25">
        <v>0</v>
      </c>
      <c r="I657" s="25">
        <f t="shared" si="211"/>
        <v>17.260000000000002</v>
      </c>
      <c r="J657" s="25" t="str">
        <f>'Técnico 3'!F38</f>
        <v>m</v>
      </c>
      <c r="K657" s="26">
        <f>_xlfn.XLOOKUP($E657,PREÇO!$C$7:$C$91,PREÇO!$E$7:$E$91)</f>
        <v>2.19</v>
      </c>
      <c r="L657" s="66">
        <f>IF(SUM(F657:K657)=0,SUMIFS($L658:$L$1593,$B658:$B$1593,$B657,$A658:$A$1593,$A657),I657*K657)</f>
        <v>37.799400000000006</v>
      </c>
      <c r="N657"/>
      <c r="O657"/>
      <c r="P657" s="28"/>
      <c r="Q657" s="28"/>
      <c r="R657" s="28"/>
    </row>
    <row r="658" spans="1:18" outlineLevel="1">
      <c r="A658" s="24" t="str">
        <f t="shared" si="208"/>
        <v>GERAL</v>
      </c>
      <c r="B658" s="24" t="str">
        <f t="shared" si="209"/>
        <v>42º PAV. - ÁREA TÉCNICA 03</v>
      </c>
      <c r="C658" s="30" t="s">
        <v>221</v>
      </c>
      <c r="D658" s="86" t="s">
        <v>87</v>
      </c>
      <c r="E658" s="30" t="s">
        <v>183</v>
      </c>
      <c r="F658" s="30">
        <f>'Técnico 3'!E39</f>
        <v>138.72</v>
      </c>
      <c r="G658" s="25">
        <v>1</v>
      </c>
      <c r="H658" s="25">
        <v>0</v>
      </c>
      <c r="I658" s="25">
        <f t="shared" si="211"/>
        <v>138.72</v>
      </c>
      <c r="J658" s="25" t="str">
        <f>'Técnico 3'!F39</f>
        <v>m</v>
      </c>
      <c r="K658" s="26">
        <f>_xlfn.XLOOKUP($E658,PREÇO!$C$7:$C$91,PREÇO!$E$7:$E$91)</f>
        <v>2.19</v>
      </c>
      <c r="L658" s="66">
        <f>IF(SUM(F658:K658)=0,SUMIFS($L659:$L$1593,$B659:$B$1593,$B658,$A659:$A$1593,$A658),I658*K658)</f>
        <v>303.79679999999996</v>
      </c>
      <c r="N658"/>
      <c r="O658"/>
      <c r="P658" s="28"/>
      <c r="Q658" s="28"/>
      <c r="R658" s="28"/>
    </row>
    <row r="659" spans="1:18" outlineLevel="1">
      <c r="A659" s="24" t="str">
        <f t="shared" si="208"/>
        <v>GERAL</v>
      </c>
      <c r="B659" s="24" t="str">
        <f t="shared" si="209"/>
        <v>42º PAV. - ÁREA TÉCNICA 03</v>
      </c>
      <c r="C659" s="30" t="s">
        <v>221</v>
      </c>
      <c r="D659" s="86" t="s">
        <v>87</v>
      </c>
      <c r="E659" s="30" t="s">
        <v>184</v>
      </c>
      <c r="F659" s="30">
        <f>'Técnico 3'!E40</f>
        <v>138.72</v>
      </c>
      <c r="G659" s="25">
        <v>1</v>
      </c>
      <c r="H659" s="25">
        <v>0</v>
      </c>
      <c r="I659" s="25">
        <f t="shared" si="211"/>
        <v>138.72</v>
      </c>
      <c r="J659" s="25" t="str">
        <f>'Técnico 3'!F40</f>
        <v>m</v>
      </c>
      <c r="K659" s="26">
        <f>_xlfn.XLOOKUP($E659,PREÇO!$C$7:$C$91,PREÇO!$E$7:$E$91)</f>
        <v>2.19</v>
      </c>
      <c r="L659" s="66">
        <f>IF(SUM(F659:K659)=0,SUMIFS($L660:$L$1593,$B660:$B$1593,$B659,$A660:$A$1593,$A659),I659*K659)</f>
        <v>303.79679999999996</v>
      </c>
      <c r="N659"/>
      <c r="O659"/>
      <c r="P659" s="28"/>
      <c r="Q659" s="28"/>
      <c r="R659" s="28"/>
    </row>
    <row r="660" spans="1:18" outlineLevel="1">
      <c r="A660" s="24" t="str">
        <f t="shared" si="208"/>
        <v>GERAL</v>
      </c>
      <c r="B660" s="24" t="str">
        <f t="shared" si="209"/>
        <v>42º PAV. - ÁREA TÉCNICA 03</v>
      </c>
      <c r="C660" s="30" t="s">
        <v>221</v>
      </c>
      <c r="D660" s="86" t="s">
        <v>46</v>
      </c>
      <c r="E660" s="30" t="s">
        <v>44</v>
      </c>
      <c r="F660" s="30">
        <f>'Técnico 3'!E44</f>
        <v>70.739999999999995</v>
      </c>
      <c r="G660" s="25">
        <v>1</v>
      </c>
      <c r="H660" s="25">
        <v>0</v>
      </c>
      <c r="I660" s="25">
        <f t="shared" si="211"/>
        <v>70.739999999999995</v>
      </c>
      <c r="J660" s="25" t="str">
        <f>'Técnico 3'!F44</f>
        <v>m</v>
      </c>
      <c r="K660" s="26">
        <f>_xlfn.XLOOKUP($E660,PREÇO!$C$7:$C$91,PREÇO!$E$7:$E$91)</f>
        <v>2.5299999999999998</v>
      </c>
      <c r="L660" s="66">
        <f>IF(SUM(F660:K660)=0,SUMIFS($L661:$L$1593,$B661:$B$1593,$B660,$A661:$A$1593,$A660),I660*K660)</f>
        <v>178.97219999999999</v>
      </c>
      <c r="N660"/>
      <c r="O660"/>
      <c r="P660" s="28"/>
      <c r="Q660" s="28"/>
      <c r="R660" s="28"/>
    </row>
    <row r="661" spans="1:18" outlineLevel="1">
      <c r="A661" s="24" t="str">
        <f t="shared" si="208"/>
        <v>GERAL</v>
      </c>
      <c r="B661" s="24" t="str">
        <f t="shared" si="209"/>
        <v>42º PAV. - ÁREA TÉCNICA 03</v>
      </c>
      <c r="C661" s="30" t="s">
        <v>221</v>
      </c>
      <c r="D661" s="86" t="s">
        <v>89</v>
      </c>
      <c r="E661" s="30" t="s">
        <v>185</v>
      </c>
      <c r="F661" s="30">
        <f>'Técnico 3'!E47</f>
        <v>63.29</v>
      </c>
      <c r="G661" s="25">
        <v>1</v>
      </c>
      <c r="H661" s="25">
        <v>0</v>
      </c>
      <c r="I661" s="25">
        <f t="shared" si="211"/>
        <v>63.29</v>
      </c>
      <c r="J661" s="25" t="str">
        <f>'Técnico 3'!F47</f>
        <v>m</v>
      </c>
      <c r="K661" s="26">
        <f>_xlfn.XLOOKUP($E661,PREÇO!$C$7:$C$91,PREÇO!$E$7:$E$91)</f>
        <v>0.99</v>
      </c>
      <c r="L661" s="66">
        <f>IF(SUM(F661:K661)=0,SUMIFS($L662:$L$1593,$B662:$B$1593,$B661,$A662:$A$1593,$A661),I661*K661)</f>
        <v>62.6571</v>
      </c>
      <c r="N661"/>
      <c r="O661"/>
      <c r="P661" s="28"/>
      <c r="Q661" s="28"/>
      <c r="R661" s="28"/>
    </row>
    <row r="662" spans="1:18" ht="15.75" outlineLevel="1" thickBot="1">
      <c r="A662" s="24" t="str">
        <f t="shared" si="208"/>
        <v>GERAL</v>
      </c>
      <c r="B662" s="24" t="str">
        <f t="shared" si="209"/>
        <v>42º PAV. - ÁREA TÉCNICA 03</v>
      </c>
      <c r="C662" s="30" t="s">
        <v>221</v>
      </c>
      <c r="D662" s="86" t="s">
        <v>89</v>
      </c>
      <c r="E662" s="30" t="s">
        <v>186</v>
      </c>
      <c r="F662" s="30">
        <f>'Técnico 3'!E48</f>
        <v>9.8000000000000007</v>
      </c>
      <c r="G662" s="25">
        <v>1</v>
      </c>
      <c r="H662" s="25">
        <v>0</v>
      </c>
      <c r="I662" s="25">
        <f t="shared" si="211"/>
        <v>9.8000000000000007</v>
      </c>
      <c r="J662" s="25" t="str">
        <f>'Técnico 3'!F48</f>
        <v>m</v>
      </c>
      <c r="K662" s="26">
        <f>_xlfn.XLOOKUP($E662,PREÇO!$C$7:$C$91,PREÇO!$E$7:$E$91)</f>
        <v>1.69</v>
      </c>
      <c r="L662" s="66">
        <f>IF(SUM(F662:K662)=0,SUMIFS($L663:$L$1593,$B663:$B$1593,$B662,$A663:$A$1593,$A662),I662*K662)</f>
        <v>16.562000000000001</v>
      </c>
      <c r="N662"/>
      <c r="O662"/>
      <c r="P662" s="28"/>
      <c r="Q662" s="28"/>
      <c r="R662" s="28"/>
    </row>
    <row r="663" spans="1:18" ht="15.75" thickTop="1">
      <c r="A663" s="82" t="s">
        <v>19</v>
      </c>
      <c r="B663" s="82" t="s">
        <v>174</v>
      </c>
      <c r="C663" s="43"/>
      <c r="D663" s="44" t="str">
        <f>'Técnico 3'!C49</f>
        <v/>
      </c>
      <c r="E663" s="44" t="str">
        <f>'Técnico 3'!D49</f>
        <v/>
      </c>
      <c r="F663" s="45" t="str">
        <f>'Técnico 3'!E49</f>
        <v/>
      </c>
      <c r="G663" s="45"/>
      <c r="H663" s="45"/>
      <c r="I663" s="45"/>
      <c r="J663" s="45"/>
      <c r="K663" s="47"/>
      <c r="L663" s="48">
        <f>IF(SUM(F663:K663)=0,SUMIFS($L664:$L$1593,$B664:$B$1593,$B663,$A664:$A$1593,$A663),I663*K663)</f>
        <v>53650.215000000011</v>
      </c>
      <c r="N663"/>
      <c r="O663"/>
      <c r="P663" s="28"/>
      <c r="Q663" s="28"/>
      <c r="R663" s="28"/>
    </row>
    <row r="664" spans="1:18" outlineLevel="1">
      <c r="A664" s="24" t="str">
        <f>A663</f>
        <v>GERAL</v>
      </c>
      <c r="B664" s="24" t="str">
        <f>B663</f>
        <v>43º PAV. - TIPO 03C - x9 - MODELO</v>
      </c>
      <c r="C664" s="30" t="s">
        <v>221</v>
      </c>
      <c r="D664" s="30" t="str">
        <f>'Tipo 3C - x9'!C6</f>
        <v>Acionadores</v>
      </c>
      <c r="E664" s="30" t="str">
        <f>'Tipo 3C - x9'!D6</f>
        <v>Acionador Manual de Alarme de Incêndio</v>
      </c>
      <c r="F664" s="30">
        <f>'Tipo 3C - x9'!E6</f>
        <v>1</v>
      </c>
      <c r="G664" s="25">
        <v>9</v>
      </c>
      <c r="H664" s="25">
        <v>0</v>
      </c>
      <c r="I664" s="25">
        <f t="shared" si="211"/>
        <v>9</v>
      </c>
      <c r="J664" s="25" t="str">
        <f>'Tipo 3C - x9'!F6</f>
        <v>pç</v>
      </c>
      <c r="K664" s="26">
        <f>_xlfn.XLOOKUP($E664,PREÇO!$C$7:$C$91,PREÇO!$E$7:$E$91)</f>
        <v>65</v>
      </c>
      <c r="L664" s="66">
        <f>IF(SUM(F664:K664)=0,SUMIFS($L665:$L$1593,$B665:$B$1593,$B664,$A665:$A$1593,$A664),I664*K664)</f>
        <v>585</v>
      </c>
      <c r="N664"/>
      <c r="O664"/>
      <c r="P664" s="28"/>
      <c r="Q664" s="28"/>
      <c r="R664" s="28"/>
    </row>
    <row r="665" spans="1:18" outlineLevel="1">
      <c r="A665" s="24" t="str">
        <f t="shared" ref="A665:A669" si="212">A664</f>
        <v>GERAL</v>
      </c>
      <c r="B665" s="24" t="str">
        <f t="shared" ref="B665:B669" si="213">B664</f>
        <v>43º PAV. - TIPO 03C - x9 - MODELO</v>
      </c>
      <c r="C665" s="30" t="s">
        <v>221</v>
      </c>
      <c r="D665" s="30" t="str">
        <f>'Tipo 3C - x9'!C7</f>
        <v>Anunciadores</v>
      </c>
      <c r="E665" s="30" t="str">
        <f>'Tipo 3C - x9'!D7</f>
        <v>Anunciador Audiovisual de Alarme de Incêndio de Parede</v>
      </c>
      <c r="F665" s="30">
        <f>'Tipo 3C - x9'!E7</f>
        <v>1</v>
      </c>
      <c r="G665" s="25">
        <v>9</v>
      </c>
      <c r="H665" s="25">
        <v>0</v>
      </c>
      <c r="I665" s="25">
        <f t="shared" ref="I665:I688" si="214">(F665+H665*F665)*G665</f>
        <v>9</v>
      </c>
      <c r="J665" s="25" t="str">
        <f>'Tipo 3C - x9'!F7</f>
        <v>pç</v>
      </c>
      <c r="K665" s="26">
        <f>_xlfn.XLOOKUP($E665,PREÇO!$C$7:$C$91,PREÇO!$E$7:$E$91)</f>
        <v>191.81</v>
      </c>
      <c r="L665" s="66">
        <f>IF(SUM(F665:K665)=0,SUMIFS($L666:$L$1593,$B666:$B$1593,$B665,$A666:$A$1593,$A665),I665*K665)</f>
        <v>1726.29</v>
      </c>
      <c r="N665"/>
      <c r="O665"/>
      <c r="P665" s="28"/>
      <c r="Q665" s="28"/>
      <c r="R665" s="28"/>
    </row>
    <row r="666" spans="1:18" outlineLevel="1">
      <c r="A666" s="24" t="str">
        <f t="shared" si="212"/>
        <v>GERAL</v>
      </c>
      <c r="B666" s="24" t="str">
        <f t="shared" si="213"/>
        <v>43º PAV. - TIPO 03C - x9 - MODELO</v>
      </c>
      <c r="C666" s="30" t="s">
        <v>221</v>
      </c>
      <c r="D666" s="30" t="str">
        <f>'Tipo 3C - x9'!C8</f>
        <v>Anunciadores</v>
      </c>
      <c r="E666" s="30" t="str">
        <f>'Tipo 3C - x9'!D8</f>
        <v>Anunciador Audiovisual de Alarme de Incêndio de Teto</v>
      </c>
      <c r="F666" s="30">
        <f>'Tipo 3C - x9'!E8</f>
        <v>2</v>
      </c>
      <c r="G666" s="25">
        <v>9</v>
      </c>
      <c r="H666" s="25">
        <v>0</v>
      </c>
      <c r="I666" s="25">
        <f t="shared" si="214"/>
        <v>18</v>
      </c>
      <c r="J666" s="25" t="str">
        <f>'Tipo 3C - x9'!F8</f>
        <v>pç</v>
      </c>
      <c r="K666" s="26">
        <f>_xlfn.XLOOKUP($E666,PREÇO!$C$7:$C$91,PREÇO!$E$7:$E$91)</f>
        <v>169.96</v>
      </c>
      <c r="L666" s="66">
        <f>IF(SUM(F666:K666)=0,SUMIFS($L667:$L$1593,$B667:$B$1593,$B666,$A667:$A$1593,$A666),I666*K666)</f>
        <v>3059.28</v>
      </c>
      <c r="N666"/>
      <c r="O666"/>
      <c r="P666" s="28"/>
      <c r="Q666" s="28"/>
      <c r="R666" s="28"/>
    </row>
    <row r="667" spans="1:18" outlineLevel="1">
      <c r="A667" s="24" t="str">
        <f t="shared" si="212"/>
        <v>GERAL</v>
      </c>
      <c r="B667" s="24" t="str">
        <f t="shared" si="213"/>
        <v>43º PAV. - TIPO 03C - x9 - MODELO</v>
      </c>
      <c r="C667" s="30" t="s">
        <v>221</v>
      </c>
      <c r="D667" s="30" t="str">
        <f>'Tipo 3C - x9'!C9</f>
        <v>Atuadores</v>
      </c>
      <c r="E667" s="30" t="str">
        <f>'Tipo 3C - x9'!D9</f>
        <v>Atuador Janela Desenfumagem</v>
      </c>
      <c r="F667" s="30">
        <f>'Tipo 3C - x9'!E9</f>
        <v>1</v>
      </c>
      <c r="G667" s="25">
        <v>9</v>
      </c>
      <c r="H667" s="25">
        <v>0</v>
      </c>
      <c r="I667" s="25">
        <f t="shared" si="214"/>
        <v>9</v>
      </c>
      <c r="J667" s="25" t="str">
        <f>'Tipo 3C - x9'!F9</f>
        <v>pç</v>
      </c>
      <c r="K667" s="26">
        <f>_xlfn.XLOOKUP($E667,PREÇO!$C$7:$C$91,PREÇO!$E$7:$E$91)</f>
        <v>1150</v>
      </c>
      <c r="L667" s="66">
        <f>IF(SUM(F667:K667)=0,SUMIFS($L668:$L$1593,$B668:$B$1593,$B667,$A668:$A$1593,$A667),I667*K667)</f>
        <v>10350</v>
      </c>
      <c r="N667"/>
      <c r="O667"/>
      <c r="P667" s="28"/>
      <c r="Q667" s="28"/>
      <c r="R667" s="28"/>
    </row>
    <row r="668" spans="1:18" outlineLevel="1">
      <c r="A668" s="24" t="str">
        <f t="shared" si="212"/>
        <v>GERAL</v>
      </c>
      <c r="B668" s="24" t="str">
        <f t="shared" si="213"/>
        <v>43º PAV. - TIPO 03C - x9 - MODELO</v>
      </c>
      <c r="C668" s="30" t="s">
        <v>221</v>
      </c>
      <c r="D668" s="30" t="str">
        <f>'Tipo 3C - x9'!C10</f>
        <v>Atuadores</v>
      </c>
      <c r="E668" s="30" t="str">
        <f>'Tipo 3C - x9'!D10</f>
        <v>Dispositivo Eletromagnético de Porta Aberta</v>
      </c>
      <c r="F668" s="30">
        <f>'Tipo 3C - x9'!E10</f>
        <v>1</v>
      </c>
      <c r="G668" s="25">
        <v>9</v>
      </c>
      <c r="H668" s="25">
        <v>0</v>
      </c>
      <c r="I668" s="25">
        <f t="shared" si="214"/>
        <v>9</v>
      </c>
      <c r="J668" s="25" t="str">
        <f>'Tipo 3C - x9'!F10</f>
        <v>pç</v>
      </c>
      <c r="K668" s="26">
        <f>_xlfn.XLOOKUP($E668,PREÇO!$C$7:$C$91,PREÇO!$E$7:$E$91)</f>
        <v>416.9</v>
      </c>
      <c r="L668" s="66">
        <f>IF(SUM(F668:K668)=0,SUMIFS($L669:$L$1593,$B669:$B$1593,$B668,$A669:$A$1593,$A668),I668*K668)</f>
        <v>3752.1</v>
      </c>
      <c r="N668"/>
      <c r="O668"/>
      <c r="P668" s="28"/>
      <c r="Q668" s="28"/>
      <c r="R668" s="28"/>
    </row>
    <row r="669" spans="1:18" outlineLevel="1">
      <c r="A669" s="24" t="str">
        <f t="shared" si="212"/>
        <v>GERAL</v>
      </c>
      <c r="B669" s="24" t="str">
        <f t="shared" si="213"/>
        <v>43º PAV. - TIPO 03C - x9 - MODELO</v>
      </c>
      <c r="C669" s="30" t="s">
        <v>221</v>
      </c>
      <c r="D669" s="30" t="str">
        <f>'Tipo 3C - x9'!C11</f>
        <v>Sensores</v>
      </c>
      <c r="E669" s="30" t="str">
        <f>'Tipo 3C - x9'!D11</f>
        <v>Sensor de Fumaça</v>
      </c>
      <c r="F669" s="30">
        <f>'Tipo 3C - x9'!E11</f>
        <v>19</v>
      </c>
      <c r="G669" s="25">
        <v>9</v>
      </c>
      <c r="H669" s="25">
        <v>0</v>
      </c>
      <c r="I669" s="25">
        <f t="shared" si="214"/>
        <v>171</v>
      </c>
      <c r="J669" s="25" t="str">
        <f>'Tipo 3C - x9'!F11</f>
        <v>pç</v>
      </c>
      <c r="K669" s="26">
        <f>_xlfn.XLOOKUP($E669,PREÇO!$C$7:$C$91,PREÇO!$E$7:$E$91)</f>
        <v>53.9</v>
      </c>
      <c r="L669" s="66">
        <f>IF(SUM(F669:K669)=0,SUMIFS($L670:$L$1593,$B670:$B$1593,$B669,$A670:$A$1593,$A669),I669*K669)</f>
        <v>9216.9</v>
      </c>
      <c r="N669"/>
      <c r="O669"/>
      <c r="P669" s="28"/>
      <c r="Q669" s="28"/>
      <c r="R669" s="28"/>
    </row>
    <row r="670" spans="1:18" outlineLevel="1">
      <c r="A670" s="24" t="str">
        <f t="shared" ref="A670:A691" si="215">A669</f>
        <v>GERAL</v>
      </c>
      <c r="B670" s="24" t="str">
        <f t="shared" ref="B670:B691" si="216">B669</f>
        <v>43º PAV. - TIPO 03C - x9 - MODELO</v>
      </c>
      <c r="C670" s="30" t="s">
        <v>221</v>
      </c>
      <c r="D670" s="30" t="str">
        <f>'Tipo 3C - x9'!C14</f>
        <v>Caixas</v>
      </c>
      <c r="E670" s="30" t="str">
        <f>'Tipo 3C - x9'!D14</f>
        <v>Caixa Octogonal Padrão NBR IEC 60670</v>
      </c>
      <c r="F670" s="30">
        <f>'Tipo 3C - x9'!E14</f>
        <v>31</v>
      </c>
      <c r="G670" s="25">
        <v>9</v>
      </c>
      <c r="H670" s="25">
        <v>0</v>
      </c>
      <c r="I670" s="25">
        <f t="shared" si="214"/>
        <v>279</v>
      </c>
      <c r="J670" s="25" t="str">
        <f>'Tipo 3C - x9'!F14</f>
        <v>pç</v>
      </c>
      <c r="K670" s="26">
        <f>_xlfn.XLOOKUP($E670,PREÇO!$C$7:$C$91,PREÇO!$E$7:$E$91)</f>
        <v>5.32</v>
      </c>
      <c r="L670" s="66">
        <f>IF(SUM(F670:K670)=0,SUMIFS($L671:$L$1593,$B671:$B$1593,$B670,$A671:$A$1593,$A670),I670*K670)</f>
        <v>1484.28</v>
      </c>
      <c r="N670"/>
      <c r="O670"/>
      <c r="P670" s="28"/>
      <c r="Q670" s="28"/>
      <c r="R670" s="28"/>
    </row>
    <row r="671" spans="1:18" outlineLevel="1">
      <c r="A671" s="24" t="str">
        <f t="shared" si="215"/>
        <v>GERAL</v>
      </c>
      <c r="B671" s="24" t="str">
        <f t="shared" si="216"/>
        <v>43º PAV. - TIPO 03C - x9 - MODELO</v>
      </c>
      <c r="C671" s="30" t="s">
        <v>221</v>
      </c>
      <c r="D671" s="30" t="str">
        <f>'Tipo 3C - x9'!C15</f>
        <v>Placas</v>
      </c>
      <c r="E671" s="30" t="str">
        <f>'Tipo 3C - x9'!D15</f>
        <v>Placa cega para caixa octogonal Padrão NBR IEC 60670</v>
      </c>
      <c r="F671" s="30">
        <f>'Tipo 3C - x9'!E15</f>
        <v>2</v>
      </c>
      <c r="G671" s="25">
        <v>9</v>
      </c>
      <c r="H671" s="25">
        <v>0</v>
      </c>
      <c r="I671" s="25">
        <f t="shared" si="214"/>
        <v>18</v>
      </c>
      <c r="J671" s="25" t="str">
        <f>'Tipo 3C - x9'!F15</f>
        <v>pç</v>
      </c>
      <c r="K671" s="26">
        <f>_xlfn.XLOOKUP($E671,PREÇO!$C$7:$C$91,PREÇO!$E$7:$E$91)</f>
        <v>2.5</v>
      </c>
      <c r="L671" s="66">
        <f>IF(SUM(F671:K671)=0,SUMIFS($L672:$L$1593,$B672:$B$1593,$B671,$A672:$A$1593,$A671),I671*K671)</f>
        <v>45</v>
      </c>
      <c r="N671"/>
      <c r="O671"/>
      <c r="P671" s="28"/>
      <c r="Q671" s="28"/>
      <c r="R671" s="28"/>
    </row>
    <row r="672" spans="1:18" outlineLevel="1">
      <c r="A672" s="24" t="str">
        <f t="shared" si="215"/>
        <v>GERAL</v>
      </c>
      <c r="B672" s="24" t="str">
        <f t="shared" si="216"/>
        <v>43º PAV. - TIPO 03C - x9 - MODELO</v>
      </c>
      <c r="C672" s="30" t="s">
        <v>221</v>
      </c>
      <c r="D672" s="30" t="str">
        <f>'Tipo 3C - x9'!C18</f>
        <v>Caixas</v>
      </c>
      <c r="E672" s="30" t="str">
        <f>'Tipo 3C - x9'!D18</f>
        <v>Caixa 4x2" de Embutir em PVC Padrão NBR IEC 60670</v>
      </c>
      <c r="F672" s="30">
        <f>'Tipo 3C - x9'!E18</f>
        <v>9</v>
      </c>
      <c r="G672" s="25">
        <v>9</v>
      </c>
      <c r="H672" s="25">
        <v>0</v>
      </c>
      <c r="I672" s="25">
        <f t="shared" si="214"/>
        <v>81</v>
      </c>
      <c r="J672" s="25" t="str">
        <f>'Tipo 3C - x9'!F18</f>
        <v>pç</v>
      </c>
      <c r="K672" s="26">
        <f>_xlfn.XLOOKUP($E672,PREÇO!$C$7:$C$91,PREÇO!$E$7:$E$91)</f>
        <v>1.72</v>
      </c>
      <c r="L672" s="66">
        <f>IF(SUM(F672:K672)=0,SUMIFS($L673:$L$1593,$B673:$B$1593,$B672,$A673:$A$1593,$A672),I672*K672)</f>
        <v>139.32</v>
      </c>
      <c r="N672"/>
      <c r="O672"/>
      <c r="P672" s="28"/>
      <c r="Q672" s="28"/>
      <c r="R672" s="28"/>
    </row>
    <row r="673" spans="1:18" outlineLevel="1">
      <c r="A673" s="24" t="str">
        <f t="shared" si="215"/>
        <v>GERAL</v>
      </c>
      <c r="B673" s="24" t="str">
        <f t="shared" si="216"/>
        <v>43º PAV. - TIPO 03C - x9 - MODELO</v>
      </c>
      <c r="C673" s="30" t="s">
        <v>221</v>
      </c>
      <c r="D673" s="30" t="str">
        <f>'Tipo 3C - x9'!C19</f>
        <v>Placas</v>
      </c>
      <c r="E673" s="30" t="str">
        <f>'Tipo 3C - x9'!D19</f>
        <v>Placa 4x2" cega Padrão NBR IEC 60670</v>
      </c>
      <c r="F673" s="30">
        <f>'Tipo 3C - x9'!E19</f>
        <v>3</v>
      </c>
      <c r="G673" s="25">
        <v>9</v>
      </c>
      <c r="H673" s="25">
        <v>0</v>
      </c>
      <c r="I673" s="25">
        <f t="shared" si="214"/>
        <v>27</v>
      </c>
      <c r="J673" s="25" t="str">
        <f>'Tipo 3C - x9'!F19</f>
        <v>pç</v>
      </c>
      <c r="K673" s="26">
        <f>_xlfn.XLOOKUP($E673,PREÇO!$C$7:$C$91,PREÇO!$E$7:$E$91)</f>
        <v>4.59</v>
      </c>
      <c r="L673" s="66">
        <f>IF(SUM(F673:K673)=0,SUMIFS($L674:$L$1593,$B674:$B$1593,$B673,$A674:$A$1593,$A673),I673*K673)</f>
        <v>123.92999999999999</v>
      </c>
      <c r="N673"/>
      <c r="O673"/>
      <c r="P673" s="28"/>
      <c r="Q673" s="28"/>
      <c r="R673" s="28"/>
    </row>
    <row r="674" spans="1:18" outlineLevel="1">
      <c r="A674" s="24" t="str">
        <f t="shared" si="215"/>
        <v>GERAL</v>
      </c>
      <c r="B674" s="24" t="str">
        <f t="shared" si="216"/>
        <v>43º PAV. - TIPO 03C - x9 - MODELO</v>
      </c>
      <c r="C674" s="30" t="s">
        <v>221</v>
      </c>
      <c r="D674" s="30" t="str">
        <f>'Tipo 3C - x9'!C20</f>
        <v>Placas</v>
      </c>
      <c r="E674" s="30" t="str">
        <f>'Tipo 3C - x9'!D20</f>
        <v>Placa 4x2" com furo para saída de cabos Padrão NBR IEC 60670</v>
      </c>
      <c r="F674" s="30">
        <f>'Tipo 3C - x9'!E20</f>
        <v>6</v>
      </c>
      <c r="G674" s="25">
        <v>9</v>
      </c>
      <c r="H674" s="25">
        <v>0</v>
      </c>
      <c r="I674" s="25">
        <f t="shared" si="214"/>
        <v>54</v>
      </c>
      <c r="J674" s="25" t="str">
        <f>'Tipo 3C - x9'!F20</f>
        <v>pç</v>
      </c>
      <c r="K674" s="26">
        <f>_xlfn.XLOOKUP($E674,PREÇO!$C$7:$C$91,PREÇO!$E$7:$E$91)</f>
        <v>6.55</v>
      </c>
      <c r="L674" s="66">
        <f>IF(SUM(F674:K674)=0,SUMIFS($L675:$L$1593,$B675:$B$1593,$B674,$A675:$A$1593,$A674),I674*K674)</f>
        <v>353.7</v>
      </c>
      <c r="N674"/>
      <c r="O674"/>
      <c r="P674" s="28"/>
      <c r="Q674" s="28"/>
      <c r="R674" s="28"/>
    </row>
    <row r="675" spans="1:18" outlineLevel="1">
      <c r="A675" s="24" t="str">
        <f t="shared" si="215"/>
        <v>GERAL</v>
      </c>
      <c r="B675" s="24" t="str">
        <f t="shared" si="216"/>
        <v>43º PAV. - TIPO 03C - x9 - MODELO</v>
      </c>
      <c r="C675" s="30" t="s">
        <v>221</v>
      </c>
      <c r="D675" s="30" t="str">
        <f>'Tipo 3C - x9'!C21</f>
        <v>Suportes</v>
      </c>
      <c r="E675" s="30" t="str">
        <f>'Tipo 3C - x9'!D21</f>
        <v>Suporte p/ caixa 4x2" Padrão NBR IEC 60670</v>
      </c>
      <c r="F675" s="30">
        <f>'Tipo 3C - x9'!E21</f>
        <v>9</v>
      </c>
      <c r="G675" s="25">
        <v>9</v>
      </c>
      <c r="H675" s="25">
        <v>0</v>
      </c>
      <c r="I675" s="25">
        <f t="shared" si="214"/>
        <v>81</v>
      </c>
      <c r="J675" s="25" t="str">
        <f>'Tipo 3C - x9'!F21</f>
        <v>pç</v>
      </c>
      <c r="K675" s="26">
        <f>_xlfn.XLOOKUP($E675,PREÇO!$C$7:$C$91,PREÇO!$E$7:$E$91)</f>
        <v>1.85</v>
      </c>
      <c r="L675" s="66">
        <f>IF(SUM(F675:K675)=0,SUMIFS($L676:$L$1593,$B676:$B$1593,$B675,$A676:$A$1593,$A675),I675*K675)</f>
        <v>149.85</v>
      </c>
      <c r="N675"/>
      <c r="O675"/>
      <c r="P675" s="28"/>
      <c r="Q675" s="28"/>
      <c r="R675" s="28"/>
    </row>
    <row r="676" spans="1:18" outlineLevel="1">
      <c r="A676" s="24" t="str">
        <f t="shared" si="215"/>
        <v>GERAL</v>
      </c>
      <c r="B676" s="24" t="str">
        <f t="shared" si="216"/>
        <v>43º PAV. - TIPO 03C - x9 - MODELO</v>
      </c>
      <c r="C676" s="30" t="s">
        <v>221</v>
      </c>
      <c r="D676" s="86" t="s">
        <v>46</v>
      </c>
      <c r="E676" s="30" t="s">
        <v>44</v>
      </c>
      <c r="F676" s="30">
        <f>'Tipo 3C - x9'!E24</f>
        <v>24.07</v>
      </c>
      <c r="G676" s="25">
        <v>9</v>
      </c>
      <c r="H676" s="25">
        <v>0</v>
      </c>
      <c r="I676" s="25">
        <f t="shared" si="214"/>
        <v>216.63</v>
      </c>
      <c r="J676" s="25" t="str">
        <f>'Tipo 3C - x9'!F24</f>
        <v>m</v>
      </c>
      <c r="K676" s="26">
        <f>_xlfn.XLOOKUP($E676,PREÇO!$C$7:$C$91,PREÇO!$E$7:$E$91)</f>
        <v>2.5299999999999998</v>
      </c>
      <c r="L676" s="66">
        <f>IF(SUM(F676:K676)=0,SUMIFS($L677:$L$1593,$B677:$B$1593,$B676,$A677:$A$1593,$A676),I676*K676)</f>
        <v>548.07389999999998</v>
      </c>
      <c r="N676"/>
      <c r="O676"/>
      <c r="P676" s="28"/>
      <c r="Q676" s="28"/>
      <c r="R676" s="28"/>
    </row>
    <row r="677" spans="1:18" outlineLevel="1">
      <c r="A677" s="24" t="str">
        <f t="shared" si="215"/>
        <v>GERAL</v>
      </c>
      <c r="B677" s="24" t="str">
        <f t="shared" si="216"/>
        <v>43º PAV. - TIPO 03C - x9 - MODELO</v>
      </c>
      <c r="C677" s="30" t="s">
        <v>221</v>
      </c>
      <c r="D677" s="86" t="s">
        <v>46</v>
      </c>
      <c r="E677" s="30" t="s">
        <v>45</v>
      </c>
      <c r="F677" s="30">
        <f>'Tipo 3C - x9'!E25</f>
        <v>32.119999999999997</v>
      </c>
      <c r="G677" s="25">
        <v>9</v>
      </c>
      <c r="H677" s="25">
        <v>0</v>
      </c>
      <c r="I677" s="25">
        <f t="shared" si="214"/>
        <v>289.08</v>
      </c>
      <c r="J677" s="25" t="str">
        <f>'Tipo 3C - x9'!F25</f>
        <v>m</v>
      </c>
      <c r="K677" s="26">
        <f>_xlfn.XLOOKUP($E677,PREÇO!$C$7:$C$91,PREÇO!$E$7:$E$91)</f>
        <v>1.8</v>
      </c>
      <c r="L677" s="66">
        <f>IF(SUM(F677:K677)=0,SUMIFS($L678:$L$1593,$B678:$B$1593,$B677,$A678:$A$1593,$A677),I677*K677)</f>
        <v>520.34399999999994</v>
      </c>
      <c r="N677"/>
      <c r="O677"/>
      <c r="P677" s="28"/>
      <c r="Q677" s="28"/>
      <c r="R677" s="28"/>
    </row>
    <row r="678" spans="1:18" outlineLevel="1">
      <c r="A678" s="24" t="str">
        <f t="shared" si="215"/>
        <v>GERAL</v>
      </c>
      <c r="B678" s="24" t="str">
        <f t="shared" si="216"/>
        <v>43º PAV. - TIPO 03C - x9 - MODELO</v>
      </c>
      <c r="C678" s="30" t="s">
        <v>220</v>
      </c>
      <c r="D678" s="30" t="str">
        <f>'Tipo 3C - x9'!C28</f>
        <v>Luminárias e Placas de Saída</v>
      </c>
      <c r="E678" s="30" t="str">
        <f>'Tipo 3C - x9'!D28</f>
        <v>Luminária de Emergência 24V de Parede</v>
      </c>
      <c r="F678" s="30">
        <f>'Tipo 3C - x9'!E28</f>
        <v>3</v>
      </c>
      <c r="G678" s="25">
        <v>9</v>
      </c>
      <c r="H678" s="25">
        <v>0</v>
      </c>
      <c r="I678" s="25">
        <f t="shared" si="214"/>
        <v>27</v>
      </c>
      <c r="J678" s="25" t="str">
        <f>'Tipo 3C - x9'!F28</f>
        <v>pç</v>
      </c>
      <c r="K678" s="26">
        <f>_xlfn.XLOOKUP($E678,PREÇO!$C$7:$C$91,PREÇO!$E$7:$E$91)</f>
        <v>15.9</v>
      </c>
      <c r="L678" s="66">
        <f>IF(SUM(F678:K678)=0,SUMIFS($L679:$L$1593,$B679:$B$1593,$B678,$A679:$A$1593,$A678),I678*K678)</f>
        <v>429.3</v>
      </c>
      <c r="N678"/>
      <c r="O678"/>
      <c r="P678" s="28"/>
      <c r="Q678" s="28"/>
      <c r="R678" s="28"/>
    </row>
    <row r="679" spans="1:18" outlineLevel="1">
      <c r="A679" s="24" t="str">
        <f t="shared" si="215"/>
        <v>GERAL</v>
      </c>
      <c r="B679" s="24" t="str">
        <f t="shared" si="216"/>
        <v>43º PAV. - TIPO 03C - x9 - MODELO</v>
      </c>
      <c r="C679" s="30" t="s">
        <v>220</v>
      </c>
      <c r="D679" s="30" t="str">
        <f>'Tipo 3C - x9'!C29</f>
        <v>Luminárias e Placas de Saída</v>
      </c>
      <c r="E679" s="30" t="str">
        <f>'Tipo 3C - x9'!D29</f>
        <v>Luminária de Emergência 24V de Teto</v>
      </c>
      <c r="F679" s="30">
        <f>'Tipo 3C - x9'!E29</f>
        <v>5</v>
      </c>
      <c r="G679" s="25">
        <v>9</v>
      </c>
      <c r="H679" s="25">
        <v>0</v>
      </c>
      <c r="I679" s="25">
        <f t="shared" si="214"/>
        <v>45</v>
      </c>
      <c r="J679" s="25" t="str">
        <f>'Tipo 3C - x9'!F29</f>
        <v>pç</v>
      </c>
      <c r="K679" s="26">
        <f>_xlfn.XLOOKUP($E679,PREÇO!$C$7:$C$91,PREÇO!$E$7:$E$91)</f>
        <v>69.900000000000006</v>
      </c>
      <c r="L679" s="66">
        <f>IF(SUM(F679:K679)=0,SUMIFS($L680:$L$1593,$B680:$B$1593,$B679,$A680:$A$1593,$A679),I679*K679)</f>
        <v>3145.5000000000005</v>
      </c>
      <c r="N679"/>
      <c r="O679"/>
      <c r="P679" s="28"/>
      <c r="Q679" s="28"/>
      <c r="R679" s="28"/>
    </row>
    <row r="680" spans="1:18" outlineLevel="1">
      <c r="A680" s="24" t="str">
        <f t="shared" si="215"/>
        <v>GERAL</v>
      </c>
      <c r="B680" s="24" t="str">
        <f t="shared" si="216"/>
        <v>43º PAV. - TIPO 03C - x9 - MODELO</v>
      </c>
      <c r="C680" s="24" t="s">
        <v>222</v>
      </c>
      <c r="D680" s="30" t="str">
        <f>'Tipo 3C - x9'!C30</f>
        <v>Luminárias e Placas de Saída</v>
      </c>
      <c r="E680" s="30" t="str">
        <f>'Tipo 3C - x9'!D30</f>
        <v>Placa de Saída 24V de Parede sem Direção</v>
      </c>
      <c r="F680" s="30">
        <f>'Tipo 3C - x9'!E30</f>
        <v>1</v>
      </c>
      <c r="G680" s="25">
        <v>9</v>
      </c>
      <c r="H680" s="25">
        <v>0</v>
      </c>
      <c r="I680" s="25">
        <f t="shared" si="214"/>
        <v>9</v>
      </c>
      <c r="J680" s="25" t="str">
        <f>'Tipo 3C - x9'!F30</f>
        <v>pç</v>
      </c>
      <c r="K680" s="26">
        <f>_xlfn.XLOOKUP($E680,PREÇO!$C$7:$C$91,PREÇO!$E$7:$E$91)</f>
        <v>61.66</v>
      </c>
      <c r="L680" s="66">
        <f>IF(SUM(F680:K680)=0,SUMIFS($L682:$L$1593,$B682:$B$1593,$B680,$A682:$A$1593,$A680),I680*K680)</f>
        <v>554.93999999999994</v>
      </c>
      <c r="N680"/>
      <c r="O680"/>
      <c r="P680" s="28"/>
      <c r="Q680" s="28"/>
      <c r="R680" s="28"/>
    </row>
    <row r="681" spans="1:18" outlineLevel="1">
      <c r="A681" s="116" t="str">
        <f>A679</f>
        <v>GERAL</v>
      </c>
      <c r="B681" s="116" t="str">
        <f>B680</f>
        <v>43º PAV. - TIPO 03C - x9 - MODELO</v>
      </c>
      <c r="C681" s="116" t="s">
        <v>222</v>
      </c>
      <c r="D681" s="116" t="s">
        <v>223</v>
      </c>
      <c r="E681" s="116" t="s">
        <v>224</v>
      </c>
      <c r="F681" s="117">
        <v>1</v>
      </c>
      <c r="G681" s="117">
        <f>G680</f>
        <v>9</v>
      </c>
      <c r="H681" s="118">
        <v>0</v>
      </c>
      <c r="I681" s="117">
        <f t="shared" si="214"/>
        <v>9</v>
      </c>
      <c r="J681" s="117" t="s">
        <v>11</v>
      </c>
      <c r="K681" s="119">
        <f>_xlfn.XLOOKUP($E681,PREÇO!$C$7:$C$91,PREÇO!$E$7:$E$91)</f>
        <v>646.55999999999995</v>
      </c>
      <c r="L681" s="120">
        <f>IF(SUM(F681:K681)=0,SUMIFS($L682:$L$1593,$B682:$B$1593,$B681,$A682:$A$1593,$A681),I681*K681)</f>
        <v>5819.0399999999991</v>
      </c>
      <c r="N681"/>
      <c r="O681"/>
      <c r="P681" s="28"/>
      <c r="Q681" s="28"/>
      <c r="R681" s="28"/>
    </row>
    <row r="682" spans="1:18" outlineLevel="1">
      <c r="A682" s="24" t="str">
        <f>A680</f>
        <v>GERAL</v>
      </c>
      <c r="B682" s="24" t="str">
        <f>B680</f>
        <v>43º PAV. - TIPO 03C - x9 - MODELO</v>
      </c>
      <c r="C682" s="30" t="s">
        <v>220</v>
      </c>
      <c r="D682" s="30" t="str">
        <f>'Tipo 3C - x9'!C31</f>
        <v>Sensores de Presença</v>
      </c>
      <c r="E682" s="30" t="str">
        <f>'Tipo 3C - x9'!D31</f>
        <v>Sensor de Presença 24V de teto</v>
      </c>
      <c r="F682" s="30">
        <f>'Tipo 3C - x9'!E31</f>
        <v>3</v>
      </c>
      <c r="G682" s="25">
        <v>9</v>
      </c>
      <c r="H682" s="25">
        <v>0</v>
      </c>
      <c r="I682" s="25">
        <f t="shared" si="214"/>
        <v>27</v>
      </c>
      <c r="J682" s="25" t="str">
        <f>'Tipo 3C - x9'!F31</f>
        <v>pç</v>
      </c>
      <c r="K682" s="26">
        <f>_xlfn.XLOOKUP($E682,PREÇO!$C$7:$C$91,PREÇO!$E$7:$E$91)</f>
        <v>38.4</v>
      </c>
      <c r="L682" s="66">
        <f>IF(SUM(F682:K682)=0,SUMIFS($L683:$L$1593,$B683:$B$1593,$B682,$A683:$A$1593,$A682),I682*K682)</f>
        <v>1036.8</v>
      </c>
      <c r="N682"/>
      <c r="O682"/>
      <c r="P682" s="28"/>
      <c r="Q682" s="28"/>
      <c r="R682" s="28"/>
    </row>
    <row r="683" spans="1:18" outlineLevel="1">
      <c r="A683" s="24" t="str">
        <f t="shared" si="215"/>
        <v>GERAL</v>
      </c>
      <c r="B683" s="24" t="str">
        <f t="shared" si="216"/>
        <v>43º PAV. - TIPO 03C - x9 - MODELO</v>
      </c>
      <c r="C683" s="30" t="s">
        <v>221</v>
      </c>
      <c r="D683" s="86" t="s">
        <v>87</v>
      </c>
      <c r="E683" s="30" t="s">
        <v>179</v>
      </c>
      <c r="F683" s="30">
        <f>'Tipo 3C - x9'!E34</f>
        <v>73.02</v>
      </c>
      <c r="G683" s="25">
        <v>9</v>
      </c>
      <c r="H683" s="25">
        <v>0</v>
      </c>
      <c r="I683" s="25">
        <f t="shared" si="214"/>
        <v>657.18</v>
      </c>
      <c r="J683" s="25" t="str">
        <f>'Tipo 3C - x9'!F34</f>
        <v>m</v>
      </c>
      <c r="K683" s="26">
        <f>_xlfn.XLOOKUP($E683,PREÇO!$C$7:$C$91,PREÇO!$E$7:$E$91)</f>
        <v>1.59</v>
      </c>
      <c r="L683" s="66">
        <f>IF(SUM(F683:K683)=0,SUMIFS($L684:$L$1593,$B684:$B$1593,$B683,$A684:$A$1593,$A683),I683*K683)</f>
        <v>1044.9161999999999</v>
      </c>
      <c r="N683"/>
      <c r="O683"/>
      <c r="P683" s="28"/>
      <c r="Q683" s="28"/>
      <c r="R683" s="28"/>
    </row>
    <row r="684" spans="1:18" outlineLevel="1">
      <c r="A684" s="24" t="str">
        <f t="shared" si="215"/>
        <v>GERAL</v>
      </c>
      <c r="B684" s="24" t="str">
        <f t="shared" si="216"/>
        <v>43º PAV. - TIPO 03C - x9 - MODELO</v>
      </c>
      <c r="C684" s="30" t="s">
        <v>221</v>
      </c>
      <c r="D684" s="86" t="s">
        <v>87</v>
      </c>
      <c r="E684" s="30" t="s">
        <v>180</v>
      </c>
      <c r="F684" s="30">
        <f>'Tipo 3C - x9'!E35</f>
        <v>110.53</v>
      </c>
      <c r="G684" s="25">
        <v>9</v>
      </c>
      <c r="H684" s="25">
        <v>0</v>
      </c>
      <c r="I684" s="25">
        <f t="shared" si="214"/>
        <v>994.77</v>
      </c>
      <c r="J684" s="25" t="str">
        <f>'Tipo 3C - x9'!F35</f>
        <v>m</v>
      </c>
      <c r="K684" s="26">
        <f>_xlfn.XLOOKUP($E684,PREÇO!$C$7:$C$91,PREÇO!$E$7:$E$91)</f>
        <v>1.59</v>
      </c>
      <c r="L684" s="66">
        <f>IF(SUM(F684:K684)=0,SUMIFS($L685:$L$1593,$B685:$B$1593,$B684,$A685:$A$1593,$A684),I684*K684)</f>
        <v>1581.6843000000001</v>
      </c>
      <c r="N684"/>
      <c r="O684"/>
      <c r="P684" s="28"/>
      <c r="Q684" s="28"/>
      <c r="R684" s="28"/>
    </row>
    <row r="685" spans="1:18" outlineLevel="1">
      <c r="A685" s="24" t="str">
        <f t="shared" si="215"/>
        <v>GERAL</v>
      </c>
      <c r="B685" s="24" t="str">
        <f t="shared" si="216"/>
        <v>43º PAV. - TIPO 03C - x9 - MODELO</v>
      </c>
      <c r="C685" s="30" t="s">
        <v>221</v>
      </c>
      <c r="D685" s="86" t="s">
        <v>87</v>
      </c>
      <c r="E685" s="30" t="s">
        <v>181</v>
      </c>
      <c r="F685" s="30">
        <f>'Tipo 3C - x9'!E36</f>
        <v>110.53</v>
      </c>
      <c r="G685" s="25">
        <v>9</v>
      </c>
      <c r="H685" s="25">
        <v>0</v>
      </c>
      <c r="I685" s="25">
        <f t="shared" si="214"/>
        <v>994.77</v>
      </c>
      <c r="J685" s="25" t="str">
        <f>'Tipo 3C - x9'!F36</f>
        <v>m</v>
      </c>
      <c r="K685" s="26">
        <f>_xlfn.XLOOKUP($E685,PREÇO!$C$7:$C$91,PREÇO!$E$7:$E$91)</f>
        <v>1.59</v>
      </c>
      <c r="L685" s="66">
        <f>IF(SUM(F685:K685)=0,SUMIFS($L686:$L$1593,$B686:$B$1593,$B685,$A686:$A$1593,$A685),I685*K685)</f>
        <v>1581.6843000000001</v>
      </c>
      <c r="N685"/>
      <c r="O685"/>
      <c r="P685" s="28"/>
      <c r="Q685" s="28"/>
      <c r="R685" s="28"/>
    </row>
    <row r="686" spans="1:18" outlineLevel="1">
      <c r="A686" s="24" t="str">
        <f t="shared" si="215"/>
        <v>GERAL</v>
      </c>
      <c r="B686" s="24" t="str">
        <f t="shared" si="216"/>
        <v>43º PAV. - TIPO 03C - x9 - MODELO</v>
      </c>
      <c r="C686" s="30" t="s">
        <v>221</v>
      </c>
      <c r="D686" s="86" t="s">
        <v>87</v>
      </c>
      <c r="E686" s="30" t="s">
        <v>182</v>
      </c>
      <c r="F686" s="30">
        <f>'Tipo 3C - x9'!E37</f>
        <v>24.68</v>
      </c>
      <c r="G686" s="25">
        <v>9</v>
      </c>
      <c r="H686" s="25">
        <v>0</v>
      </c>
      <c r="I686" s="25">
        <f t="shared" si="214"/>
        <v>222.12</v>
      </c>
      <c r="J686" s="25" t="str">
        <f>'Tipo 3C - x9'!F37</f>
        <v>m</v>
      </c>
      <c r="K686" s="26">
        <f>_xlfn.XLOOKUP($E686,PREÇO!$C$7:$C$91,PREÇO!$E$7:$E$91)</f>
        <v>2.19</v>
      </c>
      <c r="L686" s="66">
        <f>IF(SUM(F686:K686)=0,SUMIFS($L687:$L$1593,$B687:$B$1593,$B686,$A687:$A$1593,$A686),I686*K686)</f>
        <v>486.44279999999998</v>
      </c>
      <c r="N686"/>
      <c r="O686"/>
      <c r="P686" s="28"/>
      <c r="Q686" s="28"/>
      <c r="R686" s="28"/>
    </row>
    <row r="687" spans="1:18" outlineLevel="1">
      <c r="A687" s="24" t="str">
        <f t="shared" si="215"/>
        <v>GERAL</v>
      </c>
      <c r="B687" s="24" t="str">
        <f t="shared" si="216"/>
        <v>43º PAV. - TIPO 03C - x9 - MODELO</v>
      </c>
      <c r="C687" s="30" t="s">
        <v>221</v>
      </c>
      <c r="D687" s="86" t="s">
        <v>87</v>
      </c>
      <c r="E687" s="30" t="s">
        <v>183</v>
      </c>
      <c r="F687" s="30">
        <f>'Tipo 3C - x9'!E38</f>
        <v>12.34</v>
      </c>
      <c r="G687" s="25">
        <v>9</v>
      </c>
      <c r="H687" s="25">
        <v>0</v>
      </c>
      <c r="I687" s="25">
        <f t="shared" si="214"/>
        <v>111.06</v>
      </c>
      <c r="J687" s="25" t="str">
        <f>'Tipo 3C - x9'!F38</f>
        <v>m</v>
      </c>
      <c r="K687" s="26">
        <f>_xlfn.XLOOKUP($E687,PREÇO!$C$7:$C$91,PREÇO!$E$7:$E$91)</f>
        <v>2.19</v>
      </c>
      <c r="L687" s="66">
        <f>IF(SUM(F687:K687)=0,SUMIFS($L688:$L$1593,$B688:$B$1593,$B687,$A688:$A$1593,$A687),I687*K687)</f>
        <v>243.22139999999999</v>
      </c>
      <c r="N687"/>
      <c r="O687"/>
      <c r="P687" s="28"/>
      <c r="Q687" s="28"/>
      <c r="R687" s="28"/>
    </row>
    <row r="688" spans="1:18" outlineLevel="1">
      <c r="A688" s="24" t="str">
        <f t="shared" si="215"/>
        <v>GERAL</v>
      </c>
      <c r="B688" s="24" t="str">
        <f t="shared" si="216"/>
        <v>43º PAV. - TIPO 03C - x9 - MODELO</v>
      </c>
      <c r="C688" s="30" t="s">
        <v>221</v>
      </c>
      <c r="D688" s="86" t="s">
        <v>87</v>
      </c>
      <c r="E688" s="30" t="s">
        <v>184</v>
      </c>
      <c r="F688" s="30">
        <f>'Tipo 3C - x9'!E39</f>
        <v>12.34</v>
      </c>
      <c r="G688" s="25">
        <v>9</v>
      </c>
      <c r="H688" s="25">
        <v>0</v>
      </c>
      <c r="I688" s="25">
        <f t="shared" si="214"/>
        <v>111.06</v>
      </c>
      <c r="J688" s="25" t="str">
        <f>'Tipo 3C - x9'!F39</f>
        <v>m</v>
      </c>
      <c r="K688" s="26">
        <f>_xlfn.XLOOKUP($E688,PREÇO!$C$7:$C$91,PREÇO!$E$7:$E$91)</f>
        <v>2.19</v>
      </c>
      <c r="L688" s="66">
        <f>IF(SUM(F688:K688)=0,SUMIFS($L689:$L$1593,$B689:$B$1593,$B688,$A689:$A$1593,$A688),I688*K688)</f>
        <v>243.22139999999999</v>
      </c>
      <c r="N688"/>
      <c r="O688"/>
      <c r="P688" s="28"/>
      <c r="Q688" s="28"/>
      <c r="R688" s="28"/>
    </row>
    <row r="689" spans="1:18" outlineLevel="1">
      <c r="A689" s="24" t="str">
        <f t="shared" si="215"/>
        <v>GERAL</v>
      </c>
      <c r="B689" s="24" t="str">
        <f t="shared" si="216"/>
        <v>43º PAV. - TIPO 03C - x9 - MODELO</v>
      </c>
      <c r="C689" s="30" t="s">
        <v>221</v>
      </c>
      <c r="D689" s="86" t="s">
        <v>46</v>
      </c>
      <c r="E689" s="30" t="s">
        <v>44</v>
      </c>
      <c r="F689" s="30">
        <f>'Tipo 3C - x9'!E43</f>
        <v>120.82</v>
      </c>
      <c r="G689" s="25">
        <v>9</v>
      </c>
      <c r="H689" s="25">
        <v>0</v>
      </c>
      <c r="I689" s="25">
        <f t="shared" ref="I689:I693" si="217">(F689+H689*F689)*G689</f>
        <v>1087.3799999999999</v>
      </c>
      <c r="J689" s="25" t="str">
        <f>'Tipo 3C - x9'!F43</f>
        <v>m</v>
      </c>
      <c r="K689" s="26">
        <f>_xlfn.XLOOKUP($E689,PREÇO!$C$7:$C$91,PREÇO!$E$7:$E$91)</f>
        <v>2.5299999999999998</v>
      </c>
      <c r="L689" s="66">
        <f>IF(SUM(F689:K689)=0,SUMIFS($L690:$L$1593,$B690:$B$1593,$B689,$A690:$A$1593,$A689),I689*K689)</f>
        <v>2751.0713999999994</v>
      </c>
      <c r="N689"/>
      <c r="O689"/>
      <c r="P689" s="28"/>
      <c r="Q689" s="28"/>
      <c r="R689" s="28"/>
    </row>
    <row r="690" spans="1:18" outlineLevel="1">
      <c r="A690" s="24" t="str">
        <f t="shared" si="215"/>
        <v>GERAL</v>
      </c>
      <c r="B690" s="24" t="str">
        <f t="shared" si="216"/>
        <v>43º PAV. - TIPO 03C - x9 - MODELO</v>
      </c>
      <c r="C690" s="30" t="s">
        <v>221</v>
      </c>
      <c r="D690" s="86" t="s">
        <v>89</v>
      </c>
      <c r="E690" s="30" t="s">
        <v>185</v>
      </c>
      <c r="F690" s="30">
        <f>'Tipo 3C - x9'!E46</f>
        <v>115.5</v>
      </c>
      <c r="G690" s="25">
        <v>9</v>
      </c>
      <c r="H690" s="25">
        <v>0</v>
      </c>
      <c r="I690" s="25">
        <f t="shared" si="217"/>
        <v>1039.5</v>
      </c>
      <c r="J690" s="25" t="str">
        <f>'Tipo 3C - x9'!F46</f>
        <v>m</v>
      </c>
      <c r="K690" s="26">
        <f>_xlfn.XLOOKUP($E690,PREÇO!$C$7:$C$91,PREÇO!$E$7:$E$91)</f>
        <v>0.99</v>
      </c>
      <c r="L690" s="66">
        <f>IF(SUM(F690:K690)=0,SUMIFS($L691:$L$1593,$B691:$B$1593,$B690,$A691:$A$1593,$A690),I690*K690)</f>
        <v>1029.105</v>
      </c>
      <c r="N690"/>
      <c r="O690"/>
      <c r="P690" s="28"/>
      <c r="Q690" s="28"/>
      <c r="R690" s="28"/>
    </row>
    <row r="691" spans="1:18" ht="15.75" outlineLevel="1" thickBot="1">
      <c r="A691" s="24" t="str">
        <f t="shared" si="215"/>
        <v>GERAL</v>
      </c>
      <c r="B691" s="24" t="str">
        <f t="shared" si="216"/>
        <v>43º PAV. - TIPO 03C - x9 - MODELO</v>
      </c>
      <c r="C691" s="30" t="s">
        <v>221</v>
      </c>
      <c r="D691" s="86" t="s">
        <v>89</v>
      </c>
      <c r="E691" s="30" t="s">
        <v>186</v>
      </c>
      <c r="F691" s="30">
        <f>'Tipo 3C - x9'!E47</f>
        <v>108.43</v>
      </c>
      <c r="G691" s="25">
        <v>9</v>
      </c>
      <c r="H691" s="25">
        <v>0</v>
      </c>
      <c r="I691" s="25">
        <f t="shared" si="217"/>
        <v>975.87000000000012</v>
      </c>
      <c r="J691" s="25" t="str">
        <f>'Tipo 3C - x9'!F47</f>
        <v>m</v>
      </c>
      <c r="K691" s="26">
        <f>_xlfn.XLOOKUP($E691,PREÇO!$C$7:$C$91,PREÇO!$E$7:$E$91)</f>
        <v>1.69</v>
      </c>
      <c r="L691" s="66">
        <f>IF(SUM(F691:K691)=0,SUMIFS($L692:$L$1593,$B692:$B$1593,$B691,$A692:$A$1593,$A691),I691*K691)</f>
        <v>1649.2203000000002</v>
      </c>
      <c r="N691"/>
      <c r="O691"/>
      <c r="P691" s="28"/>
      <c r="Q691" s="28"/>
      <c r="R691" s="28"/>
    </row>
    <row r="692" spans="1:18" ht="15.75" thickTop="1">
      <c r="A692" s="82" t="s">
        <v>19</v>
      </c>
      <c r="B692" s="82" t="s">
        <v>175</v>
      </c>
      <c r="C692" s="43"/>
      <c r="D692" s="44" t="str">
        <f>'Tipo 3C - x9'!C48</f>
        <v/>
      </c>
      <c r="E692" s="44" t="str">
        <f>'Tipo 3C - x9'!D48</f>
        <v/>
      </c>
      <c r="F692" s="45" t="str">
        <f>'Tipo 3C - x9'!E48</f>
        <v/>
      </c>
      <c r="G692" s="45"/>
      <c r="H692" s="45"/>
      <c r="I692" s="45"/>
      <c r="J692" s="45" t="str">
        <f>'Tipo 3C - x9'!F48</f>
        <v/>
      </c>
      <c r="K692" s="47"/>
      <c r="L692" s="48">
        <f>IF(SUM(F692:K692)=0,SUMIFS($L693:$L$1593,$B693:$B$1593,$B692,$A693:$A$1593,$A692),I692*K692)</f>
        <v>62387.063999999984</v>
      </c>
      <c r="N692"/>
      <c r="O692"/>
      <c r="P692" s="28"/>
      <c r="Q692" s="28"/>
      <c r="R692" s="28"/>
    </row>
    <row r="693" spans="1:18" outlineLevel="1">
      <c r="A693" s="24" t="str">
        <f>A692</f>
        <v>GERAL</v>
      </c>
      <c r="B693" s="24" t="str">
        <f>B692</f>
        <v>52º PAV. - TIPO 04A - x10 - LANÇAMENTO</v>
      </c>
      <c r="C693" s="30" t="s">
        <v>221</v>
      </c>
      <c r="D693" s="30" t="str">
        <f>'Tipo 4A - x10'!C6</f>
        <v>Acionadores</v>
      </c>
      <c r="E693" s="30" t="str">
        <f>'Tipo 4A - x10'!D6</f>
        <v>Acionador Manual de Alarme de Incêndio</v>
      </c>
      <c r="F693" s="30">
        <f>'Tipo 4A - x10'!E6</f>
        <v>1</v>
      </c>
      <c r="G693" s="25">
        <v>10</v>
      </c>
      <c r="H693" s="25">
        <v>0</v>
      </c>
      <c r="I693" s="25">
        <f t="shared" si="217"/>
        <v>10</v>
      </c>
      <c r="J693" s="25" t="str">
        <f>'Tipo 4A - x10'!F6</f>
        <v>pç</v>
      </c>
      <c r="K693" s="26">
        <f>_xlfn.XLOOKUP($E693,PREÇO!$C$7:$C$91,PREÇO!$E$7:$E$91)</f>
        <v>65</v>
      </c>
      <c r="L693" s="66">
        <f>IF(SUM(F693:K693)=0,SUMIFS($L694:$L$1593,$B694:$B$1593,$B693,$A694:$A$1593,$A693),I693*K693)</f>
        <v>650</v>
      </c>
      <c r="N693"/>
      <c r="O693"/>
      <c r="P693" s="28"/>
      <c r="Q693" s="28"/>
      <c r="R693" s="28"/>
    </row>
    <row r="694" spans="1:18" outlineLevel="1">
      <c r="A694" s="24" t="str">
        <f t="shared" ref="A694:A698" si="218">A693</f>
        <v>GERAL</v>
      </c>
      <c r="B694" s="24" t="str">
        <f t="shared" ref="B694:B698" si="219">B693</f>
        <v>52º PAV. - TIPO 04A - x10 - LANÇAMENTO</v>
      </c>
      <c r="C694" s="30" t="s">
        <v>221</v>
      </c>
      <c r="D694" s="30" t="str">
        <f>'Tipo 4A - x10'!C7</f>
        <v>Anunciadores</v>
      </c>
      <c r="E694" s="30" t="str">
        <f>'Tipo 4A - x10'!D7</f>
        <v>Anunciador Audiovisual de Alarme de Incêndio de Parede</v>
      </c>
      <c r="F694" s="30">
        <f>'Tipo 4A - x10'!E7</f>
        <v>1</v>
      </c>
      <c r="G694" s="25">
        <v>10</v>
      </c>
      <c r="H694" s="25">
        <v>0</v>
      </c>
      <c r="I694" s="25">
        <f t="shared" ref="I694:I718" si="220">(F694+H694*F694)*G694</f>
        <v>10</v>
      </c>
      <c r="J694" s="25" t="str">
        <f>'Tipo 4A - x10'!F7</f>
        <v>pç</v>
      </c>
      <c r="K694" s="26">
        <f>_xlfn.XLOOKUP($E694,PREÇO!$C$7:$C$91,PREÇO!$E$7:$E$91)</f>
        <v>191.81</v>
      </c>
      <c r="L694" s="66">
        <f>IF(SUM(F694:K694)=0,SUMIFS($L695:$L$1593,$B695:$B$1593,$B694,$A695:$A$1593,$A694),I694*K694)</f>
        <v>1918.1</v>
      </c>
      <c r="N694"/>
      <c r="O694"/>
      <c r="P694" s="28"/>
      <c r="Q694" s="28"/>
      <c r="R694" s="28"/>
    </row>
    <row r="695" spans="1:18" outlineLevel="1">
      <c r="A695" s="24" t="str">
        <f t="shared" si="218"/>
        <v>GERAL</v>
      </c>
      <c r="B695" s="24" t="str">
        <f t="shared" si="219"/>
        <v>52º PAV. - TIPO 04A - x10 - LANÇAMENTO</v>
      </c>
      <c r="C695" s="30" t="s">
        <v>221</v>
      </c>
      <c r="D695" s="30" t="str">
        <f>'Tipo 4A - x10'!C8</f>
        <v>Anunciadores</v>
      </c>
      <c r="E695" s="30" t="str">
        <f>'Tipo 4A - x10'!D8</f>
        <v>Anunciador Audiovisual de Alarme de Incêndio de Teto</v>
      </c>
      <c r="F695" s="30">
        <f>'Tipo 4A - x10'!E8</f>
        <v>2</v>
      </c>
      <c r="G695" s="25">
        <v>10</v>
      </c>
      <c r="H695" s="25">
        <v>0</v>
      </c>
      <c r="I695" s="25">
        <f t="shared" si="220"/>
        <v>20</v>
      </c>
      <c r="J695" s="25" t="str">
        <f>'Tipo 4A - x10'!F8</f>
        <v>pç</v>
      </c>
      <c r="K695" s="26">
        <f>_xlfn.XLOOKUP($E695,PREÇO!$C$7:$C$91,PREÇO!$E$7:$E$91)</f>
        <v>169.96</v>
      </c>
      <c r="L695" s="66">
        <f>IF(SUM(F695:K695)=0,SUMIFS($L696:$L$1593,$B696:$B$1593,$B695,$A696:$A$1593,$A695),I695*K695)</f>
        <v>3399.2000000000003</v>
      </c>
      <c r="N695"/>
      <c r="O695"/>
      <c r="P695" s="28"/>
      <c r="Q695" s="28"/>
      <c r="R695" s="28"/>
    </row>
    <row r="696" spans="1:18" outlineLevel="1">
      <c r="A696" s="24" t="str">
        <f t="shared" si="218"/>
        <v>GERAL</v>
      </c>
      <c r="B696" s="24" t="str">
        <f t="shared" si="219"/>
        <v>52º PAV. - TIPO 04A - x10 - LANÇAMENTO</v>
      </c>
      <c r="C696" s="30" t="s">
        <v>221</v>
      </c>
      <c r="D696" s="30" t="str">
        <f>'Tipo 4A - x10'!C9</f>
        <v>Atuadores</v>
      </c>
      <c r="E696" s="30" t="str">
        <f>'Tipo 4A - x10'!D9</f>
        <v>Atuador Janela Desenfumagem</v>
      </c>
      <c r="F696" s="30">
        <f>'Tipo 4A - x10'!E9</f>
        <v>1</v>
      </c>
      <c r="G696" s="25">
        <v>10</v>
      </c>
      <c r="H696" s="25">
        <v>0</v>
      </c>
      <c r="I696" s="25">
        <f t="shared" si="220"/>
        <v>10</v>
      </c>
      <c r="J696" s="25" t="str">
        <f>'Tipo 4A - x10'!F9</f>
        <v>pç</v>
      </c>
      <c r="K696" s="26">
        <f>_xlfn.XLOOKUP($E696,PREÇO!$C$7:$C$91,PREÇO!$E$7:$E$91)</f>
        <v>1150</v>
      </c>
      <c r="L696" s="66">
        <f>IF(SUM(F696:K696)=0,SUMIFS($L697:$L$1593,$B697:$B$1593,$B696,$A697:$A$1593,$A696),I696*K696)</f>
        <v>11500</v>
      </c>
      <c r="N696"/>
      <c r="O696"/>
      <c r="P696" s="28"/>
      <c r="Q696" s="28"/>
      <c r="R696" s="28"/>
    </row>
    <row r="697" spans="1:18" outlineLevel="1">
      <c r="A697" s="24" t="str">
        <f t="shared" si="218"/>
        <v>GERAL</v>
      </c>
      <c r="B697" s="24" t="str">
        <f t="shared" si="219"/>
        <v>52º PAV. - TIPO 04A - x10 - LANÇAMENTO</v>
      </c>
      <c r="C697" s="30" t="s">
        <v>221</v>
      </c>
      <c r="D697" s="30" t="str">
        <f>'Tipo 4A - x10'!C10</f>
        <v>Atuadores</v>
      </c>
      <c r="E697" s="30" t="str">
        <f>'Tipo 4A - x10'!D10</f>
        <v>Dispositivo Eletromagnético de Porta Aberta</v>
      </c>
      <c r="F697" s="30">
        <f>'Tipo 4A - x10'!E10</f>
        <v>1</v>
      </c>
      <c r="G697" s="25">
        <v>10</v>
      </c>
      <c r="H697" s="25">
        <v>0</v>
      </c>
      <c r="I697" s="25">
        <f t="shared" si="220"/>
        <v>10</v>
      </c>
      <c r="J697" s="25" t="str">
        <f>'Tipo 4A - x10'!F10</f>
        <v>pç</v>
      </c>
      <c r="K697" s="26">
        <f>_xlfn.XLOOKUP($E697,PREÇO!$C$7:$C$91,PREÇO!$E$7:$E$91)</f>
        <v>416.9</v>
      </c>
      <c r="L697" s="66">
        <f>IF(SUM(F697:K697)=0,SUMIFS($L698:$L$1593,$B698:$B$1593,$B697,$A698:$A$1593,$A697),I697*K697)</f>
        <v>4169</v>
      </c>
      <c r="N697"/>
      <c r="O697"/>
      <c r="P697" s="28"/>
      <c r="Q697" s="28"/>
      <c r="R697" s="28"/>
    </row>
    <row r="698" spans="1:18" outlineLevel="1">
      <c r="A698" s="24" t="str">
        <f t="shared" si="218"/>
        <v>GERAL</v>
      </c>
      <c r="B698" s="24" t="str">
        <f t="shared" si="219"/>
        <v>52º PAV. - TIPO 04A - x10 - LANÇAMENTO</v>
      </c>
      <c r="C698" s="30" t="s">
        <v>221</v>
      </c>
      <c r="D698" s="30" t="str">
        <f>'Tipo 4A - x10'!C11</f>
        <v>Sensores</v>
      </c>
      <c r="E698" s="30" t="str">
        <f>'Tipo 4A - x10'!D11</f>
        <v>Sensor de Fumaça</v>
      </c>
      <c r="F698" s="30">
        <f>'Tipo 4A - x10'!E11</f>
        <v>19</v>
      </c>
      <c r="G698" s="25">
        <v>10</v>
      </c>
      <c r="H698" s="25">
        <v>0</v>
      </c>
      <c r="I698" s="25">
        <f t="shared" si="220"/>
        <v>190</v>
      </c>
      <c r="J698" s="25" t="str">
        <f>'Tipo 4A - x10'!F11</f>
        <v>pç</v>
      </c>
      <c r="K698" s="26">
        <f>_xlfn.XLOOKUP($E698,PREÇO!$C$7:$C$91,PREÇO!$E$7:$E$91)</f>
        <v>53.9</v>
      </c>
      <c r="L698" s="66">
        <f>IF(SUM(F698:K698)=0,SUMIFS($L699:$L$1593,$B699:$B$1593,$B698,$A699:$A$1593,$A698),I698*K698)</f>
        <v>10241</v>
      </c>
      <c r="N698"/>
      <c r="O698"/>
      <c r="P698" s="28"/>
      <c r="Q698" s="28"/>
      <c r="R698" s="28"/>
    </row>
    <row r="699" spans="1:18" outlineLevel="1">
      <c r="A699" s="24" t="str">
        <f t="shared" ref="A699:A721" si="221">A698</f>
        <v>GERAL</v>
      </c>
      <c r="B699" s="24" t="str">
        <f t="shared" ref="B699:B721" si="222">B698</f>
        <v>52º PAV. - TIPO 04A - x10 - LANÇAMENTO</v>
      </c>
      <c r="C699" s="30" t="s">
        <v>221</v>
      </c>
      <c r="D699" s="30" t="str">
        <f>'Tipo 4A - x10'!C14</f>
        <v>Caixas</v>
      </c>
      <c r="E699" s="30" t="str">
        <f>'Tipo 4A - x10'!D14</f>
        <v>Caixa Octogonal Padrão NBR IEC 60670</v>
      </c>
      <c r="F699" s="30">
        <f>'Tipo 4A - x10'!E14</f>
        <v>31</v>
      </c>
      <c r="G699" s="25">
        <v>10</v>
      </c>
      <c r="H699" s="25">
        <v>0</v>
      </c>
      <c r="I699" s="25">
        <f t="shared" si="220"/>
        <v>310</v>
      </c>
      <c r="J699" s="25" t="str">
        <f>'Tipo 4A - x10'!F14</f>
        <v>pç</v>
      </c>
      <c r="K699" s="26">
        <f>_xlfn.XLOOKUP($E699,PREÇO!$C$7:$C$91,PREÇO!$E$7:$E$91)</f>
        <v>5.32</v>
      </c>
      <c r="L699" s="66">
        <f>IF(SUM(F699:K699)=0,SUMIFS($L700:$L$1593,$B700:$B$1593,$B699,$A700:$A$1593,$A699),I699*K699)</f>
        <v>1649.2</v>
      </c>
      <c r="N699"/>
      <c r="O699"/>
      <c r="P699" s="28"/>
      <c r="Q699" s="28"/>
      <c r="R699" s="28"/>
    </row>
    <row r="700" spans="1:18" outlineLevel="1">
      <c r="A700" s="24" t="str">
        <f t="shared" si="221"/>
        <v>GERAL</v>
      </c>
      <c r="B700" s="24" t="str">
        <f t="shared" si="222"/>
        <v>52º PAV. - TIPO 04A - x10 - LANÇAMENTO</v>
      </c>
      <c r="C700" s="30" t="s">
        <v>221</v>
      </c>
      <c r="D700" s="30" t="str">
        <f>'Tipo 4A - x10'!C15</f>
        <v>Placas</v>
      </c>
      <c r="E700" s="30" t="str">
        <f>'Tipo 4A - x10'!D15</f>
        <v>Placa cega para caixa octogonal Padrão NBR IEC 60670</v>
      </c>
      <c r="F700" s="30">
        <f>'Tipo 4A - x10'!E15</f>
        <v>2</v>
      </c>
      <c r="G700" s="25">
        <v>10</v>
      </c>
      <c r="H700" s="25">
        <v>0</v>
      </c>
      <c r="I700" s="25">
        <f t="shared" si="220"/>
        <v>20</v>
      </c>
      <c r="J700" s="25" t="str">
        <f>'Tipo 4A - x10'!F15</f>
        <v>pç</v>
      </c>
      <c r="K700" s="26">
        <f>_xlfn.XLOOKUP($E700,PREÇO!$C$7:$C$91,PREÇO!$E$7:$E$91)</f>
        <v>2.5</v>
      </c>
      <c r="L700" s="66">
        <f>IF(SUM(F700:K700)=0,SUMIFS($L701:$L$1593,$B701:$B$1593,$B700,$A701:$A$1593,$A700),I700*K700)</f>
        <v>50</v>
      </c>
      <c r="N700"/>
      <c r="O700"/>
      <c r="P700" s="28"/>
      <c r="Q700" s="28"/>
      <c r="R700" s="28"/>
    </row>
    <row r="701" spans="1:18" outlineLevel="1">
      <c r="A701" s="24" t="str">
        <f t="shared" si="221"/>
        <v>GERAL</v>
      </c>
      <c r="B701" s="24" t="str">
        <f t="shared" si="222"/>
        <v>52º PAV. - TIPO 04A - x10 - LANÇAMENTO</v>
      </c>
      <c r="C701" s="30" t="s">
        <v>221</v>
      </c>
      <c r="D701" s="30" t="str">
        <f>'Tipo 4A - x10'!C18</f>
        <v>Caixas</v>
      </c>
      <c r="E701" s="30" t="str">
        <f>'Tipo 4A - x10'!D18</f>
        <v>Caixa 4x2" de Embutir em PVC Padrão NBR IEC 60670</v>
      </c>
      <c r="F701" s="30">
        <f>'Tipo 4A - x10'!E18</f>
        <v>9</v>
      </c>
      <c r="G701" s="25">
        <v>10</v>
      </c>
      <c r="H701" s="25">
        <v>0</v>
      </c>
      <c r="I701" s="25">
        <f t="shared" si="220"/>
        <v>90</v>
      </c>
      <c r="J701" s="25" t="str">
        <f>'Tipo 4A - x10'!F18</f>
        <v>pç</v>
      </c>
      <c r="K701" s="26">
        <f>_xlfn.XLOOKUP($E701,PREÇO!$C$7:$C$91,PREÇO!$E$7:$E$91)</f>
        <v>1.72</v>
      </c>
      <c r="L701" s="66">
        <f>IF(SUM(F701:K701)=0,SUMIFS($L702:$L$1593,$B702:$B$1593,$B701,$A702:$A$1593,$A701),I701*K701)</f>
        <v>154.80000000000001</v>
      </c>
      <c r="N701"/>
      <c r="O701"/>
      <c r="P701" s="28"/>
      <c r="Q701" s="28"/>
      <c r="R701" s="28"/>
    </row>
    <row r="702" spans="1:18" outlineLevel="1">
      <c r="A702" s="24" t="str">
        <f t="shared" si="221"/>
        <v>GERAL</v>
      </c>
      <c r="B702" s="24" t="str">
        <f t="shared" si="222"/>
        <v>52º PAV. - TIPO 04A - x10 - LANÇAMENTO</v>
      </c>
      <c r="C702" s="30" t="s">
        <v>221</v>
      </c>
      <c r="D702" s="30" t="str">
        <f>'Tipo 4A - x10'!C19</f>
        <v>Placas</v>
      </c>
      <c r="E702" s="30" t="str">
        <f>'Tipo 4A - x10'!D19</f>
        <v>Placa 4x2" cega Padrão NBR IEC 60670</v>
      </c>
      <c r="F702" s="30">
        <f>'Tipo 4A - x10'!E19</f>
        <v>3</v>
      </c>
      <c r="G702" s="25">
        <v>10</v>
      </c>
      <c r="H702" s="25">
        <v>0</v>
      </c>
      <c r="I702" s="25">
        <f t="shared" si="220"/>
        <v>30</v>
      </c>
      <c r="J702" s="25" t="str">
        <f>'Tipo 4A - x10'!F19</f>
        <v>pç</v>
      </c>
      <c r="K702" s="26">
        <f>_xlfn.XLOOKUP($E702,PREÇO!$C$7:$C$91,PREÇO!$E$7:$E$91)</f>
        <v>4.59</v>
      </c>
      <c r="L702" s="66">
        <f>IF(SUM(F702:K702)=0,SUMIFS($L703:$L$1593,$B703:$B$1593,$B702,$A703:$A$1593,$A702),I702*K702)</f>
        <v>137.69999999999999</v>
      </c>
      <c r="N702"/>
      <c r="O702"/>
      <c r="P702" s="28"/>
      <c r="Q702" s="28"/>
      <c r="R702" s="28"/>
    </row>
    <row r="703" spans="1:18" outlineLevel="1">
      <c r="A703" s="24" t="str">
        <f t="shared" si="221"/>
        <v>GERAL</v>
      </c>
      <c r="B703" s="24" t="str">
        <f t="shared" si="222"/>
        <v>52º PAV. - TIPO 04A - x10 - LANÇAMENTO</v>
      </c>
      <c r="C703" s="30" t="s">
        <v>221</v>
      </c>
      <c r="D703" s="30" t="str">
        <f>'Tipo 4A - x10'!C20</f>
        <v>Placas</v>
      </c>
      <c r="E703" s="30" t="str">
        <f>'Tipo 4A - x10'!D20</f>
        <v>Placa 4x2" com furo para saída de cabos Padrão NBR IEC 60670</v>
      </c>
      <c r="F703" s="30">
        <f>'Tipo 4A - x10'!E20</f>
        <v>6</v>
      </c>
      <c r="G703" s="25">
        <v>10</v>
      </c>
      <c r="H703" s="25">
        <v>0</v>
      </c>
      <c r="I703" s="25">
        <f t="shared" si="220"/>
        <v>60</v>
      </c>
      <c r="J703" s="25" t="str">
        <f>'Tipo 4A - x10'!F20</f>
        <v>pç</v>
      </c>
      <c r="K703" s="26">
        <f>_xlfn.XLOOKUP($E703,PREÇO!$C$7:$C$91,PREÇO!$E$7:$E$91)</f>
        <v>6.55</v>
      </c>
      <c r="L703" s="66">
        <f>IF(SUM(F703:K703)=0,SUMIFS($L704:$L$1593,$B704:$B$1593,$B703,$A704:$A$1593,$A703),I703*K703)</f>
        <v>393</v>
      </c>
      <c r="N703"/>
      <c r="O703"/>
      <c r="P703" s="28"/>
      <c r="Q703" s="28"/>
      <c r="R703" s="28"/>
    </row>
    <row r="704" spans="1:18" outlineLevel="1">
      <c r="A704" s="24" t="str">
        <f t="shared" si="221"/>
        <v>GERAL</v>
      </c>
      <c r="B704" s="24" t="str">
        <f t="shared" si="222"/>
        <v>52º PAV. - TIPO 04A - x10 - LANÇAMENTO</v>
      </c>
      <c r="C704" s="30" t="s">
        <v>221</v>
      </c>
      <c r="D704" s="30" t="str">
        <f>'Tipo 4A - x10'!C21</f>
        <v>Suportes</v>
      </c>
      <c r="E704" s="30" t="str">
        <f>'Tipo 4A - x10'!D21</f>
        <v>Suporte p/ caixa 4x2" Padrão NBR IEC 60670</v>
      </c>
      <c r="F704" s="30">
        <f>'Tipo 4A - x10'!E21</f>
        <v>9</v>
      </c>
      <c r="G704" s="25">
        <v>10</v>
      </c>
      <c r="H704" s="25">
        <v>0</v>
      </c>
      <c r="I704" s="25">
        <f t="shared" si="220"/>
        <v>90</v>
      </c>
      <c r="J704" s="25" t="str">
        <f>'Tipo 4A - x10'!F21</f>
        <v>pç</v>
      </c>
      <c r="K704" s="26">
        <f>_xlfn.XLOOKUP($E704,PREÇO!$C$7:$C$91,PREÇO!$E$7:$E$91)</f>
        <v>1.85</v>
      </c>
      <c r="L704" s="66">
        <f>IF(SUM(F704:K704)=0,SUMIFS($L705:$L$1593,$B705:$B$1593,$B704,$A705:$A$1593,$A704),I704*K704)</f>
        <v>166.5</v>
      </c>
      <c r="N704"/>
      <c r="O704"/>
      <c r="P704" s="28"/>
      <c r="Q704" s="28"/>
      <c r="R704" s="28"/>
    </row>
    <row r="705" spans="1:18" outlineLevel="1">
      <c r="A705" s="24" t="str">
        <f t="shared" si="221"/>
        <v>GERAL</v>
      </c>
      <c r="B705" s="24" t="str">
        <f t="shared" si="222"/>
        <v>52º PAV. - TIPO 04A - x10 - LANÇAMENTO</v>
      </c>
      <c r="C705" s="30" t="s">
        <v>221</v>
      </c>
      <c r="D705" s="30" t="str">
        <f>'Tipo 4A - x10'!C24</f>
        <v>Embutir</v>
      </c>
      <c r="E705" s="30" t="str">
        <f>'Tipo 4A - x10'!D24</f>
        <v>Cx de passagem de embutir com dimensão de 50x50x15 cm</v>
      </c>
      <c r="F705" s="30">
        <f>'Tipo 4A - x10'!E24</f>
        <v>1</v>
      </c>
      <c r="G705" s="25">
        <v>10</v>
      </c>
      <c r="H705" s="25">
        <v>0</v>
      </c>
      <c r="I705" s="25">
        <f t="shared" si="220"/>
        <v>10</v>
      </c>
      <c r="J705" s="25" t="str">
        <f>'Tipo 4A - x10'!F24</f>
        <v>pç</v>
      </c>
      <c r="K705" s="26">
        <f>_xlfn.XLOOKUP($E705,PREÇO!$C$7:$C$91,PREÇO!$E$7:$E$91)</f>
        <v>291.60000000000002</v>
      </c>
      <c r="L705" s="66">
        <f>IF(SUM(F705:K705)=0,SUMIFS($L706:$L$1593,$B706:$B$1593,$B705,$A706:$A$1593,$A705),I705*K705)</f>
        <v>2916</v>
      </c>
      <c r="N705"/>
      <c r="O705"/>
      <c r="P705" s="28"/>
      <c r="Q705" s="28"/>
      <c r="R705" s="28"/>
    </row>
    <row r="706" spans="1:18" outlineLevel="1">
      <c r="A706" s="24" t="str">
        <f t="shared" si="221"/>
        <v>GERAL</v>
      </c>
      <c r="B706" s="24" t="str">
        <f t="shared" si="222"/>
        <v>52º PAV. - TIPO 04A - x10 - LANÇAMENTO</v>
      </c>
      <c r="C706" s="30" t="s">
        <v>221</v>
      </c>
      <c r="D706" s="86" t="s">
        <v>46</v>
      </c>
      <c r="E706" s="30" t="s">
        <v>44</v>
      </c>
      <c r="F706" s="30">
        <f>'Tipo 4A - x10'!E27</f>
        <v>24.07</v>
      </c>
      <c r="G706" s="25">
        <v>10</v>
      </c>
      <c r="H706" s="25">
        <v>0</v>
      </c>
      <c r="I706" s="25">
        <f t="shared" si="220"/>
        <v>240.7</v>
      </c>
      <c r="J706" s="25" t="str">
        <f>'Tipo 4A - x10'!F27</f>
        <v>m</v>
      </c>
      <c r="K706" s="26">
        <f>_xlfn.XLOOKUP($E706,PREÇO!$C$7:$C$91,PREÇO!$E$7:$E$91)</f>
        <v>2.5299999999999998</v>
      </c>
      <c r="L706" s="66">
        <f>IF(SUM(F706:K706)=0,SUMIFS($L707:$L$1593,$B707:$B$1593,$B706,$A707:$A$1593,$A706),I706*K706)</f>
        <v>608.97099999999989</v>
      </c>
      <c r="N706"/>
      <c r="O706"/>
      <c r="P706" s="28"/>
      <c r="Q706" s="28"/>
      <c r="R706" s="28"/>
    </row>
    <row r="707" spans="1:18" outlineLevel="1">
      <c r="A707" s="24" t="str">
        <f t="shared" si="221"/>
        <v>GERAL</v>
      </c>
      <c r="B707" s="24" t="str">
        <f t="shared" si="222"/>
        <v>52º PAV. - TIPO 04A - x10 - LANÇAMENTO</v>
      </c>
      <c r="C707" s="30" t="s">
        <v>221</v>
      </c>
      <c r="D707" s="86" t="s">
        <v>46</v>
      </c>
      <c r="E707" s="30" t="s">
        <v>45</v>
      </c>
      <c r="F707" s="30">
        <f>'Tipo 4A - x10'!E28</f>
        <v>35.78</v>
      </c>
      <c r="G707" s="25">
        <v>10</v>
      </c>
      <c r="H707" s="25">
        <v>0</v>
      </c>
      <c r="I707" s="25">
        <f t="shared" si="220"/>
        <v>357.8</v>
      </c>
      <c r="J707" s="25" t="str">
        <f>'Tipo 4A - x10'!F28</f>
        <v>m</v>
      </c>
      <c r="K707" s="26">
        <f>_xlfn.XLOOKUP($E707,PREÇO!$C$7:$C$91,PREÇO!$E$7:$E$91)</f>
        <v>1.8</v>
      </c>
      <c r="L707" s="66">
        <f>IF(SUM(F707:K707)=0,SUMIFS($L708:$L$1593,$B708:$B$1593,$B707,$A708:$A$1593,$A707),I707*K707)</f>
        <v>644.04000000000008</v>
      </c>
      <c r="N707"/>
      <c r="O707"/>
      <c r="P707" s="28"/>
      <c r="Q707" s="28"/>
      <c r="R707" s="28"/>
    </row>
    <row r="708" spans="1:18" outlineLevel="1">
      <c r="A708" s="24" t="str">
        <f t="shared" si="221"/>
        <v>GERAL</v>
      </c>
      <c r="B708" s="24" t="str">
        <f t="shared" si="222"/>
        <v>52º PAV. - TIPO 04A - x10 - LANÇAMENTO</v>
      </c>
      <c r="C708" s="30" t="s">
        <v>220</v>
      </c>
      <c r="D708" s="30" t="str">
        <f>'Tipo 4A - x10'!C31</f>
        <v>Luminárias e Placas de Saída</v>
      </c>
      <c r="E708" s="30" t="str">
        <f>'Tipo 4A - x10'!D31</f>
        <v>Luminária de Emergência 24V de Parede</v>
      </c>
      <c r="F708" s="30">
        <f>'Tipo 4A - x10'!E31</f>
        <v>3</v>
      </c>
      <c r="G708" s="25">
        <v>10</v>
      </c>
      <c r="H708" s="25">
        <v>0</v>
      </c>
      <c r="I708" s="25">
        <f t="shared" si="220"/>
        <v>30</v>
      </c>
      <c r="J708" s="25" t="str">
        <f>'Tipo 4A - x10'!F31</f>
        <v>pç</v>
      </c>
      <c r="K708" s="26">
        <f>_xlfn.XLOOKUP($E708,PREÇO!$C$7:$C$91,PREÇO!$E$7:$E$91)</f>
        <v>15.9</v>
      </c>
      <c r="L708" s="66">
        <f>IF(SUM(F708:K708)=0,SUMIFS($L709:$L$1593,$B709:$B$1593,$B708,$A709:$A$1593,$A708),I708*K708)</f>
        <v>477</v>
      </c>
      <c r="N708"/>
      <c r="O708"/>
      <c r="P708" s="28"/>
      <c r="Q708" s="28"/>
      <c r="R708" s="28"/>
    </row>
    <row r="709" spans="1:18" outlineLevel="1">
      <c r="A709" s="24" t="str">
        <f t="shared" si="221"/>
        <v>GERAL</v>
      </c>
      <c r="B709" s="24" t="str">
        <f t="shared" si="222"/>
        <v>52º PAV. - TIPO 04A - x10 - LANÇAMENTO</v>
      </c>
      <c r="C709" s="30" t="s">
        <v>220</v>
      </c>
      <c r="D709" s="30" t="str">
        <f>'Tipo 4A - x10'!C32</f>
        <v>Luminárias e Placas de Saída</v>
      </c>
      <c r="E709" s="30" t="str">
        <f>'Tipo 4A - x10'!D32</f>
        <v>Luminária de Emergência 24V de Teto</v>
      </c>
      <c r="F709" s="30">
        <f>'Tipo 4A - x10'!E32</f>
        <v>5</v>
      </c>
      <c r="G709" s="25">
        <v>10</v>
      </c>
      <c r="H709" s="25">
        <v>0</v>
      </c>
      <c r="I709" s="25">
        <f t="shared" si="220"/>
        <v>50</v>
      </c>
      <c r="J709" s="25" t="str">
        <f>'Tipo 4A - x10'!F32</f>
        <v>pç</v>
      </c>
      <c r="K709" s="26">
        <f>_xlfn.XLOOKUP($E709,PREÇO!$C$7:$C$91,PREÇO!$E$7:$E$91)</f>
        <v>69.900000000000006</v>
      </c>
      <c r="L709" s="66">
        <f>IF(SUM(F709:K709)=0,SUMIFS($L710:$L$1593,$B710:$B$1593,$B709,$A710:$A$1593,$A709),I709*K709)</f>
        <v>3495.0000000000005</v>
      </c>
      <c r="N709"/>
      <c r="O709"/>
      <c r="P709" s="28"/>
      <c r="Q709" s="28"/>
      <c r="R709" s="28"/>
    </row>
    <row r="710" spans="1:18" outlineLevel="1">
      <c r="A710" s="24" t="str">
        <f t="shared" si="221"/>
        <v>GERAL</v>
      </c>
      <c r="B710" s="24" t="str">
        <f t="shared" si="222"/>
        <v>52º PAV. - TIPO 04A - x10 - LANÇAMENTO</v>
      </c>
      <c r="C710" s="24" t="s">
        <v>222</v>
      </c>
      <c r="D710" s="30" t="str">
        <f>'Tipo 4A - x10'!C33</f>
        <v>Luminárias e Placas de Saída</v>
      </c>
      <c r="E710" s="30" t="str">
        <f>'Tipo 4A - x10'!D33</f>
        <v>Placa de Saída 24V de Parede sem Direção</v>
      </c>
      <c r="F710" s="30">
        <f>'Tipo 4A - x10'!E33</f>
        <v>1</v>
      </c>
      <c r="G710" s="25">
        <v>10</v>
      </c>
      <c r="H710" s="25">
        <v>0</v>
      </c>
      <c r="I710" s="25">
        <f t="shared" si="220"/>
        <v>10</v>
      </c>
      <c r="J710" s="25" t="str">
        <f>'Tipo 4A - x10'!F33</f>
        <v>pç</v>
      </c>
      <c r="K710" s="26">
        <f>_xlfn.XLOOKUP($E710,PREÇO!$C$7:$C$91,PREÇO!$E$7:$E$91)</f>
        <v>61.66</v>
      </c>
      <c r="L710" s="66">
        <f>IF(SUM(F710:K710)=0,SUMIFS($L712:$L$1593,$B712:$B$1593,$B710,$A712:$A$1593,$A710),I710*K710)</f>
        <v>616.59999999999991</v>
      </c>
      <c r="N710"/>
      <c r="O710"/>
      <c r="P710" s="28"/>
      <c r="Q710" s="28"/>
      <c r="R710" s="28"/>
    </row>
    <row r="711" spans="1:18" outlineLevel="1">
      <c r="A711" s="116" t="str">
        <f>A709</f>
        <v>GERAL</v>
      </c>
      <c r="B711" s="116" t="str">
        <f>B710</f>
        <v>52º PAV. - TIPO 04A - x10 - LANÇAMENTO</v>
      </c>
      <c r="C711" s="116" t="s">
        <v>222</v>
      </c>
      <c r="D711" s="116" t="s">
        <v>223</v>
      </c>
      <c r="E711" s="116" t="s">
        <v>224</v>
      </c>
      <c r="F711" s="117">
        <v>1</v>
      </c>
      <c r="G711" s="117">
        <f>G710</f>
        <v>10</v>
      </c>
      <c r="H711" s="118">
        <v>0</v>
      </c>
      <c r="I711" s="117">
        <f t="shared" si="220"/>
        <v>10</v>
      </c>
      <c r="J711" s="117" t="s">
        <v>11</v>
      </c>
      <c r="K711" s="119">
        <f>_xlfn.XLOOKUP($E711,PREÇO!$C$7:$C$91,PREÇO!$E$7:$E$91)</f>
        <v>646.55999999999995</v>
      </c>
      <c r="L711" s="120">
        <f>IF(SUM(F711:K711)=0,SUMIFS($L712:$L$1593,$B712:$B$1593,$B711,$A712:$A$1593,$A711),I711*K711)</f>
        <v>6465.5999999999995</v>
      </c>
      <c r="N711"/>
      <c r="O711"/>
      <c r="P711" s="28"/>
      <c r="Q711" s="28"/>
      <c r="R711" s="28"/>
    </row>
    <row r="712" spans="1:18" outlineLevel="1">
      <c r="A712" s="24" t="str">
        <f>A710</f>
        <v>GERAL</v>
      </c>
      <c r="B712" s="24" t="str">
        <f>B710</f>
        <v>52º PAV. - TIPO 04A - x10 - LANÇAMENTO</v>
      </c>
      <c r="C712" s="30" t="s">
        <v>220</v>
      </c>
      <c r="D712" s="30" t="str">
        <f>'Tipo 4A - x10'!C34</f>
        <v>Sensores de Presença</v>
      </c>
      <c r="E712" s="30" t="str">
        <f>'Tipo 4A - x10'!D34</f>
        <v>Sensor de Presença 24V de teto</v>
      </c>
      <c r="F712" s="30">
        <f>'Tipo 4A - x10'!E34</f>
        <v>3</v>
      </c>
      <c r="G712" s="25">
        <v>10</v>
      </c>
      <c r="H712" s="25">
        <v>0</v>
      </c>
      <c r="I712" s="25">
        <f t="shared" si="220"/>
        <v>30</v>
      </c>
      <c r="J712" s="25" t="str">
        <f>'Tipo 4A - x10'!F34</f>
        <v>pç</v>
      </c>
      <c r="K712" s="26">
        <f>_xlfn.XLOOKUP($E712,PREÇO!$C$7:$C$91,PREÇO!$E$7:$E$91)</f>
        <v>38.4</v>
      </c>
      <c r="L712" s="66">
        <f>IF(SUM(F712:K712)=0,SUMIFS($L713:$L$1593,$B713:$B$1593,$B712,$A713:$A$1593,$A712),I712*K712)</f>
        <v>1152</v>
      </c>
      <c r="N712"/>
      <c r="O712"/>
      <c r="P712" s="28"/>
      <c r="Q712" s="28"/>
      <c r="R712" s="28"/>
    </row>
    <row r="713" spans="1:18" outlineLevel="1">
      <c r="A713" s="24" t="str">
        <f t="shared" si="221"/>
        <v>GERAL</v>
      </c>
      <c r="B713" s="24" t="str">
        <f t="shared" si="222"/>
        <v>52º PAV. - TIPO 04A - x10 - LANÇAMENTO</v>
      </c>
      <c r="C713" s="30" t="s">
        <v>221</v>
      </c>
      <c r="D713" s="86" t="s">
        <v>87</v>
      </c>
      <c r="E713" s="30" t="s">
        <v>179</v>
      </c>
      <c r="F713" s="30">
        <f>'Tipo 4A - x10'!E37</f>
        <v>63.56</v>
      </c>
      <c r="G713" s="25">
        <v>10</v>
      </c>
      <c r="H713" s="25">
        <v>0</v>
      </c>
      <c r="I713" s="25">
        <f t="shared" si="220"/>
        <v>635.6</v>
      </c>
      <c r="J713" s="25" t="str">
        <f>'Tipo 4A - x10'!F37</f>
        <v>m</v>
      </c>
      <c r="K713" s="26">
        <f>_xlfn.XLOOKUP($E713,PREÇO!$C$7:$C$91,PREÇO!$E$7:$E$91)</f>
        <v>1.59</v>
      </c>
      <c r="L713" s="66">
        <f>IF(SUM(F713:K713)=0,SUMIFS($L714:$L$1593,$B714:$B$1593,$B713,$A714:$A$1593,$A713),I713*K713)</f>
        <v>1010.604</v>
      </c>
      <c r="N713"/>
      <c r="O713"/>
      <c r="P713" s="28"/>
      <c r="Q713" s="28"/>
      <c r="R713" s="28"/>
    </row>
    <row r="714" spans="1:18" outlineLevel="1">
      <c r="A714" s="24" t="str">
        <f t="shared" si="221"/>
        <v>GERAL</v>
      </c>
      <c r="B714" s="24" t="str">
        <f t="shared" si="222"/>
        <v>52º PAV. - TIPO 04A - x10 - LANÇAMENTO</v>
      </c>
      <c r="C714" s="30" t="s">
        <v>221</v>
      </c>
      <c r="D714" s="86" t="s">
        <v>87</v>
      </c>
      <c r="E714" s="30" t="s">
        <v>180</v>
      </c>
      <c r="F714" s="30">
        <f>'Tipo 4A - x10'!E38</f>
        <v>59.55</v>
      </c>
      <c r="G714" s="25">
        <v>10</v>
      </c>
      <c r="H714" s="25">
        <v>0</v>
      </c>
      <c r="I714" s="25">
        <f t="shared" si="220"/>
        <v>595.5</v>
      </c>
      <c r="J714" s="25" t="str">
        <f>'Tipo 4A - x10'!F38</f>
        <v>m</v>
      </c>
      <c r="K714" s="26">
        <f>_xlfn.XLOOKUP($E714,PREÇO!$C$7:$C$91,PREÇO!$E$7:$E$91)</f>
        <v>1.59</v>
      </c>
      <c r="L714" s="66">
        <f>IF(SUM(F714:K714)=0,SUMIFS($L715:$L$1593,$B715:$B$1593,$B714,$A715:$A$1593,$A714),I714*K714)</f>
        <v>946.84500000000003</v>
      </c>
      <c r="N714"/>
      <c r="O714"/>
      <c r="P714" s="28"/>
      <c r="Q714" s="28"/>
      <c r="R714" s="28"/>
    </row>
    <row r="715" spans="1:18" outlineLevel="1">
      <c r="A715" s="24" t="str">
        <f t="shared" si="221"/>
        <v>GERAL</v>
      </c>
      <c r="B715" s="24" t="str">
        <f t="shared" si="222"/>
        <v>52º PAV. - TIPO 04A - x10 - LANÇAMENTO</v>
      </c>
      <c r="C715" s="30" t="s">
        <v>221</v>
      </c>
      <c r="D715" s="86" t="s">
        <v>87</v>
      </c>
      <c r="E715" s="30" t="s">
        <v>181</v>
      </c>
      <c r="F715" s="30">
        <f>'Tipo 4A - x10'!E39</f>
        <v>59.55</v>
      </c>
      <c r="G715" s="25">
        <v>10</v>
      </c>
      <c r="H715" s="25">
        <v>0</v>
      </c>
      <c r="I715" s="25">
        <f t="shared" si="220"/>
        <v>595.5</v>
      </c>
      <c r="J715" s="25" t="str">
        <f>'Tipo 4A - x10'!F39</f>
        <v>m</v>
      </c>
      <c r="K715" s="26">
        <f>_xlfn.XLOOKUP($E715,PREÇO!$C$7:$C$91,PREÇO!$E$7:$E$91)</f>
        <v>1.59</v>
      </c>
      <c r="L715" s="66">
        <f>IF(SUM(F715:K715)=0,SUMIFS($L716:$L$1593,$B716:$B$1593,$B715,$A716:$A$1593,$A715),I715*K715)</f>
        <v>946.84500000000003</v>
      </c>
      <c r="N715"/>
      <c r="O715"/>
      <c r="P715" s="28"/>
      <c r="Q715" s="28"/>
      <c r="R715" s="28"/>
    </row>
    <row r="716" spans="1:18" outlineLevel="1">
      <c r="A716" s="24" t="str">
        <f t="shared" si="221"/>
        <v>GERAL</v>
      </c>
      <c r="B716" s="24" t="str">
        <f t="shared" si="222"/>
        <v>52º PAV. - TIPO 04A - x10 - LANÇAMENTO</v>
      </c>
      <c r="C716" s="30" t="s">
        <v>221</v>
      </c>
      <c r="D716" s="86" t="s">
        <v>87</v>
      </c>
      <c r="E716" s="30" t="s">
        <v>182</v>
      </c>
      <c r="F716" s="30">
        <f>'Tipo 4A - x10'!E40</f>
        <v>15.28</v>
      </c>
      <c r="G716" s="25">
        <v>10</v>
      </c>
      <c r="H716" s="25">
        <v>0</v>
      </c>
      <c r="I716" s="25">
        <f t="shared" si="220"/>
        <v>152.79999999999998</v>
      </c>
      <c r="J716" s="25" t="str">
        <f>'Tipo 4A - x10'!F40</f>
        <v>m</v>
      </c>
      <c r="K716" s="26">
        <f>_xlfn.XLOOKUP($E716,PREÇO!$C$7:$C$91,PREÇO!$E$7:$E$91)</f>
        <v>2.19</v>
      </c>
      <c r="L716" s="66">
        <f>IF(SUM(F716:K716)=0,SUMIFS($L717:$L$1593,$B717:$B$1593,$B716,$A717:$A$1593,$A716),I716*K716)</f>
        <v>334.63199999999995</v>
      </c>
      <c r="N716"/>
      <c r="O716"/>
      <c r="P716" s="28"/>
      <c r="Q716" s="28"/>
      <c r="R716" s="28"/>
    </row>
    <row r="717" spans="1:18" outlineLevel="1">
      <c r="A717" s="24" t="str">
        <f t="shared" si="221"/>
        <v>GERAL</v>
      </c>
      <c r="B717" s="24" t="str">
        <f t="shared" si="222"/>
        <v>52º PAV. - TIPO 04A - x10 - LANÇAMENTO</v>
      </c>
      <c r="C717" s="30" t="s">
        <v>221</v>
      </c>
      <c r="D717" s="86" t="s">
        <v>87</v>
      </c>
      <c r="E717" s="30" t="s">
        <v>183</v>
      </c>
      <c r="F717" s="30">
        <f>'Tipo 4A - x10'!E41</f>
        <v>52.78</v>
      </c>
      <c r="G717" s="25">
        <v>10</v>
      </c>
      <c r="H717" s="25">
        <v>0</v>
      </c>
      <c r="I717" s="25">
        <f t="shared" si="220"/>
        <v>527.79999999999995</v>
      </c>
      <c r="J717" s="25" t="str">
        <f>'Tipo 4A - x10'!F41</f>
        <v>m</v>
      </c>
      <c r="K717" s="26">
        <f>_xlfn.XLOOKUP($E717,PREÇO!$C$7:$C$91,PREÇO!$E$7:$E$91)</f>
        <v>2.19</v>
      </c>
      <c r="L717" s="66">
        <f>IF(SUM(F717:K717)=0,SUMIFS($L718:$L$1593,$B718:$B$1593,$B717,$A718:$A$1593,$A717),I717*K717)</f>
        <v>1155.8819999999998</v>
      </c>
      <c r="N717"/>
      <c r="O717"/>
      <c r="P717" s="28"/>
      <c r="Q717" s="28"/>
      <c r="R717" s="28"/>
    </row>
    <row r="718" spans="1:18" outlineLevel="1">
      <c r="A718" s="24" t="str">
        <f t="shared" si="221"/>
        <v>GERAL</v>
      </c>
      <c r="B718" s="24" t="str">
        <f t="shared" si="222"/>
        <v>52º PAV. - TIPO 04A - x10 - LANÇAMENTO</v>
      </c>
      <c r="C718" s="30" t="s">
        <v>221</v>
      </c>
      <c r="D718" s="86" t="s">
        <v>87</v>
      </c>
      <c r="E718" s="30" t="s">
        <v>184</v>
      </c>
      <c r="F718" s="30">
        <f>'Tipo 4A - x10'!E42</f>
        <v>52.78</v>
      </c>
      <c r="G718" s="25">
        <v>10</v>
      </c>
      <c r="H718" s="25">
        <v>0</v>
      </c>
      <c r="I718" s="25">
        <f t="shared" si="220"/>
        <v>527.79999999999995</v>
      </c>
      <c r="J718" s="25" t="str">
        <f>'Tipo 4A - x10'!F42</f>
        <v>m</v>
      </c>
      <c r="K718" s="26">
        <f>_xlfn.XLOOKUP($E718,PREÇO!$C$7:$C$91,PREÇO!$E$7:$E$91)</f>
        <v>2.19</v>
      </c>
      <c r="L718" s="66">
        <f>IF(SUM(F718:K718)=0,SUMIFS($L719:$L$1593,$B719:$B$1593,$B718,$A719:$A$1593,$A718),I718*K718)</f>
        <v>1155.8819999999998</v>
      </c>
      <c r="N718"/>
      <c r="O718"/>
      <c r="P718" s="28"/>
      <c r="Q718" s="28"/>
      <c r="R718" s="28"/>
    </row>
    <row r="719" spans="1:18" outlineLevel="1">
      <c r="A719" s="24" t="str">
        <f t="shared" si="221"/>
        <v>GERAL</v>
      </c>
      <c r="B719" s="24" t="str">
        <f t="shared" si="222"/>
        <v>52º PAV. - TIPO 04A - x10 - LANÇAMENTO</v>
      </c>
      <c r="C719" s="30" t="s">
        <v>221</v>
      </c>
      <c r="D719" s="86" t="s">
        <v>46</v>
      </c>
      <c r="E719" s="30" t="s">
        <v>44</v>
      </c>
      <c r="F719" s="30">
        <f>'Tipo 4A - x10'!E46</f>
        <v>120.82</v>
      </c>
      <c r="G719" s="25">
        <v>10</v>
      </c>
      <c r="H719" s="25">
        <v>0</v>
      </c>
      <c r="I719" s="25">
        <f t="shared" ref="I719:I723" si="223">(F719+H719*F719)*G719</f>
        <v>1208.1999999999998</v>
      </c>
      <c r="J719" s="25" t="str">
        <f>'Tipo 4A - x10'!F46</f>
        <v>m</v>
      </c>
      <c r="K719" s="26">
        <f>_xlfn.XLOOKUP($E719,PREÇO!$C$7:$C$91,PREÇO!$E$7:$E$91)</f>
        <v>2.5299999999999998</v>
      </c>
      <c r="L719" s="66">
        <f>IF(SUM(F719:K719)=0,SUMIFS($L720:$L$1593,$B720:$B$1593,$B719,$A720:$A$1593,$A719),I719*K719)</f>
        <v>3056.7459999999992</v>
      </c>
      <c r="N719"/>
      <c r="O719"/>
      <c r="P719" s="28"/>
      <c r="Q719" s="28"/>
      <c r="R719" s="28"/>
    </row>
    <row r="720" spans="1:18" outlineLevel="1">
      <c r="A720" s="24" t="str">
        <f t="shared" si="221"/>
        <v>GERAL</v>
      </c>
      <c r="B720" s="24" t="str">
        <f t="shared" si="222"/>
        <v>52º PAV. - TIPO 04A - x10 - LANÇAMENTO</v>
      </c>
      <c r="C720" s="30" t="s">
        <v>221</v>
      </c>
      <c r="D720" s="86" t="s">
        <v>89</v>
      </c>
      <c r="E720" s="30" t="s">
        <v>185</v>
      </c>
      <c r="F720" s="30">
        <f>'Tipo 4A - x10'!E49</f>
        <v>115.5</v>
      </c>
      <c r="G720" s="25">
        <v>10</v>
      </c>
      <c r="H720" s="25">
        <v>0</v>
      </c>
      <c r="I720" s="25">
        <f t="shared" si="223"/>
        <v>1155</v>
      </c>
      <c r="J720" s="25" t="str">
        <f>'Tipo 4A - x10'!F49</f>
        <v>m</v>
      </c>
      <c r="K720" s="26">
        <f>_xlfn.XLOOKUP($E720,PREÇO!$C$7:$C$91,PREÇO!$E$7:$E$91)</f>
        <v>0.99</v>
      </c>
      <c r="L720" s="66">
        <f>IF(SUM(F720:K720)=0,SUMIFS($L721:$L$1593,$B721:$B$1593,$B720,$A721:$A$1593,$A720),I720*K720)</f>
        <v>1143.45</v>
      </c>
      <c r="N720"/>
      <c r="O720"/>
      <c r="P720" s="28"/>
      <c r="Q720" s="28"/>
      <c r="R720" s="28"/>
    </row>
    <row r="721" spans="1:18" ht="15.75" outlineLevel="1" thickBot="1">
      <c r="A721" s="24" t="str">
        <f t="shared" si="221"/>
        <v>GERAL</v>
      </c>
      <c r="B721" s="24" t="str">
        <f t="shared" si="222"/>
        <v>52º PAV. - TIPO 04A - x10 - LANÇAMENTO</v>
      </c>
      <c r="C721" s="30" t="s">
        <v>221</v>
      </c>
      <c r="D721" s="86" t="s">
        <v>89</v>
      </c>
      <c r="E721" s="30" t="s">
        <v>186</v>
      </c>
      <c r="F721" s="30">
        <f>'Tipo 4A - x10'!E50</f>
        <v>108.43</v>
      </c>
      <c r="G721" s="25">
        <v>10</v>
      </c>
      <c r="H721" s="25">
        <v>0</v>
      </c>
      <c r="I721" s="25">
        <f t="shared" si="223"/>
        <v>1084.3000000000002</v>
      </c>
      <c r="J721" s="25" t="str">
        <f>'Tipo 4A - x10'!F50</f>
        <v>m</v>
      </c>
      <c r="K721" s="26">
        <f>_xlfn.XLOOKUP($E721,PREÇO!$C$7:$C$91,PREÇO!$E$7:$E$91)</f>
        <v>1.69</v>
      </c>
      <c r="L721" s="66">
        <f>IF(SUM(F721:K721)=0,SUMIFS($L722:$L$1593,$B722:$B$1593,$B721,$A722:$A$1593,$A721),I721*K721)</f>
        <v>1832.4670000000003</v>
      </c>
      <c r="N721"/>
      <c r="O721"/>
      <c r="P721" s="28"/>
      <c r="Q721" s="28"/>
      <c r="R721" s="28"/>
    </row>
    <row r="722" spans="1:18" ht="15.75" thickTop="1">
      <c r="A722" s="82" t="s">
        <v>19</v>
      </c>
      <c r="B722" s="82" t="s">
        <v>176</v>
      </c>
      <c r="C722" s="43"/>
      <c r="D722" s="44" t="str">
        <f>'Tipo 4A - x10'!C51</f>
        <v/>
      </c>
      <c r="E722" s="44" t="str">
        <f>'Tipo 4A - x10'!D51</f>
        <v/>
      </c>
      <c r="F722" s="45" t="str">
        <f>'Tipo 4A - x10'!E51</f>
        <v/>
      </c>
      <c r="G722" s="45"/>
      <c r="H722" s="45"/>
      <c r="I722" s="45"/>
      <c r="J722" s="45" t="str">
        <f>'Tipo 4A - x10'!F51</f>
        <v/>
      </c>
      <c r="K722" s="47"/>
      <c r="L722" s="48">
        <f>IF(SUM(F722:K722)=0,SUMIFS($L723:$L$1593,$B723:$B$1593,$B722,$A723:$A$1593,$A722),I722*K722)</f>
        <v>10946.072600000003</v>
      </c>
      <c r="N722"/>
      <c r="O722"/>
      <c r="P722" s="28"/>
      <c r="Q722" s="28"/>
      <c r="R722" s="28"/>
    </row>
    <row r="723" spans="1:18" outlineLevel="1">
      <c r="A723" s="24" t="str">
        <f>A722</f>
        <v>GERAL</v>
      </c>
      <c r="B723" s="24" t="str">
        <f>B722</f>
        <v>62º PAV. - ÁREA TÉCNICA 04</v>
      </c>
      <c r="C723" s="30" t="s">
        <v>221</v>
      </c>
      <c r="D723" s="30" t="str">
        <f>'Técnico 4'!C6</f>
        <v>Acionadores</v>
      </c>
      <c r="E723" s="30" t="str">
        <f>'Técnico 4'!D6</f>
        <v>Acionador Manual de Alarme de Incêndio</v>
      </c>
      <c r="F723" s="30">
        <f>'Técnico 4'!E6</f>
        <v>1</v>
      </c>
      <c r="G723" s="25">
        <v>1</v>
      </c>
      <c r="H723" s="25">
        <v>0</v>
      </c>
      <c r="I723" s="25">
        <f t="shared" si="223"/>
        <v>1</v>
      </c>
      <c r="J723" s="25" t="str">
        <f>'Técnico 4'!F6</f>
        <v>pç</v>
      </c>
      <c r="K723" s="26">
        <f>_xlfn.XLOOKUP($E723,PREÇO!$C$7:$C$91,PREÇO!$E$7:$E$91)</f>
        <v>65</v>
      </c>
      <c r="L723" s="66">
        <f>IF(SUM(F723:K723)=0,SUMIFS($L724:$L$1593,$B724:$B$1593,$B723,$A724:$A$1593,$A723),I723*K723)</f>
        <v>65</v>
      </c>
      <c r="N723"/>
      <c r="O723"/>
      <c r="P723" s="28"/>
      <c r="Q723" s="28"/>
      <c r="R723" s="28"/>
    </row>
    <row r="724" spans="1:18" outlineLevel="1">
      <c r="A724" s="24" t="str">
        <f t="shared" ref="A724:A749" si="224">A723</f>
        <v>GERAL</v>
      </c>
      <c r="B724" s="24" t="str">
        <f t="shared" ref="B724:B749" si="225">B723</f>
        <v>62º PAV. - ÁREA TÉCNICA 04</v>
      </c>
      <c r="C724" s="30" t="s">
        <v>221</v>
      </c>
      <c r="D724" s="30" t="str">
        <f>'Técnico 4'!C7</f>
        <v>Anunciadores</v>
      </c>
      <c r="E724" s="30" t="str">
        <f>'Técnico 4'!D7</f>
        <v>Anunciador Audiovisual de Alarme de Incêndio de Parede</v>
      </c>
      <c r="F724" s="30">
        <f>'Técnico 4'!E7</f>
        <v>1</v>
      </c>
      <c r="G724" s="25">
        <v>1</v>
      </c>
      <c r="H724" s="25">
        <v>0</v>
      </c>
      <c r="I724" s="25">
        <f t="shared" ref="I724:I731" si="226">(F724+H724*F724)*G724</f>
        <v>1</v>
      </c>
      <c r="J724" s="25" t="s">
        <v>16</v>
      </c>
      <c r="K724" s="26">
        <f>_xlfn.XLOOKUP($E724,PREÇO!$C$7:$C$91,PREÇO!$E$7:$E$91)</f>
        <v>191.81</v>
      </c>
      <c r="L724" s="66">
        <f>IF(SUM(F724:K724)=0,SUMIFS($L725:$L$1593,$B725:$B$1593,$B724,$A725:$A$1593,$A724),I724*K724)</f>
        <v>191.81</v>
      </c>
      <c r="N724"/>
      <c r="O724"/>
      <c r="P724" s="28"/>
      <c r="Q724" s="28"/>
      <c r="R724" s="28"/>
    </row>
    <row r="725" spans="1:18" outlineLevel="1">
      <c r="A725" s="24" t="str">
        <f t="shared" si="224"/>
        <v>GERAL</v>
      </c>
      <c r="B725" s="24" t="str">
        <f t="shared" si="225"/>
        <v>62º PAV. - ÁREA TÉCNICA 04</v>
      </c>
      <c r="C725" s="30" t="s">
        <v>221</v>
      </c>
      <c r="D725" s="30" t="str">
        <f>'Técnico 4'!C8</f>
        <v>Atuadores</v>
      </c>
      <c r="E725" s="30" t="str">
        <f>'Técnico 4'!D8</f>
        <v>Atuador Janela Desenfumagem</v>
      </c>
      <c r="F725" s="30">
        <f>'Técnico 4'!E8</f>
        <v>1</v>
      </c>
      <c r="G725" s="25">
        <v>1</v>
      </c>
      <c r="H725" s="25">
        <v>0</v>
      </c>
      <c r="I725" s="25">
        <f t="shared" si="226"/>
        <v>1</v>
      </c>
      <c r="J725" s="25" t="s">
        <v>16</v>
      </c>
      <c r="K725" s="26">
        <f>_xlfn.XLOOKUP($E725,PREÇO!$C$7:$C$91,PREÇO!$E$7:$E$91)</f>
        <v>1150</v>
      </c>
      <c r="L725" s="66">
        <f>IF(SUM(F725:K725)=0,SUMIFS($L726:$L$1593,$B726:$B$1593,$B725,$A726:$A$1593,$A725),I725*K725)</f>
        <v>1150</v>
      </c>
      <c r="N725"/>
      <c r="O725"/>
      <c r="P725" s="28"/>
      <c r="Q725" s="28"/>
      <c r="R725" s="28"/>
    </row>
    <row r="726" spans="1:18" outlineLevel="1">
      <c r="A726" s="24" t="str">
        <f t="shared" si="224"/>
        <v>GERAL</v>
      </c>
      <c r="B726" s="24" t="str">
        <f t="shared" si="225"/>
        <v>62º PAV. - ÁREA TÉCNICA 04</v>
      </c>
      <c r="C726" s="30" t="s">
        <v>221</v>
      </c>
      <c r="D726" s="30" t="str">
        <f>'Técnico 4'!C9</f>
        <v>Central de Alarme</v>
      </c>
      <c r="E726" s="30" t="str">
        <f>'Técnico 4'!D9</f>
        <v>Central de Alarme de Incêndio</v>
      </c>
      <c r="F726" s="30">
        <f>'Técnico 4'!E9</f>
        <v>1</v>
      </c>
      <c r="G726" s="25">
        <v>1</v>
      </c>
      <c r="H726" s="25">
        <v>0</v>
      </c>
      <c r="I726" s="25">
        <f t="shared" si="226"/>
        <v>1</v>
      </c>
      <c r="J726" s="25" t="s">
        <v>16</v>
      </c>
      <c r="K726" s="26">
        <f>_xlfn.XLOOKUP($E726,PREÇO!$C$7:$C$91,PREÇO!$E$7:$E$91)</f>
        <v>855.86</v>
      </c>
      <c r="L726" s="66">
        <f>IF(SUM(F726:K726)=0,SUMIFS($L727:$L$1593,$B727:$B$1593,$B726,$A727:$A$1593,$A726),I726*K726)</f>
        <v>855.86</v>
      </c>
      <c r="N726"/>
      <c r="O726"/>
      <c r="P726" s="28"/>
      <c r="Q726" s="28"/>
      <c r="R726" s="28"/>
    </row>
    <row r="727" spans="1:18" outlineLevel="1">
      <c r="A727" s="24" t="str">
        <f t="shared" si="224"/>
        <v>GERAL</v>
      </c>
      <c r="B727" s="24" t="str">
        <f t="shared" si="225"/>
        <v>62º PAV. - ÁREA TÉCNICA 04</v>
      </c>
      <c r="C727" s="30" t="s">
        <v>221</v>
      </c>
      <c r="D727" s="30" t="str">
        <f>'Técnico 4'!C10</f>
        <v>Sensores</v>
      </c>
      <c r="E727" s="30" t="str">
        <f>'Técnico 4'!D10</f>
        <v>Sensor de Fumaça</v>
      </c>
      <c r="F727" s="30">
        <f>'Técnico 4'!E10</f>
        <v>11</v>
      </c>
      <c r="G727" s="25">
        <v>1</v>
      </c>
      <c r="H727" s="25">
        <v>0</v>
      </c>
      <c r="I727" s="25">
        <f t="shared" si="226"/>
        <v>11</v>
      </c>
      <c r="J727" s="25" t="s">
        <v>16</v>
      </c>
      <c r="K727" s="26">
        <f>_xlfn.XLOOKUP($E727,PREÇO!$C$7:$C$91,PREÇO!$E$7:$E$91)</f>
        <v>53.9</v>
      </c>
      <c r="L727" s="66">
        <f>IF(SUM(F727:K727)=0,SUMIFS($L728:$L$1593,$B728:$B$1593,$B727,$A728:$A$1593,$A727),I727*K727)</f>
        <v>592.9</v>
      </c>
      <c r="N727"/>
      <c r="O727"/>
      <c r="P727" s="28"/>
      <c r="Q727" s="28"/>
      <c r="R727" s="28"/>
    </row>
    <row r="728" spans="1:18" outlineLevel="1">
      <c r="A728" s="24" t="str">
        <f t="shared" si="224"/>
        <v>GERAL</v>
      </c>
      <c r="B728" s="24" t="str">
        <f t="shared" si="225"/>
        <v>62º PAV. - ÁREA TÉCNICA 04</v>
      </c>
      <c r="C728" s="30" t="s">
        <v>221</v>
      </c>
      <c r="D728" s="30" t="str">
        <f>'Técnico 4'!C13</f>
        <v>Caixas</v>
      </c>
      <c r="E728" s="30" t="str">
        <f>'Técnico 4'!D13</f>
        <v>Caixa Octogonal Padrão NBR IEC 60670</v>
      </c>
      <c r="F728" s="30">
        <f>'Técnico 4'!E13</f>
        <v>45</v>
      </c>
      <c r="G728" s="25">
        <v>1</v>
      </c>
      <c r="H728" s="25">
        <v>0</v>
      </c>
      <c r="I728" s="25">
        <f t="shared" si="226"/>
        <v>45</v>
      </c>
      <c r="J728" s="25" t="s">
        <v>16</v>
      </c>
      <c r="K728" s="26">
        <f>_xlfn.XLOOKUP($E728,PREÇO!$C$7:$C$91,PREÇO!$E$7:$E$91)</f>
        <v>5.32</v>
      </c>
      <c r="L728" s="66">
        <f>IF(SUM(F728:K728)=0,SUMIFS($L729:$L$1593,$B729:$B$1593,$B728,$A729:$A$1593,$A728),I728*K728)</f>
        <v>239.4</v>
      </c>
      <c r="N728"/>
      <c r="O728"/>
      <c r="P728" s="28"/>
      <c r="Q728" s="28"/>
      <c r="R728" s="28"/>
    </row>
    <row r="729" spans="1:18" outlineLevel="1">
      <c r="A729" s="24" t="str">
        <f t="shared" si="224"/>
        <v>GERAL</v>
      </c>
      <c r="B729" s="24" t="str">
        <f t="shared" si="225"/>
        <v>62º PAV. - ÁREA TÉCNICA 04</v>
      </c>
      <c r="C729" s="30" t="s">
        <v>221</v>
      </c>
      <c r="D729" s="30" t="str">
        <f>'Técnico 4'!C16</f>
        <v>Caixas</v>
      </c>
      <c r="E729" s="30" t="str">
        <f>'Técnico 4'!D16</f>
        <v>Caixa 4x2" de Embutir em PVC Padrão NBR IEC 60670</v>
      </c>
      <c r="F729" s="30">
        <f>'Técnico 4'!E16</f>
        <v>13</v>
      </c>
      <c r="G729" s="25">
        <v>1</v>
      </c>
      <c r="H729" s="25">
        <v>0</v>
      </c>
      <c r="I729" s="25">
        <f t="shared" si="226"/>
        <v>13</v>
      </c>
      <c r="J729" s="25" t="s">
        <v>16</v>
      </c>
      <c r="K729" s="26">
        <f>_xlfn.XLOOKUP($E729,PREÇO!$C$7:$C$91,PREÇO!$E$7:$E$91)</f>
        <v>1.72</v>
      </c>
      <c r="L729" s="66">
        <f>IF(SUM(F729:K729)=0,SUMIFS($L730:$L$1593,$B730:$B$1593,$B729,$A730:$A$1593,$A729),I729*K729)</f>
        <v>22.36</v>
      </c>
      <c r="N729"/>
      <c r="O729"/>
      <c r="P729" s="28"/>
      <c r="Q729" s="28"/>
      <c r="R729" s="28"/>
    </row>
    <row r="730" spans="1:18" outlineLevel="1">
      <c r="A730" s="24" t="str">
        <f t="shared" si="224"/>
        <v>GERAL</v>
      </c>
      <c r="B730" s="24" t="str">
        <f t="shared" si="225"/>
        <v>62º PAV. - ÁREA TÉCNICA 04</v>
      </c>
      <c r="C730" s="30" t="s">
        <v>221</v>
      </c>
      <c r="D730" s="30" t="str">
        <f>'Técnico 4'!C17</f>
        <v>Placas</v>
      </c>
      <c r="E730" s="30" t="str">
        <f>'Técnico 4'!D17</f>
        <v>Placa 4x2" cega Padrão NBR IEC 60670</v>
      </c>
      <c r="F730" s="30">
        <f>'Técnico 4'!E17</f>
        <v>4</v>
      </c>
      <c r="G730" s="25">
        <v>1</v>
      </c>
      <c r="H730" s="25">
        <v>0</v>
      </c>
      <c r="I730" s="25">
        <f t="shared" si="226"/>
        <v>4</v>
      </c>
      <c r="J730" s="25" t="s">
        <v>16</v>
      </c>
      <c r="K730" s="26">
        <f>_xlfn.XLOOKUP($E730,PREÇO!$C$7:$C$91,PREÇO!$E$7:$E$91)</f>
        <v>4.59</v>
      </c>
      <c r="L730" s="66">
        <f>IF(SUM(F730:K730)=0,SUMIFS($L731:$L$1593,$B731:$B$1593,$B730,$A731:$A$1593,$A730),I730*K730)</f>
        <v>18.36</v>
      </c>
      <c r="N730"/>
      <c r="O730"/>
      <c r="P730" s="28"/>
      <c r="Q730" s="28"/>
      <c r="R730" s="28"/>
    </row>
    <row r="731" spans="1:18" outlineLevel="1">
      <c r="A731" s="24" t="str">
        <f t="shared" si="224"/>
        <v>GERAL</v>
      </c>
      <c r="B731" s="24" t="str">
        <f t="shared" si="225"/>
        <v>62º PAV. - ÁREA TÉCNICA 04</v>
      </c>
      <c r="C731" s="30" t="s">
        <v>221</v>
      </c>
      <c r="D731" s="30" t="str">
        <f>'Técnico 4'!C18</f>
        <v>Placas</v>
      </c>
      <c r="E731" s="30" t="str">
        <f>'Técnico 4'!D18</f>
        <v>Placa 4x2" com furo para saída de cabos Padrão NBR IEC 60670</v>
      </c>
      <c r="F731" s="30">
        <f>'Técnico 4'!E18</f>
        <v>9</v>
      </c>
      <c r="G731" s="25">
        <v>1</v>
      </c>
      <c r="H731" s="25">
        <v>0</v>
      </c>
      <c r="I731" s="25">
        <f t="shared" si="226"/>
        <v>9</v>
      </c>
      <c r="J731" s="25" t="s">
        <v>16</v>
      </c>
      <c r="K731" s="26">
        <f>_xlfn.XLOOKUP($E731,PREÇO!$C$7:$C$91,PREÇO!$E$7:$E$91)</f>
        <v>6.55</v>
      </c>
      <c r="L731" s="66">
        <f>IF(SUM(F731:K731)=0,SUMIFS($L732:$L$1593,$B732:$B$1593,$B731,$A732:$A$1593,$A731),I731*K731)</f>
        <v>58.949999999999996</v>
      </c>
      <c r="N731"/>
      <c r="O731"/>
      <c r="P731" s="28"/>
      <c r="Q731" s="28"/>
      <c r="R731" s="28"/>
    </row>
    <row r="732" spans="1:18" outlineLevel="1">
      <c r="A732" s="24" t="str">
        <f t="shared" si="224"/>
        <v>GERAL</v>
      </c>
      <c r="B732" s="24" t="str">
        <f t="shared" si="225"/>
        <v>62º PAV. - ÁREA TÉCNICA 04</v>
      </c>
      <c r="C732" s="30" t="s">
        <v>221</v>
      </c>
      <c r="D732" s="30" t="str">
        <f>'Técnico 4'!C19</f>
        <v>Suportes</v>
      </c>
      <c r="E732" s="30" t="str">
        <f>'Técnico 4'!D19</f>
        <v>Suporte p/ caixa 4x2" Padrão NBR IEC 60670</v>
      </c>
      <c r="F732" s="30">
        <f>'Técnico 4'!E19</f>
        <v>13</v>
      </c>
      <c r="G732" s="25">
        <v>1</v>
      </c>
      <c r="H732" s="25">
        <v>0</v>
      </c>
      <c r="I732" s="25">
        <f t="shared" ref="I732:I751" si="227">(F732+H732*F732)*G732</f>
        <v>13</v>
      </c>
      <c r="J732" s="25" t="s">
        <v>16</v>
      </c>
      <c r="K732" s="26">
        <f>_xlfn.XLOOKUP($E732,PREÇO!$C$7:$C$91,PREÇO!$E$7:$E$91)</f>
        <v>1.85</v>
      </c>
      <c r="L732" s="66">
        <f>IF(SUM(F732:K732)=0,SUMIFS($L733:$L$1593,$B733:$B$1593,$B732,$A733:$A$1593,$A732),I732*K732)</f>
        <v>24.05</v>
      </c>
      <c r="N732"/>
      <c r="O732"/>
      <c r="P732" s="28"/>
      <c r="Q732" s="28"/>
      <c r="R732" s="28"/>
    </row>
    <row r="733" spans="1:18" outlineLevel="1">
      <c r="A733" s="24" t="str">
        <f t="shared" si="224"/>
        <v>GERAL</v>
      </c>
      <c r="B733" s="24" t="str">
        <f t="shared" si="225"/>
        <v>62º PAV. - ÁREA TÉCNICA 04</v>
      </c>
      <c r="C733" s="30" t="s">
        <v>221</v>
      </c>
      <c r="D733" s="30" t="str">
        <f>'Técnico 4'!C22</f>
        <v>Embutir</v>
      </c>
      <c r="E733" s="30" t="str">
        <f>'Técnico 4'!D22</f>
        <v>Cx de passagem de embutir com dimensão de 50x50x15 cm</v>
      </c>
      <c r="F733" s="30">
        <f>'Técnico 4'!E22</f>
        <v>1</v>
      </c>
      <c r="G733" s="25">
        <v>1</v>
      </c>
      <c r="H733" s="25">
        <v>0</v>
      </c>
      <c r="I733" s="25">
        <f t="shared" si="227"/>
        <v>1</v>
      </c>
      <c r="J733" s="25" t="s">
        <v>16</v>
      </c>
      <c r="K733" s="26">
        <f>_xlfn.XLOOKUP($E733,PREÇO!$C$7:$C$91,PREÇO!$E$7:$E$91)</f>
        <v>291.60000000000002</v>
      </c>
      <c r="L733" s="66">
        <f>IF(SUM(F733:K733)=0,SUMIFS($L734:$L$1593,$B734:$B$1593,$B733,$A734:$A$1593,$A733),I733*K733)</f>
        <v>291.60000000000002</v>
      </c>
      <c r="N733"/>
      <c r="O733"/>
      <c r="P733" s="28"/>
      <c r="Q733" s="28"/>
      <c r="R733" s="28"/>
    </row>
    <row r="734" spans="1:18" outlineLevel="1">
      <c r="A734" s="24" t="str">
        <f t="shared" si="224"/>
        <v>GERAL</v>
      </c>
      <c r="B734" s="24" t="str">
        <f t="shared" si="225"/>
        <v>62º PAV. - ÁREA TÉCNICA 04</v>
      </c>
      <c r="C734" s="30" t="s">
        <v>221</v>
      </c>
      <c r="D734" s="86" t="s">
        <v>46</v>
      </c>
      <c r="E734" s="30" t="s">
        <v>44</v>
      </c>
      <c r="F734" s="30">
        <f>'Técnico 4'!E25</f>
        <v>27.2</v>
      </c>
      <c r="G734" s="25">
        <v>1</v>
      </c>
      <c r="H734" s="25">
        <v>0</v>
      </c>
      <c r="I734" s="25">
        <f t="shared" si="227"/>
        <v>27.2</v>
      </c>
      <c r="J734" s="25" t="s">
        <v>17</v>
      </c>
      <c r="K734" s="26">
        <f>_xlfn.XLOOKUP($E734,PREÇO!$C$7:$C$91,PREÇO!$E$7:$E$91)</f>
        <v>2.5299999999999998</v>
      </c>
      <c r="L734" s="66">
        <f>IF(SUM(F734:K734)=0,SUMIFS($L735:$L$1593,$B735:$B$1593,$B734,$A735:$A$1593,$A734),I734*K734)</f>
        <v>68.815999999999988</v>
      </c>
      <c r="N734"/>
      <c r="O734"/>
      <c r="P734" s="28"/>
      <c r="Q734" s="28"/>
      <c r="R734" s="28"/>
    </row>
    <row r="735" spans="1:18" outlineLevel="1">
      <c r="A735" s="24" t="str">
        <f t="shared" si="224"/>
        <v>GERAL</v>
      </c>
      <c r="B735" s="24" t="str">
        <f t="shared" si="225"/>
        <v>62º PAV. - ÁREA TÉCNICA 04</v>
      </c>
      <c r="C735" s="30" t="s">
        <v>221</v>
      </c>
      <c r="D735" s="86" t="s">
        <v>46</v>
      </c>
      <c r="E735" s="30" t="s">
        <v>45</v>
      </c>
      <c r="F735" s="30">
        <f>'Técnico 4'!E26</f>
        <v>132.75</v>
      </c>
      <c r="G735" s="25">
        <v>1</v>
      </c>
      <c r="H735" s="25">
        <v>0</v>
      </c>
      <c r="I735" s="25">
        <f t="shared" si="227"/>
        <v>132.75</v>
      </c>
      <c r="J735" s="25" t="s">
        <v>17</v>
      </c>
      <c r="K735" s="26">
        <f>_xlfn.XLOOKUP($E735,PREÇO!$C$7:$C$91,PREÇO!$E$7:$E$91)</f>
        <v>1.8</v>
      </c>
      <c r="L735" s="66">
        <f>IF(SUM(F735:K735)=0,SUMIFS($L736:$L$1593,$B736:$B$1593,$B735,$A736:$A$1593,$A735),I735*K735)</f>
        <v>238.95000000000002</v>
      </c>
      <c r="N735"/>
      <c r="O735"/>
      <c r="P735" s="28"/>
      <c r="Q735" s="28"/>
      <c r="R735" s="28"/>
    </row>
    <row r="736" spans="1:18" outlineLevel="1">
      <c r="A736" s="24" t="str">
        <f t="shared" si="224"/>
        <v>GERAL</v>
      </c>
      <c r="B736" s="24" t="str">
        <f t="shared" si="225"/>
        <v>62º PAV. - ÁREA TÉCNICA 04</v>
      </c>
      <c r="C736" s="30" t="s">
        <v>220</v>
      </c>
      <c r="D736" s="30" t="str">
        <f>'Técnico 4'!C29</f>
        <v>Luminárias e Placas de Saída</v>
      </c>
      <c r="E736" s="30" t="str">
        <f>'Técnico 4'!D29</f>
        <v>Luminária de Emergência 24V de Parede</v>
      </c>
      <c r="F736" s="30">
        <f>'Técnico 4'!E29</f>
        <v>4</v>
      </c>
      <c r="G736" s="25">
        <v>1</v>
      </c>
      <c r="H736" s="25">
        <v>0</v>
      </c>
      <c r="I736" s="25">
        <f t="shared" si="227"/>
        <v>4</v>
      </c>
      <c r="J736" s="25" t="s">
        <v>16</v>
      </c>
      <c r="K736" s="26">
        <f>_xlfn.XLOOKUP($E736,PREÇO!$C$7:$C$91,PREÇO!$E$7:$E$91)</f>
        <v>15.9</v>
      </c>
      <c r="L736" s="66">
        <f>IF(SUM(F736:K736)=0,SUMIFS($L737:$L$1593,$B737:$B$1593,$B736,$A737:$A$1593,$A736),I736*K736)</f>
        <v>63.6</v>
      </c>
      <c r="N736"/>
      <c r="O736"/>
      <c r="P736" s="28"/>
      <c r="Q736" s="28"/>
      <c r="R736" s="28"/>
    </row>
    <row r="737" spans="1:18" outlineLevel="1">
      <c r="A737" s="24" t="str">
        <f t="shared" si="224"/>
        <v>GERAL</v>
      </c>
      <c r="B737" s="24" t="str">
        <f t="shared" si="225"/>
        <v>62º PAV. - ÁREA TÉCNICA 04</v>
      </c>
      <c r="C737" s="30" t="s">
        <v>220</v>
      </c>
      <c r="D737" s="30" t="str">
        <f>'Técnico 4'!C30</f>
        <v>Luminárias e Placas de Saída</v>
      </c>
      <c r="E737" s="30" t="str">
        <f>'Técnico 4'!D30</f>
        <v>Luminária de Emergência 24V de Teto</v>
      </c>
      <c r="F737" s="30">
        <f>'Técnico 4'!E30</f>
        <v>24</v>
      </c>
      <c r="G737" s="25">
        <v>1</v>
      </c>
      <c r="H737" s="25">
        <v>0</v>
      </c>
      <c r="I737" s="25">
        <f t="shared" si="227"/>
        <v>24</v>
      </c>
      <c r="J737" s="25" t="s">
        <v>16</v>
      </c>
      <c r="K737" s="26">
        <f>_xlfn.XLOOKUP($E737,PREÇO!$C$7:$C$91,PREÇO!$E$7:$E$91)</f>
        <v>69.900000000000006</v>
      </c>
      <c r="L737" s="66">
        <f>IF(SUM(F737:K737)=0,SUMIFS($L738:$L$1593,$B738:$B$1593,$B737,$A738:$A$1593,$A737),I737*K737)</f>
        <v>1677.6000000000001</v>
      </c>
      <c r="N737"/>
      <c r="O737"/>
      <c r="P737" s="28"/>
      <c r="Q737" s="28"/>
      <c r="R737" s="28"/>
    </row>
    <row r="738" spans="1:18" outlineLevel="1">
      <c r="A738" s="24" t="str">
        <f t="shared" si="224"/>
        <v>GERAL</v>
      </c>
      <c r="B738" s="24" t="str">
        <f t="shared" si="225"/>
        <v>62º PAV. - ÁREA TÉCNICA 04</v>
      </c>
      <c r="C738" s="24" t="s">
        <v>222</v>
      </c>
      <c r="D738" s="30" t="str">
        <f>'Técnico 4'!C31</f>
        <v>Luminárias e Placas de Saída</v>
      </c>
      <c r="E738" s="30" t="str">
        <f>'Técnico 4'!D31</f>
        <v>Placa de Saída 24V de Parede sem Direção</v>
      </c>
      <c r="F738" s="30">
        <f>'Técnico 4'!E31</f>
        <v>5</v>
      </c>
      <c r="G738" s="25">
        <v>1</v>
      </c>
      <c r="H738" s="25">
        <v>0</v>
      </c>
      <c r="I738" s="25">
        <f t="shared" si="227"/>
        <v>5</v>
      </c>
      <c r="J738" s="25" t="s">
        <v>16</v>
      </c>
      <c r="K738" s="26">
        <f>_xlfn.XLOOKUP($E738,PREÇO!$C$7:$C$91,PREÇO!$E$7:$E$91)</f>
        <v>61.66</v>
      </c>
      <c r="L738" s="66">
        <f>IF(SUM(F738:K738)=0,SUMIFS($L740:$L$1593,$B740:$B$1593,$B738,$A740:$A$1593,$A738),I738*K738)</f>
        <v>308.29999999999995</v>
      </c>
      <c r="N738"/>
      <c r="O738"/>
      <c r="P738" s="28"/>
      <c r="Q738" s="28"/>
      <c r="R738" s="28"/>
    </row>
    <row r="739" spans="1:18" outlineLevel="1">
      <c r="A739" s="116" t="str">
        <f>A737</f>
        <v>GERAL</v>
      </c>
      <c r="B739" s="116" t="str">
        <f>B738</f>
        <v>62º PAV. - ÁREA TÉCNICA 04</v>
      </c>
      <c r="C739" s="116" t="s">
        <v>222</v>
      </c>
      <c r="D739" s="116" t="s">
        <v>223</v>
      </c>
      <c r="E739" s="116" t="s">
        <v>224</v>
      </c>
      <c r="F739" s="117">
        <v>4</v>
      </c>
      <c r="G739" s="117">
        <f>G738</f>
        <v>1</v>
      </c>
      <c r="H739" s="118">
        <v>0</v>
      </c>
      <c r="I739" s="117">
        <f t="shared" si="227"/>
        <v>4</v>
      </c>
      <c r="J739" s="117" t="s">
        <v>11</v>
      </c>
      <c r="K739" s="119">
        <f>_xlfn.XLOOKUP($E739,PREÇO!$C$7:$C$91,PREÇO!$E$7:$E$91)</f>
        <v>646.55999999999995</v>
      </c>
      <c r="L739" s="120">
        <f>IF(SUM(F739:K739)=0,SUMIFS($L740:$L$1593,$B740:$B$1593,$B739,$A740:$A$1593,$A739),I739*K739)</f>
        <v>2586.2399999999998</v>
      </c>
      <c r="N739"/>
      <c r="O739"/>
      <c r="P739" s="28"/>
      <c r="Q739" s="28"/>
      <c r="R739" s="28"/>
    </row>
    <row r="740" spans="1:18" outlineLevel="1">
      <c r="A740" s="24" t="str">
        <f>A738</f>
        <v>GERAL</v>
      </c>
      <c r="B740" s="24" t="str">
        <f>B738</f>
        <v>62º PAV. - ÁREA TÉCNICA 04</v>
      </c>
      <c r="C740" s="30" t="s">
        <v>220</v>
      </c>
      <c r="D740" s="30" t="str">
        <f>'Técnico 4'!C32</f>
        <v>Sensores de Presença</v>
      </c>
      <c r="E740" s="30" t="str">
        <f>'Técnico 4'!D32</f>
        <v>Sensor de Presença 24V de teto</v>
      </c>
      <c r="F740" s="30">
        <f>'Técnico 4'!E32</f>
        <v>10</v>
      </c>
      <c r="G740" s="25">
        <v>1</v>
      </c>
      <c r="H740" s="25">
        <v>0</v>
      </c>
      <c r="I740" s="25">
        <f t="shared" si="227"/>
        <v>10</v>
      </c>
      <c r="J740" s="25" t="s">
        <v>16</v>
      </c>
      <c r="K740" s="26">
        <f>_xlfn.XLOOKUP($E740,PREÇO!$C$7:$C$91,PREÇO!$E$7:$E$91)</f>
        <v>38.4</v>
      </c>
      <c r="L740" s="66">
        <f>IF(SUM(F740:K740)=0,SUMIFS($L741:$L$1593,$B741:$B$1593,$B740,$A741:$A$1593,$A740),I740*K740)</f>
        <v>384</v>
      </c>
      <c r="N740"/>
      <c r="O740"/>
      <c r="P740" s="28"/>
      <c r="Q740" s="28"/>
      <c r="R740" s="28"/>
    </row>
    <row r="741" spans="1:18" outlineLevel="1">
      <c r="A741" s="24" t="str">
        <f t="shared" si="224"/>
        <v>GERAL</v>
      </c>
      <c r="B741" s="24" t="str">
        <f t="shared" si="225"/>
        <v>62º PAV. - ÁREA TÉCNICA 04</v>
      </c>
      <c r="C741" s="30" t="s">
        <v>221</v>
      </c>
      <c r="D741" s="86" t="s">
        <v>87</v>
      </c>
      <c r="E741" s="30" t="s">
        <v>179</v>
      </c>
      <c r="F741" s="30">
        <f>'Técnico 4'!E35</f>
        <v>236.52</v>
      </c>
      <c r="G741" s="25">
        <v>1</v>
      </c>
      <c r="H741" s="25">
        <v>0</v>
      </c>
      <c r="I741" s="25">
        <f t="shared" si="227"/>
        <v>236.52</v>
      </c>
      <c r="J741" s="25" t="s">
        <v>17</v>
      </c>
      <c r="K741" s="26">
        <f>_xlfn.XLOOKUP($E741,PREÇO!$C$7:$C$91,PREÇO!$E$7:$E$91)</f>
        <v>1.59</v>
      </c>
      <c r="L741" s="66">
        <f>IF(SUM(F741:K741)=0,SUMIFS($L742:$L$1593,$B742:$B$1593,$B741,$A742:$A$1593,$A741),I741*K741)</f>
        <v>376.06680000000006</v>
      </c>
      <c r="N741"/>
      <c r="O741"/>
      <c r="P741" s="28"/>
      <c r="Q741" s="28"/>
      <c r="R741" s="28"/>
    </row>
    <row r="742" spans="1:18" outlineLevel="1">
      <c r="A742" s="24" t="str">
        <f t="shared" si="224"/>
        <v>GERAL</v>
      </c>
      <c r="B742" s="24" t="str">
        <f t="shared" si="225"/>
        <v>62º PAV. - ÁREA TÉCNICA 04</v>
      </c>
      <c r="C742" s="30" t="s">
        <v>221</v>
      </c>
      <c r="D742" s="86" t="s">
        <v>87</v>
      </c>
      <c r="E742" s="30" t="s">
        <v>180</v>
      </c>
      <c r="F742" s="30">
        <f>'Técnico 4'!E36</f>
        <v>242.44</v>
      </c>
      <c r="G742" s="25">
        <v>1</v>
      </c>
      <c r="H742" s="25">
        <v>0</v>
      </c>
      <c r="I742" s="25">
        <f t="shared" si="227"/>
        <v>242.44</v>
      </c>
      <c r="J742" s="25" t="s">
        <v>17</v>
      </c>
      <c r="K742" s="26">
        <f>_xlfn.XLOOKUP($E742,PREÇO!$C$7:$C$91,PREÇO!$E$7:$E$91)</f>
        <v>1.59</v>
      </c>
      <c r="L742" s="66">
        <f>IF(SUM(F742:K742)=0,SUMIFS($L743:$L$1593,$B743:$B$1593,$B742,$A743:$A$1593,$A742),I742*K742)</f>
        <v>385.4796</v>
      </c>
      <c r="N742"/>
      <c r="O742"/>
      <c r="P742" s="28"/>
      <c r="Q742" s="28"/>
      <c r="R742" s="28"/>
    </row>
    <row r="743" spans="1:18" outlineLevel="1">
      <c r="A743" s="24" t="str">
        <f t="shared" si="224"/>
        <v>GERAL</v>
      </c>
      <c r="B743" s="24" t="str">
        <f t="shared" si="225"/>
        <v>62º PAV. - ÁREA TÉCNICA 04</v>
      </c>
      <c r="C743" s="30" t="s">
        <v>221</v>
      </c>
      <c r="D743" s="86" t="s">
        <v>87</v>
      </c>
      <c r="E743" s="30" t="s">
        <v>181</v>
      </c>
      <c r="F743" s="30">
        <f>'Técnico 4'!E37</f>
        <v>242.44</v>
      </c>
      <c r="G743" s="25">
        <v>1</v>
      </c>
      <c r="H743" s="25">
        <v>0</v>
      </c>
      <c r="I743" s="25">
        <f t="shared" si="227"/>
        <v>242.44</v>
      </c>
      <c r="J743" s="25" t="s">
        <v>17</v>
      </c>
      <c r="K743" s="26">
        <f>_xlfn.XLOOKUP($E743,PREÇO!$C$7:$C$91,PREÇO!$E$7:$E$91)</f>
        <v>1.59</v>
      </c>
      <c r="L743" s="66">
        <f>IF(SUM(F743:K743)=0,SUMIFS($L744:$L$1593,$B744:$B$1593,$B743,$A744:$A$1593,$A743),I743*K743)</f>
        <v>385.4796</v>
      </c>
      <c r="N743"/>
      <c r="O743"/>
      <c r="P743" s="28"/>
      <c r="Q743" s="28"/>
      <c r="R743" s="28"/>
    </row>
    <row r="744" spans="1:18" outlineLevel="1">
      <c r="A744" s="24" t="str">
        <f t="shared" si="224"/>
        <v>GERAL</v>
      </c>
      <c r="B744" s="24" t="str">
        <f t="shared" si="225"/>
        <v>62º PAV. - ÁREA TÉCNICA 04</v>
      </c>
      <c r="C744" s="30" t="s">
        <v>221</v>
      </c>
      <c r="D744" s="86" t="s">
        <v>87</v>
      </c>
      <c r="E744" s="30" t="s">
        <v>182</v>
      </c>
      <c r="F744" s="30">
        <f>'Técnico 4'!E38</f>
        <v>17.88</v>
      </c>
      <c r="G744" s="25">
        <v>1</v>
      </c>
      <c r="H744" s="25">
        <v>0</v>
      </c>
      <c r="I744" s="25">
        <f t="shared" si="227"/>
        <v>17.88</v>
      </c>
      <c r="J744" s="25" t="s">
        <v>17</v>
      </c>
      <c r="K744" s="26">
        <f>_xlfn.XLOOKUP($E744,PREÇO!$C$7:$C$91,PREÇO!$E$7:$E$91)</f>
        <v>2.19</v>
      </c>
      <c r="L744" s="66">
        <f>IF(SUM(F744:K744)=0,SUMIFS($L745:$L$1593,$B745:$B$1593,$B744,$A745:$A$1593,$A744),I744*K744)</f>
        <v>39.157199999999996</v>
      </c>
      <c r="N744"/>
      <c r="O744"/>
      <c r="P744" s="28"/>
      <c r="Q744" s="28"/>
      <c r="R744" s="28"/>
    </row>
    <row r="745" spans="1:18" outlineLevel="1">
      <c r="A745" s="24" t="str">
        <f t="shared" si="224"/>
        <v>GERAL</v>
      </c>
      <c r="B745" s="24" t="str">
        <f t="shared" si="225"/>
        <v>62º PAV. - ÁREA TÉCNICA 04</v>
      </c>
      <c r="C745" s="30" t="s">
        <v>221</v>
      </c>
      <c r="D745" s="86" t="s">
        <v>87</v>
      </c>
      <c r="E745" s="30" t="s">
        <v>183</v>
      </c>
      <c r="F745" s="30">
        <f>'Técnico 4'!E39</f>
        <v>123.88</v>
      </c>
      <c r="G745" s="25">
        <v>1</v>
      </c>
      <c r="H745" s="25">
        <v>0</v>
      </c>
      <c r="I745" s="25">
        <f t="shared" si="227"/>
        <v>123.88</v>
      </c>
      <c r="J745" s="25" t="s">
        <v>17</v>
      </c>
      <c r="K745" s="26">
        <f>_xlfn.XLOOKUP($E745,PREÇO!$C$7:$C$91,PREÇO!$E$7:$E$91)</f>
        <v>2.19</v>
      </c>
      <c r="L745" s="66">
        <f>IF(SUM(F745:K745)=0,SUMIFS($L746:$L$1593,$B746:$B$1593,$B745,$A746:$A$1593,$A745),I745*K745)</f>
        <v>271.29719999999998</v>
      </c>
      <c r="N745"/>
      <c r="O745"/>
      <c r="P745" s="28"/>
      <c r="Q745" s="28"/>
      <c r="R745" s="28"/>
    </row>
    <row r="746" spans="1:18" outlineLevel="1">
      <c r="A746" s="24" t="str">
        <f t="shared" si="224"/>
        <v>GERAL</v>
      </c>
      <c r="B746" s="24" t="str">
        <f t="shared" si="225"/>
        <v>62º PAV. - ÁREA TÉCNICA 04</v>
      </c>
      <c r="C746" s="30" t="s">
        <v>221</v>
      </c>
      <c r="D746" s="86" t="s">
        <v>87</v>
      </c>
      <c r="E746" s="30" t="s">
        <v>184</v>
      </c>
      <c r="F746" s="30">
        <f>'Técnico 4'!E40</f>
        <v>123.88</v>
      </c>
      <c r="G746" s="25">
        <v>1</v>
      </c>
      <c r="H746" s="25">
        <v>0</v>
      </c>
      <c r="I746" s="25">
        <f t="shared" si="227"/>
        <v>123.88</v>
      </c>
      <c r="J746" s="25" t="s">
        <v>17</v>
      </c>
      <c r="K746" s="26">
        <f>_xlfn.XLOOKUP($E746,PREÇO!$C$7:$C$91,PREÇO!$E$7:$E$91)</f>
        <v>2.19</v>
      </c>
      <c r="L746" s="66">
        <f>IF(SUM(F746:K746)=0,SUMIFS($L747:$L$1593,$B747:$B$1593,$B746,$A747:$A$1593,$A746),I746*K746)</f>
        <v>271.29719999999998</v>
      </c>
      <c r="N746"/>
      <c r="O746"/>
      <c r="P746" s="28"/>
      <c r="Q746" s="28"/>
      <c r="R746" s="28"/>
    </row>
    <row r="747" spans="1:18" outlineLevel="1">
      <c r="A747" s="24" t="str">
        <f t="shared" si="224"/>
        <v>GERAL</v>
      </c>
      <c r="B747" s="24" t="str">
        <f t="shared" si="225"/>
        <v>62º PAV. - ÁREA TÉCNICA 04</v>
      </c>
      <c r="C747" s="30" t="s">
        <v>221</v>
      </c>
      <c r="D747" s="86" t="s">
        <v>46</v>
      </c>
      <c r="E747" s="98" t="s">
        <v>44</v>
      </c>
      <c r="F747" s="30">
        <f>'Técnico 4'!E44</f>
        <v>105.29</v>
      </c>
      <c r="G747" s="25">
        <v>1</v>
      </c>
      <c r="H747" s="25">
        <v>0</v>
      </c>
      <c r="I747" s="25">
        <f t="shared" si="227"/>
        <v>105.29</v>
      </c>
      <c r="J747" s="25" t="s">
        <v>17</v>
      </c>
      <c r="K747" s="26">
        <f>_xlfn.XLOOKUP($E747,PREÇO!$C$7:$C$91,PREÇO!$E$7:$E$91)</f>
        <v>2.5299999999999998</v>
      </c>
      <c r="L747" s="66">
        <f>IF(SUM(F747:K747)=0,SUMIFS($L748:$L$1593,$B748:$B$1593,$B747,$A748:$A$1593,$A747),I747*K747)</f>
        <v>266.38369999999998</v>
      </c>
      <c r="N747"/>
      <c r="O747"/>
      <c r="P747" s="28"/>
      <c r="Q747" s="28"/>
      <c r="R747" s="28"/>
    </row>
    <row r="748" spans="1:18" outlineLevel="1">
      <c r="A748" s="24" t="str">
        <f t="shared" si="224"/>
        <v>GERAL</v>
      </c>
      <c r="B748" s="24" t="str">
        <f t="shared" si="225"/>
        <v>62º PAV. - ÁREA TÉCNICA 04</v>
      </c>
      <c r="C748" s="30" t="s">
        <v>221</v>
      </c>
      <c r="D748" s="86" t="s">
        <v>89</v>
      </c>
      <c r="E748" s="30" t="s">
        <v>185</v>
      </c>
      <c r="F748" s="30">
        <f>'Técnico 4'!E47</f>
        <v>97.87</v>
      </c>
      <c r="G748" s="25">
        <v>1</v>
      </c>
      <c r="H748" s="25">
        <v>0</v>
      </c>
      <c r="I748" s="25">
        <f t="shared" si="227"/>
        <v>97.87</v>
      </c>
      <c r="J748" s="25" t="s">
        <v>17</v>
      </c>
      <c r="K748" s="26">
        <f>_xlfn.XLOOKUP($E748,PREÇO!$C$7:$C$91,PREÇO!$E$7:$E$91)</f>
        <v>0.99</v>
      </c>
      <c r="L748" s="66">
        <f>IF(SUM(F748:K748)=0,SUMIFS($L749:$L$1593,$B749:$B$1593,$B748,$A749:$A$1593,$A748),I748*K748)</f>
        <v>96.891300000000001</v>
      </c>
      <c r="N748"/>
      <c r="O748"/>
      <c r="P748" s="28"/>
      <c r="Q748" s="28"/>
      <c r="R748" s="28"/>
    </row>
    <row r="749" spans="1:18" ht="15.75" outlineLevel="1" thickBot="1">
      <c r="A749" s="24" t="str">
        <f t="shared" si="224"/>
        <v>GERAL</v>
      </c>
      <c r="B749" s="24" t="str">
        <f t="shared" si="225"/>
        <v>62º PAV. - ÁREA TÉCNICA 04</v>
      </c>
      <c r="C749" s="30" t="s">
        <v>221</v>
      </c>
      <c r="D749" s="86" t="s">
        <v>89</v>
      </c>
      <c r="E749" s="30" t="s">
        <v>186</v>
      </c>
      <c r="F749" s="30">
        <f>'Técnico 4'!E48</f>
        <v>9.6</v>
      </c>
      <c r="G749" s="25">
        <v>1</v>
      </c>
      <c r="H749" s="25">
        <v>0</v>
      </c>
      <c r="I749" s="25">
        <f t="shared" si="227"/>
        <v>9.6</v>
      </c>
      <c r="J749" s="25" t="s">
        <v>17</v>
      </c>
      <c r="K749" s="26">
        <f>_xlfn.XLOOKUP($E749,PREÇO!$C$7:$C$91,PREÇO!$E$7:$E$91)</f>
        <v>1.69</v>
      </c>
      <c r="L749" s="66">
        <f>IF(SUM(F749:K749)=0,SUMIFS($L750:$L$1593,$B750:$B$1593,$B749,$A750:$A$1593,$A749),I749*K749)</f>
        <v>16.224</v>
      </c>
      <c r="N749"/>
      <c r="O749"/>
      <c r="P749" s="28"/>
      <c r="Q749" s="28"/>
      <c r="R749" s="28"/>
    </row>
    <row r="750" spans="1:18" ht="15.75" thickTop="1">
      <c r="A750" s="82" t="s">
        <v>19</v>
      </c>
      <c r="B750" s="82" t="s">
        <v>177</v>
      </c>
      <c r="C750" s="43"/>
      <c r="D750" s="44" t="str">
        <f>'Técnico 4'!C49</f>
        <v/>
      </c>
      <c r="E750" s="44" t="str">
        <f>'Técnico 4'!D49</f>
        <v/>
      </c>
      <c r="F750" s="45" t="str">
        <f>'Técnico 4'!E49</f>
        <v/>
      </c>
      <c r="G750" s="45"/>
      <c r="H750" s="45"/>
      <c r="I750" s="45"/>
      <c r="J750" s="45"/>
      <c r="K750" s="47"/>
      <c r="L750" s="48">
        <f>IF(SUM(F750:K750)=0,SUMIFS($L751:$L$1593,$B751:$B$1593,$B750,$A751:$A$1593,$A750),I750*K750)</f>
        <v>6203.868599999998</v>
      </c>
      <c r="N750"/>
      <c r="O750"/>
      <c r="P750" s="28"/>
      <c r="Q750" s="28"/>
      <c r="R750" s="28"/>
    </row>
    <row r="751" spans="1:18" outlineLevel="1">
      <c r="A751" s="24" t="str">
        <f>A750</f>
        <v>GERAL</v>
      </c>
      <c r="B751" s="24" t="str">
        <f>B750</f>
        <v>63º PAV. - LAZER 03</v>
      </c>
      <c r="C751" s="30" t="s">
        <v>221</v>
      </c>
      <c r="D751" s="30" t="str">
        <f>'Lazer 3'!C6</f>
        <v>Acionadores</v>
      </c>
      <c r="E751" s="30" t="str">
        <f>'Lazer 3'!D6</f>
        <v>Acionador Manual de Alarme de Incêndio</v>
      </c>
      <c r="F751" s="30">
        <f>'Lazer 3'!E6</f>
        <v>1</v>
      </c>
      <c r="G751" s="25">
        <v>1</v>
      </c>
      <c r="H751" s="25">
        <v>0</v>
      </c>
      <c r="I751" s="25">
        <f t="shared" si="227"/>
        <v>1</v>
      </c>
      <c r="J751" s="25" t="s">
        <v>16</v>
      </c>
      <c r="K751" s="26">
        <f>_xlfn.XLOOKUP($E751,PREÇO!$C$7:$C$91,PREÇO!$E$7:$E$91)</f>
        <v>65</v>
      </c>
      <c r="L751" s="66">
        <f>IF(SUM(F751:K751)=0,SUMIFS($L752:$L$1593,$B752:$B$1593,$B751,$A752:$A$1593,$A751),I751*K751)</f>
        <v>65</v>
      </c>
      <c r="N751"/>
      <c r="O751"/>
      <c r="P751" s="28"/>
      <c r="Q751" s="28"/>
      <c r="R751" s="28"/>
    </row>
    <row r="752" spans="1:18" outlineLevel="1">
      <c r="A752" s="24" t="str">
        <f t="shared" ref="A752:A755" si="228">A751</f>
        <v>GERAL</v>
      </c>
      <c r="B752" s="24" t="str">
        <f t="shared" ref="B752:B755" si="229">B751</f>
        <v>63º PAV. - LAZER 03</v>
      </c>
      <c r="C752" s="30" t="s">
        <v>221</v>
      </c>
      <c r="D752" s="30" t="str">
        <f>'Lazer 3'!C7</f>
        <v>Anunciadores</v>
      </c>
      <c r="E752" s="30" t="str">
        <f>'Lazer 3'!D7</f>
        <v>Anunciador Audiovisual de Alarme de Incêndio de Parede</v>
      </c>
      <c r="F752" s="30">
        <f>'Lazer 3'!E7</f>
        <v>1</v>
      </c>
      <c r="G752" s="25">
        <v>1</v>
      </c>
      <c r="H752" s="25">
        <v>0</v>
      </c>
      <c r="I752" s="25">
        <f t="shared" ref="I752:I781" si="230">(F752+H752*F752)*G752</f>
        <v>1</v>
      </c>
      <c r="J752" s="25" t="s">
        <v>16</v>
      </c>
      <c r="K752" s="26">
        <f>_xlfn.XLOOKUP($E752,PREÇO!$C$7:$C$91,PREÇO!$E$7:$E$91)</f>
        <v>191.81</v>
      </c>
      <c r="L752" s="66">
        <f>IF(SUM(F752:K752)=0,SUMIFS($L753:$L$1593,$B753:$B$1593,$B752,$A753:$A$1593,$A752),I752*K752)</f>
        <v>191.81</v>
      </c>
      <c r="N752"/>
      <c r="O752"/>
      <c r="P752" s="28"/>
      <c r="Q752" s="28"/>
      <c r="R752" s="28"/>
    </row>
    <row r="753" spans="1:18" outlineLevel="1">
      <c r="A753" s="24" t="str">
        <f t="shared" si="228"/>
        <v>GERAL</v>
      </c>
      <c r="B753" s="24" t="str">
        <f t="shared" si="229"/>
        <v>63º PAV. - LAZER 03</v>
      </c>
      <c r="C753" s="30" t="s">
        <v>221</v>
      </c>
      <c r="D753" s="30" t="str">
        <f>'Lazer 3'!C8</f>
        <v>Atuadores</v>
      </c>
      <c r="E753" s="30" t="str">
        <f>'Lazer 3'!D8</f>
        <v>Atuador Janela Desenfumagem</v>
      </c>
      <c r="F753" s="30">
        <f>'Lazer 3'!E8</f>
        <v>1</v>
      </c>
      <c r="G753" s="25">
        <v>1</v>
      </c>
      <c r="H753" s="25">
        <v>0</v>
      </c>
      <c r="I753" s="25">
        <f t="shared" si="230"/>
        <v>1</v>
      </c>
      <c r="J753" s="25" t="s">
        <v>16</v>
      </c>
      <c r="K753" s="26">
        <f>_xlfn.XLOOKUP($E753,PREÇO!$C$7:$C$91,PREÇO!$E$7:$E$91)</f>
        <v>1150</v>
      </c>
      <c r="L753" s="66">
        <f>IF(SUM(F753:K753)=0,SUMIFS($L754:$L$1593,$B754:$B$1593,$B753,$A754:$A$1593,$A753),I753*K753)</f>
        <v>1150</v>
      </c>
      <c r="N753"/>
      <c r="O753"/>
      <c r="P753" s="28"/>
      <c r="Q753" s="28"/>
      <c r="R753" s="28"/>
    </row>
    <row r="754" spans="1:18" outlineLevel="1">
      <c r="A754" s="24" t="str">
        <f t="shared" si="228"/>
        <v>GERAL</v>
      </c>
      <c r="B754" s="24" t="str">
        <f t="shared" si="229"/>
        <v>63º PAV. - LAZER 03</v>
      </c>
      <c r="C754" s="30" t="s">
        <v>221</v>
      </c>
      <c r="D754" s="30" t="str">
        <f>'Lazer 3'!C9</f>
        <v>Atuadores</v>
      </c>
      <c r="E754" s="30" t="str">
        <f>'Lazer 3'!D9</f>
        <v>Dispositivo Eletromagnético de Porta Aberta</v>
      </c>
      <c r="F754" s="30">
        <f>'Lazer 3'!E9</f>
        <v>1</v>
      </c>
      <c r="G754" s="25">
        <v>1</v>
      </c>
      <c r="H754" s="25">
        <v>0</v>
      </c>
      <c r="I754" s="25">
        <f t="shared" si="230"/>
        <v>1</v>
      </c>
      <c r="J754" s="25" t="s">
        <v>16</v>
      </c>
      <c r="K754" s="26">
        <f>_xlfn.XLOOKUP($E754,PREÇO!$C$7:$C$91,PREÇO!$E$7:$E$91)</f>
        <v>416.9</v>
      </c>
      <c r="L754" s="66">
        <f>IF(SUM(F754:K754)=0,SUMIFS($L755:$L$1593,$B755:$B$1593,$B754,$A755:$A$1593,$A754),I754*K754)</f>
        <v>416.9</v>
      </c>
      <c r="N754"/>
      <c r="O754"/>
      <c r="P754" s="28"/>
      <c r="Q754" s="28"/>
      <c r="R754" s="28"/>
    </row>
    <row r="755" spans="1:18" outlineLevel="1">
      <c r="A755" s="24" t="str">
        <f t="shared" si="228"/>
        <v>GERAL</v>
      </c>
      <c r="B755" s="24" t="str">
        <f t="shared" si="229"/>
        <v>63º PAV. - LAZER 03</v>
      </c>
      <c r="C755" s="30" t="s">
        <v>221</v>
      </c>
      <c r="D755" s="30" t="str">
        <f>'Lazer 3'!C10</f>
        <v>Sensores</v>
      </c>
      <c r="E755" s="30" t="str">
        <f>'Lazer 3'!D10</f>
        <v>Sensor de Fumaça</v>
      </c>
      <c r="F755" s="30">
        <f>'Lazer 3'!E10</f>
        <v>3</v>
      </c>
      <c r="G755" s="25">
        <v>1</v>
      </c>
      <c r="H755" s="25">
        <v>0</v>
      </c>
      <c r="I755" s="25">
        <f t="shared" si="230"/>
        <v>3</v>
      </c>
      <c r="J755" s="25" t="s">
        <v>16</v>
      </c>
      <c r="K755" s="26">
        <f>_xlfn.XLOOKUP($E755,PREÇO!$C$7:$C$91,PREÇO!$E$7:$E$91)</f>
        <v>53.9</v>
      </c>
      <c r="L755" s="66">
        <f>IF(SUM(F755:K755)=0,SUMIFS($L756:$L$1593,$B756:$B$1593,$B755,$A756:$A$1593,$A755),I755*K755)</f>
        <v>161.69999999999999</v>
      </c>
      <c r="N755"/>
      <c r="O755"/>
      <c r="P755" s="28"/>
      <c r="Q755" s="28"/>
      <c r="R755" s="28"/>
    </row>
    <row r="756" spans="1:18" outlineLevel="1">
      <c r="A756" s="24" t="str">
        <f t="shared" ref="A756:A779" si="231">A755</f>
        <v>GERAL</v>
      </c>
      <c r="B756" s="24" t="str">
        <f t="shared" ref="B756:B779" si="232">B755</f>
        <v>63º PAV. - LAZER 03</v>
      </c>
      <c r="C756" s="30" t="s">
        <v>221</v>
      </c>
      <c r="D756" s="30" t="str">
        <f>'Lazer 3'!C13</f>
        <v>Caixas</v>
      </c>
      <c r="E756" s="30" t="str">
        <f>'Lazer 3'!D13</f>
        <v>Caixa Octogonal Padrão NBR IEC 60670</v>
      </c>
      <c r="F756" s="30">
        <f>'Lazer 3'!E13</f>
        <v>14</v>
      </c>
      <c r="G756" s="25">
        <v>1</v>
      </c>
      <c r="H756" s="25">
        <v>0</v>
      </c>
      <c r="I756" s="25">
        <f t="shared" si="230"/>
        <v>14</v>
      </c>
      <c r="J756" s="25" t="s">
        <v>16</v>
      </c>
      <c r="K756" s="26">
        <f>_xlfn.XLOOKUP($E756,PREÇO!$C$7:$C$91,PREÇO!$E$7:$E$91)</f>
        <v>5.32</v>
      </c>
      <c r="L756" s="66">
        <f>IF(SUM(F756:K756)=0,SUMIFS($L757:$L$1593,$B757:$B$1593,$B756,$A757:$A$1593,$A756),I756*K756)</f>
        <v>74.48</v>
      </c>
      <c r="N756"/>
      <c r="O756"/>
      <c r="P756" s="28"/>
      <c r="Q756" s="28"/>
      <c r="R756" s="28"/>
    </row>
    <row r="757" spans="1:18" outlineLevel="1">
      <c r="A757" s="24" t="str">
        <f t="shared" si="231"/>
        <v>GERAL</v>
      </c>
      <c r="B757" s="24" t="str">
        <f t="shared" si="232"/>
        <v>63º PAV. - LAZER 03</v>
      </c>
      <c r="C757" s="30" t="s">
        <v>221</v>
      </c>
      <c r="D757" s="30" t="str">
        <f>'Lazer 3'!C14</f>
        <v>Placas</v>
      </c>
      <c r="E757" s="30" t="str">
        <f>'Lazer 3'!D14</f>
        <v>Placa cega para caixa octogonal Padrão NBR IEC 60670</v>
      </c>
      <c r="F757" s="30">
        <f>'Lazer 3'!E14</f>
        <v>3</v>
      </c>
      <c r="G757" s="25">
        <v>1</v>
      </c>
      <c r="H757" s="25">
        <v>0</v>
      </c>
      <c r="I757" s="25">
        <f t="shared" si="230"/>
        <v>3</v>
      </c>
      <c r="J757" s="25" t="s">
        <v>16</v>
      </c>
      <c r="K757" s="26">
        <f>_xlfn.XLOOKUP($E757,PREÇO!$C$7:$C$91,PREÇO!$E$7:$E$91)</f>
        <v>2.5</v>
      </c>
      <c r="L757" s="66">
        <f>IF(SUM(F757:K757)=0,SUMIFS($L758:$L$1593,$B758:$B$1593,$B757,$A758:$A$1593,$A757),I757*K757)</f>
        <v>7.5</v>
      </c>
      <c r="N757"/>
      <c r="O757"/>
      <c r="P757" s="28"/>
      <c r="Q757" s="28"/>
      <c r="R757" s="28"/>
    </row>
    <row r="758" spans="1:18" outlineLevel="1">
      <c r="A758" s="24" t="str">
        <f t="shared" si="231"/>
        <v>GERAL</v>
      </c>
      <c r="B758" s="24" t="str">
        <f t="shared" si="232"/>
        <v>63º PAV. - LAZER 03</v>
      </c>
      <c r="C758" s="30" t="s">
        <v>221</v>
      </c>
      <c r="D758" s="30" t="str">
        <f>'Lazer 3'!C17</f>
        <v>Caixas</v>
      </c>
      <c r="E758" s="30" t="str">
        <f>'Lazer 3'!D17</f>
        <v>Caixa 4x2" de Embutir em PVC Padrão NBR IEC 60670</v>
      </c>
      <c r="F758" s="30">
        <f>'Lazer 3'!E17</f>
        <v>24</v>
      </c>
      <c r="G758" s="25">
        <v>1</v>
      </c>
      <c r="H758" s="25">
        <v>0</v>
      </c>
      <c r="I758" s="25">
        <f t="shared" si="230"/>
        <v>24</v>
      </c>
      <c r="J758" s="25" t="s">
        <v>16</v>
      </c>
      <c r="K758" s="26">
        <f>_xlfn.XLOOKUP($E758,PREÇO!$C$7:$C$91,PREÇO!$E$7:$E$91)</f>
        <v>1.72</v>
      </c>
      <c r="L758" s="66">
        <f>IF(SUM(F758:K758)=0,SUMIFS($L759:$L$1593,$B759:$B$1593,$B758,$A759:$A$1593,$A758),I758*K758)</f>
        <v>41.28</v>
      </c>
      <c r="N758"/>
      <c r="O758"/>
      <c r="P758" s="28"/>
      <c r="Q758" s="28"/>
      <c r="R758" s="28"/>
    </row>
    <row r="759" spans="1:18" outlineLevel="1">
      <c r="A759" s="24" t="str">
        <f t="shared" si="231"/>
        <v>GERAL</v>
      </c>
      <c r="B759" s="24" t="str">
        <f t="shared" si="232"/>
        <v>63º PAV. - LAZER 03</v>
      </c>
      <c r="C759" s="30" t="s">
        <v>221</v>
      </c>
      <c r="D759" s="30" t="str">
        <f>'Lazer 3'!C18</f>
        <v>Placas</v>
      </c>
      <c r="E759" s="30" t="str">
        <f>'Lazer 3'!D18</f>
        <v>Placa 4x2" cega Padrão NBR IEC 60670</v>
      </c>
      <c r="F759" s="30">
        <f>'Lazer 3'!E18</f>
        <v>15</v>
      </c>
      <c r="G759" s="25">
        <v>1</v>
      </c>
      <c r="H759" s="25">
        <v>0</v>
      </c>
      <c r="I759" s="25">
        <f t="shared" si="230"/>
        <v>15</v>
      </c>
      <c r="J759" s="25" t="s">
        <v>16</v>
      </c>
      <c r="K759" s="26">
        <f>_xlfn.XLOOKUP($E759,PREÇO!$C$7:$C$91,PREÇO!$E$7:$E$91)</f>
        <v>4.59</v>
      </c>
      <c r="L759" s="66">
        <f>IF(SUM(F759:K759)=0,SUMIFS($L760:$L$1593,$B760:$B$1593,$B759,$A760:$A$1593,$A759),I759*K759)</f>
        <v>68.849999999999994</v>
      </c>
      <c r="N759"/>
      <c r="O759"/>
      <c r="P759" s="28"/>
      <c r="Q759" s="28"/>
      <c r="R759" s="28"/>
    </row>
    <row r="760" spans="1:18" outlineLevel="1">
      <c r="A760" s="24" t="str">
        <f t="shared" si="231"/>
        <v>GERAL</v>
      </c>
      <c r="B760" s="24" t="str">
        <f t="shared" si="232"/>
        <v>63º PAV. - LAZER 03</v>
      </c>
      <c r="C760" s="30" t="s">
        <v>221</v>
      </c>
      <c r="D760" s="30" t="str">
        <f>'Lazer 3'!C19</f>
        <v>Placas</v>
      </c>
      <c r="E760" s="30" t="str">
        <f>'Lazer 3'!D19</f>
        <v>Placa 4x2" com furo para saída de cabos Padrão NBR IEC 60670</v>
      </c>
      <c r="F760" s="30">
        <f>'Lazer 3'!E19</f>
        <v>9</v>
      </c>
      <c r="G760" s="25">
        <v>1</v>
      </c>
      <c r="H760" s="25">
        <v>0</v>
      </c>
      <c r="I760" s="25">
        <f t="shared" si="230"/>
        <v>9</v>
      </c>
      <c r="J760" s="25" t="s">
        <v>16</v>
      </c>
      <c r="K760" s="26">
        <f>_xlfn.XLOOKUP($E760,PREÇO!$C$7:$C$91,PREÇO!$E$7:$E$91)</f>
        <v>6.55</v>
      </c>
      <c r="L760" s="66">
        <f>IF(SUM(F760:K760)=0,SUMIFS($L761:$L$1593,$B761:$B$1593,$B760,$A761:$A$1593,$A760),I760*K760)</f>
        <v>58.949999999999996</v>
      </c>
      <c r="N760"/>
      <c r="O760"/>
      <c r="P760" s="28"/>
      <c r="Q760" s="28"/>
      <c r="R760" s="28"/>
    </row>
    <row r="761" spans="1:18" outlineLevel="1">
      <c r="A761" s="24" t="str">
        <f t="shared" si="231"/>
        <v>GERAL</v>
      </c>
      <c r="B761" s="24" t="str">
        <f t="shared" si="232"/>
        <v>63º PAV. - LAZER 03</v>
      </c>
      <c r="C761" s="30" t="s">
        <v>221</v>
      </c>
      <c r="D761" s="30" t="str">
        <f>'Lazer 3'!C20</f>
        <v>Suportes</v>
      </c>
      <c r="E761" s="30" t="str">
        <f>'Lazer 3'!D20</f>
        <v>Suporte p/ caixa 4x2" Padrão NBR IEC 60670</v>
      </c>
      <c r="F761" s="30">
        <f>'Lazer 3'!E20</f>
        <v>24</v>
      </c>
      <c r="G761" s="25">
        <v>1</v>
      </c>
      <c r="H761" s="25">
        <v>0</v>
      </c>
      <c r="I761" s="25">
        <f t="shared" si="230"/>
        <v>24</v>
      </c>
      <c r="J761" s="25" t="s">
        <v>16</v>
      </c>
      <c r="K761" s="26">
        <f>_xlfn.XLOOKUP($E761,PREÇO!$C$7:$C$91,PREÇO!$E$7:$E$91)</f>
        <v>1.85</v>
      </c>
      <c r="L761" s="66">
        <f>IF(SUM(F761:K761)=0,SUMIFS($L762:$L$1593,$B762:$B$1593,$B761,$A762:$A$1593,$A761),I761*K761)</f>
        <v>44.400000000000006</v>
      </c>
      <c r="N761"/>
      <c r="O761"/>
      <c r="P761" s="28"/>
      <c r="Q761" s="28"/>
      <c r="R761" s="28"/>
    </row>
    <row r="762" spans="1:18" outlineLevel="1">
      <c r="A762" s="24" t="str">
        <f t="shared" si="231"/>
        <v>GERAL</v>
      </c>
      <c r="B762" s="24" t="str">
        <f t="shared" si="232"/>
        <v>63º PAV. - LAZER 03</v>
      </c>
      <c r="C762" s="30" t="s">
        <v>221</v>
      </c>
      <c r="D762" s="86" t="s">
        <v>46</v>
      </c>
      <c r="E762" s="30" t="s">
        <v>44</v>
      </c>
      <c r="F762" s="30">
        <f>'Lazer 3'!E23</f>
        <v>13.77</v>
      </c>
      <c r="G762" s="25">
        <v>1</v>
      </c>
      <c r="H762" s="25">
        <v>0</v>
      </c>
      <c r="I762" s="25">
        <f t="shared" si="230"/>
        <v>13.77</v>
      </c>
      <c r="J762" s="25" t="s">
        <v>17</v>
      </c>
      <c r="K762" s="26">
        <f>_xlfn.XLOOKUP($E762,PREÇO!$C$7:$C$91,PREÇO!$E$7:$E$91)</f>
        <v>2.5299999999999998</v>
      </c>
      <c r="L762" s="66">
        <f>IF(SUM(F762:K762)=0,SUMIFS($L763:$L$1593,$B763:$B$1593,$B762,$A763:$A$1593,$A762),I762*K762)</f>
        <v>34.838099999999997</v>
      </c>
      <c r="N762"/>
      <c r="O762"/>
      <c r="P762" s="28"/>
      <c r="Q762" s="28"/>
      <c r="R762" s="28"/>
    </row>
    <row r="763" spans="1:18" outlineLevel="1">
      <c r="A763" s="24" t="str">
        <f t="shared" si="231"/>
        <v>GERAL</v>
      </c>
      <c r="B763" s="24" t="str">
        <f t="shared" si="232"/>
        <v>63º PAV. - LAZER 03</v>
      </c>
      <c r="C763" s="30" t="s">
        <v>221</v>
      </c>
      <c r="D763" s="86" t="s">
        <v>46</v>
      </c>
      <c r="E763" s="30" t="s">
        <v>45</v>
      </c>
      <c r="F763" s="30">
        <f>'Lazer 3'!E24</f>
        <v>130.69999999999999</v>
      </c>
      <c r="G763" s="25">
        <v>1</v>
      </c>
      <c r="H763" s="25">
        <v>0</v>
      </c>
      <c r="I763" s="25">
        <f t="shared" si="230"/>
        <v>130.69999999999999</v>
      </c>
      <c r="J763" s="25" t="s">
        <v>17</v>
      </c>
      <c r="K763" s="26">
        <f>_xlfn.XLOOKUP($E763,PREÇO!$C$7:$C$91,PREÇO!$E$7:$E$91)</f>
        <v>1.8</v>
      </c>
      <c r="L763" s="66">
        <f>IF(SUM(F763:K763)=0,SUMIFS($L764:$L$1593,$B764:$B$1593,$B763,$A764:$A$1593,$A763),I763*K763)</f>
        <v>235.26</v>
      </c>
      <c r="N763"/>
      <c r="O763"/>
      <c r="P763" s="28"/>
      <c r="Q763" s="28"/>
      <c r="R763" s="28"/>
    </row>
    <row r="764" spans="1:18" outlineLevel="1">
      <c r="A764" s="24" t="str">
        <f t="shared" si="231"/>
        <v>GERAL</v>
      </c>
      <c r="B764" s="24" t="str">
        <f t="shared" si="232"/>
        <v>63º PAV. - LAZER 03</v>
      </c>
      <c r="C764" s="30" t="s">
        <v>220</v>
      </c>
      <c r="D764" s="30" t="str">
        <f>'Lazer 3'!C27</f>
        <v>Luminárias e Placas de Saída</v>
      </c>
      <c r="E764" s="30" t="str">
        <f>'Lazer 3'!D27</f>
        <v>Luminária de Emergência 24V de Parede</v>
      </c>
      <c r="F764" s="30">
        <f>'Lazer 3'!E27</f>
        <v>15</v>
      </c>
      <c r="G764" s="25">
        <v>1</v>
      </c>
      <c r="H764" s="25">
        <v>0</v>
      </c>
      <c r="I764" s="25">
        <f t="shared" si="230"/>
        <v>15</v>
      </c>
      <c r="J764" s="25" t="s">
        <v>16</v>
      </c>
      <c r="K764" s="26">
        <f>_xlfn.XLOOKUP($E764,PREÇO!$C$7:$C$91,PREÇO!$E$7:$E$91)</f>
        <v>15.9</v>
      </c>
      <c r="L764" s="66">
        <f>IF(SUM(F764:K764)=0,SUMIFS($L765:$L$1593,$B765:$B$1593,$B764,$A765:$A$1593,$A764),I764*K764)</f>
        <v>238.5</v>
      </c>
      <c r="N764"/>
      <c r="O764"/>
      <c r="P764" s="28"/>
      <c r="Q764" s="28"/>
      <c r="R764" s="28"/>
    </row>
    <row r="765" spans="1:18" outlineLevel="1">
      <c r="A765" s="24" t="str">
        <f t="shared" si="231"/>
        <v>GERAL</v>
      </c>
      <c r="B765" s="24" t="str">
        <f t="shared" si="232"/>
        <v>63º PAV. - LAZER 03</v>
      </c>
      <c r="C765" s="30" t="s">
        <v>220</v>
      </c>
      <c r="D765" s="30" t="str">
        <f>'Lazer 3'!C28</f>
        <v>Luminárias e Placas de Saída</v>
      </c>
      <c r="E765" s="30" t="str">
        <f>'Lazer 3'!D28</f>
        <v>Luminária de Emergência 24V de Teto</v>
      </c>
      <c r="F765" s="30">
        <f>'Lazer 3'!E28</f>
        <v>5</v>
      </c>
      <c r="G765" s="25">
        <v>1</v>
      </c>
      <c r="H765" s="25">
        <v>0</v>
      </c>
      <c r="I765" s="25">
        <f t="shared" si="230"/>
        <v>5</v>
      </c>
      <c r="J765" s="25" t="s">
        <v>16</v>
      </c>
      <c r="K765" s="26">
        <f>_xlfn.XLOOKUP($E765,PREÇO!$C$7:$C$91,PREÇO!$E$7:$E$91)</f>
        <v>69.900000000000006</v>
      </c>
      <c r="L765" s="66">
        <f>IF(SUM(F765:K765)=0,SUMIFS($L766:$L$1593,$B766:$B$1593,$B765,$A766:$A$1593,$A765),I765*K765)</f>
        <v>349.5</v>
      </c>
      <c r="N765"/>
      <c r="O765"/>
      <c r="P765" s="28"/>
      <c r="Q765" s="28"/>
      <c r="R765" s="28"/>
    </row>
    <row r="766" spans="1:18" outlineLevel="1">
      <c r="A766" s="24" t="str">
        <f t="shared" si="231"/>
        <v>GERAL</v>
      </c>
      <c r="B766" s="24" t="str">
        <f t="shared" si="232"/>
        <v>63º PAV. - LAZER 03</v>
      </c>
      <c r="C766" s="24" t="s">
        <v>222</v>
      </c>
      <c r="D766" s="30" t="str">
        <f>'Lazer 3'!C29</f>
        <v>Luminárias e Placas de Saída</v>
      </c>
      <c r="E766" s="30" t="str">
        <f>'Lazer 3'!D29</f>
        <v>Placa de Saída 24V de Parede com Direção</v>
      </c>
      <c r="F766" s="30">
        <f>'Lazer 3'!E29</f>
        <v>2</v>
      </c>
      <c r="G766" s="25">
        <v>1</v>
      </c>
      <c r="H766" s="25">
        <v>0</v>
      </c>
      <c r="I766" s="25">
        <f t="shared" si="230"/>
        <v>2</v>
      </c>
      <c r="J766" s="25" t="s">
        <v>16</v>
      </c>
      <c r="K766" s="26">
        <f>_xlfn.XLOOKUP($E766,PREÇO!$C$7:$C$91,PREÇO!$E$7:$E$91)</f>
        <v>67.900000000000006</v>
      </c>
      <c r="L766" s="66">
        <f>IF(SUM(F766:K766)=0,SUMIFS($L767:$L$1593,$B767:$B$1593,$B766,$A767:$A$1593,$A766),I766*K766)</f>
        <v>135.80000000000001</v>
      </c>
      <c r="N766"/>
      <c r="O766"/>
      <c r="P766" s="28"/>
      <c r="Q766" s="28"/>
      <c r="R766" s="28"/>
    </row>
    <row r="767" spans="1:18" outlineLevel="1">
      <c r="A767" s="24" t="str">
        <f t="shared" si="231"/>
        <v>GERAL</v>
      </c>
      <c r="B767" s="24" t="str">
        <f t="shared" si="232"/>
        <v>63º PAV. - LAZER 03</v>
      </c>
      <c r="C767" s="24" t="s">
        <v>222</v>
      </c>
      <c r="D767" s="30" t="str">
        <f>'Lazer 3'!C30</f>
        <v>Luminárias e Placas de Saída</v>
      </c>
      <c r="E767" s="30" t="str">
        <f>'Lazer 3'!D30</f>
        <v>Placa de Saída 24V de Parede sem Direção</v>
      </c>
      <c r="F767" s="30">
        <f>'Lazer 3'!E30</f>
        <v>3</v>
      </c>
      <c r="G767" s="25">
        <v>1</v>
      </c>
      <c r="H767" s="25">
        <v>0</v>
      </c>
      <c r="I767" s="25">
        <f t="shared" si="230"/>
        <v>3</v>
      </c>
      <c r="J767" s="25" t="s">
        <v>16</v>
      </c>
      <c r="K767" s="26">
        <f>_xlfn.XLOOKUP($E767,PREÇO!$C$7:$C$91,PREÇO!$E$7:$E$91)</f>
        <v>61.66</v>
      </c>
      <c r="L767" s="66">
        <f>IF(SUM(F767:K767)=0,SUMIFS($L769:$L$1593,$B769:$B$1593,$B767,$A769:$A$1593,$A767),I767*K767)</f>
        <v>184.98</v>
      </c>
      <c r="N767"/>
      <c r="O767"/>
      <c r="P767" s="28"/>
      <c r="Q767" s="28"/>
      <c r="R767" s="28"/>
    </row>
    <row r="768" spans="1:18" outlineLevel="1">
      <c r="A768" s="116" t="str">
        <f>A766</f>
        <v>GERAL</v>
      </c>
      <c r="B768" s="116" t="str">
        <f>B767</f>
        <v>63º PAV. - LAZER 03</v>
      </c>
      <c r="C768" s="116" t="s">
        <v>222</v>
      </c>
      <c r="D768" s="116" t="s">
        <v>223</v>
      </c>
      <c r="E768" s="116" t="s">
        <v>224</v>
      </c>
      <c r="F768" s="117">
        <v>2</v>
      </c>
      <c r="G768" s="117">
        <f>G767</f>
        <v>1</v>
      </c>
      <c r="H768" s="118">
        <v>0</v>
      </c>
      <c r="I768" s="117">
        <f t="shared" si="230"/>
        <v>2</v>
      </c>
      <c r="J768" s="117" t="s">
        <v>11</v>
      </c>
      <c r="K768" s="119">
        <f>_xlfn.XLOOKUP($E768,PREÇO!$C$7:$C$91,PREÇO!$E$7:$E$91)</f>
        <v>646.55999999999995</v>
      </c>
      <c r="L768" s="120">
        <f>IF(SUM(F768:K768)=0,SUMIFS($L769:$L$1593,$B769:$B$1593,$B768,$A769:$A$1593,$A768),I768*K768)</f>
        <v>1293.1199999999999</v>
      </c>
      <c r="N768"/>
      <c r="O768"/>
      <c r="P768" s="28"/>
      <c r="Q768" s="28"/>
      <c r="R768" s="28"/>
    </row>
    <row r="769" spans="1:18" outlineLevel="1">
      <c r="A769" s="24" t="str">
        <f>A767</f>
        <v>GERAL</v>
      </c>
      <c r="B769" s="24" t="str">
        <f>B767</f>
        <v>63º PAV. - LAZER 03</v>
      </c>
      <c r="C769" s="30" t="s">
        <v>220</v>
      </c>
      <c r="D769" s="30" t="str">
        <f>'Lazer 3'!C31</f>
        <v>Sensores de Presença</v>
      </c>
      <c r="E769" s="30" t="str">
        <f>'Lazer 3'!D31</f>
        <v>Sensor de Presença 24V de teto</v>
      </c>
      <c r="F769" s="30">
        <f>'Lazer 3'!E31</f>
        <v>3</v>
      </c>
      <c r="G769" s="25">
        <v>1</v>
      </c>
      <c r="H769" s="25">
        <v>0</v>
      </c>
      <c r="I769" s="25">
        <f t="shared" si="230"/>
        <v>3</v>
      </c>
      <c r="J769" s="25" t="s">
        <v>16</v>
      </c>
      <c r="K769" s="26">
        <f>_xlfn.XLOOKUP($E769,PREÇO!$C$7:$C$91,PREÇO!$E$7:$E$91)</f>
        <v>38.4</v>
      </c>
      <c r="L769" s="66">
        <f>IF(SUM(F769:K769)=0,SUMIFS($L770:$L$1593,$B770:$B$1593,$B769,$A770:$A$1593,$A769),I769*K769)</f>
        <v>115.19999999999999</v>
      </c>
      <c r="N769"/>
      <c r="O769"/>
      <c r="P769" s="28"/>
      <c r="Q769" s="28"/>
      <c r="R769" s="28"/>
    </row>
    <row r="770" spans="1:18" outlineLevel="1">
      <c r="A770" s="24" t="str">
        <f t="shared" si="231"/>
        <v>GERAL</v>
      </c>
      <c r="B770" s="24" t="str">
        <f t="shared" si="232"/>
        <v>63º PAV. - LAZER 03</v>
      </c>
      <c r="C770" s="30" t="s">
        <v>221</v>
      </c>
      <c r="D770" s="86" t="s">
        <v>87</v>
      </c>
      <c r="E770" s="30" t="s">
        <v>179</v>
      </c>
      <c r="F770" s="30">
        <f>'Lazer 3'!E34</f>
        <v>82.38</v>
      </c>
      <c r="G770" s="25">
        <v>1</v>
      </c>
      <c r="H770" s="25">
        <v>0</v>
      </c>
      <c r="I770" s="25">
        <f t="shared" si="230"/>
        <v>82.38</v>
      </c>
      <c r="J770" s="25" t="s">
        <v>17</v>
      </c>
      <c r="K770" s="26">
        <f>_xlfn.XLOOKUP($E770,PREÇO!$C$7:$C$91,PREÇO!$E$7:$E$91)</f>
        <v>1.59</v>
      </c>
      <c r="L770" s="66">
        <f>IF(SUM(F770:K770)=0,SUMIFS($L771:$L$1593,$B771:$B$1593,$B770,$A771:$A$1593,$A770),I770*K770)</f>
        <v>130.98419999999999</v>
      </c>
      <c r="N770"/>
      <c r="O770"/>
      <c r="P770" s="28"/>
      <c r="Q770" s="28"/>
      <c r="R770" s="28"/>
    </row>
    <row r="771" spans="1:18" outlineLevel="1">
      <c r="A771" s="24" t="str">
        <f t="shared" si="231"/>
        <v>GERAL</v>
      </c>
      <c r="B771" s="24" t="str">
        <f t="shared" si="232"/>
        <v>63º PAV. - LAZER 03</v>
      </c>
      <c r="C771" s="30" t="s">
        <v>221</v>
      </c>
      <c r="D771" s="86" t="s">
        <v>87</v>
      </c>
      <c r="E771" s="30" t="s">
        <v>180</v>
      </c>
      <c r="F771" s="30">
        <f>'Lazer 3'!E35</f>
        <v>66.5</v>
      </c>
      <c r="G771" s="25">
        <v>1</v>
      </c>
      <c r="H771" s="25">
        <v>0</v>
      </c>
      <c r="I771" s="25">
        <f t="shared" si="230"/>
        <v>66.5</v>
      </c>
      <c r="J771" s="25" t="s">
        <v>17</v>
      </c>
      <c r="K771" s="26">
        <f>_xlfn.XLOOKUP($E771,PREÇO!$C$7:$C$91,PREÇO!$E$7:$E$91)</f>
        <v>1.59</v>
      </c>
      <c r="L771" s="66">
        <f>IF(SUM(F771:K771)=0,SUMIFS($L772:$L$1593,$B772:$B$1593,$B771,$A772:$A$1593,$A771),I771*K771)</f>
        <v>105.735</v>
      </c>
      <c r="N771"/>
      <c r="O771"/>
      <c r="P771" s="28"/>
      <c r="Q771" s="28"/>
      <c r="R771" s="28"/>
    </row>
    <row r="772" spans="1:18" outlineLevel="1">
      <c r="A772" s="24" t="str">
        <f t="shared" si="231"/>
        <v>GERAL</v>
      </c>
      <c r="B772" s="24" t="str">
        <f t="shared" si="232"/>
        <v>63º PAV. - LAZER 03</v>
      </c>
      <c r="C772" s="30" t="s">
        <v>221</v>
      </c>
      <c r="D772" s="86" t="s">
        <v>87</v>
      </c>
      <c r="E772" s="30" t="s">
        <v>181</v>
      </c>
      <c r="F772" s="30">
        <f>'Lazer 3'!E36</f>
        <v>66.5</v>
      </c>
      <c r="G772" s="25">
        <v>1</v>
      </c>
      <c r="H772" s="25">
        <v>0</v>
      </c>
      <c r="I772" s="25">
        <f t="shared" si="230"/>
        <v>66.5</v>
      </c>
      <c r="J772" s="25" t="s">
        <v>17</v>
      </c>
      <c r="K772" s="26">
        <f>_xlfn.XLOOKUP($E772,PREÇO!$C$7:$C$91,PREÇO!$E$7:$E$91)</f>
        <v>1.59</v>
      </c>
      <c r="L772" s="66">
        <f>IF(SUM(F772:K772)=0,SUMIFS($L773:$L$1593,$B773:$B$1593,$B772,$A773:$A$1593,$A772),I772*K772)</f>
        <v>105.735</v>
      </c>
      <c r="N772"/>
      <c r="O772"/>
      <c r="P772" s="28"/>
      <c r="Q772" s="28"/>
      <c r="R772" s="28"/>
    </row>
    <row r="773" spans="1:18" outlineLevel="1">
      <c r="A773" s="24" t="str">
        <f t="shared" si="231"/>
        <v>GERAL</v>
      </c>
      <c r="B773" s="24" t="str">
        <f t="shared" si="232"/>
        <v>63º PAV. - LAZER 03</v>
      </c>
      <c r="C773" s="30" t="s">
        <v>221</v>
      </c>
      <c r="D773" s="86" t="s">
        <v>87</v>
      </c>
      <c r="E773" s="30" t="s">
        <v>182</v>
      </c>
      <c r="F773" s="30">
        <f>'Lazer 3'!E37</f>
        <v>39.020000000000003</v>
      </c>
      <c r="G773" s="25">
        <v>1</v>
      </c>
      <c r="H773" s="25">
        <v>0</v>
      </c>
      <c r="I773" s="25">
        <f t="shared" si="230"/>
        <v>39.020000000000003</v>
      </c>
      <c r="J773" s="25" t="s">
        <v>17</v>
      </c>
      <c r="K773" s="26">
        <f>_xlfn.XLOOKUP($E773,PREÇO!$C$7:$C$91,PREÇO!$E$7:$E$91)</f>
        <v>2.19</v>
      </c>
      <c r="L773" s="66">
        <f>IF(SUM(F773:K773)=0,SUMIFS($L774:$L$1593,$B774:$B$1593,$B773,$A774:$A$1593,$A773),I773*K773)</f>
        <v>85.453800000000001</v>
      </c>
      <c r="N773"/>
      <c r="O773"/>
      <c r="P773" s="28"/>
      <c r="Q773" s="28"/>
      <c r="R773" s="28"/>
    </row>
    <row r="774" spans="1:18" outlineLevel="1">
      <c r="A774" s="24" t="str">
        <f t="shared" si="231"/>
        <v>GERAL</v>
      </c>
      <c r="B774" s="24" t="str">
        <f t="shared" si="232"/>
        <v>63º PAV. - LAZER 03</v>
      </c>
      <c r="C774" s="30" t="s">
        <v>221</v>
      </c>
      <c r="D774" s="86" t="s">
        <v>87</v>
      </c>
      <c r="E774" s="30" t="s">
        <v>183</v>
      </c>
      <c r="F774" s="30">
        <f>'Lazer 3'!E38</f>
        <v>184.86</v>
      </c>
      <c r="G774" s="25">
        <v>1</v>
      </c>
      <c r="H774" s="25">
        <v>0</v>
      </c>
      <c r="I774" s="25">
        <f t="shared" si="230"/>
        <v>184.86</v>
      </c>
      <c r="J774" s="25" t="s">
        <v>17</v>
      </c>
      <c r="K774" s="26">
        <f>_xlfn.XLOOKUP($E774,PREÇO!$C$7:$C$91,PREÇO!$E$7:$E$91)</f>
        <v>2.19</v>
      </c>
      <c r="L774" s="66">
        <f>IF(SUM(F774:K774)=0,SUMIFS($L775:$L$1593,$B775:$B$1593,$B774,$A775:$A$1593,$A774),I774*K774)</f>
        <v>404.84340000000003</v>
      </c>
      <c r="N774"/>
      <c r="O774"/>
      <c r="P774" s="28"/>
      <c r="Q774" s="28"/>
      <c r="R774" s="28"/>
    </row>
    <row r="775" spans="1:18" outlineLevel="1">
      <c r="A775" s="24" t="str">
        <f t="shared" si="231"/>
        <v>GERAL</v>
      </c>
      <c r="B775" s="24" t="str">
        <f t="shared" si="232"/>
        <v>63º PAV. - LAZER 03</v>
      </c>
      <c r="C775" s="30" t="s">
        <v>221</v>
      </c>
      <c r="D775" s="86" t="s">
        <v>87</v>
      </c>
      <c r="E775" s="30" t="s">
        <v>184</v>
      </c>
      <c r="F775" s="30">
        <f>'Lazer 3'!E39</f>
        <v>184.86</v>
      </c>
      <c r="G775" s="25">
        <v>1</v>
      </c>
      <c r="H775" s="25">
        <v>0</v>
      </c>
      <c r="I775" s="25">
        <f t="shared" si="230"/>
        <v>184.86</v>
      </c>
      <c r="J775" s="25" t="s">
        <v>17</v>
      </c>
      <c r="K775" s="26">
        <f>_xlfn.XLOOKUP($E775,PREÇO!$C$7:$C$91,PREÇO!$E$7:$E$91)</f>
        <v>2.19</v>
      </c>
      <c r="L775" s="66">
        <f>IF(SUM(F775:K775)=0,SUMIFS($L776:$L$1593,$B776:$B$1593,$B775,$A776:$A$1593,$A775),I775*K775)</f>
        <v>404.84340000000003</v>
      </c>
      <c r="N775"/>
      <c r="O775"/>
      <c r="P775" s="28"/>
      <c r="Q775" s="28"/>
      <c r="R775" s="28"/>
    </row>
    <row r="776" spans="1:18" outlineLevel="1">
      <c r="A776" s="24" t="str">
        <f t="shared" si="231"/>
        <v>GERAL</v>
      </c>
      <c r="B776" s="24" t="str">
        <f t="shared" si="232"/>
        <v>63º PAV. - LAZER 03</v>
      </c>
      <c r="C776" s="30" t="s">
        <v>221</v>
      </c>
      <c r="D776" s="86" t="s">
        <v>46</v>
      </c>
      <c r="E776" s="30" t="s">
        <v>44</v>
      </c>
      <c r="F776" s="30">
        <f>'Lazer 3'!E43</f>
        <v>22.07</v>
      </c>
      <c r="G776" s="25">
        <v>1</v>
      </c>
      <c r="H776" s="25">
        <v>0</v>
      </c>
      <c r="I776" s="25">
        <f t="shared" si="230"/>
        <v>22.07</v>
      </c>
      <c r="J776" s="25" t="s">
        <v>17</v>
      </c>
      <c r="K776" s="26">
        <f>_xlfn.XLOOKUP($E776,PREÇO!$C$7:$C$91,PREÇO!$E$7:$E$91)</f>
        <v>2.5299999999999998</v>
      </c>
      <c r="L776" s="66">
        <f>IF(SUM(F776:K776)=0,SUMIFS($L777:$L$1593,$B777:$B$1593,$B776,$A777:$A$1593,$A776),I776*K776)</f>
        <v>55.8371</v>
      </c>
      <c r="N776"/>
      <c r="O776"/>
      <c r="P776" s="28"/>
      <c r="Q776" s="28"/>
      <c r="R776" s="28"/>
    </row>
    <row r="777" spans="1:18" outlineLevel="1">
      <c r="A777" s="24" t="str">
        <f t="shared" si="231"/>
        <v>GERAL</v>
      </c>
      <c r="B777" s="24" t="str">
        <f t="shared" si="232"/>
        <v>63º PAV. - LAZER 03</v>
      </c>
      <c r="C777" s="30" t="s">
        <v>221</v>
      </c>
      <c r="D777" s="86" t="s">
        <v>46</v>
      </c>
      <c r="E777" s="30" t="s">
        <v>45</v>
      </c>
      <c r="F777" s="30">
        <f>'Lazer 3'!E44</f>
        <v>1.1000000000000001</v>
      </c>
      <c r="G777" s="25">
        <v>1</v>
      </c>
      <c r="H777" s="25">
        <v>0</v>
      </c>
      <c r="I777" s="25">
        <f t="shared" si="230"/>
        <v>1.1000000000000001</v>
      </c>
      <c r="J777" s="25" t="s">
        <v>17</v>
      </c>
      <c r="K777" s="26">
        <f>_xlfn.XLOOKUP($E777,PREÇO!$C$7:$C$91,PREÇO!$E$7:$E$91)</f>
        <v>1.8</v>
      </c>
      <c r="L777" s="66">
        <f>IF(SUM(F777:K777)=0,SUMIFS($L778:$L$1593,$B778:$B$1593,$B777,$A778:$A$1593,$A777),I777*K777)</f>
        <v>1.9800000000000002</v>
      </c>
      <c r="N777"/>
      <c r="O777"/>
      <c r="P777" s="28"/>
      <c r="Q777" s="28"/>
      <c r="R777" s="28"/>
    </row>
    <row r="778" spans="1:18" outlineLevel="1">
      <c r="A778" s="24" t="str">
        <f t="shared" si="231"/>
        <v>GERAL</v>
      </c>
      <c r="B778" s="24" t="str">
        <f t="shared" si="232"/>
        <v>63º PAV. - LAZER 03</v>
      </c>
      <c r="C778" s="30" t="s">
        <v>221</v>
      </c>
      <c r="D778" s="86" t="s">
        <v>89</v>
      </c>
      <c r="E778" s="30" t="s">
        <v>185</v>
      </c>
      <c r="F778" s="30">
        <f>'Lazer 3'!E47</f>
        <v>22.07</v>
      </c>
      <c r="G778" s="25">
        <v>1</v>
      </c>
      <c r="H778" s="25">
        <v>0</v>
      </c>
      <c r="I778" s="25">
        <f t="shared" si="230"/>
        <v>22.07</v>
      </c>
      <c r="J778" s="25" t="s">
        <v>17</v>
      </c>
      <c r="K778" s="26">
        <f>_xlfn.XLOOKUP($E778,PREÇO!$C$7:$C$91,PREÇO!$E$7:$E$91)</f>
        <v>0.99</v>
      </c>
      <c r="L778" s="66">
        <f>IF(SUM(F778:K778)=0,SUMIFS($L779:$L$1593,$B779:$B$1593,$B778,$A779:$A$1593,$A778),I778*K778)</f>
        <v>21.849299999999999</v>
      </c>
      <c r="N778"/>
      <c r="O778"/>
      <c r="P778" s="28"/>
      <c r="Q778" s="28"/>
      <c r="R778" s="28"/>
    </row>
    <row r="779" spans="1:18" ht="15.75" outlineLevel="1" thickBot="1">
      <c r="A779" s="24" t="str">
        <f t="shared" si="231"/>
        <v>GERAL</v>
      </c>
      <c r="B779" s="24" t="str">
        <f t="shared" si="232"/>
        <v>63º PAV. - LAZER 03</v>
      </c>
      <c r="C779" s="30" t="s">
        <v>221</v>
      </c>
      <c r="D779" s="86" t="s">
        <v>89</v>
      </c>
      <c r="E779" s="30" t="s">
        <v>186</v>
      </c>
      <c r="F779" s="30">
        <f>'Lazer 3'!E48</f>
        <v>10.97</v>
      </c>
      <c r="G779" s="25">
        <v>1</v>
      </c>
      <c r="H779" s="25">
        <v>0</v>
      </c>
      <c r="I779" s="25">
        <f t="shared" si="230"/>
        <v>10.97</v>
      </c>
      <c r="J779" s="25" t="s">
        <v>17</v>
      </c>
      <c r="K779" s="26">
        <f>_xlfn.XLOOKUP($E779,PREÇO!$C$7:$C$91,PREÇO!$E$7:$E$91)</f>
        <v>1.69</v>
      </c>
      <c r="L779" s="66">
        <f>IF(SUM(F779:K779)=0,SUMIFS($L780:$L$1593,$B780:$B$1593,$B779,$A780:$A$1593,$A779),I779*K779)</f>
        <v>18.539300000000001</v>
      </c>
      <c r="N779"/>
      <c r="O779"/>
      <c r="P779" s="28"/>
      <c r="Q779" s="28"/>
      <c r="R779" s="28"/>
    </row>
    <row r="780" spans="1:18" ht="15.75" thickTop="1">
      <c r="A780" s="82" t="s">
        <v>19</v>
      </c>
      <c r="B780" s="82" t="s">
        <v>178</v>
      </c>
      <c r="C780" s="43"/>
      <c r="D780" s="44" t="str">
        <f>'Lazer 3'!C49</f>
        <v/>
      </c>
      <c r="E780" s="44" t="str">
        <f>'Lazer 3'!D49</f>
        <v/>
      </c>
      <c r="F780" s="45" t="str">
        <f>'Lazer 3'!E49</f>
        <v/>
      </c>
      <c r="G780" s="45"/>
      <c r="H780" s="45"/>
      <c r="I780" s="45"/>
      <c r="J780" s="45"/>
      <c r="K780" s="47"/>
      <c r="L780" s="48">
        <f>IF(SUM(F780:K780)=0,SUMIFS($L781:$L$1593,$B781:$B$1593,$B780,$A781:$A$1593,$A780),I780*K780)</f>
        <v>5695.4915999999976</v>
      </c>
      <c r="N780"/>
      <c r="O780"/>
      <c r="P780" s="28"/>
      <c r="Q780" s="28"/>
      <c r="R780" s="28"/>
    </row>
    <row r="781" spans="1:18" outlineLevel="1">
      <c r="A781" s="24" t="str">
        <f>A780</f>
        <v>GERAL</v>
      </c>
      <c r="B781" s="24" t="str">
        <f>B780</f>
        <v>64º PAV. - LAZER 04</v>
      </c>
      <c r="C781" s="30" t="s">
        <v>221</v>
      </c>
      <c r="D781" s="30" t="str">
        <f>'Lazer 4'!C6</f>
        <v>Acionadores</v>
      </c>
      <c r="E781" s="30" t="str">
        <f>'Lazer 4'!D6</f>
        <v>Acionador Manual de Alarme de Incêndio</v>
      </c>
      <c r="F781" s="30">
        <f>'Lazer 4'!E6</f>
        <v>1</v>
      </c>
      <c r="G781" s="25">
        <v>1</v>
      </c>
      <c r="H781" s="25">
        <v>0</v>
      </c>
      <c r="I781" s="25">
        <f t="shared" si="230"/>
        <v>1</v>
      </c>
      <c r="J781" s="25" t="str">
        <f>'Lazer 4'!F6</f>
        <v>pç</v>
      </c>
      <c r="K781" s="26">
        <f>_xlfn.XLOOKUP($E781,PREÇO!$C$7:$C$91,PREÇO!$E$7:$E$91)</f>
        <v>65</v>
      </c>
      <c r="L781" s="66">
        <f>IF(SUM(F781:K781)=0,SUMIFS($L782:$L$1593,$B782:$B$1593,$B781,$A782:$A$1593,$A781),I781*K781)</f>
        <v>65</v>
      </c>
      <c r="N781"/>
      <c r="O781"/>
      <c r="P781" s="28"/>
      <c r="Q781" s="28"/>
      <c r="R781" s="28"/>
    </row>
    <row r="782" spans="1:18" outlineLevel="1">
      <c r="A782" s="24" t="str">
        <f t="shared" ref="A782:A785" si="233">A781</f>
        <v>GERAL</v>
      </c>
      <c r="B782" s="24" t="str">
        <f t="shared" ref="B782:B785" si="234">B781</f>
        <v>64º PAV. - LAZER 04</v>
      </c>
      <c r="C782" s="30" t="s">
        <v>221</v>
      </c>
      <c r="D782" s="30" t="str">
        <f>'Lazer 4'!C7</f>
        <v>Anunciadores</v>
      </c>
      <c r="E782" s="30" t="str">
        <f>'Lazer 4'!D7</f>
        <v>Anunciador Audiovisual de Alarme de Incêndio de Parede</v>
      </c>
      <c r="F782" s="30">
        <f>'Lazer 4'!E7</f>
        <v>1</v>
      </c>
      <c r="G782" s="25">
        <v>1</v>
      </c>
      <c r="H782" s="25">
        <v>0</v>
      </c>
      <c r="I782" s="25">
        <f t="shared" ref="I782:I803" si="235">(F782+H782*F782)*G782</f>
        <v>1</v>
      </c>
      <c r="J782" s="25" t="str">
        <f>'Lazer 4'!F7</f>
        <v>pç</v>
      </c>
      <c r="K782" s="26">
        <f>_xlfn.XLOOKUP($E782,PREÇO!$C$7:$C$91,PREÇO!$E$7:$E$91)</f>
        <v>191.81</v>
      </c>
      <c r="L782" s="66">
        <f>IF(SUM(F782:K782)=0,SUMIFS($L783:$L$1593,$B783:$B$1593,$B782,$A783:$A$1593,$A782),I782*K782)</f>
        <v>191.81</v>
      </c>
      <c r="N782"/>
      <c r="O782"/>
      <c r="P782" s="28"/>
      <c r="Q782" s="28"/>
      <c r="R782" s="28"/>
    </row>
    <row r="783" spans="1:18" outlineLevel="1">
      <c r="A783" s="24" t="str">
        <f t="shared" si="233"/>
        <v>GERAL</v>
      </c>
      <c r="B783" s="24" t="str">
        <f t="shared" si="234"/>
        <v>64º PAV. - LAZER 04</v>
      </c>
      <c r="C783" s="30" t="s">
        <v>221</v>
      </c>
      <c r="D783" s="30" t="str">
        <f>'Lazer 4'!C8</f>
        <v>Atuadores</v>
      </c>
      <c r="E783" s="30" t="str">
        <f>'Lazer 4'!D8</f>
        <v>Atuador Janela Desenfumagem</v>
      </c>
      <c r="F783" s="30">
        <f>'Lazer 4'!E8</f>
        <v>1</v>
      </c>
      <c r="G783" s="25">
        <v>1</v>
      </c>
      <c r="H783" s="25">
        <v>0</v>
      </c>
      <c r="I783" s="25">
        <f t="shared" si="235"/>
        <v>1</v>
      </c>
      <c r="J783" s="25" t="str">
        <f>'Lazer 4'!F8</f>
        <v>pç</v>
      </c>
      <c r="K783" s="26">
        <f>_xlfn.XLOOKUP($E783,PREÇO!$C$7:$C$91,PREÇO!$E$7:$E$91)</f>
        <v>1150</v>
      </c>
      <c r="L783" s="66">
        <f>IF(SUM(F783:K783)=0,SUMIFS($L784:$L$1593,$B784:$B$1593,$B783,$A784:$A$1593,$A783),I783*K783)</f>
        <v>1150</v>
      </c>
      <c r="N783"/>
      <c r="O783"/>
      <c r="P783" s="28"/>
      <c r="Q783" s="28"/>
      <c r="R783" s="28"/>
    </row>
    <row r="784" spans="1:18" outlineLevel="1">
      <c r="A784" s="24" t="str">
        <f t="shared" si="233"/>
        <v>GERAL</v>
      </c>
      <c r="B784" s="24" t="str">
        <f t="shared" si="234"/>
        <v>64º PAV. - LAZER 04</v>
      </c>
      <c r="C784" s="30" t="s">
        <v>221</v>
      </c>
      <c r="D784" s="30" t="str">
        <f>'Lazer 4'!C9</f>
        <v>Atuadores</v>
      </c>
      <c r="E784" s="30" t="str">
        <f>'Lazer 4'!D9</f>
        <v>Dispositivo Eletromagnético de Porta Aberta</v>
      </c>
      <c r="F784" s="30">
        <f>'Lazer 4'!E9</f>
        <v>1</v>
      </c>
      <c r="G784" s="25">
        <v>1</v>
      </c>
      <c r="H784" s="25">
        <v>0</v>
      </c>
      <c r="I784" s="25">
        <f t="shared" si="235"/>
        <v>1</v>
      </c>
      <c r="J784" s="25" t="str">
        <f>'Lazer 4'!F9</f>
        <v>pç</v>
      </c>
      <c r="K784" s="26">
        <f>_xlfn.XLOOKUP($E784,PREÇO!$C$7:$C$91,PREÇO!$E$7:$E$91)</f>
        <v>416.9</v>
      </c>
      <c r="L784" s="66">
        <f>IF(SUM(F784:K784)=0,SUMIFS($L785:$L$1593,$B785:$B$1593,$B784,$A785:$A$1593,$A784),I784*K784)</f>
        <v>416.9</v>
      </c>
      <c r="N784"/>
      <c r="O784"/>
      <c r="P784" s="28"/>
      <c r="Q784" s="28"/>
      <c r="R784" s="28"/>
    </row>
    <row r="785" spans="1:18" outlineLevel="1">
      <c r="A785" s="24" t="str">
        <f t="shared" si="233"/>
        <v>GERAL</v>
      </c>
      <c r="B785" s="24" t="str">
        <f t="shared" si="234"/>
        <v>64º PAV. - LAZER 04</v>
      </c>
      <c r="C785" s="30" t="s">
        <v>221</v>
      </c>
      <c r="D785" s="30" t="str">
        <f>'Lazer 4'!C10</f>
        <v>Sensores</v>
      </c>
      <c r="E785" s="30" t="str">
        <f>'Lazer 4'!D10</f>
        <v>Sensor de Fumaça</v>
      </c>
      <c r="F785" s="30">
        <f>'Lazer 4'!E10</f>
        <v>2</v>
      </c>
      <c r="G785" s="25">
        <v>1</v>
      </c>
      <c r="H785" s="25">
        <v>0</v>
      </c>
      <c r="I785" s="25">
        <f t="shared" si="235"/>
        <v>2</v>
      </c>
      <c r="J785" s="25" t="str">
        <f>'Lazer 4'!F10</f>
        <v>pç</v>
      </c>
      <c r="K785" s="26">
        <f>_xlfn.XLOOKUP($E785,PREÇO!$C$7:$C$91,PREÇO!$E$7:$E$91)</f>
        <v>53.9</v>
      </c>
      <c r="L785" s="66">
        <f>IF(SUM(F785:K785)=0,SUMIFS($L786:$L$1593,$B786:$B$1593,$B785,$A786:$A$1593,$A785),I785*K785)</f>
        <v>107.8</v>
      </c>
      <c r="N785"/>
      <c r="O785"/>
      <c r="P785" s="28"/>
      <c r="Q785" s="28"/>
      <c r="R785" s="28"/>
    </row>
    <row r="786" spans="1:18" outlineLevel="1">
      <c r="A786" s="24" t="str">
        <f t="shared" ref="A786:A808" si="236">A785</f>
        <v>GERAL</v>
      </c>
      <c r="B786" s="24" t="str">
        <f t="shared" ref="B786:B808" si="237">B785</f>
        <v>64º PAV. - LAZER 04</v>
      </c>
      <c r="C786" s="30" t="s">
        <v>221</v>
      </c>
      <c r="D786" s="30" t="str">
        <f>'Lazer 4'!C13</f>
        <v>Caixas</v>
      </c>
      <c r="E786" s="30" t="str">
        <f>'Lazer 4'!D13</f>
        <v>Caixa Octogonal Padrão NBR IEC 60670</v>
      </c>
      <c r="F786" s="30">
        <f>'Lazer 4'!E13</f>
        <v>15</v>
      </c>
      <c r="G786" s="25">
        <v>1</v>
      </c>
      <c r="H786" s="25">
        <v>0</v>
      </c>
      <c r="I786" s="25">
        <f t="shared" si="235"/>
        <v>15</v>
      </c>
      <c r="J786" s="25" t="str">
        <f>'Lazer 4'!F13</f>
        <v>pç</v>
      </c>
      <c r="K786" s="26">
        <f>_xlfn.XLOOKUP($E786,PREÇO!$C$7:$C$91,PREÇO!$E$7:$E$91)</f>
        <v>5.32</v>
      </c>
      <c r="L786" s="66">
        <f>IF(SUM(F786:K786)=0,SUMIFS($L787:$L$1593,$B787:$B$1593,$B786,$A787:$A$1593,$A786),I786*K786)</f>
        <v>79.800000000000011</v>
      </c>
      <c r="N786"/>
      <c r="O786"/>
      <c r="P786" s="28"/>
      <c r="Q786" s="28"/>
      <c r="R786" s="28"/>
    </row>
    <row r="787" spans="1:18" outlineLevel="1">
      <c r="A787" s="24" t="str">
        <f t="shared" si="236"/>
        <v>GERAL</v>
      </c>
      <c r="B787" s="24" t="str">
        <f t="shared" si="237"/>
        <v>64º PAV. - LAZER 04</v>
      </c>
      <c r="C787" s="30" t="s">
        <v>221</v>
      </c>
      <c r="D787" s="30" t="str">
        <f>'Lazer 4'!C14</f>
        <v>Placas</v>
      </c>
      <c r="E787" s="30" t="str">
        <f>'Lazer 4'!D14</f>
        <v>Placa cega para caixa octogonal Padrão NBR IEC 60670</v>
      </c>
      <c r="F787" s="30">
        <f>'Lazer 4'!E14</f>
        <v>5</v>
      </c>
      <c r="G787" s="25">
        <v>1</v>
      </c>
      <c r="H787" s="25">
        <v>0</v>
      </c>
      <c r="I787" s="25">
        <f t="shared" si="235"/>
        <v>5</v>
      </c>
      <c r="J787" s="25" t="str">
        <f>'Lazer 4'!F14</f>
        <v>pç</v>
      </c>
      <c r="K787" s="26">
        <f>_xlfn.XLOOKUP($E787,PREÇO!$C$7:$C$91,PREÇO!$E$7:$E$91)</f>
        <v>2.5</v>
      </c>
      <c r="L787" s="66">
        <f>IF(SUM(F787:K787)=0,SUMIFS($L788:$L$1593,$B788:$B$1593,$B787,$A788:$A$1593,$A787),I787*K787)</f>
        <v>12.5</v>
      </c>
      <c r="N787"/>
      <c r="O787"/>
      <c r="P787" s="28"/>
      <c r="Q787" s="28"/>
      <c r="R787" s="28"/>
    </row>
    <row r="788" spans="1:18" outlineLevel="1">
      <c r="A788" s="24" t="str">
        <f t="shared" si="236"/>
        <v>GERAL</v>
      </c>
      <c r="B788" s="24" t="str">
        <f t="shared" si="237"/>
        <v>64º PAV. - LAZER 04</v>
      </c>
      <c r="C788" s="30" t="s">
        <v>221</v>
      </c>
      <c r="D788" s="30" t="str">
        <f>'Lazer 4'!C17</f>
        <v>Caixas</v>
      </c>
      <c r="E788" s="30" t="str">
        <f>'Lazer 4'!D17</f>
        <v>Caixa 4x2" de Embutir em PVC Padrão NBR IEC 60670</v>
      </c>
      <c r="F788" s="30">
        <f>'Lazer 4'!E17</f>
        <v>21</v>
      </c>
      <c r="G788" s="25">
        <v>1</v>
      </c>
      <c r="H788" s="25">
        <v>0</v>
      </c>
      <c r="I788" s="25">
        <f t="shared" si="235"/>
        <v>21</v>
      </c>
      <c r="J788" s="25" t="str">
        <f>'Lazer 4'!F17</f>
        <v>pç</v>
      </c>
      <c r="K788" s="26">
        <f>_xlfn.XLOOKUP($E788,PREÇO!$C$7:$C$91,PREÇO!$E$7:$E$91)</f>
        <v>1.72</v>
      </c>
      <c r="L788" s="66">
        <f>IF(SUM(F788:K788)=0,SUMIFS($L789:$L$1593,$B789:$B$1593,$B788,$A789:$A$1593,$A788),I788*K788)</f>
        <v>36.119999999999997</v>
      </c>
      <c r="N788"/>
      <c r="O788"/>
      <c r="P788" s="28"/>
      <c r="Q788" s="28"/>
      <c r="R788" s="28"/>
    </row>
    <row r="789" spans="1:18" outlineLevel="1">
      <c r="A789" s="24" t="str">
        <f t="shared" si="236"/>
        <v>GERAL</v>
      </c>
      <c r="B789" s="24" t="str">
        <f t="shared" si="237"/>
        <v>64º PAV. - LAZER 04</v>
      </c>
      <c r="C789" s="30" t="s">
        <v>221</v>
      </c>
      <c r="D789" s="30" t="str">
        <f>'Lazer 4'!C18</f>
        <v>Placas</v>
      </c>
      <c r="E789" s="30" t="str">
        <f>'Lazer 4'!D18</f>
        <v>Placa 4x2" cega Padrão NBR IEC 60670</v>
      </c>
      <c r="F789" s="30">
        <f>'Lazer 4'!E18</f>
        <v>14</v>
      </c>
      <c r="G789" s="25">
        <v>1</v>
      </c>
      <c r="H789" s="25">
        <v>0</v>
      </c>
      <c r="I789" s="25">
        <f t="shared" si="235"/>
        <v>14</v>
      </c>
      <c r="J789" s="25" t="str">
        <f>'Lazer 4'!F18</f>
        <v>pç</v>
      </c>
      <c r="K789" s="26">
        <f>_xlfn.XLOOKUP($E789,PREÇO!$C$7:$C$91,PREÇO!$E$7:$E$91)</f>
        <v>4.59</v>
      </c>
      <c r="L789" s="66">
        <f>IF(SUM(F789:K789)=0,SUMIFS($L790:$L$1593,$B790:$B$1593,$B789,$A790:$A$1593,$A789),I789*K789)</f>
        <v>64.259999999999991</v>
      </c>
      <c r="N789"/>
      <c r="O789"/>
      <c r="P789" s="28"/>
      <c r="Q789" s="28"/>
      <c r="R789" s="28"/>
    </row>
    <row r="790" spans="1:18" outlineLevel="1">
      <c r="A790" s="24" t="str">
        <f t="shared" si="236"/>
        <v>GERAL</v>
      </c>
      <c r="B790" s="24" t="str">
        <f t="shared" si="237"/>
        <v>64º PAV. - LAZER 04</v>
      </c>
      <c r="C790" s="30" t="s">
        <v>221</v>
      </c>
      <c r="D790" s="30" t="str">
        <f>'Lazer 4'!C19</f>
        <v>Placas</v>
      </c>
      <c r="E790" s="30" t="str">
        <f>'Lazer 4'!D19</f>
        <v>Placa 4x2" com furo para saída de cabos Padrão NBR IEC 60670</v>
      </c>
      <c r="F790" s="30">
        <f>'Lazer 4'!E19</f>
        <v>7</v>
      </c>
      <c r="G790" s="25">
        <v>1</v>
      </c>
      <c r="H790" s="25">
        <v>0</v>
      </c>
      <c r="I790" s="25">
        <f t="shared" si="235"/>
        <v>7</v>
      </c>
      <c r="J790" s="25" t="str">
        <f>'Lazer 4'!F19</f>
        <v>pç</v>
      </c>
      <c r="K790" s="26">
        <f>_xlfn.XLOOKUP($E790,PREÇO!$C$7:$C$91,PREÇO!$E$7:$E$91)</f>
        <v>6.55</v>
      </c>
      <c r="L790" s="66">
        <f>IF(SUM(F790:K790)=0,SUMIFS($L791:$L$1593,$B791:$B$1593,$B790,$A791:$A$1593,$A790),I790*K790)</f>
        <v>45.85</v>
      </c>
      <c r="N790"/>
      <c r="O790"/>
      <c r="P790" s="28"/>
      <c r="Q790" s="28"/>
      <c r="R790" s="28"/>
    </row>
    <row r="791" spans="1:18" outlineLevel="1">
      <c r="A791" s="24" t="str">
        <f t="shared" si="236"/>
        <v>GERAL</v>
      </c>
      <c r="B791" s="24" t="str">
        <f t="shared" si="237"/>
        <v>64º PAV. - LAZER 04</v>
      </c>
      <c r="C791" s="30" t="s">
        <v>221</v>
      </c>
      <c r="D791" s="30" t="str">
        <f>'Lazer 4'!C20</f>
        <v>Suportes</v>
      </c>
      <c r="E791" s="30" t="str">
        <f>'Lazer 4'!D20</f>
        <v>Suporte p/ caixa 4x2" Padrão NBR IEC 60670</v>
      </c>
      <c r="F791" s="30">
        <f>'Lazer 4'!E20</f>
        <v>21</v>
      </c>
      <c r="G791" s="25">
        <v>1</v>
      </c>
      <c r="H791" s="25">
        <v>0</v>
      </c>
      <c r="I791" s="25">
        <f t="shared" si="235"/>
        <v>21</v>
      </c>
      <c r="J791" s="25" t="str">
        <f>'Lazer 4'!F20</f>
        <v>pç</v>
      </c>
      <c r="K791" s="26">
        <f>_xlfn.XLOOKUP($E791,PREÇO!$C$7:$C$91,PREÇO!$E$7:$E$91)</f>
        <v>1.85</v>
      </c>
      <c r="L791" s="66">
        <f>IF(SUM(F791:K791)=0,SUMIFS($L792:$L$1593,$B792:$B$1593,$B791,$A792:$A$1593,$A791),I791*K791)</f>
        <v>38.85</v>
      </c>
      <c r="N791"/>
      <c r="O791"/>
      <c r="P791" s="28"/>
      <c r="Q791" s="28"/>
      <c r="R791" s="28"/>
    </row>
    <row r="792" spans="1:18" outlineLevel="1">
      <c r="A792" s="24" t="str">
        <f t="shared" si="236"/>
        <v>GERAL</v>
      </c>
      <c r="B792" s="24" t="str">
        <f t="shared" si="237"/>
        <v>64º PAV. - LAZER 04</v>
      </c>
      <c r="C792" s="30" t="s">
        <v>221</v>
      </c>
      <c r="D792" s="83" t="s">
        <v>46</v>
      </c>
      <c r="E792" s="30" t="s">
        <v>44</v>
      </c>
      <c r="F792" s="30">
        <f>'Lazer 4'!E23</f>
        <v>13.77</v>
      </c>
      <c r="G792" s="25">
        <v>1</v>
      </c>
      <c r="H792" s="25">
        <v>0</v>
      </c>
      <c r="I792" s="25">
        <f t="shared" si="235"/>
        <v>13.77</v>
      </c>
      <c r="J792" s="25" t="str">
        <f>'Lazer 4'!F23</f>
        <v>m</v>
      </c>
      <c r="K792" s="26">
        <f>_xlfn.XLOOKUP($E792,PREÇO!$C$7:$C$91,PREÇO!$E$7:$E$91)</f>
        <v>2.5299999999999998</v>
      </c>
      <c r="L792" s="66">
        <f>IF(SUM(F792:K792)=0,SUMIFS($L793:$L$1593,$B793:$B$1593,$B792,$A793:$A$1593,$A792),I792*K792)</f>
        <v>34.838099999999997</v>
      </c>
      <c r="N792"/>
      <c r="O792"/>
      <c r="P792" s="28"/>
      <c r="Q792" s="28"/>
      <c r="R792" s="28"/>
    </row>
    <row r="793" spans="1:18" outlineLevel="1">
      <c r="A793" s="24" t="str">
        <f t="shared" si="236"/>
        <v>GERAL</v>
      </c>
      <c r="B793" s="24" t="str">
        <f t="shared" si="237"/>
        <v>64º PAV. - LAZER 04</v>
      </c>
      <c r="C793" s="30" t="s">
        <v>221</v>
      </c>
      <c r="D793" s="83" t="s">
        <v>46</v>
      </c>
      <c r="E793" s="30" t="s">
        <v>45</v>
      </c>
      <c r="F793" s="30">
        <f>'Lazer 4'!E24</f>
        <v>127.92</v>
      </c>
      <c r="G793" s="25">
        <v>1</v>
      </c>
      <c r="H793" s="25">
        <v>0</v>
      </c>
      <c r="I793" s="25">
        <f t="shared" si="235"/>
        <v>127.92</v>
      </c>
      <c r="J793" s="25" t="str">
        <f>'Lazer 4'!F24</f>
        <v>m</v>
      </c>
      <c r="K793" s="26">
        <f>_xlfn.XLOOKUP($E793,PREÇO!$C$7:$C$91,PREÇO!$E$7:$E$91)</f>
        <v>1.8</v>
      </c>
      <c r="L793" s="66">
        <f>IF(SUM(F793:K793)=0,SUMIFS($L794:$L$1593,$B794:$B$1593,$B793,$A794:$A$1593,$A793),I793*K793)</f>
        <v>230.256</v>
      </c>
      <c r="N793"/>
      <c r="O793"/>
      <c r="P793" s="28"/>
      <c r="Q793" s="28"/>
      <c r="R793" s="28"/>
    </row>
    <row r="794" spans="1:18" outlineLevel="1">
      <c r="A794" s="24" t="str">
        <f t="shared" si="236"/>
        <v>GERAL</v>
      </c>
      <c r="B794" s="24" t="str">
        <f t="shared" si="237"/>
        <v>64º PAV. - LAZER 04</v>
      </c>
      <c r="C794" s="30" t="s">
        <v>220</v>
      </c>
      <c r="D794" s="30" t="str">
        <f>'Lazer 4'!C27</f>
        <v>Luminárias e Placas de Saída</v>
      </c>
      <c r="E794" s="30" t="str">
        <f>'Lazer 4'!D27</f>
        <v>Luminária de Emergência 24V de Parede</v>
      </c>
      <c r="F794" s="30">
        <f>'Lazer 4'!E27</f>
        <v>14</v>
      </c>
      <c r="G794" s="25">
        <v>1</v>
      </c>
      <c r="H794" s="25">
        <v>0</v>
      </c>
      <c r="I794" s="25">
        <f t="shared" si="235"/>
        <v>14</v>
      </c>
      <c r="J794" s="25" t="str">
        <f>'Lazer 4'!F27</f>
        <v>pç</v>
      </c>
      <c r="K794" s="26">
        <f>_xlfn.XLOOKUP($E794,PREÇO!$C$7:$C$91,PREÇO!$E$7:$E$91)</f>
        <v>15.9</v>
      </c>
      <c r="L794" s="66">
        <f>IF(SUM(F794:K794)=0,SUMIFS($L795:$L$1593,$B795:$B$1593,$B794,$A795:$A$1593,$A794),I794*K794)</f>
        <v>222.6</v>
      </c>
      <c r="N794"/>
      <c r="O794"/>
      <c r="P794" s="28"/>
      <c r="Q794" s="28"/>
      <c r="R794" s="28"/>
    </row>
    <row r="795" spans="1:18" outlineLevel="1">
      <c r="A795" s="24" t="str">
        <f t="shared" si="236"/>
        <v>GERAL</v>
      </c>
      <c r="B795" s="24" t="str">
        <f t="shared" si="237"/>
        <v>64º PAV. - LAZER 04</v>
      </c>
      <c r="C795" s="30" t="s">
        <v>220</v>
      </c>
      <c r="D795" s="30" t="str">
        <f>'Lazer 4'!C28</f>
        <v>Luminárias e Placas de Saída</v>
      </c>
      <c r="E795" s="30" t="str">
        <f>'Lazer 4'!D28</f>
        <v>Luminária de Emergência 24V de Teto</v>
      </c>
      <c r="F795" s="30">
        <f>'Lazer 4'!E28</f>
        <v>5</v>
      </c>
      <c r="G795" s="25">
        <v>1</v>
      </c>
      <c r="H795" s="25">
        <v>0</v>
      </c>
      <c r="I795" s="25">
        <f t="shared" si="235"/>
        <v>5</v>
      </c>
      <c r="J795" s="25" t="str">
        <f>'Lazer 4'!F28</f>
        <v>pç</v>
      </c>
      <c r="K795" s="26">
        <f>_xlfn.XLOOKUP($E795,PREÇO!$C$7:$C$91,PREÇO!$E$7:$E$91)</f>
        <v>69.900000000000006</v>
      </c>
      <c r="L795" s="66">
        <f>IF(SUM(F795:K795)=0,SUMIFS($L796:$L$1593,$B796:$B$1593,$B795,$A796:$A$1593,$A795),I795*K795)</f>
        <v>349.5</v>
      </c>
      <c r="N795"/>
      <c r="O795"/>
      <c r="P795" s="28"/>
      <c r="Q795" s="28"/>
      <c r="R795" s="28"/>
    </row>
    <row r="796" spans="1:18" outlineLevel="1">
      <c r="A796" s="24" t="str">
        <f t="shared" si="236"/>
        <v>GERAL</v>
      </c>
      <c r="B796" s="24" t="str">
        <f t="shared" si="237"/>
        <v>64º PAV. - LAZER 04</v>
      </c>
      <c r="C796" s="24" t="s">
        <v>222</v>
      </c>
      <c r="D796" s="30" t="str">
        <f>'Lazer 4'!C29</f>
        <v>Luminárias e Placas de Saída</v>
      </c>
      <c r="E796" s="30" t="str">
        <f>'Lazer 4'!D29</f>
        <v>Placa de Saída 24V de Parede sem Direção</v>
      </c>
      <c r="F796" s="30">
        <f>'Lazer 4'!E29</f>
        <v>3</v>
      </c>
      <c r="G796" s="25">
        <v>1</v>
      </c>
      <c r="H796" s="25">
        <v>0</v>
      </c>
      <c r="I796" s="25">
        <f t="shared" si="235"/>
        <v>3</v>
      </c>
      <c r="J796" s="25" t="str">
        <f>'Lazer 4'!F29</f>
        <v>pç</v>
      </c>
      <c r="K796" s="26">
        <f>_xlfn.XLOOKUP($E796,PREÇO!$C$7:$C$91,PREÇO!$E$7:$E$91)</f>
        <v>61.66</v>
      </c>
      <c r="L796" s="66">
        <f>IF(SUM(F796:K796)=0,SUMIFS($L798:$L$1593,$B798:$B$1593,$B796,$A798:$A$1593,$A796),I796*K796)</f>
        <v>184.98</v>
      </c>
      <c r="N796"/>
      <c r="O796"/>
      <c r="P796" s="28"/>
      <c r="Q796" s="28"/>
      <c r="R796" s="28"/>
    </row>
    <row r="797" spans="1:18" outlineLevel="1">
      <c r="A797" s="116" t="str">
        <f>A795</f>
        <v>GERAL</v>
      </c>
      <c r="B797" s="116" t="str">
        <f>B796</f>
        <v>64º PAV. - LAZER 04</v>
      </c>
      <c r="C797" s="116" t="s">
        <v>222</v>
      </c>
      <c r="D797" s="116" t="s">
        <v>223</v>
      </c>
      <c r="E797" s="116" t="s">
        <v>224</v>
      </c>
      <c r="F797" s="117">
        <v>2</v>
      </c>
      <c r="G797" s="117">
        <f>G796</f>
        <v>1</v>
      </c>
      <c r="H797" s="118">
        <v>0</v>
      </c>
      <c r="I797" s="117">
        <f t="shared" si="235"/>
        <v>2</v>
      </c>
      <c r="J797" s="117" t="s">
        <v>11</v>
      </c>
      <c r="K797" s="119">
        <f>_xlfn.XLOOKUP($E797,PREÇO!$C$7:$C$91,PREÇO!$E$7:$E$91)</f>
        <v>646.55999999999995</v>
      </c>
      <c r="L797" s="120">
        <f>IF(SUM(F797:K797)=0,SUMIFS($L798:$L$1593,$B798:$B$1593,$B797,$A798:$A$1593,$A797),I797*K797)</f>
        <v>1293.1199999999999</v>
      </c>
      <c r="N797"/>
      <c r="O797"/>
      <c r="P797" s="28"/>
      <c r="Q797" s="28"/>
      <c r="R797" s="28"/>
    </row>
    <row r="798" spans="1:18" outlineLevel="1">
      <c r="A798" s="24" t="str">
        <f>A796</f>
        <v>GERAL</v>
      </c>
      <c r="B798" s="24" t="str">
        <f>B796</f>
        <v>64º PAV. - LAZER 04</v>
      </c>
      <c r="C798" s="30" t="s">
        <v>220</v>
      </c>
      <c r="D798" s="30" t="str">
        <f>'Lazer 4'!C30</f>
        <v>Sensores de Presença</v>
      </c>
      <c r="E798" s="30" t="str">
        <f>'Lazer 4'!D30</f>
        <v>Sensor de Presença 24V de teto</v>
      </c>
      <c r="F798" s="30">
        <f>'Lazer 4'!E30</f>
        <v>3</v>
      </c>
      <c r="G798" s="25">
        <v>1</v>
      </c>
      <c r="H798" s="25">
        <v>0</v>
      </c>
      <c r="I798" s="25">
        <f t="shared" si="235"/>
        <v>3</v>
      </c>
      <c r="J798" s="25" t="str">
        <f>'Lazer 4'!F30</f>
        <v>pç</v>
      </c>
      <c r="K798" s="26">
        <f>_xlfn.XLOOKUP($E798,PREÇO!$C$7:$C$91,PREÇO!$E$7:$E$91)</f>
        <v>38.4</v>
      </c>
      <c r="L798" s="66">
        <f>IF(SUM(F798:K798)=0,SUMIFS($L799:$L$1593,$B799:$B$1593,$B798,$A799:$A$1593,$A798),I798*K798)</f>
        <v>115.19999999999999</v>
      </c>
      <c r="N798"/>
      <c r="O798"/>
      <c r="P798" s="28"/>
      <c r="Q798" s="28"/>
      <c r="R798" s="28"/>
    </row>
    <row r="799" spans="1:18" outlineLevel="1">
      <c r="A799" s="24" t="str">
        <f t="shared" si="236"/>
        <v>GERAL</v>
      </c>
      <c r="B799" s="24" t="str">
        <f t="shared" si="237"/>
        <v>64º PAV. - LAZER 04</v>
      </c>
      <c r="C799" s="30" t="s">
        <v>221</v>
      </c>
      <c r="D799" s="83" t="s">
        <v>87</v>
      </c>
      <c r="E799" s="30" t="s">
        <v>179</v>
      </c>
      <c r="F799" s="30">
        <f>'Lazer 4'!E33</f>
        <v>63.58</v>
      </c>
      <c r="G799" s="25">
        <v>1</v>
      </c>
      <c r="H799" s="25">
        <v>0</v>
      </c>
      <c r="I799" s="25">
        <f t="shared" si="235"/>
        <v>63.58</v>
      </c>
      <c r="J799" s="25" t="str">
        <f>'Lazer 4'!F33</f>
        <v>m</v>
      </c>
      <c r="K799" s="26">
        <f>_xlfn.XLOOKUP($E799,PREÇO!$C$7:$C$91,PREÇO!$E$7:$E$91)</f>
        <v>1.59</v>
      </c>
      <c r="L799" s="66">
        <f>IF(SUM(F799:K799)=0,SUMIFS($L800:$L$1593,$B800:$B$1593,$B799,$A800:$A$1593,$A799),I799*K799)</f>
        <v>101.09220000000001</v>
      </c>
      <c r="N799"/>
      <c r="O799"/>
      <c r="P799" s="28"/>
      <c r="Q799" s="28"/>
      <c r="R799" s="28"/>
    </row>
    <row r="800" spans="1:18" outlineLevel="1">
      <c r="A800" s="24" t="str">
        <f t="shared" si="236"/>
        <v>GERAL</v>
      </c>
      <c r="B800" s="24" t="str">
        <f t="shared" si="237"/>
        <v>64º PAV. - LAZER 04</v>
      </c>
      <c r="C800" s="30" t="s">
        <v>221</v>
      </c>
      <c r="D800" s="83" t="s">
        <v>87</v>
      </c>
      <c r="E800" s="30" t="s">
        <v>180</v>
      </c>
      <c r="F800" s="30">
        <f>'Lazer 4'!E34</f>
        <v>52.4</v>
      </c>
      <c r="G800" s="25">
        <v>1</v>
      </c>
      <c r="H800" s="25">
        <v>0</v>
      </c>
      <c r="I800" s="25">
        <f t="shared" si="235"/>
        <v>52.4</v>
      </c>
      <c r="J800" s="25" t="str">
        <f>'Lazer 4'!F34</f>
        <v>m</v>
      </c>
      <c r="K800" s="26">
        <f>_xlfn.XLOOKUP($E800,PREÇO!$C$7:$C$91,PREÇO!$E$7:$E$91)</f>
        <v>1.59</v>
      </c>
      <c r="L800" s="66">
        <f>IF(SUM(F800:K800)=0,SUMIFS($L801:$L$1593,$B801:$B$1593,$B800,$A801:$A$1593,$A800),I800*K800)</f>
        <v>83.316000000000003</v>
      </c>
      <c r="N800"/>
      <c r="O800"/>
      <c r="P800" s="28"/>
      <c r="Q800" s="28"/>
      <c r="R800" s="28"/>
    </row>
    <row r="801" spans="1:18" outlineLevel="1">
      <c r="A801" s="24" t="str">
        <f t="shared" si="236"/>
        <v>GERAL</v>
      </c>
      <c r="B801" s="24" t="str">
        <f t="shared" si="237"/>
        <v>64º PAV. - LAZER 04</v>
      </c>
      <c r="C801" s="30" t="s">
        <v>221</v>
      </c>
      <c r="D801" s="83" t="s">
        <v>87</v>
      </c>
      <c r="E801" s="30" t="s">
        <v>181</v>
      </c>
      <c r="F801" s="30">
        <f>'Lazer 4'!E35</f>
        <v>52.4</v>
      </c>
      <c r="G801" s="25">
        <v>1</v>
      </c>
      <c r="H801" s="25">
        <v>0</v>
      </c>
      <c r="I801" s="25">
        <f t="shared" si="235"/>
        <v>52.4</v>
      </c>
      <c r="J801" s="25" t="str">
        <f>'Lazer 4'!F35</f>
        <v>m</v>
      </c>
      <c r="K801" s="26">
        <f>_xlfn.XLOOKUP($E801,PREÇO!$C$7:$C$91,PREÇO!$E$7:$E$91)</f>
        <v>1.59</v>
      </c>
      <c r="L801" s="66">
        <f>IF(SUM(F801:K801)=0,SUMIFS($L802:$L$1593,$B802:$B$1593,$B801,$A802:$A$1593,$A801),I801*K801)</f>
        <v>83.316000000000003</v>
      </c>
      <c r="N801"/>
      <c r="O801"/>
      <c r="P801" s="28"/>
      <c r="Q801" s="28"/>
      <c r="R801" s="28"/>
    </row>
    <row r="802" spans="1:18" outlineLevel="1">
      <c r="A802" s="24" t="str">
        <f t="shared" si="236"/>
        <v>GERAL</v>
      </c>
      <c r="B802" s="24" t="str">
        <f t="shared" si="237"/>
        <v>64º PAV. - LAZER 04</v>
      </c>
      <c r="C802" s="30" t="s">
        <v>221</v>
      </c>
      <c r="D802" s="83" t="s">
        <v>87</v>
      </c>
      <c r="E802" s="30" t="s">
        <v>182</v>
      </c>
      <c r="F802" s="30">
        <f>'Lazer 4'!E36</f>
        <v>29.42</v>
      </c>
      <c r="G802" s="25">
        <v>1</v>
      </c>
      <c r="H802" s="25">
        <v>0</v>
      </c>
      <c r="I802" s="25">
        <f t="shared" si="235"/>
        <v>29.42</v>
      </c>
      <c r="J802" s="25" t="str">
        <f>'Lazer 4'!F36</f>
        <v>m</v>
      </c>
      <c r="K802" s="26">
        <f>_xlfn.XLOOKUP($E802,PREÇO!$C$7:$C$91,PREÇO!$E$7:$E$91)</f>
        <v>2.19</v>
      </c>
      <c r="L802" s="66">
        <f>IF(SUM(F802:K802)=0,SUMIFS($L803:$L$1593,$B803:$B$1593,$B802,$A803:$A$1593,$A802),I802*K802)</f>
        <v>64.4298</v>
      </c>
      <c r="N802"/>
      <c r="O802"/>
      <c r="P802" s="28"/>
      <c r="Q802" s="28"/>
      <c r="R802" s="28"/>
    </row>
    <row r="803" spans="1:18" outlineLevel="1">
      <c r="A803" s="24" t="str">
        <f t="shared" si="236"/>
        <v>GERAL</v>
      </c>
      <c r="B803" s="24" t="str">
        <f t="shared" si="237"/>
        <v>64º PAV. - LAZER 04</v>
      </c>
      <c r="C803" s="30" t="s">
        <v>221</v>
      </c>
      <c r="D803" s="83" t="s">
        <v>87</v>
      </c>
      <c r="E803" s="30" t="s">
        <v>183</v>
      </c>
      <c r="F803" s="30">
        <f>'Lazer 4'!E37</f>
        <v>148.41</v>
      </c>
      <c r="G803" s="25">
        <v>1</v>
      </c>
      <c r="H803" s="25">
        <v>0</v>
      </c>
      <c r="I803" s="25">
        <f t="shared" si="235"/>
        <v>148.41</v>
      </c>
      <c r="J803" s="25" t="str">
        <f>'Lazer 4'!F37</f>
        <v>m</v>
      </c>
      <c r="K803" s="26">
        <f>_xlfn.XLOOKUP($E803,PREÇO!$C$7:$C$91,PREÇO!$E$7:$E$91)</f>
        <v>2.19</v>
      </c>
      <c r="L803" s="66">
        <f>IF(SUM(F803:K803)=0,SUMIFS($L804:$L$1593,$B804:$B$1593,$B803,$A804:$A$1593,$A803),I803*K803)</f>
        <v>325.0179</v>
      </c>
      <c r="N803"/>
      <c r="O803"/>
      <c r="P803" s="28"/>
      <c r="Q803" s="28"/>
      <c r="R803" s="28"/>
    </row>
    <row r="804" spans="1:18" outlineLevel="1">
      <c r="A804" s="24" t="str">
        <f t="shared" si="236"/>
        <v>GERAL</v>
      </c>
      <c r="B804" s="24" t="str">
        <f t="shared" si="237"/>
        <v>64º PAV. - LAZER 04</v>
      </c>
      <c r="C804" s="30" t="s">
        <v>221</v>
      </c>
      <c r="D804" s="83" t="s">
        <v>87</v>
      </c>
      <c r="E804" s="30" t="s">
        <v>184</v>
      </c>
      <c r="F804" s="30">
        <f>'Lazer 4'!E38</f>
        <v>148.41</v>
      </c>
      <c r="G804" s="25">
        <v>1</v>
      </c>
      <c r="H804" s="25">
        <v>0</v>
      </c>
      <c r="I804" s="25">
        <f t="shared" ref="I804:I810" si="238">(F804+H804*F804)*G804</f>
        <v>148.41</v>
      </c>
      <c r="J804" s="25" t="str">
        <f>'Lazer 4'!F38</f>
        <v>m</v>
      </c>
      <c r="K804" s="26">
        <f>_xlfn.XLOOKUP($E804,PREÇO!$C$7:$C$91,PREÇO!$E$7:$E$91)</f>
        <v>2.19</v>
      </c>
      <c r="L804" s="66">
        <f>IF(SUM(F804:K804)=0,SUMIFS($L805:$L$1593,$B805:$B$1593,$B804,$A805:$A$1593,$A804),I804*K804)</f>
        <v>325.0179</v>
      </c>
      <c r="N804"/>
      <c r="O804"/>
      <c r="P804" s="28"/>
      <c r="Q804" s="28"/>
      <c r="R804" s="28"/>
    </row>
    <row r="805" spans="1:18" outlineLevel="1">
      <c r="A805" s="24" t="str">
        <f t="shared" si="236"/>
        <v>GERAL</v>
      </c>
      <c r="B805" s="24" t="str">
        <f t="shared" si="237"/>
        <v>64º PAV. - LAZER 04</v>
      </c>
      <c r="C805" s="30" t="s">
        <v>221</v>
      </c>
      <c r="D805" s="83" t="s">
        <v>46</v>
      </c>
      <c r="E805" s="30" t="s">
        <v>44</v>
      </c>
      <c r="F805" s="30">
        <f>'Lazer 4'!E42</f>
        <v>15.17</v>
      </c>
      <c r="G805" s="25">
        <v>1</v>
      </c>
      <c r="H805" s="25">
        <v>0</v>
      </c>
      <c r="I805" s="25">
        <f t="shared" si="238"/>
        <v>15.17</v>
      </c>
      <c r="J805" s="25" t="str">
        <f>'Lazer 4'!F42</f>
        <v>m</v>
      </c>
      <c r="K805" s="26">
        <f>_xlfn.XLOOKUP($E805,PREÇO!$C$7:$C$91,PREÇO!$E$7:$E$91)</f>
        <v>2.5299999999999998</v>
      </c>
      <c r="L805" s="66">
        <f>IF(SUM(F805:K805)=0,SUMIFS($L806:$L$1593,$B806:$B$1593,$B805,$A806:$A$1593,$A805),I805*K805)</f>
        <v>38.380099999999999</v>
      </c>
      <c r="N805"/>
      <c r="O805"/>
      <c r="P805" s="28"/>
      <c r="Q805" s="28"/>
      <c r="R805" s="28"/>
    </row>
    <row r="806" spans="1:18" outlineLevel="1">
      <c r="A806" s="24" t="str">
        <f t="shared" si="236"/>
        <v>GERAL</v>
      </c>
      <c r="B806" s="24" t="str">
        <f t="shared" si="237"/>
        <v>64º PAV. - LAZER 04</v>
      </c>
      <c r="C806" s="30" t="s">
        <v>221</v>
      </c>
      <c r="D806" s="83" t="s">
        <v>46</v>
      </c>
      <c r="E806" s="30" t="s">
        <v>45</v>
      </c>
      <c r="F806" s="30">
        <f>'Lazer 4'!E43</f>
        <v>1.1000000000000001</v>
      </c>
      <c r="G806" s="25">
        <v>1</v>
      </c>
      <c r="H806" s="25">
        <v>0</v>
      </c>
      <c r="I806" s="25">
        <f t="shared" si="238"/>
        <v>1.1000000000000001</v>
      </c>
      <c r="J806" s="25" t="str">
        <f>'Lazer 4'!F43</f>
        <v>m</v>
      </c>
      <c r="K806" s="26">
        <f>_xlfn.XLOOKUP($E806,PREÇO!$C$7:$C$91,PREÇO!$E$7:$E$91)</f>
        <v>1.8</v>
      </c>
      <c r="L806" s="66">
        <f>IF(SUM(F806:K806)=0,SUMIFS($L807:$L$1593,$B807:$B$1593,$B806,$A807:$A$1593,$A806),I806*K806)</f>
        <v>1.9800000000000002</v>
      </c>
      <c r="N806"/>
      <c r="O806"/>
      <c r="P806" s="28"/>
      <c r="Q806" s="28"/>
      <c r="R806" s="28"/>
    </row>
    <row r="807" spans="1:18" outlineLevel="1">
      <c r="A807" s="24" t="str">
        <f t="shared" si="236"/>
        <v>GERAL</v>
      </c>
      <c r="B807" s="24" t="str">
        <f t="shared" si="237"/>
        <v>64º PAV. - LAZER 04</v>
      </c>
      <c r="C807" s="30" t="s">
        <v>221</v>
      </c>
      <c r="D807" s="83" t="s">
        <v>89</v>
      </c>
      <c r="E807" s="30" t="s">
        <v>185</v>
      </c>
      <c r="F807" s="30">
        <f>'Lazer 4'!E46</f>
        <v>15.17</v>
      </c>
      <c r="G807" s="25">
        <v>1</v>
      </c>
      <c r="H807" s="25">
        <v>0</v>
      </c>
      <c r="I807" s="25">
        <f t="shared" si="238"/>
        <v>15.17</v>
      </c>
      <c r="J807" s="25" t="str">
        <f>'Lazer 4'!F46</f>
        <v>m</v>
      </c>
      <c r="K807" s="26">
        <f>_xlfn.XLOOKUP($E807,PREÇO!$C$7:$C$91,PREÇO!$E$7:$E$91)</f>
        <v>0.99</v>
      </c>
      <c r="L807" s="66">
        <f>IF(SUM(F807:K807)=0,SUMIFS($L808:$L$1593,$B808:$B$1593,$B807,$A808:$A$1593,$A807),I807*K807)</f>
        <v>15.0183</v>
      </c>
      <c r="N807"/>
      <c r="O807"/>
      <c r="P807" s="28"/>
      <c r="Q807" s="28"/>
      <c r="R807" s="28"/>
    </row>
    <row r="808" spans="1:18" ht="15.75" outlineLevel="1" thickBot="1">
      <c r="A808" s="24" t="str">
        <f t="shared" si="236"/>
        <v>GERAL</v>
      </c>
      <c r="B808" s="24" t="str">
        <f t="shared" si="237"/>
        <v>64º PAV. - LAZER 04</v>
      </c>
      <c r="C808" s="30" t="s">
        <v>221</v>
      </c>
      <c r="D808" s="83" t="s">
        <v>89</v>
      </c>
      <c r="E808" s="30" t="s">
        <v>186</v>
      </c>
      <c r="F808" s="30">
        <f>'Lazer 4'!E47</f>
        <v>10.97</v>
      </c>
      <c r="G808" s="25">
        <v>1</v>
      </c>
      <c r="H808" s="25">
        <v>0</v>
      </c>
      <c r="I808" s="25">
        <f t="shared" si="238"/>
        <v>10.97</v>
      </c>
      <c r="J808" s="25" t="str">
        <f>'Lazer 4'!F47</f>
        <v>m</v>
      </c>
      <c r="K808" s="26">
        <f>_xlfn.XLOOKUP($E808,PREÇO!$C$7:$C$91,PREÇO!$E$7:$E$91)</f>
        <v>1.69</v>
      </c>
      <c r="L808" s="66">
        <f>IF(SUM(F808:K808)=0,SUMIFS($L809:$L$1593,$B809:$B$1593,$B808,$A809:$A$1593,$A808),I808*K808)</f>
        <v>18.539300000000001</v>
      </c>
      <c r="N808"/>
      <c r="O808"/>
      <c r="P808" s="28"/>
      <c r="Q808" s="28"/>
      <c r="R808" s="28"/>
    </row>
    <row r="809" spans="1:18" ht="15.75" thickTop="1">
      <c r="A809" s="82" t="s">
        <v>19</v>
      </c>
      <c r="B809" s="82" t="s">
        <v>187</v>
      </c>
      <c r="C809" s="43"/>
      <c r="D809" s="44" t="str">
        <f>'Lazer 4'!C48</f>
        <v/>
      </c>
      <c r="E809" s="44" t="str">
        <f>'Lazer 4'!D48</f>
        <v/>
      </c>
      <c r="F809" s="45" t="str">
        <f>'Lazer 4'!E48</f>
        <v/>
      </c>
      <c r="G809" s="45"/>
      <c r="H809" s="45"/>
      <c r="I809" s="45"/>
      <c r="J809" s="45" t="str">
        <f>'Lazer 4'!F48</f>
        <v/>
      </c>
      <c r="K809" s="47"/>
      <c r="L809" s="48">
        <f>IF(SUM(F809:K809)=0,SUMIFS($L810:$L$1593,$B810:$B$1593,$B809,$A810:$A$1593,$A809),I809*K809)</f>
        <v>202858.17840000006</v>
      </c>
      <c r="N809"/>
      <c r="O809"/>
      <c r="P809" s="28"/>
      <c r="Q809" s="28"/>
      <c r="R809" s="28"/>
    </row>
    <row r="810" spans="1:18" outlineLevel="1">
      <c r="A810" s="24" t="str">
        <f>A809</f>
        <v>GERAL</v>
      </c>
      <c r="B810" s="24" t="str">
        <f>B809</f>
        <v>65º PAV. - TIPO 04B - x36 - MODELO</v>
      </c>
      <c r="C810" s="30" t="s">
        <v>221</v>
      </c>
      <c r="D810" s="30" t="str">
        <f>'Tipo 4B - x36'!C6</f>
        <v>Acionadores</v>
      </c>
      <c r="E810" s="30" t="str">
        <f>'Tipo 4B - x36'!D6</f>
        <v>Acionador Manual de Alarme de Incêndio</v>
      </c>
      <c r="F810" s="30">
        <f>'Tipo 4B - x36'!E6</f>
        <v>1</v>
      </c>
      <c r="G810" s="25">
        <v>36</v>
      </c>
      <c r="H810" s="25">
        <v>0</v>
      </c>
      <c r="I810" s="25">
        <f t="shared" si="238"/>
        <v>36</v>
      </c>
      <c r="J810" s="25" t="str">
        <f>'Tipo 4B - x36'!F6</f>
        <v>pç</v>
      </c>
      <c r="K810" s="26">
        <f>_xlfn.XLOOKUP($E810,PREÇO!$C$7:$C$91,PREÇO!$E$7:$E$91)</f>
        <v>65</v>
      </c>
      <c r="L810" s="66">
        <f>IF(SUM(F810:K810)=0,SUMIFS($L811:$L$1593,$B811:$B$1593,$B810,$A811:$A$1593,$A810),I810*K810)</f>
        <v>2340</v>
      </c>
      <c r="N810"/>
      <c r="O810"/>
      <c r="P810" s="28"/>
      <c r="Q810" s="28"/>
      <c r="R810" s="28"/>
    </row>
    <row r="811" spans="1:18" outlineLevel="1">
      <c r="A811" s="24" t="str">
        <f t="shared" ref="A811:A837" si="239">A810</f>
        <v>GERAL</v>
      </c>
      <c r="B811" s="24" t="str">
        <f t="shared" ref="B811:B837" si="240">B810</f>
        <v>65º PAV. - TIPO 04B - x36 - MODELO</v>
      </c>
      <c r="C811" s="30" t="s">
        <v>221</v>
      </c>
      <c r="D811" s="30" t="str">
        <f>'Tipo 4B - x36'!C7</f>
        <v>Anunciadores</v>
      </c>
      <c r="E811" s="30" t="str">
        <f>'Tipo 4B - x36'!D7</f>
        <v>Anunciador Audiovisual de Alarme de Incêndio de Parede</v>
      </c>
      <c r="F811" s="30">
        <f>'Tipo 4B - x36'!E7</f>
        <v>1</v>
      </c>
      <c r="G811" s="25">
        <v>36</v>
      </c>
      <c r="H811" s="25">
        <v>0</v>
      </c>
      <c r="I811" s="25">
        <f t="shared" ref="I811:I839" si="241">(F811+H811*F811)*G811</f>
        <v>36</v>
      </c>
      <c r="J811" s="25" t="str">
        <f>'Tipo 4B - x36'!F7</f>
        <v>pç</v>
      </c>
      <c r="K811" s="26">
        <f>_xlfn.XLOOKUP($E811,PREÇO!$C$7:$C$91,PREÇO!$E$7:$E$91)</f>
        <v>191.81</v>
      </c>
      <c r="L811" s="66">
        <f>IF(SUM(F811:K811)=0,SUMIFS($L812:$L$1593,$B812:$B$1593,$B811,$A812:$A$1593,$A811),I811*K811)</f>
        <v>6905.16</v>
      </c>
      <c r="N811"/>
      <c r="O811"/>
      <c r="P811" s="28"/>
      <c r="Q811" s="28"/>
      <c r="R811" s="28"/>
    </row>
    <row r="812" spans="1:18" outlineLevel="1">
      <c r="A812" s="24" t="str">
        <f t="shared" si="239"/>
        <v>GERAL</v>
      </c>
      <c r="B812" s="24" t="str">
        <f t="shared" si="240"/>
        <v>65º PAV. - TIPO 04B - x36 - MODELO</v>
      </c>
      <c r="C812" s="30" t="s">
        <v>221</v>
      </c>
      <c r="D812" s="30" t="str">
        <f>'Tipo 4B - x36'!C8</f>
        <v>Anunciadores</v>
      </c>
      <c r="E812" s="30" t="str">
        <f>'Tipo 4B - x36'!D8</f>
        <v>Anunciador Audiovisual de Alarme de Incêndio de Teto</v>
      </c>
      <c r="F812" s="30">
        <f>'Tipo 4B - x36'!E8</f>
        <v>2</v>
      </c>
      <c r="G812" s="25">
        <v>36</v>
      </c>
      <c r="H812" s="25">
        <v>0</v>
      </c>
      <c r="I812" s="25">
        <f t="shared" si="241"/>
        <v>72</v>
      </c>
      <c r="J812" s="25" t="str">
        <f>'Tipo 4B - x36'!F8</f>
        <v>pç</v>
      </c>
      <c r="K812" s="26">
        <f>_xlfn.XLOOKUP($E812,PREÇO!$C$7:$C$91,PREÇO!$E$7:$E$91)</f>
        <v>169.96</v>
      </c>
      <c r="L812" s="66">
        <f>IF(SUM(F812:K812)=0,SUMIFS($L813:$L$1593,$B813:$B$1593,$B812,$A813:$A$1593,$A812),I812*K812)</f>
        <v>12237.12</v>
      </c>
      <c r="N812"/>
      <c r="O812"/>
      <c r="P812" s="28"/>
      <c r="Q812" s="28"/>
      <c r="R812" s="28"/>
    </row>
    <row r="813" spans="1:18" outlineLevel="1">
      <c r="A813" s="24" t="str">
        <f t="shared" si="239"/>
        <v>GERAL</v>
      </c>
      <c r="B813" s="24" t="str">
        <f t="shared" si="240"/>
        <v>65º PAV. - TIPO 04B - x36 - MODELO</v>
      </c>
      <c r="C813" s="30" t="s">
        <v>221</v>
      </c>
      <c r="D813" s="30" t="str">
        <f>'Tipo 4B - x36'!C9</f>
        <v>Atuadores</v>
      </c>
      <c r="E813" s="30" t="str">
        <f>'Tipo 4B - x36'!D9</f>
        <v>Atuador Janela Desenfumagem</v>
      </c>
      <c r="F813" s="30">
        <f>'Tipo 4B - x36'!E9</f>
        <v>1</v>
      </c>
      <c r="G813" s="25">
        <v>36</v>
      </c>
      <c r="H813" s="25">
        <v>0</v>
      </c>
      <c r="I813" s="25">
        <f t="shared" si="241"/>
        <v>36</v>
      </c>
      <c r="J813" s="25" t="str">
        <f>'Tipo 4B - x36'!F9</f>
        <v>pç</v>
      </c>
      <c r="K813" s="26">
        <f>_xlfn.XLOOKUP($E813,PREÇO!$C$7:$C$91,PREÇO!$E$7:$E$91)</f>
        <v>1150</v>
      </c>
      <c r="L813" s="66">
        <f>IF(SUM(F813:K813)=0,SUMIFS($L814:$L$1593,$B814:$B$1593,$B813,$A814:$A$1593,$A813),I813*K813)</f>
        <v>41400</v>
      </c>
      <c r="N813"/>
      <c r="O813"/>
      <c r="P813" s="28"/>
      <c r="Q813" s="28"/>
      <c r="R813" s="28"/>
    </row>
    <row r="814" spans="1:18" outlineLevel="1">
      <c r="A814" s="24" t="str">
        <f t="shared" si="239"/>
        <v>GERAL</v>
      </c>
      <c r="B814" s="24" t="str">
        <f t="shared" si="240"/>
        <v>65º PAV. - TIPO 04B - x36 - MODELO</v>
      </c>
      <c r="C814" s="30" t="s">
        <v>221</v>
      </c>
      <c r="D814" s="30" t="str">
        <f>'Tipo 4B - x36'!C10</f>
        <v>Atuadores</v>
      </c>
      <c r="E814" s="30" t="str">
        <f>'Tipo 4B - x36'!D10</f>
        <v>Dispositivo Eletromagnético de Porta Aberta</v>
      </c>
      <c r="F814" s="30">
        <f>'Tipo 4B - x36'!E10</f>
        <v>1</v>
      </c>
      <c r="G814" s="25">
        <v>36</v>
      </c>
      <c r="H814" s="25">
        <v>0</v>
      </c>
      <c r="I814" s="25">
        <f t="shared" si="241"/>
        <v>36</v>
      </c>
      <c r="J814" s="25" t="str">
        <f>'Tipo 4B - x36'!F10</f>
        <v>pç</v>
      </c>
      <c r="K814" s="26">
        <f>_xlfn.XLOOKUP($E814,PREÇO!$C$7:$C$91,PREÇO!$E$7:$E$91)</f>
        <v>416.9</v>
      </c>
      <c r="L814" s="66">
        <f>IF(SUM(F814:K814)=0,SUMIFS($L815:$L$1593,$B815:$B$1593,$B814,$A815:$A$1593,$A814),I814*K814)</f>
        <v>15008.4</v>
      </c>
      <c r="N814"/>
      <c r="O814"/>
      <c r="P814" s="28"/>
      <c r="Q814" s="28"/>
      <c r="R814" s="28"/>
    </row>
    <row r="815" spans="1:18" outlineLevel="1">
      <c r="A815" s="24" t="str">
        <f t="shared" si="239"/>
        <v>GERAL</v>
      </c>
      <c r="B815" s="24" t="str">
        <f t="shared" si="240"/>
        <v>65º PAV. - TIPO 04B - x36 - MODELO</v>
      </c>
      <c r="C815" s="30" t="s">
        <v>221</v>
      </c>
      <c r="D815" s="30" t="str">
        <f>'Tipo 4B - x36'!C11</f>
        <v>Sensores</v>
      </c>
      <c r="E815" s="30" t="str">
        <f>'Tipo 4B - x36'!D11</f>
        <v>Sensor de Fumaça</v>
      </c>
      <c r="F815" s="30">
        <f>'Tipo 4B - x36'!E11</f>
        <v>19</v>
      </c>
      <c r="G815" s="25">
        <v>36</v>
      </c>
      <c r="H815" s="25">
        <v>0</v>
      </c>
      <c r="I815" s="25">
        <f t="shared" si="241"/>
        <v>684</v>
      </c>
      <c r="J815" s="25" t="str">
        <f>'Tipo 4B - x36'!F11</f>
        <v>pç</v>
      </c>
      <c r="K815" s="26">
        <f>_xlfn.XLOOKUP($E815,PREÇO!$C$7:$C$91,PREÇO!$E$7:$E$91)</f>
        <v>53.9</v>
      </c>
      <c r="L815" s="66">
        <f>IF(SUM(F815:K815)=0,SUMIFS($L816:$L$1593,$B816:$B$1593,$B815,$A816:$A$1593,$A815),I815*K815)</f>
        <v>36867.599999999999</v>
      </c>
      <c r="N815"/>
      <c r="O815"/>
      <c r="P815" s="28"/>
      <c r="Q815" s="28"/>
      <c r="R815" s="28"/>
    </row>
    <row r="816" spans="1:18" outlineLevel="1">
      <c r="A816" s="24" t="str">
        <f t="shared" si="239"/>
        <v>GERAL</v>
      </c>
      <c r="B816" s="24" t="str">
        <f t="shared" si="240"/>
        <v>65º PAV. - TIPO 04B - x36 - MODELO</v>
      </c>
      <c r="C816" s="30" t="s">
        <v>221</v>
      </c>
      <c r="D816" s="30" t="str">
        <f>'Tipo 4B - x36'!C14</f>
        <v>Caixas</v>
      </c>
      <c r="E816" s="30" t="str">
        <f>'Tipo 4B - x36'!D14</f>
        <v>Caixa Octogonal Padrão NBR IEC 60670</v>
      </c>
      <c r="F816" s="30">
        <f>'Tipo 4B - x36'!E14</f>
        <v>31</v>
      </c>
      <c r="G816" s="25">
        <v>36</v>
      </c>
      <c r="H816" s="25">
        <v>0</v>
      </c>
      <c r="I816" s="25">
        <f t="shared" si="241"/>
        <v>1116</v>
      </c>
      <c r="J816" s="25" t="str">
        <f>'Tipo 4B - x36'!F14</f>
        <v>pç</v>
      </c>
      <c r="K816" s="26">
        <f>_xlfn.XLOOKUP($E816,PREÇO!$C$7:$C$91,PREÇO!$E$7:$E$91)</f>
        <v>5.32</v>
      </c>
      <c r="L816" s="66">
        <f>IF(SUM(F816:K816)=0,SUMIFS($L817:$L$1593,$B817:$B$1593,$B816,$A817:$A$1593,$A816),I816*K816)</f>
        <v>5937.12</v>
      </c>
      <c r="N816"/>
      <c r="O816"/>
      <c r="P816" s="28"/>
      <c r="Q816" s="28"/>
      <c r="R816" s="28"/>
    </row>
    <row r="817" spans="1:18" outlineLevel="1">
      <c r="A817" s="24" t="str">
        <f t="shared" si="239"/>
        <v>GERAL</v>
      </c>
      <c r="B817" s="24" t="str">
        <f t="shared" si="240"/>
        <v>65º PAV. - TIPO 04B - x36 - MODELO</v>
      </c>
      <c r="C817" s="30" t="s">
        <v>221</v>
      </c>
      <c r="D817" s="30" t="str">
        <f>'Tipo 4B - x36'!C15</f>
        <v>Placas</v>
      </c>
      <c r="E817" s="30" t="str">
        <f>'Tipo 4B - x36'!D15</f>
        <v>Placa cega para caixa octogonal Padrão NBR IEC 60670</v>
      </c>
      <c r="F817" s="30">
        <f>'Tipo 4B - x36'!E15</f>
        <v>2</v>
      </c>
      <c r="G817" s="25">
        <v>36</v>
      </c>
      <c r="H817" s="25">
        <v>0</v>
      </c>
      <c r="I817" s="25">
        <f t="shared" si="241"/>
        <v>72</v>
      </c>
      <c r="J817" s="25" t="str">
        <f>'Tipo 4B - x36'!F15</f>
        <v>pç</v>
      </c>
      <c r="K817" s="26">
        <f>_xlfn.XLOOKUP($E817,PREÇO!$C$7:$C$91,PREÇO!$E$7:$E$91)</f>
        <v>2.5</v>
      </c>
      <c r="L817" s="66">
        <f>IF(SUM(F817:K817)=0,SUMIFS($L818:$L$1593,$B818:$B$1593,$B817,$A818:$A$1593,$A817),I817*K817)</f>
        <v>180</v>
      </c>
      <c r="N817"/>
      <c r="O817"/>
      <c r="P817" s="28"/>
      <c r="Q817" s="28"/>
      <c r="R817" s="28"/>
    </row>
    <row r="818" spans="1:18" outlineLevel="1">
      <c r="A818" s="24" t="str">
        <f t="shared" si="239"/>
        <v>GERAL</v>
      </c>
      <c r="B818" s="24" t="str">
        <f t="shared" si="240"/>
        <v>65º PAV. - TIPO 04B - x36 - MODELO</v>
      </c>
      <c r="C818" s="30" t="s">
        <v>221</v>
      </c>
      <c r="D818" s="30" t="str">
        <f>'Tipo 4B - x36'!C18</f>
        <v>Caixas</v>
      </c>
      <c r="E818" s="30" t="str">
        <f>'Tipo 4B - x36'!D18</f>
        <v>Caixa 4x2" de Embutir em PVC Padrão NBR IEC 60670</v>
      </c>
      <c r="F818" s="30">
        <f>'Tipo 4B - x36'!E18</f>
        <v>9</v>
      </c>
      <c r="G818" s="25">
        <v>36</v>
      </c>
      <c r="H818" s="25">
        <v>0</v>
      </c>
      <c r="I818" s="25">
        <f t="shared" si="241"/>
        <v>324</v>
      </c>
      <c r="J818" s="25" t="str">
        <f>'Tipo 4B - x36'!F18</f>
        <v>pç</v>
      </c>
      <c r="K818" s="26">
        <f>_xlfn.XLOOKUP($E818,PREÇO!$C$7:$C$91,PREÇO!$E$7:$E$91)</f>
        <v>1.72</v>
      </c>
      <c r="L818" s="66">
        <f>IF(SUM(F818:K818)=0,SUMIFS($L819:$L$1593,$B819:$B$1593,$B818,$A819:$A$1593,$A818),I818*K818)</f>
        <v>557.28</v>
      </c>
      <c r="N818"/>
      <c r="O818"/>
      <c r="P818" s="28"/>
      <c r="Q818" s="28"/>
      <c r="R818" s="28"/>
    </row>
    <row r="819" spans="1:18" outlineLevel="1">
      <c r="A819" s="24" t="str">
        <f t="shared" si="239"/>
        <v>GERAL</v>
      </c>
      <c r="B819" s="24" t="str">
        <f t="shared" si="240"/>
        <v>65º PAV. - TIPO 04B - x36 - MODELO</v>
      </c>
      <c r="C819" s="30" t="s">
        <v>221</v>
      </c>
      <c r="D819" s="30" t="str">
        <f>'Tipo 4B - x36'!C19</f>
        <v>Placas</v>
      </c>
      <c r="E819" s="30" t="str">
        <f>'Tipo 4B - x36'!D19</f>
        <v>Placa 4x2" cega Padrão NBR IEC 60670</v>
      </c>
      <c r="F819" s="30">
        <f>'Tipo 4B - x36'!E19</f>
        <v>3</v>
      </c>
      <c r="G819" s="25">
        <v>36</v>
      </c>
      <c r="H819" s="25">
        <v>0</v>
      </c>
      <c r="I819" s="25">
        <f t="shared" si="241"/>
        <v>108</v>
      </c>
      <c r="J819" s="25" t="str">
        <f>'Tipo 4B - x36'!F19</f>
        <v>pç</v>
      </c>
      <c r="K819" s="26">
        <f>_xlfn.XLOOKUP($E819,PREÇO!$C$7:$C$91,PREÇO!$E$7:$E$91)</f>
        <v>4.59</v>
      </c>
      <c r="L819" s="66">
        <f>IF(SUM(F819:K819)=0,SUMIFS($L820:$L$1593,$B820:$B$1593,$B819,$A820:$A$1593,$A819),I819*K819)</f>
        <v>495.71999999999997</v>
      </c>
      <c r="N819"/>
      <c r="O819"/>
      <c r="P819" s="28"/>
      <c r="Q819" s="28"/>
      <c r="R819" s="28"/>
    </row>
    <row r="820" spans="1:18" outlineLevel="1">
      <c r="A820" s="24" t="str">
        <f t="shared" si="239"/>
        <v>GERAL</v>
      </c>
      <c r="B820" s="24" t="str">
        <f t="shared" si="240"/>
        <v>65º PAV. - TIPO 04B - x36 - MODELO</v>
      </c>
      <c r="C820" s="30" t="s">
        <v>221</v>
      </c>
      <c r="D820" s="30" t="str">
        <f>'Tipo 4B - x36'!C20</f>
        <v>Placas</v>
      </c>
      <c r="E820" s="30" t="str">
        <f>'Tipo 4B - x36'!D20</f>
        <v>Placa 4x2" com furo para saída de cabos Padrão NBR IEC 60670</v>
      </c>
      <c r="F820" s="30">
        <f>'Tipo 4B - x36'!E20</f>
        <v>6</v>
      </c>
      <c r="G820" s="25">
        <v>36</v>
      </c>
      <c r="H820" s="25">
        <v>0</v>
      </c>
      <c r="I820" s="25">
        <f t="shared" si="241"/>
        <v>216</v>
      </c>
      <c r="J820" s="25" t="str">
        <f>'Tipo 4B - x36'!F20</f>
        <v>pç</v>
      </c>
      <c r="K820" s="26">
        <f>_xlfn.XLOOKUP($E820,PREÇO!$C$7:$C$91,PREÇO!$E$7:$E$91)</f>
        <v>6.55</v>
      </c>
      <c r="L820" s="66">
        <f>IF(SUM(F820:K820)=0,SUMIFS($L821:$L$1593,$B821:$B$1593,$B820,$A821:$A$1593,$A820),I820*K820)</f>
        <v>1414.8</v>
      </c>
      <c r="N820"/>
      <c r="O820"/>
      <c r="P820" s="28"/>
      <c r="Q820" s="28"/>
      <c r="R820" s="28"/>
    </row>
    <row r="821" spans="1:18" outlineLevel="1">
      <c r="A821" s="24" t="str">
        <f t="shared" si="239"/>
        <v>GERAL</v>
      </c>
      <c r="B821" s="24" t="str">
        <f t="shared" si="240"/>
        <v>65º PAV. - TIPO 04B - x36 - MODELO</v>
      </c>
      <c r="C821" s="30" t="s">
        <v>221</v>
      </c>
      <c r="D821" s="30" t="str">
        <f>'Tipo 4B - x36'!C21</f>
        <v>Suportes</v>
      </c>
      <c r="E821" s="30" t="str">
        <f>'Tipo 4B - x36'!D21</f>
        <v>Suporte p/ caixa 4x2" Padrão NBR IEC 60670</v>
      </c>
      <c r="F821" s="30">
        <f>'Tipo 4B - x36'!E21</f>
        <v>9</v>
      </c>
      <c r="G821" s="25">
        <v>36</v>
      </c>
      <c r="H821" s="25">
        <v>0</v>
      </c>
      <c r="I821" s="25">
        <f t="shared" si="241"/>
        <v>324</v>
      </c>
      <c r="J821" s="25" t="str">
        <f>'Tipo 4B - x36'!F21</f>
        <v>pç</v>
      </c>
      <c r="K821" s="26">
        <f>_xlfn.XLOOKUP($E821,PREÇO!$C$7:$C$91,PREÇO!$E$7:$E$91)</f>
        <v>1.85</v>
      </c>
      <c r="L821" s="66">
        <f>IF(SUM(F821:K821)=0,SUMIFS($L822:$L$1593,$B822:$B$1593,$B821,$A822:$A$1593,$A821),I821*K821)</f>
        <v>599.4</v>
      </c>
      <c r="N821"/>
      <c r="O821"/>
      <c r="P821" s="28"/>
      <c r="Q821" s="28"/>
      <c r="R821" s="28"/>
    </row>
    <row r="822" spans="1:18" outlineLevel="1">
      <c r="A822" s="24" t="str">
        <f t="shared" si="239"/>
        <v>GERAL</v>
      </c>
      <c r="B822" s="24" t="str">
        <f t="shared" si="240"/>
        <v>65º PAV. - TIPO 04B - x36 - MODELO</v>
      </c>
      <c r="C822" s="30" t="s">
        <v>221</v>
      </c>
      <c r="D822" s="83" t="s">
        <v>46</v>
      </c>
      <c r="E822" s="30" t="s">
        <v>44</v>
      </c>
      <c r="F822" s="30">
        <f>'Tipo 4B - x36'!E24</f>
        <v>29.07</v>
      </c>
      <c r="G822" s="25">
        <v>36</v>
      </c>
      <c r="H822" s="25">
        <v>0</v>
      </c>
      <c r="I822" s="25">
        <f t="shared" si="241"/>
        <v>1046.52</v>
      </c>
      <c r="J822" s="25" t="str">
        <f>'Tipo 4B - x36'!F24</f>
        <v>m</v>
      </c>
      <c r="K822" s="26">
        <f>_xlfn.XLOOKUP($E822,PREÇO!$C$7:$C$91,PREÇO!$E$7:$E$91)</f>
        <v>2.5299999999999998</v>
      </c>
      <c r="L822" s="66">
        <f>IF(SUM(F822:K822)=0,SUMIFS($L823:$L$1593,$B823:$B$1593,$B822,$A823:$A$1593,$A822),I822*K822)</f>
        <v>2647.6955999999996</v>
      </c>
      <c r="N822"/>
      <c r="O822"/>
      <c r="P822" s="28"/>
      <c r="Q822" s="28"/>
      <c r="R822" s="28"/>
    </row>
    <row r="823" spans="1:18" outlineLevel="1">
      <c r="A823" s="24" t="str">
        <f t="shared" si="239"/>
        <v>GERAL</v>
      </c>
      <c r="B823" s="24" t="str">
        <f t="shared" si="240"/>
        <v>65º PAV. - TIPO 04B - x36 - MODELO</v>
      </c>
      <c r="C823" s="30" t="s">
        <v>221</v>
      </c>
      <c r="D823" s="83" t="s">
        <v>46</v>
      </c>
      <c r="E823" s="30" t="s">
        <v>45</v>
      </c>
      <c r="F823" s="30">
        <f>'Tipo 4B - x36'!E25</f>
        <v>26.98</v>
      </c>
      <c r="G823" s="25">
        <v>36</v>
      </c>
      <c r="H823" s="25">
        <v>0</v>
      </c>
      <c r="I823" s="25">
        <f t="shared" si="241"/>
        <v>971.28</v>
      </c>
      <c r="J823" s="25" t="str">
        <f>'Tipo 4B - x36'!F25</f>
        <v>m</v>
      </c>
      <c r="K823" s="26">
        <f>_xlfn.XLOOKUP($E823,PREÇO!$C$7:$C$91,PREÇO!$E$7:$E$91)</f>
        <v>1.8</v>
      </c>
      <c r="L823" s="66">
        <f>IF(SUM(F823:K823)=0,SUMIFS($L824:$L$1593,$B824:$B$1593,$B823,$A824:$A$1593,$A823),I823*K823)</f>
        <v>1748.3040000000001</v>
      </c>
      <c r="N823"/>
      <c r="O823"/>
      <c r="P823" s="28"/>
      <c r="Q823" s="28"/>
      <c r="R823" s="28"/>
    </row>
    <row r="824" spans="1:18" outlineLevel="1">
      <c r="A824" s="24" t="str">
        <f t="shared" si="239"/>
        <v>GERAL</v>
      </c>
      <c r="B824" s="24" t="str">
        <f t="shared" si="240"/>
        <v>65º PAV. - TIPO 04B - x36 - MODELO</v>
      </c>
      <c r="C824" s="30" t="s">
        <v>220</v>
      </c>
      <c r="D824" s="30" t="str">
        <f>'Tipo 4B - x36'!C28</f>
        <v>Luminárias e Placas de Saída</v>
      </c>
      <c r="E824" s="30" t="str">
        <f>'Tipo 4B - x36'!D28</f>
        <v>Luminária de Emergência 24V de Parede</v>
      </c>
      <c r="F824" s="30">
        <f>'Tipo 4B - x36'!E28</f>
        <v>3</v>
      </c>
      <c r="G824" s="25">
        <v>36</v>
      </c>
      <c r="H824" s="25">
        <v>0</v>
      </c>
      <c r="I824" s="25">
        <f t="shared" si="241"/>
        <v>108</v>
      </c>
      <c r="J824" s="25" t="str">
        <f>'Tipo 4B - x36'!F28</f>
        <v>pç</v>
      </c>
      <c r="K824" s="26">
        <f>_xlfn.XLOOKUP($E824,PREÇO!$C$7:$C$91,PREÇO!$E$7:$E$91)</f>
        <v>15.9</v>
      </c>
      <c r="L824" s="66">
        <f>IF(SUM(F824:K824)=0,SUMIFS($L825:$L$1593,$B825:$B$1593,$B824,$A825:$A$1593,$A824),I824*K824)</f>
        <v>1717.2</v>
      </c>
      <c r="N824"/>
      <c r="O824"/>
      <c r="P824" s="28"/>
      <c r="Q824" s="28"/>
      <c r="R824" s="28"/>
    </row>
    <row r="825" spans="1:18" outlineLevel="1">
      <c r="A825" s="24" t="str">
        <f t="shared" si="239"/>
        <v>GERAL</v>
      </c>
      <c r="B825" s="24" t="str">
        <f t="shared" si="240"/>
        <v>65º PAV. - TIPO 04B - x36 - MODELO</v>
      </c>
      <c r="C825" s="30" t="s">
        <v>220</v>
      </c>
      <c r="D825" s="30" t="str">
        <f>'Tipo 4B - x36'!C29</f>
        <v>Luminárias e Placas de Saída</v>
      </c>
      <c r="E825" s="30" t="str">
        <f>'Tipo 4B - x36'!D29</f>
        <v>Luminária de Emergência 24V de Teto</v>
      </c>
      <c r="F825" s="30">
        <f>'Tipo 4B - x36'!E29</f>
        <v>5</v>
      </c>
      <c r="G825" s="25">
        <v>36</v>
      </c>
      <c r="H825" s="25">
        <v>0</v>
      </c>
      <c r="I825" s="25">
        <f t="shared" si="241"/>
        <v>180</v>
      </c>
      <c r="J825" s="25" t="str">
        <f>'Tipo 4B - x36'!F29</f>
        <v>pç</v>
      </c>
      <c r="K825" s="26">
        <f>_xlfn.XLOOKUP($E825,PREÇO!$C$7:$C$91,PREÇO!$E$7:$E$91)</f>
        <v>69.900000000000006</v>
      </c>
      <c r="L825" s="66">
        <f>IF(SUM(F825:K825)=0,SUMIFS($L826:$L$1593,$B826:$B$1593,$B825,$A826:$A$1593,$A825),I825*K825)</f>
        <v>12582.000000000002</v>
      </c>
      <c r="N825"/>
      <c r="O825"/>
      <c r="P825" s="28"/>
      <c r="Q825" s="28"/>
      <c r="R825" s="28"/>
    </row>
    <row r="826" spans="1:18" outlineLevel="1">
      <c r="A826" s="24" t="str">
        <f t="shared" si="239"/>
        <v>GERAL</v>
      </c>
      <c r="B826" s="24" t="str">
        <f t="shared" si="240"/>
        <v>65º PAV. - TIPO 04B - x36 - MODELO</v>
      </c>
      <c r="C826" s="24" t="s">
        <v>222</v>
      </c>
      <c r="D826" s="30" t="str">
        <f>'Tipo 4B - x36'!C30</f>
        <v>Luminárias e Placas de Saída</v>
      </c>
      <c r="E826" s="30" t="str">
        <f>'Tipo 4B - x36'!D30</f>
        <v>Placa de Saída 24V de Parede sem Direção</v>
      </c>
      <c r="F826" s="30">
        <f>'Tipo 4B - x36'!E30</f>
        <v>1</v>
      </c>
      <c r="G826" s="25">
        <v>36</v>
      </c>
      <c r="H826" s="25">
        <v>0</v>
      </c>
      <c r="I826" s="25">
        <f t="shared" si="241"/>
        <v>36</v>
      </c>
      <c r="J826" s="25" t="str">
        <f>'Tipo 4B - x36'!F30</f>
        <v>pç</v>
      </c>
      <c r="K826" s="26">
        <f>_xlfn.XLOOKUP($E826,PREÇO!$C$7:$C$91,PREÇO!$E$7:$E$91)</f>
        <v>61.66</v>
      </c>
      <c r="L826" s="66">
        <f>IF(SUM(F826:K826)=0,SUMIFS($L828:$L$1593,$B828:$B$1593,$B826,$A828:$A$1593,$A826),I826*K826)</f>
        <v>2219.7599999999998</v>
      </c>
      <c r="N826"/>
      <c r="O826"/>
      <c r="P826" s="28"/>
      <c r="Q826" s="28"/>
      <c r="R826" s="28"/>
    </row>
    <row r="827" spans="1:18" outlineLevel="1">
      <c r="A827" s="116" t="str">
        <f>A825</f>
        <v>GERAL</v>
      </c>
      <c r="B827" s="116" t="str">
        <f>B826</f>
        <v>65º PAV. - TIPO 04B - x36 - MODELO</v>
      </c>
      <c r="C827" s="116" t="s">
        <v>222</v>
      </c>
      <c r="D827" s="116" t="s">
        <v>223</v>
      </c>
      <c r="E827" s="116" t="s">
        <v>224</v>
      </c>
      <c r="F827" s="117">
        <v>1</v>
      </c>
      <c r="G827" s="117">
        <f>G826</f>
        <v>36</v>
      </c>
      <c r="H827" s="118">
        <v>0</v>
      </c>
      <c r="I827" s="117">
        <f t="shared" si="241"/>
        <v>36</v>
      </c>
      <c r="J827" s="117" t="s">
        <v>11</v>
      </c>
      <c r="K827" s="119">
        <f>_xlfn.XLOOKUP($E827,PREÇO!$C$7:$C$91,PREÇO!$E$7:$E$91)</f>
        <v>646.55999999999995</v>
      </c>
      <c r="L827" s="120">
        <f>IF(SUM(F827:K827)=0,SUMIFS($L828:$L$1593,$B828:$B$1593,$B827,$A828:$A$1593,$A827),I827*K827)</f>
        <v>23276.159999999996</v>
      </c>
      <c r="N827"/>
      <c r="O827"/>
      <c r="P827" s="28"/>
      <c r="Q827" s="28"/>
      <c r="R827" s="28"/>
    </row>
    <row r="828" spans="1:18" outlineLevel="1">
      <c r="A828" s="24" t="str">
        <f>A826</f>
        <v>GERAL</v>
      </c>
      <c r="B828" s="24" t="str">
        <f>B826</f>
        <v>65º PAV. - TIPO 04B - x36 - MODELO</v>
      </c>
      <c r="C828" s="30" t="s">
        <v>220</v>
      </c>
      <c r="D828" s="30" t="str">
        <f>'Tipo 4B - x36'!C31</f>
        <v>Sensores de Presença</v>
      </c>
      <c r="E828" s="30" t="str">
        <f>'Tipo 4B - x36'!D31</f>
        <v>Sensor de Presença 24V de teto</v>
      </c>
      <c r="F828" s="30">
        <f>'Tipo 4B - x36'!E31</f>
        <v>3</v>
      </c>
      <c r="G828" s="25">
        <v>36</v>
      </c>
      <c r="H828" s="25">
        <v>0</v>
      </c>
      <c r="I828" s="25">
        <f t="shared" si="241"/>
        <v>108</v>
      </c>
      <c r="J828" s="25" t="str">
        <f>'Tipo 4B - x36'!F31</f>
        <v>pç</v>
      </c>
      <c r="K828" s="26">
        <f>_xlfn.XLOOKUP($E828,PREÇO!$C$7:$C$91,PREÇO!$E$7:$E$91)</f>
        <v>38.4</v>
      </c>
      <c r="L828" s="66">
        <f>IF(SUM(F828:K828)=0,SUMIFS($L829:$L$1593,$B829:$B$1593,$B828,$A829:$A$1593,$A828),I828*K828)</f>
        <v>4147.2</v>
      </c>
      <c r="N828"/>
      <c r="O828"/>
      <c r="P828" s="28"/>
      <c r="Q828" s="28"/>
      <c r="R828" s="28"/>
    </row>
    <row r="829" spans="1:18" outlineLevel="1">
      <c r="A829" s="24" t="str">
        <f t="shared" si="239"/>
        <v>GERAL</v>
      </c>
      <c r="B829" s="24" t="str">
        <f t="shared" si="240"/>
        <v>65º PAV. - TIPO 04B - x36 - MODELO</v>
      </c>
      <c r="C829" s="30" t="s">
        <v>221</v>
      </c>
      <c r="D829" s="83" t="s">
        <v>87</v>
      </c>
      <c r="E829" s="30" t="s">
        <v>179</v>
      </c>
      <c r="F829" s="30">
        <f>'Tipo 4B - x36'!E34</f>
        <v>27.74</v>
      </c>
      <c r="G829" s="25">
        <v>36</v>
      </c>
      <c r="H829" s="25">
        <v>0</v>
      </c>
      <c r="I829" s="25">
        <f t="shared" si="241"/>
        <v>998.64</v>
      </c>
      <c r="J829" s="25" t="str">
        <f>'Tipo 4B - x36'!F34</f>
        <v>m</v>
      </c>
      <c r="K829" s="26">
        <f>_xlfn.XLOOKUP($E829,PREÇO!$C$7:$C$91,PREÇO!$E$7:$E$91)</f>
        <v>1.59</v>
      </c>
      <c r="L829" s="66">
        <f>IF(SUM(F829:K829)=0,SUMIFS($L830:$L$1593,$B830:$B$1593,$B829,$A830:$A$1593,$A829),I829*K829)</f>
        <v>1587.8376000000001</v>
      </c>
      <c r="N829"/>
      <c r="O829"/>
      <c r="P829" s="28"/>
      <c r="Q829" s="28"/>
      <c r="R829" s="28"/>
    </row>
    <row r="830" spans="1:18" outlineLevel="1">
      <c r="A830" s="24" t="str">
        <f t="shared" si="239"/>
        <v>GERAL</v>
      </c>
      <c r="B830" s="24" t="str">
        <f t="shared" si="240"/>
        <v>65º PAV. - TIPO 04B - x36 - MODELO</v>
      </c>
      <c r="C830" s="30" t="s">
        <v>221</v>
      </c>
      <c r="D830" s="83" t="s">
        <v>87</v>
      </c>
      <c r="E830" s="30" t="s">
        <v>180</v>
      </c>
      <c r="F830" s="30">
        <f>'Tipo 4B - x36'!E35</f>
        <v>42.75</v>
      </c>
      <c r="G830" s="25">
        <v>36</v>
      </c>
      <c r="H830" s="25">
        <v>0</v>
      </c>
      <c r="I830" s="25">
        <f t="shared" si="241"/>
        <v>1539</v>
      </c>
      <c r="J830" s="25" t="str">
        <f>'Tipo 4B - x36'!F35</f>
        <v>m</v>
      </c>
      <c r="K830" s="26">
        <f>_xlfn.XLOOKUP($E830,PREÇO!$C$7:$C$91,PREÇO!$E$7:$E$91)</f>
        <v>1.59</v>
      </c>
      <c r="L830" s="66">
        <f>IF(SUM(F830:K830)=0,SUMIFS($L831:$L$1593,$B831:$B$1593,$B830,$A831:$A$1593,$A830),I830*K830)</f>
        <v>2447.0100000000002</v>
      </c>
      <c r="N830"/>
      <c r="O830"/>
      <c r="P830" s="28"/>
      <c r="Q830" s="28"/>
      <c r="R830" s="28"/>
    </row>
    <row r="831" spans="1:18" outlineLevel="1">
      <c r="A831" s="24" t="str">
        <f t="shared" si="239"/>
        <v>GERAL</v>
      </c>
      <c r="B831" s="24" t="str">
        <f t="shared" si="240"/>
        <v>65º PAV. - TIPO 04B - x36 - MODELO</v>
      </c>
      <c r="C831" s="30" t="s">
        <v>221</v>
      </c>
      <c r="D831" s="83" t="s">
        <v>87</v>
      </c>
      <c r="E831" s="30" t="s">
        <v>181</v>
      </c>
      <c r="F831" s="30">
        <f>'Tipo 4B - x36'!E36</f>
        <v>42.75</v>
      </c>
      <c r="G831" s="25">
        <v>36</v>
      </c>
      <c r="H831" s="25">
        <v>0</v>
      </c>
      <c r="I831" s="25">
        <f t="shared" si="241"/>
        <v>1539</v>
      </c>
      <c r="J831" s="25" t="str">
        <f>'Tipo 4B - x36'!F36</f>
        <v>m</v>
      </c>
      <c r="K831" s="26">
        <f>_xlfn.XLOOKUP($E831,PREÇO!$C$7:$C$91,PREÇO!$E$7:$E$91)</f>
        <v>1.59</v>
      </c>
      <c r="L831" s="66">
        <f>IF(SUM(F831:K831)=0,SUMIFS($L832:$L$1593,$B832:$B$1593,$B831,$A832:$A$1593,$A831),I831*K831)</f>
        <v>2447.0100000000002</v>
      </c>
      <c r="N831"/>
      <c r="O831"/>
      <c r="P831" s="28"/>
      <c r="Q831" s="28"/>
      <c r="R831" s="28"/>
    </row>
    <row r="832" spans="1:18" outlineLevel="1">
      <c r="A832" s="24" t="str">
        <f t="shared" si="239"/>
        <v>GERAL</v>
      </c>
      <c r="B832" s="24" t="str">
        <f t="shared" si="240"/>
        <v>65º PAV. - TIPO 04B - x36 - MODELO</v>
      </c>
      <c r="C832" s="30" t="s">
        <v>221</v>
      </c>
      <c r="D832" s="83" t="s">
        <v>87</v>
      </c>
      <c r="E832" s="30" t="s">
        <v>182</v>
      </c>
      <c r="F832" s="30">
        <f>'Tipo 4B - x36'!E37</f>
        <v>15.08</v>
      </c>
      <c r="G832" s="25">
        <v>36</v>
      </c>
      <c r="H832" s="25">
        <v>0</v>
      </c>
      <c r="I832" s="25">
        <f t="shared" si="241"/>
        <v>542.88</v>
      </c>
      <c r="J832" s="25" t="str">
        <f>'Tipo 4B - x36'!F37</f>
        <v>m</v>
      </c>
      <c r="K832" s="26">
        <f>_xlfn.XLOOKUP($E832,PREÇO!$C$7:$C$91,PREÇO!$E$7:$E$91)</f>
        <v>2.19</v>
      </c>
      <c r="L832" s="66">
        <f>IF(SUM(F832:K832)=0,SUMIFS($L833:$L$1593,$B833:$B$1593,$B832,$A833:$A$1593,$A832),I832*K832)</f>
        <v>1188.9071999999999</v>
      </c>
      <c r="N832"/>
      <c r="O832"/>
      <c r="P832" s="28"/>
      <c r="Q832" s="28"/>
      <c r="R832" s="28"/>
    </row>
    <row r="833" spans="1:18" outlineLevel="1">
      <c r="A833" s="24" t="str">
        <f t="shared" si="239"/>
        <v>GERAL</v>
      </c>
      <c r="B833" s="24" t="str">
        <f t="shared" si="240"/>
        <v>65º PAV. - TIPO 04B - x36 - MODELO</v>
      </c>
      <c r="C833" s="30" t="s">
        <v>221</v>
      </c>
      <c r="D833" s="83" t="s">
        <v>87</v>
      </c>
      <c r="E833" s="30" t="s">
        <v>183</v>
      </c>
      <c r="F833" s="30">
        <f>'Tipo 4B - x36'!E38</f>
        <v>7.54</v>
      </c>
      <c r="G833" s="25">
        <v>36</v>
      </c>
      <c r="H833" s="25">
        <v>0</v>
      </c>
      <c r="I833" s="25">
        <f t="shared" si="241"/>
        <v>271.44</v>
      </c>
      <c r="J833" s="25" t="str">
        <f>'Tipo 4B - x36'!F38</f>
        <v>m</v>
      </c>
      <c r="K833" s="26">
        <f>_xlfn.XLOOKUP($E833,PREÇO!$C$7:$C$91,PREÇO!$E$7:$E$91)</f>
        <v>2.19</v>
      </c>
      <c r="L833" s="66">
        <f>IF(SUM(F833:K833)=0,SUMIFS($L834:$L$1593,$B834:$B$1593,$B833,$A834:$A$1593,$A833),I833*K833)</f>
        <v>594.45359999999994</v>
      </c>
      <c r="N833"/>
      <c r="O833"/>
      <c r="P833" s="28"/>
      <c r="Q833" s="28"/>
      <c r="R833" s="28"/>
    </row>
    <row r="834" spans="1:18" outlineLevel="1">
      <c r="A834" s="24" t="str">
        <f t="shared" si="239"/>
        <v>GERAL</v>
      </c>
      <c r="B834" s="24" t="str">
        <f t="shared" si="240"/>
        <v>65º PAV. - TIPO 04B - x36 - MODELO</v>
      </c>
      <c r="C834" s="30" t="s">
        <v>221</v>
      </c>
      <c r="D834" s="83" t="s">
        <v>87</v>
      </c>
      <c r="E834" s="30" t="s">
        <v>184</v>
      </c>
      <c r="F834" s="30">
        <f>'Tipo 4B - x36'!E39</f>
        <v>7.54</v>
      </c>
      <c r="G834" s="25">
        <v>36</v>
      </c>
      <c r="H834" s="25">
        <v>0</v>
      </c>
      <c r="I834" s="25">
        <f t="shared" si="241"/>
        <v>271.44</v>
      </c>
      <c r="J834" s="25" t="str">
        <f>'Tipo 4B - x36'!F39</f>
        <v>m</v>
      </c>
      <c r="K834" s="26">
        <f>_xlfn.XLOOKUP($E834,PREÇO!$C$7:$C$91,PREÇO!$E$7:$E$91)</f>
        <v>2.19</v>
      </c>
      <c r="L834" s="66">
        <f>IF(SUM(F834:K834)=0,SUMIFS($L835:$L$1593,$B835:$B$1593,$B834,$A835:$A$1593,$A834),I834*K834)</f>
        <v>594.45359999999994</v>
      </c>
      <c r="N834"/>
      <c r="O834"/>
      <c r="P834" s="28"/>
      <c r="Q834" s="28"/>
      <c r="R834" s="28"/>
    </row>
    <row r="835" spans="1:18" outlineLevel="1">
      <c r="A835" s="24" t="str">
        <f t="shared" si="239"/>
        <v>GERAL</v>
      </c>
      <c r="B835" s="24" t="str">
        <f t="shared" si="240"/>
        <v>65º PAV. - TIPO 04B - x36 - MODELO</v>
      </c>
      <c r="C835" s="30" t="s">
        <v>221</v>
      </c>
      <c r="D835" s="83" t="s">
        <v>46</v>
      </c>
      <c r="E835" s="30" t="s">
        <v>44</v>
      </c>
      <c r="F835" s="30">
        <f>'Tipo 4B - x36'!E43</f>
        <v>120.82</v>
      </c>
      <c r="G835" s="25">
        <v>36</v>
      </c>
      <c r="H835" s="25">
        <v>0</v>
      </c>
      <c r="I835" s="25">
        <f t="shared" si="241"/>
        <v>4349.5199999999995</v>
      </c>
      <c r="J835" s="25" t="str">
        <f>'Tipo 4B - x36'!F43</f>
        <v>m</v>
      </c>
      <c r="K835" s="26">
        <f>_xlfn.XLOOKUP($E835,PREÇO!$C$7:$C$91,PREÇO!$E$7:$E$91)</f>
        <v>2.5299999999999998</v>
      </c>
      <c r="L835" s="66">
        <f>IF(SUM(F835:K835)=0,SUMIFS($L836:$L$1593,$B836:$B$1593,$B835,$A836:$A$1593,$A835),I835*K835)</f>
        <v>11004.285599999997</v>
      </c>
      <c r="N835"/>
      <c r="O835"/>
      <c r="P835" s="28"/>
      <c r="Q835" s="28"/>
      <c r="R835" s="28"/>
    </row>
    <row r="836" spans="1:18" outlineLevel="1">
      <c r="A836" s="24" t="str">
        <f t="shared" si="239"/>
        <v>GERAL</v>
      </c>
      <c r="B836" s="24" t="str">
        <f t="shared" si="240"/>
        <v>65º PAV. - TIPO 04B - x36 - MODELO</v>
      </c>
      <c r="C836" s="30" t="s">
        <v>221</v>
      </c>
      <c r="D836" s="83" t="s">
        <v>89</v>
      </c>
      <c r="E836" s="30" t="s">
        <v>185</v>
      </c>
      <c r="F836" s="30">
        <f>'Tipo 4B - x36'!E46</f>
        <v>115.5</v>
      </c>
      <c r="G836" s="25">
        <v>36</v>
      </c>
      <c r="H836" s="25">
        <v>0</v>
      </c>
      <c r="I836" s="25">
        <f t="shared" si="241"/>
        <v>4158</v>
      </c>
      <c r="J836" s="25" t="str">
        <f>'Tipo 4B - x36'!F46</f>
        <v>m</v>
      </c>
      <c r="K836" s="26">
        <f>_xlfn.XLOOKUP($E836,PREÇO!$C$7:$C$91,PREÇO!$E$7:$E$91)</f>
        <v>0.99</v>
      </c>
      <c r="L836" s="66">
        <f>IF(SUM(F836:K836)=0,SUMIFS($L837:$L$1593,$B837:$B$1593,$B836,$A837:$A$1593,$A836),I836*K836)</f>
        <v>4116.42</v>
      </c>
      <c r="N836"/>
      <c r="O836"/>
      <c r="P836" s="28"/>
      <c r="Q836" s="28"/>
      <c r="R836" s="28"/>
    </row>
    <row r="837" spans="1:18" ht="15.75" outlineLevel="1" thickBot="1">
      <c r="A837" s="24" t="str">
        <f t="shared" si="239"/>
        <v>GERAL</v>
      </c>
      <c r="B837" s="24" t="str">
        <f t="shared" si="240"/>
        <v>65º PAV. - TIPO 04B - x36 - MODELO</v>
      </c>
      <c r="C837" s="30" t="s">
        <v>221</v>
      </c>
      <c r="D837" s="83" t="s">
        <v>89</v>
      </c>
      <c r="E837" s="30" t="s">
        <v>186</v>
      </c>
      <c r="F837" s="30">
        <f>'Tipo 4B - x36'!E47</f>
        <v>108.43</v>
      </c>
      <c r="G837" s="25">
        <v>36</v>
      </c>
      <c r="H837" s="25">
        <v>0</v>
      </c>
      <c r="I837" s="25">
        <f t="shared" si="241"/>
        <v>3903.4800000000005</v>
      </c>
      <c r="J837" s="25" t="str">
        <f>'Tipo 4B - x36'!F47</f>
        <v>m</v>
      </c>
      <c r="K837" s="26">
        <f>_xlfn.XLOOKUP($E837,PREÇO!$C$7:$C$91,PREÇO!$E$7:$E$91)</f>
        <v>1.69</v>
      </c>
      <c r="L837" s="66">
        <f>IF(SUM(F837:K837)=0,SUMIFS($L838:$L$1593,$B838:$B$1593,$B837,$A838:$A$1593,$A837),I837*K837)</f>
        <v>6596.8812000000007</v>
      </c>
      <c r="N837"/>
      <c r="O837"/>
      <c r="P837" s="28"/>
      <c r="Q837" s="28"/>
      <c r="R837" s="28"/>
    </row>
    <row r="838" spans="1:18" ht="15.75" thickTop="1">
      <c r="A838" s="82" t="s">
        <v>19</v>
      </c>
      <c r="B838" s="82" t="s">
        <v>188</v>
      </c>
      <c r="C838" s="43"/>
      <c r="D838" s="44" t="str">
        <f>'Tipo 4B - x36'!C48</f>
        <v/>
      </c>
      <c r="E838" s="44" t="str">
        <f>'Tipo 4B - x36'!D48</f>
        <v/>
      </c>
      <c r="F838" s="45" t="str">
        <f>'Tipo 4B - x36'!E48</f>
        <v/>
      </c>
      <c r="G838" s="45"/>
      <c r="H838" s="45"/>
      <c r="I838" s="45"/>
      <c r="J838" s="45" t="str">
        <f>'Tipo 4B - x36'!F48</f>
        <v/>
      </c>
      <c r="K838" s="47"/>
      <c r="L838" s="48">
        <f>IF(SUM(F838:K838)=0,SUMIFS($L839:$L$1593,$B839:$B$1593,$B838,$A839:$A$1593,$A838),I838*K838)</f>
        <v>12734.624399999997</v>
      </c>
      <c r="N838"/>
      <c r="O838"/>
      <c r="P838" s="28"/>
      <c r="Q838" s="28"/>
      <c r="R838" s="28"/>
    </row>
    <row r="839" spans="1:18" outlineLevel="1">
      <c r="A839" s="24" t="str">
        <f>A838</f>
        <v>GERAL</v>
      </c>
      <c r="B839" s="24" t="str">
        <f>B838</f>
        <v>82º PAV. - ÁREA TÉCNICA 05</v>
      </c>
      <c r="C839" s="30" t="s">
        <v>221</v>
      </c>
      <c r="D839" s="30" t="str">
        <f>'Técnico 5'!C6</f>
        <v>Acionadores</v>
      </c>
      <c r="E839" s="30" t="str">
        <f>'Técnico 5'!D6</f>
        <v>Acionador Manual de Alarme de Incêndio</v>
      </c>
      <c r="F839" s="30">
        <f>'Técnico 5'!E6</f>
        <v>1</v>
      </c>
      <c r="G839" s="25">
        <v>1</v>
      </c>
      <c r="H839" s="25">
        <v>0</v>
      </c>
      <c r="I839" s="25">
        <f t="shared" si="241"/>
        <v>1</v>
      </c>
      <c r="J839" s="25" t="str">
        <f>'Técnico 5'!F6</f>
        <v>pç</v>
      </c>
      <c r="K839" s="26">
        <f>_xlfn.XLOOKUP($E839,PREÇO!$C$7:$C$91,PREÇO!$E$7:$E$91)</f>
        <v>65</v>
      </c>
      <c r="L839" s="66">
        <f>IF(SUM(F839:K839)=0,SUMIFS($L840:$L$1593,$B840:$B$1593,$B839,$A840:$A$1593,$A839),I839*K839)</f>
        <v>65</v>
      </c>
      <c r="N839"/>
      <c r="O839"/>
      <c r="P839" s="28"/>
      <c r="Q839" s="28"/>
      <c r="R839" s="28"/>
    </row>
    <row r="840" spans="1:18" outlineLevel="1">
      <c r="A840" s="24" t="str">
        <f t="shared" ref="A840:A872" si="242">A839</f>
        <v>GERAL</v>
      </c>
      <c r="B840" s="24" t="str">
        <f t="shared" ref="B840:B872" si="243">B839</f>
        <v>82º PAV. - ÁREA TÉCNICA 05</v>
      </c>
      <c r="C840" s="30" t="s">
        <v>221</v>
      </c>
      <c r="D840" s="30" t="str">
        <f>'Técnico 5'!C7</f>
        <v>Anunciadores</v>
      </c>
      <c r="E840" s="30" t="str">
        <f>'Técnico 5'!D7</f>
        <v>Anunciador Audiovisual de Alarme de Incêndio de Parede</v>
      </c>
      <c r="F840" s="30">
        <f>'Técnico 5'!E7</f>
        <v>1</v>
      </c>
      <c r="G840" s="25">
        <v>1</v>
      </c>
      <c r="H840" s="25">
        <v>0</v>
      </c>
      <c r="I840" s="25">
        <f t="shared" ref="I840:I856" si="244">(F840+H840*F840)*G840</f>
        <v>1</v>
      </c>
      <c r="J840" s="25" t="str">
        <f>'Técnico 5'!F7</f>
        <v>pç</v>
      </c>
      <c r="K840" s="26">
        <f>_xlfn.XLOOKUP($E840,PREÇO!$C$7:$C$91,PREÇO!$E$7:$E$91)</f>
        <v>191.81</v>
      </c>
      <c r="L840" s="66">
        <f>IF(SUM(F840:K840)=0,SUMIFS($L841:$L$1593,$B841:$B$1593,$B840,$A841:$A$1593,$A840),I840*K840)</f>
        <v>191.81</v>
      </c>
      <c r="N840"/>
      <c r="O840"/>
      <c r="P840" s="28"/>
      <c r="Q840" s="28"/>
      <c r="R840" s="28"/>
    </row>
    <row r="841" spans="1:18" outlineLevel="1">
      <c r="A841" s="24" t="str">
        <f t="shared" si="242"/>
        <v>GERAL</v>
      </c>
      <c r="B841" s="24" t="str">
        <f t="shared" si="243"/>
        <v>82º PAV. - ÁREA TÉCNICA 05</v>
      </c>
      <c r="C841" s="30" t="s">
        <v>221</v>
      </c>
      <c r="D841" s="30" t="str">
        <f>'Técnico 5'!C8</f>
        <v>Atuadores</v>
      </c>
      <c r="E841" s="30" t="str">
        <f>'Técnico 5'!D8</f>
        <v>Atuador Janela Desenfumagem</v>
      </c>
      <c r="F841" s="30">
        <f>'Técnico 5'!E8</f>
        <v>1</v>
      </c>
      <c r="G841" s="25">
        <v>1</v>
      </c>
      <c r="H841" s="25">
        <v>0</v>
      </c>
      <c r="I841" s="25">
        <f t="shared" si="244"/>
        <v>1</v>
      </c>
      <c r="J841" s="25" t="str">
        <f>'Técnico 5'!F8</f>
        <v>pç</v>
      </c>
      <c r="K841" s="26">
        <f>_xlfn.XLOOKUP($E841,PREÇO!$C$7:$C$91,PREÇO!$E$7:$E$91)</f>
        <v>1150</v>
      </c>
      <c r="L841" s="66">
        <f>IF(SUM(F841:K841)=0,SUMIFS($L842:$L$1593,$B842:$B$1593,$B841,$A842:$A$1593,$A841),I841*K841)</f>
        <v>1150</v>
      </c>
      <c r="N841"/>
      <c r="O841"/>
      <c r="P841" s="28"/>
      <c r="Q841" s="28"/>
      <c r="R841" s="28"/>
    </row>
    <row r="842" spans="1:18" outlineLevel="1">
      <c r="A842" s="24" t="str">
        <f t="shared" si="242"/>
        <v>GERAL</v>
      </c>
      <c r="B842" s="24" t="str">
        <f t="shared" si="243"/>
        <v>82º PAV. - ÁREA TÉCNICA 05</v>
      </c>
      <c r="C842" s="30" t="s">
        <v>221</v>
      </c>
      <c r="D842" s="30" t="str">
        <f>'Técnico 5'!C9</f>
        <v>Central de Alarme</v>
      </c>
      <c r="E842" s="30" t="str">
        <f>'Técnico 5'!D9</f>
        <v>Central de Alarme de Incêndio</v>
      </c>
      <c r="F842" s="30">
        <f>'Técnico 5'!E9</f>
        <v>1</v>
      </c>
      <c r="G842" s="25">
        <v>1</v>
      </c>
      <c r="H842" s="25">
        <v>0</v>
      </c>
      <c r="I842" s="25">
        <f t="shared" si="244"/>
        <v>1</v>
      </c>
      <c r="J842" s="25" t="str">
        <f>'Técnico 5'!F9</f>
        <v>pç</v>
      </c>
      <c r="K842" s="26">
        <f>_xlfn.XLOOKUP($E842,PREÇO!$C$7:$C$91,PREÇO!$E$7:$E$91)</f>
        <v>855.86</v>
      </c>
      <c r="L842" s="66">
        <f>IF(SUM(F842:K842)=0,SUMIFS($L843:$L$1593,$B843:$B$1593,$B842,$A843:$A$1593,$A842),I842*K842)</f>
        <v>855.86</v>
      </c>
      <c r="N842"/>
      <c r="O842"/>
      <c r="P842" s="28"/>
      <c r="Q842" s="28"/>
      <c r="R842" s="28"/>
    </row>
    <row r="843" spans="1:18" outlineLevel="1">
      <c r="A843" s="24" t="str">
        <f t="shared" si="242"/>
        <v>GERAL</v>
      </c>
      <c r="B843" s="24" t="str">
        <f t="shared" si="243"/>
        <v>82º PAV. - ÁREA TÉCNICA 05</v>
      </c>
      <c r="C843" s="30" t="s">
        <v>221</v>
      </c>
      <c r="D843" s="30" t="str">
        <f>'Técnico 5'!C10</f>
        <v>Sensores</v>
      </c>
      <c r="E843" s="30" t="str">
        <f>'Técnico 5'!D10</f>
        <v>Sensor de Fumaça</v>
      </c>
      <c r="F843" s="30">
        <f>'Técnico 5'!E10</f>
        <v>8</v>
      </c>
      <c r="G843" s="25">
        <v>1</v>
      </c>
      <c r="H843" s="25">
        <v>0</v>
      </c>
      <c r="I843" s="25">
        <f t="shared" si="244"/>
        <v>8</v>
      </c>
      <c r="J843" s="25" t="str">
        <f>'Técnico 5'!F10</f>
        <v>pç</v>
      </c>
      <c r="K843" s="26">
        <f>_xlfn.XLOOKUP($E843,PREÇO!$C$7:$C$91,PREÇO!$E$7:$E$91)</f>
        <v>53.9</v>
      </c>
      <c r="L843" s="66">
        <f>IF(SUM(F843:K843)=0,SUMIFS($L844:$L$1593,$B844:$B$1593,$B843,$A844:$A$1593,$A843),I843*K843)</f>
        <v>431.2</v>
      </c>
      <c r="N843"/>
      <c r="O843"/>
      <c r="P843" s="28"/>
      <c r="Q843" s="28"/>
      <c r="R843" s="28"/>
    </row>
    <row r="844" spans="1:18" outlineLevel="1">
      <c r="A844" s="24" t="str">
        <f t="shared" si="242"/>
        <v>GERAL</v>
      </c>
      <c r="B844" s="24" t="str">
        <f t="shared" si="243"/>
        <v>82º PAV. - ÁREA TÉCNICA 05</v>
      </c>
      <c r="C844" s="30" t="s">
        <v>221</v>
      </c>
      <c r="D844" s="30" t="str">
        <f>'Técnico 5'!C13</f>
        <v>Caixas</v>
      </c>
      <c r="E844" s="30" t="str">
        <f>'Técnico 5'!D13</f>
        <v>Caixa Octogonal Padrão NBR IEC 60670</v>
      </c>
      <c r="F844" s="30">
        <f>'Técnico 5'!E13</f>
        <v>31</v>
      </c>
      <c r="G844" s="25">
        <v>1</v>
      </c>
      <c r="H844" s="25">
        <v>0</v>
      </c>
      <c r="I844" s="25">
        <f t="shared" si="244"/>
        <v>31</v>
      </c>
      <c r="J844" s="25" t="str">
        <f>'Técnico 5'!F13</f>
        <v>pç</v>
      </c>
      <c r="K844" s="26">
        <f>_xlfn.XLOOKUP($E844,PREÇO!$C$7:$C$91,PREÇO!$E$7:$E$91)</f>
        <v>5.32</v>
      </c>
      <c r="L844" s="66">
        <f>IF(SUM(F844:K844)=0,SUMIFS($L845:$L$1593,$B845:$B$1593,$B844,$A845:$A$1593,$A844),I844*K844)</f>
        <v>164.92000000000002</v>
      </c>
      <c r="N844"/>
      <c r="O844"/>
      <c r="P844" s="28"/>
      <c r="Q844" s="28"/>
      <c r="R844" s="28"/>
    </row>
    <row r="845" spans="1:18" outlineLevel="1">
      <c r="A845" s="24" t="str">
        <f t="shared" si="242"/>
        <v>GERAL</v>
      </c>
      <c r="B845" s="24" t="str">
        <f t="shared" si="243"/>
        <v>82º PAV. - ÁREA TÉCNICA 05</v>
      </c>
      <c r="C845" s="30" t="s">
        <v>221</v>
      </c>
      <c r="D845" s="30" t="str">
        <f>'Técnico 5'!C16</f>
        <v>Caixas</v>
      </c>
      <c r="E845" s="30" t="str">
        <f>'Técnico 5'!D16</f>
        <v>Caixa 4x2" de Embutir em PVC Padrão NBR IEC 60670</v>
      </c>
      <c r="F845" s="30">
        <f>'Técnico 5'!E16</f>
        <v>11</v>
      </c>
      <c r="G845" s="25">
        <v>1</v>
      </c>
      <c r="H845" s="25">
        <v>0</v>
      </c>
      <c r="I845" s="25">
        <f t="shared" si="244"/>
        <v>11</v>
      </c>
      <c r="J845" s="25" t="str">
        <f>'Técnico 5'!F16</f>
        <v>pç</v>
      </c>
      <c r="K845" s="26">
        <f>_xlfn.XLOOKUP($E845,PREÇO!$C$7:$C$91,PREÇO!$E$7:$E$91)</f>
        <v>1.72</v>
      </c>
      <c r="L845" s="66">
        <f>IF(SUM(F845:K845)=0,SUMIFS($L846:$L$1593,$B846:$B$1593,$B845,$A846:$A$1593,$A845),I845*K845)</f>
        <v>18.919999999999998</v>
      </c>
      <c r="N845"/>
      <c r="O845"/>
      <c r="P845" s="28"/>
      <c r="Q845" s="28"/>
      <c r="R845" s="28"/>
    </row>
    <row r="846" spans="1:18" outlineLevel="1">
      <c r="A846" s="24" t="str">
        <f t="shared" si="242"/>
        <v>GERAL</v>
      </c>
      <c r="B846" s="24" t="str">
        <f t="shared" si="243"/>
        <v>82º PAV. - ÁREA TÉCNICA 05</v>
      </c>
      <c r="C846" s="30" t="s">
        <v>221</v>
      </c>
      <c r="D846" s="30" t="str">
        <f>'Técnico 5'!C17</f>
        <v>Caixas</v>
      </c>
      <c r="E846" s="30" t="str">
        <f>'Técnico 5'!D17</f>
        <v>Caixa 4x4" de Embutir em PVC Padrão NBR IEC 60670</v>
      </c>
      <c r="F846" s="30">
        <f>'Técnico 5'!E17</f>
        <v>7</v>
      </c>
      <c r="G846" s="25">
        <v>1</v>
      </c>
      <c r="H846" s="25">
        <v>0</v>
      </c>
      <c r="I846" s="25">
        <f t="shared" si="244"/>
        <v>7</v>
      </c>
      <c r="J846" s="25" t="str">
        <f>'Técnico 5'!F17</f>
        <v>pç</v>
      </c>
      <c r="K846" s="26">
        <f>_xlfn.XLOOKUP($E846,PREÇO!$C$7:$C$91,PREÇO!$E$7:$E$91)</f>
        <v>1.72</v>
      </c>
      <c r="L846" s="66">
        <f>IF(SUM(F846:K846)=0,SUMIFS($L847:$L$1593,$B847:$B$1593,$B846,$A847:$A$1593,$A846),I846*K846)</f>
        <v>12.04</v>
      </c>
      <c r="N846"/>
      <c r="O846"/>
      <c r="P846" s="28"/>
      <c r="Q846" s="28"/>
      <c r="R846" s="28"/>
    </row>
    <row r="847" spans="1:18" outlineLevel="1">
      <c r="A847" s="24" t="str">
        <f t="shared" si="242"/>
        <v>GERAL</v>
      </c>
      <c r="B847" s="24" t="str">
        <f t="shared" si="243"/>
        <v>82º PAV. - ÁREA TÉCNICA 05</v>
      </c>
      <c r="C847" s="30" t="s">
        <v>221</v>
      </c>
      <c r="D847" s="30" t="str">
        <f>'Técnico 5'!C18</f>
        <v>Placas</v>
      </c>
      <c r="E847" s="30" t="str">
        <f>'Técnico 5'!D18</f>
        <v>Placa 4x2" cega Padrão NBR IEC 60670</v>
      </c>
      <c r="F847" s="30">
        <f>'Técnico 5'!E18</f>
        <v>5</v>
      </c>
      <c r="G847" s="25">
        <v>1</v>
      </c>
      <c r="H847" s="25">
        <v>0</v>
      </c>
      <c r="I847" s="25">
        <f t="shared" si="244"/>
        <v>5</v>
      </c>
      <c r="J847" s="25" t="str">
        <f>'Técnico 5'!F18</f>
        <v>pç</v>
      </c>
      <c r="K847" s="26">
        <f>_xlfn.XLOOKUP($E847,PREÇO!$C$7:$C$91,PREÇO!$E$7:$E$91)</f>
        <v>4.59</v>
      </c>
      <c r="L847" s="66">
        <f>IF(SUM(F847:K847)=0,SUMIFS($L848:$L$1593,$B848:$B$1593,$B847,$A848:$A$1593,$A847),I847*K847)</f>
        <v>22.95</v>
      </c>
      <c r="N847"/>
      <c r="O847"/>
      <c r="P847" s="28"/>
      <c r="Q847" s="28"/>
      <c r="R847" s="28"/>
    </row>
    <row r="848" spans="1:18" outlineLevel="1">
      <c r="A848" s="24" t="str">
        <f t="shared" si="242"/>
        <v>GERAL</v>
      </c>
      <c r="B848" s="24" t="str">
        <f t="shared" si="243"/>
        <v>82º PAV. - ÁREA TÉCNICA 05</v>
      </c>
      <c r="C848" s="30" t="s">
        <v>221</v>
      </c>
      <c r="D848" s="30" t="str">
        <f>'Técnico 5'!C19</f>
        <v>Placas</v>
      </c>
      <c r="E848" s="30" t="str">
        <f>'Técnico 5'!D19</f>
        <v>Placa 4x2" com furo para saída de cabos Padrão NBR IEC 60670</v>
      </c>
      <c r="F848" s="30">
        <f>'Técnico 5'!E19</f>
        <v>6</v>
      </c>
      <c r="G848" s="25">
        <v>1</v>
      </c>
      <c r="H848" s="25">
        <v>0</v>
      </c>
      <c r="I848" s="25">
        <f t="shared" si="244"/>
        <v>6</v>
      </c>
      <c r="J848" s="25" t="str">
        <f>'Técnico 5'!F19</f>
        <v>pç</v>
      </c>
      <c r="K848" s="26">
        <f>_xlfn.XLOOKUP($E848,PREÇO!$C$7:$C$91,PREÇO!$E$7:$E$91)</f>
        <v>6.55</v>
      </c>
      <c r="L848" s="66">
        <f>IF(SUM(F848:K848)=0,SUMIFS($L849:$L$1593,$B849:$B$1593,$B848,$A849:$A$1593,$A848),I848*K848)</f>
        <v>39.299999999999997</v>
      </c>
      <c r="N848"/>
      <c r="O848"/>
      <c r="P848" s="28"/>
      <c r="Q848" s="28"/>
      <c r="R848" s="28"/>
    </row>
    <row r="849" spans="1:18" outlineLevel="1">
      <c r="A849" s="24" t="str">
        <f t="shared" si="242"/>
        <v>GERAL</v>
      </c>
      <c r="B849" s="24" t="str">
        <f t="shared" si="243"/>
        <v>82º PAV. - ÁREA TÉCNICA 05</v>
      </c>
      <c r="C849" s="30" t="s">
        <v>221</v>
      </c>
      <c r="D849" s="30" t="str">
        <f>'Técnico 5'!C20</f>
        <v>Placas</v>
      </c>
      <c r="E849" s="30" t="str">
        <f>'Técnico 5'!D20</f>
        <v>Placa 4x4" cega Padrão NBR IEC 60670</v>
      </c>
      <c r="F849" s="30">
        <f>'Técnico 5'!E20</f>
        <v>7</v>
      </c>
      <c r="G849" s="25">
        <v>1</v>
      </c>
      <c r="H849" s="25">
        <v>0</v>
      </c>
      <c r="I849" s="25">
        <f t="shared" si="244"/>
        <v>7</v>
      </c>
      <c r="J849" s="25" t="str">
        <f>'Técnico 5'!F20</f>
        <v>pç</v>
      </c>
      <c r="K849" s="26">
        <f>_xlfn.XLOOKUP($E849,PREÇO!$C$7:$C$91,PREÇO!$E$7:$E$91)</f>
        <v>12.25</v>
      </c>
      <c r="L849" s="66">
        <f>IF(SUM(F849:K849)=0,SUMIFS($L850:$L$1593,$B850:$B$1593,$B849,$A850:$A$1593,$A849),I849*K849)</f>
        <v>85.75</v>
      </c>
      <c r="N849"/>
      <c r="O849"/>
      <c r="P849" s="28"/>
      <c r="Q849" s="28"/>
      <c r="R849" s="28"/>
    </row>
    <row r="850" spans="1:18" outlineLevel="1">
      <c r="A850" s="24" t="str">
        <f t="shared" si="242"/>
        <v>GERAL</v>
      </c>
      <c r="B850" s="24" t="str">
        <f t="shared" si="243"/>
        <v>82º PAV. - ÁREA TÉCNICA 05</v>
      </c>
      <c r="C850" s="30" t="s">
        <v>221</v>
      </c>
      <c r="D850" s="30" t="str">
        <f>'Técnico 5'!C21</f>
        <v>Suportes</v>
      </c>
      <c r="E850" s="30" t="str">
        <f>'Técnico 5'!D21</f>
        <v>Suporte p/ caixa 4x2" Padrão NBR IEC 60670</v>
      </c>
      <c r="F850" s="30">
        <f>'Técnico 5'!E21</f>
        <v>11</v>
      </c>
      <c r="G850" s="25">
        <v>1</v>
      </c>
      <c r="H850" s="25">
        <v>0</v>
      </c>
      <c r="I850" s="25">
        <f t="shared" si="244"/>
        <v>11</v>
      </c>
      <c r="J850" s="25" t="str">
        <f>'Técnico 5'!F21</f>
        <v>pç</v>
      </c>
      <c r="K850" s="26">
        <f>_xlfn.XLOOKUP($E850,PREÇO!$C$7:$C$91,PREÇO!$E$7:$E$91)</f>
        <v>1.85</v>
      </c>
      <c r="L850" s="66">
        <f>IF(SUM(F850:K850)=0,SUMIFS($L851:$L$1593,$B851:$B$1593,$B850,$A851:$A$1593,$A850),I850*K850)</f>
        <v>20.350000000000001</v>
      </c>
      <c r="N850"/>
      <c r="O850"/>
      <c r="P850" s="28"/>
      <c r="Q850" s="28"/>
      <c r="R850" s="28"/>
    </row>
    <row r="851" spans="1:18" outlineLevel="1">
      <c r="A851" s="24" t="str">
        <f t="shared" si="242"/>
        <v>GERAL</v>
      </c>
      <c r="B851" s="24" t="str">
        <f t="shared" si="243"/>
        <v>82º PAV. - ÁREA TÉCNICA 05</v>
      </c>
      <c r="C851" s="30" t="s">
        <v>221</v>
      </c>
      <c r="D851" s="30" t="str">
        <f>'Técnico 5'!C22</f>
        <v>Suportes</v>
      </c>
      <c r="E851" s="30" t="str">
        <f>'Técnico 5'!D22</f>
        <v>Suporte p/ caixa 4x4" Padrão NBR IEC 60670</v>
      </c>
      <c r="F851" s="30">
        <f>'Técnico 5'!E22</f>
        <v>7</v>
      </c>
      <c r="G851" s="25">
        <v>1</v>
      </c>
      <c r="H851" s="25">
        <v>0</v>
      </c>
      <c r="I851" s="25">
        <f t="shared" si="244"/>
        <v>7</v>
      </c>
      <c r="J851" s="25" t="str">
        <f>'Técnico 5'!F22</f>
        <v>pç</v>
      </c>
      <c r="K851" s="26">
        <f>_xlfn.XLOOKUP($E851,PREÇO!$C$7:$C$91,PREÇO!$E$7:$E$91)</f>
        <v>3.15</v>
      </c>
      <c r="L851" s="66">
        <f>IF(SUM(F851:K851)=0,SUMIFS($L852:$L$1593,$B852:$B$1593,$B851,$A852:$A$1593,$A851),I851*K851)</f>
        <v>22.05</v>
      </c>
      <c r="N851"/>
      <c r="O851"/>
      <c r="P851" s="28"/>
      <c r="Q851" s="28"/>
      <c r="R851" s="28"/>
    </row>
    <row r="852" spans="1:18" outlineLevel="1">
      <c r="A852" s="24" t="str">
        <f t="shared" si="242"/>
        <v>GERAL</v>
      </c>
      <c r="B852" s="24" t="str">
        <f t="shared" si="243"/>
        <v>82º PAV. - ÁREA TÉCNICA 05</v>
      </c>
      <c r="C852" s="30" t="s">
        <v>221</v>
      </c>
      <c r="D852" s="30" t="str">
        <f>'Técnico 5'!C25</f>
        <v>Embutir</v>
      </c>
      <c r="E852" s="30" t="str">
        <f>'Técnico 5'!D25</f>
        <v>Cx de passagem de embutir com dimensão de 50x50x15 cm</v>
      </c>
      <c r="F852" s="30">
        <f>'Técnico 5'!E25</f>
        <v>1</v>
      </c>
      <c r="G852" s="25">
        <v>1</v>
      </c>
      <c r="H852" s="25">
        <v>0</v>
      </c>
      <c r="I852" s="25">
        <f t="shared" si="244"/>
        <v>1</v>
      </c>
      <c r="J852" s="25" t="str">
        <f>'Técnico 5'!F25</f>
        <v>pç</v>
      </c>
      <c r="K852" s="26">
        <f>_xlfn.XLOOKUP($E852,PREÇO!$C$7:$C$91,PREÇO!$E$7:$E$91)</f>
        <v>291.60000000000002</v>
      </c>
      <c r="L852" s="66">
        <f>IF(SUM(F852:K852)=0,SUMIFS($L853:$L$1593,$B853:$B$1593,$B852,$A853:$A$1593,$A852),I852*K852)</f>
        <v>291.60000000000002</v>
      </c>
      <c r="N852"/>
      <c r="O852"/>
      <c r="P852" s="28"/>
      <c r="Q852" s="28"/>
      <c r="R852" s="28"/>
    </row>
    <row r="853" spans="1:18" outlineLevel="1">
      <c r="A853" s="24" t="str">
        <f t="shared" si="242"/>
        <v>GERAL</v>
      </c>
      <c r="B853" s="24" t="str">
        <f t="shared" si="243"/>
        <v>82º PAV. - ÁREA TÉCNICA 05</v>
      </c>
      <c r="C853" s="30" t="s">
        <v>221</v>
      </c>
      <c r="D853" s="83" t="s">
        <v>46</v>
      </c>
      <c r="E853" s="30" t="s">
        <v>44</v>
      </c>
      <c r="F853" s="30">
        <f>'Técnico 5'!E28</f>
        <v>11.27</v>
      </c>
      <c r="G853" s="25">
        <v>1</v>
      </c>
      <c r="H853" s="25">
        <v>0</v>
      </c>
      <c r="I853" s="25">
        <f t="shared" si="244"/>
        <v>11.27</v>
      </c>
      <c r="J853" s="25" t="str">
        <f>'Técnico 5'!F28</f>
        <v>m</v>
      </c>
      <c r="K853" s="26">
        <f>_xlfn.XLOOKUP($E853,PREÇO!$C$7:$C$91,PREÇO!$E$7:$E$91)</f>
        <v>2.5299999999999998</v>
      </c>
      <c r="L853" s="66">
        <f>IF(SUM(F853:K853)=0,SUMIFS($L854:$L$1593,$B854:$B$1593,$B853,$A854:$A$1593,$A853),I853*K853)</f>
        <v>28.513099999999998</v>
      </c>
      <c r="N853"/>
      <c r="O853"/>
      <c r="P853" s="28"/>
      <c r="Q853" s="28"/>
      <c r="R853" s="28"/>
    </row>
    <row r="854" spans="1:18" outlineLevel="1">
      <c r="A854" s="24" t="str">
        <f t="shared" si="242"/>
        <v>GERAL</v>
      </c>
      <c r="B854" s="24" t="str">
        <f t="shared" si="243"/>
        <v>82º PAV. - ÁREA TÉCNICA 05</v>
      </c>
      <c r="C854" s="30" t="s">
        <v>221</v>
      </c>
      <c r="D854" s="83" t="s">
        <v>46</v>
      </c>
      <c r="E854" s="30" t="s">
        <v>45</v>
      </c>
      <c r="F854" s="30">
        <f>'Técnico 5'!E29</f>
        <v>0.3</v>
      </c>
      <c r="G854" s="25">
        <v>1</v>
      </c>
      <c r="H854" s="25">
        <v>0</v>
      </c>
      <c r="I854" s="25">
        <f t="shared" si="244"/>
        <v>0.3</v>
      </c>
      <c r="J854" s="25" t="str">
        <f>'Técnico 5'!F29</f>
        <v>m</v>
      </c>
      <c r="K854" s="26">
        <f>_xlfn.XLOOKUP($E854,PREÇO!$C$7:$C$91,PREÇO!$E$7:$E$91)</f>
        <v>1.8</v>
      </c>
      <c r="L854" s="66">
        <f>IF(SUM(F854:K854)=0,SUMIFS($L855:$L$1593,$B855:$B$1593,$B854,$A855:$A$1593,$A854),I854*K854)</f>
        <v>0.54</v>
      </c>
      <c r="N854"/>
      <c r="O854"/>
      <c r="P854" s="28"/>
      <c r="Q854" s="28"/>
      <c r="R854" s="28"/>
    </row>
    <row r="855" spans="1:18" outlineLevel="1">
      <c r="A855" s="24" t="str">
        <f t="shared" si="242"/>
        <v>GERAL</v>
      </c>
      <c r="B855" s="24" t="str">
        <f t="shared" si="243"/>
        <v>82º PAV. - ÁREA TÉCNICA 05</v>
      </c>
      <c r="C855" s="30" t="s">
        <v>220</v>
      </c>
      <c r="D855" s="30" t="str">
        <f>'Técnico 5'!C32</f>
        <v>Luminárias e Placas de Saída</v>
      </c>
      <c r="E855" s="30" t="str">
        <f>'Técnico 5'!D32</f>
        <v>Luminária de Emergência 24V de Parede</v>
      </c>
      <c r="F855" s="30">
        <f>'Técnico 5'!E32</f>
        <v>5</v>
      </c>
      <c r="G855" s="25">
        <v>1</v>
      </c>
      <c r="H855" s="25">
        <v>0</v>
      </c>
      <c r="I855" s="25">
        <f t="shared" si="244"/>
        <v>5</v>
      </c>
      <c r="J855" s="25" t="str">
        <f>'Técnico 5'!F32</f>
        <v>pç</v>
      </c>
      <c r="K855" s="26">
        <f>_xlfn.XLOOKUP($E855,PREÇO!$C$7:$C$91,PREÇO!$E$7:$E$91)</f>
        <v>15.9</v>
      </c>
      <c r="L855" s="66">
        <f>IF(SUM(F855:K855)=0,SUMIFS($L856:$L$1593,$B856:$B$1593,$B855,$A856:$A$1593,$A855),I855*K855)</f>
        <v>79.5</v>
      </c>
      <c r="N855"/>
      <c r="O855"/>
      <c r="P855" s="28"/>
      <c r="Q855" s="28"/>
      <c r="R855" s="28"/>
    </row>
    <row r="856" spans="1:18" outlineLevel="1">
      <c r="A856" s="24" t="str">
        <f t="shared" si="242"/>
        <v>GERAL</v>
      </c>
      <c r="B856" s="24" t="str">
        <f t="shared" si="243"/>
        <v>82º PAV. - ÁREA TÉCNICA 05</v>
      </c>
      <c r="C856" s="30" t="s">
        <v>220</v>
      </c>
      <c r="D856" s="30" t="str">
        <f>'Técnico 5'!C33</f>
        <v>Luminárias e Placas de Saída</v>
      </c>
      <c r="E856" s="30" t="str">
        <f>'Técnico 5'!D33</f>
        <v>Luminária de Emergência 24V de Teto</v>
      </c>
      <c r="F856" s="30">
        <f>'Técnico 5'!E33</f>
        <v>17</v>
      </c>
      <c r="G856" s="25">
        <v>1</v>
      </c>
      <c r="H856" s="25">
        <v>0</v>
      </c>
      <c r="I856" s="25">
        <f t="shared" si="244"/>
        <v>17</v>
      </c>
      <c r="J856" s="25" t="str">
        <f>'Técnico 5'!F33</f>
        <v>pç</v>
      </c>
      <c r="K856" s="26">
        <f>_xlfn.XLOOKUP($E856,PREÇO!$C$7:$C$91,PREÇO!$E$7:$E$91)</f>
        <v>69.900000000000006</v>
      </c>
      <c r="L856" s="66">
        <f>IF(SUM(F856:K856)=0,SUMIFS($L857:$L$1593,$B857:$B$1593,$B856,$A857:$A$1593,$A856),I856*K856)</f>
        <v>1188.3000000000002</v>
      </c>
      <c r="N856"/>
      <c r="O856"/>
      <c r="P856" s="28"/>
      <c r="Q856" s="28"/>
      <c r="R856" s="28"/>
    </row>
    <row r="857" spans="1:18" outlineLevel="1">
      <c r="A857" s="24" t="str">
        <f t="shared" si="242"/>
        <v>GERAL</v>
      </c>
      <c r="B857" s="24" t="str">
        <f t="shared" si="243"/>
        <v>82º PAV. - ÁREA TÉCNICA 05</v>
      </c>
      <c r="C857" s="24" t="s">
        <v>222</v>
      </c>
      <c r="D857" s="30" t="str">
        <f>'Técnico 5'!C34</f>
        <v>Luminárias e Placas de Saída</v>
      </c>
      <c r="E857" s="30" t="str">
        <f>'Técnico 5'!D34</f>
        <v>Placa de Saída 24V de Parede sem Direção</v>
      </c>
      <c r="F857" s="30">
        <f>'Técnico 5'!E34</f>
        <v>3</v>
      </c>
      <c r="G857" s="25">
        <v>1</v>
      </c>
      <c r="H857" s="25">
        <v>0</v>
      </c>
      <c r="I857" s="25">
        <f t="shared" ref="I857:I872" si="245">(F857+H857*F857)*G857</f>
        <v>3</v>
      </c>
      <c r="J857" s="25" t="str">
        <f>'Técnico 5'!F34</f>
        <v>pç</v>
      </c>
      <c r="K857" s="26">
        <f>_xlfn.XLOOKUP($E857,PREÇO!$C$7:$C$91,PREÇO!$E$7:$E$91)</f>
        <v>61.66</v>
      </c>
      <c r="L857" s="66">
        <f>IF(SUM(F857:K857)=0,SUMIFS($L859:$L$1593,$B859:$B$1593,$B857,$A859:$A$1593,$A857),I857*K857)</f>
        <v>184.98</v>
      </c>
      <c r="N857"/>
      <c r="O857"/>
      <c r="P857" s="28"/>
      <c r="Q857" s="28"/>
      <c r="R857" s="28"/>
    </row>
    <row r="858" spans="1:18" outlineLevel="1">
      <c r="A858" s="116" t="str">
        <f>A856</f>
        <v>GERAL</v>
      </c>
      <c r="B858" s="116" t="str">
        <f>B857</f>
        <v>82º PAV. - ÁREA TÉCNICA 05</v>
      </c>
      <c r="C858" s="116" t="s">
        <v>222</v>
      </c>
      <c r="D858" s="116" t="s">
        <v>223</v>
      </c>
      <c r="E858" s="116" t="s">
        <v>224</v>
      </c>
      <c r="F858" s="117">
        <v>4</v>
      </c>
      <c r="G858" s="117">
        <f>G857</f>
        <v>1</v>
      </c>
      <c r="H858" s="118">
        <v>0</v>
      </c>
      <c r="I858" s="117">
        <f t="shared" si="245"/>
        <v>4</v>
      </c>
      <c r="J858" s="117" t="s">
        <v>11</v>
      </c>
      <c r="K858" s="119">
        <f>_xlfn.XLOOKUP($E858,PREÇO!$C$7:$C$91,PREÇO!$E$7:$E$91)</f>
        <v>646.55999999999995</v>
      </c>
      <c r="L858" s="120">
        <f>IF(SUM(F858:K858)=0,SUMIFS($L859:$L$1593,$B859:$B$1593,$B858,$A859:$A$1593,$A858),I858*K858)</f>
        <v>2586.2399999999998</v>
      </c>
      <c r="N858"/>
      <c r="O858"/>
      <c r="P858" s="28"/>
      <c r="Q858" s="28"/>
      <c r="R858" s="28"/>
    </row>
    <row r="859" spans="1:18" outlineLevel="1">
      <c r="A859" s="24" t="str">
        <f>A857</f>
        <v>GERAL</v>
      </c>
      <c r="B859" s="24" t="str">
        <f>B857</f>
        <v>82º PAV. - ÁREA TÉCNICA 05</v>
      </c>
      <c r="C859" s="30" t="s">
        <v>220</v>
      </c>
      <c r="D859" s="30" t="str">
        <f>'Técnico 5'!C35</f>
        <v>Sensores de Presença</v>
      </c>
      <c r="E859" s="30" t="str">
        <f>'Técnico 5'!D35</f>
        <v>Sensor de Presença 24V de teto</v>
      </c>
      <c r="F859" s="30">
        <f>'Técnico 5'!E35</f>
        <v>6</v>
      </c>
      <c r="G859" s="25">
        <v>1</v>
      </c>
      <c r="H859" s="25">
        <v>0</v>
      </c>
      <c r="I859" s="25">
        <f t="shared" si="245"/>
        <v>6</v>
      </c>
      <c r="J859" s="25" t="str">
        <f>'Técnico 5'!F35</f>
        <v>pç</v>
      </c>
      <c r="K859" s="26">
        <f>_xlfn.XLOOKUP($E859,PREÇO!$C$7:$C$91,PREÇO!$E$7:$E$91)</f>
        <v>38.4</v>
      </c>
      <c r="L859" s="66">
        <f>IF(SUM(F859:K859)=0,SUMIFS($L860:$L$1593,$B860:$B$1593,$B859,$A860:$A$1593,$A859),I859*K859)</f>
        <v>230.39999999999998</v>
      </c>
      <c r="N859"/>
      <c r="O859"/>
      <c r="P859" s="28"/>
      <c r="Q859" s="28"/>
      <c r="R859" s="28"/>
    </row>
    <row r="860" spans="1:18" outlineLevel="1">
      <c r="A860" s="24" t="str">
        <f t="shared" si="242"/>
        <v>GERAL</v>
      </c>
      <c r="B860" s="24" t="str">
        <f t="shared" si="243"/>
        <v>82º PAV. - ÁREA TÉCNICA 05</v>
      </c>
      <c r="C860" s="30" t="s">
        <v>221</v>
      </c>
      <c r="D860" s="30" t="str">
        <f>'Técnico 5'!C38</f>
        <v>Metálicos Moldados - NBR IEC 62208</v>
      </c>
      <c r="E860" s="30" t="s">
        <v>189</v>
      </c>
      <c r="F860" s="30">
        <f>'Técnico 5'!E38</f>
        <v>7</v>
      </c>
      <c r="G860" s="25">
        <v>1</v>
      </c>
      <c r="H860" s="25">
        <v>0</v>
      </c>
      <c r="I860" s="25">
        <f t="shared" si="245"/>
        <v>7</v>
      </c>
      <c r="J860" s="25" t="str">
        <f>'Técnico 5'!F38</f>
        <v>pç</v>
      </c>
      <c r="K860" s="26">
        <f>_xlfn.XLOOKUP($E860,PREÇO!$C$7:$C$91,PREÇO!$E$7:$E$91)</f>
        <v>228.19</v>
      </c>
      <c r="L860" s="66">
        <f>IF(SUM(F860:K860)=0,SUMIFS($L861:$L$1593,$B861:$B$1593,$B860,$A861:$A$1593,$A860),I860*K860)</f>
        <v>1597.33</v>
      </c>
      <c r="N860"/>
      <c r="O860"/>
      <c r="P860" s="28"/>
      <c r="Q860" s="28"/>
      <c r="R860" s="28"/>
    </row>
    <row r="861" spans="1:18" outlineLevel="1">
      <c r="A861" s="24" t="str">
        <f t="shared" si="242"/>
        <v>GERAL</v>
      </c>
      <c r="B861" s="24" t="str">
        <f t="shared" si="243"/>
        <v>82º PAV. - ÁREA TÉCNICA 05</v>
      </c>
      <c r="C861" s="30" t="s">
        <v>221</v>
      </c>
      <c r="D861" s="83" t="s">
        <v>87</v>
      </c>
      <c r="E861" s="30" t="s">
        <v>179</v>
      </c>
      <c r="F861" s="30">
        <f>'Técnico 5'!E41</f>
        <v>117.54</v>
      </c>
      <c r="G861" s="25">
        <v>1</v>
      </c>
      <c r="H861" s="25">
        <v>0</v>
      </c>
      <c r="I861" s="25">
        <f t="shared" si="245"/>
        <v>117.54</v>
      </c>
      <c r="J861" s="25" t="str">
        <f>'Técnico 5'!F41</f>
        <v>m</v>
      </c>
      <c r="K861" s="26">
        <f>_xlfn.XLOOKUP($E861,PREÇO!$C$7:$C$91,PREÇO!$E$7:$E$91)</f>
        <v>1.59</v>
      </c>
      <c r="L861" s="66">
        <f>IF(SUM(F861:K861)=0,SUMIFS($L862:$L$1593,$B862:$B$1593,$B861,$A862:$A$1593,$A861),I861*K861)</f>
        <v>186.88860000000003</v>
      </c>
      <c r="N861"/>
      <c r="O861"/>
      <c r="P861" s="28"/>
      <c r="Q861" s="28"/>
      <c r="R861" s="28"/>
    </row>
    <row r="862" spans="1:18" outlineLevel="1">
      <c r="A862" s="24" t="str">
        <f t="shared" si="242"/>
        <v>GERAL</v>
      </c>
      <c r="B862" s="24" t="str">
        <f t="shared" si="243"/>
        <v>82º PAV. - ÁREA TÉCNICA 05</v>
      </c>
      <c r="C862" s="30" t="s">
        <v>221</v>
      </c>
      <c r="D862" s="83" t="s">
        <v>87</v>
      </c>
      <c r="E862" s="30" t="s">
        <v>180</v>
      </c>
      <c r="F862" s="30">
        <f>'Técnico 5'!E42</f>
        <v>86.98</v>
      </c>
      <c r="G862" s="25">
        <v>1</v>
      </c>
      <c r="H862" s="25">
        <v>0</v>
      </c>
      <c r="I862" s="25">
        <f t="shared" si="245"/>
        <v>86.98</v>
      </c>
      <c r="J862" s="25" t="str">
        <f>'Técnico 5'!F42</f>
        <v>m</v>
      </c>
      <c r="K862" s="26">
        <f>_xlfn.XLOOKUP($E862,PREÇO!$C$7:$C$91,PREÇO!$E$7:$E$91)</f>
        <v>1.59</v>
      </c>
      <c r="L862" s="66">
        <f>IF(SUM(F862:K862)=0,SUMIFS($L863:$L$1593,$B863:$B$1593,$B862,$A863:$A$1593,$A862),I862*K862)</f>
        <v>138.29820000000001</v>
      </c>
      <c r="N862"/>
      <c r="O862"/>
      <c r="P862" s="28"/>
      <c r="Q862" s="28"/>
      <c r="R862" s="28"/>
    </row>
    <row r="863" spans="1:18" outlineLevel="1">
      <c r="A863" s="24" t="str">
        <f t="shared" si="242"/>
        <v>GERAL</v>
      </c>
      <c r="B863" s="24" t="str">
        <f t="shared" si="243"/>
        <v>82º PAV. - ÁREA TÉCNICA 05</v>
      </c>
      <c r="C863" s="30" t="s">
        <v>221</v>
      </c>
      <c r="D863" s="83" t="s">
        <v>87</v>
      </c>
      <c r="E863" s="30" t="s">
        <v>181</v>
      </c>
      <c r="F863" s="30">
        <f>'Técnico 5'!E43</f>
        <v>86.98</v>
      </c>
      <c r="G863" s="25">
        <v>1</v>
      </c>
      <c r="H863" s="25">
        <v>0</v>
      </c>
      <c r="I863" s="25">
        <f t="shared" si="245"/>
        <v>86.98</v>
      </c>
      <c r="J863" s="25" t="str">
        <f>'Técnico 5'!F43</f>
        <v>m</v>
      </c>
      <c r="K863" s="26">
        <f>_xlfn.XLOOKUP($E863,PREÇO!$C$7:$C$91,PREÇO!$E$7:$E$91)</f>
        <v>1.59</v>
      </c>
      <c r="L863" s="66">
        <f>IF(SUM(F863:K863)=0,SUMIFS($L864:$L$1593,$B864:$B$1593,$B863,$A864:$A$1593,$A863),I863*K863)</f>
        <v>138.29820000000001</v>
      </c>
      <c r="N863"/>
      <c r="O863"/>
      <c r="P863" s="28"/>
      <c r="Q863" s="28"/>
      <c r="R863" s="28"/>
    </row>
    <row r="864" spans="1:18" outlineLevel="1">
      <c r="A864" s="24" t="str">
        <f t="shared" si="242"/>
        <v>GERAL</v>
      </c>
      <c r="B864" s="24" t="str">
        <f t="shared" si="243"/>
        <v>82º PAV. - ÁREA TÉCNICA 05</v>
      </c>
      <c r="C864" s="30" t="s">
        <v>221</v>
      </c>
      <c r="D864" s="83" t="s">
        <v>87</v>
      </c>
      <c r="E864" s="30" t="s">
        <v>182</v>
      </c>
      <c r="F864" s="30">
        <f>'Técnico 5'!E44</f>
        <v>19.02</v>
      </c>
      <c r="G864" s="25">
        <v>1</v>
      </c>
      <c r="H864" s="25">
        <v>0</v>
      </c>
      <c r="I864" s="25">
        <f t="shared" si="245"/>
        <v>19.02</v>
      </c>
      <c r="J864" s="25" t="str">
        <f>'Técnico 5'!F44</f>
        <v>m</v>
      </c>
      <c r="K864" s="26">
        <f>_xlfn.XLOOKUP($E864,PREÇO!$C$7:$C$91,PREÇO!$E$7:$E$91)</f>
        <v>2.19</v>
      </c>
      <c r="L864" s="66">
        <f>IF(SUM(F864:K864)=0,SUMIFS($L865:$L$1593,$B865:$B$1593,$B864,$A865:$A$1593,$A864),I864*K864)</f>
        <v>41.653799999999997</v>
      </c>
      <c r="N864"/>
      <c r="O864"/>
      <c r="P864" s="28"/>
      <c r="Q864" s="28"/>
      <c r="R864" s="28"/>
    </row>
    <row r="865" spans="1:18" outlineLevel="1">
      <c r="A865" s="24" t="str">
        <f t="shared" si="242"/>
        <v>GERAL</v>
      </c>
      <c r="B865" s="24" t="str">
        <f t="shared" si="243"/>
        <v>82º PAV. - ÁREA TÉCNICA 05</v>
      </c>
      <c r="C865" s="30" t="s">
        <v>221</v>
      </c>
      <c r="D865" s="83" t="s">
        <v>87</v>
      </c>
      <c r="E865" s="30" t="s">
        <v>183</v>
      </c>
      <c r="F865" s="30">
        <f>'Técnico 5'!E45</f>
        <v>300.27999999999997</v>
      </c>
      <c r="G865" s="25">
        <v>1</v>
      </c>
      <c r="H865" s="25">
        <v>0</v>
      </c>
      <c r="I865" s="25">
        <f t="shared" si="245"/>
        <v>300.27999999999997</v>
      </c>
      <c r="J865" s="25" t="str">
        <f>'Técnico 5'!F45</f>
        <v>m</v>
      </c>
      <c r="K865" s="26">
        <f>_xlfn.XLOOKUP($E865,PREÇO!$C$7:$C$91,PREÇO!$E$7:$E$91)</f>
        <v>2.19</v>
      </c>
      <c r="L865" s="66">
        <f>IF(SUM(F865:K865)=0,SUMIFS($L866:$L$1593,$B866:$B$1593,$B865,$A866:$A$1593,$A865),I865*K865)</f>
        <v>657.61319999999989</v>
      </c>
      <c r="N865"/>
      <c r="O865"/>
      <c r="P865" s="28"/>
      <c r="Q865" s="28"/>
      <c r="R865" s="28"/>
    </row>
    <row r="866" spans="1:18" outlineLevel="1">
      <c r="A866" s="24" t="str">
        <f t="shared" si="242"/>
        <v>GERAL</v>
      </c>
      <c r="B866" s="24" t="str">
        <f t="shared" si="243"/>
        <v>82º PAV. - ÁREA TÉCNICA 05</v>
      </c>
      <c r="C866" s="30" t="s">
        <v>221</v>
      </c>
      <c r="D866" s="83" t="s">
        <v>87</v>
      </c>
      <c r="E866" s="30" t="s">
        <v>184</v>
      </c>
      <c r="F866" s="30">
        <f>'Técnico 5'!E46</f>
        <v>300.27999999999997</v>
      </c>
      <c r="G866" s="25">
        <v>1</v>
      </c>
      <c r="H866" s="25">
        <v>0</v>
      </c>
      <c r="I866" s="25">
        <f t="shared" si="245"/>
        <v>300.27999999999997</v>
      </c>
      <c r="J866" s="25" t="str">
        <f>'Técnico 5'!F46</f>
        <v>m</v>
      </c>
      <c r="K866" s="26">
        <f>_xlfn.XLOOKUP($E866,PREÇO!$C$7:$C$91,PREÇO!$E$7:$E$91)</f>
        <v>2.19</v>
      </c>
      <c r="L866" s="66">
        <f>IF(SUM(F866:K866)=0,SUMIFS($L867:$L$1593,$B867:$B$1593,$B866,$A867:$A$1593,$A866),I866*K866)</f>
        <v>657.61319999999989</v>
      </c>
      <c r="N866"/>
      <c r="O866"/>
      <c r="P866" s="28"/>
      <c r="Q866" s="28"/>
      <c r="R866" s="28"/>
    </row>
    <row r="867" spans="1:18" outlineLevel="1">
      <c r="A867" s="24" t="str">
        <f t="shared" si="242"/>
        <v>GERAL</v>
      </c>
      <c r="B867" s="24" t="str">
        <f t="shared" si="243"/>
        <v>82º PAV. - ÁREA TÉCNICA 05</v>
      </c>
      <c r="C867" s="30" t="s">
        <v>221</v>
      </c>
      <c r="D867" s="30" t="s">
        <v>138</v>
      </c>
      <c r="E867" s="30" t="s">
        <v>190</v>
      </c>
      <c r="F867" s="30">
        <f>'Técnico 5'!E49</f>
        <v>18.91</v>
      </c>
      <c r="G867" s="25">
        <v>1</v>
      </c>
      <c r="H867" s="25">
        <v>0</v>
      </c>
      <c r="I867" s="25">
        <f t="shared" si="245"/>
        <v>18.91</v>
      </c>
      <c r="J867" s="25" t="str">
        <f>'Técnico 5'!F49</f>
        <v>m</v>
      </c>
      <c r="K867" s="26">
        <f>_xlfn.XLOOKUP($E867,PREÇO!$C$7:$C$91,PREÇO!$E$7:$E$91)</f>
        <v>6.67</v>
      </c>
      <c r="L867" s="66">
        <f>IF(SUM(F867:K867)=0,SUMIFS($L868:$L$1593,$B868:$B$1593,$B867,$A868:$A$1593,$A867),I867*K867)</f>
        <v>126.1297</v>
      </c>
      <c r="N867"/>
      <c r="O867"/>
      <c r="P867" s="28"/>
      <c r="Q867" s="28"/>
      <c r="R867" s="28"/>
    </row>
    <row r="868" spans="1:18" outlineLevel="1">
      <c r="A868" s="24" t="str">
        <f t="shared" si="242"/>
        <v>GERAL</v>
      </c>
      <c r="B868" s="24" t="str">
        <f t="shared" si="243"/>
        <v>82º PAV. - ÁREA TÉCNICA 05</v>
      </c>
      <c r="C868" s="30" t="s">
        <v>221</v>
      </c>
      <c r="D868" s="30" t="s">
        <v>138</v>
      </c>
      <c r="E868" s="30" t="s">
        <v>191</v>
      </c>
      <c r="F868" s="30">
        <f>'Técnico 5'!E50</f>
        <v>118.46</v>
      </c>
      <c r="G868" s="25">
        <v>1</v>
      </c>
      <c r="H868" s="25">
        <v>0</v>
      </c>
      <c r="I868" s="25">
        <f t="shared" si="245"/>
        <v>118.46</v>
      </c>
      <c r="J868" s="25" t="str">
        <f>'Técnico 5'!F50</f>
        <v>m</v>
      </c>
      <c r="K868" s="26">
        <f>_xlfn.XLOOKUP($E868,PREÇO!$C$7:$C$91,PREÇO!$E$7:$E$91)</f>
        <v>8.1</v>
      </c>
      <c r="L868" s="66">
        <f>IF(SUM(F868:K868)=0,SUMIFS($L869:$L$1593,$B869:$B$1593,$B868,$A869:$A$1593,$A868),I868*K868)</f>
        <v>959.52599999999995</v>
      </c>
      <c r="N868"/>
      <c r="O868"/>
      <c r="P868" s="28"/>
      <c r="Q868" s="28"/>
      <c r="R868" s="28"/>
    </row>
    <row r="869" spans="1:18" outlineLevel="1">
      <c r="A869" s="24" t="str">
        <f t="shared" si="242"/>
        <v>GERAL</v>
      </c>
      <c r="B869" s="24" t="str">
        <f t="shared" si="243"/>
        <v>82º PAV. - ÁREA TÉCNICA 05</v>
      </c>
      <c r="C869" s="30" t="s">
        <v>221</v>
      </c>
      <c r="D869" s="30" t="s">
        <v>89</v>
      </c>
      <c r="E869" s="30" t="s">
        <v>185</v>
      </c>
      <c r="F869" s="30">
        <f>'Técnico 5'!E54</f>
        <v>72.94</v>
      </c>
      <c r="G869" s="25">
        <v>1</v>
      </c>
      <c r="H869" s="25">
        <v>0</v>
      </c>
      <c r="I869" s="25">
        <f t="shared" si="245"/>
        <v>72.94</v>
      </c>
      <c r="J869" s="25" t="str">
        <f>'Técnico 5'!F54</f>
        <v>m</v>
      </c>
      <c r="K869" s="26">
        <f>_xlfn.XLOOKUP($E869,PREÇO!$C$7:$C$91,PREÇO!$E$7:$E$91)</f>
        <v>0.99</v>
      </c>
      <c r="L869" s="66">
        <f>IF(SUM(F869:K869)=0,SUMIFS($L870:$L$1593,$B870:$B$1593,$B869,$A870:$A$1593,$A869),I869*K869)</f>
        <v>72.210599999999999</v>
      </c>
      <c r="N869"/>
      <c r="O869"/>
      <c r="P869" s="28"/>
      <c r="Q869" s="28"/>
      <c r="R869" s="28"/>
    </row>
    <row r="870" spans="1:18" outlineLevel="1">
      <c r="A870" s="24" t="str">
        <f t="shared" si="242"/>
        <v>GERAL</v>
      </c>
      <c r="B870" s="24" t="str">
        <f t="shared" si="243"/>
        <v>82º PAV. - ÁREA TÉCNICA 05</v>
      </c>
      <c r="C870" s="30" t="s">
        <v>221</v>
      </c>
      <c r="D870" s="30" t="s">
        <v>89</v>
      </c>
      <c r="E870" s="30" t="s">
        <v>186</v>
      </c>
      <c r="F870" s="30">
        <f>'Técnico 5'!E55</f>
        <v>10.37</v>
      </c>
      <c r="G870" s="25">
        <v>1</v>
      </c>
      <c r="H870" s="25">
        <v>0</v>
      </c>
      <c r="I870" s="25">
        <f t="shared" si="245"/>
        <v>10.37</v>
      </c>
      <c r="J870" s="25" t="str">
        <f>'Técnico 5'!F55</f>
        <v>m</v>
      </c>
      <c r="K870" s="26">
        <f>_xlfn.XLOOKUP($E870,PREÇO!$C$7:$C$91,PREÇO!$E$7:$E$91)</f>
        <v>1.69</v>
      </c>
      <c r="L870" s="66">
        <f>IF(SUM(F870:K870)=0,SUMIFS($L871:$L$1593,$B871:$B$1593,$B870,$A871:$A$1593,$A870),I870*K870)</f>
        <v>17.525299999999998</v>
      </c>
      <c r="N870"/>
      <c r="O870"/>
      <c r="P870" s="28"/>
      <c r="Q870" s="28"/>
      <c r="R870" s="28"/>
    </row>
    <row r="871" spans="1:18" outlineLevel="1">
      <c r="A871" s="24" t="str">
        <f t="shared" si="242"/>
        <v>GERAL</v>
      </c>
      <c r="B871" s="24" t="str">
        <f t="shared" si="243"/>
        <v>82º PAV. - ÁREA TÉCNICA 05</v>
      </c>
      <c r="C871" s="30" t="s">
        <v>221</v>
      </c>
      <c r="D871" s="83" t="s">
        <v>138</v>
      </c>
      <c r="E871" s="30" t="s">
        <v>190</v>
      </c>
      <c r="F871" s="30">
        <f>'Técnico 5'!E58</f>
        <v>65.95</v>
      </c>
      <c r="G871" s="25">
        <v>1</v>
      </c>
      <c r="H871" s="25">
        <v>0</v>
      </c>
      <c r="I871" s="25">
        <f t="shared" si="245"/>
        <v>65.95</v>
      </c>
      <c r="J871" s="25" t="str">
        <f>'Técnico 5'!F58</f>
        <v>m</v>
      </c>
      <c r="K871" s="26">
        <f>_xlfn.XLOOKUP($E871,PREÇO!$C$7:$C$91,PREÇO!$E$7:$E$91)</f>
        <v>6.67</v>
      </c>
      <c r="L871" s="66">
        <f>IF(SUM(F871:K871)=0,SUMIFS($L872:$L$1593,$B872:$B$1593,$B871,$A872:$A$1593,$A871),I871*K871)</f>
        <v>439.88650000000001</v>
      </c>
      <c r="N871"/>
      <c r="O871"/>
      <c r="P871" s="28"/>
      <c r="Q871" s="28"/>
      <c r="R871" s="28"/>
    </row>
    <row r="872" spans="1:18" ht="15.75" outlineLevel="1" thickBot="1">
      <c r="A872" s="24" t="str">
        <f t="shared" si="242"/>
        <v>GERAL</v>
      </c>
      <c r="B872" s="24" t="str">
        <f t="shared" si="243"/>
        <v>82º PAV. - ÁREA TÉCNICA 05</v>
      </c>
      <c r="C872" s="30" t="s">
        <v>221</v>
      </c>
      <c r="D872" s="83" t="s">
        <v>138</v>
      </c>
      <c r="E872" s="30" t="s">
        <v>191</v>
      </c>
      <c r="F872" s="30">
        <f>'Técnico 5'!E59</f>
        <v>3.88</v>
      </c>
      <c r="G872" s="25">
        <v>1</v>
      </c>
      <c r="H872" s="25">
        <v>0</v>
      </c>
      <c r="I872" s="25">
        <f t="shared" si="245"/>
        <v>3.88</v>
      </c>
      <c r="J872" s="25" t="str">
        <f>'Técnico 5'!F59</f>
        <v>m</v>
      </c>
      <c r="K872" s="26">
        <f>_xlfn.XLOOKUP($E872,PREÇO!$C$7:$C$91,PREÇO!$E$7:$E$91)</f>
        <v>8.1</v>
      </c>
      <c r="L872" s="66">
        <f>IF(SUM(F872:K872)=0,SUMIFS($L873:$L$1593,$B873:$B$1593,$B872,$A873:$A$1593,$A872),I872*K872)</f>
        <v>31.427999999999997</v>
      </c>
      <c r="N872"/>
      <c r="O872"/>
      <c r="P872" s="28"/>
      <c r="Q872" s="28"/>
      <c r="R872" s="28"/>
    </row>
    <row r="873" spans="1:18" ht="15.75" thickTop="1">
      <c r="A873" s="82" t="s">
        <v>19</v>
      </c>
      <c r="B873" s="82" t="s">
        <v>192</v>
      </c>
      <c r="C873" s="43"/>
      <c r="D873" s="44" t="str">
        <f>'Técnico 5'!C60</f>
        <v/>
      </c>
      <c r="E873" s="44" t="str">
        <f>'Técnico 5'!D60</f>
        <v/>
      </c>
      <c r="F873" s="45" t="str">
        <f>'Técnico 5'!E60</f>
        <v/>
      </c>
      <c r="G873" s="45"/>
      <c r="H873" s="45"/>
      <c r="I873" s="45"/>
      <c r="J873" s="45" t="str">
        <f>'Técnico 5'!F60</f>
        <v/>
      </c>
      <c r="K873" s="47"/>
      <c r="L873" s="48">
        <f>IF(SUM(F873:K873)=0,SUMIFS($L874:$L$1593,$B874:$B$1593,$B873,$A874:$A$1593,$A873),I873*K873)</f>
        <v>9127.9907999999959</v>
      </c>
      <c r="N873"/>
      <c r="O873"/>
      <c r="P873" s="28"/>
      <c r="Q873" s="28"/>
      <c r="R873" s="28"/>
    </row>
    <row r="874" spans="1:18" outlineLevel="1">
      <c r="A874" s="24" t="str">
        <f>A873</f>
        <v>GERAL</v>
      </c>
      <c r="B874" s="24" t="str">
        <f>B873</f>
        <v>102º PAV. - ÁREA TÉCNICA 06</v>
      </c>
      <c r="C874" s="30" t="s">
        <v>221</v>
      </c>
      <c r="D874" s="30" t="str">
        <f>'Técnico 6'!C6</f>
        <v>Acionadores</v>
      </c>
      <c r="E874" s="30" t="str">
        <f>'Técnico 6'!D6</f>
        <v>Acionador Manual de Alarme de Incêndio</v>
      </c>
      <c r="F874" s="30">
        <f>'Técnico 6'!E6</f>
        <v>1</v>
      </c>
      <c r="G874" s="25">
        <v>1</v>
      </c>
      <c r="H874" s="25">
        <v>0</v>
      </c>
      <c r="I874" s="25">
        <f t="shared" ref="I874" si="246">(F874+H874*F874)*G874</f>
        <v>1</v>
      </c>
      <c r="J874" s="25" t="str">
        <f>'Técnico 6'!F6</f>
        <v>pç</v>
      </c>
      <c r="K874" s="26">
        <f>_xlfn.XLOOKUP($E874,PREÇO!$C$7:$C$91,PREÇO!$E$7:$E$91)</f>
        <v>65</v>
      </c>
      <c r="L874" s="66">
        <f>IF(SUM(F874:K874)=0,SUMIFS($L875:$L$1593,$B875:$B$1593,$B874,$A875:$A$1593,$A874),I874*K874)</f>
        <v>65</v>
      </c>
      <c r="N874"/>
      <c r="O874"/>
      <c r="P874" s="28"/>
      <c r="Q874" s="28"/>
      <c r="R874" s="28"/>
    </row>
    <row r="875" spans="1:18" outlineLevel="1">
      <c r="A875" s="24" t="str">
        <f t="shared" ref="A875:A900" si="247">A874</f>
        <v>GERAL</v>
      </c>
      <c r="B875" s="24" t="str">
        <f t="shared" ref="B875:B900" si="248">B874</f>
        <v>102º PAV. - ÁREA TÉCNICA 06</v>
      </c>
      <c r="C875" s="30" t="s">
        <v>221</v>
      </c>
      <c r="D875" s="30" t="str">
        <f>'Técnico 6'!C7</f>
        <v>Anunciadores</v>
      </c>
      <c r="E875" s="30" t="str">
        <f>'Técnico 6'!D7</f>
        <v>Anunciador Audiovisual de Alarme de Incêndio de Parede</v>
      </c>
      <c r="F875" s="30">
        <f>'Técnico 6'!E7</f>
        <v>1</v>
      </c>
      <c r="G875" s="25">
        <v>1</v>
      </c>
      <c r="H875" s="25">
        <v>0</v>
      </c>
      <c r="I875" s="25">
        <f t="shared" ref="I875:I884" si="249">(F875+H875*F875)*G875</f>
        <v>1</v>
      </c>
      <c r="J875" s="25" t="str">
        <f>'Técnico 6'!F7</f>
        <v>pç</v>
      </c>
      <c r="K875" s="26">
        <f>_xlfn.XLOOKUP($E875,PREÇO!$C$7:$C$91,PREÇO!$E$7:$E$91)</f>
        <v>191.81</v>
      </c>
      <c r="L875" s="66">
        <f>IF(SUM(F875:K875)=0,SUMIFS($L876:$L$1593,$B876:$B$1593,$B875,$A876:$A$1593,$A875),I875*K875)</f>
        <v>191.81</v>
      </c>
      <c r="N875"/>
      <c r="O875"/>
      <c r="P875" s="28"/>
      <c r="Q875" s="28"/>
      <c r="R875" s="28"/>
    </row>
    <row r="876" spans="1:18" outlineLevel="1">
      <c r="A876" s="24" t="str">
        <f t="shared" si="247"/>
        <v>GERAL</v>
      </c>
      <c r="B876" s="24" t="str">
        <f t="shared" si="248"/>
        <v>102º PAV. - ÁREA TÉCNICA 06</v>
      </c>
      <c r="C876" s="30" t="s">
        <v>221</v>
      </c>
      <c r="D876" s="30" t="str">
        <f>'Técnico 6'!C8</f>
        <v>Atuadores</v>
      </c>
      <c r="E876" s="30" t="str">
        <f>'Técnico 6'!D8</f>
        <v>Atuador Janela Desenfumagem</v>
      </c>
      <c r="F876" s="30">
        <f>'Técnico 6'!E8</f>
        <v>1</v>
      </c>
      <c r="G876" s="25">
        <v>1</v>
      </c>
      <c r="H876" s="25">
        <v>0</v>
      </c>
      <c r="I876" s="25">
        <f t="shared" si="249"/>
        <v>1</v>
      </c>
      <c r="J876" s="25" t="str">
        <f>'Técnico 6'!F8</f>
        <v>pç</v>
      </c>
      <c r="K876" s="26">
        <f>_xlfn.XLOOKUP($E876,PREÇO!$C$7:$C$91,PREÇO!$E$7:$E$91)</f>
        <v>1150</v>
      </c>
      <c r="L876" s="66">
        <f>IF(SUM(F876:K876)=0,SUMIFS($L877:$L$1593,$B877:$B$1593,$B876,$A877:$A$1593,$A876),I876*K876)</f>
        <v>1150</v>
      </c>
      <c r="N876"/>
      <c r="O876"/>
      <c r="P876" s="28"/>
      <c r="Q876" s="28"/>
      <c r="R876" s="28"/>
    </row>
    <row r="877" spans="1:18" outlineLevel="1">
      <c r="A877" s="24" t="str">
        <f t="shared" si="247"/>
        <v>GERAL</v>
      </c>
      <c r="B877" s="24" t="str">
        <f t="shared" si="248"/>
        <v>102º PAV. - ÁREA TÉCNICA 06</v>
      </c>
      <c r="C877" s="30" t="s">
        <v>221</v>
      </c>
      <c r="D877" s="30" t="str">
        <f>'Técnico 6'!C9</f>
        <v>Central de Alarme</v>
      </c>
      <c r="E877" s="30" t="str">
        <f>'Técnico 6'!D9</f>
        <v>Central de Alarme de Incêndio</v>
      </c>
      <c r="F877" s="30">
        <f>'Técnico 6'!E9</f>
        <v>1</v>
      </c>
      <c r="G877" s="25">
        <v>1</v>
      </c>
      <c r="H877" s="25">
        <v>0</v>
      </c>
      <c r="I877" s="25">
        <f t="shared" si="249"/>
        <v>1</v>
      </c>
      <c r="J877" s="25" t="str">
        <f>'Técnico 6'!F9</f>
        <v>pç</v>
      </c>
      <c r="K877" s="26">
        <f>_xlfn.XLOOKUP($E877,PREÇO!$C$7:$C$91,PREÇO!$E$7:$E$91)</f>
        <v>855.86</v>
      </c>
      <c r="L877" s="66">
        <f>IF(SUM(F877:K877)=0,SUMIFS($L878:$L$1593,$B878:$B$1593,$B877,$A878:$A$1593,$A877),I877*K877)</f>
        <v>855.86</v>
      </c>
      <c r="N877"/>
      <c r="O877"/>
      <c r="P877" s="28"/>
      <c r="Q877" s="28"/>
      <c r="R877" s="28"/>
    </row>
    <row r="878" spans="1:18" outlineLevel="1">
      <c r="A878" s="24" t="str">
        <f t="shared" si="247"/>
        <v>GERAL</v>
      </c>
      <c r="B878" s="24" t="str">
        <f t="shared" si="248"/>
        <v>102º PAV. - ÁREA TÉCNICA 06</v>
      </c>
      <c r="C878" s="30" t="s">
        <v>221</v>
      </c>
      <c r="D878" s="30" t="str">
        <f>'Técnico 6'!C10</f>
        <v>Sensores</v>
      </c>
      <c r="E878" s="30" t="str">
        <f>'Técnico 6'!D10</f>
        <v>Sensor de Fumaça</v>
      </c>
      <c r="F878" s="30">
        <f>'Técnico 6'!E10</f>
        <v>8</v>
      </c>
      <c r="G878" s="25">
        <v>1</v>
      </c>
      <c r="H878" s="25">
        <v>0</v>
      </c>
      <c r="I878" s="25">
        <f t="shared" si="249"/>
        <v>8</v>
      </c>
      <c r="J878" s="25" t="str">
        <f>'Técnico 6'!F10</f>
        <v>pç</v>
      </c>
      <c r="K878" s="26">
        <f>_xlfn.XLOOKUP($E878,PREÇO!$C$7:$C$91,PREÇO!$E$7:$E$91)</f>
        <v>53.9</v>
      </c>
      <c r="L878" s="66">
        <f>IF(SUM(F878:K878)=0,SUMIFS($L879:$L$1593,$B879:$B$1593,$B878,$A879:$A$1593,$A878),I878*K878)</f>
        <v>431.2</v>
      </c>
      <c r="N878"/>
      <c r="O878"/>
      <c r="P878" s="28"/>
      <c r="Q878" s="28"/>
      <c r="R878" s="28"/>
    </row>
    <row r="879" spans="1:18" outlineLevel="1">
      <c r="A879" s="24" t="str">
        <f t="shared" si="247"/>
        <v>GERAL</v>
      </c>
      <c r="B879" s="24" t="str">
        <f t="shared" si="248"/>
        <v>102º PAV. - ÁREA TÉCNICA 06</v>
      </c>
      <c r="C879" s="30" t="s">
        <v>221</v>
      </c>
      <c r="D879" s="30" t="str">
        <f>'Técnico 6'!C13</f>
        <v>Caixas</v>
      </c>
      <c r="E879" s="30" t="str">
        <f>'Técnico 6'!D13</f>
        <v>Caixa Octogonal Padrão NBR IEC 60670</v>
      </c>
      <c r="F879" s="30">
        <f>'Técnico 6'!E13</f>
        <v>31</v>
      </c>
      <c r="G879" s="25">
        <v>1</v>
      </c>
      <c r="H879" s="25">
        <v>0</v>
      </c>
      <c r="I879" s="25">
        <f t="shared" si="249"/>
        <v>31</v>
      </c>
      <c r="J879" s="25" t="str">
        <f>'Técnico 6'!F13</f>
        <v>pç</v>
      </c>
      <c r="K879" s="26">
        <f>_xlfn.XLOOKUP($E879,PREÇO!$C$7:$C$91,PREÇO!$E$7:$E$91)</f>
        <v>5.32</v>
      </c>
      <c r="L879" s="66">
        <f>IF(SUM(F879:K879)=0,SUMIFS($L880:$L$1593,$B880:$B$1593,$B879,$A880:$A$1593,$A879),I879*K879)</f>
        <v>164.92000000000002</v>
      </c>
      <c r="N879"/>
      <c r="O879"/>
      <c r="P879" s="28"/>
      <c r="Q879" s="28"/>
      <c r="R879" s="28"/>
    </row>
    <row r="880" spans="1:18" outlineLevel="1">
      <c r="A880" s="24" t="str">
        <f t="shared" si="247"/>
        <v>GERAL</v>
      </c>
      <c r="B880" s="24" t="str">
        <f t="shared" si="248"/>
        <v>102º PAV. - ÁREA TÉCNICA 06</v>
      </c>
      <c r="C880" s="30" t="s">
        <v>221</v>
      </c>
      <c r="D880" s="30" t="str">
        <f>'Técnico 6'!C16</f>
        <v>Caixas</v>
      </c>
      <c r="E880" s="30" t="str">
        <f>'Técnico 6'!D16</f>
        <v>Caixa 4x2" de Embutir em PVC Padrão NBR IEC 60670</v>
      </c>
      <c r="F880" s="30">
        <f>'Técnico 6'!E16</f>
        <v>11</v>
      </c>
      <c r="G880" s="25">
        <v>1</v>
      </c>
      <c r="H880" s="25">
        <v>0</v>
      </c>
      <c r="I880" s="25">
        <f t="shared" si="249"/>
        <v>11</v>
      </c>
      <c r="J880" s="25" t="str">
        <f>'Técnico 6'!F16</f>
        <v>pç</v>
      </c>
      <c r="K880" s="26">
        <f>_xlfn.XLOOKUP($E880,PREÇO!$C$7:$C$91,PREÇO!$E$7:$E$91)</f>
        <v>1.72</v>
      </c>
      <c r="L880" s="66">
        <f>IF(SUM(F880:K880)=0,SUMIFS($L881:$L$1593,$B881:$B$1593,$B880,$A881:$A$1593,$A880),I880*K880)</f>
        <v>18.919999999999998</v>
      </c>
      <c r="N880"/>
      <c r="O880"/>
      <c r="P880" s="28"/>
      <c r="Q880" s="28"/>
      <c r="R880" s="28"/>
    </row>
    <row r="881" spans="1:18" outlineLevel="1">
      <c r="A881" s="24" t="str">
        <f t="shared" si="247"/>
        <v>GERAL</v>
      </c>
      <c r="B881" s="24" t="str">
        <f t="shared" si="248"/>
        <v>102º PAV. - ÁREA TÉCNICA 06</v>
      </c>
      <c r="C881" s="30" t="s">
        <v>221</v>
      </c>
      <c r="D881" s="30" t="str">
        <f>'Técnico 6'!C17</f>
        <v>Placas</v>
      </c>
      <c r="E881" s="30" t="str">
        <f>'Técnico 6'!D17</f>
        <v>Placa 4x2" cega Padrão NBR IEC 60670</v>
      </c>
      <c r="F881" s="30">
        <f>'Técnico 6'!E17</f>
        <v>5</v>
      </c>
      <c r="G881" s="25">
        <v>1</v>
      </c>
      <c r="H881" s="25">
        <v>0</v>
      </c>
      <c r="I881" s="25">
        <f t="shared" si="249"/>
        <v>5</v>
      </c>
      <c r="J881" s="25" t="str">
        <f>'Técnico 6'!F17</f>
        <v>pç</v>
      </c>
      <c r="K881" s="26">
        <f>_xlfn.XLOOKUP($E881,PREÇO!$C$7:$C$91,PREÇO!$E$7:$E$91)</f>
        <v>4.59</v>
      </c>
      <c r="L881" s="66">
        <f>IF(SUM(F881:K881)=0,SUMIFS($L882:$L$1593,$B882:$B$1593,$B881,$A882:$A$1593,$A881),I881*K881)</f>
        <v>22.95</v>
      </c>
      <c r="N881"/>
      <c r="O881"/>
      <c r="P881" s="28"/>
      <c r="Q881" s="28"/>
      <c r="R881" s="28"/>
    </row>
    <row r="882" spans="1:18" outlineLevel="1">
      <c r="A882" s="24" t="str">
        <f t="shared" si="247"/>
        <v>GERAL</v>
      </c>
      <c r="B882" s="24" t="str">
        <f t="shared" si="248"/>
        <v>102º PAV. - ÁREA TÉCNICA 06</v>
      </c>
      <c r="C882" s="30" t="s">
        <v>221</v>
      </c>
      <c r="D882" s="30" t="str">
        <f>'Técnico 6'!C18</f>
        <v>Placas</v>
      </c>
      <c r="E882" s="30" t="str">
        <f>'Técnico 6'!D18</f>
        <v>Placa 4x2" com furo para saída de cabos Padrão NBR IEC 60670</v>
      </c>
      <c r="F882" s="30">
        <f>'Técnico 6'!E18</f>
        <v>6</v>
      </c>
      <c r="G882" s="25">
        <v>1</v>
      </c>
      <c r="H882" s="25">
        <v>0</v>
      </c>
      <c r="I882" s="25">
        <f t="shared" si="249"/>
        <v>6</v>
      </c>
      <c r="J882" s="25" t="str">
        <f>'Técnico 6'!F18</f>
        <v>pç</v>
      </c>
      <c r="K882" s="26">
        <f>_xlfn.XLOOKUP($E882,PREÇO!$C$7:$C$91,PREÇO!$E$7:$E$91)</f>
        <v>6.55</v>
      </c>
      <c r="L882" s="66">
        <f>IF(SUM(F882:K882)=0,SUMIFS($L883:$L$1593,$B883:$B$1593,$B882,$A883:$A$1593,$A882),I882*K882)</f>
        <v>39.299999999999997</v>
      </c>
      <c r="N882"/>
      <c r="O882"/>
      <c r="P882" s="28"/>
      <c r="Q882" s="28"/>
      <c r="R882" s="28"/>
    </row>
    <row r="883" spans="1:18" outlineLevel="1">
      <c r="A883" s="24" t="str">
        <f t="shared" si="247"/>
        <v>GERAL</v>
      </c>
      <c r="B883" s="24" t="str">
        <f t="shared" si="248"/>
        <v>102º PAV. - ÁREA TÉCNICA 06</v>
      </c>
      <c r="C883" s="30" t="s">
        <v>221</v>
      </c>
      <c r="D883" s="30" t="str">
        <f>'Técnico 6'!C19</f>
        <v>Suportes</v>
      </c>
      <c r="E883" s="30" t="str">
        <f>'Técnico 6'!D19</f>
        <v>Suporte p/ caixa 4x2" Padrão NBR IEC 60670</v>
      </c>
      <c r="F883" s="30">
        <f>'Técnico 6'!E19</f>
        <v>11</v>
      </c>
      <c r="G883" s="25">
        <v>1</v>
      </c>
      <c r="H883" s="25">
        <v>0</v>
      </c>
      <c r="I883" s="25">
        <f t="shared" si="249"/>
        <v>11</v>
      </c>
      <c r="J883" s="25" t="str">
        <f>'Técnico 6'!F19</f>
        <v>pç</v>
      </c>
      <c r="K883" s="26">
        <f>_xlfn.XLOOKUP($E883,PREÇO!$C$7:$C$91,PREÇO!$E$7:$E$91)</f>
        <v>1.85</v>
      </c>
      <c r="L883" s="66">
        <f>IF(SUM(F883:K883)=0,SUMIFS($L884:$L$1593,$B884:$B$1593,$B883,$A884:$A$1593,$A883),I883*K883)</f>
        <v>20.350000000000001</v>
      </c>
      <c r="N883"/>
      <c r="O883"/>
      <c r="P883" s="28"/>
      <c r="Q883" s="28"/>
      <c r="R883" s="28"/>
    </row>
    <row r="884" spans="1:18" outlineLevel="1">
      <c r="A884" s="24" t="str">
        <f t="shared" si="247"/>
        <v>GERAL</v>
      </c>
      <c r="B884" s="24" t="str">
        <f t="shared" si="248"/>
        <v>102º PAV. - ÁREA TÉCNICA 06</v>
      </c>
      <c r="C884" s="30" t="s">
        <v>221</v>
      </c>
      <c r="D884" s="30" t="str">
        <f>'Técnico 6'!C22</f>
        <v>Embutir</v>
      </c>
      <c r="E884" s="30" t="str">
        <f>'Técnico 6'!D22</f>
        <v>Cx de passagem de embutir com dimensão de 50x50x15 cm</v>
      </c>
      <c r="F884" s="30">
        <f>'Técnico 6'!E22</f>
        <v>1</v>
      </c>
      <c r="G884" s="25">
        <v>1</v>
      </c>
      <c r="H884" s="25">
        <v>0</v>
      </c>
      <c r="I884" s="25">
        <f t="shared" si="249"/>
        <v>1</v>
      </c>
      <c r="J884" s="25" t="str">
        <f>'Técnico 6'!F22</f>
        <v>pç</v>
      </c>
      <c r="K884" s="26">
        <f>_xlfn.XLOOKUP($E884,PREÇO!$C$7:$C$91,PREÇO!$E$7:$E$91)</f>
        <v>291.60000000000002</v>
      </c>
      <c r="L884" s="66">
        <f>IF(SUM(F884:K884)=0,SUMIFS($L885:$L$1593,$B885:$B$1593,$B884,$A885:$A$1593,$A884),I884*K884)</f>
        <v>291.60000000000002</v>
      </c>
      <c r="N884"/>
      <c r="O884"/>
      <c r="P884" s="28"/>
      <c r="Q884" s="28"/>
      <c r="R884" s="28"/>
    </row>
    <row r="885" spans="1:18" outlineLevel="1">
      <c r="A885" s="24" t="str">
        <f t="shared" si="247"/>
        <v>GERAL</v>
      </c>
      <c r="B885" s="24" t="str">
        <f t="shared" si="248"/>
        <v>102º PAV. - ÁREA TÉCNICA 06</v>
      </c>
      <c r="C885" s="30" t="s">
        <v>221</v>
      </c>
      <c r="D885" s="83" t="s">
        <v>46</v>
      </c>
      <c r="E885" s="30" t="s">
        <v>44</v>
      </c>
      <c r="F885" s="30">
        <f>'Técnico 6'!E25</f>
        <v>15.77</v>
      </c>
      <c r="G885" s="25">
        <v>1</v>
      </c>
      <c r="H885" s="25">
        <v>0</v>
      </c>
      <c r="I885" s="25">
        <f t="shared" ref="I885:I902" si="250">(F885+H885*F885)*G885</f>
        <v>15.77</v>
      </c>
      <c r="J885" s="25" t="str">
        <f>'Técnico 6'!F25</f>
        <v>m</v>
      </c>
      <c r="K885" s="26">
        <f>_xlfn.XLOOKUP($E885,PREÇO!$C$7:$C$91,PREÇO!$E$7:$E$91)</f>
        <v>2.5299999999999998</v>
      </c>
      <c r="L885" s="66">
        <f>IF(SUM(F885:K885)=0,SUMIFS($L886:$L$1593,$B886:$B$1593,$B885,$A886:$A$1593,$A885),I885*K885)</f>
        <v>39.898099999999992</v>
      </c>
      <c r="N885"/>
      <c r="O885"/>
      <c r="P885" s="28"/>
      <c r="Q885" s="28"/>
      <c r="R885" s="28"/>
    </row>
    <row r="886" spans="1:18" outlineLevel="1">
      <c r="A886" s="24" t="str">
        <f t="shared" si="247"/>
        <v>GERAL</v>
      </c>
      <c r="B886" s="24" t="str">
        <f t="shared" si="248"/>
        <v>102º PAV. - ÁREA TÉCNICA 06</v>
      </c>
      <c r="C886" s="30" t="s">
        <v>221</v>
      </c>
      <c r="D886" s="83" t="s">
        <v>46</v>
      </c>
      <c r="E886" s="30" t="s">
        <v>45</v>
      </c>
      <c r="F886" s="30">
        <f>'Técnico 6'!E26</f>
        <v>119.86</v>
      </c>
      <c r="G886" s="25">
        <v>1</v>
      </c>
      <c r="H886" s="25">
        <v>0</v>
      </c>
      <c r="I886" s="25">
        <f t="shared" si="250"/>
        <v>119.86</v>
      </c>
      <c r="J886" s="25" t="str">
        <f>'Técnico 6'!F26</f>
        <v>m</v>
      </c>
      <c r="K886" s="26">
        <f>_xlfn.XLOOKUP($E886,PREÇO!$C$7:$C$91,PREÇO!$E$7:$E$91)</f>
        <v>1.8</v>
      </c>
      <c r="L886" s="66">
        <f>IF(SUM(F886:K886)=0,SUMIFS($L887:$L$1593,$B887:$B$1593,$B886,$A887:$A$1593,$A886),I886*K886)</f>
        <v>215.74799999999999</v>
      </c>
      <c r="N886"/>
      <c r="O886"/>
      <c r="P886" s="28"/>
      <c r="Q886" s="28"/>
      <c r="R886" s="28"/>
    </row>
    <row r="887" spans="1:18" outlineLevel="1">
      <c r="A887" s="24" t="str">
        <f t="shared" si="247"/>
        <v>GERAL</v>
      </c>
      <c r="B887" s="24" t="str">
        <f t="shared" si="248"/>
        <v>102º PAV. - ÁREA TÉCNICA 06</v>
      </c>
      <c r="C887" s="30" t="s">
        <v>220</v>
      </c>
      <c r="D887" s="30" t="str">
        <f>'Técnico 6'!C29</f>
        <v>Luminárias e Placas de Saída</v>
      </c>
      <c r="E887" s="30" t="str">
        <f>'Técnico 6'!D29</f>
        <v>Luminária de Emergência 24V de Parede</v>
      </c>
      <c r="F887" s="30">
        <f>'Técnico 6'!E29</f>
        <v>5</v>
      </c>
      <c r="G887" s="25">
        <v>1</v>
      </c>
      <c r="H887" s="25">
        <v>0</v>
      </c>
      <c r="I887" s="25">
        <f t="shared" si="250"/>
        <v>5</v>
      </c>
      <c r="J887" s="25" t="str">
        <f>'Técnico 6'!F29</f>
        <v>pç</v>
      </c>
      <c r="K887" s="26">
        <f>_xlfn.XLOOKUP($E887,PREÇO!$C$7:$C$91,PREÇO!$E$7:$E$91)</f>
        <v>15.9</v>
      </c>
      <c r="L887" s="66">
        <f>IF(SUM(F887:K887)=0,SUMIFS($L888:$L$1593,$B888:$B$1593,$B887,$A888:$A$1593,$A887),I887*K887)</f>
        <v>79.5</v>
      </c>
      <c r="N887"/>
      <c r="O887"/>
      <c r="P887" s="28"/>
      <c r="Q887" s="28"/>
      <c r="R887" s="28"/>
    </row>
    <row r="888" spans="1:18" outlineLevel="1">
      <c r="A888" s="24" t="str">
        <f t="shared" si="247"/>
        <v>GERAL</v>
      </c>
      <c r="B888" s="24" t="str">
        <f t="shared" si="248"/>
        <v>102º PAV. - ÁREA TÉCNICA 06</v>
      </c>
      <c r="C888" s="30" t="s">
        <v>220</v>
      </c>
      <c r="D888" s="30" t="str">
        <f>'Técnico 6'!C30</f>
        <v>Luminárias e Placas de Saída</v>
      </c>
      <c r="E888" s="30" t="str">
        <f>'Técnico 6'!D30</f>
        <v>Luminária de Emergência 24V de Teto</v>
      </c>
      <c r="F888" s="30">
        <f>'Técnico 6'!E30</f>
        <v>17</v>
      </c>
      <c r="G888" s="25">
        <v>1</v>
      </c>
      <c r="H888" s="25">
        <v>0</v>
      </c>
      <c r="I888" s="25">
        <f t="shared" si="250"/>
        <v>17</v>
      </c>
      <c r="J888" s="25" t="str">
        <f>'Técnico 6'!F30</f>
        <v>pç</v>
      </c>
      <c r="K888" s="26">
        <f>_xlfn.XLOOKUP($E888,PREÇO!$C$7:$C$91,PREÇO!$E$7:$E$91)</f>
        <v>69.900000000000006</v>
      </c>
      <c r="L888" s="66">
        <f>IF(SUM(F888:K888)=0,SUMIFS($L889:$L$1593,$B889:$B$1593,$B888,$A889:$A$1593,$A888),I888*K888)</f>
        <v>1188.3000000000002</v>
      </c>
      <c r="N888"/>
      <c r="O888"/>
      <c r="P888" s="28"/>
      <c r="Q888" s="28"/>
      <c r="R888" s="28"/>
    </row>
    <row r="889" spans="1:18" outlineLevel="1">
      <c r="A889" s="24" t="str">
        <f t="shared" si="247"/>
        <v>GERAL</v>
      </c>
      <c r="B889" s="24" t="str">
        <f t="shared" si="248"/>
        <v>102º PAV. - ÁREA TÉCNICA 06</v>
      </c>
      <c r="C889" s="24" t="s">
        <v>222</v>
      </c>
      <c r="D889" s="30" t="str">
        <f>'Técnico 6'!C31</f>
        <v>Luminárias e Placas de Saída</v>
      </c>
      <c r="E889" s="30" t="str">
        <f>'Técnico 6'!D31</f>
        <v>Placa de Saída 24V de Parede sem Direção</v>
      </c>
      <c r="F889" s="30">
        <f>'Técnico 6'!E31</f>
        <v>3</v>
      </c>
      <c r="G889" s="25">
        <v>1</v>
      </c>
      <c r="H889" s="25">
        <v>0</v>
      </c>
      <c r="I889" s="25">
        <f t="shared" si="250"/>
        <v>3</v>
      </c>
      <c r="J889" s="25" t="str">
        <f>'Técnico 6'!F31</f>
        <v>pç</v>
      </c>
      <c r="K889" s="26">
        <f>_xlfn.XLOOKUP($E889,PREÇO!$C$7:$C$91,PREÇO!$E$7:$E$91)</f>
        <v>61.66</v>
      </c>
      <c r="L889" s="66">
        <f>IF(SUM(F889:K889)=0,SUMIFS($L891:$L$1593,$B891:$B$1593,$B889,$A891:$A$1593,$A889),I889*K889)</f>
        <v>184.98</v>
      </c>
      <c r="N889"/>
      <c r="O889"/>
      <c r="P889" s="28"/>
      <c r="Q889" s="28"/>
      <c r="R889" s="28"/>
    </row>
    <row r="890" spans="1:18" outlineLevel="1">
      <c r="A890" s="116" t="str">
        <f>A888</f>
        <v>GERAL</v>
      </c>
      <c r="B890" s="116" t="str">
        <f>B889</f>
        <v>102º PAV. - ÁREA TÉCNICA 06</v>
      </c>
      <c r="C890" s="116" t="s">
        <v>222</v>
      </c>
      <c r="D890" s="116" t="s">
        <v>223</v>
      </c>
      <c r="E890" s="116" t="s">
        <v>224</v>
      </c>
      <c r="F890" s="117">
        <v>4</v>
      </c>
      <c r="G890" s="117">
        <f>G889</f>
        <v>1</v>
      </c>
      <c r="H890" s="118">
        <v>0</v>
      </c>
      <c r="I890" s="117">
        <f t="shared" si="250"/>
        <v>4</v>
      </c>
      <c r="J890" s="117" t="s">
        <v>11</v>
      </c>
      <c r="K890" s="119">
        <f>_xlfn.XLOOKUP($E890,PREÇO!$C$7:$C$91,PREÇO!$E$7:$E$91)</f>
        <v>646.55999999999995</v>
      </c>
      <c r="L890" s="120">
        <f>IF(SUM(F890:K890)=0,SUMIFS($L891:$L$1593,$B891:$B$1593,$B890,$A891:$A$1593,$A890),I890*K890)</f>
        <v>2586.2399999999998</v>
      </c>
      <c r="N890"/>
      <c r="O890"/>
      <c r="P890" s="28"/>
      <c r="Q890" s="28"/>
      <c r="R890" s="28"/>
    </row>
    <row r="891" spans="1:18" outlineLevel="1">
      <c r="A891" s="24" t="str">
        <f>A889</f>
        <v>GERAL</v>
      </c>
      <c r="B891" s="24" t="str">
        <f>B889</f>
        <v>102º PAV. - ÁREA TÉCNICA 06</v>
      </c>
      <c r="C891" s="30" t="s">
        <v>220</v>
      </c>
      <c r="D891" s="30" t="str">
        <f>'Técnico 6'!C32</f>
        <v>Sensores de Presença</v>
      </c>
      <c r="E891" s="30" t="str">
        <f>'Técnico 6'!D32</f>
        <v>Sensor de Presença 24V de teto</v>
      </c>
      <c r="F891" s="30">
        <f>'Técnico 6'!E32</f>
        <v>6</v>
      </c>
      <c r="G891" s="25">
        <v>1</v>
      </c>
      <c r="H891" s="25">
        <v>0</v>
      </c>
      <c r="I891" s="25">
        <f t="shared" si="250"/>
        <v>6</v>
      </c>
      <c r="J891" s="25" t="str">
        <f>'Técnico 6'!F32</f>
        <v>pç</v>
      </c>
      <c r="K891" s="26">
        <f>_xlfn.XLOOKUP($E891,PREÇO!$C$7:$C$91,PREÇO!$E$7:$E$91)</f>
        <v>38.4</v>
      </c>
      <c r="L891" s="66">
        <f>IF(SUM(F891:K891)=0,SUMIFS($L892:$L$1593,$B892:$B$1593,$B891,$A892:$A$1593,$A891),I891*K891)</f>
        <v>230.39999999999998</v>
      </c>
      <c r="N891"/>
      <c r="O891"/>
      <c r="P891" s="28"/>
      <c r="Q891" s="28"/>
      <c r="R891" s="28"/>
    </row>
    <row r="892" spans="1:18" outlineLevel="1">
      <c r="A892" s="24" t="str">
        <f t="shared" si="247"/>
        <v>GERAL</v>
      </c>
      <c r="B892" s="24" t="str">
        <f t="shared" si="248"/>
        <v>102º PAV. - ÁREA TÉCNICA 06</v>
      </c>
      <c r="C892" s="30" t="s">
        <v>221</v>
      </c>
      <c r="D892" s="83" t="s">
        <v>87</v>
      </c>
      <c r="E892" s="30" t="s">
        <v>179</v>
      </c>
      <c r="F892" s="30">
        <f>'Técnico 6'!E35</f>
        <v>114.34</v>
      </c>
      <c r="G892" s="25">
        <v>1</v>
      </c>
      <c r="H892" s="25">
        <v>0</v>
      </c>
      <c r="I892" s="25">
        <f t="shared" si="250"/>
        <v>114.34</v>
      </c>
      <c r="J892" s="25" t="str">
        <f>'Técnico 6'!F35</f>
        <v>m</v>
      </c>
      <c r="K892" s="26">
        <f>_xlfn.XLOOKUP($E892,PREÇO!$C$7:$C$91,PREÇO!$E$7:$E$91)</f>
        <v>1.59</v>
      </c>
      <c r="L892" s="66">
        <f>IF(SUM(F892:K892)=0,SUMIFS($L893:$L$1593,$B893:$B$1593,$B892,$A893:$A$1593,$A892),I892*K892)</f>
        <v>181.8006</v>
      </c>
      <c r="N892"/>
      <c r="O892"/>
      <c r="P892" s="28"/>
      <c r="Q892" s="28"/>
      <c r="R892" s="28"/>
    </row>
    <row r="893" spans="1:18" outlineLevel="1">
      <c r="A893" s="24" t="str">
        <f t="shared" si="247"/>
        <v>GERAL</v>
      </c>
      <c r="B893" s="24" t="str">
        <f t="shared" si="248"/>
        <v>102º PAV. - ÁREA TÉCNICA 06</v>
      </c>
      <c r="C893" s="30" t="s">
        <v>221</v>
      </c>
      <c r="D893" s="83" t="s">
        <v>87</v>
      </c>
      <c r="E893" s="30" t="s">
        <v>180</v>
      </c>
      <c r="F893" s="30">
        <f>'Técnico 6'!E36</f>
        <v>87.38</v>
      </c>
      <c r="G893" s="25">
        <v>1</v>
      </c>
      <c r="H893" s="25">
        <v>0</v>
      </c>
      <c r="I893" s="25">
        <f t="shared" si="250"/>
        <v>87.38</v>
      </c>
      <c r="J893" s="25" t="str">
        <f>'Técnico 6'!F36</f>
        <v>m</v>
      </c>
      <c r="K893" s="26">
        <f>_xlfn.XLOOKUP($E893,PREÇO!$C$7:$C$91,PREÇO!$E$7:$E$91)</f>
        <v>1.59</v>
      </c>
      <c r="L893" s="66">
        <f>IF(SUM(F893:K893)=0,SUMIFS($L894:$L$1593,$B894:$B$1593,$B893,$A894:$A$1593,$A893),I893*K893)</f>
        <v>138.9342</v>
      </c>
      <c r="N893"/>
      <c r="O893"/>
      <c r="P893" s="28"/>
      <c r="Q893" s="28"/>
      <c r="R893" s="28"/>
    </row>
    <row r="894" spans="1:18" outlineLevel="1">
      <c r="A894" s="24" t="str">
        <f t="shared" si="247"/>
        <v>GERAL</v>
      </c>
      <c r="B894" s="24" t="str">
        <f t="shared" si="248"/>
        <v>102º PAV. - ÁREA TÉCNICA 06</v>
      </c>
      <c r="C894" s="30" t="s">
        <v>221</v>
      </c>
      <c r="D894" s="83" t="s">
        <v>87</v>
      </c>
      <c r="E894" s="30" t="s">
        <v>181</v>
      </c>
      <c r="F894" s="30">
        <f>'Técnico 6'!E37</f>
        <v>87.38</v>
      </c>
      <c r="G894" s="25">
        <v>1</v>
      </c>
      <c r="H894" s="25">
        <v>0</v>
      </c>
      <c r="I894" s="25">
        <f t="shared" si="250"/>
        <v>87.38</v>
      </c>
      <c r="J894" s="25" t="str">
        <f>'Técnico 6'!F37</f>
        <v>m</v>
      </c>
      <c r="K894" s="26">
        <f>_xlfn.XLOOKUP($E894,PREÇO!$C$7:$C$91,PREÇO!$E$7:$E$91)</f>
        <v>1.59</v>
      </c>
      <c r="L894" s="66">
        <f>IF(SUM(F894:K894)=0,SUMIFS($L895:$L$1593,$B895:$B$1593,$B894,$A895:$A$1593,$A894),I894*K894)</f>
        <v>138.9342</v>
      </c>
      <c r="N894"/>
      <c r="O894"/>
      <c r="P894" s="28"/>
      <c r="Q894" s="28"/>
      <c r="R894" s="28"/>
    </row>
    <row r="895" spans="1:18" outlineLevel="1">
      <c r="A895" s="24" t="str">
        <f t="shared" si="247"/>
        <v>GERAL</v>
      </c>
      <c r="B895" s="24" t="str">
        <f t="shared" si="248"/>
        <v>102º PAV. - ÁREA TÉCNICA 06</v>
      </c>
      <c r="C895" s="30" t="s">
        <v>221</v>
      </c>
      <c r="D895" s="83" t="s">
        <v>87</v>
      </c>
      <c r="E895" s="30" t="s">
        <v>182</v>
      </c>
      <c r="F895" s="30">
        <f>'Técnico 6'!E38</f>
        <v>20.2</v>
      </c>
      <c r="G895" s="25">
        <v>1</v>
      </c>
      <c r="H895" s="25">
        <v>0</v>
      </c>
      <c r="I895" s="25">
        <f t="shared" si="250"/>
        <v>20.2</v>
      </c>
      <c r="J895" s="25" t="str">
        <f>'Técnico 6'!F38</f>
        <v>m</v>
      </c>
      <c r="K895" s="26">
        <f>_xlfn.XLOOKUP($E895,PREÇO!$C$7:$C$91,PREÇO!$E$7:$E$91)</f>
        <v>2.19</v>
      </c>
      <c r="L895" s="66">
        <f>IF(SUM(F895:K895)=0,SUMIFS($L896:$L$1593,$B896:$B$1593,$B895,$A896:$A$1593,$A895),I895*K895)</f>
        <v>44.238</v>
      </c>
      <c r="N895"/>
      <c r="O895"/>
      <c r="P895" s="28"/>
      <c r="Q895" s="28"/>
      <c r="R895" s="28"/>
    </row>
    <row r="896" spans="1:18" outlineLevel="1">
      <c r="A896" s="24" t="str">
        <f t="shared" si="247"/>
        <v>GERAL</v>
      </c>
      <c r="B896" s="24" t="str">
        <f t="shared" si="248"/>
        <v>102º PAV. - ÁREA TÉCNICA 06</v>
      </c>
      <c r="C896" s="30" t="s">
        <v>221</v>
      </c>
      <c r="D896" s="83" t="s">
        <v>87</v>
      </c>
      <c r="E896" s="30" t="s">
        <v>183</v>
      </c>
      <c r="F896" s="30">
        <f>'Técnico 6'!E39</f>
        <v>141.58000000000001</v>
      </c>
      <c r="G896" s="25">
        <v>1</v>
      </c>
      <c r="H896" s="25">
        <v>0</v>
      </c>
      <c r="I896" s="25">
        <f t="shared" si="250"/>
        <v>141.58000000000001</v>
      </c>
      <c r="J896" s="25" t="str">
        <f>'Técnico 6'!F39</f>
        <v>m</v>
      </c>
      <c r="K896" s="26">
        <f>_xlfn.XLOOKUP($E896,PREÇO!$C$7:$C$91,PREÇO!$E$7:$E$91)</f>
        <v>2.19</v>
      </c>
      <c r="L896" s="66">
        <f>IF(SUM(F896:K896)=0,SUMIFS($L897:$L$1593,$B897:$B$1593,$B896,$A897:$A$1593,$A896),I896*K896)</f>
        <v>310.06020000000001</v>
      </c>
      <c r="N896"/>
      <c r="O896"/>
      <c r="P896" s="28"/>
      <c r="Q896" s="28"/>
      <c r="R896" s="28"/>
    </row>
    <row r="897" spans="1:18" outlineLevel="1">
      <c r="A897" s="24" t="str">
        <f t="shared" si="247"/>
        <v>GERAL</v>
      </c>
      <c r="B897" s="24" t="str">
        <f t="shared" si="248"/>
        <v>102º PAV. - ÁREA TÉCNICA 06</v>
      </c>
      <c r="C897" s="30" t="s">
        <v>221</v>
      </c>
      <c r="D897" s="83" t="s">
        <v>87</v>
      </c>
      <c r="E897" s="30" t="s">
        <v>184</v>
      </c>
      <c r="F897" s="30">
        <f>'Técnico 6'!E40</f>
        <v>141.58000000000001</v>
      </c>
      <c r="G897" s="25">
        <v>1</v>
      </c>
      <c r="H897" s="25">
        <v>0</v>
      </c>
      <c r="I897" s="25">
        <f t="shared" si="250"/>
        <v>141.58000000000001</v>
      </c>
      <c r="J897" s="25" t="str">
        <f>'Técnico 6'!F40</f>
        <v>m</v>
      </c>
      <c r="K897" s="26">
        <f>_xlfn.XLOOKUP($E897,PREÇO!$C$7:$C$91,PREÇO!$E$7:$E$91)</f>
        <v>2.19</v>
      </c>
      <c r="L897" s="66">
        <f>IF(SUM(F897:K897)=0,SUMIFS($L898:$L$1593,$B898:$B$1593,$B897,$A898:$A$1593,$A897),I897*K897)</f>
        <v>310.06020000000001</v>
      </c>
      <c r="N897"/>
      <c r="O897"/>
      <c r="P897" s="28"/>
      <c r="Q897" s="28"/>
      <c r="R897" s="28"/>
    </row>
    <row r="898" spans="1:18" outlineLevel="1">
      <c r="A898" s="24" t="str">
        <f t="shared" si="247"/>
        <v>GERAL</v>
      </c>
      <c r="B898" s="24" t="str">
        <f t="shared" si="248"/>
        <v>102º PAV. - ÁREA TÉCNICA 06</v>
      </c>
      <c r="C898" s="30" t="s">
        <v>221</v>
      </c>
      <c r="D898" s="83" t="s">
        <v>46</v>
      </c>
      <c r="E898" s="30" t="s">
        <v>44</v>
      </c>
      <c r="F898" s="30">
        <f>'Técnico 6'!E44</f>
        <v>60.62</v>
      </c>
      <c r="G898" s="25">
        <v>1</v>
      </c>
      <c r="H898" s="25">
        <v>0</v>
      </c>
      <c r="I898" s="25">
        <f t="shared" si="250"/>
        <v>60.62</v>
      </c>
      <c r="J898" s="25" t="str">
        <f>'Técnico 6'!F44</f>
        <v>m</v>
      </c>
      <c r="K898" s="26">
        <f>_xlfn.XLOOKUP($E898,PREÇO!$C$7:$C$91,PREÇO!$E$7:$E$91)</f>
        <v>2.5299999999999998</v>
      </c>
      <c r="L898" s="66">
        <f>IF(SUM(F898:K898)=0,SUMIFS($L899:$L$1593,$B899:$B$1593,$B898,$A899:$A$1593,$A898),I898*K898)</f>
        <v>153.36859999999999</v>
      </c>
      <c r="N898"/>
      <c r="O898"/>
      <c r="P898" s="28"/>
      <c r="Q898" s="28"/>
      <c r="R898" s="28"/>
    </row>
    <row r="899" spans="1:18" outlineLevel="1">
      <c r="A899" s="24" t="str">
        <f t="shared" si="247"/>
        <v>GERAL</v>
      </c>
      <c r="B899" s="24" t="str">
        <f t="shared" si="248"/>
        <v>102º PAV. - ÁREA TÉCNICA 06</v>
      </c>
      <c r="C899" s="30" t="s">
        <v>221</v>
      </c>
      <c r="D899" s="83" t="s">
        <v>89</v>
      </c>
      <c r="E899" s="30" t="s">
        <v>185</v>
      </c>
      <c r="F899" s="30">
        <f>'Técnico 6'!E47</f>
        <v>56.66</v>
      </c>
      <c r="G899" s="25">
        <v>1</v>
      </c>
      <c r="H899" s="25">
        <v>0</v>
      </c>
      <c r="I899" s="25">
        <f t="shared" si="250"/>
        <v>56.66</v>
      </c>
      <c r="J899" s="25" t="str">
        <f>'Técnico 6'!F47</f>
        <v>m</v>
      </c>
      <c r="K899" s="26">
        <f>_xlfn.XLOOKUP($E899,PREÇO!$C$7:$C$91,PREÇO!$E$7:$E$91)</f>
        <v>0.99</v>
      </c>
      <c r="L899" s="66">
        <f>IF(SUM(F899:K899)=0,SUMIFS($L900:$L$1593,$B900:$B$1593,$B899,$A900:$A$1593,$A899),I899*K899)</f>
        <v>56.093399999999995</v>
      </c>
      <c r="N899"/>
      <c r="O899"/>
      <c r="P899" s="28"/>
      <c r="Q899" s="28"/>
      <c r="R899" s="28"/>
    </row>
    <row r="900" spans="1:18" ht="15.75" outlineLevel="1" thickBot="1">
      <c r="A900" s="24" t="str">
        <f t="shared" si="247"/>
        <v>GERAL</v>
      </c>
      <c r="B900" s="24" t="str">
        <f t="shared" si="248"/>
        <v>102º PAV. - ÁREA TÉCNICA 06</v>
      </c>
      <c r="C900" s="30" t="s">
        <v>221</v>
      </c>
      <c r="D900" s="83" t="s">
        <v>89</v>
      </c>
      <c r="E900" s="30" t="s">
        <v>186</v>
      </c>
      <c r="F900" s="30">
        <f>'Técnico 6'!E48</f>
        <v>10.37</v>
      </c>
      <c r="G900" s="25">
        <v>1</v>
      </c>
      <c r="H900" s="25">
        <v>0</v>
      </c>
      <c r="I900" s="25">
        <f t="shared" si="250"/>
        <v>10.37</v>
      </c>
      <c r="J900" s="25" t="str">
        <f>'Técnico 6'!F48</f>
        <v>m</v>
      </c>
      <c r="K900" s="26">
        <f>_xlfn.XLOOKUP($E900,PREÇO!$C$7:$C$91,PREÇO!$E$7:$E$91)</f>
        <v>1.69</v>
      </c>
      <c r="L900" s="66">
        <f>IF(SUM(F900:K900)=0,SUMIFS($L901:$L$1593,$B901:$B$1593,$B900,$A901:$A$1593,$A900),I900*K900)</f>
        <v>17.525299999999998</v>
      </c>
      <c r="N900"/>
      <c r="O900"/>
      <c r="P900" s="28"/>
      <c r="Q900" s="28"/>
      <c r="R900" s="28"/>
    </row>
    <row r="901" spans="1:18" ht="15.75" thickTop="1">
      <c r="A901" s="82" t="s">
        <v>19</v>
      </c>
      <c r="B901" s="82" t="s">
        <v>193</v>
      </c>
      <c r="C901" s="43"/>
      <c r="D901" s="44"/>
      <c r="E901" s="44" t="str">
        <f>'Técnico 6'!D49</f>
        <v/>
      </c>
      <c r="F901" s="45" t="str">
        <f>'Técnico 6'!E49</f>
        <v/>
      </c>
      <c r="G901" s="45"/>
      <c r="H901" s="45"/>
      <c r="I901" s="45"/>
      <c r="J901" s="45" t="str">
        <f>'Técnico 6'!F49</f>
        <v/>
      </c>
      <c r="K901" s="47"/>
      <c r="L901" s="48">
        <f>IF(SUM(F901:K901)=0,SUMIFS($L902:$L$1593,$B902:$B$1593,$B901,$A902:$A$1593,$A901),I901*K901)</f>
        <v>112905.44419999997</v>
      </c>
      <c r="N901"/>
      <c r="O901"/>
      <c r="P901" s="28"/>
      <c r="Q901" s="28"/>
      <c r="R901" s="28"/>
    </row>
    <row r="902" spans="1:18" outlineLevel="1">
      <c r="A902" s="24" t="str">
        <f>A901</f>
        <v>GERAL</v>
      </c>
      <c r="B902" s="24" t="str">
        <f>B901</f>
        <v>103º PAV. - TIPO 04C - x19 - MODELO</v>
      </c>
      <c r="C902" s="30" t="s">
        <v>221</v>
      </c>
      <c r="D902" s="30" t="str">
        <f>'Tipo 4C - x19'!C6</f>
        <v>Acionadores</v>
      </c>
      <c r="E902" s="30" t="str">
        <f>'Tipo 4C - x19'!D6</f>
        <v>Acionador Manual de Alarme de Incêndio</v>
      </c>
      <c r="F902" s="24">
        <f>'Tipo 4C - x19'!E6</f>
        <v>1</v>
      </c>
      <c r="G902" s="25">
        <v>19</v>
      </c>
      <c r="H902" s="25">
        <v>0</v>
      </c>
      <c r="I902" s="25">
        <f t="shared" si="250"/>
        <v>19</v>
      </c>
      <c r="J902" s="25" t="str">
        <f>'Tipo 4C - x19'!F6</f>
        <v>pç</v>
      </c>
      <c r="K902" s="26">
        <f>_xlfn.XLOOKUP($E902,PREÇO!$C$7:$C$91,PREÇO!$E$7:$E$91)</f>
        <v>65</v>
      </c>
      <c r="L902" s="66">
        <f>IF(SUM(F902:K902)=0,SUMIFS($L903:$L$1593,$B903:$B$1593,$B902,$A903:$A$1593,$A902),I902*K902)</f>
        <v>1235</v>
      </c>
      <c r="N902"/>
      <c r="O902"/>
      <c r="P902" s="28"/>
      <c r="Q902" s="28"/>
      <c r="R902" s="28"/>
    </row>
    <row r="903" spans="1:18" outlineLevel="1">
      <c r="A903" s="24" t="str">
        <f t="shared" ref="A903:A907" si="251">A902</f>
        <v>GERAL</v>
      </c>
      <c r="B903" s="24" t="str">
        <f t="shared" ref="B903:B907" si="252">B902</f>
        <v>103º PAV. - TIPO 04C - x19 - MODELO</v>
      </c>
      <c r="C903" s="30" t="s">
        <v>221</v>
      </c>
      <c r="D903" s="30" t="str">
        <f>'Tipo 4C - x19'!C7</f>
        <v>Anunciadores</v>
      </c>
      <c r="E903" s="30" t="str">
        <f>'Tipo 4C - x19'!D7</f>
        <v>Anunciador Audiovisual de Alarme de Incêndio de Parede</v>
      </c>
      <c r="F903" s="24">
        <f>'Tipo 4C - x19'!E7</f>
        <v>1</v>
      </c>
      <c r="G903" s="25">
        <v>19</v>
      </c>
      <c r="H903" s="25">
        <v>0</v>
      </c>
      <c r="I903" s="25">
        <f t="shared" ref="I903:I917" si="253">(F903+H903*F903)*G903</f>
        <v>19</v>
      </c>
      <c r="J903" s="25" t="str">
        <f>'Tipo 4C - x19'!F7</f>
        <v>pç</v>
      </c>
      <c r="K903" s="26">
        <f>_xlfn.XLOOKUP($E903,PREÇO!$C$7:$C$91,PREÇO!$E$7:$E$91)</f>
        <v>191.81</v>
      </c>
      <c r="L903" s="66">
        <f>IF(SUM(F903:K903)=0,SUMIFS($L904:$L$1593,$B904:$B$1593,$B903,$A904:$A$1593,$A903),I903*K903)</f>
        <v>3644.39</v>
      </c>
      <c r="N903"/>
      <c r="O903"/>
      <c r="P903" s="28"/>
      <c r="Q903" s="28"/>
      <c r="R903" s="28"/>
    </row>
    <row r="904" spans="1:18" outlineLevel="1">
      <c r="A904" s="24" t="str">
        <f t="shared" si="251"/>
        <v>GERAL</v>
      </c>
      <c r="B904" s="24" t="str">
        <f t="shared" si="252"/>
        <v>103º PAV. - TIPO 04C - x19 - MODELO</v>
      </c>
      <c r="C904" s="30" t="s">
        <v>221</v>
      </c>
      <c r="D904" s="30" t="str">
        <f>'Tipo 4C - x19'!C8</f>
        <v>Anunciadores</v>
      </c>
      <c r="E904" s="30" t="str">
        <f>'Tipo 4C - x19'!D8</f>
        <v>Anunciador Audiovisual de Alarme de Incêndio de Teto</v>
      </c>
      <c r="F904" s="24">
        <f>'Tipo 4C - x19'!E8</f>
        <v>2</v>
      </c>
      <c r="G904" s="25">
        <v>19</v>
      </c>
      <c r="H904" s="25">
        <v>0</v>
      </c>
      <c r="I904" s="25">
        <f t="shared" si="253"/>
        <v>38</v>
      </c>
      <c r="J904" s="25" t="str">
        <f>'Tipo 4C - x19'!F8</f>
        <v>pç</v>
      </c>
      <c r="K904" s="26">
        <f>_xlfn.XLOOKUP($E904,PREÇO!$C$7:$C$91,PREÇO!$E$7:$E$91)</f>
        <v>169.96</v>
      </c>
      <c r="L904" s="66">
        <f>IF(SUM(F904:K904)=0,SUMIFS($L905:$L$1593,$B905:$B$1593,$B904,$A905:$A$1593,$A904),I904*K904)</f>
        <v>6458.4800000000005</v>
      </c>
      <c r="N904"/>
      <c r="O904"/>
      <c r="P904" s="28"/>
      <c r="Q904" s="28"/>
      <c r="R904" s="28"/>
    </row>
    <row r="905" spans="1:18" outlineLevel="1">
      <c r="A905" s="24" t="str">
        <f t="shared" si="251"/>
        <v>GERAL</v>
      </c>
      <c r="B905" s="24" t="str">
        <f t="shared" si="252"/>
        <v>103º PAV. - TIPO 04C - x19 - MODELO</v>
      </c>
      <c r="C905" s="30" t="s">
        <v>221</v>
      </c>
      <c r="D905" s="30" t="str">
        <f>'Tipo 4C - x19'!C9</f>
        <v>Atuadores</v>
      </c>
      <c r="E905" s="30" t="str">
        <f>'Tipo 4C - x19'!D9</f>
        <v>Atuador Janela Desenfumagem</v>
      </c>
      <c r="F905" s="24">
        <f>'Tipo 4C - x19'!E9</f>
        <v>1</v>
      </c>
      <c r="G905" s="25">
        <v>19</v>
      </c>
      <c r="H905" s="25">
        <v>0</v>
      </c>
      <c r="I905" s="25">
        <f t="shared" si="253"/>
        <v>19</v>
      </c>
      <c r="J905" s="25" t="str">
        <f>'Tipo 4C - x19'!F9</f>
        <v>pç</v>
      </c>
      <c r="K905" s="26">
        <f>_xlfn.XLOOKUP($E905,PREÇO!$C$7:$C$91,PREÇO!$E$7:$E$91)</f>
        <v>1150</v>
      </c>
      <c r="L905" s="66">
        <f>IF(SUM(F905:K905)=0,SUMIFS($L906:$L$1593,$B906:$B$1593,$B905,$A906:$A$1593,$A905),I905*K905)</f>
        <v>21850</v>
      </c>
      <c r="N905"/>
      <c r="O905"/>
      <c r="P905" s="28"/>
      <c r="Q905" s="28"/>
      <c r="R905" s="28"/>
    </row>
    <row r="906" spans="1:18" outlineLevel="1">
      <c r="A906" s="24" t="str">
        <f t="shared" si="251"/>
        <v>GERAL</v>
      </c>
      <c r="B906" s="24" t="str">
        <f t="shared" si="252"/>
        <v>103º PAV. - TIPO 04C - x19 - MODELO</v>
      </c>
      <c r="C906" s="30" t="s">
        <v>221</v>
      </c>
      <c r="D906" s="30" t="str">
        <f>'Tipo 4C - x19'!C10</f>
        <v>Atuadores</v>
      </c>
      <c r="E906" s="30" t="str">
        <f>'Tipo 4C - x19'!D10</f>
        <v>Dispositivo Eletromagnético de Porta Aberta</v>
      </c>
      <c r="F906" s="24">
        <f>'Tipo 4C - x19'!E10</f>
        <v>1</v>
      </c>
      <c r="G906" s="25">
        <v>19</v>
      </c>
      <c r="H906" s="25">
        <v>0</v>
      </c>
      <c r="I906" s="25">
        <f t="shared" si="253"/>
        <v>19</v>
      </c>
      <c r="J906" s="25" t="str">
        <f>'Tipo 4C - x19'!F10</f>
        <v>pç</v>
      </c>
      <c r="K906" s="26">
        <f>_xlfn.XLOOKUP($E906,PREÇO!$C$7:$C$91,PREÇO!$E$7:$E$91)</f>
        <v>416.9</v>
      </c>
      <c r="L906" s="66">
        <f>IF(SUM(F906:K906)=0,SUMIFS($L907:$L$1593,$B907:$B$1593,$B906,$A907:$A$1593,$A906),I906*K906)</f>
        <v>7921.0999999999995</v>
      </c>
      <c r="N906"/>
      <c r="O906"/>
      <c r="P906" s="28"/>
      <c r="Q906" s="28"/>
      <c r="R906" s="28"/>
    </row>
    <row r="907" spans="1:18" outlineLevel="1">
      <c r="A907" s="24" t="str">
        <f t="shared" si="251"/>
        <v>GERAL</v>
      </c>
      <c r="B907" s="24" t="str">
        <f t="shared" si="252"/>
        <v>103º PAV. - TIPO 04C - x19 - MODELO</v>
      </c>
      <c r="C907" s="30" t="s">
        <v>221</v>
      </c>
      <c r="D907" s="30" t="str">
        <f>'Tipo 4C - x19'!C11</f>
        <v>Sensores</v>
      </c>
      <c r="E907" s="30" t="str">
        <f>'Tipo 4C - x19'!D11</f>
        <v>Sensor de Fumaça</v>
      </c>
      <c r="F907" s="24">
        <f>'Tipo 4C - x19'!E11</f>
        <v>19</v>
      </c>
      <c r="G907" s="25">
        <v>19</v>
      </c>
      <c r="H907" s="25">
        <v>0</v>
      </c>
      <c r="I907" s="25">
        <f t="shared" si="253"/>
        <v>361</v>
      </c>
      <c r="J907" s="25" t="str">
        <f>'Tipo 4C - x19'!F11</f>
        <v>pç</v>
      </c>
      <c r="K907" s="26">
        <f>_xlfn.XLOOKUP($E907,PREÇO!$C$7:$C$91,PREÇO!$E$7:$E$91)</f>
        <v>53.9</v>
      </c>
      <c r="L907" s="66">
        <f>IF(SUM(F907:K907)=0,SUMIFS($L908:$L$1593,$B908:$B$1593,$B907,$A908:$A$1593,$A907),I907*K907)</f>
        <v>19457.899999999998</v>
      </c>
      <c r="N907"/>
      <c r="O907"/>
      <c r="P907" s="28"/>
      <c r="Q907" s="28"/>
      <c r="R907" s="28"/>
    </row>
    <row r="908" spans="1:18" outlineLevel="1">
      <c r="A908" s="24" t="str">
        <f t="shared" ref="A908:A929" si="254">A907</f>
        <v>GERAL</v>
      </c>
      <c r="B908" s="24" t="str">
        <f t="shared" ref="B908:B929" si="255">B907</f>
        <v>103º PAV. - TIPO 04C - x19 - MODELO</v>
      </c>
      <c r="C908" s="30" t="s">
        <v>221</v>
      </c>
      <c r="D908" s="30" t="str">
        <f>'Tipo 4C - x19'!C14</f>
        <v>Caixas</v>
      </c>
      <c r="E908" s="30" t="str">
        <f>'Tipo 4C - x19'!D14</f>
        <v>Caixa Octogonal Padrão NBR IEC 60670</v>
      </c>
      <c r="F908" s="24">
        <f>'Tipo 4C - x19'!E14</f>
        <v>31</v>
      </c>
      <c r="G908" s="25">
        <v>19</v>
      </c>
      <c r="H908" s="25">
        <v>0</v>
      </c>
      <c r="I908" s="25">
        <f t="shared" si="253"/>
        <v>589</v>
      </c>
      <c r="J908" s="25" t="str">
        <f>'Tipo 4C - x19'!F14</f>
        <v>pç</v>
      </c>
      <c r="K908" s="26">
        <f>_xlfn.XLOOKUP($E908,PREÇO!$C$7:$C$91,PREÇO!$E$7:$E$91)</f>
        <v>5.32</v>
      </c>
      <c r="L908" s="66">
        <f>IF(SUM(F908:K908)=0,SUMIFS($L909:$L$1593,$B909:$B$1593,$B908,$A909:$A$1593,$A908),I908*K908)</f>
        <v>3133.48</v>
      </c>
      <c r="N908"/>
      <c r="O908"/>
      <c r="P908" s="28"/>
      <c r="Q908" s="28"/>
      <c r="R908" s="28"/>
    </row>
    <row r="909" spans="1:18" outlineLevel="1">
      <c r="A909" s="24" t="str">
        <f t="shared" si="254"/>
        <v>GERAL</v>
      </c>
      <c r="B909" s="24" t="str">
        <f t="shared" si="255"/>
        <v>103º PAV. - TIPO 04C - x19 - MODELO</v>
      </c>
      <c r="C909" s="30" t="s">
        <v>221</v>
      </c>
      <c r="D909" s="30" t="str">
        <f>'Tipo 4C - x19'!C15</f>
        <v>Placas</v>
      </c>
      <c r="E909" s="30" t="str">
        <f>'Tipo 4C - x19'!D15</f>
        <v>Placa cega para caixa octogonal Padrão NBR IEC 60670</v>
      </c>
      <c r="F909" s="24">
        <f>'Tipo 4C - x19'!E15</f>
        <v>2</v>
      </c>
      <c r="G909" s="25">
        <v>19</v>
      </c>
      <c r="H909" s="25">
        <v>0</v>
      </c>
      <c r="I909" s="25">
        <f t="shared" si="253"/>
        <v>38</v>
      </c>
      <c r="J909" s="25" t="str">
        <f>'Tipo 4C - x19'!F15</f>
        <v>pç</v>
      </c>
      <c r="K909" s="26">
        <f>_xlfn.XLOOKUP($E909,PREÇO!$C$7:$C$91,PREÇO!$E$7:$E$91)</f>
        <v>2.5</v>
      </c>
      <c r="L909" s="66">
        <f>IF(SUM(F909:K909)=0,SUMIFS($L910:$L$1593,$B910:$B$1593,$B909,$A910:$A$1593,$A909),I909*K909)</f>
        <v>95</v>
      </c>
      <c r="N909"/>
      <c r="O909"/>
      <c r="P909" s="28"/>
      <c r="Q909" s="28"/>
      <c r="R909" s="28"/>
    </row>
    <row r="910" spans="1:18" outlineLevel="1">
      <c r="A910" s="24" t="str">
        <f t="shared" si="254"/>
        <v>GERAL</v>
      </c>
      <c r="B910" s="24" t="str">
        <f t="shared" si="255"/>
        <v>103º PAV. - TIPO 04C - x19 - MODELO</v>
      </c>
      <c r="C910" s="30" t="s">
        <v>221</v>
      </c>
      <c r="D910" s="30" t="str">
        <f>'Tipo 4C - x19'!C18</f>
        <v>Caixas</v>
      </c>
      <c r="E910" s="30" t="str">
        <f>'Tipo 4C - x19'!D18</f>
        <v>Caixa 4x2" de Embutir em PVC Padrão NBR IEC 60670</v>
      </c>
      <c r="F910" s="24">
        <f>'Tipo 4C - x19'!E18</f>
        <v>9</v>
      </c>
      <c r="G910" s="25">
        <v>19</v>
      </c>
      <c r="H910" s="25">
        <v>0</v>
      </c>
      <c r="I910" s="25">
        <f t="shared" si="253"/>
        <v>171</v>
      </c>
      <c r="J910" s="25" t="str">
        <f>'Tipo 4C - x19'!F18</f>
        <v>pç</v>
      </c>
      <c r="K910" s="26">
        <f>_xlfn.XLOOKUP($E910,PREÇO!$C$7:$C$91,PREÇO!$E$7:$E$91)</f>
        <v>1.72</v>
      </c>
      <c r="L910" s="66">
        <f>IF(SUM(F910:K910)=0,SUMIFS($L911:$L$1593,$B911:$B$1593,$B910,$A911:$A$1593,$A910),I910*K910)</f>
        <v>294.12</v>
      </c>
      <c r="N910"/>
      <c r="O910"/>
      <c r="P910" s="28"/>
      <c r="Q910" s="28"/>
      <c r="R910" s="28"/>
    </row>
    <row r="911" spans="1:18" outlineLevel="1">
      <c r="A911" s="24" t="str">
        <f t="shared" si="254"/>
        <v>GERAL</v>
      </c>
      <c r="B911" s="24" t="str">
        <f t="shared" si="255"/>
        <v>103º PAV. - TIPO 04C - x19 - MODELO</v>
      </c>
      <c r="C911" s="30" t="s">
        <v>221</v>
      </c>
      <c r="D911" s="30" t="str">
        <f>'Tipo 4C - x19'!C19</f>
        <v>Placas</v>
      </c>
      <c r="E911" s="30" t="str">
        <f>'Tipo 4C - x19'!D19</f>
        <v>Placa 4x2" cega Padrão NBR IEC 60670</v>
      </c>
      <c r="F911" s="24">
        <f>'Tipo 4C - x19'!E19</f>
        <v>3</v>
      </c>
      <c r="G911" s="25">
        <v>19</v>
      </c>
      <c r="H911" s="25">
        <v>0</v>
      </c>
      <c r="I911" s="25">
        <f t="shared" si="253"/>
        <v>57</v>
      </c>
      <c r="J911" s="25" t="str">
        <f>'Tipo 4C - x19'!F19</f>
        <v>pç</v>
      </c>
      <c r="K911" s="26">
        <f>_xlfn.XLOOKUP($E911,PREÇO!$C$7:$C$91,PREÇO!$E$7:$E$91)</f>
        <v>4.59</v>
      </c>
      <c r="L911" s="66">
        <f>IF(SUM(F911:K911)=0,SUMIFS($L912:$L$1593,$B912:$B$1593,$B911,$A912:$A$1593,$A911),I911*K911)</f>
        <v>261.63</v>
      </c>
      <c r="N911"/>
      <c r="O911"/>
      <c r="P911" s="28"/>
      <c r="Q911" s="28"/>
      <c r="R911" s="28"/>
    </row>
    <row r="912" spans="1:18" outlineLevel="1">
      <c r="A912" s="24" t="str">
        <f t="shared" si="254"/>
        <v>GERAL</v>
      </c>
      <c r="B912" s="24" t="str">
        <f t="shared" si="255"/>
        <v>103º PAV. - TIPO 04C - x19 - MODELO</v>
      </c>
      <c r="C912" s="30" t="s">
        <v>221</v>
      </c>
      <c r="D912" s="30" t="str">
        <f>'Tipo 4C - x19'!C20</f>
        <v>Placas</v>
      </c>
      <c r="E912" s="30" t="str">
        <f>'Tipo 4C - x19'!D20</f>
        <v>Placa 4x2" com furo para saída de cabos Padrão NBR IEC 60670</v>
      </c>
      <c r="F912" s="24">
        <f>'Tipo 4C - x19'!E20</f>
        <v>6</v>
      </c>
      <c r="G912" s="25">
        <v>19</v>
      </c>
      <c r="H912" s="25">
        <v>0</v>
      </c>
      <c r="I912" s="25">
        <f t="shared" si="253"/>
        <v>114</v>
      </c>
      <c r="J912" s="25" t="str">
        <f>'Tipo 4C - x19'!F20</f>
        <v>pç</v>
      </c>
      <c r="K912" s="26">
        <f>_xlfn.XLOOKUP($E912,PREÇO!$C$7:$C$91,PREÇO!$E$7:$E$91)</f>
        <v>6.55</v>
      </c>
      <c r="L912" s="66">
        <f>IF(SUM(F912:K912)=0,SUMIFS($L913:$L$1593,$B913:$B$1593,$B912,$A913:$A$1593,$A912),I912*K912)</f>
        <v>746.69999999999993</v>
      </c>
      <c r="N912"/>
      <c r="O912"/>
      <c r="P912" s="28"/>
      <c r="Q912" s="28"/>
      <c r="R912" s="28"/>
    </row>
    <row r="913" spans="1:18" outlineLevel="1">
      <c r="A913" s="24" t="str">
        <f t="shared" si="254"/>
        <v>GERAL</v>
      </c>
      <c r="B913" s="24" t="str">
        <f t="shared" si="255"/>
        <v>103º PAV. - TIPO 04C - x19 - MODELO</v>
      </c>
      <c r="C913" s="30" t="s">
        <v>221</v>
      </c>
      <c r="D913" s="30" t="str">
        <f>'Tipo 4C - x19'!C21</f>
        <v>Suportes</v>
      </c>
      <c r="E913" s="30" t="str">
        <f>'Tipo 4C - x19'!D21</f>
        <v>Suporte p/ caixa 4x2" Padrão NBR IEC 60670</v>
      </c>
      <c r="F913" s="24">
        <f>'Tipo 4C - x19'!E21</f>
        <v>9</v>
      </c>
      <c r="G913" s="25">
        <v>19</v>
      </c>
      <c r="H913" s="25">
        <v>0</v>
      </c>
      <c r="I913" s="25">
        <f t="shared" si="253"/>
        <v>171</v>
      </c>
      <c r="J913" s="25" t="str">
        <f>'Tipo 4C - x19'!F21</f>
        <v>pç</v>
      </c>
      <c r="K913" s="26">
        <f>_xlfn.XLOOKUP($E913,PREÇO!$C$7:$C$91,PREÇO!$E$7:$E$91)</f>
        <v>1.85</v>
      </c>
      <c r="L913" s="66">
        <f>IF(SUM(F913:K913)=0,SUMIFS($L914:$L$1593,$B914:$B$1593,$B913,$A914:$A$1593,$A913),I913*K913)</f>
        <v>316.35000000000002</v>
      </c>
      <c r="N913"/>
      <c r="O913"/>
      <c r="P913" s="28"/>
      <c r="Q913" s="28"/>
      <c r="R913" s="28"/>
    </row>
    <row r="914" spans="1:18" outlineLevel="1">
      <c r="A914" s="24" t="str">
        <f t="shared" si="254"/>
        <v>GERAL</v>
      </c>
      <c r="B914" s="24" t="str">
        <f t="shared" si="255"/>
        <v>103º PAV. - TIPO 04C - x19 - MODELO</v>
      </c>
      <c r="C914" s="30" t="s">
        <v>221</v>
      </c>
      <c r="D914" s="83" t="s">
        <v>46</v>
      </c>
      <c r="E914" s="30" t="s">
        <v>44</v>
      </c>
      <c r="F914" s="24">
        <f>'Tipo 4C - x19'!E24</f>
        <v>29.07</v>
      </c>
      <c r="G914" s="25">
        <v>19</v>
      </c>
      <c r="H914" s="25">
        <v>0</v>
      </c>
      <c r="I914" s="25">
        <f t="shared" si="253"/>
        <v>552.33000000000004</v>
      </c>
      <c r="J914" s="25" t="str">
        <f>'Tipo 4C - x19'!F24</f>
        <v>m</v>
      </c>
      <c r="K914" s="26">
        <f>_xlfn.XLOOKUP($E914,PREÇO!$C$7:$C$91,PREÇO!$E$7:$E$91)</f>
        <v>2.5299999999999998</v>
      </c>
      <c r="L914" s="66">
        <f>IF(SUM(F914:K914)=0,SUMIFS($L915:$L$1593,$B915:$B$1593,$B914,$A915:$A$1593,$A914),I914*K914)</f>
        <v>1397.3949</v>
      </c>
      <c r="N914"/>
      <c r="O914"/>
      <c r="P914" s="28"/>
      <c r="Q914" s="28"/>
      <c r="R914" s="28"/>
    </row>
    <row r="915" spans="1:18" outlineLevel="1">
      <c r="A915" s="24" t="str">
        <f t="shared" si="254"/>
        <v>GERAL</v>
      </c>
      <c r="B915" s="24" t="str">
        <f t="shared" si="255"/>
        <v>103º PAV. - TIPO 04C - x19 - MODELO</v>
      </c>
      <c r="C915" s="30" t="s">
        <v>221</v>
      </c>
      <c r="D915" s="83" t="s">
        <v>46</v>
      </c>
      <c r="E915" s="30" t="s">
        <v>45</v>
      </c>
      <c r="F915" s="24">
        <f>'Tipo 4C - x19'!E25</f>
        <v>27.38</v>
      </c>
      <c r="G915" s="25">
        <v>19</v>
      </c>
      <c r="H915" s="25">
        <v>0</v>
      </c>
      <c r="I915" s="25">
        <f t="shared" si="253"/>
        <v>520.22</v>
      </c>
      <c r="J915" s="25" t="str">
        <f>'Tipo 4C - x19'!F25</f>
        <v>m</v>
      </c>
      <c r="K915" s="26">
        <f>_xlfn.XLOOKUP($E915,PREÇO!$C$7:$C$91,PREÇO!$E$7:$E$91)</f>
        <v>1.8</v>
      </c>
      <c r="L915" s="66">
        <f>IF(SUM(F915:K915)=0,SUMIFS($L916:$L$1593,$B916:$B$1593,$B915,$A916:$A$1593,$A915),I915*K915)</f>
        <v>936.39600000000007</v>
      </c>
      <c r="N915"/>
      <c r="O915"/>
      <c r="P915" s="28"/>
      <c r="Q915" s="28"/>
      <c r="R915" s="28"/>
    </row>
    <row r="916" spans="1:18" outlineLevel="1">
      <c r="A916" s="24" t="str">
        <f t="shared" si="254"/>
        <v>GERAL</v>
      </c>
      <c r="B916" s="24" t="str">
        <f t="shared" si="255"/>
        <v>103º PAV. - TIPO 04C - x19 - MODELO</v>
      </c>
      <c r="C916" s="30" t="s">
        <v>220</v>
      </c>
      <c r="D916" s="30" t="str">
        <f>'Tipo 4C - x19'!C28</f>
        <v>Luminárias e Placas de Saída</v>
      </c>
      <c r="E916" s="30" t="str">
        <f>'Tipo 4C - x19'!D28</f>
        <v>Luminária de Emergência 24V de Parede</v>
      </c>
      <c r="F916" s="24">
        <f>'Tipo 4C - x19'!E28</f>
        <v>3</v>
      </c>
      <c r="G916" s="25">
        <v>19</v>
      </c>
      <c r="H916" s="25">
        <v>0</v>
      </c>
      <c r="I916" s="25">
        <f t="shared" si="253"/>
        <v>57</v>
      </c>
      <c r="J916" s="25" t="str">
        <f>'Tipo 4C - x19'!F28</f>
        <v>pç</v>
      </c>
      <c r="K916" s="26">
        <f>_xlfn.XLOOKUP($E916,PREÇO!$C$7:$C$91,PREÇO!$E$7:$E$91)</f>
        <v>15.9</v>
      </c>
      <c r="L916" s="66">
        <f>IF(SUM(F916:K916)=0,SUMIFS($L917:$L$1593,$B917:$B$1593,$B916,$A917:$A$1593,$A916),I916*K916)</f>
        <v>906.30000000000007</v>
      </c>
      <c r="N916"/>
      <c r="O916"/>
      <c r="P916" s="28"/>
      <c r="Q916" s="28"/>
      <c r="R916" s="28"/>
    </row>
    <row r="917" spans="1:18" outlineLevel="1">
      <c r="A917" s="24" t="str">
        <f t="shared" si="254"/>
        <v>GERAL</v>
      </c>
      <c r="B917" s="24" t="str">
        <f t="shared" si="255"/>
        <v>103º PAV. - TIPO 04C - x19 - MODELO</v>
      </c>
      <c r="C917" s="30" t="s">
        <v>220</v>
      </c>
      <c r="D917" s="30" t="str">
        <f>'Tipo 4C - x19'!C29</f>
        <v>Luminárias e Placas de Saída</v>
      </c>
      <c r="E917" s="30" t="str">
        <f>'Tipo 4C - x19'!D29</f>
        <v>Luminária de Emergência 24V de Teto</v>
      </c>
      <c r="F917" s="24">
        <f>'Tipo 4C - x19'!E29</f>
        <v>5</v>
      </c>
      <c r="G917" s="25">
        <v>19</v>
      </c>
      <c r="H917" s="25">
        <v>0</v>
      </c>
      <c r="I917" s="25">
        <f t="shared" si="253"/>
        <v>95</v>
      </c>
      <c r="J917" s="25" t="str">
        <f>'Tipo 4C - x19'!F29</f>
        <v>pç</v>
      </c>
      <c r="K917" s="26">
        <f>_xlfn.XLOOKUP($E917,PREÇO!$C$7:$C$91,PREÇO!$E$7:$E$91)</f>
        <v>69.900000000000006</v>
      </c>
      <c r="L917" s="66">
        <f>IF(SUM(F917:K917)=0,SUMIFS($L918:$L$1593,$B918:$B$1593,$B917,$A918:$A$1593,$A917),I917*K917)</f>
        <v>6640.5000000000009</v>
      </c>
      <c r="N917"/>
      <c r="O917"/>
      <c r="P917" s="28"/>
      <c r="Q917" s="28"/>
      <c r="R917" s="28"/>
    </row>
    <row r="918" spans="1:18" outlineLevel="1">
      <c r="A918" s="24" t="str">
        <f t="shared" si="254"/>
        <v>GERAL</v>
      </c>
      <c r="B918" s="24" t="str">
        <f t="shared" si="255"/>
        <v>103º PAV. - TIPO 04C - x19 - MODELO</v>
      </c>
      <c r="C918" s="24" t="s">
        <v>222</v>
      </c>
      <c r="D918" s="30" t="str">
        <f>'Tipo 4C - x19'!C30</f>
        <v>Luminárias e Placas de Saída</v>
      </c>
      <c r="E918" s="30" t="str">
        <f>'Tipo 4C - x19'!D30</f>
        <v>Placa de Saída 24V de Parede sem Direção</v>
      </c>
      <c r="F918" s="24">
        <f>'Tipo 4C - x19'!E30</f>
        <v>1</v>
      </c>
      <c r="G918" s="25">
        <v>19</v>
      </c>
      <c r="H918" s="25">
        <v>0</v>
      </c>
      <c r="I918" s="25">
        <f t="shared" ref="I918:I931" si="256">(F918+H918*F918)*G918</f>
        <v>19</v>
      </c>
      <c r="J918" s="25" t="str">
        <f>'Tipo 4C - x19'!F30</f>
        <v>pç</v>
      </c>
      <c r="K918" s="26">
        <f>_xlfn.XLOOKUP($E918,PREÇO!$C$7:$C$91,PREÇO!$E$7:$E$91)</f>
        <v>61.66</v>
      </c>
      <c r="L918" s="66">
        <f>IF(SUM(F918:K918)=0,SUMIFS($L920:$L$1593,$B920:$B$1593,$B918,$A920:$A$1593,$A918),I918*K918)</f>
        <v>1171.54</v>
      </c>
      <c r="N918"/>
      <c r="O918"/>
      <c r="P918" s="28"/>
      <c r="Q918" s="28"/>
      <c r="R918" s="28"/>
    </row>
    <row r="919" spans="1:18" outlineLevel="1">
      <c r="A919" s="116" t="str">
        <f>A917</f>
        <v>GERAL</v>
      </c>
      <c r="B919" s="116" t="str">
        <f>B918</f>
        <v>103º PAV. - TIPO 04C - x19 - MODELO</v>
      </c>
      <c r="C919" s="116" t="s">
        <v>222</v>
      </c>
      <c r="D919" s="116" t="s">
        <v>223</v>
      </c>
      <c r="E919" s="116" t="s">
        <v>224</v>
      </c>
      <c r="F919" s="117">
        <v>1</v>
      </c>
      <c r="G919" s="117">
        <f>G918</f>
        <v>19</v>
      </c>
      <c r="H919" s="118">
        <v>0</v>
      </c>
      <c r="I919" s="117">
        <f t="shared" si="256"/>
        <v>19</v>
      </c>
      <c r="J919" s="117" t="s">
        <v>11</v>
      </c>
      <c r="K919" s="119">
        <f>_xlfn.XLOOKUP($E919,PREÇO!$C$7:$C$91,PREÇO!$E$7:$E$91)</f>
        <v>646.55999999999995</v>
      </c>
      <c r="L919" s="120">
        <f>IF(SUM(F919:K919)=0,SUMIFS($L920:$L$1593,$B920:$B$1593,$B919,$A920:$A$1593,$A919),I919*K919)</f>
        <v>12284.64</v>
      </c>
      <c r="N919"/>
      <c r="O919"/>
      <c r="P919" s="28"/>
      <c r="Q919" s="28"/>
      <c r="R919" s="28"/>
    </row>
    <row r="920" spans="1:18" outlineLevel="1">
      <c r="A920" s="24" t="str">
        <f>A918</f>
        <v>GERAL</v>
      </c>
      <c r="B920" s="24" t="str">
        <f>B918</f>
        <v>103º PAV. - TIPO 04C - x19 - MODELO</v>
      </c>
      <c r="C920" s="30" t="s">
        <v>220</v>
      </c>
      <c r="D920" s="30" t="str">
        <f>'Tipo 4C - x19'!C31</f>
        <v>Sensores de Presença</v>
      </c>
      <c r="E920" s="30" t="str">
        <f>'Tipo 4C - x19'!D31</f>
        <v>Sensor de Presença 24V de teto</v>
      </c>
      <c r="F920" s="24">
        <f>'Tipo 4C - x19'!E31</f>
        <v>3</v>
      </c>
      <c r="G920" s="25">
        <v>19</v>
      </c>
      <c r="H920" s="25">
        <v>0</v>
      </c>
      <c r="I920" s="25">
        <f t="shared" si="256"/>
        <v>57</v>
      </c>
      <c r="J920" s="25" t="str">
        <f>'Tipo 4C - x19'!F31</f>
        <v>pç</v>
      </c>
      <c r="K920" s="26">
        <f>_xlfn.XLOOKUP($E920,PREÇO!$C$7:$C$91,PREÇO!$E$7:$E$91)</f>
        <v>38.4</v>
      </c>
      <c r="L920" s="66">
        <f>IF(SUM(F920:K920)=0,SUMIFS($L921:$L$1593,$B921:$B$1593,$B920,$A921:$A$1593,$A920),I920*K920)</f>
        <v>2188.7999999999997</v>
      </c>
      <c r="N920"/>
      <c r="O920"/>
      <c r="P920" s="28"/>
      <c r="Q920" s="28"/>
      <c r="R920" s="28"/>
    </row>
    <row r="921" spans="1:18" outlineLevel="1">
      <c r="A921" s="24" t="str">
        <f t="shared" si="254"/>
        <v>GERAL</v>
      </c>
      <c r="B921" s="24" t="str">
        <f t="shared" si="255"/>
        <v>103º PAV. - TIPO 04C - x19 - MODELO</v>
      </c>
      <c r="C921" s="30" t="s">
        <v>221</v>
      </c>
      <c r="D921" s="83" t="s">
        <v>87</v>
      </c>
      <c r="E921" s="30" t="s">
        <v>179</v>
      </c>
      <c r="F921" s="24">
        <f>'Tipo 4C - x19'!E34</f>
        <v>64.42</v>
      </c>
      <c r="G921" s="25">
        <v>19</v>
      </c>
      <c r="H921" s="25">
        <v>0</v>
      </c>
      <c r="I921" s="25">
        <f t="shared" si="256"/>
        <v>1223.98</v>
      </c>
      <c r="J921" s="25" t="str">
        <f>'Tipo 4C - x19'!F34</f>
        <v>m</v>
      </c>
      <c r="K921" s="26">
        <f>_xlfn.XLOOKUP($E921,PREÇO!$C$7:$C$91,PREÇO!$E$7:$E$91)</f>
        <v>1.59</v>
      </c>
      <c r="L921" s="66">
        <f>IF(SUM(F921:K921)=0,SUMIFS($L922:$L$1593,$B922:$B$1593,$B921,$A922:$A$1593,$A921),I921*K921)</f>
        <v>1946.1282000000001</v>
      </c>
      <c r="N921"/>
      <c r="O921"/>
      <c r="P921" s="28"/>
      <c r="Q921" s="28"/>
      <c r="R921" s="28"/>
    </row>
    <row r="922" spans="1:18" outlineLevel="1">
      <c r="A922" s="24" t="str">
        <f t="shared" si="254"/>
        <v>GERAL</v>
      </c>
      <c r="B922" s="24" t="str">
        <f t="shared" si="255"/>
        <v>103º PAV. - TIPO 04C - x19 - MODELO</v>
      </c>
      <c r="C922" s="30" t="s">
        <v>221</v>
      </c>
      <c r="D922" s="83" t="s">
        <v>87</v>
      </c>
      <c r="E922" s="30" t="s">
        <v>180</v>
      </c>
      <c r="F922" s="24">
        <f>'Tipo 4C - x19'!E35</f>
        <v>107.09</v>
      </c>
      <c r="G922" s="25">
        <v>19</v>
      </c>
      <c r="H922" s="25">
        <v>0</v>
      </c>
      <c r="I922" s="25">
        <f t="shared" si="256"/>
        <v>2034.71</v>
      </c>
      <c r="J922" s="25" t="str">
        <f>'Tipo 4C - x19'!F35</f>
        <v>m</v>
      </c>
      <c r="K922" s="26">
        <f>_xlfn.XLOOKUP($E922,PREÇO!$C$7:$C$91,PREÇO!$E$7:$E$91)</f>
        <v>1.59</v>
      </c>
      <c r="L922" s="66">
        <f>IF(SUM(F922:K922)=0,SUMIFS($L923:$L$1593,$B923:$B$1593,$B922,$A923:$A$1593,$A922),I922*K922)</f>
        <v>3235.1889000000001</v>
      </c>
      <c r="N922"/>
      <c r="O922"/>
      <c r="P922" s="28"/>
      <c r="Q922" s="28"/>
      <c r="R922" s="28"/>
    </row>
    <row r="923" spans="1:18" outlineLevel="1">
      <c r="A923" s="24" t="str">
        <f t="shared" si="254"/>
        <v>GERAL</v>
      </c>
      <c r="B923" s="24" t="str">
        <f t="shared" si="255"/>
        <v>103º PAV. - TIPO 04C - x19 - MODELO</v>
      </c>
      <c r="C923" s="30" t="s">
        <v>221</v>
      </c>
      <c r="D923" s="83" t="s">
        <v>87</v>
      </c>
      <c r="E923" s="30" t="s">
        <v>181</v>
      </c>
      <c r="F923" s="24">
        <f>'Tipo 4C - x19'!E36</f>
        <v>107.09</v>
      </c>
      <c r="G923" s="25">
        <v>19</v>
      </c>
      <c r="H923" s="25">
        <v>0</v>
      </c>
      <c r="I923" s="25">
        <f t="shared" si="256"/>
        <v>2034.71</v>
      </c>
      <c r="J923" s="25" t="str">
        <f>'Tipo 4C - x19'!F36</f>
        <v>m</v>
      </c>
      <c r="K923" s="26">
        <f>_xlfn.XLOOKUP($E923,PREÇO!$C$7:$C$91,PREÇO!$E$7:$E$91)</f>
        <v>1.59</v>
      </c>
      <c r="L923" s="66">
        <f>IF(SUM(F923:K923)=0,SUMIFS($L924:$L$1593,$B924:$B$1593,$B923,$A924:$A$1593,$A923),I923*K923)</f>
        <v>3235.1889000000001</v>
      </c>
      <c r="N923"/>
      <c r="O923"/>
      <c r="P923" s="28"/>
      <c r="Q923" s="28"/>
      <c r="R923" s="28"/>
    </row>
    <row r="924" spans="1:18" outlineLevel="1">
      <c r="A924" s="24" t="str">
        <f t="shared" si="254"/>
        <v>GERAL</v>
      </c>
      <c r="B924" s="24" t="str">
        <f t="shared" si="255"/>
        <v>103º PAV. - TIPO 04C - x19 - MODELO</v>
      </c>
      <c r="C924" s="30" t="s">
        <v>221</v>
      </c>
      <c r="D924" s="83" t="s">
        <v>87</v>
      </c>
      <c r="E924" s="30" t="s">
        <v>182</v>
      </c>
      <c r="F924" s="24">
        <f>'Tipo 4C - x19'!E37</f>
        <v>25.08</v>
      </c>
      <c r="G924" s="25">
        <v>19</v>
      </c>
      <c r="H924" s="25">
        <v>0</v>
      </c>
      <c r="I924" s="25">
        <f t="shared" si="256"/>
        <v>476.52</v>
      </c>
      <c r="J924" s="25" t="str">
        <f>'Tipo 4C - x19'!F37</f>
        <v>m</v>
      </c>
      <c r="K924" s="26">
        <f>_xlfn.XLOOKUP($E924,PREÇO!$C$7:$C$91,PREÇO!$E$7:$E$91)</f>
        <v>2.19</v>
      </c>
      <c r="L924" s="66">
        <f>IF(SUM(F924:K924)=0,SUMIFS($L925:$L$1593,$B925:$B$1593,$B924,$A925:$A$1593,$A924),I924*K924)</f>
        <v>1043.5788</v>
      </c>
      <c r="N924"/>
      <c r="O924"/>
      <c r="P924" s="28"/>
      <c r="Q924" s="28"/>
      <c r="R924" s="28"/>
    </row>
    <row r="925" spans="1:18" outlineLevel="1">
      <c r="A925" s="24" t="str">
        <f t="shared" si="254"/>
        <v>GERAL</v>
      </c>
      <c r="B925" s="24" t="str">
        <f t="shared" si="255"/>
        <v>103º PAV. - TIPO 04C - x19 - MODELO</v>
      </c>
      <c r="C925" s="30" t="s">
        <v>221</v>
      </c>
      <c r="D925" s="83" t="s">
        <v>87</v>
      </c>
      <c r="E925" s="30" t="s">
        <v>183</v>
      </c>
      <c r="F925" s="24">
        <f>'Tipo 4C - x19'!E38</f>
        <v>12.54</v>
      </c>
      <c r="G925" s="25">
        <v>19</v>
      </c>
      <c r="H925" s="25">
        <v>0</v>
      </c>
      <c r="I925" s="25">
        <f t="shared" si="256"/>
        <v>238.26</v>
      </c>
      <c r="J925" s="25" t="str">
        <f>'Tipo 4C - x19'!F38</f>
        <v>m</v>
      </c>
      <c r="K925" s="26">
        <f>_xlfn.XLOOKUP($E925,PREÇO!$C$7:$C$91,PREÇO!$E$7:$E$91)</f>
        <v>2.19</v>
      </c>
      <c r="L925" s="66">
        <f>IF(SUM(F925:K925)=0,SUMIFS($L926:$L$1593,$B926:$B$1593,$B925,$A926:$A$1593,$A925),I925*K925)</f>
        <v>521.7894</v>
      </c>
      <c r="N925"/>
      <c r="O925"/>
      <c r="P925" s="28"/>
      <c r="Q925" s="28"/>
      <c r="R925" s="28"/>
    </row>
    <row r="926" spans="1:18" outlineLevel="1">
      <c r="A926" s="24" t="str">
        <f t="shared" si="254"/>
        <v>GERAL</v>
      </c>
      <c r="B926" s="24" t="str">
        <f t="shared" si="255"/>
        <v>103º PAV. - TIPO 04C - x19 - MODELO</v>
      </c>
      <c r="C926" s="30" t="s">
        <v>221</v>
      </c>
      <c r="D926" s="83" t="s">
        <v>87</v>
      </c>
      <c r="E926" s="30" t="s">
        <v>184</v>
      </c>
      <c r="F926" s="24">
        <f>'Tipo 4C - x19'!E39</f>
        <v>12.54</v>
      </c>
      <c r="G926" s="25">
        <v>19</v>
      </c>
      <c r="H926" s="25">
        <v>0</v>
      </c>
      <c r="I926" s="25">
        <f t="shared" si="256"/>
        <v>238.26</v>
      </c>
      <c r="J926" s="25" t="str">
        <f>'Tipo 4C - x19'!F39</f>
        <v>m</v>
      </c>
      <c r="K926" s="26">
        <f>_xlfn.XLOOKUP($E926,PREÇO!$C$7:$C$91,PREÇO!$E$7:$E$91)</f>
        <v>2.19</v>
      </c>
      <c r="L926" s="66">
        <f>IF(SUM(F926:K926)=0,SUMIFS($L927:$L$1593,$B927:$B$1593,$B926,$A927:$A$1593,$A926),I926*K926)</f>
        <v>521.7894</v>
      </c>
      <c r="N926"/>
      <c r="O926"/>
      <c r="P926" s="28"/>
      <c r="Q926" s="28"/>
      <c r="R926" s="28"/>
    </row>
    <row r="927" spans="1:18" outlineLevel="1">
      <c r="A927" s="24" t="str">
        <f t="shared" si="254"/>
        <v>GERAL</v>
      </c>
      <c r="B927" s="24" t="str">
        <f t="shared" si="255"/>
        <v>103º PAV. - TIPO 04C - x19 - MODELO</v>
      </c>
      <c r="C927" s="30" t="s">
        <v>221</v>
      </c>
      <c r="D927" s="83" t="s">
        <v>46</v>
      </c>
      <c r="E927" s="30" t="s">
        <v>44</v>
      </c>
      <c r="F927" s="24">
        <f>'Tipo 4C - x19'!E43</f>
        <v>120.82</v>
      </c>
      <c r="G927" s="25">
        <v>19</v>
      </c>
      <c r="H927" s="25">
        <v>0</v>
      </c>
      <c r="I927" s="25">
        <f t="shared" si="256"/>
        <v>2295.58</v>
      </c>
      <c r="J927" s="25" t="str">
        <f>'Tipo 4C - x19'!F43</f>
        <v>m</v>
      </c>
      <c r="K927" s="26">
        <f>_xlfn.XLOOKUP($E927,PREÇO!$C$7:$C$91,PREÇO!$E$7:$E$91)</f>
        <v>2.5299999999999998</v>
      </c>
      <c r="L927" s="66">
        <f>IF(SUM(F927:K927)=0,SUMIFS($L928:$L$1593,$B928:$B$1593,$B927,$A928:$A$1593,$A927),I927*K927)</f>
        <v>5807.817399999999</v>
      </c>
      <c r="N927"/>
      <c r="O927"/>
      <c r="P927" s="28"/>
      <c r="Q927" s="28"/>
      <c r="R927" s="28"/>
    </row>
    <row r="928" spans="1:18" outlineLevel="1">
      <c r="A928" s="24" t="str">
        <f t="shared" si="254"/>
        <v>GERAL</v>
      </c>
      <c r="B928" s="24" t="str">
        <f t="shared" si="255"/>
        <v>103º PAV. - TIPO 04C - x19 - MODELO</v>
      </c>
      <c r="C928" s="30" t="s">
        <v>221</v>
      </c>
      <c r="D928" s="83" t="s">
        <v>89</v>
      </c>
      <c r="E928" s="30" t="s">
        <v>185</v>
      </c>
      <c r="F928" s="24">
        <f>'Tipo 4C - x19'!E46</f>
        <v>115.5</v>
      </c>
      <c r="G928" s="25">
        <v>19</v>
      </c>
      <c r="H928" s="25">
        <v>0</v>
      </c>
      <c r="I928" s="25">
        <f t="shared" si="256"/>
        <v>2194.5</v>
      </c>
      <c r="J928" s="25" t="str">
        <f>'Tipo 4C - x19'!F46</f>
        <v>m</v>
      </c>
      <c r="K928" s="26">
        <f>_xlfn.XLOOKUP($E928,PREÇO!$C$7:$C$91,PREÇO!$E$7:$E$91)</f>
        <v>0.99</v>
      </c>
      <c r="L928" s="66">
        <f>IF(SUM(F928:K928)=0,SUMIFS($L929:$L$1593,$B929:$B$1593,$B928,$A929:$A$1593,$A928),I928*K928)</f>
        <v>2172.5549999999998</v>
      </c>
      <c r="N928"/>
      <c r="O928"/>
      <c r="P928" s="28"/>
      <c r="Q928" s="28"/>
      <c r="R928" s="28"/>
    </row>
    <row r="929" spans="1:18" ht="15.75" outlineLevel="1" thickBot="1">
      <c r="A929" s="24" t="str">
        <f t="shared" si="254"/>
        <v>GERAL</v>
      </c>
      <c r="B929" s="24" t="str">
        <f t="shared" si="255"/>
        <v>103º PAV. - TIPO 04C - x19 - MODELO</v>
      </c>
      <c r="C929" s="30" t="s">
        <v>221</v>
      </c>
      <c r="D929" s="83" t="s">
        <v>89</v>
      </c>
      <c r="E929" s="30" t="s">
        <v>186</v>
      </c>
      <c r="F929" s="24">
        <f>'Tipo 4C - x19'!E47</f>
        <v>108.43</v>
      </c>
      <c r="G929" s="25">
        <v>19</v>
      </c>
      <c r="H929" s="25">
        <v>0</v>
      </c>
      <c r="I929" s="25">
        <f t="shared" si="256"/>
        <v>2060.17</v>
      </c>
      <c r="J929" s="25" t="str">
        <f>'Tipo 4C - x19'!F47</f>
        <v>m</v>
      </c>
      <c r="K929" s="26">
        <f>_xlfn.XLOOKUP($E929,PREÇO!$C$7:$C$91,PREÇO!$E$7:$E$91)</f>
        <v>1.69</v>
      </c>
      <c r="L929" s="66">
        <f>IF(SUM(F929:K929)=0,SUMIFS($L930:$L$1593,$B930:$B$1593,$B929,$A930:$A$1593,$A929),I929*K929)</f>
        <v>3481.6873000000001</v>
      </c>
      <c r="N929"/>
      <c r="O929"/>
      <c r="P929" s="28"/>
      <c r="Q929" s="28"/>
      <c r="R929" s="28"/>
    </row>
    <row r="930" spans="1:18" ht="15.75" thickTop="1">
      <c r="A930" s="82" t="s">
        <v>19</v>
      </c>
      <c r="B930" s="82" t="s">
        <v>194</v>
      </c>
      <c r="C930" s="43"/>
      <c r="D930" s="44" t="str">
        <f>'Tipo 4C - x19'!C48</f>
        <v/>
      </c>
      <c r="E930" s="44" t="str">
        <f>'Tipo 4C - x19'!D48</f>
        <v/>
      </c>
      <c r="F930" s="45" t="str">
        <f>'Tipo 4C - x19'!E48</f>
        <v/>
      </c>
      <c r="G930" s="45"/>
      <c r="H930" s="45"/>
      <c r="I930" s="45"/>
      <c r="J930" s="45" t="str">
        <f>'Tipo 4C - x19'!F48</f>
        <v/>
      </c>
      <c r="K930" s="47"/>
      <c r="L930" s="48">
        <f>IF(SUM(F930:K930)=0,SUMIFS($L931:$L$1593,$B931:$B$1593,$B930,$A931:$A$1593,$A930),I930*K930)</f>
        <v>11560.534600000003</v>
      </c>
      <c r="N930"/>
      <c r="O930"/>
      <c r="P930" s="28"/>
      <c r="Q930" s="28"/>
      <c r="R930" s="28"/>
    </row>
    <row r="931" spans="1:18" outlineLevel="1">
      <c r="A931" s="24" t="str">
        <f>A930</f>
        <v>GERAL</v>
      </c>
      <c r="B931" s="24" t="str">
        <f>B930</f>
        <v>122º PAV. - ÁREA TÉCNICA 07</v>
      </c>
      <c r="C931" s="30" t="s">
        <v>221</v>
      </c>
      <c r="D931" s="30" t="str">
        <f>'Técnico 7'!C6</f>
        <v>Acionadores</v>
      </c>
      <c r="E931" s="30" t="str">
        <f>'Técnico 7'!D6</f>
        <v>Acionador Manual de Alarme de Incêndio</v>
      </c>
      <c r="F931" s="30">
        <f>'Técnico 7'!E6</f>
        <v>1</v>
      </c>
      <c r="G931" s="25">
        <v>1</v>
      </c>
      <c r="H931" s="25">
        <v>0</v>
      </c>
      <c r="I931" s="25">
        <f t="shared" si="256"/>
        <v>1</v>
      </c>
      <c r="J931" s="25" t="str">
        <f>'Técnico 7'!F6</f>
        <v>pç</v>
      </c>
      <c r="K931" s="26">
        <f>_xlfn.XLOOKUP($E931,PREÇO!$C$7:$C$91,PREÇO!$E$7:$E$91)</f>
        <v>65</v>
      </c>
      <c r="L931" s="66">
        <f>IF(SUM(F931:K931)=0,SUMIFS($L932:$L$1593,$B932:$B$1593,$B931,$A932:$A$1593,$A931),I931*K931)</f>
        <v>65</v>
      </c>
      <c r="N931"/>
      <c r="O931"/>
      <c r="P931" s="28"/>
      <c r="Q931" s="28"/>
      <c r="R931" s="28"/>
    </row>
    <row r="932" spans="1:18" outlineLevel="1">
      <c r="A932" s="24" t="str">
        <f t="shared" ref="A932:A962" si="257">A931</f>
        <v>GERAL</v>
      </c>
      <c r="B932" s="24" t="str">
        <f t="shared" ref="B932:B962" si="258">B931</f>
        <v>122º PAV. - ÁREA TÉCNICA 07</v>
      </c>
      <c r="C932" s="30" t="s">
        <v>221</v>
      </c>
      <c r="D932" s="30" t="str">
        <f>'Técnico 7'!C7</f>
        <v>Anunciadores</v>
      </c>
      <c r="E932" s="30" t="str">
        <f>'Técnico 7'!D7</f>
        <v>Anunciador Audiovisual de Alarme de Incêndio de Parede</v>
      </c>
      <c r="F932" s="30">
        <f>'Técnico 7'!E7</f>
        <v>1</v>
      </c>
      <c r="G932" s="25">
        <v>1</v>
      </c>
      <c r="H932" s="25">
        <v>0</v>
      </c>
      <c r="I932" s="25">
        <f t="shared" ref="I932:I958" si="259">(F932+H932*F932)*G932</f>
        <v>1</v>
      </c>
      <c r="J932" s="25" t="str">
        <f>'Técnico 7'!F7</f>
        <v>pç</v>
      </c>
      <c r="K932" s="26">
        <f>_xlfn.XLOOKUP($E932,PREÇO!$C$7:$C$91,PREÇO!$E$7:$E$91)</f>
        <v>191.81</v>
      </c>
      <c r="L932" s="66">
        <f>IF(SUM(F932:K932)=0,SUMIFS($L933:$L$1593,$B933:$B$1593,$B932,$A933:$A$1593,$A932),I932*K932)</f>
        <v>191.81</v>
      </c>
      <c r="N932"/>
      <c r="O932"/>
      <c r="P932" s="28"/>
      <c r="Q932" s="28"/>
      <c r="R932" s="28"/>
    </row>
    <row r="933" spans="1:18" outlineLevel="1">
      <c r="A933" s="24" t="str">
        <f t="shared" si="257"/>
        <v>GERAL</v>
      </c>
      <c r="B933" s="24" t="str">
        <f t="shared" si="258"/>
        <v>122º PAV. - ÁREA TÉCNICA 07</v>
      </c>
      <c r="C933" s="30" t="s">
        <v>221</v>
      </c>
      <c r="D933" s="30" t="str">
        <f>'Técnico 7'!C8</f>
        <v>Atuadores</v>
      </c>
      <c r="E933" s="30" t="str">
        <f>'Técnico 7'!D8</f>
        <v>Atuador Janela Desenfumagem</v>
      </c>
      <c r="F933" s="30">
        <f>'Técnico 7'!E8</f>
        <v>1</v>
      </c>
      <c r="G933" s="25">
        <v>1</v>
      </c>
      <c r="H933" s="25">
        <v>0</v>
      </c>
      <c r="I933" s="25">
        <f t="shared" si="259"/>
        <v>1</v>
      </c>
      <c r="J933" s="25" t="str">
        <f>'Técnico 7'!F8</f>
        <v>pç</v>
      </c>
      <c r="K933" s="26">
        <f>_xlfn.XLOOKUP($E933,PREÇO!$C$7:$C$91,PREÇO!$E$7:$E$91)</f>
        <v>1150</v>
      </c>
      <c r="L933" s="66">
        <f>IF(SUM(F933:K933)=0,SUMIFS($L934:$L$1593,$B934:$B$1593,$B933,$A934:$A$1593,$A933),I933*K933)</f>
        <v>1150</v>
      </c>
      <c r="N933"/>
      <c r="O933"/>
      <c r="P933" s="28"/>
      <c r="Q933" s="28"/>
      <c r="R933" s="28"/>
    </row>
    <row r="934" spans="1:18" outlineLevel="1">
      <c r="A934" s="24" t="str">
        <f t="shared" si="257"/>
        <v>GERAL</v>
      </c>
      <c r="B934" s="24" t="str">
        <f t="shared" si="258"/>
        <v>122º PAV. - ÁREA TÉCNICA 07</v>
      </c>
      <c r="C934" s="30" t="s">
        <v>221</v>
      </c>
      <c r="D934" s="30" t="str">
        <f>'Técnico 7'!C9</f>
        <v>Central de Alarme</v>
      </c>
      <c r="E934" s="30" t="str">
        <f>'Técnico 7'!D9</f>
        <v>Central de Alarme de Incêndio</v>
      </c>
      <c r="F934" s="30">
        <f>'Técnico 7'!E9</f>
        <v>1</v>
      </c>
      <c r="G934" s="25">
        <v>1</v>
      </c>
      <c r="H934" s="25">
        <v>0</v>
      </c>
      <c r="I934" s="25">
        <f t="shared" si="259"/>
        <v>1</v>
      </c>
      <c r="J934" s="25" t="str">
        <f>'Técnico 7'!F9</f>
        <v>pç</v>
      </c>
      <c r="K934" s="26">
        <f>_xlfn.XLOOKUP($E934,PREÇO!$C$7:$C$91,PREÇO!$E$7:$E$91)</f>
        <v>855.86</v>
      </c>
      <c r="L934" s="66">
        <f>IF(SUM(F934:K934)=0,SUMIFS($L935:$L$1593,$B935:$B$1593,$B934,$A935:$A$1593,$A934),I934*K934)</f>
        <v>855.86</v>
      </c>
      <c r="N934"/>
      <c r="O934"/>
      <c r="P934" s="28"/>
      <c r="Q934" s="28"/>
      <c r="R934" s="28"/>
    </row>
    <row r="935" spans="1:18" outlineLevel="1">
      <c r="A935" s="24" t="str">
        <f t="shared" si="257"/>
        <v>GERAL</v>
      </c>
      <c r="B935" s="24" t="str">
        <f t="shared" si="258"/>
        <v>122º PAV. - ÁREA TÉCNICA 07</v>
      </c>
      <c r="C935" s="30" t="s">
        <v>221</v>
      </c>
      <c r="D935" s="30" t="str">
        <f>'Técnico 7'!C10</f>
        <v>Sensores</v>
      </c>
      <c r="E935" s="30" t="str">
        <f>'Técnico 7'!D10</f>
        <v>Sensor de Fumaça</v>
      </c>
      <c r="F935" s="30">
        <f>'Técnico 7'!E10</f>
        <v>8</v>
      </c>
      <c r="G935" s="25">
        <v>1</v>
      </c>
      <c r="H935" s="25">
        <v>0</v>
      </c>
      <c r="I935" s="25">
        <f t="shared" si="259"/>
        <v>8</v>
      </c>
      <c r="J935" s="25" t="str">
        <f>'Técnico 7'!F10</f>
        <v>pç</v>
      </c>
      <c r="K935" s="26">
        <f>_xlfn.XLOOKUP($E935,PREÇO!$C$7:$C$91,PREÇO!$E$7:$E$91)</f>
        <v>53.9</v>
      </c>
      <c r="L935" s="66">
        <f>IF(SUM(F935:K935)=0,SUMIFS($L936:$L$1593,$B936:$B$1593,$B935,$A936:$A$1593,$A935),I935*K935)</f>
        <v>431.2</v>
      </c>
      <c r="N935"/>
      <c r="O935"/>
      <c r="P935" s="28"/>
      <c r="Q935" s="28"/>
      <c r="R935" s="28"/>
    </row>
    <row r="936" spans="1:18" outlineLevel="1">
      <c r="A936" s="24" t="str">
        <f t="shared" si="257"/>
        <v>GERAL</v>
      </c>
      <c r="B936" s="24" t="str">
        <f t="shared" si="258"/>
        <v>122º PAV. - ÁREA TÉCNICA 07</v>
      </c>
      <c r="C936" s="30" t="s">
        <v>221</v>
      </c>
      <c r="D936" s="30" t="str">
        <f>'Técnico 7'!C13</f>
        <v>Caixas</v>
      </c>
      <c r="E936" s="30" t="str">
        <f>'Técnico 7'!D13</f>
        <v>Caixa Octogonal Padrão NBR IEC 60670</v>
      </c>
      <c r="F936" s="30">
        <f>'Técnico 7'!E13</f>
        <v>31</v>
      </c>
      <c r="G936" s="25">
        <v>1</v>
      </c>
      <c r="H936" s="25">
        <v>0</v>
      </c>
      <c r="I936" s="25">
        <f t="shared" si="259"/>
        <v>31</v>
      </c>
      <c r="J936" s="25" t="str">
        <f>'Técnico 7'!F13</f>
        <v>pç</v>
      </c>
      <c r="K936" s="26">
        <f>_xlfn.XLOOKUP($E936,PREÇO!$C$7:$C$91,PREÇO!$E$7:$E$91)</f>
        <v>5.32</v>
      </c>
      <c r="L936" s="66">
        <f>IF(SUM(F936:K936)=0,SUMIFS($L937:$L$1593,$B937:$B$1593,$B936,$A937:$A$1593,$A936),I936*K936)</f>
        <v>164.92000000000002</v>
      </c>
      <c r="N936"/>
      <c r="O936"/>
      <c r="P936" s="28"/>
      <c r="Q936" s="28"/>
      <c r="R936" s="28"/>
    </row>
    <row r="937" spans="1:18" outlineLevel="1">
      <c r="A937" s="24" t="str">
        <f t="shared" si="257"/>
        <v>GERAL</v>
      </c>
      <c r="B937" s="24" t="str">
        <f t="shared" si="258"/>
        <v>122º PAV. - ÁREA TÉCNICA 07</v>
      </c>
      <c r="C937" s="30" t="s">
        <v>221</v>
      </c>
      <c r="D937" s="30" t="str">
        <f>'Técnico 7'!C16</f>
        <v>Caixas</v>
      </c>
      <c r="E937" s="30" t="str">
        <f>'Técnico 7'!D16</f>
        <v>Caixa 4x2" de Embutir em PVC Padrão NBR IEC 60670</v>
      </c>
      <c r="F937" s="30">
        <f>'Técnico 7'!E16</f>
        <v>11</v>
      </c>
      <c r="G937" s="25">
        <v>1</v>
      </c>
      <c r="H937" s="25">
        <v>0</v>
      </c>
      <c r="I937" s="25">
        <f t="shared" si="259"/>
        <v>11</v>
      </c>
      <c r="J937" s="25" t="str">
        <f>'Técnico 7'!F16</f>
        <v>pç</v>
      </c>
      <c r="K937" s="26">
        <f>_xlfn.XLOOKUP($E937,PREÇO!$C$7:$C$91,PREÇO!$E$7:$E$91)</f>
        <v>1.72</v>
      </c>
      <c r="L937" s="66">
        <f>IF(SUM(F937:K937)=0,SUMIFS($L938:$L$1593,$B938:$B$1593,$B937,$A938:$A$1593,$A937),I937*K937)</f>
        <v>18.919999999999998</v>
      </c>
      <c r="N937"/>
      <c r="O937"/>
      <c r="P937" s="28"/>
      <c r="Q937" s="28"/>
      <c r="R937" s="28"/>
    </row>
    <row r="938" spans="1:18" outlineLevel="1">
      <c r="A938" s="24" t="str">
        <f t="shared" si="257"/>
        <v>GERAL</v>
      </c>
      <c r="B938" s="24" t="str">
        <f t="shared" si="258"/>
        <v>122º PAV. - ÁREA TÉCNICA 07</v>
      </c>
      <c r="C938" s="30" t="s">
        <v>221</v>
      </c>
      <c r="D938" s="30" t="str">
        <f>'Técnico 7'!C17</f>
        <v>Caixas</v>
      </c>
      <c r="E938" s="30" t="str">
        <f>'Técnico 7'!D17</f>
        <v>Caixa 4x4" de Embutir em PVC Padrão NBR IEC 60670</v>
      </c>
      <c r="F938" s="30">
        <f>'Técnico 7'!E17</f>
        <v>7</v>
      </c>
      <c r="G938" s="25">
        <v>1</v>
      </c>
      <c r="H938" s="25">
        <v>0</v>
      </c>
      <c r="I938" s="25">
        <f t="shared" si="259"/>
        <v>7</v>
      </c>
      <c r="J938" s="25" t="str">
        <f>'Técnico 7'!F17</f>
        <v>pç</v>
      </c>
      <c r="K938" s="26">
        <f>_xlfn.XLOOKUP($E938,PREÇO!$C$7:$C$91,PREÇO!$E$7:$E$91)</f>
        <v>1.72</v>
      </c>
      <c r="L938" s="66">
        <f>IF(SUM(F938:K938)=0,SUMIFS($L939:$L$1593,$B939:$B$1593,$B938,$A939:$A$1593,$A938),I938*K938)</f>
        <v>12.04</v>
      </c>
      <c r="N938"/>
      <c r="O938"/>
      <c r="P938" s="28"/>
      <c r="Q938" s="28"/>
      <c r="R938" s="28"/>
    </row>
    <row r="939" spans="1:18" outlineLevel="1">
      <c r="A939" s="24" t="str">
        <f t="shared" si="257"/>
        <v>GERAL</v>
      </c>
      <c r="B939" s="24" t="str">
        <f t="shared" si="258"/>
        <v>122º PAV. - ÁREA TÉCNICA 07</v>
      </c>
      <c r="C939" s="30" t="s">
        <v>221</v>
      </c>
      <c r="D939" s="30" t="str">
        <f>'Técnico 7'!C18</f>
        <v>Placas</v>
      </c>
      <c r="E939" s="30" t="str">
        <f>'Técnico 7'!D18</f>
        <v>Placa 4x2" cega Padrão NBR IEC 60670</v>
      </c>
      <c r="F939" s="30">
        <f>'Técnico 7'!E18</f>
        <v>5</v>
      </c>
      <c r="G939" s="25">
        <v>1</v>
      </c>
      <c r="H939" s="25">
        <v>0</v>
      </c>
      <c r="I939" s="25">
        <f t="shared" si="259"/>
        <v>5</v>
      </c>
      <c r="J939" s="25" t="str">
        <f>'Técnico 7'!F18</f>
        <v>pç</v>
      </c>
      <c r="K939" s="26">
        <f>_xlfn.XLOOKUP($E939,PREÇO!$C$7:$C$91,PREÇO!$E$7:$E$91)</f>
        <v>4.59</v>
      </c>
      <c r="L939" s="66">
        <f>IF(SUM(F939:K939)=0,SUMIFS($L940:$L$1593,$B940:$B$1593,$B939,$A940:$A$1593,$A939),I939*K939)</f>
        <v>22.95</v>
      </c>
      <c r="N939"/>
      <c r="O939"/>
      <c r="P939" s="28"/>
      <c r="Q939" s="28"/>
      <c r="R939" s="28"/>
    </row>
    <row r="940" spans="1:18" outlineLevel="1">
      <c r="A940" s="24" t="str">
        <f t="shared" si="257"/>
        <v>GERAL</v>
      </c>
      <c r="B940" s="24" t="str">
        <f t="shared" si="258"/>
        <v>122º PAV. - ÁREA TÉCNICA 07</v>
      </c>
      <c r="C940" s="30" t="s">
        <v>221</v>
      </c>
      <c r="D940" s="30" t="str">
        <f>'Técnico 7'!C19</f>
        <v>Placas</v>
      </c>
      <c r="E940" s="30" t="str">
        <f>'Técnico 7'!D19</f>
        <v>Placa 4x2" com furo para saída de cabos Padrão NBR IEC 60670</v>
      </c>
      <c r="F940" s="30">
        <f>'Técnico 7'!E19</f>
        <v>6</v>
      </c>
      <c r="G940" s="25">
        <v>1</v>
      </c>
      <c r="H940" s="25">
        <v>0</v>
      </c>
      <c r="I940" s="25">
        <f t="shared" si="259"/>
        <v>6</v>
      </c>
      <c r="J940" s="25" t="str">
        <f>'Técnico 7'!F19</f>
        <v>pç</v>
      </c>
      <c r="K940" s="26">
        <f>_xlfn.XLOOKUP($E940,PREÇO!$C$7:$C$91,PREÇO!$E$7:$E$91)</f>
        <v>6.55</v>
      </c>
      <c r="L940" s="66">
        <f>IF(SUM(F940:K940)=0,SUMIFS($L941:$L$1593,$B941:$B$1593,$B940,$A941:$A$1593,$A940),I940*K940)</f>
        <v>39.299999999999997</v>
      </c>
      <c r="N940"/>
      <c r="O940"/>
      <c r="P940" s="28"/>
      <c r="Q940" s="28"/>
      <c r="R940" s="28"/>
    </row>
    <row r="941" spans="1:18" outlineLevel="1">
      <c r="A941" s="24" t="str">
        <f t="shared" si="257"/>
        <v>GERAL</v>
      </c>
      <c r="B941" s="24" t="str">
        <f t="shared" si="258"/>
        <v>122º PAV. - ÁREA TÉCNICA 07</v>
      </c>
      <c r="C941" s="30" t="s">
        <v>221</v>
      </c>
      <c r="D941" s="30" t="str">
        <f>'Técnico 7'!C20</f>
        <v>Placas</v>
      </c>
      <c r="E941" s="30" t="str">
        <f>'Técnico 7'!D20</f>
        <v>Placa 4x4" cega Padrão NBR IEC 60670</v>
      </c>
      <c r="F941" s="30">
        <f>'Técnico 7'!E20</f>
        <v>7</v>
      </c>
      <c r="G941" s="25">
        <v>1</v>
      </c>
      <c r="H941" s="25">
        <v>0</v>
      </c>
      <c r="I941" s="25">
        <f t="shared" si="259"/>
        <v>7</v>
      </c>
      <c r="J941" s="25" t="str">
        <f>'Técnico 7'!F20</f>
        <v>pç</v>
      </c>
      <c r="K941" s="26">
        <f>_xlfn.XLOOKUP($E941,PREÇO!$C$7:$C$91,PREÇO!$E$7:$E$91)</f>
        <v>12.25</v>
      </c>
      <c r="L941" s="66">
        <f>IF(SUM(F941:K941)=0,SUMIFS($L942:$L$1593,$B942:$B$1593,$B941,$A942:$A$1593,$A941),I941*K941)</f>
        <v>85.75</v>
      </c>
      <c r="N941"/>
      <c r="O941"/>
      <c r="P941" s="28"/>
      <c r="Q941" s="28"/>
      <c r="R941" s="28"/>
    </row>
    <row r="942" spans="1:18" outlineLevel="1">
      <c r="A942" s="24" t="str">
        <f t="shared" si="257"/>
        <v>GERAL</v>
      </c>
      <c r="B942" s="24" t="str">
        <f t="shared" si="258"/>
        <v>122º PAV. - ÁREA TÉCNICA 07</v>
      </c>
      <c r="C942" s="30" t="s">
        <v>221</v>
      </c>
      <c r="D942" s="30" t="str">
        <f>'Técnico 7'!C21</f>
        <v>Suportes</v>
      </c>
      <c r="E942" s="30" t="str">
        <f>'Técnico 7'!D21</f>
        <v>Suporte p/ caixa 4x2" Padrão NBR IEC 60670</v>
      </c>
      <c r="F942" s="30">
        <f>'Técnico 7'!E21</f>
        <v>11</v>
      </c>
      <c r="G942" s="25">
        <v>1</v>
      </c>
      <c r="H942" s="25">
        <v>0</v>
      </c>
      <c r="I942" s="25">
        <f t="shared" si="259"/>
        <v>11</v>
      </c>
      <c r="J942" s="25" t="str">
        <f>'Técnico 7'!F21</f>
        <v>pç</v>
      </c>
      <c r="K942" s="26">
        <f>_xlfn.XLOOKUP($E942,PREÇO!$C$7:$C$91,PREÇO!$E$7:$E$91)</f>
        <v>1.85</v>
      </c>
      <c r="L942" s="66">
        <f>IF(SUM(F942:K942)=0,SUMIFS($L943:$L$1593,$B943:$B$1593,$B942,$A943:$A$1593,$A942),I942*K942)</f>
        <v>20.350000000000001</v>
      </c>
      <c r="N942"/>
      <c r="O942"/>
      <c r="P942" s="28"/>
      <c r="Q942" s="28"/>
      <c r="R942" s="28"/>
    </row>
    <row r="943" spans="1:18" outlineLevel="1">
      <c r="A943" s="24" t="str">
        <f t="shared" si="257"/>
        <v>GERAL</v>
      </c>
      <c r="B943" s="24" t="str">
        <f t="shared" si="258"/>
        <v>122º PAV. - ÁREA TÉCNICA 07</v>
      </c>
      <c r="C943" s="30" t="s">
        <v>221</v>
      </c>
      <c r="D943" s="30" t="str">
        <f>'Técnico 7'!C22</f>
        <v>Suportes</v>
      </c>
      <c r="E943" s="30" t="str">
        <f>'Técnico 7'!D22</f>
        <v>Suporte p/ caixa 4x4" Padrão NBR IEC 60670</v>
      </c>
      <c r="F943" s="30">
        <f>'Técnico 7'!E22</f>
        <v>7</v>
      </c>
      <c r="G943" s="25">
        <v>1</v>
      </c>
      <c r="H943" s="25">
        <v>0</v>
      </c>
      <c r="I943" s="25">
        <f t="shared" si="259"/>
        <v>7</v>
      </c>
      <c r="J943" s="25" t="str">
        <f>'Técnico 7'!F22</f>
        <v>pç</v>
      </c>
      <c r="K943" s="26">
        <f>_xlfn.XLOOKUP($E943,PREÇO!$C$7:$C$91,PREÇO!$E$7:$E$91)</f>
        <v>3.15</v>
      </c>
      <c r="L943" s="66">
        <f>IF(SUM(F943:K943)=0,SUMIFS($L944:$L$1593,$B944:$B$1593,$B943,$A944:$A$1593,$A943),I943*K943)</f>
        <v>22.05</v>
      </c>
      <c r="N943"/>
      <c r="O943"/>
      <c r="P943" s="28"/>
      <c r="Q943" s="28"/>
      <c r="R943" s="28"/>
    </row>
    <row r="944" spans="1:18" outlineLevel="1">
      <c r="A944" s="24" t="str">
        <f t="shared" si="257"/>
        <v>GERAL</v>
      </c>
      <c r="B944" s="24" t="str">
        <f t="shared" si="258"/>
        <v>122º PAV. - ÁREA TÉCNICA 07</v>
      </c>
      <c r="C944" s="30" t="s">
        <v>221</v>
      </c>
      <c r="D944" s="30" t="str">
        <f>'Técnico 7'!C25</f>
        <v>Embutir</v>
      </c>
      <c r="E944" s="30" t="str">
        <f>'Técnico 7'!D25</f>
        <v>Cx de passagem de embutir com dimensão de 50x50x15 cm</v>
      </c>
      <c r="F944" s="30">
        <f>'Técnico 7'!E25</f>
        <v>1</v>
      </c>
      <c r="G944" s="25">
        <v>1</v>
      </c>
      <c r="H944" s="25">
        <v>0</v>
      </c>
      <c r="I944" s="25">
        <f t="shared" si="259"/>
        <v>1</v>
      </c>
      <c r="J944" s="25" t="str">
        <f>'Técnico 7'!F25</f>
        <v>pç</v>
      </c>
      <c r="K944" s="26">
        <f>_xlfn.XLOOKUP($E944,PREÇO!$C$7:$C$91,PREÇO!$E$7:$E$91)</f>
        <v>291.60000000000002</v>
      </c>
      <c r="L944" s="66">
        <f>IF(SUM(F944:K944)=0,SUMIFS($L945:$L$1593,$B945:$B$1593,$B944,$A945:$A$1593,$A944),I944*K944)</f>
        <v>291.60000000000002</v>
      </c>
      <c r="N944"/>
      <c r="O944"/>
      <c r="P944" s="28"/>
      <c r="Q944" s="28"/>
      <c r="R944" s="28"/>
    </row>
    <row r="945" spans="1:18" outlineLevel="1">
      <c r="A945" s="24" t="str">
        <f t="shared" si="257"/>
        <v>GERAL</v>
      </c>
      <c r="B945" s="24" t="str">
        <f t="shared" si="258"/>
        <v>122º PAV. - ÁREA TÉCNICA 07</v>
      </c>
      <c r="C945" s="30" t="s">
        <v>221</v>
      </c>
      <c r="D945" s="83" t="s">
        <v>46</v>
      </c>
      <c r="E945" s="30" t="s">
        <v>44</v>
      </c>
      <c r="F945" s="30">
        <f>'Técnico 7'!E28</f>
        <v>30.17</v>
      </c>
      <c r="G945" s="25">
        <v>1</v>
      </c>
      <c r="H945" s="25">
        <v>0</v>
      </c>
      <c r="I945" s="25">
        <f t="shared" si="259"/>
        <v>30.17</v>
      </c>
      <c r="J945" s="25" t="str">
        <f>'Técnico 7'!F28</f>
        <v>m</v>
      </c>
      <c r="K945" s="26">
        <f>_xlfn.XLOOKUP($E945,PREÇO!$C$7:$C$91,PREÇO!$E$7:$E$91)</f>
        <v>2.5299999999999998</v>
      </c>
      <c r="L945" s="66">
        <f>IF(SUM(F945:K945)=0,SUMIFS($L946:$L$1593,$B946:$B$1593,$B945,$A946:$A$1593,$A945),I945*K945)</f>
        <v>76.330100000000002</v>
      </c>
      <c r="N945"/>
      <c r="O945"/>
      <c r="P945" s="28"/>
      <c r="Q945" s="28"/>
      <c r="R945" s="28"/>
    </row>
    <row r="946" spans="1:18" outlineLevel="1">
      <c r="A946" s="24" t="str">
        <f t="shared" si="257"/>
        <v>GERAL</v>
      </c>
      <c r="B946" s="24" t="str">
        <f t="shared" si="258"/>
        <v>122º PAV. - ÁREA TÉCNICA 07</v>
      </c>
      <c r="C946" s="30" t="s">
        <v>221</v>
      </c>
      <c r="D946" s="83" t="s">
        <v>46</v>
      </c>
      <c r="E946" s="30" t="s">
        <v>45</v>
      </c>
      <c r="F946" s="30">
        <f>'Técnico 7'!E29</f>
        <v>119.47</v>
      </c>
      <c r="G946" s="25">
        <v>1</v>
      </c>
      <c r="H946" s="25">
        <v>0</v>
      </c>
      <c r="I946" s="25">
        <f t="shared" si="259"/>
        <v>119.47</v>
      </c>
      <c r="J946" s="25" t="str">
        <f>'Técnico 7'!F29</f>
        <v>m</v>
      </c>
      <c r="K946" s="26">
        <f>_xlfn.XLOOKUP($E946,PREÇO!$C$7:$C$91,PREÇO!$E$7:$E$91)</f>
        <v>1.8</v>
      </c>
      <c r="L946" s="66">
        <f>IF(SUM(F946:K946)=0,SUMIFS($L947:$L$1593,$B947:$B$1593,$B946,$A947:$A$1593,$A946),I946*K946)</f>
        <v>215.04599999999999</v>
      </c>
      <c r="N946"/>
      <c r="O946"/>
      <c r="P946" s="28"/>
      <c r="Q946" s="28"/>
      <c r="R946" s="28"/>
    </row>
    <row r="947" spans="1:18" outlineLevel="1">
      <c r="A947" s="24" t="str">
        <f t="shared" si="257"/>
        <v>GERAL</v>
      </c>
      <c r="B947" s="24" t="str">
        <f t="shared" si="258"/>
        <v>122º PAV. - ÁREA TÉCNICA 07</v>
      </c>
      <c r="C947" s="30" t="s">
        <v>220</v>
      </c>
      <c r="D947" s="30" t="str">
        <f>'Técnico 7'!C32</f>
        <v>Luminárias e Placas de Saída</v>
      </c>
      <c r="E947" s="30" t="str">
        <f>'Técnico 7'!D32</f>
        <v>Luminária de Emergência 24V de Parede</v>
      </c>
      <c r="F947" s="30">
        <f>'Técnico 7'!E32</f>
        <v>5</v>
      </c>
      <c r="G947" s="25">
        <v>1</v>
      </c>
      <c r="H947" s="25">
        <v>0</v>
      </c>
      <c r="I947" s="25">
        <f t="shared" si="259"/>
        <v>5</v>
      </c>
      <c r="J947" s="25" t="str">
        <f>'Técnico 7'!F32</f>
        <v>pç</v>
      </c>
      <c r="K947" s="26">
        <f>_xlfn.XLOOKUP($E947,PREÇO!$C$7:$C$91,PREÇO!$E$7:$E$91)</f>
        <v>15.9</v>
      </c>
      <c r="L947" s="66">
        <f>IF(SUM(F947:K947)=0,SUMIFS($L948:$L$1593,$B948:$B$1593,$B947,$A948:$A$1593,$A947),I947*K947)</f>
        <v>79.5</v>
      </c>
      <c r="N947"/>
      <c r="O947"/>
      <c r="P947" s="28"/>
      <c r="Q947" s="28"/>
      <c r="R947" s="28"/>
    </row>
    <row r="948" spans="1:18" outlineLevel="1">
      <c r="A948" s="24" t="str">
        <f t="shared" si="257"/>
        <v>GERAL</v>
      </c>
      <c r="B948" s="24" t="str">
        <f t="shared" si="258"/>
        <v>122º PAV. - ÁREA TÉCNICA 07</v>
      </c>
      <c r="C948" s="30" t="s">
        <v>220</v>
      </c>
      <c r="D948" s="30" t="str">
        <f>'Técnico 7'!C33</f>
        <v>Luminárias e Placas de Saída</v>
      </c>
      <c r="E948" s="30" t="str">
        <f>'Técnico 7'!D33</f>
        <v>Luminária de Emergência 24V de Teto</v>
      </c>
      <c r="F948" s="30">
        <f>'Técnico 7'!E33</f>
        <v>17</v>
      </c>
      <c r="G948" s="25">
        <v>1</v>
      </c>
      <c r="H948" s="25">
        <v>0</v>
      </c>
      <c r="I948" s="25">
        <f t="shared" si="259"/>
        <v>17</v>
      </c>
      <c r="J948" s="25" t="str">
        <f>'Técnico 7'!F33</f>
        <v>pç</v>
      </c>
      <c r="K948" s="26">
        <f>_xlfn.XLOOKUP($E948,PREÇO!$C$7:$C$91,PREÇO!$E$7:$E$91)</f>
        <v>69.900000000000006</v>
      </c>
      <c r="L948" s="66">
        <f>IF(SUM(F948:K948)=0,SUMIFS($L949:$L$1593,$B949:$B$1593,$B948,$A949:$A$1593,$A948),I948*K948)</f>
        <v>1188.3000000000002</v>
      </c>
      <c r="N948"/>
      <c r="O948"/>
      <c r="P948" s="28"/>
      <c r="Q948" s="28"/>
      <c r="R948" s="28"/>
    </row>
    <row r="949" spans="1:18" outlineLevel="1">
      <c r="A949" s="24" t="str">
        <f t="shared" si="257"/>
        <v>GERAL</v>
      </c>
      <c r="B949" s="24" t="str">
        <f t="shared" si="258"/>
        <v>122º PAV. - ÁREA TÉCNICA 07</v>
      </c>
      <c r="C949" s="24" t="s">
        <v>222</v>
      </c>
      <c r="D949" s="30" t="str">
        <f>'Técnico 7'!C34</f>
        <v>Luminárias e Placas de Saída</v>
      </c>
      <c r="E949" s="30" t="str">
        <f>'Técnico 7'!D34</f>
        <v>Placa de Saída 24V de Parede sem Direção</v>
      </c>
      <c r="F949" s="30">
        <f>'Técnico 7'!E34</f>
        <v>3</v>
      </c>
      <c r="G949" s="25">
        <v>1</v>
      </c>
      <c r="H949" s="25">
        <v>0</v>
      </c>
      <c r="I949" s="25">
        <f t="shared" si="259"/>
        <v>3</v>
      </c>
      <c r="J949" s="25" t="str">
        <f>'Técnico 7'!F34</f>
        <v>pç</v>
      </c>
      <c r="K949" s="26">
        <f>_xlfn.XLOOKUP($E949,PREÇO!$C$7:$C$91,PREÇO!$E$7:$E$91)</f>
        <v>61.66</v>
      </c>
      <c r="L949" s="66">
        <f>IF(SUM(F949:K949)=0,SUMIFS($L951:$L$1593,$B951:$B$1593,$B949,$A951:$A$1593,$A949),I949*K949)</f>
        <v>184.98</v>
      </c>
      <c r="N949"/>
      <c r="O949"/>
      <c r="P949" s="28"/>
      <c r="Q949" s="28"/>
      <c r="R949" s="28"/>
    </row>
    <row r="950" spans="1:18" outlineLevel="1">
      <c r="A950" s="116" t="str">
        <f>A948</f>
        <v>GERAL</v>
      </c>
      <c r="B950" s="116" t="str">
        <f>B949</f>
        <v>122º PAV. - ÁREA TÉCNICA 07</v>
      </c>
      <c r="C950" s="116" t="s">
        <v>222</v>
      </c>
      <c r="D950" s="116" t="s">
        <v>223</v>
      </c>
      <c r="E950" s="116" t="s">
        <v>224</v>
      </c>
      <c r="F950" s="117">
        <v>4</v>
      </c>
      <c r="G950" s="117">
        <f>G949</f>
        <v>1</v>
      </c>
      <c r="H950" s="118">
        <v>0</v>
      </c>
      <c r="I950" s="117">
        <f t="shared" si="259"/>
        <v>4</v>
      </c>
      <c r="J950" s="117" t="s">
        <v>11</v>
      </c>
      <c r="K950" s="119">
        <f>_xlfn.XLOOKUP($E950,PREÇO!$C$7:$C$91,PREÇO!$E$7:$E$91)</f>
        <v>646.55999999999995</v>
      </c>
      <c r="L950" s="120">
        <f>IF(SUM(F950:K950)=0,SUMIFS($L951:$L$1593,$B951:$B$1593,$B950,$A951:$A$1593,$A950),I950*K950)</f>
        <v>2586.2399999999998</v>
      </c>
      <c r="N950"/>
      <c r="O950"/>
      <c r="P950" s="28"/>
      <c r="Q950" s="28"/>
      <c r="R950" s="28"/>
    </row>
    <row r="951" spans="1:18" outlineLevel="1">
      <c r="A951" s="24" t="str">
        <f>A949</f>
        <v>GERAL</v>
      </c>
      <c r="B951" s="24" t="str">
        <f>B949</f>
        <v>122º PAV. - ÁREA TÉCNICA 07</v>
      </c>
      <c r="C951" s="30" t="s">
        <v>220</v>
      </c>
      <c r="D951" s="30" t="str">
        <f>'Técnico 7'!C35</f>
        <v>Sensores de Presença</v>
      </c>
      <c r="E951" s="30" t="str">
        <f>'Técnico 7'!D35</f>
        <v>Sensor de Presença 24V de teto</v>
      </c>
      <c r="F951" s="30">
        <f>'Técnico 7'!E35</f>
        <v>6</v>
      </c>
      <c r="G951" s="25">
        <v>1</v>
      </c>
      <c r="H951" s="25">
        <v>0</v>
      </c>
      <c r="I951" s="25">
        <f t="shared" si="259"/>
        <v>6</v>
      </c>
      <c r="J951" s="25" t="str">
        <f>'Técnico 7'!F35</f>
        <v>pç</v>
      </c>
      <c r="K951" s="26">
        <f>_xlfn.XLOOKUP($E951,PREÇO!$C$7:$C$91,PREÇO!$E$7:$E$91)</f>
        <v>38.4</v>
      </c>
      <c r="L951" s="66">
        <f>IF(SUM(F951:K951)=0,SUMIFS($L952:$L$1593,$B952:$B$1593,$B951,$A952:$A$1593,$A951),I951*K951)</f>
        <v>230.39999999999998</v>
      </c>
      <c r="N951"/>
      <c r="O951"/>
      <c r="P951" s="28"/>
      <c r="Q951" s="28"/>
      <c r="R951" s="28"/>
    </row>
    <row r="952" spans="1:18" outlineLevel="1">
      <c r="A952" s="24" t="str">
        <f t="shared" si="257"/>
        <v>GERAL</v>
      </c>
      <c r="B952" s="24" t="str">
        <f t="shared" si="258"/>
        <v>122º PAV. - ÁREA TÉCNICA 07</v>
      </c>
      <c r="C952" s="30" t="s">
        <v>221</v>
      </c>
      <c r="D952" s="83" t="s">
        <v>147</v>
      </c>
      <c r="E952" s="30" t="s">
        <v>189</v>
      </c>
      <c r="F952" s="30">
        <f>'Técnico 7'!E38</f>
        <v>7</v>
      </c>
      <c r="G952" s="25">
        <v>1</v>
      </c>
      <c r="H952" s="25">
        <v>0</v>
      </c>
      <c r="I952" s="25">
        <f t="shared" si="259"/>
        <v>7</v>
      </c>
      <c r="J952" s="25" t="str">
        <f>'Técnico 7'!F38</f>
        <v>pç</v>
      </c>
      <c r="K952" s="26">
        <f>_xlfn.XLOOKUP($E952,PREÇO!$C$7:$C$91,PREÇO!$E$7:$E$91)</f>
        <v>228.19</v>
      </c>
      <c r="L952" s="66">
        <f>IF(SUM(F952:K952)=0,SUMIFS($L953:$L$1593,$B953:$B$1593,$B952,$A953:$A$1593,$A952),I952*K952)</f>
        <v>1597.33</v>
      </c>
      <c r="N952"/>
      <c r="O952"/>
      <c r="P952" s="28"/>
      <c r="Q952" s="28"/>
      <c r="R952" s="28"/>
    </row>
    <row r="953" spans="1:18" outlineLevel="1">
      <c r="A953" s="24" t="str">
        <f t="shared" si="257"/>
        <v>GERAL</v>
      </c>
      <c r="B953" s="24" t="str">
        <f t="shared" si="258"/>
        <v>122º PAV. - ÁREA TÉCNICA 07</v>
      </c>
      <c r="C953" s="30" t="s">
        <v>221</v>
      </c>
      <c r="D953" s="83" t="s">
        <v>87</v>
      </c>
      <c r="E953" s="30" t="s">
        <v>179</v>
      </c>
      <c r="F953" s="30">
        <f>'Técnico 7'!E41</f>
        <v>98.94</v>
      </c>
      <c r="G953" s="25">
        <v>1</v>
      </c>
      <c r="H953" s="25">
        <v>0</v>
      </c>
      <c r="I953" s="25">
        <f t="shared" si="259"/>
        <v>98.94</v>
      </c>
      <c r="J953" s="25" t="str">
        <f>'Técnico 7'!F41</f>
        <v>m</v>
      </c>
      <c r="K953" s="26">
        <f>_xlfn.XLOOKUP($E953,PREÇO!$C$7:$C$91,PREÇO!$E$7:$E$91)</f>
        <v>1.59</v>
      </c>
      <c r="L953" s="66">
        <f>IF(SUM(F953:K953)=0,SUMIFS($L954:$L$1593,$B954:$B$1593,$B953,$A954:$A$1593,$A953),I953*K953)</f>
        <v>157.31460000000001</v>
      </c>
      <c r="N953"/>
      <c r="O953"/>
      <c r="P953" s="28"/>
      <c r="Q953" s="28"/>
      <c r="R953" s="28"/>
    </row>
    <row r="954" spans="1:18" outlineLevel="1">
      <c r="A954" s="24" t="str">
        <f t="shared" si="257"/>
        <v>GERAL</v>
      </c>
      <c r="B954" s="24" t="str">
        <f t="shared" si="258"/>
        <v>122º PAV. - ÁREA TÉCNICA 07</v>
      </c>
      <c r="C954" s="30" t="s">
        <v>221</v>
      </c>
      <c r="D954" s="83" t="s">
        <v>87</v>
      </c>
      <c r="E954" s="30" t="s">
        <v>180</v>
      </c>
      <c r="F954" s="30">
        <f>'Técnico 7'!E42</f>
        <v>77.680000000000007</v>
      </c>
      <c r="G954" s="25">
        <v>1</v>
      </c>
      <c r="H954" s="25">
        <v>0</v>
      </c>
      <c r="I954" s="25">
        <f t="shared" si="259"/>
        <v>77.680000000000007</v>
      </c>
      <c r="J954" s="25" t="str">
        <f>'Técnico 7'!F42</f>
        <v>m</v>
      </c>
      <c r="K954" s="26">
        <f>_xlfn.XLOOKUP($E954,PREÇO!$C$7:$C$91,PREÇO!$E$7:$E$91)</f>
        <v>1.59</v>
      </c>
      <c r="L954" s="66">
        <f>IF(SUM(F954:K954)=0,SUMIFS($L955:$L$1593,$B955:$B$1593,$B954,$A955:$A$1593,$A954),I954*K954)</f>
        <v>123.51120000000002</v>
      </c>
      <c r="N954"/>
      <c r="O954"/>
      <c r="P954" s="28"/>
      <c r="Q954" s="28"/>
      <c r="R954" s="28"/>
    </row>
    <row r="955" spans="1:18" outlineLevel="1">
      <c r="A955" s="24" t="str">
        <f t="shared" si="257"/>
        <v>GERAL</v>
      </c>
      <c r="B955" s="24" t="str">
        <f t="shared" si="258"/>
        <v>122º PAV. - ÁREA TÉCNICA 07</v>
      </c>
      <c r="C955" s="30" t="s">
        <v>221</v>
      </c>
      <c r="D955" s="83" t="s">
        <v>87</v>
      </c>
      <c r="E955" s="30" t="s">
        <v>181</v>
      </c>
      <c r="F955" s="30">
        <f>'Técnico 7'!E43</f>
        <v>77.680000000000007</v>
      </c>
      <c r="G955" s="25">
        <v>1</v>
      </c>
      <c r="H955" s="25">
        <v>0</v>
      </c>
      <c r="I955" s="25">
        <f t="shared" si="259"/>
        <v>77.680000000000007</v>
      </c>
      <c r="J955" s="25" t="str">
        <f>'Técnico 7'!F43</f>
        <v>m</v>
      </c>
      <c r="K955" s="26">
        <f>_xlfn.XLOOKUP($E955,PREÇO!$C$7:$C$91,PREÇO!$E$7:$E$91)</f>
        <v>1.59</v>
      </c>
      <c r="L955" s="66">
        <f>IF(SUM(F955:K955)=0,SUMIFS($L956:$L$1593,$B956:$B$1593,$B955,$A956:$A$1593,$A955),I955*K955)</f>
        <v>123.51120000000002</v>
      </c>
      <c r="N955"/>
      <c r="O955"/>
      <c r="P955" s="28"/>
      <c r="Q955" s="28"/>
      <c r="R955" s="28"/>
    </row>
    <row r="956" spans="1:18" outlineLevel="1">
      <c r="A956" s="24" t="str">
        <f t="shared" si="257"/>
        <v>GERAL</v>
      </c>
      <c r="B956" s="24" t="str">
        <f t="shared" si="258"/>
        <v>122º PAV. - ÁREA TÉCNICA 07</v>
      </c>
      <c r="C956" s="30" t="s">
        <v>221</v>
      </c>
      <c r="D956" s="83" t="s">
        <v>87</v>
      </c>
      <c r="E956" s="30" t="s">
        <v>182</v>
      </c>
      <c r="F956" s="30">
        <f>'Técnico 7'!E44</f>
        <v>19</v>
      </c>
      <c r="G956" s="25">
        <v>1</v>
      </c>
      <c r="H956" s="25">
        <v>0</v>
      </c>
      <c r="I956" s="25">
        <f t="shared" si="259"/>
        <v>19</v>
      </c>
      <c r="J956" s="25" t="str">
        <f>'Técnico 7'!F44</f>
        <v>m</v>
      </c>
      <c r="K956" s="26">
        <f>_xlfn.XLOOKUP($E956,PREÇO!$C$7:$C$91,PREÇO!$E$7:$E$91)</f>
        <v>2.19</v>
      </c>
      <c r="L956" s="66">
        <f>IF(SUM(F956:K956)=0,SUMIFS($L957:$L$1593,$B957:$B$1593,$B956,$A957:$A$1593,$A956),I956*K956)</f>
        <v>41.61</v>
      </c>
      <c r="N956"/>
      <c r="O956"/>
      <c r="P956" s="28"/>
      <c r="Q956" s="28"/>
      <c r="R956" s="28"/>
    </row>
    <row r="957" spans="1:18" outlineLevel="1">
      <c r="A957" s="24" t="str">
        <f t="shared" si="257"/>
        <v>GERAL</v>
      </c>
      <c r="B957" s="24" t="str">
        <f t="shared" si="258"/>
        <v>122º PAV. - ÁREA TÉCNICA 07</v>
      </c>
      <c r="C957" s="30" t="s">
        <v>221</v>
      </c>
      <c r="D957" s="83" t="s">
        <v>87</v>
      </c>
      <c r="E957" s="30" t="s">
        <v>183</v>
      </c>
      <c r="F957" s="30">
        <f>'Técnico 7'!E45</f>
        <v>301.75</v>
      </c>
      <c r="G957" s="25">
        <v>1</v>
      </c>
      <c r="H957" s="25">
        <v>0</v>
      </c>
      <c r="I957" s="25">
        <f t="shared" si="259"/>
        <v>301.75</v>
      </c>
      <c r="J957" s="25" t="str">
        <f>'Técnico 7'!F45</f>
        <v>m</v>
      </c>
      <c r="K957" s="26">
        <f>_xlfn.XLOOKUP($E957,PREÇO!$C$7:$C$91,PREÇO!$E$7:$E$91)</f>
        <v>2.19</v>
      </c>
      <c r="L957" s="66">
        <f>IF(SUM(F957:K957)=0,SUMIFS($L958:$L$1593,$B958:$B$1593,$B957,$A958:$A$1593,$A957),I957*K957)</f>
        <v>660.83249999999998</v>
      </c>
      <c r="N957"/>
      <c r="O957"/>
      <c r="P957" s="28"/>
      <c r="Q957" s="28"/>
      <c r="R957" s="28"/>
    </row>
    <row r="958" spans="1:18" outlineLevel="1">
      <c r="A958" s="24" t="str">
        <f t="shared" si="257"/>
        <v>GERAL</v>
      </c>
      <c r="B958" s="24" t="str">
        <f t="shared" si="258"/>
        <v>122º PAV. - ÁREA TÉCNICA 07</v>
      </c>
      <c r="C958" s="30" t="s">
        <v>221</v>
      </c>
      <c r="D958" s="83" t="s">
        <v>87</v>
      </c>
      <c r="E958" s="30" t="s">
        <v>184</v>
      </c>
      <c r="F958" s="30">
        <f>'Técnico 7'!E46</f>
        <v>301.75</v>
      </c>
      <c r="G958" s="25">
        <v>1</v>
      </c>
      <c r="H958" s="25">
        <v>0</v>
      </c>
      <c r="I958" s="25">
        <f t="shared" si="259"/>
        <v>301.75</v>
      </c>
      <c r="J958" s="25" t="str">
        <f>'Técnico 7'!F46</f>
        <v>m</v>
      </c>
      <c r="K958" s="26">
        <f>_xlfn.XLOOKUP($E958,PREÇO!$C$7:$C$91,PREÇO!$E$7:$E$91)</f>
        <v>2.19</v>
      </c>
      <c r="L958" s="66">
        <f>IF(SUM(F958:K958)=0,SUMIFS($L959:$L$1593,$B959:$B$1593,$B958,$A959:$A$1593,$A958),I958*K958)</f>
        <v>660.83249999999998</v>
      </c>
      <c r="N958"/>
      <c r="O958"/>
      <c r="P958" s="28"/>
      <c r="Q958" s="28"/>
      <c r="R958" s="28"/>
    </row>
    <row r="959" spans="1:18" outlineLevel="1">
      <c r="A959" s="24" t="str">
        <f t="shared" si="257"/>
        <v>GERAL</v>
      </c>
      <c r="B959" s="24" t="str">
        <f t="shared" si="258"/>
        <v>122º PAV. - ÁREA TÉCNICA 07</v>
      </c>
      <c r="C959" s="30" t="s">
        <v>221</v>
      </c>
      <c r="D959" s="83" t="s">
        <v>46</v>
      </c>
      <c r="E959" s="30" t="s">
        <v>44</v>
      </c>
      <c r="F959" s="30">
        <f>'Técnico 7'!E50</f>
        <v>68.88</v>
      </c>
      <c r="G959" s="25">
        <v>1</v>
      </c>
      <c r="H959" s="25">
        <v>0</v>
      </c>
      <c r="I959" s="25">
        <f t="shared" ref="I959:I964" si="260">(F959+H959*F959)*G959</f>
        <v>68.88</v>
      </c>
      <c r="J959" s="25" t="str">
        <f>'Técnico 7'!F50</f>
        <v>m</v>
      </c>
      <c r="K959" s="26">
        <f>_xlfn.XLOOKUP($E959,PREÇO!$C$7:$C$91,PREÇO!$E$7:$E$91)</f>
        <v>2.5299999999999998</v>
      </c>
      <c r="L959" s="66">
        <f>IF(SUM(F959:K959)=0,SUMIFS($L960:$L$1593,$B960:$B$1593,$B959,$A960:$A$1593,$A959),I959*K959)</f>
        <v>174.26639999999998</v>
      </c>
      <c r="N959"/>
      <c r="O959"/>
      <c r="P959" s="28"/>
      <c r="Q959" s="28"/>
      <c r="R959" s="28"/>
    </row>
    <row r="960" spans="1:18" outlineLevel="1">
      <c r="A960" s="24" t="str">
        <f t="shared" si="257"/>
        <v>GERAL</v>
      </c>
      <c r="B960" s="24" t="str">
        <f t="shared" si="258"/>
        <v>122º PAV. - ÁREA TÉCNICA 07</v>
      </c>
      <c r="C960" s="30" t="s">
        <v>221</v>
      </c>
      <c r="D960" s="83" t="s">
        <v>46</v>
      </c>
      <c r="E960" s="30" t="s">
        <v>45</v>
      </c>
      <c r="F960" s="30">
        <f>'Técnico 7'!E51</f>
        <v>3.88</v>
      </c>
      <c r="G960" s="25">
        <v>1</v>
      </c>
      <c r="H960" s="25">
        <v>0</v>
      </c>
      <c r="I960" s="25">
        <f t="shared" si="260"/>
        <v>3.88</v>
      </c>
      <c r="J960" s="25" t="str">
        <f>'Técnico 7'!F51</f>
        <v>m</v>
      </c>
      <c r="K960" s="26">
        <f>_xlfn.XLOOKUP($E960,PREÇO!$C$7:$C$91,PREÇO!$E$7:$E$91)</f>
        <v>1.8</v>
      </c>
      <c r="L960" s="66">
        <f>IF(SUM(F960:K960)=0,SUMIFS($L961:$L$1593,$B961:$B$1593,$B960,$A961:$A$1593,$A960),I960*K960)</f>
        <v>6.984</v>
      </c>
      <c r="N960"/>
      <c r="O960"/>
      <c r="P960" s="28"/>
      <c r="Q960" s="28"/>
      <c r="R960" s="28"/>
    </row>
    <row r="961" spans="1:18" outlineLevel="1">
      <c r="A961" s="24" t="str">
        <f t="shared" si="257"/>
        <v>GERAL</v>
      </c>
      <c r="B961" s="24" t="str">
        <f t="shared" si="258"/>
        <v>122º PAV. - ÁREA TÉCNICA 07</v>
      </c>
      <c r="C961" s="30" t="s">
        <v>221</v>
      </c>
      <c r="D961" s="83" t="s">
        <v>89</v>
      </c>
      <c r="E961" s="30" t="s">
        <v>185</v>
      </c>
      <c r="F961" s="30">
        <f>'Técnico 7'!E54</f>
        <v>64.92</v>
      </c>
      <c r="G961" s="25">
        <v>1</v>
      </c>
      <c r="H961" s="25">
        <v>0</v>
      </c>
      <c r="I961" s="25">
        <f t="shared" si="260"/>
        <v>64.92</v>
      </c>
      <c r="J961" s="25" t="str">
        <f>'Técnico 7'!F54</f>
        <v>m</v>
      </c>
      <c r="K961" s="26">
        <f>_xlfn.XLOOKUP($E961,PREÇO!$C$7:$C$91,PREÇO!$E$7:$E$91)</f>
        <v>0.99</v>
      </c>
      <c r="L961" s="66">
        <f>IF(SUM(F961:K961)=0,SUMIFS($L962:$L$1593,$B962:$B$1593,$B961,$A962:$A$1593,$A961),I961*K961)</f>
        <v>64.270799999999994</v>
      </c>
      <c r="N961"/>
      <c r="O961"/>
      <c r="P961" s="28"/>
      <c r="Q961" s="28"/>
      <c r="R961" s="28"/>
    </row>
    <row r="962" spans="1:18" ht="15.75" outlineLevel="1" thickBot="1">
      <c r="A962" s="24" t="str">
        <f t="shared" si="257"/>
        <v>GERAL</v>
      </c>
      <c r="B962" s="24" t="str">
        <f t="shared" si="258"/>
        <v>122º PAV. - ÁREA TÉCNICA 07</v>
      </c>
      <c r="C962" s="30" t="s">
        <v>221</v>
      </c>
      <c r="D962" s="83" t="s">
        <v>89</v>
      </c>
      <c r="E962" s="30" t="s">
        <v>186</v>
      </c>
      <c r="F962" s="30">
        <f>'Técnico 7'!E55</f>
        <v>10.37</v>
      </c>
      <c r="G962" s="25">
        <v>1</v>
      </c>
      <c r="H962" s="25">
        <v>0</v>
      </c>
      <c r="I962" s="25">
        <f t="shared" si="260"/>
        <v>10.37</v>
      </c>
      <c r="J962" s="25" t="str">
        <f>'Técnico 7'!F55</f>
        <v>m</v>
      </c>
      <c r="K962" s="26">
        <f>_xlfn.XLOOKUP($E962,PREÇO!$C$7:$C$91,PREÇO!$E$7:$E$91)</f>
        <v>1.69</v>
      </c>
      <c r="L962" s="66">
        <f>IF(SUM(F962:K962)=0,SUMIFS($L963:$L$1593,$B963:$B$1593,$B962,$A963:$A$1593,$A962),I962*K962)</f>
        <v>17.525299999999998</v>
      </c>
      <c r="N962"/>
      <c r="O962"/>
      <c r="P962" s="28"/>
      <c r="Q962" s="28"/>
      <c r="R962" s="28"/>
    </row>
    <row r="963" spans="1:18" ht="15.75" thickTop="1">
      <c r="A963" s="82" t="s">
        <v>19</v>
      </c>
      <c r="B963" s="82" t="s">
        <v>195</v>
      </c>
      <c r="C963" s="43"/>
      <c r="D963" s="44" t="str">
        <f>'Técnico 7'!C56</f>
        <v/>
      </c>
      <c r="E963" s="44" t="str">
        <f>'Técnico 7'!D56</f>
        <v/>
      </c>
      <c r="F963" s="45" t="str">
        <f>'Técnico 7'!E56</f>
        <v/>
      </c>
      <c r="G963" s="45"/>
      <c r="H963" s="45"/>
      <c r="I963" s="45"/>
      <c r="J963" s="45" t="str">
        <f>'Técnico 7'!F56</f>
        <v/>
      </c>
      <c r="K963" s="47"/>
      <c r="L963" s="48">
        <f>IF(SUM(F963:K963)=0,SUMIFS($L964:$L$1593,$B964:$B$1593,$B963,$A964:$A$1593,$A963),I963*K963)</f>
        <v>53287.666200000021</v>
      </c>
      <c r="N963"/>
      <c r="O963"/>
      <c r="P963" s="28"/>
      <c r="Q963" s="28"/>
      <c r="R963" s="28"/>
    </row>
    <row r="964" spans="1:18" outlineLevel="1">
      <c r="A964" s="24" t="str">
        <f>A963</f>
        <v>GERAL</v>
      </c>
      <c r="B964" s="24" t="str">
        <f>B963</f>
        <v>123º PAV. - TIPO 04D - x9 - MODELO</v>
      </c>
      <c r="C964" s="30" t="s">
        <v>221</v>
      </c>
      <c r="D964" s="30" t="str">
        <f>'Tipo 4D - x9'!C6</f>
        <v>Acionadores</v>
      </c>
      <c r="E964" s="30" t="str">
        <f>'Tipo 4D - x9'!D6</f>
        <v>Acionador Manual de Alarme de Incêndio</v>
      </c>
      <c r="F964" s="30">
        <f>'Tipo 4D - x9'!E6</f>
        <v>1</v>
      </c>
      <c r="G964" s="25">
        <v>9</v>
      </c>
      <c r="H964" s="25">
        <v>0</v>
      </c>
      <c r="I964" s="25">
        <f t="shared" si="260"/>
        <v>9</v>
      </c>
      <c r="J964" s="25" t="str">
        <f>'Tipo 4D - x9'!F6</f>
        <v>pç</v>
      </c>
      <c r="K964" s="26">
        <f>_xlfn.XLOOKUP($E964,PREÇO!$C$7:$C$91,PREÇO!$E$7:$E$91)</f>
        <v>65</v>
      </c>
      <c r="L964" s="66">
        <f>IF(SUM(F964:K964)=0,SUMIFS($L965:$L$1593,$B965:$B$1593,$B964,$A965:$A$1593,$A964),I964*K964)</f>
        <v>585</v>
      </c>
      <c r="N964"/>
      <c r="O964"/>
      <c r="P964" s="28"/>
      <c r="Q964" s="28"/>
      <c r="R964" s="28"/>
    </row>
    <row r="965" spans="1:18" outlineLevel="1">
      <c r="A965" s="24" t="str">
        <f t="shared" ref="A965:A991" si="261">A964</f>
        <v>GERAL</v>
      </c>
      <c r="B965" s="24" t="str">
        <f t="shared" ref="B965:B991" si="262">B964</f>
        <v>123º PAV. - TIPO 04D - x9 - MODELO</v>
      </c>
      <c r="C965" s="30" t="s">
        <v>221</v>
      </c>
      <c r="D965" s="30" t="str">
        <f>'Tipo 4D - x9'!C7</f>
        <v>Anunciadores</v>
      </c>
      <c r="E965" s="30" t="str">
        <f>'Tipo 4D - x9'!D7</f>
        <v>Anunciador Audiovisual de Alarme de Incêndio de Parede</v>
      </c>
      <c r="F965" s="30">
        <f>'Tipo 4D - x9'!E7</f>
        <v>1</v>
      </c>
      <c r="G965" s="25">
        <v>9</v>
      </c>
      <c r="H965" s="25">
        <v>0</v>
      </c>
      <c r="I965" s="25">
        <f t="shared" ref="I965:I991" si="263">(F965+H965*F965)*G965</f>
        <v>9</v>
      </c>
      <c r="J965" s="25" t="str">
        <f>'Tipo 4D - x9'!F7</f>
        <v>pç</v>
      </c>
      <c r="K965" s="26">
        <f>_xlfn.XLOOKUP($E965,PREÇO!$C$7:$C$91,PREÇO!$E$7:$E$91)</f>
        <v>191.81</v>
      </c>
      <c r="L965" s="66">
        <f>IF(SUM(F965:K965)=0,SUMIFS($L966:$L$1593,$B966:$B$1593,$B965,$A966:$A$1593,$A965),I965*K965)</f>
        <v>1726.29</v>
      </c>
      <c r="N965"/>
      <c r="O965"/>
      <c r="P965" s="28"/>
      <c r="Q965" s="28"/>
      <c r="R965" s="28"/>
    </row>
    <row r="966" spans="1:18" outlineLevel="1">
      <c r="A966" s="24" t="str">
        <f t="shared" si="261"/>
        <v>GERAL</v>
      </c>
      <c r="B966" s="24" t="str">
        <f t="shared" si="262"/>
        <v>123º PAV. - TIPO 04D - x9 - MODELO</v>
      </c>
      <c r="C966" s="30" t="s">
        <v>221</v>
      </c>
      <c r="D966" s="30" t="str">
        <f>'Tipo 4D - x9'!C8</f>
        <v>Anunciadores</v>
      </c>
      <c r="E966" s="30" t="str">
        <f>'Tipo 4D - x9'!D8</f>
        <v>Anunciador Audiovisual de Alarme de Incêndio de Teto</v>
      </c>
      <c r="F966" s="30">
        <f>'Tipo 4D - x9'!E8</f>
        <v>2</v>
      </c>
      <c r="G966" s="25">
        <v>9</v>
      </c>
      <c r="H966" s="25">
        <v>0</v>
      </c>
      <c r="I966" s="25">
        <f t="shared" si="263"/>
        <v>18</v>
      </c>
      <c r="J966" s="25" t="str">
        <f>'Tipo 4D - x9'!F8</f>
        <v>pç</v>
      </c>
      <c r="K966" s="26">
        <f>_xlfn.XLOOKUP($E966,PREÇO!$C$7:$C$91,PREÇO!$E$7:$E$91)</f>
        <v>169.96</v>
      </c>
      <c r="L966" s="66">
        <f>IF(SUM(F966:K966)=0,SUMIFS($L967:$L$1593,$B967:$B$1593,$B966,$A967:$A$1593,$A966),I966*K966)</f>
        <v>3059.28</v>
      </c>
      <c r="N966"/>
      <c r="O966"/>
      <c r="P966" s="28"/>
      <c r="Q966" s="28"/>
      <c r="R966" s="28"/>
    </row>
    <row r="967" spans="1:18" outlineLevel="1">
      <c r="A967" s="24" t="str">
        <f t="shared" si="261"/>
        <v>GERAL</v>
      </c>
      <c r="B967" s="24" t="str">
        <f t="shared" si="262"/>
        <v>123º PAV. - TIPO 04D - x9 - MODELO</v>
      </c>
      <c r="C967" s="30" t="s">
        <v>221</v>
      </c>
      <c r="D967" s="30" t="str">
        <f>'Tipo 4D - x9'!C9</f>
        <v>Atuadores</v>
      </c>
      <c r="E967" s="30" t="str">
        <f>'Tipo 4D - x9'!D9</f>
        <v>Atuador Janela Desenfumagem</v>
      </c>
      <c r="F967" s="30">
        <f>'Tipo 4D - x9'!E9</f>
        <v>1</v>
      </c>
      <c r="G967" s="25">
        <v>9</v>
      </c>
      <c r="H967" s="25">
        <v>0</v>
      </c>
      <c r="I967" s="25">
        <f t="shared" si="263"/>
        <v>9</v>
      </c>
      <c r="J967" s="25" t="str">
        <f>'Tipo 4D - x9'!F9</f>
        <v>pç</v>
      </c>
      <c r="K967" s="26">
        <f>_xlfn.XLOOKUP($E967,PREÇO!$C$7:$C$91,PREÇO!$E$7:$E$91)</f>
        <v>1150</v>
      </c>
      <c r="L967" s="66">
        <f>IF(SUM(F967:K967)=0,SUMIFS($L968:$L$1593,$B968:$B$1593,$B967,$A968:$A$1593,$A967),I967*K967)</f>
        <v>10350</v>
      </c>
      <c r="N967"/>
      <c r="O967"/>
      <c r="P967" s="28"/>
      <c r="Q967" s="28"/>
      <c r="R967" s="28"/>
    </row>
    <row r="968" spans="1:18" outlineLevel="1">
      <c r="A968" s="24" t="str">
        <f t="shared" si="261"/>
        <v>GERAL</v>
      </c>
      <c r="B968" s="24" t="str">
        <f t="shared" si="262"/>
        <v>123º PAV. - TIPO 04D - x9 - MODELO</v>
      </c>
      <c r="C968" s="30" t="s">
        <v>221</v>
      </c>
      <c r="D968" s="30" t="str">
        <f>'Tipo 4D - x9'!C10</f>
        <v>Atuadores</v>
      </c>
      <c r="E968" s="30" t="str">
        <f>'Tipo 4D - x9'!D10</f>
        <v>Dispositivo Eletromagnético de Porta Aberta</v>
      </c>
      <c r="F968" s="30">
        <f>'Tipo 4D - x9'!E10</f>
        <v>1</v>
      </c>
      <c r="G968" s="25">
        <v>9</v>
      </c>
      <c r="H968" s="25">
        <v>0</v>
      </c>
      <c r="I968" s="25">
        <f t="shared" si="263"/>
        <v>9</v>
      </c>
      <c r="J968" s="25" t="str">
        <f>'Tipo 4D - x9'!F10</f>
        <v>pç</v>
      </c>
      <c r="K968" s="26">
        <f>_xlfn.XLOOKUP($E968,PREÇO!$C$7:$C$91,PREÇO!$E$7:$E$91)</f>
        <v>416.9</v>
      </c>
      <c r="L968" s="66">
        <f>IF(SUM(F968:K968)=0,SUMIFS($L969:$L$1593,$B969:$B$1593,$B968,$A969:$A$1593,$A968),I968*K968)</f>
        <v>3752.1</v>
      </c>
      <c r="N968"/>
      <c r="O968"/>
      <c r="P968" s="28"/>
      <c r="Q968" s="28"/>
      <c r="R968" s="28"/>
    </row>
    <row r="969" spans="1:18" outlineLevel="1">
      <c r="A969" s="24" t="str">
        <f t="shared" si="261"/>
        <v>GERAL</v>
      </c>
      <c r="B969" s="24" t="str">
        <f t="shared" si="262"/>
        <v>123º PAV. - TIPO 04D - x9 - MODELO</v>
      </c>
      <c r="C969" s="30" t="s">
        <v>221</v>
      </c>
      <c r="D969" s="30" t="str">
        <f>'Tipo 4D - x9'!C11</f>
        <v>Sensores</v>
      </c>
      <c r="E969" s="30" t="str">
        <f>'Tipo 4D - x9'!D11</f>
        <v>Sensor de Fumaça</v>
      </c>
      <c r="F969" s="30">
        <f>'Tipo 4D - x9'!E11</f>
        <v>19</v>
      </c>
      <c r="G969" s="25">
        <v>9</v>
      </c>
      <c r="H969" s="25">
        <v>0</v>
      </c>
      <c r="I969" s="25">
        <f t="shared" si="263"/>
        <v>171</v>
      </c>
      <c r="J969" s="25" t="str">
        <f>'Tipo 4D - x9'!F11</f>
        <v>pç</v>
      </c>
      <c r="K969" s="26">
        <f>_xlfn.XLOOKUP($E969,PREÇO!$C$7:$C$91,PREÇO!$E$7:$E$91)</f>
        <v>53.9</v>
      </c>
      <c r="L969" s="66">
        <f>IF(SUM(F969:K969)=0,SUMIFS($L970:$L$1593,$B970:$B$1593,$B969,$A970:$A$1593,$A969),I969*K969)</f>
        <v>9216.9</v>
      </c>
      <c r="N969"/>
      <c r="O969"/>
      <c r="P969" s="28"/>
      <c r="Q969" s="28"/>
      <c r="R969" s="28"/>
    </row>
    <row r="970" spans="1:18" outlineLevel="1">
      <c r="A970" s="24" t="str">
        <f t="shared" si="261"/>
        <v>GERAL</v>
      </c>
      <c r="B970" s="24" t="str">
        <f t="shared" si="262"/>
        <v>123º PAV. - TIPO 04D - x9 - MODELO</v>
      </c>
      <c r="C970" s="30" t="s">
        <v>221</v>
      </c>
      <c r="D970" s="30" t="str">
        <f>'Tipo 4D - x9'!C14</f>
        <v>Caixas</v>
      </c>
      <c r="E970" s="30" t="str">
        <f>'Tipo 4D - x9'!D14</f>
        <v>Caixa Octogonal Padrão NBR IEC 60670</v>
      </c>
      <c r="F970" s="30">
        <f>'Tipo 4D - x9'!E14</f>
        <v>31</v>
      </c>
      <c r="G970" s="25">
        <v>9</v>
      </c>
      <c r="H970" s="25">
        <v>0</v>
      </c>
      <c r="I970" s="25">
        <f t="shared" si="263"/>
        <v>279</v>
      </c>
      <c r="J970" s="25" t="str">
        <f>'Tipo 4D - x9'!F14</f>
        <v>pç</v>
      </c>
      <c r="K970" s="26">
        <f>_xlfn.XLOOKUP($E970,PREÇO!$C$7:$C$91,PREÇO!$E$7:$E$91)</f>
        <v>5.32</v>
      </c>
      <c r="L970" s="66">
        <f>IF(SUM(F970:K970)=0,SUMIFS($L971:$L$1593,$B971:$B$1593,$B970,$A971:$A$1593,$A970),I970*K970)</f>
        <v>1484.28</v>
      </c>
      <c r="N970"/>
      <c r="O970"/>
      <c r="P970" s="28"/>
      <c r="Q970" s="28"/>
      <c r="R970" s="28"/>
    </row>
    <row r="971" spans="1:18" outlineLevel="1">
      <c r="A971" s="24" t="str">
        <f t="shared" si="261"/>
        <v>GERAL</v>
      </c>
      <c r="B971" s="24" t="str">
        <f t="shared" si="262"/>
        <v>123º PAV. - TIPO 04D - x9 - MODELO</v>
      </c>
      <c r="C971" s="30" t="s">
        <v>221</v>
      </c>
      <c r="D971" s="30" t="str">
        <f>'Tipo 4D - x9'!C15</f>
        <v>Placas</v>
      </c>
      <c r="E971" s="30" t="str">
        <f>'Tipo 4D - x9'!D15</f>
        <v>Placa cega para caixa octogonal Padrão NBR IEC 60670</v>
      </c>
      <c r="F971" s="30">
        <f>'Tipo 4D - x9'!E15</f>
        <v>2</v>
      </c>
      <c r="G971" s="25">
        <v>9</v>
      </c>
      <c r="H971" s="25">
        <v>0</v>
      </c>
      <c r="I971" s="25">
        <f t="shared" si="263"/>
        <v>18</v>
      </c>
      <c r="J971" s="25" t="str">
        <f>'Tipo 4D - x9'!F15</f>
        <v>pç</v>
      </c>
      <c r="K971" s="26">
        <f>_xlfn.XLOOKUP($E971,PREÇO!$C$7:$C$91,PREÇO!$E$7:$E$91)</f>
        <v>2.5</v>
      </c>
      <c r="L971" s="66">
        <f>IF(SUM(F971:K971)=0,SUMIFS($L972:$L$1593,$B972:$B$1593,$B971,$A972:$A$1593,$A971),I971*K971)</f>
        <v>45</v>
      </c>
      <c r="N971"/>
      <c r="O971"/>
      <c r="P971" s="28"/>
      <c r="Q971" s="28"/>
      <c r="R971" s="28"/>
    </row>
    <row r="972" spans="1:18" outlineLevel="1">
      <c r="A972" s="24" t="str">
        <f t="shared" si="261"/>
        <v>GERAL</v>
      </c>
      <c r="B972" s="24" t="str">
        <f t="shared" si="262"/>
        <v>123º PAV. - TIPO 04D - x9 - MODELO</v>
      </c>
      <c r="C972" s="30" t="s">
        <v>221</v>
      </c>
      <c r="D972" s="30" t="str">
        <f>'Tipo 4D - x9'!C18</f>
        <v>Caixas</v>
      </c>
      <c r="E972" s="30" t="str">
        <f>'Tipo 4D - x9'!D18</f>
        <v>Caixa 4x2" de Embutir em PVC Padrão NBR IEC 60670</v>
      </c>
      <c r="F972" s="30">
        <f>'Tipo 4D - x9'!E18</f>
        <v>9</v>
      </c>
      <c r="G972" s="25">
        <v>9</v>
      </c>
      <c r="H972" s="25">
        <v>0</v>
      </c>
      <c r="I972" s="25">
        <f t="shared" si="263"/>
        <v>81</v>
      </c>
      <c r="J972" s="25" t="str">
        <f>'Tipo 4D - x9'!F18</f>
        <v>pç</v>
      </c>
      <c r="K972" s="26">
        <f>_xlfn.XLOOKUP($E972,PREÇO!$C$7:$C$91,PREÇO!$E$7:$E$91)</f>
        <v>1.72</v>
      </c>
      <c r="L972" s="66">
        <f>IF(SUM(F972:K972)=0,SUMIFS($L973:$L$1593,$B973:$B$1593,$B972,$A973:$A$1593,$A972),I972*K972)</f>
        <v>139.32</v>
      </c>
      <c r="N972"/>
      <c r="O972"/>
      <c r="P972" s="28"/>
      <c r="Q972" s="28"/>
      <c r="R972" s="28"/>
    </row>
    <row r="973" spans="1:18" outlineLevel="1">
      <c r="A973" s="24" t="str">
        <f t="shared" si="261"/>
        <v>GERAL</v>
      </c>
      <c r="B973" s="24" t="str">
        <f t="shared" si="262"/>
        <v>123º PAV. - TIPO 04D - x9 - MODELO</v>
      </c>
      <c r="C973" s="30" t="s">
        <v>221</v>
      </c>
      <c r="D973" s="30" t="str">
        <f>'Tipo 4D - x9'!C19</f>
        <v>Placas</v>
      </c>
      <c r="E973" s="30" t="str">
        <f>'Tipo 4D - x9'!D19</f>
        <v>Placa 4x2" cega Padrão NBR IEC 60670</v>
      </c>
      <c r="F973" s="30">
        <f>'Tipo 4D - x9'!E19</f>
        <v>3</v>
      </c>
      <c r="G973" s="25">
        <v>9</v>
      </c>
      <c r="H973" s="25">
        <v>0</v>
      </c>
      <c r="I973" s="25">
        <f t="shared" si="263"/>
        <v>27</v>
      </c>
      <c r="J973" s="25" t="str">
        <f>'Tipo 4D - x9'!F19</f>
        <v>pç</v>
      </c>
      <c r="K973" s="26">
        <f>_xlfn.XLOOKUP($E973,PREÇO!$C$7:$C$91,PREÇO!$E$7:$E$91)</f>
        <v>4.59</v>
      </c>
      <c r="L973" s="66">
        <f>IF(SUM(F973:K973)=0,SUMIFS($L974:$L$1593,$B974:$B$1593,$B973,$A974:$A$1593,$A973),I973*K973)</f>
        <v>123.92999999999999</v>
      </c>
      <c r="N973"/>
      <c r="O973"/>
      <c r="P973" s="28"/>
      <c r="Q973" s="28"/>
      <c r="R973" s="28"/>
    </row>
    <row r="974" spans="1:18" outlineLevel="1">
      <c r="A974" s="24" t="str">
        <f t="shared" si="261"/>
        <v>GERAL</v>
      </c>
      <c r="B974" s="24" t="str">
        <f t="shared" si="262"/>
        <v>123º PAV. - TIPO 04D - x9 - MODELO</v>
      </c>
      <c r="C974" s="30" t="s">
        <v>221</v>
      </c>
      <c r="D974" s="30" t="str">
        <f>'Tipo 4D - x9'!C20</f>
        <v>Placas</v>
      </c>
      <c r="E974" s="30" t="str">
        <f>'Tipo 4D - x9'!D20</f>
        <v>Placa 4x2" com furo para saída de cabos Padrão NBR IEC 60670</v>
      </c>
      <c r="F974" s="30">
        <f>'Tipo 4D - x9'!E20</f>
        <v>6</v>
      </c>
      <c r="G974" s="25">
        <v>9</v>
      </c>
      <c r="H974" s="25">
        <v>0</v>
      </c>
      <c r="I974" s="25">
        <f t="shared" si="263"/>
        <v>54</v>
      </c>
      <c r="J974" s="25" t="str">
        <f>'Tipo 4D - x9'!F20</f>
        <v>pç</v>
      </c>
      <c r="K974" s="26">
        <f>_xlfn.XLOOKUP($E974,PREÇO!$C$7:$C$91,PREÇO!$E$7:$E$91)</f>
        <v>6.55</v>
      </c>
      <c r="L974" s="66">
        <f>IF(SUM(F974:K974)=0,SUMIFS($L975:$L$1593,$B975:$B$1593,$B974,$A975:$A$1593,$A974),I974*K974)</f>
        <v>353.7</v>
      </c>
      <c r="N974"/>
      <c r="O974"/>
      <c r="P974" s="28"/>
      <c r="Q974" s="28"/>
      <c r="R974" s="28"/>
    </row>
    <row r="975" spans="1:18" outlineLevel="1">
      <c r="A975" s="24" t="str">
        <f t="shared" si="261"/>
        <v>GERAL</v>
      </c>
      <c r="B975" s="24" t="str">
        <f t="shared" si="262"/>
        <v>123º PAV. - TIPO 04D - x9 - MODELO</v>
      </c>
      <c r="C975" s="30" t="s">
        <v>221</v>
      </c>
      <c r="D975" s="30" t="str">
        <f>'Tipo 4D - x9'!C21</f>
        <v>Suportes</v>
      </c>
      <c r="E975" s="30" t="str">
        <f>'Tipo 4D - x9'!D21</f>
        <v>Suporte p/ caixa 4x2" Padrão NBR IEC 60670</v>
      </c>
      <c r="F975" s="30">
        <f>'Tipo 4D - x9'!E21</f>
        <v>9</v>
      </c>
      <c r="G975" s="25">
        <v>9</v>
      </c>
      <c r="H975" s="25">
        <v>0</v>
      </c>
      <c r="I975" s="25">
        <f t="shared" si="263"/>
        <v>81</v>
      </c>
      <c r="J975" s="25" t="str">
        <f>'Tipo 4D - x9'!F21</f>
        <v>pç</v>
      </c>
      <c r="K975" s="26">
        <f>_xlfn.XLOOKUP($E975,PREÇO!$C$7:$C$91,PREÇO!$E$7:$E$91)</f>
        <v>1.85</v>
      </c>
      <c r="L975" s="66">
        <f>IF(SUM(F975:K975)=0,SUMIFS($L976:$L$1593,$B976:$B$1593,$B975,$A976:$A$1593,$A975),I975*K975)</f>
        <v>149.85</v>
      </c>
      <c r="N975"/>
      <c r="O975"/>
      <c r="P975" s="28"/>
      <c r="Q975" s="28"/>
      <c r="R975" s="28"/>
    </row>
    <row r="976" spans="1:18" outlineLevel="1">
      <c r="A976" s="24" t="str">
        <f t="shared" si="261"/>
        <v>GERAL</v>
      </c>
      <c r="B976" s="24" t="str">
        <f t="shared" si="262"/>
        <v>123º PAV. - TIPO 04D - x9 - MODELO</v>
      </c>
      <c r="C976" s="30" t="s">
        <v>221</v>
      </c>
      <c r="D976" s="83" t="s">
        <v>46</v>
      </c>
      <c r="E976" s="30" t="s">
        <v>44</v>
      </c>
      <c r="F976" s="30">
        <f>'Tipo 4D - x9'!E24</f>
        <v>29.07</v>
      </c>
      <c r="G976" s="25">
        <v>9</v>
      </c>
      <c r="H976" s="25">
        <v>0</v>
      </c>
      <c r="I976" s="25">
        <f t="shared" si="263"/>
        <v>261.63</v>
      </c>
      <c r="J976" s="25" t="str">
        <f>'Tipo 4D - x9'!F24</f>
        <v>m</v>
      </c>
      <c r="K976" s="26">
        <f>_xlfn.XLOOKUP($E976,PREÇO!$C$7:$C$91,PREÇO!$E$7:$E$91)</f>
        <v>2.5299999999999998</v>
      </c>
      <c r="L976" s="66">
        <f>IF(SUM(F976:K976)=0,SUMIFS($L977:$L$1593,$B977:$B$1593,$B976,$A977:$A$1593,$A976),I976*K976)</f>
        <v>661.92389999999989</v>
      </c>
      <c r="N976"/>
      <c r="O976"/>
      <c r="P976" s="28"/>
      <c r="Q976" s="28"/>
      <c r="R976" s="28"/>
    </row>
    <row r="977" spans="1:18" outlineLevel="1">
      <c r="A977" s="24" t="str">
        <f t="shared" si="261"/>
        <v>GERAL</v>
      </c>
      <c r="B977" s="24" t="str">
        <f t="shared" si="262"/>
        <v>123º PAV. - TIPO 04D - x9 - MODELO</v>
      </c>
      <c r="C977" s="30" t="s">
        <v>221</v>
      </c>
      <c r="D977" s="83" t="s">
        <v>46</v>
      </c>
      <c r="E977" s="30" t="s">
        <v>45</v>
      </c>
      <c r="F977" s="30">
        <f>'Tipo 4D - x9'!E25</f>
        <v>27.38</v>
      </c>
      <c r="G977" s="25">
        <v>9</v>
      </c>
      <c r="H977" s="25">
        <v>0</v>
      </c>
      <c r="I977" s="25">
        <f t="shared" si="263"/>
        <v>246.42</v>
      </c>
      <c r="J977" s="25" t="str">
        <f>'Tipo 4D - x9'!F25</f>
        <v>m</v>
      </c>
      <c r="K977" s="26">
        <f>_xlfn.XLOOKUP($E977,PREÇO!$C$7:$C$91,PREÇO!$E$7:$E$91)</f>
        <v>1.8</v>
      </c>
      <c r="L977" s="66">
        <f>IF(SUM(F977:K977)=0,SUMIFS($L978:$L$1593,$B978:$B$1593,$B977,$A978:$A$1593,$A977),I977*K977)</f>
        <v>443.55599999999998</v>
      </c>
      <c r="N977"/>
      <c r="O977"/>
      <c r="P977" s="28"/>
      <c r="Q977" s="28"/>
      <c r="R977" s="28"/>
    </row>
    <row r="978" spans="1:18" outlineLevel="1">
      <c r="A978" s="24" t="str">
        <f t="shared" si="261"/>
        <v>GERAL</v>
      </c>
      <c r="B978" s="24" t="str">
        <f t="shared" si="262"/>
        <v>123º PAV. - TIPO 04D - x9 - MODELO</v>
      </c>
      <c r="C978" s="30" t="s">
        <v>220</v>
      </c>
      <c r="D978" s="30" t="str">
        <f>'Tipo 4D - x9'!C28</f>
        <v>Luminárias e Placas de Saída</v>
      </c>
      <c r="E978" s="30" t="str">
        <f>'Tipo 4D - x9'!D28</f>
        <v>Luminária de Emergência 24V de Parede</v>
      </c>
      <c r="F978" s="30">
        <f>'Tipo 4D - x9'!E28</f>
        <v>3</v>
      </c>
      <c r="G978" s="25">
        <v>9</v>
      </c>
      <c r="H978" s="25">
        <v>0</v>
      </c>
      <c r="I978" s="25">
        <f t="shared" si="263"/>
        <v>27</v>
      </c>
      <c r="J978" s="25" t="str">
        <f>'Tipo 4D - x9'!F28</f>
        <v>pç</v>
      </c>
      <c r="K978" s="26">
        <f>_xlfn.XLOOKUP($E978,PREÇO!$C$7:$C$91,PREÇO!$E$7:$E$91)</f>
        <v>15.9</v>
      </c>
      <c r="L978" s="66">
        <f>IF(SUM(F978:K978)=0,SUMIFS($L979:$L$1593,$B979:$B$1593,$B978,$A979:$A$1593,$A978),I978*K978)</f>
        <v>429.3</v>
      </c>
      <c r="N978"/>
      <c r="O978"/>
      <c r="P978" s="28"/>
      <c r="Q978" s="28"/>
      <c r="R978" s="28"/>
    </row>
    <row r="979" spans="1:18" outlineLevel="1">
      <c r="A979" s="24" t="str">
        <f t="shared" si="261"/>
        <v>GERAL</v>
      </c>
      <c r="B979" s="24" t="str">
        <f t="shared" si="262"/>
        <v>123º PAV. - TIPO 04D - x9 - MODELO</v>
      </c>
      <c r="C979" s="30" t="s">
        <v>220</v>
      </c>
      <c r="D979" s="30" t="str">
        <f>'Tipo 4D - x9'!C29</f>
        <v>Luminárias e Placas de Saída</v>
      </c>
      <c r="E979" s="30" t="str">
        <f>'Tipo 4D - x9'!D29</f>
        <v>Luminária de Emergência 24V de Teto</v>
      </c>
      <c r="F979" s="30">
        <f>'Tipo 4D - x9'!E29</f>
        <v>5</v>
      </c>
      <c r="G979" s="25">
        <v>9</v>
      </c>
      <c r="H979" s="25">
        <v>0</v>
      </c>
      <c r="I979" s="25">
        <f t="shared" si="263"/>
        <v>45</v>
      </c>
      <c r="J979" s="25" t="str">
        <f>'Tipo 4D - x9'!F29</f>
        <v>pç</v>
      </c>
      <c r="K979" s="26">
        <f>_xlfn.XLOOKUP($E979,PREÇO!$C$7:$C$91,PREÇO!$E$7:$E$91)</f>
        <v>69.900000000000006</v>
      </c>
      <c r="L979" s="66">
        <f>IF(SUM(F979:K979)=0,SUMIFS($L980:$L$1593,$B980:$B$1593,$B979,$A980:$A$1593,$A979),I979*K979)</f>
        <v>3145.5000000000005</v>
      </c>
      <c r="N979"/>
      <c r="O979"/>
      <c r="P979" s="28"/>
      <c r="Q979" s="28"/>
      <c r="R979" s="28"/>
    </row>
    <row r="980" spans="1:18" outlineLevel="1">
      <c r="A980" s="24" t="str">
        <f t="shared" si="261"/>
        <v>GERAL</v>
      </c>
      <c r="B980" s="24" t="str">
        <f t="shared" si="262"/>
        <v>123º PAV. - TIPO 04D - x9 - MODELO</v>
      </c>
      <c r="C980" s="24" t="s">
        <v>222</v>
      </c>
      <c r="D980" s="30" t="str">
        <f>'Tipo 4D - x9'!C30</f>
        <v>Luminárias e Placas de Saída</v>
      </c>
      <c r="E980" s="30" t="str">
        <f>'Tipo 4D - x9'!D30</f>
        <v>Placa de Saída 24V de Parede sem Direção</v>
      </c>
      <c r="F980" s="30">
        <f>'Tipo 4D - x9'!E30</f>
        <v>1</v>
      </c>
      <c r="G980" s="25">
        <v>9</v>
      </c>
      <c r="H980" s="25">
        <v>0</v>
      </c>
      <c r="I980" s="25">
        <f t="shared" si="263"/>
        <v>9</v>
      </c>
      <c r="J980" s="25" t="str">
        <f>'Tipo 4D - x9'!F30</f>
        <v>pç</v>
      </c>
      <c r="K980" s="26">
        <f>_xlfn.XLOOKUP($E980,PREÇO!$C$7:$C$91,PREÇO!$E$7:$E$91)</f>
        <v>61.66</v>
      </c>
      <c r="L980" s="66">
        <f>IF(SUM(F980:K980)=0,SUMIFS($L982:$L$1593,$B982:$B$1593,$B980,$A982:$A$1593,$A980),I980*K980)</f>
        <v>554.93999999999994</v>
      </c>
      <c r="N980"/>
      <c r="O980"/>
      <c r="P980" s="28"/>
      <c r="Q980" s="28"/>
      <c r="R980" s="28"/>
    </row>
    <row r="981" spans="1:18" outlineLevel="1">
      <c r="A981" s="116" t="str">
        <f>A979</f>
        <v>GERAL</v>
      </c>
      <c r="B981" s="116" t="str">
        <f>B980</f>
        <v>123º PAV. - TIPO 04D - x9 - MODELO</v>
      </c>
      <c r="C981" s="116" t="s">
        <v>222</v>
      </c>
      <c r="D981" s="116" t="s">
        <v>223</v>
      </c>
      <c r="E981" s="116" t="s">
        <v>224</v>
      </c>
      <c r="F981" s="117">
        <v>1</v>
      </c>
      <c r="G981" s="117">
        <f>G980</f>
        <v>9</v>
      </c>
      <c r="H981" s="118">
        <v>0</v>
      </c>
      <c r="I981" s="117">
        <f t="shared" si="263"/>
        <v>9</v>
      </c>
      <c r="J981" s="117" t="s">
        <v>11</v>
      </c>
      <c r="K981" s="119">
        <f>_xlfn.XLOOKUP($E981,PREÇO!$C$7:$C$91,PREÇO!$E$7:$E$91)</f>
        <v>646.55999999999995</v>
      </c>
      <c r="L981" s="120">
        <f>IF(SUM(F981:K981)=0,SUMIFS($L982:$L$1593,$B982:$B$1593,$B981,$A982:$A$1593,$A981),I981*K981)</f>
        <v>5819.0399999999991</v>
      </c>
      <c r="N981"/>
      <c r="O981"/>
      <c r="P981" s="28"/>
      <c r="Q981" s="28"/>
      <c r="R981" s="28"/>
    </row>
    <row r="982" spans="1:18" outlineLevel="1">
      <c r="A982" s="24" t="str">
        <f>A980</f>
        <v>GERAL</v>
      </c>
      <c r="B982" s="24" t="str">
        <f>B980</f>
        <v>123º PAV. - TIPO 04D - x9 - MODELO</v>
      </c>
      <c r="C982" s="30" t="s">
        <v>220</v>
      </c>
      <c r="D982" s="30" t="str">
        <f>'Tipo 4D - x9'!C31</f>
        <v>Sensores de Presença</v>
      </c>
      <c r="E982" s="30" t="str">
        <f>'Tipo 4D - x9'!D31</f>
        <v>Sensor de Presença 24V de teto</v>
      </c>
      <c r="F982" s="30">
        <f>'Tipo 4D - x9'!E31</f>
        <v>3</v>
      </c>
      <c r="G982" s="25">
        <v>9</v>
      </c>
      <c r="H982" s="25">
        <v>0</v>
      </c>
      <c r="I982" s="25">
        <f t="shared" si="263"/>
        <v>27</v>
      </c>
      <c r="J982" s="25" t="str">
        <f>'Tipo 4D - x9'!F31</f>
        <v>pç</v>
      </c>
      <c r="K982" s="26">
        <f>_xlfn.XLOOKUP($E982,PREÇO!$C$7:$C$91,PREÇO!$E$7:$E$91)</f>
        <v>38.4</v>
      </c>
      <c r="L982" s="66">
        <f>IF(SUM(F982:K982)=0,SUMIFS($L983:$L$1593,$B983:$B$1593,$B982,$A983:$A$1593,$A982),I982*K982)</f>
        <v>1036.8</v>
      </c>
      <c r="N982"/>
      <c r="O982"/>
      <c r="P982" s="28"/>
      <c r="Q982" s="28"/>
      <c r="R982" s="28"/>
    </row>
    <row r="983" spans="1:18" outlineLevel="1">
      <c r="A983" s="24" t="str">
        <f t="shared" si="261"/>
        <v>GERAL</v>
      </c>
      <c r="B983" s="24" t="str">
        <f t="shared" si="262"/>
        <v>123º PAV. - TIPO 04D - x9 - MODELO</v>
      </c>
      <c r="C983" s="30" t="s">
        <v>221</v>
      </c>
      <c r="D983" s="83" t="s">
        <v>87</v>
      </c>
      <c r="E983" s="30" t="s">
        <v>179</v>
      </c>
      <c r="F983" s="30">
        <f>'Tipo 4D - x9'!E34</f>
        <v>55.82</v>
      </c>
      <c r="G983" s="25">
        <v>9</v>
      </c>
      <c r="H983" s="25">
        <v>0</v>
      </c>
      <c r="I983" s="25">
        <f t="shared" si="263"/>
        <v>502.38</v>
      </c>
      <c r="J983" s="25" t="str">
        <f>'Tipo 4D - x9'!F34</f>
        <v>m</v>
      </c>
      <c r="K983" s="26">
        <f>_xlfn.XLOOKUP($E983,PREÇO!$C$7:$C$91,PREÇO!$E$7:$E$91)</f>
        <v>1.59</v>
      </c>
      <c r="L983" s="66">
        <f>IF(SUM(F983:K983)=0,SUMIFS($L984:$L$1593,$B984:$B$1593,$B983,$A984:$A$1593,$A983),I983*K983)</f>
        <v>798.78420000000006</v>
      </c>
      <c r="N983"/>
      <c r="O983"/>
      <c r="P983" s="28"/>
      <c r="Q983" s="28"/>
      <c r="R983" s="28"/>
    </row>
    <row r="984" spans="1:18" outlineLevel="1">
      <c r="A984" s="24" t="str">
        <f t="shared" si="261"/>
        <v>GERAL</v>
      </c>
      <c r="B984" s="24" t="str">
        <f t="shared" si="262"/>
        <v>123º PAV. - TIPO 04D - x9 - MODELO</v>
      </c>
      <c r="C984" s="30" t="s">
        <v>221</v>
      </c>
      <c r="D984" s="83" t="s">
        <v>87</v>
      </c>
      <c r="E984" s="30" t="s">
        <v>180</v>
      </c>
      <c r="F984" s="30">
        <f>'Tipo 4D - x9'!E35</f>
        <v>103.79</v>
      </c>
      <c r="G984" s="25">
        <v>9</v>
      </c>
      <c r="H984" s="25">
        <v>0</v>
      </c>
      <c r="I984" s="25">
        <f t="shared" si="263"/>
        <v>934.11</v>
      </c>
      <c r="J984" s="25" t="str">
        <f>'Tipo 4D - x9'!F35</f>
        <v>m</v>
      </c>
      <c r="K984" s="26">
        <f>_xlfn.XLOOKUP($E984,PREÇO!$C$7:$C$91,PREÇO!$E$7:$E$91)</f>
        <v>1.59</v>
      </c>
      <c r="L984" s="66">
        <f>IF(SUM(F984:K984)=0,SUMIFS($L985:$L$1593,$B985:$B$1593,$B984,$A985:$A$1593,$A984),I984*K984)</f>
        <v>1485.2349000000002</v>
      </c>
      <c r="N984"/>
      <c r="O984"/>
      <c r="P984" s="28"/>
      <c r="Q984" s="28"/>
      <c r="R984" s="28"/>
    </row>
    <row r="985" spans="1:18" outlineLevel="1">
      <c r="A985" s="24" t="str">
        <f t="shared" si="261"/>
        <v>GERAL</v>
      </c>
      <c r="B985" s="24" t="str">
        <f t="shared" si="262"/>
        <v>123º PAV. - TIPO 04D - x9 - MODELO</v>
      </c>
      <c r="C985" s="30" t="s">
        <v>221</v>
      </c>
      <c r="D985" s="83" t="s">
        <v>87</v>
      </c>
      <c r="E985" s="30" t="s">
        <v>181</v>
      </c>
      <c r="F985" s="30">
        <f>'Tipo 4D - x9'!E36</f>
        <v>103.79</v>
      </c>
      <c r="G985" s="25">
        <v>9</v>
      </c>
      <c r="H985" s="25">
        <v>0</v>
      </c>
      <c r="I985" s="25">
        <f t="shared" si="263"/>
        <v>934.11</v>
      </c>
      <c r="J985" s="25" t="str">
        <f>'Tipo 4D - x9'!F36</f>
        <v>m</v>
      </c>
      <c r="K985" s="26">
        <f>_xlfn.XLOOKUP($E985,PREÇO!$C$7:$C$91,PREÇO!$E$7:$E$91)</f>
        <v>1.59</v>
      </c>
      <c r="L985" s="66">
        <f>IF(SUM(F985:K985)=0,SUMIFS($L986:$L$1593,$B986:$B$1593,$B985,$A986:$A$1593,$A985),I985*K985)</f>
        <v>1485.2349000000002</v>
      </c>
      <c r="N985"/>
      <c r="O985"/>
      <c r="P985" s="28"/>
      <c r="Q985" s="28"/>
      <c r="R985" s="28"/>
    </row>
    <row r="986" spans="1:18" outlineLevel="1">
      <c r="A986" s="24" t="str">
        <f t="shared" si="261"/>
        <v>GERAL</v>
      </c>
      <c r="B986" s="24" t="str">
        <f t="shared" si="262"/>
        <v>123º PAV. - TIPO 04D - x9 - MODELO</v>
      </c>
      <c r="C986" s="30" t="s">
        <v>221</v>
      </c>
      <c r="D986" s="83" t="s">
        <v>87</v>
      </c>
      <c r="E986" s="30" t="s">
        <v>182</v>
      </c>
      <c r="F986" s="30">
        <f>'Tipo 4D - x9'!E37</f>
        <v>25.68</v>
      </c>
      <c r="G986" s="25">
        <v>9</v>
      </c>
      <c r="H986" s="25">
        <v>0</v>
      </c>
      <c r="I986" s="25">
        <f t="shared" si="263"/>
        <v>231.12</v>
      </c>
      <c r="J986" s="25" t="str">
        <f>'Tipo 4D - x9'!F37</f>
        <v>m</v>
      </c>
      <c r="K986" s="26">
        <f>_xlfn.XLOOKUP($E986,PREÇO!$C$7:$C$91,PREÇO!$E$7:$E$91)</f>
        <v>2.19</v>
      </c>
      <c r="L986" s="66">
        <f>IF(SUM(F986:K986)=0,SUMIFS($L987:$L$1593,$B987:$B$1593,$B986,$A987:$A$1593,$A986),I986*K986)</f>
        <v>506.15280000000001</v>
      </c>
      <c r="N986"/>
      <c r="O986"/>
      <c r="P986" s="28"/>
      <c r="Q986" s="28"/>
      <c r="R986" s="28"/>
    </row>
    <row r="987" spans="1:18" outlineLevel="1">
      <c r="A987" s="24" t="str">
        <f t="shared" si="261"/>
        <v>GERAL</v>
      </c>
      <c r="B987" s="24" t="str">
        <f t="shared" si="262"/>
        <v>123º PAV. - TIPO 04D - x9 - MODELO</v>
      </c>
      <c r="C987" s="30" t="s">
        <v>221</v>
      </c>
      <c r="D987" s="83" t="s">
        <v>87</v>
      </c>
      <c r="E987" s="30" t="s">
        <v>183</v>
      </c>
      <c r="F987" s="30">
        <f>'Tipo 4D - x9'!E38</f>
        <v>12.84</v>
      </c>
      <c r="G987" s="25">
        <v>9</v>
      </c>
      <c r="H987" s="25">
        <v>0</v>
      </c>
      <c r="I987" s="25">
        <f t="shared" si="263"/>
        <v>115.56</v>
      </c>
      <c r="J987" s="25" t="str">
        <f>'Tipo 4D - x9'!F38</f>
        <v>m</v>
      </c>
      <c r="K987" s="26">
        <f>_xlfn.XLOOKUP($E987,PREÇO!$C$7:$C$91,PREÇO!$E$7:$E$91)</f>
        <v>2.19</v>
      </c>
      <c r="L987" s="66">
        <f>IF(SUM(F987:K987)=0,SUMIFS($L988:$L$1593,$B988:$B$1593,$B987,$A988:$A$1593,$A987),I987*K987)</f>
        <v>253.07640000000001</v>
      </c>
      <c r="N987"/>
      <c r="O987"/>
      <c r="P987" s="28"/>
      <c r="Q987" s="28"/>
      <c r="R987" s="28"/>
    </row>
    <row r="988" spans="1:18" outlineLevel="1">
      <c r="A988" s="24" t="str">
        <f t="shared" si="261"/>
        <v>GERAL</v>
      </c>
      <c r="B988" s="24" t="str">
        <f t="shared" si="262"/>
        <v>123º PAV. - TIPO 04D - x9 - MODELO</v>
      </c>
      <c r="C988" s="30" t="s">
        <v>221</v>
      </c>
      <c r="D988" s="83" t="s">
        <v>87</v>
      </c>
      <c r="E988" s="30" t="s">
        <v>184</v>
      </c>
      <c r="F988" s="30">
        <f>'Tipo 4D - x9'!E39</f>
        <v>12.84</v>
      </c>
      <c r="G988" s="25">
        <v>9</v>
      </c>
      <c r="H988" s="25">
        <v>0</v>
      </c>
      <c r="I988" s="25">
        <f t="shared" si="263"/>
        <v>115.56</v>
      </c>
      <c r="J988" s="25" t="str">
        <f>'Tipo 4D - x9'!F39</f>
        <v>m</v>
      </c>
      <c r="K988" s="26">
        <f>_xlfn.XLOOKUP($E988,PREÇO!$C$7:$C$91,PREÇO!$E$7:$E$91)</f>
        <v>2.19</v>
      </c>
      <c r="L988" s="66">
        <f>IF(SUM(F988:K988)=0,SUMIFS($L989:$L$1593,$B989:$B$1593,$B988,$A989:$A$1593,$A988),I988*K988)</f>
        <v>253.07640000000001</v>
      </c>
      <c r="N988"/>
      <c r="O988"/>
      <c r="P988" s="28"/>
      <c r="Q988" s="28"/>
      <c r="R988" s="28"/>
    </row>
    <row r="989" spans="1:18" outlineLevel="1">
      <c r="A989" s="24" t="str">
        <f t="shared" si="261"/>
        <v>GERAL</v>
      </c>
      <c r="B989" s="24" t="str">
        <f t="shared" si="262"/>
        <v>123º PAV. - TIPO 04D - x9 - MODELO</v>
      </c>
      <c r="C989" s="30" t="s">
        <v>221</v>
      </c>
      <c r="D989" s="83" t="s">
        <v>46</v>
      </c>
      <c r="E989" s="30" t="s">
        <v>44</v>
      </c>
      <c r="F989" s="30">
        <f>'Tipo 4D - x9'!E43</f>
        <v>120.82</v>
      </c>
      <c r="G989" s="25">
        <v>9</v>
      </c>
      <c r="H989" s="25">
        <v>0</v>
      </c>
      <c r="I989" s="25">
        <f t="shared" si="263"/>
        <v>1087.3799999999999</v>
      </c>
      <c r="J989" s="25" t="str">
        <f>'Tipo 4D - x9'!F43</f>
        <v>m</v>
      </c>
      <c r="K989" s="26">
        <f>_xlfn.XLOOKUP($E989,PREÇO!$C$7:$C$91,PREÇO!$E$7:$E$91)</f>
        <v>2.5299999999999998</v>
      </c>
      <c r="L989" s="66">
        <f>IF(SUM(F989:K989)=0,SUMIFS($L990:$L$1593,$B990:$B$1593,$B989,$A990:$A$1593,$A989),I989*K989)</f>
        <v>2751.0713999999994</v>
      </c>
      <c r="N989"/>
      <c r="O989"/>
      <c r="P989" s="28"/>
      <c r="Q989" s="28"/>
      <c r="R989" s="28"/>
    </row>
    <row r="990" spans="1:18" outlineLevel="1">
      <c r="A990" s="24" t="str">
        <f t="shared" si="261"/>
        <v>GERAL</v>
      </c>
      <c r="B990" s="24" t="str">
        <f t="shared" si="262"/>
        <v>123º PAV. - TIPO 04D - x9 - MODELO</v>
      </c>
      <c r="C990" s="30" t="s">
        <v>221</v>
      </c>
      <c r="D990" s="83" t="s">
        <v>89</v>
      </c>
      <c r="E990" s="30" t="s">
        <v>185</v>
      </c>
      <c r="F990" s="30">
        <f>'Tipo 4D - x9'!E46</f>
        <v>115.5</v>
      </c>
      <c r="G990" s="25">
        <v>9</v>
      </c>
      <c r="H990" s="25">
        <v>0</v>
      </c>
      <c r="I990" s="25">
        <f t="shared" si="263"/>
        <v>1039.5</v>
      </c>
      <c r="J990" s="25" t="str">
        <f>'Tipo 4D - x9'!F46</f>
        <v>m</v>
      </c>
      <c r="K990" s="26">
        <f>_xlfn.XLOOKUP($E990,PREÇO!$C$7:$C$91,PREÇO!$E$7:$E$91)</f>
        <v>0.99</v>
      </c>
      <c r="L990" s="66">
        <f>IF(SUM(F990:K990)=0,SUMIFS($L991:$L$1593,$B991:$B$1593,$B990,$A991:$A$1593,$A990),I990*K990)</f>
        <v>1029.105</v>
      </c>
      <c r="N990"/>
      <c r="O990"/>
      <c r="P990" s="28"/>
      <c r="Q990" s="28"/>
      <c r="R990" s="28"/>
    </row>
    <row r="991" spans="1:18" ht="15.75" outlineLevel="1" thickBot="1">
      <c r="A991" s="24" t="str">
        <f t="shared" si="261"/>
        <v>GERAL</v>
      </c>
      <c r="B991" s="24" t="str">
        <f t="shared" si="262"/>
        <v>123º PAV. - TIPO 04D - x9 - MODELO</v>
      </c>
      <c r="C991" s="30" t="s">
        <v>221</v>
      </c>
      <c r="D991" s="83" t="s">
        <v>89</v>
      </c>
      <c r="E991" s="30" t="s">
        <v>186</v>
      </c>
      <c r="F991" s="30">
        <f>'Tipo 4D - x9'!E47</f>
        <v>108.43</v>
      </c>
      <c r="G991" s="25">
        <v>9</v>
      </c>
      <c r="H991" s="25">
        <v>0</v>
      </c>
      <c r="I991" s="25">
        <f t="shared" si="263"/>
        <v>975.87000000000012</v>
      </c>
      <c r="J991" s="25" t="str">
        <f>'Tipo 4D - x9'!F47</f>
        <v>m</v>
      </c>
      <c r="K991" s="26">
        <f>_xlfn.XLOOKUP($E991,PREÇO!$C$7:$C$91,PREÇO!$E$7:$E$91)</f>
        <v>1.69</v>
      </c>
      <c r="L991" s="66">
        <f>IF(SUM(F991:K991)=0,SUMIFS($L992:$L$1593,$B992:$B$1593,$B991,$A992:$A$1593,$A991),I991*K991)</f>
        <v>1649.2203000000002</v>
      </c>
      <c r="N991"/>
      <c r="O991"/>
      <c r="P991" s="28"/>
      <c r="Q991" s="28"/>
      <c r="R991" s="28"/>
    </row>
    <row r="992" spans="1:18" ht="15.75" thickTop="1">
      <c r="A992" s="82" t="s">
        <v>19</v>
      </c>
      <c r="B992" s="82" t="s">
        <v>196</v>
      </c>
      <c r="C992" s="43"/>
      <c r="D992" s="44" t="str">
        <f>'Tipo 4D - x9'!C48</f>
        <v/>
      </c>
      <c r="E992" s="44"/>
      <c r="F992" s="45"/>
      <c r="G992" s="45"/>
      <c r="H992" s="45"/>
      <c r="I992" s="45"/>
      <c r="J992" s="45" t="str">
        <f>'Tipo 4D - x9'!F48</f>
        <v/>
      </c>
      <c r="K992" s="47"/>
      <c r="L992" s="48">
        <f>IF(SUM(F992:K992)=0,SUMIFS($L993:$L$1593,$B993:$B$1593,$B992,$A993:$A$1593,$A992),I992*K992)</f>
        <v>10005.784599999999</v>
      </c>
      <c r="N992"/>
      <c r="O992"/>
      <c r="P992" s="28"/>
      <c r="Q992" s="28"/>
      <c r="R992" s="28"/>
    </row>
    <row r="993" spans="1:18" outlineLevel="1">
      <c r="A993" s="24" t="str">
        <f>A992</f>
        <v>GERAL</v>
      </c>
      <c r="B993" s="24" t="str">
        <f>B992</f>
        <v>132º PAV. - DUPLEX INF REBAIXADOR- LANÇAMENTO</v>
      </c>
      <c r="C993" s="30" t="s">
        <v>221</v>
      </c>
      <c r="D993" s="30" t="str">
        <f>'Duplex Inferior - x2'!C6</f>
        <v>Acionadores</v>
      </c>
      <c r="E993" s="30" t="str">
        <f>'Duplex Inferior - x2'!D6</f>
        <v>Acionador Manual de Alarme de Incêndio</v>
      </c>
      <c r="F993" s="30">
        <f>'Duplex Inferior - x2'!E6</f>
        <v>1</v>
      </c>
      <c r="G993" s="25">
        <v>2</v>
      </c>
      <c r="H993" s="25">
        <v>0</v>
      </c>
      <c r="I993" s="25">
        <f t="shared" ref="I993" si="264">(F993+H993*F993)*G993</f>
        <v>2</v>
      </c>
      <c r="J993" s="25" t="str">
        <f>'Duplex Inferior - x2'!F6</f>
        <v>pç</v>
      </c>
      <c r="K993" s="26">
        <f>_xlfn.XLOOKUP($E993,PREÇO!$C$7:$C$91,PREÇO!$E$7:$E$91)</f>
        <v>65</v>
      </c>
      <c r="L993" s="66">
        <f>IF(SUM(F993:K993)=0,SUMIFS($L994:$L$1593,$B994:$B$1593,$B993,$A994:$A$1593,$A993),I993*K993)</f>
        <v>130</v>
      </c>
      <c r="N993"/>
      <c r="O993"/>
      <c r="P993" s="28"/>
      <c r="Q993" s="28"/>
      <c r="R993" s="28"/>
    </row>
    <row r="994" spans="1:18" outlineLevel="1">
      <c r="A994" s="24" t="str">
        <f t="shared" ref="A994:A1019" si="265">A993</f>
        <v>GERAL</v>
      </c>
      <c r="B994" s="24" t="str">
        <f t="shared" ref="B994:B1019" si="266">B993</f>
        <v>132º PAV. - DUPLEX INF REBAIXADOR- LANÇAMENTO</v>
      </c>
      <c r="C994" s="30" t="s">
        <v>221</v>
      </c>
      <c r="D994" s="30" t="str">
        <f>'Duplex Inferior - x2'!C7</f>
        <v>Anunciadores</v>
      </c>
      <c r="E994" s="30" t="str">
        <f>'Duplex Inferior - x2'!D7</f>
        <v>Anunciador Audiovisual de Alarme de Incêndio de Parede</v>
      </c>
      <c r="F994" s="30">
        <f>'Duplex Inferior - x2'!E7</f>
        <v>1</v>
      </c>
      <c r="G994" s="25">
        <v>2</v>
      </c>
      <c r="H994" s="25">
        <v>0</v>
      </c>
      <c r="I994" s="25">
        <f t="shared" ref="I994:I1012" si="267">(F994+H994*F994)*G994</f>
        <v>2</v>
      </c>
      <c r="J994" s="25" t="str">
        <f>'Duplex Inferior - x2'!F7</f>
        <v>pç</v>
      </c>
      <c r="K994" s="26">
        <f>_xlfn.XLOOKUP($E994,PREÇO!$C$7:$C$91,PREÇO!$E$7:$E$91)</f>
        <v>191.81</v>
      </c>
      <c r="L994" s="66">
        <f>IF(SUM(F994:K994)=0,SUMIFS($L995:$L$1593,$B995:$B$1593,$B994,$A995:$A$1593,$A994),I994*K994)</f>
        <v>383.62</v>
      </c>
      <c r="N994"/>
      <c r="O994"/>
      <c r="P994" s="28"/>
      <c r="Q994" s="28"/>
      <c r="R994" s="28"/>
    </row>
    <row r="995" spans="1:18" outlineLevel="1">
      <c r="A995" s="24" t="str">
        <f t="shared" si="265"/>
        <v>GERAL</v>
      </c>
      <c r="B995" s="24" t="str">
        <f t="shared" si="266"/>
        <v>132º PAV. - DUPLEX INF REBAIXADOR- LANÇAMENTO</v>
      </c>
      <c r="C995" s="30" t="s">
        <v>221</v>
      </c>
      <c r="D995" s="30" t="str">
        <f>'Duplex Inferior - x2'!C8</f>
        <v>Atuadores</v>
      </c>
      <c r="E995" s="30" t="str">
        <f>'Duplex Inferior - x2'!D8</f>
        <v>Atuador Janela Desenfumagem</v>
      </c>
      <c r="F995" s="30">
        <f>'Duplex Inferior - x2'!E8</f>
        <v>1</v>
      </c>
      <c r="G995" s="25">
        <v>2</v>
      </c>
      <c r="H995" s="25">
        <v>0</v>
      </c>
      <c r="I995" s="25">
        <f t="shared" si="267"/>
        <v>2</v>
      </c>
      <c r="J995" s="25" t="str">
        <f>'Duplex Inferior - x2'!F8</f>
        <v>pç</v>
      </c>
      <c r="K995" s="26">
        <f>_xlfn.XLOOKUP($E995,PREÇO!$C$7:$C$91,PREÇO!$E$7:$E$91)</f>
        <v>1150</v>
      </c>
      <c r="L995" s="66">
        <f>IF(SUM(F995:K995)=0,SUMIFS($L996:$L$1593,$B996:$B$1593,$B995,$A996:$A$1593,$A995),I995*K995)</f>
        <v>2300</v>
      </c>
      <c r="N995"/>
      <c r="O995"/>
      <c r="P995" s="28"/>
      <c r="Q995" s="28"/>
      <c r="R995" s="28"/>
    </row>
    <row r="996" spans="1:18" outlineLevel="1">
      <c r="A996" s="24" t="str">
        <f t="shared" si="265"/>
        <v>GERAL</v>
      </c>
      <c r="B996" s="24" t="str">
        <f t="shared" si="266"/>
        <v>132º PAV. - DUPLEX INF REBAIXADOR- LANÇAMENTO</v>
      </c>
      <c r="C996" s="30" t="s">
        <v>221</v>
      </c>
      <c r="D996" s="30" t="str">
        <f>'Duplex Inferior - x2'!C9</f>
        <v>Atuadores</v>
      </c>
      <c r="E996" s="30" t="str">
        <f>'Duplex Inferior - x2'!D9</f>
        <v>Dispositivo Eletromagnético de Porta Aberta</v>
      </c>
      <c r="F996" s="30">
        <f>'Duplex Inferior - x2'!E9</f>
        <v>1</v>
      </c>
      <c r="G996" s="25">
        <v>2</v>
      </c>
      <c r="H996" s="25">
        <v>0</v>
      </c>
      <c r="I996" s="25">
        <f t="shared" si="267"/>
        <v>2</v>
      </c>
      <c r="J996" s="25" t="str">
        <f>'Duplex Inferior - x2'!F9</f>
        <v>pç</v>
      </c>
      <c r="K996" s="26">
        <f>_xlfn.XLOOKUP($E996,PREÇO!$C$7:$C$91,PREÇO!$E$7:$E$91)</f>
        <v>416.9</v>
      </c>
      <c r="L996" s="66">
        <f>IF(SUM(F996:K996)=0,SUMIFS($L997:$L$1593,$B997:$B$1593,$B996,$A997:$A$1593,$A996),I996*K996)</f>
        <v>833.8</v>
      </c>
      <c r="N996"/>
      <c r="O996"/>
      <c r="P996" s="28"/>
      <c r="Q996" s="28"/>
      <c r="R996" s="28"/>
    </row>
    <row r="997" spans="1:18" outlineLevel="1">
      <c r="A997" s="24" t="str">
        <f t="shared" si="265"/>
        <v>GERAL</v>
      </c>
      <c r="B997" s="24" t="str">
        <f t="shared" si="266"/>
        <v>132º PAV. - DUPLEX INF REBAIXADOR- LANÇAMENTO</v>
      </c>
      <c r="C997" s="30" t="s">
        <v>221</v>
      </c>
      <c r="D997" s="30" t="str">
        <f>'Duplex Inferior - x2'!C10</f>
        <v>Sensores</v>
      </c>
      <c r="E997" s="30" t="str">
        <f>'Duplex Inferior - x2'!D10</f>
        <v>Sensor de Fumaça</v>
      </c>
      <c r="F997" s="30">
        <f>'Duplex Inferior - x2'!E10</f>
        <v>9</v>
      </c>
      <c r="G997" s="25">
        <v>2</v>
      </c>
      <c r="H997" s="25">
        <v>0</v>
      </c>
      <c r="I997" s="25">
        <f t="shared" si="267"/>
        <v>18</v>
      </c>
      <c r="J997" s="25" t="str">
        <f>'Duplex Inferior - x2'!F10</f>
        <v>pç</v>
      </c>
      <c r="K997" s="26">
        <f>_xlfn.XLOOKUP($E997,PREÇO!$C$7:$C$91,PREÇO!$E$7:$E$91)</f>
        <v>53.9</v>
      </c>
      <c r="L997" s="66">
        <f>IF(SUM(F997:K997)=0,SUMIFS($L998:$L$1593,$B998:$B$1593,$B997,$A998:$A$1593,$A997),I997*K997)</f>
        <v>970.19999999999993</v>
      </c>
      <c r="N997"/>
      <c r="O997"/>
      <c r="P997" s="28"/>
      <c r="Q997" s="28"/>
      <c r="R997" s="28"/>
    </row>
    <row r="998" spans="1:18" outlineLevel="1">
      <c r="A998" s="24" t="str">
        <f t="shared" si="265"/>
        <v>GERAL</v>
      </c>
      <c r="B998" s="24" t="str">
        <f t="shared" si="266"/>
        <v>132º PAV. - DUPLEX INF REBAIXADOR- LANÇAMENTO</v>
      </c>
      <c r="C998" s="30" t="s">
        <v>221</v>
      </c>
      <c r="D998" s="30" t="str">
        <f>'Duplex Inferior - x2'!C13</f>
        <v>Caixas</v>
      </c>
      <c r="E998" s="30" t="str">
        <f>'Duplex Inferior - x2'!D13</f>
        <v>Caixa Octogonal Padrão NBR IEC 60670</v>
      </c>
      <c r="F998" s="30">
        <f>'Duplex Inferior - x2'!E13</f>
        <v>17</v>
      </c>
      <c r="G998" s="25">
        <v>2</v>
      </c>
      <c r="H998" s="25">
        <v>0</v>
      </c>
      <c r="I998" s="25">
        <f t="shared" si="267"/>
        <v>34</v>
      </c>
      <c r="J998" s="25" t="str">
        <f>'Duplex Inferior - x2'!F13</f>
        <v>pç</v>
      </c>
      <c r="K998" s="26">
        <f>_xlfn.XLOOKUP($E998,PREÇO!$C$7:$C$91,PREÇO!$E$7:$E$91)</f>
        <v>5.32</v>
      </c>
      <c r="L998" s="66">
        <f>IF(SUM(F998:K998)=0,SUMIFS($L999:$L$1593,$B999:$B$1593,$B998,$A999:$A$1593,$A998),I998*K998)</f>
        <v>180.88</v>
      </c>
      <c r="N998"/>
      <c r="O998"/>
      <c r="P998" s="28"/>
      <c r="Q998" s="28"/>
      <c r="R998" s="28"/>
    </row>
    <row r="999" spans="1:18" outlineLevel="1">
      <c r="A999" s="24" t="str">
        <f t="shared" si="265"/>
        <v>GERAL</v>
      </c>
      <c r="B999" s="24" t="str">
        <f t="shared" si="266"/>
        <v>132º PAV. - DUPLEX INF REBAIXADOR- LANÇAMENTO</v>
      </c>
      <c r="C999" s="30" t="s">
        <v>221</v>
      </c>
      <c r="D999" s="30" t="str">
        <f>'Duplex Inferior - x2'!C16</f>
        <v>Caixas</v>
      </c>
      <c r="E999" s="30" t="str">
        <f>'Duplex Inferior - x2'!D16</f>
        <v>Caixa 4x2" de Embutir em PVC Padrão NBR IEC 60670</v>
      </c>
      <c r="F999" s="30">
        <f>'Duplex Inferior - x2'!E16</f>
        <v>9</v>
      </c>
      <c r="G999" s="25">
        <v>2</v>
      </c>
      <c r="H999" s="25">
        <v>0</v>
      </c>
      <c r="I999" s="25">
        <f t="shared" si="267"/>
        <v>18</v>
      </c>
      <c r="J999" s="25" t="str">
        <f>'Duplex Inferior - x2'!F16</f>
        <v>pç</v>
      </c>
      <c r="K999" s="26">
        <f>_xlfn.XLOOKUP($E999,PREÇO!$C$7:$C$91,PREÇO!$E$7:$E$91)</f>
        <v>1.72</v>
      </c>
      <c r="L999" s="66">
        <f>IF(SUM(F999:K999)=0,SUMIFS($L1000:$L$1593,$B1000:$B$1593,$B999,$A1000:$A$1593,$A999),I999*K999)</f>
        <v>30.96</v>
      </c>
      <c r="N999"/>
      <c r="O999"/>
      <c r="P999" s="28"/>
      <c r="Q999" s="28"/>
      <c r="R999" s="28"/>
    </row>
    <row r="1000" spans="1:18" outlineLevel="1">
      <c r="A1000" s="24" t="str">
        <f t="shared" si="265"/>
        <v>GERAL</v>
      </c>
      <c r="B1000" s="24" t="str">
        <f t="shared" si="266"/>
        <v>132º PAV. - DUPLEX INF REBAIXADOR- LANÇAMENTO</v>
      </c>
      <c r="C1000" s="30" t="s">
        <v>221</v>
      </c>
      <c r="D1000" s="30" t="str">
        <f>'Duplex Inferior - x2'!C17</f>
        <v>Placas</v>
      </c>
      <c r="E1000" s="30" t="str">
        <f>'Duplex Inferior - x2'!D17</f>
        <v>Placa 4x2" cega Padrão NBR IEC 60670</v>
      </c>
      <c r="F1000" s="30">
        <f>'Duplex Inferior - x2'!E17</f>
        <v>3</v>
      </c>
      <c r="G1000" s="25">
        <v>2</v>
      </c>
      <c r="H1000" s="25">
        <v>0</v>
      </c>
      <c r="I1000" s="25">
        <f t="shared" si="267"/>
        <v>6</v>
      </c>
      <c r="J1000" s="25" t="str">
        <f>'Duplex Inferior - x2'!F17</f>
        <v>pç</v>
      </c>
      <c r="K1000" s="26">
        <f>_xlfn.XLOOKUP($E1000,PREÇO!$C$7:$C$91,PREÇO!$E$7:$E$91)</f>
        <v>4.59</v>
      </c>
      <c r="L1000" s="66">
        <f>IF(SUM(F1000:K1000)=0,SUMIFS($L1001:$L$1593,$B1001:$B$1593,$B1000,$A1001:$A$1593,$A1000),I1000*K1000)</f>
        <v>27.54</v>
      </c>
      <c r="N1000"/>
      <c r="O1000"/>
      <c r="P1000" s="28"/>
      <c r="Q1000" s="28"/>
      <c r="R1000" s="28"/>
    </row>
    <row r="1001" spans="1:18" outlineLevel="1">
      <c r="A1001" s="24" t="str">
        <f t="shared" si="265"/>
        <v>GERAL</v>
      </c>
      <c r="B1001" s="24" t="str">
        <f t="shared" si="266"/>
        <v>132º PAV. - DUPLEX INF REBAIXADOR- LANÇAMENTO</v>
      </c>
      <c r="C1001" s="30" t="s">
        <v>221</v>
      </c>
      <c r="D1001" s="30" t="str">
        <f>'Duplex Inferior - x2'!C18</f>
        <v>Placas</v>
      </c>
      <c r="E1001" s="30" t="str">
        <f>'Duplex Inferior - x2'!D18</f>
        <v>Placa 4x2" com furo para saída de cabos Padrão NBR IEC 60670</v>
      </c>
      <c r="F1001" s="30">
        <f>'Duplex Inferior - x2'!E18</f>
        <v>6</v>
      </c>
      <c r="G1001" s="25">
        <v>2</v>
      </c>
      <c r="H1001" s="25">
        <v>0</v>
      </c>
      <c r="I1001" s="25">
        <f t="shared" si="267"/>
        <v>12</v>
      </c>
      <c r="J1001" s="25" t="str">
        <f>'Duplex Inferior - x2'!F18</f>
        <v>pç</v>
      </c>
      <c r="K1001" s="26">
        <f>_xlfn.XLOOKUP($E1001,PREÇO!$C$7:$C$91,PREÇO!$E$7:$E$91)</f>
        <v>6.55</v>
      </c>
      <c r="L1001" s="66">
        <f>IF(SUM(F1001:K1001)=0,SUMIFS($L1002:$L$1593,$B1002:$B$1593,$B1001,$A1002:$A$1593,$A1001),I1001*K1001)</f>
        <v>78.599999999999994</v>
      </c>
      <c r="N1001"/>
      <c r="O1001"/>
      <c r="P1001" s="28"/>
      <c r="Q1001" s="28"/>
      <c r="R1001" s="28"/>
    </row>
    <row r="1002" spans="1:18" outlineLevel="1">
      <c r="A1002" s="24" t="str">
        <f t="shared" si="265"/>
        <v>GERAL</v>
      </c>
      <c r="B1002" s="24" t="str">
        <f t="shared" si="266"/>
        <v>132º PAV. - DUPLEX INF REBAIXADOR- LANÇAMENTO</v>
      </c>
      <c r="C1002" s="30" t="s">
        <v>221</v>
      </c>
      <c r="D1002" s="30" t="str">
        <f>'Duplex Inferior - x2'!C19</f>
        <v>Suportes</v>
      </c>
      <c r="E1002" s="30" t="str">
        <f>'Duplex Inferior - x2'!D19</f>
        <v>Suporte p/ caixa 4x2" Padrão NBR IEC 60670</v>
      </c>
      <c r="F1002" s="30">
        <f>'Duplex Inferior - x2'!E19</f>
        <v>9</v>
      </c>
      <c r="G1002" s="25">
        <v>2</v>
      </c>
      <c r="H1002" s="25">
        <v>0</v>
      </c>
      <c r="I1002" s="25">
        <f t="shared" si="267"/>
        <v>18</v>
      </c>
      <c r="J1002" s="25" t="str">
        <f>'Duplex Inferior - x2'!F19</f>
        <v>pç</v>
      </c>
      <c r="K1002" s="26">
        <f>_xlfn.XLOOKUP($E1002,PREÇO!$C$7:$C$91,PREÇO!$E$7:$E$91)</f>
        <v>1.85</v>
      </c>
      <c r="L1002" s="66">
        <f>IF(SUM(F1002:K1002)=0,SUMIFS($L1003:$L$1593,$B1003:$B$1593,$B1002,$A1003:$A$1593,$A1002),I1002*K1002)</f>
        <v>33.300000000000004</v>
      </c>
      <c r="N1002"/>
      <c r="O1002"/>
      <c r="P1002" s="28"/>
      <c r="Q1002" s="28"/>
      <c r="R1002" s="28"/>
    </row>
    <row r="1003" spans="1:18" outlineLevel="1">
      <c r="A1003" s="24" t="str">
        <f t="shared" si="265"/>
        <v>GERAL</v>
      </c>
      <c r="B1003" s="24" t="str">
        <f t="shared" si="266"/>
        <v>132º PAV. - DUPLEX INF REBAIXADOR- LANÇAMENTO</v>
      </c>
      <c r="C1003" s="30" t="s">
        <v>221</v>
      </c>
      <c r="D1003" s="30" t="str">
        <f>'Duplex Inferior - x2'!C22</f>
        <v>Embutir</v>
      </c>
      <c r="E1003" s="30" t="str">
        <f>'Duplex Inferior - x2'!D22</f>
        <v>Cx de passagem de embutir com dimensão de 50x50x15 cm</v>
      </c>
      <c r="F1003" s="30">
        <f>'Duplex Inferior - x2'!E22</f>
        <v>1</v>
      </c>
      <c r="G1003" s="25">
        <v>2</v>
      </c>
      <c r="H1003" s="25">
        <v>0</v>
      </c>
      <c r="I1003" s="25">
        <f t="shared" si="267"/>
        <v>2</v>
      </c>
      <c r="J1003" s="25" t="str">
        <f>'Duplex Inferior - x2'!F22</f>
        <v>pç</v>
      </c>
      <c r="K1003" s="26">
        <f>_xlfn.XLOOKUP($E1003,PREÇO!$C$7:$C$91,PREÇO!$E$7:$E$91)</f>
        <v>291.60000000000002</v>
      </c>
      <c r="L1003" s="66">
        <f>IF(SUM(F1003:K1003)=0,SUMIFS($L1004:$L$1593,$B1004:$B$1593,$B1003,$A1004:$A$1593,$A1003),I1003*K1003)</f>
        <v>583.20000000000005</v>
      </c>
      <c r="N1003"/>
      <c r="O1003"/>
      <c r="P1003" s="28"/>
      <c r="Q1003" s="28"/>
      <c r="R1003" s="28"/>
    </row>
    <row r="1004" spans="1:18" outlineLevel="1">
      <c r="A1004" s="24" t="str">
        <f t="shared" si="265"/>
        <v>GERAL</v>
      </c>
      <c r="B1004" s="24" t="str">
        <f t="shared" si="266"/>
        <v>132º PAV. - DUPLEX INF REBAIXADOR- LANÇAMENTO</v>
      </c>
      <c r="C1004" s="30" t="s">
        <v>221</v>
      </c>
      <c r="D1004" s="86" t="s">
        <v>46</v>
      </c>
      <c r="E1004" s="30" t="s">
        <v>44</v>
      </c>
      <c r="F1004" s="30">
        <f>'Duplex Inferior - x2'!E25</f>
        <v>3.6</v>
      </c>
      <c r="G1004" s="25">
        <v>2</v>
      </c>
      <c r="H1004" s="25">
        <v>0</v>
      </c>
      <c r="I1004" s="25">
        <f t="shared" si="267"/>
        <v>7.2</v>
      </c>
      <c r="J1004" s="25" t="str">
        <f>'Duplex Inferior - x2'!F25</f>
        <v>m</v>
      </c>
      <c r="K1004" s="26">
        <f>_xlfn.XLOOKUP($E1004,PREÇO!$C$7:$C$91,PREÇO!$E$7:$E$91)</f>
        <v>2.5299999999999998</v>
      </c>
      <c r="L1004" s="66">
        <f>IF(SUM(F1004:K1004)=0,SUMIFS($L1005:$L$1593,$B1005:$B$1593,$B1004,$A1005:$A$1593,$A1004),I1004*K1004)</f>
        <v>18.215999999999998</v>
      </c>
      <c r="N1004"/>
      <c r="O1004"/>
      <c r="P1004" s="28"/>
      <c r="Q1004" s="28"/>
      <c r="R1004" s="28"/>
    </row>
    <row r="1005" spans="1:18" outlineLevel="1">
      <c r="A1005" s="24" t="str">
        <f t="shared" si="265"/>
        <v>GERAL</v>
      </c>
      <c r="B1005" s="24" t="str">
        <f t="shared" si="266"/>
        <v>132º PAV. - DUPLEX INF REBAIXADOR- LANÇAMENTO</v>
      </c>
      <c r="C1005" s="30" t="s">
        <v>221</v>
      </c>
      <c r="D1005" s="86" t="s">
        <v>46</v>
      </c>
      <c r="E1005" s="30" t="s">
        <v>45</v>
      </c>
      <c r="F1005" s="30">
        <f>'Duplex Inferior - x2'!E26</f>
        <v>32.880000000000003</v>
      </c>
      <c r="G1005" s="25">
        <v>2</v>
      </c>
      <c r="H1005" s="25">
        <v>0</v>
      </c>
      <c r="I1005" s="25">
        <f t="shared" si="267"/>
        <v>65.760000000000005</v>
      </c>
      <c r="J1005" s="25" t="str">
        <f>'Duplex Inferior - x2'!F26</f>
        <v>m</v>
      </c>
      <c r="K1005" s="26">
        <f>_xlfn.XLOOKUP($E1005,PREÇO!$C$7:$C$91,PREÇO!$E$7:$E$91)</f>
        <v>1.8</v>
      </c>
      <c r="L1005" s="66">
        <f>IF(SUM(F1005:K1005)=0,SUMIFS($L1006:$L$1593,$B1006:$B$1593,$B1005,$A1006:$A$1593,$A1005),I1005*K1005)</f>
        <v>118.36800000000001</v>
      </c>
      <c r="N1005"/>
      <c r="O1005"/>
      <c r="P1005" s="28"/>
      <c r="Q1005" s="28"/>
      <c r="R1005" s="28"/>
    </row>
    <row r="1006" spans="1:18" outlineLevel="1">
      <c r="A1006" s="24" t="str">
        <f t="shared" si="265"/>
        <v>GERAL</v>
      </c>
      <c r="B1006" s="24" t="str">
        <f t="shared" si="266"/>
        <v>132º PAV. - DUPLEX INF REBAIXADOR- LANÇAMENTO</v>
      </c>
      <c r="C1006" s="30" t="s">
        <v>220</v>
      </c>
      <c r="D1006" s="30" t="str">
        <f>'Duplex Inferior - x2'!C29</f>
        <v>Luminárias e Placas de Saída</v>
      </c>
      <c r="E1006" s="30" t="str">
        <f>'Duplex Inferior - x2'!D29</f>
        <v>Luminária de Emergência 24V de Parede</v>
      </c>
      <c r="F1006" s="30">
        <f>'Duplex Inferior - x2'!E29</f>
        <v>3</v>
      </c>
      <c r="G1006" s="25">
        <v>2</v>
      </c>
      <c r="H1006" s="25">
        <v>0</v>
      </c>
      <c r="I1006" s="25">
        <f t="shared" si="267"/>
        <v>6</v>
      </c>
      <c r="J1006" s="25" t="str">
        <f>'Duplex Inferior - x2'!F29</f>
        <v>pç</v>
      </c>
      <c r="K1006" s="26">
        <f>_xlfn.XLOOKUP($E1006,PREÇO!$C$7:$C$91,PREÇO!$E$7:$E$91)</f>
        <v>15.9</v>
      </c>
      <c r="L1006" s="66">
        <f>IF(SUM(F1006:K1006)=0,SUMIFS($L1007:$L$1593,$B1007:$B$1593,$B1006,$A1007:$A$1593,$A1006),I1006*K1006)</f>
        <v>95.4</v>
      </c>
      <c r="N1006"/>
      <c r="O1006"/>
      <c r="P1006" s="28"/>
      <c r="Q1006" s="28"/>
      <c r="R1006" s="28"/>
    </row>
    <row r="1007" spans="1:18" outlineLevel="1">
      <c r="A1007" s="24" t="str">
        <f t="shared" si="265"/>
        <v>GERAL</v>
      </c>
      <c r="B1007" s="24" t="str">
        <f t="shared" si="266"/>
        <v>132º PAV. - DUPLEX INF REBAIXADOR- LANÇAMENTO</v>
      </c>
      <c r="C1007" s="30" t="s">
        <v>220</v>
      </c>
      <c r="D1007" s="30" t="str">
        <f>'Duplex Inferior - x2'!C30</f>
        <v>Luminárias e Placas de Saída</v>
      </c>
      <c r="E1007" s="30" t="str">
        <f>'Duplex Inferior - x2'!D30</f>
        <v>Luminária de Emergência 24V de Teto</v>
      </c>
      <c r="F1007" s="30">
        <f>'Duplex Inferior - x2'!E30</f>
        <v>5</v>
      </c>
      <c r="G1007" s="25">
        <v>2</v>
      </c>
      <c r="H1007" s="25">
        <v>0</v>
      </c>
      <c r="I1007" s="25">
        <f t="shared" si="267"/>
        <v>10</v>
      </c>
      <c r="J1007" s="25" t="str">
        <f>'Duplex Inferior - x2'!F30</f>
        <v>pç</v>
      </c>
      <c r="K1007" s="26">
        <f>_xlfn.XLOOKUP($E1007,PREÇO!$C$7:$C$91,PREÇO!$E$7:$E$91)</f>
        <v>69.900000000000006</v>
      </c>
      <c r="L1007" s="66">
        <f>IF(SUM(F1007:K1007)=0,SUMIFS($L1008:$L$1593,$B1008:$B$1593,$B1007,$A1008:$A$1593,$A1007),I1007*K1007)</f>
        <v>699</v>
      </c>
      <c r="N1007"/>
      <c r="O1007"/>
      <c r="P1007" s="28"/>
      <c r="Q1007" s="28"/>
      <c r="R1007" s="28"/>
    </row>
    <row r="1008" spans="1:18" outlineLevel="1">
      <c r="A1008" s="24" t="str">
        <f t="shared" si="265"/>
        <v>GERAL</v>
      </c>
      <c r="B1008" s="24" t="str">
        <f t="shared" si="266"/>
        <v>132º PAV. - DUPLEX INF REBAIXADOR- LANÇAMENTO</v>
      </c>
      <c r="C1008" s="24" t="s">
        <v>222</v>
      </c>
      <c r="D1008" s="30" t="str">
        <f>'Duplex Inferior - x2'!C31</f>
        <v>Luminárias e Placas de Saída</v>
      </c>
      <c r="E1008" s="30" t="str">
        <f>'Duplex Inferior - x2'!D31</f>
        <v>Placa de Saída 24V de Parede sem Direção</v>
      </c>
      <c r="F1008" s="30">
        <f>'Duplex Inferior - x2'!E31</f>
        <v>1</v>
      </c>
      <c r="G1008" s="25">
        <v>2</v>
      </c>
      <c r="H1008" s="25">
        <v>0</v>
      </c>
      <c r="I1008" s="25">
        <f t="shared" si="267"/>
        <v>2</v>
      </c>
      <c r="J1008" s="25" t="str">
        <f>'Duplex Inferior - x2'!F31</f>
        <v>pç</v>
      </c>
      <c r="K1008" s="26">
        <f>_xlfn.XLOOKUP($E1008,PREÇO!$C$7:$C$91,PREÇO!$E$7:$E$91)</f>
        <v>61.66</v>
      </c>
      <c r="L1008" s="66">
        <f>IF(SUM(F1008:K1008)=0,SUMIFS($L1010:$L$1593,$B1010:$B$1593,$B1008,$A1010:$A$1593,$A1008),I1008*K1008)</f>
        <v>123.32</v>
      </c>
      <c r="N1008"/>
      <c r="O1008"/>
      <c r="P1008" s="28"/>
      <c r="Q1008" s="28"/>
      <c r="R1008" s="28"/>
    </row>
    <row r="1009" spans="1:18" outlineLevel="1">
      <c r="A1009" s="116" t="str">
        <f>A1007</f>
        <v>GERAL</v>
      </c>
      <c r="B1009" s="116" t="str">
        <f>B1008</f>
        <v>132º PAV. - DUPLEX INF REBAIXADOR- LANÇAMENTO</v>
      </c>
      <c r="C1009" s="116" t="s">
        <v>222</v>
      </c>
      <c r="D1009" s="116" t="s">
        <v>223</v>
      </c>
      <c r="E1009" s="116" t="s">
        <v>224</v>
      </c>
      <c r="F1009" s="117">
        <v>1</v>
      </c>
      <c r="G1009" s="117">
        <f>G1008</f>
        <v>2</v>
      </c>
      <c r="H1009" s="118">
        <v>0</v>
      </c>
      <c r="I1009" s="117">
        <f t="shared" si="267"/>
        <v>2</v>
      </c>
      <c r="J1009" s="117" t="s">
        <v>11</v>
      </c>
      <c r="K1009" s="119">
        <f>_xlfn.XLOOKUP($E1009,PREÇO!$C$7:$C$91,PREÇO!$E$7:$E$91)</f>
        <v>646.55999999999995</v>
      </c>
      <c r="L1009" s="120">
        <f>IF(SUM(F1009:K1009)=0,SUMIFS($L1010:$L$1593,$B1010:$B$1593,$B1009,$A1010:$A$1593,$A1009),I1009*K1009)</f>
        <v>1293.1199999999999</v>
      </c>
      <c r="N1009"/>
      <c r="O1009"/>
      <c r="P1009" s="28"/>
      <c r="Q1009" s="28"/>
      <c r="R1009" s="28"/>
    </row>
    <row r="1010" spans="1:18" outlineLevel="1">
      <c r="A1010" s="24" t="str">
        <f>A1008</f>
        <v>GERAL</v>
      </c>
      <c r="B1010" s="24" t="str">
        <f>B1008</f>
        <v>132º PAV. - DUPLEX INF REBAIXADOR- LANÇAMENTO</v>
      </c>
      <c r="C1010" s="30" t="s">
        <v>220</v>
      </c>
      <c r="D1010" s="30" t="str">
        <f>'Duplex Inferior - x2'!C32</f>
        <v>Sensores de Presença</v>
      </c>
      <c r="E1010" s="30" t="str">
        <f>'Duplex Inferior - x2'!D32</f>
        <v>Sensor de Presença 24V de teto</v>
      </c>
      <c r="F1010" s="30">
        <f>'Duplex Inferior - x2'!E32</f>
        <v>3</v>
      </c>
      <c r="G1010" s="25">
        <v>2</v>
      </c>
      <c r="H1010" s="25">
        <v>0</v>
      </c>
      <c r="I1010" s="25">
        <f t="shared" si="267"/>
        <v>6</v>
      </c>
      <c r="J1010" s="25" t="str">
        <f>'Duplex Inferior - x2'!F32</f>
        <v>pç</v>
      </c>
      <c r="K1010" s="26">
        <f>_xlfn.XLOOKUP($E1010,PREÇO!$C$7:$C$91,PREÇO!$E$7:$E$91)</f>
        <v>38.4</v>
      </c>
      <c r="L1010" s="66">
        <f>IF(SUM(F1010:K1010)=0,SUMIFS($L1011:$L$1593,$B1011:$B$1593,$B1010,$A1011:$A$1593,$A1010),I1010*K1010)</f>
        <v>230.39999999999998</v>
      </c>
      <c r="N1010"/>
      <c r="O1010"/>
      <c r="P1010" s="28"/>
      <c r="Q1010" s="28"/>
      <c r="R1010" s="28"/>
    </row>
    <row r="1011" spans="1:18" outlineLevel="1">
      <c r="A1011" s="24" t="str">
        <f t="shared" si="265"/>
        <v>GERAL</v>
      </c>
      <c r="B1011" s="24" t="str">
        <f t="shared" si="266"/>
        <v>132º PAV. - DUPLEX INF REBAIXADOR- LANÇAMENTO</v>
      </c>
      <c r="C1011" s="30" t="s">
        <v>221</v>
      </c>
      <c r="D1011" s="86" t="s">
        <v>87</v>
      </c>
      <c r="E1011" s="30" t="s">
        <v>179</v>
      </c>
      <c r="F1011" s="30">
        <f>'Duplex Inferior - x2'!E35</f>
        <v>53.17</v>
      </c>
      <c r="G1011" s="25">
        <v>2</v>
      </c>
      <c r="H1011" s="25">
        <v>0</v>
      </c>
      <c r="I1011" s="25">
        <f t="shared" si="267"/>
        <v>106.34</v>
      </c>
      <c r="J1011" s="25" t="str">
        <f>'Duplex Inferior - x2'!F35</f>
        <v>m</v>
      </c>
      <c r="K1011" s="26">
        <f>_xlfn.XLOOKUP($E1011,PREÇO!$C$7:$C$91,PREÇO!$E$7:$E$91)</f>
        <v>1.59</v>
      </c>
      <c r="L1011" s="66">
        <f>IF(SUM(F1011:K1011)=0,SUMIFS($L1012:$L$1593,$B1012:$B$1593,$B1011,$A1012:$A$1593,$A1011),I1011*K1011)</f>
        <v>169.0806</v>
      </c>
      <c r="N1011"/>
      <c r="O1011"/>
      <c r="P1011" s="28"/>
      <c r="Q1011" s="28"/>
      <c r="R1011" s="28"/>
    </row>
    <row r="1012" spans="1:18" outlineLevel="1">
      <c r="A1012" s="24" t="str">
        <f t="shared" si="265"/>
        <v>GERAL</v>
      </c>
      <c r="B1012" s="24" t="str">
        <f t="shared" si="266"/>
        <v>132º PAV. - DUPLEX INF REBAIXADOR- LANÇAMENTO</v>
      </c>
      <c r="C1012" s="30" t="s">
        <v>221</v>
      </c>
      <c r="D1012" s="86" t="s">
        <v>87</v>
      </c>
      <c r="E1012" s="30" t="s">
        <v>180</v>
      </c>
      <c r="F1012" s="30">
        <f>'Duplex Inferior - x2'!E36</f>
        <v>55.08</v>
      </c>
      <c r="G1012" s="25">
        <v>2</v>
      </c>
      <c r="H1012" s="25">
        <v>0</v>
      </c>
      <c r="I1012" s="25">
        <f t="shared" si="267"/>
        <v>110.16</v>
      </c>
      <c r="J1012" s="25" t="str">
        <f>'Duplex Inferior - x2'!F36</f>
        <v>m</v>
      </c>
      <c r="K1012" s="26">
        <f>_xlfn.XLOOKUP($E1012,PREÇO!$C$7:$C$91,PREÇO!$E$7:$E$91)</f>
        <v>1.59</v>
      </c>
      <c r="L1012" s="66">
        <f>IF(SUM(F1012:K1012)=0,SUMIFS($L1013:$L$1593,$B1013:$B$1593,$B1012,$A1013:$A$1593,$A1012),I1012*K1012)</f>
        <v>175.15440000000001</v>
      </c>
      <c r="N1012"/>
      <c r="O1012"/>
      <c r="P1012" s="28"/>
      <c r="Q1012" s="28"/>
      <c r="R1012" s="28"/>
    </row>
    <row r="1013" spans="1:18" outlineLevel="1">
      <c r="A1013" s="24" t="str">
        <f t="shared" si="265"/>
        <v>GERAL</v>
      </c>
      <c r="B1013" s="24" t="str">
        <f t="shared" si="266"/>
        <v>132º PAV. - DUPLEX INF REBAIXADOR- LANÇAMENTO</v>
      </c>
      <c r="C1013" s="30" t="s">
        <v>221</v>
      </c>
      <c r="D1013" s="86" t="s">
        <v>87</v>
      </c>
      <c r="E1013" s="30" t="s">
        <v>181</v>
      </c>
      <c r="F1013" s="30">
        <f>'Duplex Inferior - x2'!E37</f>
        <v>55.08</v>
      </c>
      <c r="G1013" s="25">
        <v>2</v>
      </c>
      <c r="H1013" s="25">
        <v>0</v>
      </c>
      <c r="I1013" s="25">
        <f t="shared" ref="I1013:I1021" si="268">(F1013+H1013*F1013)*G1013</f>
        <v>110.16</v>
      </c>
      <c r="J1013" s="25" t="str">
        <f>'Duplex Inferior - x2'!F37</f>
        <v>m</v>
      </c>
      <c r="K1013" s="26">
        <f>_xlfn.XLOOKUP($E1013,PREÇO!$C$7:$C$91,PREÇO!$E$7:$E$91)</f>
        <v>1.59</v>
      </c>
      <c r="L1013" s="66">
        <f>IF(SUM(F1013:K1013)=0,SUMIFS($L1014:$L$1593,$B1014:$B$1593,$B1013,$A1014:$A$1593,$A1013),I1013*K1013)</f>
        <v>175.15440000000001</v>
      </c>
      <c r="N1013"/>
      <c r="O1013"/>
      <c r="P1013" s="28"/>
      <c r="Q1013" s="28"/>
      <c r="R1013" s="28"/>
    </row>
    <row r="1014" spans="1:18" outlineLevel="1">
      <c r="A1014" s="24" t="str">
        <f t="shared" si="265"/>
        <v>GERAL</v>
      </c>
      <c r="B1014" s="24" t="str">
        <f t="shared" si="266"/>
        <v>132º PAV. - DUPLEX INF REBAIXADOR- LANÇAMENTO</v>
      </c>
      <c r="C1014" s="30" t="s">
        <v>221</v>
      </c>
      <c r="D1014" s="86" t="s">
        <v>87</v>
      </c>
      <c r="E1014" s="30" t="s">
        <v>182</v>
      </c>
      <c r="F1014" s="30">
        <f>'Duplex Inferior - x2'!E38</f>
        <v>17.38</v>
      </c>
      <c r="G1014" s="25">
        <v>2</v>
      </c>
      <c r="H1014" s="25">
        <v>0</v>
      </c>
      <c r="I1014" s="25">
        <f t="shared" si="268"/>
        <v>34.76</v>
      </c>
      <c r="J1014" s="25" t="str">
        <f>'Duplex Inferior - x2'!F38</f>
        <v>m</v>
      </c>
      <c r="K1014" s="26">
        <f>_xlfn.XLOOKUP($E1014,PREÇO!$C$7:$C$91,PREÇO!$E$7:$E$91)</f>
        <v>2.19</v>
      </c>
      <c r="L1014" s="66">
        <f>IF(SUM(F1014:K1014)=0,SUMIFS($L1015:$L$1593,$B1015:$B$1593,$B1014,$A1015:$A$1593,$A1014),I1014*K1014)</f>
        <v>76.124399999999994</v>
      </c>
      <c r="N1014"/>
      <c r="O1014"/>
      <c r="P1014" s="28"/>
      <c r="Q1014" s="28"/>
      <c r="R1014" s="28"/>
    </row>
    <row r="1015" spans="1:18" outlineLevel="1">
      <c r="A1015" s="24" t="str">
        <f t="shared" si="265"/>
        <v>GERAL</v>
      </c>
      <c r="B1015" s="24" t="str">
        <f t="shared" si="266"/>
        <v>132º PAV. - DUPLEX INF REBAIXADOR- LANÇAMENTO</v>
      </c>
      <c r="C1015" s="30" t="s">
        <v>221</v>
      </c>
      <c r="D1015" s="86" t="s">
        <v>87</v>
      </c>
      <c r="E1015" s="30" t="s">
        <v>183</v>
      </c>
      <c r="F1015" s="30">
        <f>'Duplex Inferior - x2'!E39</f>
        <v>29.18</v>
      </c>
      <c r="G1015" s="25">
        <v>2</v>
      </c>
      <c r="H1015" s="25">
        <v>0</v>
      </c>
      <c r="I1015" s="25">
        <f t="shared" si="268"/>
        <v>58.36</v>
      </c>
      <c r="J1015" s="25" t="str">
        <f>'Duplex Inferior - x2'!F39</f>
        <v>m</v>
      </c>
      <c r="K1015" s="26">
        <f>_xlfn.XLOOKUP($E1015,PREÇO!$C$7:$C$91,PREÇO!$E$7:$E$91)</f>
        <v>2.19</v>
      </c>
      <c r="L1015" s="66">
        <f>IF(SUM(F1015:K1015)=0,SUMIFS($L1016:$L$1593,$B1016:$B$1593,$B1015,$A1016:$A$1593,$A1015),I1015*K1015)</f>
        <v>127.80839999999999</v>
      </c>
      <c r="N1015"/>
      <c r="O1015"/>
      <c r="P1015" s="28"/>
      <c r="Q1015" s="28"/>
      <c r="R1015" s="28"/>
    </row>
    <row r="1016" spans="1:18" outlineLevel="1">
      <c r="A1016" s="24" t="str">
        <f t="shared" si="265"/>
        <v>GERAL</v>
      </c>
      <c r="B1016" s="24" t="str">
        <f t="shared" si="266"/>
        <v>132º PAV. - DUPLEX INF REBAIXADOR- LANÇAMENTO</v>
      </c>
      <c r="C1016" s="30" t="s">
        <v>221</v>
      </c>
      <c r="D1016" s="86" t="s">
        <v>87</v>
      </c>
      <c r="E1016" s="30" t="s">
        <v>184</v>
      </c>
      <c r="F1016" s="30">
        <f>'Duplex Inferior - x2'!E40</f>
        <v>29.18</v>
      </c>
      <c r="G1016" s="25">
        <v>2</v>
      </c>
      <c r="H1016" s="25">
        <v>0</v>
      </c>
      <c r="I1016" s="25">
        <f t="shared" si="268"/>
        <v>58.36</v>
      </c>
      <c r="J1016" s="25" t="str">
        <f>'Duplex Inferior - x2'!F40</f>
        <v>m</v>
      </c>
      <c r="K1016" s="26">
        <f>_xlfn.XLOOKUP($E1016,PREÇO!$C$7:$C$91,PREÇO!$E$7:$E$91)</f>
        <v>2.19</v>
      </c>
      <c r="L1016" s="66">
        <f>IF(SUM(F1016:K1016)=0,SUMIFS($L1017:$L$1593,$B1017:$B$1593,$B1016,$A1017:$A$1593,$A1016),I1016*K1016)</f>
        <v>127.80839999999999</v>
      </c>
      <c r="N1016"/>
      <c r="O1016"/>
      <c r="P1016" s="28"/>
      <c r="Q1016" s="28"/>
      <c r="R1016" s="28"/>
    </row>
    <row r="1017" spans="1:18" outlineLevel="1">
      <c r="A1017" s="24" t="str">
        <f t="shared" si="265"/>
        <v>GERAL</v>
      </c>
      <c r="B1017" s="24" t="str">
        <f t="shared" si="266"/>
        <v>132º PAV. - DUPLEX INF REBAIXADOR- LANÇAMENTO</v>
      </c>
      <c r="C1017" s="30" t="s">
        <v>221</v>
      </c>
      <c r="D1017" s="86" t="s">
        <v>46</v>
      </c>
      <c r="E1017" s="30" t="s">
        <v>44</v>
      </c>
      <c r="F1017" s="30">
        <f>'Duplex Inferior - x2'!E44</f>
        <v>104.1</v>
      </c>
      <c r="G1017" s="25">
        <v>2</v>
      </c>
      <c r="H1017" s="25">
        <v>0</v>
      </c>
      <c r="I1017" s="25">
        <f t="shared" si="268"/>
        <v>208.2</v>
      </c>
      <c r="J1017" s="25" t="str">
        <f>'Duplex Inferior - x2'!F44</f>
        <v>m</v>
      </c>
      <c r="K1017" s="26">
        <f>_xlfn.XLOOKUP($E1017,PREÇO!$C$7:$C$91,PREÇO!$E$7:$E$91)</f>
        <v>2.5299999999999998</v>
      </c>
      <c r="L1017" s="66">
        <f>IF(SUM(F1017:K1017)=0,SUMIFS($L1018:$L$1593,$B1018:$B$1593,$B1017,$A1018:$A$1593,$A1017),I1017*K1017)</f>
        <v>526.74599999999998</v>
      </c>
      <c r="N1017"/>
      <c r="O1017"/>
      <c r="P1017" s="28"/>
      <c r="Q1017" s="28"/>
      <c r="R1017" s="28"/>
    </row>
    <row r="1018" spans="1:18" outlineLevel="1">
      <c r="A1018" s="24" t="str">
        <f t="shared" si="265"/>
        <v>GERAL</v>
      </c>
      <c r="B1018" s="24" t="str">
        <f t="shared" si="266"/>
        <v>132º PAV. - DUPLEX INF REBAIXADOR- LANÇAMENTO</v>
      </c>
      <c r="C1018" s="30" t="s">
        <v>221</v>
      </c>
      <c r="D1018" s="86" t="s">
        <v>89</v>
      </c>
      <c r="E1018" s="30" t="s">
        <v>185</v>
      </c>
      <c r="F1018" s="30">
        <f>'Duplex Inferior - x2'!E47</f>
        <v>97.7</v>
      </c>
      <c r="G1018" s="25">
        <v>2</v>
      </c>
      <c r="H1018" s="25">
        <v>0</v>
      </c>
      <c r="I1018" s="25">
        <f t="shared" si="268"/>
        <v>195.4</v>
      </c>
      <c r="J1018" s="25" t="str">
        <f>'Duplex Inferior - x2'!F47</f>
        <v>m</v>
      </c>
      <c r="K1018" s="26">
        <f>_xlfn.XLOOKUP($E1018,PREÇO!$C$7:$C$91,PREÇO!$E$7:$E$91)</f>
        <v>0.99</v>
      </c>
      <c r="L1018" s="66">
        <f>IF(SUM(F1018:K1018)=0,SUMIFS($L1019:$L$1593,$B1019:$B$1593,$B1018,$A1019:$A$1593,$A1018),I1018*K1018)</f>
        <v>193.446</v>
      </c>
      <c r="N1018"/>
      <c r="O1018"/>
      <c r="P1018" s="28"/>
      <c r="Q1018" s="28"/>
      <c r="R1018" s="28"/>
    </row>
    <row r="1019" spans="1:18" ht="15.75" outlineLevel="1" thickBot="1">
      <c r="A1019" s="24" t="str">
        <f t="shared" si="265"/>
        <v>GERAL</v>
      </c>
      <c r="B1019" s="24" t="str">
        <f t="shared" si="266"/>
        <v>132º PAV. - DUPLEX INF REBAIXADOR- LANÇAMENTO</v>
      </c>
      <c r="C1019" s="30" t="s">
        <v>221</v>
      </c>
      <c r="D1019" s="86" t="s">
        <v>89</v>
      </c>
      <c r="E1019" s="30" t="s">
        <v>186</v>
      </c>
      <c r="F1019" s="30">
        <f>'Duplex Inferior - x2'!E48</f>
        <v>90.1</v>
      </c>
      <c r="G1019" s="25">
        <v>2</v>
      </c>
      <c r="H1019" s="25">
        <v>0</v>
      </c>
      <c r="I1019" s="25">
        <f t="shared" si="268"/>
        <v>180.2</v>
      </c>
      <c r="J1019" s="25" t="str">
        <f>'Duplex Inferior - x2'!F48</f>
        <v>m</v>
      </c>
      <c r="K1019" s="26">
        <f>_xlfn.XLOOKUP($E1019,PREÇO!$C$7:$C$91,PREÇO!$E$7:$E$91)</f>
        <v>1.69</v>
      </c>
      <c r="L1019" s="66">
        <f>IF(SUM(F1019:K1019)=0,SUMIFS($L1020:$L$1593,$B1020:$B$1593,$B1019,$A1020:$A$1593,$A1019),I1019*K1019)</f>
        <v>304.53799999999995</v>
      </c>
      <c r="N1019"/>
      <c r="O1019"/>
      <c r="P1019" s="28"/>
      <c r="Q1019" s="28"/>
      <c r="R1019" s="28"/>
    </row>
    <row r="1020" spans="1:18" ht="15.75" thickTop="1">
      <c r="A1020" s="82" t="s">
        <v>19</v>
      </c>
      <c r="B1020" s="82" t="s">
        <v>197</v>
      </c>
      <c r="C1020" s="43"/>
      <c r="D1020" s="44" t="str">
        <f>'Duplex Inferior - x2'!C49</f>
        <v/>
      </c>
      <c r="E1020" s="44" t="str">
        <f>'Duplex Inferior - x2'!D49</f>
        <v/>
      </c>
      <c r="F1020" s="45" t="str">
        <f>'Duplex Inferior - x2'!E49</f>
        <v/>
      </c>
      <c r="G1020" s="45"/>
      <c r="H1020" s="45"/>
      <c r="I1020" s="45"/>
      <c r="J1020" s="45" t="str">
        <f>'Duplex Inferior - x2'!F49</f>
        <v/>
      </c>
      <c r="K1020" s="47"/>
      <c r="L1020" s="48">
        <f>IF(SUM(F1020:K1020)=0,SUMIFS($L1021:$L$1593,$B1021:$B$1593,$B1020,$A1021:$A$1593,$A1020),I1020*K1020)</f>
        <v>12231.716399999999</v>
      </c>
      <c r="N1020"/>
      <c r="O1020"/>
      <c r="P1020" s="28"/>
      <c r="Q1020" s="28"/>
      <c r="R1020" s="28"/>
    </row>
    <row r="1021" spans="1:18" outlineLevel="1">
      <c r="A1021" s="24" t="str">
        <f>A1020</f>
        <v>GERAL</v>
      </c>
      <c r="B1021" s="24" t="str">
        <f>B1020</f>
        <v>133º PAV. - DUPLEX SUP - LANÇAMENTO</v>
      </c>
      <c r="C1021" s="30" t="s">
        <v>221</v>
      </c>
      <c r="D1021" s="30" t="str">
        <f>'Duplex Superior - x2'!C6</f>
        <v>Acionadores</v>
      </c>
      <c r="E1021" s="30" t="str">
        <f>'Duplex Superior - x2'!D6</f>
        <v>Acionador Manual de Alarme de Incêndio</v>
      </c>
      <c r="F1021" s="30">
        <f>'Duplex Superior - x2'!E6</f>
        <v>1</v>
      </c>
      <c r="G1021" s="25">
        <v>2</v>
      </c>
      <c r="H1021" s="25">
        <v>0</v>
      </c>
      <c r="I1021" s="25">
        <f t="shared" si="268"/>
        <v>2</v>
      </c>
      <c r="J1021" s="25" t="str">
        <f>'Duplex Superior - x2'!F6</f>
        <v>pç</v>
      </c>
      <c r="K1021" s="26">
        <f>_xlfn.XLOOKUP($E1021,PREÇO!$C$7:$C$91,PREÇO!$E$7:$E$91)</f>
        <v>65</v>
      </c>
      <c r="L1021" s="66">
        <f>IF(SUM(F1021:K1021)=0,SUMIFS($L1022:$L$1593,$B1022:$B$1593,$B1021,$A1022:$A$1593,$A1021),I1021*K1021)</f>
        <v>130</v>
      </c>
      <c r="N1021"/>
      <c r="O1021"/>
      <c r="P1021" s="28"/>
      <c r="Q1021" s="28"/>
      <c r="R1021" s="28"/>
    </row>
    <row r="1022" spans="1:18" outlineLevel="1">
      <c r="A1022" s="24" t="str">
        <f t="shared" ref="A1022:A1048" si="269">A1021</f>
        <v>GERAL</v>
      </c>
      <c r="B1022" s="24" t="str">
        <f t="shared" ref="B1022:B1048" si="270">B1021</f>
        <v>133º PAV. - DUPLEX SUP - LANÇAMENTO</v>
      </c>
      <c r="C1022" s="30" t="s">
        <v>221</v>
      </c>
      <c r="D1022" s="30" t="str">
        <f>'Duplex Superior - x2'!C7</f>
        <v>Anunciadores</v>
      </c>
      <c r="E1022" s="30" t="str">
        <f>'Duplex Superior - x2'!D7</f>
        <v>Anunciador Audiovisual de Alarme de Incêndio de Parede</v>
      </c>
      <c r="F1022" s="30">
        <f>'Duplex Superior - x2'!E7</f>
        <v>1</v>
      </c>
      <c r="G1022" s="25">
        <v>2</v>
      </c>
      <c r="H1022" s="25">
        <v>0</v>
      </c>
      <c r="I1022" s="25">
        <f t="shared" ref="I1022:I1032" si="271">(F1022+H1022*F1022)*G1022</f>
        <v>2</v>
      </c>
      <c r="J1022" s="25" t="str">
        <f>'Duplex Superior - x2'!F7</f>
        <v>pç</v>
      </c>
      <c r="K1022" s="26">
        <f>_xlfn.XLOOKUP($E1022,PREÇO!$C$7:$C$91,PREÇO!$E$7:$E$91)</f>
        <v>191.81</v>
      </c>
      <c r="L1022" s="66">
        <f>IF(SUM(F1022:K1022)=0,SUMIFS($L1023:$L$1593,$B1023:$B$1593,$B1022,$A1023:$A$1593,$A1022),I1022*K1022)</f>
        <v>383.62</v>
      </c>
      <c r="N1022"/>
      <c r="O1022"/>
      <c r="P1022" s="28"/>
      <c r="Q1022" s="28"/>
      <c r="R1022" s="28"/>
    </row>
    <row r="1023" spans="1:18" outlineLevel="1">
      <c r="A1023" s="24" t="str">
        <f t="shared" si="269"/>
        <v>GERAL</v>
      </c>
      <c r="B1023" s="24" t="str">
        <f t="shared" si="270"/>
        <v>133º PAV. - DUPLEX SUP - LANÇAMENTO</v>
      </c>
      <c r="C1023" s="30" t="s">
        <v>221</v>
      </c>
      <c r="D1023" s="30" t="str">
        <f>'Duplex Superior - x2'!C8</f>
        <v>Anunciadores</v>
      </c>
      <c r="E1023" s="30" t="str">
        <f>'Duplex Superior - x2'!D8</f>
        <v>Anunciador Audiovisual de Alarme de Incêndio de Teto</v>
      </c>
      <c r="F1023" s="30">
        <f>'Duplex Superior - x2'!E8</f>
        <v>2</v>
      </c>
      <c r="G1023" s="25">
        <v>2</v>
      </c>
      <c r="H1023" s="25">
        <v>0</v>
      </c>
      <c r="I1023" s="25">
        <f t="shared" si="271"/>
        <v>4</v>
      </c>
      <c r="J1023" s="25" t="str">
        <f>'Duplex Superior - x2'!F8</f>
        <v>pç</v>
      </c>
      <c r="K1023" s="26">
        <f>_xlfn.XLOOKUP($E1023,PREÇO!$C$7:$C$91,PREÇO!$E$7:$E$91)</f>
        <v>169.96</v>
      </c>
      <c r="L1023" s="66">
        <f>IF(SUM(F1023:K1023)=0,SUMIFS($L1024:$L$1593,$B1024:$B$1593,$B1023,$A1024:$A$1593,$A1023),I1023*K1023)</f>
        <v>679.84</v>
      </c>
      <c r="N1023"/>
      <c r="O1023"/>
      <c r="P1023" s="28"/>
      <c r="Q1023" s="28"/>
      <c r="R1023" s="28"/>
    </row>
    <row r="1024" spans="1:18" outlineLevel="1">
      <c r="A1024" s="24" t="str">
        <f t="shared" si="269"/>
        <v>GERAL</v>
      </c>
      <c r="B1024" s="24" t="str">
        <f t="shared" si="270"/>
        <v>133º PAV. - DUPLEX SUP - LANÇAMENTO</v>
      </c>
      <c r="C1024" s="30" t="s">
        <v>221</v>
      </c>
      <c r="D1024" s="30" t="str">
        <f>'Duplex Superior - x2'!C9</f>
        <v>Atuadores</v>
      </c>
      <c r="E1024" s="30" t="str">
        <f>'Duplex Superior - x2'!D9</f>
        <v>Atuador Janela Desenfumagem</v>
      </c>
      <c r="F1024" s="30">
        <f>'Duplex Superior - x2'!E9</f>
        <v>1</v>
      </c>
      <c r="G1024" s="25">
        <v>2</v>
      </c>
      <c r="H1024" s="25">
        <v>0</v>
      </c>
      <c r="I1024" s="25">
        <f t="shared" si="271"/>
        <v>2</v>
      </c>
      <c r="J1024" s="25" t="str">
        <f>'Duplex Superior - x2'!F9</f>
        <v>pç</v>
      </c>
      <c r="K1024" s="26">
        <f>_xlfn.XLOOKUP($E1024,PREÇO!$C$7:$C$91,PREÇO!$E$7:$E$91)</f>
        <v>1150</v>
      </c>
      <c r="L1024" s="66">
        <f>IF(SUM(F1024:K1024)=0,SUMIFS($L1025:$L$1593,$B1025:$B$1593,$B1024,$A1025:$A$1593,$A1024),I1024*K1024)</f>
        <v>2300</v>
      </c>
      <c r="N1024"/>
      <c r="O1024"/>
      <c r="P1024" s="28"/>
      <c r="Q1024" s="28"/>
      <c r="R1024" s="28"/>
    </row>
    <row r="1025" spans="1:18" outlineLevel="1">
      <c r="A1025" s="24" t="str">
        <f t="shared" si="269"/>
        <v>GERAL</v>
      </c>
      <c r="B1025" s="24" t="str">
        <f t="shared" si="270"/>
        <v>133º PAV. - DUPLEX SUP - LANÇAMENTO</v>
      </c>
      <c r="C1025" s="30" t="s">
        <v>221</v>
      </c>
      <c r="D1025" s="30" t="str">
        <f>'Duplex Superior - x2'!C10</f>
        <v>Atuadores</v>
      </c>
      <c r="E1025" s="30" t="str">
        <f>'Duplex Superior - x2'!D10</f>
        <v>Dispositivo Eletromagnético de Porta Aberta</v>
      </c>
      <c r="F1025" s="30">
        <f>'Duplex Superior - x2'!E10</f>
        <v>1</v>
      </c>
      <c r="G1025" s="25">
        <v>2</v>
      </c>
      <c r="H1025" s="25">
        <v>0</v>
      </c>
      <c r="I1025" s="25">
        <f t="shared" si="271"/>
        <v>2</v>
      </c>
      <c r="J1025" s="25" t="str">
        <f>'Duplex Superior - x2'!F10</f>
        <v>pç</v>
      </c>
      <c r="K1025" s="26">
        <f>_xlfn.XLOOKUP($E1025,PREÇO!$C$7:$C$91,PREÇO!$E$7:$E$91)</f>
        <v>416.9</v>
      </c>
      <c r="L1025" s="66">
        <f>IF(SUM(F1025:K1025)=0,SUMIFS($L1026:$L$1593,$B1026:$B$1593,$B1025,$A1026:$A$1593,$A1025),I1025*K1025)</f>
        <v>833.8</v>
      </c>
      <c r="N1025"/>
      <c r="O1025"/>
      <c r="P1025" s="28"/>
      <c r="Q1025" s="28"/>
      <c r="R1025" s="28"/>
    </row>
    <row r="1026" spans="1:18" outlineLevel="1">
      <c r="A1026" s="24" t="str">
        <f t="shared" si="269"/>
        <v>GERAL</v>
      </c>
      <c r="B1026" s="24" t="str">
        <f t="shared" si="270"/>
        <v>133º PAV. - DUPLEX SUP - LANÇAMENTO</v>
      </c>
      <c r="C1026" s="30" t="s">
        <v>221</v>
      </c>
      <c r="D1026" s="30" t="str">
        <f>'Duplex Superior - x2'!C11</f>
        <v>Sensores</v>
      </c>
      <c r="E1026" s="30" t="str">
        <f>'Duplex Superior - x2'!D11</f>
        <v>Sensor de Fumaça</v>
      </c>
      <c r="F1026" s="30">
        <f>'Duplex Superior - x2'!E11</f>
        <v>19</v>
      </c>
      <c r="G1026" s="25">
        <v>2</v>
      </c>
      <c r="H1026" s="25">
        <v>0</v>
      </c>
      <c r="I1026" s="25">
        <f t="shared" si="271"/>
        <v>38</v>
      </c>
      <c r="J1026" s="25" t="str">
        <f>'Duplex Superior - x2'!F11</f>
        <v>pç</v>
      </c>
      <c r="K1026" s="26">
        <f>_xlfn.XLOOKUP($E1026,PREÇO!$C$7:$C$91,PREÇO!$E$7:$E$91)</f>
        <v>53.9</v>
      </c>
      <c r="L1026" s="66">
        <f>IF(SUM(F1026:K1026)=0,SUMIFS($L1027:$L$1593,$B1027:$B$1593,$B1026,$A1027:$A$1593,$A1026),I1026*K1026)</f>
        <v>2048.1999999999998</v>
      </c>
      <c r="N1026"/>
      <c r="O1026"/>
      <c r="P1026" s="28"/>
      <c r="Q1026" s="28"/>
      <c r="R1026" s="28"/>
    </row>
    <row r="1027" spans="1:18" outlineLevel="1">
      <c r="A1027" s="24" t="str">
        <f t="shared" si="269"/>
        <v>GERAL</v>
      </c>
      <c r="B1027" s="24" t="str">
        <f t="shared" si="270"/>
        <v>133º PAV. - DUPLEX SUP - LANÇAMENTO</v>
      </c>
      <c r="C1027" s="30" t="s">
        <v>221</v>
      </c>
      <c r="D1027" s="30" t="str">
        <f>'Duplex Superior - x2'!C14</f>
        <v>Caixas</v>
      </c>
      <c r="E1027" s="30" t="str">
        <f>'Duplex Superior - x2'!D14</f>
        <v>Caixa Octogonal Padrão NBR IEC 60670</v>
      </c>
      <c r="F1027" s="30">
        <f>'Duplex Superior - x2'!E14</f>
        <v>31</v>
      </c>
      <c r="G1027" s="25">
        <v>2</v>
      </c>
      <c r="H1027" s="25">
        <v>0</v>
      </c>
      <c r="I1027" s="25">
        <f t="shared" si="271"/>
        <v>62</v>
      </c>
      <c r="J1027" s="25" t="str">
        <f>'Duplex Superior - x2'!F14</f>
        <v>pç</v>
      </c>
      <c r="K1027" s="26">
        <f>_xlfn.XLOOKUP($E1027,PREÇO!$C$7:$C$91,PREÇO!$E$7:$E$91)</f>
        <v>5.32</v>
      </c>
      <c r="L1027" s="66">
        <f>IF(SUM(F1027:K1027)=0,SUMIFS($L1028:$L$1593,$B1028:$B$1593,$B1027,$A1028:$A$1593,$A1027),I1027*K1027)</f>
        <v>329.84000000000003</v>
      </c>
      <c r="N1027"/>
      <c r="O1027"/>
      <c r="P1027" s="28"/>
      <c r="Q1027" s="28"/>
      <c r="R1027" s="28"/>
    </row>
    <row r="1028" spans="1:18" outlineLevel="1">
      <c r="A1028" s="24" t="str">
        <f t="shared" si="269"/>
        <v>GERAL</v>
      </c>
      <c r="B1028" s="24" t="str">
        <f t="shared" si="270"/>
        <v>133º PAV. - DUPLEX SUP - LANÇAMENTO</v>
      </c>
      <c r="C1028" s="30" t="s">
        <v>221</v>
      </c>
      <c r="D1028" s="30" t="str">
        <f>'Duplex Superior - x2'!C15</f>
        <v>Placas</v>
      </c>
      <c r="E1028" s="30" t="str">
        <f>'Duplex Superior - x2'!D15</f>
        <v>Placa cega para caixa octogonal Padrão NBR IEC 60670</v>
      </c>
      <c r="F1028" s="30">
        <f>'Duplex Superior - x2'!E15</f>
        <v>2</v>
      </c>
      <c r="G1028" s="25">
        <v>2</v>
      </c>
      <c r="H1028" s="25">
        <v>0</v>
      </c>
      <c r="I1028" s="25">
        <f t="shared" si="271"/>
        <v>4</v>
      </c>
      <c r="J1028" s="25" t="str">
        <f>'Duplex Superior - x2'!F15</f>
        <v>pç</v>
      </c>
      <c r="K1028" s="26">
        <f>_xlfn.XLOOKUP($E1028,PREÇO!$C$7:$C$91,PREÇO!$E$7:$E$91)</f>
        <v>2.5</v>
      </c>
      <c r="L1028" s="66">
        <f>IF(SUM(F1028:K1028)=0,SUMIFS($L1029:$L$1593,$B1029:$B$1593,$B1028,$A1029:$A$1593,$A1028),I1028*K1028)</f>
        <v>10</v>
      </c>
      <c r="N1028"/>
      <c r="O1028"/>
      <c r="P1028" s="28"/>
      <c r="Q1028" s="28"/>
      <c r="R1028" s="28"/>
    </row>
    <row r="1029" spans="1:18" outlineLevel="1">
      <c r="A1029" s="24" t="str">
        <f t="shared" si="269"/>
        <v>GERAL</v>
      </c>
      <c r="B1029" s="24" t="str">
        <f t="shared" si="270"/>
        <v>133º PAV. - DUPLEX SUP - LANÇAMENTO</v>
      </c>
      <c r="C1029" s="30" t="s">
        <v>221</v>
      </c>
      <c r="D1029" s="30" t="str">
        <f>'Duplex Superior - x2'!C18</f>
        <v>Caixas</v>
      </c>
      <c r="E1029" s="30" t="str">
        <f>'Duplex Superior - x2'!D18</f>
        <v>Caixa 4x2" de Embutir em PVC Padrão NBR IEC 60670</v>
      </c>
      <c r="F1029" s="30">
        <f>'Duplex Superior - x2'!E18</f>
        <v>9</v>
      </c>
      <c r="G1029" s="25">
        <v>2</v>
      </c>
      <c r="H1029" s="25">
        <v>0</v>
      </c>
      <c r="I1029" s="25">
        <f t="shared" si="271"/>
        <v>18</v>
      </c>
      <c r="J1029" s="25" t="str">
        <f>'Duplex Superior - x2'!F18</f>
        <v>pç</v>
      </c>
      <c r="K1029" s="26">
        <f>_xlfn.XLOOKUP($E1029,PREÇO!$C$7:$C$91,PREÇO!$E$7:$E$91)</f>
        <v>1.72</v>
      </c>
      <c r="L1029" s="66">
        <f>IF(SUM(F1029:K1029)=0,SUMIFS($L1030:$L$1593,$B1030:$B$1593,$B1029,$A1030:$A$1593,$A1029),I1029*K1029)</f>
        <v>30.96</v>
      </c>
      <c r="N1029"/>
      <c r="O1029"/>
      <c r="P1029" s="28"/>
      <c r="Q1029" s="28"/>
      <c r="R1029" s="28"/>
    </row>
    <row r="1030" spans="1:18" outlineLevel="1">
      <c r="A1030" s="24" t="str">
        <f t="shared" si="269"/>
        <v>GERAL</v>
      </c>
      <c r="B1030" s="24" t="str">
        <f t="shared" si="270"/>
        <v>133º PAV. - DUPLEX SUP - LANÇAMENTO</v>
      </c>
      <c r="C1030" s="30" t="s">
        <v>221</v>
      </c>
      <c r="D1030" s="30" t="str">
        <f>'Duplex Superior - x2'!C19</f>
        <v>Placas</v>
      </c>
      <c r="E1030" s="30" t="str">
        <f>'Duplex Superior - x2'!D19</f>
        <v>Placa 4x2" cega Padrão NBR IEC 60670</v>
      </c>
      <c r="F1030" s="30">
        <f>'Duplex Superior - x2'!E19</f>
        <v>3</v>
      </c>
      <c r="G1030" s="25">
        <v>2</v>
      </c>
      <c r="H1030" s="25">
        <v>0</v>
      </c>
      <c r="I1030" s="25">
        <f t="shared" si="271"/>
        <v>6</v>
      </c>
      <c r="J1030" s="25" t="str">
        <f>'Duplex Superior - x2'!F19</f>
        <v>pç</v>
      </c>
      <c r="K1030" s="26">
        <f>_xlfn.XLOOKUP($E1030,PREÇO!$C$7:$C$91,PREÇO!$E$7:$E$91)</f>
        <v>4.59</v>
      </c>
      <c r="L1030" s="66">
        <f>IF(SUM(F1030:K1030)=0,SUMIFS($L1031:$L$1593,$B1031:$B$1593,$B1030,$A1031:$A$1593,$A1030),I1030*K1030)</f>
        <v>27.54</v>
      </c>
      <c r="N1030"/>
      <c r="O1030"/>
      <c r="P1030" s="28"/>
      <c r="Q1030" s="28"/>
      <c r="R1030" s="28"/>
    </row>
    <row r="1031" spans="1:18" outlineLevel="1">
      <c r="A1031" s="24" t="str">
        <f t="shared" si="269"/>
        <v>GERAL</v>
      </c>
      <c r="B1031" s="24" t="str">
        <f t="shared" si="270"/>
        <v>133º PAV. - DUPLEX SUP - LANÇAMENTO</v>
      </c>
      <c r="C1031" s="30" t="s">
        <v>221</v>
      </c>
      <c r="D1031" s="30" t="str">
        <f>'Duplex Superior - x2'!C20</f>
        <v>Placas</v>
      </c>
      <c r="E1031" s="30" t="str">
        <f>'Duplex Superior - x2'!D20</f>
        <v>Placa 4x2" com furo para saída de cabos Padrão NBR IEC 60670</v>
      </c>
      <c r="F1031" s="30">
        <f>'Duplex Superior - x2'!E20</f>
        <v>6</v>
      </c>
      <c r="G1031" s="25">
        <v>2</v>
      </c>
      <c r="H1031" s="25">
        <v>0</v>
      </c>
      <c r="I1031" s="25">
        <f t="shared" si="271"/>
        <v>12</v>
      </c>
      <c r="J1031" s="25" t="str">
        <f>'Duplex Superior - x2'!F20</f>
        <v>pç</v>
      </c>
      <c r="K1031" s="26">
        <f>_xlfn.XLOOKUP($E1031,PREÇO!$C$7:$C$91,PREÇO!$E$7:$E$91)</f>
        <v>6.55</v>
      </c>
      <c r="L1031" s="66">
        <f>IF(SUM(F1031:K1031)=0,SUMIFS($L1032:$L$1593,$B1032:$B$1593,$B1031,$A1032:$A$1593,$A1031),I1031*K1031)</f>
        <v>78.599999999999994</v>
      </c>
      <c r="N1031"/>
      <c r="O1031"/>
      <c r="P1031" s="28"/>
      <c r="Q1031" s="28"/>
      <c r="R1031" s="28"/>
    </row>
    <row r="1032" spans="1:18" outlineLevel="1">
      <c r="A1032" s="24" t="str">
        <f t="shared" si="269"/>
        <v>GERAL</v>
      </c>
      <c r="B1032" s="24" t="str">
        <f t="shared" si="270"/>
        <v>133º PAV. - DUPLEX SUP - LANÇAMENTO</v>
      </c>
      <c r="C1032" s="30" t="s">
        <v>221</v>
      </c>
      <c r="D1032" s="30" t="str">
        <f>'Duplex Superior - x2'!C21</f>
        <v>Suportes</v>
      </c>
      <c r="E1032" s="30" t="str">
        <f>'Duplex Superior - x2'!D21</f>
        <v>Suporte p/ caixa 4x2" Padrão NBR IEC 60670</v>
      </c>
      <c r="F1032" s="30">
        <f>'Duplex Superior - x2'!E21</f>
        <v>9</v>
      </c>
      <c r="G1032" s="25">
        <v>2</v>
      </c>
      <c r="H1032" s="25">
        <v>0</v>
      </c>
      <c r="I1032" s="25">
        <f t="shared" si="271"/>
        <v>18</v>
      </c>
      <c r="J1032" s="25" t="str">
        <f>'Duplex Superior - x2'!F21</f>
        <v>pç</v>
      </c>
      <c r="K1032" s="26">
        <f>_xlfn.XLOOKUP($E1032,PREÇO!$C$7:$C$91,PREÇO!$E$7:$E$91)</f>
        <v>1.85</v>
      </c>
      <c r="L1032" s="66">
        <f>IF(SUM(F1032:K1032)=0,SUMIFS($L1033:$L$1593,$B1033:$B$1593,$B1032,$A1033:$A$1593,$A1032),I1032*K1032)</f>
        <v>33.300000000000004</v>
      </c>
      <c r="N1032"/>
      <c r="O1032"/>
      <c r="P1032" s="28"/>
      <c r="Q1032" s="28"/>
      <c r="R1032" s="28"/>
    </row>
    <row r="1033" spans="1:18" outlineLevel="1">
      <c r="A1033" s="24" t="str">
        <f t="shared" si="269"/>
        <v>GERAL</v>
      </c>
      <c r="B1033" s="24" t="str">
        <f t="shared" si="270"/>
        <v>133º PAV. - DUPLEX SUP - LANÇAMENTO</v>
      </c>
      <c r="C1033" s="30" t="s">
        <v>221</v>
      </c>
      <c r="D1033" s="86" t="s">
        <v>46</v>
      </c>
      <c r="E1033" s="30" t="s">
        <v>44</v>
      </c>
      <c r="F1033" s="30">
        <f>'Duplex Superior - x2'!E24</f>
        <v>28.5</v>
      </c>
      <c r="G1033" s="25">
        <v>2</v>
      </c>
      <c r="H1033" s="25">
        <v>0</v>
      </c>
      <c r="I1033" s="25">
        <f t="shared" ref="I1033:I1050" si="272">(F1033+H1033*F1033)*G1033</f>
        <v>57</v>
      </c>
      <c r="J1033" s="25" t="str">
        <f>'Duplex Superior - x2'!F24</f>
        <v>m</v>
      </c>
      <c r="K1033" s="26">
        <f>_xlfn.XLOOKUP($E1033,PREÇO!$C$7:$C$91,PREÇO!$E$7:$E$91)</f>
        <v>2.5299999999999998</v>
      </c>
      <c r="L1033" s="66">
        <f>IF(SUM(F1033:K1033)=0,SUMIFS($L1034:$L$1593,$B1034:$B$1593,$B1033,$A1034:$A$1593,$A1033),I1033*K1033)</f>
        <v>144.20999999999998</v>
      </c>
      <c r="N1033"/>
      <c r="O1033"/>
      <c r="P1033" s="28"/>
      <c r="Q1033" s="28"/>
      <c r="R1033" s="28"/>
    </row>
    <row r="1034" spans="1:18" outlineLevel="1">
      <c r="A1034" s="24" t="str">
        <f t="shared" si="269"/>
        <v>GERAL</v>
      </c>
      <c r="B1034" s="24" t="str">
        <f t="shared" si="270"/>
        <v>133º PAV. - DUPLEX SUP - LANÇAMENTO</v>
      </c>
      <c r="C1034" s="30" t="s">
        <v>221</v>
      </c>
      <c r="D1034" s="86" t="s">
        <v>46</v>
      </c>
      <c r="E1034" s="30" t="s">
        <v>45</v>
      </c>
      <c r="F1034" s="30">
        <f>'Duplex Superior - x2'!E25</f>
        <v>34.19</v>
      </c>
      <c r="G1034" s="25">
        <v>2</v>
      </c>
      <c r="H1034" s="25">
        <v>0</v>
      </c>
      <c r="I1034" s="25">
        <f t="shared" si="272"/>
        <v>68.38</v>
      </c>
      <c r="J1034" s="25" t="str">
        <f>'Duplex Superior - x2'!F25</f>
        <v>m</v>
      </c>
      <c r="K1034" s="26">
        <f>_xlfn.XLOOKUP($E1034,PREÇO!$C$7:$C$91,PREÇO!$E$7:$E$91)</f>
        <v>1.8</v>
      </c>
      <c r="L1034" s="66">
        <f>IF(SUM(F1034:K1034)=0,SUMIFS($L1035:$L$1593,$B1035:$B$1593,$B1034,$A1035:$A$1593,$A1034),I1034*K1034)</f>
        <v>123.08399999999999</v>
      </c>
      <c r="N1034"/>
      <c r="O1034"/>
      <c r="P1034" s="28"/>
      <c r="Q1034" s="28"/>
      <c r="R1034" s="28"/>
    </row>
    <row r="1035" spans="1:18" outlineLevel="1">
      <c r="A1035" s="24" t="str">
        <f t="shared" si="269"/>
        <v>GERAL</v>
      </c>
      <c r="B1035" s="24" t="str">
        <f t="shared" si="270"/>
        <v>133º PAV. - DUPLEX SUP - LANÇAMENTO</v>
      </c>
      <c r="C1035" s="30" t="s">
        <v>220</v>
      </c>
      <c r="D1035" s="30" t="str">
        <f>'Duplex Superior - x2'!C28</f>
        <v>Luminárias e Placas de Saída</v>
      </c>
      <c r="E1035" s="30" t="str">
        <f>'Duplex Superior - x2'!D28</f>
        <v>Luminária de Emergência 24V de Parede</v>
      </c>
      <c r="F1035" s="30">
        <f>'Duplex Superior - x2'!E28</f>
        <v>3</v>
      </c>
      <c r="G1035" s="25">
        <v>2</v>
      </c>
      <c r="H1035" s="25">
        <v>0</v>
      </c>
      <c r="I1035" s="25">
        <f t="shared" si="272"/>
        <v>6</v>
      </c>
      <c r="J1035" s="25" t="str">
        <f>'Duplex Superior - x2'!F28</f>
        <v>pç</v>
      </c>
      <c r="K1035" s="26">
        <f>_xlfn.XLOOKUP($E1035,PREÇO!$C$7:$C$91,PREÇO!$E$7:$E$91)</f>
        <v>15.9</v>
      </c>
      <c r="L1035" s="66">
        <f>IF(SUM(F1035:K1035)=0,SUMIFS($L1036:$L$1593,$B1036:$B$1593,$B1035,$A1036:$A$1593,$A1035),I1035*K1035)</f>
        <v>95.4</v>
      </c>
      <c r="N1035"/>
      <c r="O1035"/>
      <c r="P1035" s="28"/>
      <c r="Q1035" s="28"/>
      <c r="R1035" s="28"/>
    </row>
    <row r="1036" spans="1:18" outlineLevel="1">
      <c r="A1036" s="24" t="str">
        <f t="shared" si="269"/>
        <v>GERAL</v>
      </c>
      <c r="B1036" s="24" t="str">
        <f t="shared" si="270"/>
        <v>133º PAV. - DUPLEX SUP - LANÇAMENTO</v>
      </c>
      <c r="C1036" s="30" t="s">
        <v>220</v>
      </c>
      <c r="D1036" s="30" t="str">
        <f>'Duplex Superior - x2'!C29</f>
        <v>Luminárias e Placas de Saída</v>
      </c>
      <c r="E1036" s="30" t="str">
        <f>'Duplex Superior - x2'!D29</f>
        <v>Luminária de Emergência 24V de Teto</v>
      </c>
      <c r="F1036" s="30">
        <f>'Duplex Superior - x2'!E29</f>
        <v>5</v>
      </c>
      <c r="G1036" s="25">
        <v>2</v>
      </c>
      <c r="H1036" s="25">
        <v>0</v>
      </c>
      <c r="I1036" s="25">
        <f t="shared" si="272"/>
        <v>10</v>
      </c>
      <c r="J1036" s="25" t="str">
        <f>'Duplex Superior - x2'!F29</f>
        <v>pç</v>
      </c>
      <c r="K1036" s="26">
        <f>_xlfn.XLOOKUP($E1036,PREÇO!$C$7:$C$91,PREÇO!$E$7:$E$91)</f>
        <v>69.900000000000006</v>
      </c>
      <c r="L1036" s="66">
        <f>IF(SUM(F1036:K1036)=0,SUMIFS($L1037:$L$1593,$B1037:$B$1593,$B1036,$A1037:$A$1593,$A1036),I1036*K1036)</f>
        <v>699</v>
      </c>
      <c r="N1036"/>
      <c r="O1036"/>
      <c r="P1036" s="28"/>
      <c r="Q1036" s="28"/>
      <c r="R1036" s="28"/>
    </row>
    <row r="1037" spans="1:18" outlineLevel="1">
      <c r="A1037" s="24" t="str">
        <f t="shared" si="269"/>
        <v>GERAL</v>
      </c>
      <c r="B1037" s="24" t="str">
        <f t="shared" si="270"/>
        <v>133º PAV. - DUPLEX SUP - LANÇAMENTO</v>
      </c>
      <c r="C1037" s="24" t="s">
        <v>222</v>
      </c>
      <c r="D1037" s="30" t="str">
        <f>'Duplex Superior - x2'!C30</f>
        <v>Luminárias e Placas de Saída</v>
      </c>
      <c r="E1037" s="30" t="str">
        <f>'Duplex Superior - x2'!D30</f>
        <v>Placa de Saída 24V de Parede sem Direção</v>
      </c>
      <c r="F1037" s="30">
        <f>'Duplex Superior - x2'!E30</f>
        <v>1</v>
      </c>
      <c r="G1037" s="25">
        <v>2</v>
      </c>
      <c r="H1037" s="25">
        <v>0</v>
      </c>
      <c r="I1037" s="25">
        <f t="shared" si="272"/>
        <v>2</v>
      </c>
      <c r="J1037" s="25" t="str">
        <f>'Duplex Superior - x2'!F30</f>
        <v>pç</v>
      </c>
      <c r="K1037" s="26">
        <f>_xlfn.XLOOKUP($E1037,PREÇO!$C$7:$C$91,PREÇO!$E$7:$E$91)</f>
        <v>61.66</v>
      </c>
      <c r="L1037" s="66">
        <f>IF(SUM(F1037:K1037)=0,SUMIFS($L1039:$L$1593,$B1039:$B$1593,$B1037,$A1039:$A$1593,$A1037),I1037*K1037)</f>
        <v>123.32</v>
      </c>
      <c r="N1037"/>
      <c r="O1037"/>
      <c r="P1037" s="28"/>
      <c r="Q1037" s="28"/>
      <c r="R1037" s="28"/>
    </row>
    <row r="1038" spans="1:18" outlineLevel="1">
      <c r="A1038" s="116" t="str">
        <f>A1036</f>
        <v>GERAL</v>
      </c>
      <c r="B1038" s="116" t="str">
        <f>B1037</f>
        <v>133º PAV. - DUPLEX SUP - LANÇAMENTO</v>
      </c>
      <c r="C1038" s="116" t="s">
        <v>222</v>
      </c>
      <c r="D1038" s="116" t="s">
        <v>223</v>
      </c>
      <c r="E1038" s="116" t="s">
        <v>224</v>
      </c>
      <c r="F1038" s="117">
        <v>1</v>
      </c>
      <c r="G1038" s="117">
        <f>G1037</f>
        <v>2</v>
      </c>
      <c r="H1038" s="118">
        <v>0</v>
      </c>
      <c r="I1038" s="117">
        <f t="shared" si="272"/>
        <v>2</v>
      </c>
      <c r="J1038" s="117" t="s">
        <v>11</v>
      </c>
      <c r="K1038" s="119">
        <f>_xlfn.XLOOKUP($E1038,PREÇO!$C$7:$C$91,PREÇO!$E$7:$E$91)</f>
        <v>646.55999999999995</v>
      </c>
      <c r="L1038" s="120">
        <f>IF(SUM(F1038:K1038)=0,SUMIFS($L1039:$L$1593,$B1039:$B$1593,$B1038,$A1039:$A$1593,$A1038),I1038*K1038)</f>
        <v>1293.1199999999999</v>
      </c>
      <c r="N1038"/>
      <c r="O1038"/>
      <c r="P1038" s="28"/>
      <c r="Q1038" s="28"/>
      <c r="R1038" s="28"/>
    </row>
    <row r="1039" spans="1:18" outlineLevel="1">
      <c r="A1039" s="24" t="str">
        <f>A1037</f>
        <v>GERAL</v>
      </c>
      <c r="B1039" s="24" t="str">
        <f>B1037</f>
        <v>133º PAV. - DUPLEX SUP - LANÇAMENTO</v>
      </c>
      <c r="C1039" s="30" t="s">
        <v>220</v>
      </c>
      <c r="D1039" s="30" t="str">
        <f>'Duplex Superior - x2'!C31</f>
        <v>Sensores de Presença</v>
      </c>
      <c r="E1039" s="30" t="str">
        <f>'Duplex Superior - x2'!D31</f>
        <v>Sensor de Presença 24V de teto</v>
      </c>
      <c r="F1039" s="30">
        <f>'Duplex Superior - x2'!E31</f>
        <v>3</v>
      </c>
      <c r="G1039" s="25">
        <v>2</v>
      </c>
      <c r="H1039" s="25">
        <v>0</v>
      </c>
      <c r="I1039" s="25">
        <f t="shared" si="272"/>
        <v>6</v>
      </c>
      <c r="J1039" s="25" t="str">
        <f>'Duplex Superior - x2'!F31</f>
        <v>pç</v>
      </c>
      <c r="K1039" s="26">
        <f>_xlfn.XLOOKUP($E1039,PREÇO!$C$7:$C$91,PREÇO!$E$7:$E$91)</f>
        <v>38.4</v>
      </c>
      <c r="L1039" s="66">
        <f>IF(SUM(F1039:K1039)=0,SUMIFS($L1040:$L$1593,$B1040:$B$1593,$B1039,$A1040:$A$1593,$A1039),I1039*K1039)</f>
        <v>230.39999999999998</v>
      </c>
      <c r="N1039"/>
      <c r="O1039"/>
      <c r="P1039" s="28"/>
      <c r="Q1039" s="28"/>
      <c r="R1039" s="28"/>
    </row>
    <row r="1040" spans="1:18" outlineLevel="1">
      <c r="A1040" s="24" t="str">
        <f t="shared" si="269"/>
        <v>GERAL</v>
      </c>
      <c r="B1040" s="24" t="str">
        <f t="shared" si="270"/>
        <v>133º PAV. - DUPLEX SUP - LANÇAMENTO</v>
      </c>
      <c r="C1040" s="30" t="s">
        <v>221</v>
      </c>
      <c r="D1040" s="86" t="s">
        <v>87</v>
      </c>
      <c r="E1040" s="30" t="s">
        <v>179</v>
      </c>
      <c r="F1040" s="30">
        <f>'Duplex Superior - x2'!E34</f>
        <v>71.77</v>
      </c>
      <c r="G1040" s="25">
        <v>2</v>
      </c>
      <c r="H1040" s="25">
        <v>0</v>
      </c>
      <c r="I1040" s="25">
        <f t="shared" si="272"/>
        <v>143.54</v>
      </c>
      <c r="J1040" s="25" t="str">
        <f>'Duplex Superior - x2'!F34</f>
        <v>m</v>
      </c>
      <c r="K1040" s="26">
        <f>_xlfn.XLOOKUP($E1040,PREÇO!$C$7:$C$91,PREÇO!$E$7:$E$91)</f>
        <v>1.59</v>
      </c>
      <c r="L1040" s="66">
        <f>IF(SUM(F1040:K1040)=0,SUMIFS($L1041:$L$1593,$B1041:$B$1593,$B1040,$A1041:$A$1593,$A1040),I1040*K1040)</f>
        <v>228.2286</v>
      </c>
      <c r="N1040"/>
      <c r="O1040"/>
      <c r="P1040" s="28"/>
      <c r="Q1040" s="28"/>
      <c r="R1040" s="28"/>
    </row>
    <row r="1041" spans="1:18" outlineLevel="1">
      <c r="A1041" s="24" t="str">
        <f t="shared" si="269"/>
        <v>GERAL</v>
      </c>
      <c r="B1041" s="24" t="str">
        <f t="shared" si="270"/>
        <v>133º PAV. - DUPLEX SUP - LANÇAMENTO</v>
      </c>
      <c r="C1041" s="30" t="s">
        <v>221</v>
      </c>
      <c r="D1041" s="86" t="s">
        <v>87</v>
      </c>
      <c r="E1041" s="30" t="s">
        <v>180</v>
      </c>
      <c r="F1041" s="30">
        <f>'Duplex Superior - x2'!E35</f>
        <v>62.58</v>
      </c>
      <c r="G1041" s="25">
        <v>2</v>
      </c>
      <c r="H1041" s="25">
        <v>0</v>
      </c>
      <c r="I1041" s="25">
        <f t="shared" si="272"/>
        <v>125.16</v>
      </c>
      <c r="J1041" s="25" t="str">
        <f>'Duplex Superior - x2'!F35</f>
        <v>m</v>
      </c>
      <c r="K1041" s="26">
        <f>_xlfn.XLOOKUP($E1041,PREÇO!$C$7:$C$91,PREÇO!$E$7:$E$91)</f>
        <v>1.59</v>
      </c>
      <c r="L1041" s="66">
        <f>IF(SUM(F1041:K1041)=0,SUMIFS($L1042:$L$1593,$B1042:$B$1593,$B1041,$A1042:$A$1593,$A1041),I1041*K1041)</f>
        <v>199.0044</v>
      </c>
      <c r="N1041"/>
      <c r="O1041"/>
      <c r="P1041" s="28"/>
      <c r="Q1041" s="28"/>
      <c r="R1041" s="28"/>
    </row>
    <row r="1042" spans="1:18" outlineLevel="1">
      <c r="A1042" s="24" t="str">
        <f t="shared" si="269"/>
        <v>GERAL</v>
      </c>
      <c r="B1042" s="24" t="str">
        <f t="shared" si="270"/>
        <v>133º PAV. - DUPLEX SUP - LANÇAMENTO</v>
      </c>
      <c r="C1042" s="30" t="s">
        <v>221</v>
      </c>
      <c r="D1042" s="86" t="s">
        <v>87</v>
      </c>
      <c r="E1042" s="30" t="s">
        <v>181</v>
      </c>
      <c r="F1042" s="30">
        <f>'Duplex Superior - x2'!E36</f>
        <v>62.58</v>
      </c>
      <c r="G1042" s="25">
        <v>2</v>
      </c>
      <c r="H1042" s="25">
        <v>0</v>
      </c>
      <c r="I1042" s="25">
        <f t="shared" si="272"/>
        <v>125.16</v>
      </c>
      <c r="J1042" s="25" t="str">
        <f>'Duplex Superior - x2'!F36</f>
        <v>m</v>
      </c>
      <c r="K1042" s="26">
        <f>_xlfn.XLOOKUP($E1042,PREÇO!$C$7:$C$91,PREÇO!$E$7:$E$91)</f>
        <v>1.59</v>
      </c>
      <c r="L1042" s="66">
        <f>IF(SUM(F1042:K1042)=0,SUMIFS($L1043:$L$1593,$B1043:$B$1593,$B1042,$A1043:$A$1593,$A1042),I1042*K1042)</f>
        <v>199.0044</v>
      </c>
      <c r="N1042"/>
      <c r="O1042"/>
      <c r="P1042" s="28"/>
      <c r="Q1042" s="28"/>
      <c r="R1042" s="28"/>
    </row>
    <row r="1043" spans="1:18" outlineLevel="1">
      <c r="A1043" s="24" t="str">
        <f t="shared" si="269"/>
        <v>GERAL</v>
      </c>
      <c r="B1043" s="24" t="str">
        <f t="shared" si="270"/>
        <v>133º PAV. - DUPLEX SUP - LANÇAMENTO</v>
      </c>
      <c r="C1043" s="30" t="s">
        <v>221</v>
      </c>
      <c r="D1043" s="86" t="s">
        <v>87</v>
      </c>
      <c r="E1043" s="30" t="s">
        <v>182</v>
      </c>
      <c r="F1043" s="30">
        <f>'Duplex Superior - x2'!E37</f>
        <v>33.78</v>
      </c>
      <c r="G1043" s="25">
        <v>2</v>
      </c>
      <c r="H1043" s="25">
        <v>0</v>
      </c>
      <c r="I1043" s="25">
        <f t="shared" si="272"/>
        <v>67.56</v>
      </c>
      <c r="J1043" s="25" t="str">
        <f>'Duplex Superior - x2'!F37</f>
        <v>m</v>
      </c>
      <c r="K1043" s="26">
        <f>_xlfn.XLOOKUP($E1043,PREÇO!$C$7:$C$91,PREÇO!$E$7:$E$91)</f>
        <v>2.19</v>
      </c>
      <c r="L1043" s="66">
        <f>IF(SUM(F1043:K1043)=0,SUMIFS($L1044:$L$1593,$B1044:$B$1593,$B1043,$A1044:$A$1593,$A1043),I1043*K1043)</f>
        <v>147.9564</v>
      </c>
      <c r="N1043"/>
      <c r="O1043"/>
      <c r="P1043" s="28"/>
      <c r="Q1043" s="28"/>
      <c r="R1043" s="28"/>
    </row>
    <row r="1044" spans="1:18" outlineLevel="1">
      <c r="A1044" s="24" t="str">
        <f t="shared" si="269"/>
        <v>GERAL</v>
      </c>
      <c r="B1044" s="24" t="str">
        <f t="shared" si="270"/>
        <v>133º PAV. - DUPLEX SUP - LANÇAMENTO</v>
      </c>
      <c r="C1044" s="30" t="s">
        <v>221</v>
      </c>
      <c r="D1044" s="86" t="s">
        <v>87</v>
      </c>
      <c r="E1044" s="30" t="s">
        <v>183</v>
      </c>
      <c r="F1044" s="30">
        <f>'Duplex Superior - x2'!E38</f>
        <v>67.790000000000006</v>
      </c>
      <c r="G1044" s="25">
        <v>2</v>
      </c>
      <c r="H1044" s="25">
        <v>0</v>
      </c>
      <c r="I1044" s="25">
        <f t="shared" si="272"/>
        <v>135.58000000000001</v>
      </c>
      <c r="J1044" s="25" t="str">
        <f>'Duplex Superior - x2'!F38</f>
        <v>m</v>
      </c>
      <c r="K1044" s="26">
        <f>_xlfn.XLOOKUP($E1044,PREÇO!$C$7:$C$91,PREÇO!$E$7:$E$91)</f>
        <v>2.19</v>
      </c>
      <c r="L1044" s="66">
        <f>IF(SUM(F1044:K1044)=0,SUMIFS($L1045:$L$1593,$B1045:$B$1593,$B1044,$A1045:$A$1593,$A1044),I1044*K1044)</f>
        <v>296.92020000000002</v>
      </c>
      <c r="N1044"/>
      <c r="O1044"/>
      <c r="P1044" s="28"/>
      <c r="Q1044" s="28"/>
      <c r="R1044" s="28"/>
    </row>
    <row r="1045" spans="1:18" outlineLevel="1">
      <c r="A1045" s="24" t="str">
        <f t="shared" si="269"/>
        <v>GERAL</v>
      </c>
      <c r="B1045" s="24" t="str">
        <f t="shared" si="270"/>
        <v>133º PAV. - DUPLEX SUP - LANÇAMENTO</v>
      </c>
      <c r="C1045" s="30" t="s">
        <v>221</v>
      </c>
      <c r="D1045" s="86" t="s">
        <v>87</v>
      </c>
      <c r="E1045" s="30" t="s">
        <v>184</v>
      </c>
      <c r="F1045" s="30">
        <f>'Duplex Superior - x2'!E39</f>
        <v>67.790000000000006</v>
      </c>
      <c r="G1045" s="25">
        <v>2</v>
      </c>
      <c r="H1045" s="25">
        <v>0</v>
      </c>
      <c r="I1045" s="25">
        <f t="shared" si="272"/>
        <v>135.58000000000001</v>
      </c>
      <c r="J1045" s="25" t="str">
        <f>'Duplex Superior - x2'!F39</f>
        <v>m</v>
      </c>
      <c r="K1045" s="26">
        <f>_xlfn.XLOOKUP($E1045,PREÇO!$C$7:$C$91,PREÇO!$E$7:$E$91)</f>
        <v>2.19</v>
      </c>
      <c r="L1045" s="66">
        <f>IF(SUM(F1045:K1045)=0,SUMIFS($L1046:$L$1593,$B1046:$B$1593,$B1045,$A1046:$A$1593,$A1045),I1045*K1045)</f>
        <v>296.92020000000002</v>
      </c>
      <c r="N1045"/>
      <c r="O1045"/>
      <c r="P1045" s="28"/>
      <c r="Q1045" s="28"/>
      <c r="R1045" s="28"/>
    </row>
    <row r="1046" spans="1:18" outlineLevel="1">
      <c r="A1046" s="24" t="str">
        <f t="shared" si="269"/>
        <v>GERAL</v>
      </c>
      <c r="B1046" s="24" t="str">
        <f t="shared" si="270"/>
        <v>133º PAV. - DUPLEX SUP - LANÇAMENTO</v>
      </c>
      <c r="C1046" s="30" t="s">
        <v>221</v>
      </c>
      <c r="D1046" s="86" t="s">
        <v>46</v>
      </c>
      <c r="E1046" s="30" t="s">
        <v>44</v>
      </c>
      <c r="F1046" s="30">
        <f>'Duplex Superior - x2'!E43</f>
        <v>127.57</v>
      </c>
      <c r="G1046" s="25">
        <v>2</v>
      </c>
      <c r="H1046" s="25">
        <v>0</v>
      </c>
      <c r="I1046" s="25">
        <f t="shared" si="272"/>
        <v>255.14</v>
      </c>
      <c r="J1046" s="25" t="str">
        <f>'Duplex Superior - x2'!F43</f>
        <v>m</v>
      </c>
      <c r="K1046" s="26">
        <f>_xlfn.XLOOKUP($E1046,PREÇO!$C$7:$C$91,PREÇO!$E$7:$E$91)</f>
        <v>2.5299999999999998</v>
      </c>
      <c r="L1046" s="66">
        <f>IF(SUM(F1046:K1046)=0,SUMIFS($L1047:$L$1593,$B1047:$B$1593,$B1046,$A1047:$A$1593,$A1046),I1046*K1046)</f>
        <v>645.50419999999997</v>
      </c>
      <c r="N1046"/>
      <c r="O1046"/>
      <c r="P1046" s="28"/>
      <c r="Q1046" s="28"/>
      <c r="R1046" s="28"/>
    </row>
    <row r="1047" spans="1:18" outlineLevel="1">
      <c r="A1047" s="24" t="str">
        <f t="shared" si="269"/>
        <v>GERAL</v>
      </c>
      <c r="B1047" s="24" t="str">
        <f t="shared" si="270"/>
        <v>133º PAV. - DUPLEX SUP - LANÇAMENTO</v>
      </c>
      <c r="C1047" s="30" t="s">
        <v>221</v>
      </c>
      <c r="D1047" s="86" t="s">
        <v>89</v>
      </c>
      <c r="E1047" s="30" t="s">
        <v>185</v>
      </c>
      <c r="F1047" s="30">
        <f>'Duplex Superior - x2'!E46</f>
        <v>121.2</v>
      </c>
      <c r="G1047" s="25">
        <v>2</v>
      </c>
      <c r="H1047" s="25">
        <v>0</v>
      </c>
      <c r="I1047" s="25">
        <f t="shared" si="272"/>
        <v>242.4</v>
      </c>
      <c r="J1047" s="25" t="str">
        <f>'Duplex Superior - x2'!F46</f>
        <v>m</v>
      </c>
      <c r="K1047" s="26">
        <f>_xlfn.XLOOKUP($E1047,PREÇO!$C$7:$C$91,PREÇO!$E$7:$E$91)</f>
        <v>0.99</v>
      </c>
      <c r="L1047" s="66">
        <f>IF(SUM(F1047:K1047)=0,SUMIFS($L1048:$L$1593,$B1048:$B$1593,$B1047,$A1048:$A$1593,$A1047),I1047*K1047)</f>
        <v>239.976</v>
      </c>
      <c r="N1047"/>
      <c r="O1047"/>
      <c r="P1047" s="28"/>
      <c r="Q1047" s="28"/>
      <c r="R1047" s="28"/>
    </row>
    <row r="1048" spans="1:18" ht="15.75" outlineLevel="1" thickBot="1">
      <c r="A1048" s="24" t="str">
        <f t="shared" si="269"/>
        <v>GERAL</v>
      </c>
      <c r="B1048" s="24" t="str">
        <f t="shared" si="270"/>
        <v>133º PAV. - DUPLEX SUP - LANÇAMENTO</v>
      </c>
      <c r="C1048" s="30" t="s">
        <v>221</v>
      </c>
      <c r="D1048" s="86" t="s">
        <v>89</v>
      </c>
      <c r="E1048" s="30" t="s">
        <v>186</v>
      </c>
      <c r="F1048" s="30">
        <f>'Duplex Superior - x2'!E47</f>
        <v>113.6</v>
      </c>
      <c r="G1048" s="25">
        <v>2</v>
      </c>
      <c r="H1048" s="25">
        <v>0</v>
      </c>
      <c r="I1048" s="25">
        <f t="shared" si="272"/>
        <v>227.2</v>
      </c>
      <c r="J1048" s="25" t="str">
        <f>'Duplex Superior - x2'!F47</f>
        <v>m</v>
      </c>
      <c r="K1048" s="26">
        <f>_xlfn.XLOOKUP($E1048,PREÇO!$C$7:$C$91,PREÇO!$E$7:$E$91)</f>
        <v>1.69</v>
      </c>
      <c r="L1048" s="66">
        <f>IF(SUM(F1048:K1048)=0,SUMIFS($L1049:$L$1593,$B1049:$B$1593,$B1048,$A1049:$A$1593,$A1048),I1048*K1048)</f>
        <v>383.96799999999996</v>
      </c>
      <c r="N1048"/>
      <c r="O1048"/>
      <c r="P1048" s="28"/>
      <c r="Q1048" s="28"/>
      <c r="R1048" s="28"/>
    </row>
    <row r="1049" spans="1:18" ht="15.75" thickTop="1">
      <c r="A1049" s="82" t="s">
        <v>19</v>
      </c>
      <c r="B1049" s="82" t="s">
        <v>198</v>
      </c>
      <c r="C1049" s="43"/>
      <c r="D1049" s="44" t="str">
        <f>'Duplex Superior - x2'!C48</f>
        <v/>
      </c>
      <c r="E1049" s="44" t="str">
        <f>'Duplex Superior - x2'!D48</f>
        <v/>
      </c>
      <c r="F1049" s="45" t="str">
        <f>'Duplex Superior - x2'!E48</f>
        <v/>
      </c>
      <c r="G1049" s="45"/>
      <c r="H1049" s="45"/>
      <c r="I1049" s="45"/>
      <c r="J1049" s="45" t="str">
        <f>'Duplex Superior - x2'!F48</f>
        <v/>
      </c>
      <c r="K1049" s="47"/>
      <c r="L1049" s="48">
        <f>IF(SUM(F1049:K1049)=0,SUMIFS($L1050:$L$1593,$B1050:$B$1593,$B1049,$A1050:$A$1593,$A1049),I1049*K1049)</f>
        <v>4098.0706999999993</v>
      </c>
      <c r="N1049"/>
      <c r="O1049"/>
      <c r="P1049" s="28"/>
      <c r="Q1049" s="28"/>
      <c r="R1049" s="28"/>
    </row>
    <row r="1050" spans="1:18" outlineLevel="1">
      <c r="A1050" s="24" t="str">
        <f>A1049</f>
        <v>GERAL</v>
      </c>
      <c r="B1050" s="24" t="str">
        <f>B1049</f>
        <v>136º PAV. - TRIPLEX - LANÇAMENTO</v>
      </c>
      <c r="C1050" s="30" t="s">
        <v>221</v>
      </c>
      <c r="D1050" s="30" t="str">
        <f>'Triplex Inferior'!C6</f>
        <v>Acionadores</v>
      </c>
      <c r="E1050" s="30" t="str">
        <f>'Triplex Inferior'!D6</f>
        <v>Acionador Manual de Alarme de Incêndio</v>
      </c>
      <c r="F1050" s="30">
        <f>'Triplex Inferior'!E6</f>
        <v>1</v>
      </c>
      <c r="G1050" s="25">
        <v>1</v>
      </c>
      <c r="H1050" s="25">
        <v>0</v>
      </c>
      <c r="I1050" s="25">
        <f t="shared" si="272"/>
        <v>1</v>
      </c>
      <c r="J1050" s="25" t="str">
        <f>'Triplex Inferior'!F6</f>
        <v>pç</v>
      </c>
      <c r="K1050" s="26">
        <f>_xlfn.XLOOKUP($E1050,PREÇO!$C$7:$C$91,PREÇO!$E$7:$E$91)</f>
        <v>65</v>
      </c>
      <c r="L1050" s="66">
        <f>IF(SUM(F1050:K1050)=0,SUMIFS($L1051:$L$1593,$B1051:$B$1593,$B1050,$A1051:$A$1593,$A1050),I1050*K1050)</f>
        <v>65</v>
      </c>
      <c r="N1050"/>
      <c r="O1050"/>
      <c r="P1050" s="28"/>
      <c r="Q1050" s="28"/>
      <c r="R1050" s="28"/>
    </row>
    <row r="1051" spans="1:18" outlineLevel="1">
      <c r="A1051" s="24" t="str">
        <f t="shared" ref="A1051:A1075" si="273">A1050</f>
        <v>GERAL</v>
      </c>
      <c r="B1051" s="24" t="str">
        <f t="shared" ref="B1051:B1075" si="274">B1050</f>
        <v>136º PAV. - TRIPLEX - LANÇAMENTO</v>
      </c>
      <c r="C1051" s="30" t="s">
        <v>221</v>
      </c>
      <c r="D1051" s="30" t="str">
        <f>'Triplex Inferior'!C7</f>
        <v>Anunciadores</v>
      </c>
      <c r="E1051" s="30" t="str">
        <f>'Triplex Inferior'!D7</f>
        <v>Anunciador Audiovisual de Alarme de Incêndio de Parede</v>
      </c>
      <c r="F1051" s="30">
        <f>'Triplex Inferior'!E7</f>
        <v>1</v>
      </c>
      <c r="G1051" s="25">
        <v>1</v>
      </c>
      <c r="H1051" s="25">
        <v>0</v>
      </c>
      <c r="I1051" s="25">
        <f t="shared" ref="I1051:I1077" si="275">(F1051+H1051*F1051)*G1051</f>
        <v>1</v>
      </c>
      <c r="J1051" s="25" t="str">
        <f>'Triplex Inferior'!F7</f>
        <v>pç</v>
      </c>
      <c r="K1051" s="26">
        <f>_xlfn.XLOOKUP($E1051,PREÇO!$C$7:$C$91,PREÇO!$E$7:$E$91)</f>
        <v>191.81</v>
      </c>
      <c r="L1051" s="66">
        <f>IF(SUM(F1051:K1051)=0,SUMIFS($L1052:$L$1593,$B1052:$B$1593,$B1051,$A1052:$A$1593,$A1051),I1051*K1051)</f>
        <v>191.81</v>
      </c>
      <c r="N1051"/>
      <c r="O1051"/>
      <c r="P1051" s="28"/>
      <c r="Q1051" s="28"/>
      <c r="R1051" s="28"/>
    </row>
    <row r="1052" spans="1:18" outlineLevel="1">
      <c r="A1052" s="24" t="str">
        <f t="shared" si="273"/>
        <v>GERAL</v>
      </c>
      <c r="B1052" s="24" t="str">
        <f t="shared" si="274"/>
        <v>136º PAV. - TRIPLEX - LANÇAMENTO</v>
      </c>
      <c r="C1052" s="30" t="s">
        <v>221</v>
      </c>
      <c r="D1052" s="30" t="str">
        <f>'Triplex Inferior'!C8</f>
        <v>Atuadores</v>
      </c>
      <c r="E1052" s="30" t="str">
        <f>'Triplex Inferior'!D8</f>
        <v>Atuador Janela Desenfumagem</v>
      </c>
      <c r="F1052" s="30">
        <f>'Triplex Inferior'!E8</f>
        <v>1</v>
      </c>
      <c r="G1052" s="25">
        <v>1</v>
      </c>
      <c r="H1052" s="25">
        <v>0</v>
      </c>
      <c r="I1052" s="25">
        <f t="shared" si="275"/>
        <v>1</v>
      </c>
      <c r="J1052" s="25" t="str">
        <f>'Triplex Inferior'!F8</f>
        <v>pç</v>
      </c>
      <c r="K1052" s="26">
        <f>_xlfn.XLOOKUP($E1052,PREÇO!$C$7:$C$91,PREÇO!$E$7:$E$91)</f>
        <v>1150</v>
      </c>
      <c r="L1052" s="66">
        <f>IF(SUM(F1052:K1052)=0,SUMIFS($L1053:$L$1593,$B1053:$B$1593,$B1052,$A1053:$A$1593,$A1052),I1052*K1052)</f>
        <v>1150</v>
      </c>
      <c r="N1052"/>
      <c r="O1052"/>
      <c r="P1052" s="28"/>
      <c r="Q1052" s="28"/>
      <c r="R1052" s="28"/>
    </row>
    <row r="1053" spans="1:18" outlineLevel="1">
      <c r="A1053" s="24" t="str">
        <f t="shared" si="273"/>
        <v>GERAL</v>
      </c>
      <c r="B1053" s="24" t="str">
        <f t="shared" si="274"/>
        <v>136º PAV. - TRIPLEX - LANÇAMENTO</v>
      </c>
      <c r="C1053" s="30" t="s">
        <v>221</v>
      </c>
      <c r="D1053" s="30" t="str">
        <f>'Triplex Inferior'!C9</f>
        <v>Atuadores</v>
      </c>
      <c r="E1053" s="30" t="str">
        <f>'Triplex Inferior'!D9</f>
        <v>Dispositivo Eletromagnético de Porta Aberta</v>
      </c>
      <c r="F1053" s="30">
        <f>'Triplex Inferior'!E9</f>
        <v>1</v>
      </c>
      <c r="G1053" s="25">
        <v>1</v>
      </c>
      <c r="H1053" s="25">
        <v>0</v>
      </c>
      <c r="I1053" s="25">
        <f t="shared" si="275"/>
        <v>1</v>
      </c>
      <c r="J1053" s="25" t="str">
        <f>'Triplex Inferior'!F9</f>
        <v>pç</v>
      </c>
      <c r="K1053" s="26">
        <f>_xlfn.XLOOKUP($E1053,PREÇO!$C$7:$C$91,PREÇO!$E$7:$E$91)</f>
        <v>416.9</v>
      </c>
      <c r="L1053" s="66">
        <f>IF(SUM(F1053:K1053)=0,SUMIFS($L1054:$L$1593,$B1054:$B$1593,$B1053,$A1054:$A$1593,$A1053),I1053*K1053)</f>
        <v>416.9</v>
      </c>
      <c r="N1053"/>
      <c r="O1053"/>
      <c r="P1053" s="28"/>
      <c r="Q1053" s="28"/>
      <c r="R1053" s="28"/>
    </row>
    <row r="1054" spans="1:18" outlineLevel="1">
      <c r="A1054" s="24" t="str">
        <f t="shared" si="273"/>
        <v>GERAL</v>
      </c>
      <c r="B1054" s="24" t="str">
        <f t="shared" si="274"/>
        <v>136º PAV. - TRIPLEX - LANÇAMENTO</v>
      </c>
      <c r="C1054" s="30" t="s">
        <v>221</v>
      </c>
      <c r="D1054" s="30" t="str">
        <f>'Triplex Inferior'!C10</f>
        <v>Sensores</v>
      </c>
      <c r="E1054" s="30" t="str">
        <f>'Triplex Inferior'!D10</f>
        <v>Sensor de Fumaça</v>
      </c>
      <c r="F1054" s="30">
        <f>'Triplex Inferior'!E10</f>
        <v>5</v>
      </c>
      <c r="G1054" s="25">
        <v>1</v>
      </c>
      <c r="H1054" s="25">
        <v>0</v>
      </c>
      <c r="I1054" s="25">
        <f t="shared" si="275"/>
        <v>5</v>
      </c>
      <c r="J1054" s="25" t="str">
        <f>'Triplex Inferior'!F10</f>
        <v>pç</v>
      </c>
      <c r="K1054" s="26">
        <f>_xlfn.XLOOKUP($E1054,PREÇO!$C$7:$C$91,PREÇO!$E$7:$E$91)</f>
        <v>53.9</v>
      </c>
      <c r="L1054" s="66">
        <f>IF(SUM(F1054:K1054)=0,SUMIFS($L1055:$L$1593,$B1055:$B$1593,$B1054,$A1055:$A$1593,$A1054),I1054*K1054)</f>
        <v>269.5</v>
      </c>
      <c r="N1054"/>
      <c r="O1054"/>
      <c r="P1054" s="28"/>
      <c r="Q1054" s="28"/>
      <c r="R1054" s="28"/>
    </row>
    <row r="1055" spans="1:18" outlineLevel="1">
      <c r="A1055" s="24" t="str">
        <f t="shared" si="273"/>
        <v>GERAL</v>
      </c>
      <c r="B1055" s="24" t="str">
        <f t="shared" si="274"/>
        <v>136º PAV. - TRIPLEX - LANÇAMENTO</v>
      </c>
      <c r="C1055" s="30" t="s">
        <v>221</v>
      </c>
      <c r="D1055" s="30" t="str">
        <f>'Triplex Inferior'!C13</f>
        <v>Caixas</v>
      </c>
      <c r="E1055" s="30" t="str">
        <f>'Triplex Inferior'!D13</f>
        <v>Caixa Octogonal Padrão NBR IEC 60670</v>
      </c>
      <c r="F1055" s="30">
        <f>'Triplex Inferior'!E13</f>
        <v>13</v>
      </c>
      <c r="G1055" s="25">
        <v>1</v>
      </c>
      <c r="H1055" s="25">
        <v>0</v>
      </c>
      <c r="I1055" s="25">
        <f t="shared" si="275"/>
        <v>13</v>
      </c>
      <c r="J1055" s="25" t="str">
        <f>'Triplex Inferior'!F13</f>
        <v>pç</v>
      </c>
      <c r="K1055" s="26">
        <f>_xlfn.XLOOKUP($E1055,PREÇO!$C$7:$C$91,PREÇO!$E$7:$E$91)</f>
        <v>5.32</v>
      </c>
      <c r="L1055" s="66">
        <f>IF(SUM(F1055:K1055)=0,SUMIFS($L1056:$L$1593,$B1056:$B$1593,$B1055,$A1056:$A$1593,$A1055),I1055*K1055)</f>
        <v>69.16</v>
      </c>
      <c r="N1055"/>
      <c r="O1055"/>
      <c r="P1055" s="28"/>
      <c r="Q1055" s="28"/>
      <c r="R1055" s="28"/>
    </row>
    <row r="1056" spans="1:18" outlineLevel="1">
      <c r="A1056" s="24" t="str">
        <f t="shared" si="273"/>
        <v>GERAL</v>
      </c>
      <c r="B1056" s="24" t="str">
        <f t="shared" si="274"/>
        <v>136º PAV. - TRIPLEX - LANÇAMENTO</v>
      </c>
      <c r="C1056" s="30" t="s">
        <v>221</v>
      </c>
      <c r="D1056" s="30" t="str">
        <f>'Triplex Inferior'!C16</f>
        <v>Caixas</v>
      </c>
      <c r="E1056" s="30" t="str">
        <f>'Triplex Inferior'!D16</f>
        <v>Caixa 4x2" de Embutir em PVC Padrão NBR IEC 60670</v>
      </c>
      <c r="F1056" s="30">
        <f>'Triplex Inferior'!E16</f>
        <v>10</v>
      </c>
      <c r="G1056" s="25">
        <v>1</v>
      </c>
      <c r="H1056" s="25">
        <v>0</v>
      </c>
      <c r="I1056" s="25">
        <f t="shared" si="275"/>
        <v>10</v>
      </c>
      <c r="J1056" s="25" t="str">
        <f>'Triplex Inferior'!F16</f>
        <v>pç</v>
      </c>
      <c r="K1056" s="26">
        <f>_xlfn.XLOOKUP($E1056,PREÇO!$C$7:$C$91,PREÇO!$E$7:$E$91)</f>
        <v>1.72</v>
      </c>
      <c r="L1056" s="66">
        <f>IF(SUM(F1056:K1056)=0,SUMIFS($L1057:$L$1593,$B1057:$B$1593,$B1056,$A1057:$A$1593,$A1056),I1056*K1056)</f>
        <v>17.2</v>
      </c>
      <c r="N1056"/>
      <c r="O1056"/>
      <c r="P1056" s="28"/>
      <c r="Q1056" s="28"/>
      <c r="R1056" s="28"/>
    </row>
    <row r="1057" spans="1:18" outlineLevel="1">
      <c r="A1057" s="24" t="str">
        <f t="shared" si="273"/>
        <v>GERAL</v>
      </c>
      <c r="B1057" s="24" t="str">
        <f t="shared" si="274"/>
        <v>136º PAV. - TRIPLEX - LANÇAMENTO</v>
      </c>
      <c r="C1057" s="30" t="s">
        <v>221</v>
      </c>
      <c r="D1057" s="30" t="str">
        <f>'Triplex Inferior'!C17</f>
        <v>Placas</v>
      </c>
      <c r="E1057" s="30" t="str">
        <f>'Triplex Inferior'!D17</f>
        <v>Placa 4x2" cega Padrão NBR IEC 60670</v>
      </c>
      <c r="F1057" s="30">
        <f>'Triplex Inferior'!E17</f>
        <v>4</v>
      </c>
      <c r="G1057" s="25">
        <v>1</v>
      </c>
      <c r="H1057" s="25">
        <v>0</v>
      </c>
      <c r="I1057" s="25">
        <f t="shared" si="275"/>
        <v>4</v>
      </c>
      <c r="J1057" s="25" t="str">
        <f>'Triplex Inferior'!F17</f>
        <v>pç</v>
      </c>
      <c r="K1057" s="26">
        <f>_xlfn.XLOOKUP($E1057,PREÇO!$C$7:$C$91,PREÇO!$E$7:$E$91)</f>
        <v>4.59</v>
      </c>
      <c r="L1057" s="66">
        <f>IF(SUM(F1057:K1057)=0,SUMIFS($L1058:$L$1593,$B1058:$B$1593,$B1057,$A1058:$A$1593,$A1057),I1057*K1057)</f>
        <v>18.36</v>
      </c>
      <c r="N1057"/>
      <c r="O1057"/>
      <c r="P1057" s="28"/>
      <c r="Q1057" s="28"/>
      <c r="R1057" s="28"/>
    </row>
    <row r="1058" spans="1:18" outlineLevel="1">
      <c r="A1058" s="24" t="str">
        <f t="shared" si="273"/>
        <v>GERAL</v>
      </c>
      <c r="B1058" s="24" t="str">
        <f t="shared" si="274"/>
        <v>136º PAV. - TRIPLEX - LANÇAMENTO</v>
      </c>
      <c r="C1058" s="30" t="s">
        <v>221</v>
      </c>
      <c r="D1058" s="30" t="str">
        <f>'Triplex Inferior'!C18</f>
        <v>Placas</v>
      </c>
      <c r="E1058" s="30" t="str">
        <f>'Triplex Inferior'!D18</f>
        <v>Placa 4x2" com furo para saída de cabos Padrão NBR IEC 60670</v>
      </c>
      <c r="F1058" s="30">
        <f>'Triplex Inferior'!E18</f>
        <v>6</v>
      </c>
      <c r="G1058" s="25">
        <v>1</v>
      </c>
      <c r="H1058" s="25">
        <v>0</v>
      </c>
      <c r="I1058" s="25">
        <f t="shared" si="275"/>
        <v>6</v>
      </c>
      <c r="J1058" s="25" t="str">
        <f>'Triplex Inferior'!F18</f>
        <v>pç</v>
      </c>
      <c r="K1058" s="26">
        <f>_xlfn.XLOOKUP($E1058,PREÇO!$C$7:$C$91,PREÇO!$E$7:$E$91)</f>
        <v>6.55</v>
      </c>
      <c r="L1058" s="66">
        <f>IF(SUM(F1058:K1058)=0,SUMIFS($L1059:$L$1593,$B1059:$B$1593,$B1058,$A1059:$A$1593,$A1058),I1058*K1058)</f>
        <v>39.299999999999997</v>
      </c>
      <c r="N1058"/>
      <c r="O1058"/>
      <c r="P1058" s="28"/>
      <c r="Q1058" s="28"/>
      <c r="R1058" s="28"/>
    </row>
    <row r="1059" spans="1:18" outlineLevel="1">
      <c r="A1059" s="24" t="str">
        <f t="shared" si="273"/>
        <v>GERAL</v>
      </c>
      <c r="B1059" s="24" t="str">
        <f t="shared" si="274"/>
        <v>136º PAV. - TRIPLEX - LANÇAMENTO</v>
      </c>
      <c r="C1059" s="30" t="s">
        <v>221</v>
      </c>
      <c r="D1059" s="30" t="str">
        <f>'Triplex Inferior'!C19</f>
        <v>Suportes</v>
      </c>
      <c r="E1059" s="30" t="str">
        <f>'Triplex Inferior'!D19</f>
        <v>Suporte p/ caixa 4x2" Padrão NBR IEC 60670</v>
      </c>
      <c r="F1059" s="30">
        <f>'Triplex Inferior'!E19</f>
        <v>10</v>
      </c>
      <c r="G1059" s="25">
        <v>1</v>
      </c>
      <c r="H1059" s="25">
        <v>0</v>
      </c>
      <c r="I1059" s="25">
        <f t="shared" si="275"/>
        <v>10</v>
      </c>
      <c r="J1059" s="25" t="str">
        <f>'Triplex Inferior'!F19</f>
        <v>pç</v>
      </c>
      <c r="K1059" s="26">
        <f>_xlfn.XLOOKUP($E1059,PREÇO!$C$7:$C$91,PREÇO!$E$7:$E$91)</f>
        <v>1.85</v>
      </c>
      <c r="L1059" s="66">
        <f>IF(SUM(F1059:K1059)=0,SUMIFS($L1060:$L$1593,$B1060:$B$1593,$B1059,$A1060:$A$1593,$A1059),I1059*K1059)</f>
        <v>18.5</v>
      </c>
      <c r="N1059"/>
      <c r="O1059"/>
      <c r="P1059" s="28"/>
      <c r="Q1059" s="28"/>
      <c r="R1059" s="28"/>
    </row>
    <row r="1060" spans="1:18" outlineLevel="1">
      <c r="A1060" s="24" t="str">
        <f t="shared" si="273"/>
        <v>GERAL</v>
      </c>
      <c r="B1060" s="24" t="str">
        <f t="shared" si="274"/>
        <v>136º PAV. - TRIPLEX - LANÇAMENTO</v>
      </c>
      <c r="C1060" s="30" t="s">
        <v>221</v>
      </c>
      <c r="D1060" s="86" t="s">
        <v>46</v>
      </c>
      <c r="E1060" s="30" t="s">
        <v>44</v>
      </c>
      <c r="F1060" s="30">
        <f>'Triplex Inferior'!E22</f>
        <v>3.6</v>
      </c>
      <c r="G1060" s="25">
        <v>1</v>
      </c>
      <c r="H1060" s="25">
        <v>0</v>
      </c>
      <c r="I1060" s="25">
        <f t="shared" si="275"/>
        <v>3.6</v>
      </c>
      <c r="J1060" s="25" t="str">
        <f>'Triplex Inferior'!F22</f>
        <v>m</v>
      </c>
      <c r="K1060" s="26">
        <f>_xlfn.XLOOKUP($E1060,PREÇO!$C$7:$C$91,PREÇO!$E$7:$E$91)</f>
        <v>2.5299999999999998</v>
      </c>
      <c r="L1060" s="66">
        <f>IF(SUM(F1060:K1060)=0,SUMIFS($L1061:$L$1593,$B1061:$B$1593,$B1060,$A1061:$A$1593,$A1060),I1060*K1060)</f>
        <v>9.1079999999999988</v>
      </c>
      <c r="N1060"/>
      <c r="O1060"/>
      <c r="P1060" s="28"/>
      <c r="Q1060" s="28"/>
      <c r="R1060" s="28"/>
    </row>
    <row r="1061" spans="1:18" outlineLevel="1">
      <c r="A1061" s="24" t="str">
        <f t="shared" si="273"/>
        <v>GERAL</v>
      </c>
      <c r="B1061" s="24" t="str">
        <f t="shared" si="274"/>
        <v>136º PAV. - TRIPLEX - LANÇAMENTO</v>
      </c>
      <c r="C1061" s="30" t="s">
        <v>221</v>
      </c>
      <c r="D1061" s="86" t="s">
        <v>46</v>
      </c>
      <c r="E1061" s="30" t="s">
        <v>45</v>
      </c>
      <c r="F1061" s="30">
        <f>'Triplex Inferior'!E23</f>
        <v>33.479999999999997</v>
      </c>
      <c r="G1061" s="25">
        <v>1</v>
      </c>
      <c r="H1061" s="25">
        <v>0</v>
      </c>
      <c r="I1061" s="25">
        <f t="shared" si="275"/>
        <v>33.479999999999997</v>
      </c>
      <c r="J1061" s="25" t="str">
        <f>'Triplex Inferior'!F23</f>
        <v>m</v>
      </c>
      <c r="K1061" s="26">
        <f>_xlfn.XLOOKUP($E1061,PREÇO!$C$7:$C$91,PREÇO!$E$7:$E$91)</f>
        <v>1.8</v>
      </c>
      <c r="L1061" s="66">
        <f>IF(SUM(F1061:K1061)=0,SUMIFS($L1062:$L$1593,$B1062:$B$1593,$B1061,$A1062:$A$1593,$A1061),I1061*K1061)</f>
        <v>60.263999999999996</v>
      </c>
      <c r="N1061"/>
      <c r="O1061"/>
      <c r="P1061" s="28"/>
      <c r="Q1061" s="28"/>
      <c r="R1061" s="28"/>
    </row>
    <row r="1062" spans="1:18" outlineLevel="1">
      <c r="A1062" s="24" t="str">
        <f t="shared" si="273"/>
        <v>GERAL</v>
      </c>
      <c r="B1062" s="24" t="str">
        <f t="shared" si="274"/>
        <v>136º PAV. - TRIPLEX - LANÇAMENTO</v>
      </c>
      <c r="C1062" s="30" t="s">
        <v>220</v>
      </c>
      <c r="D1062" s="30" t="str">
        <f>'Triplex Inferior'!C26</f>
        <v>Luminárias e Placas de Saída</v>
      </c>
      <c r="E1062" s="30" t="str">
        <f>'Triplex Inferior'!D26</f>
        <v>Luminária de Emergência 24V de Parede</v>
      </c>
      <c r="F1062" s="30">
        <f>'Triplex Inferior'!E26</f>
        <v>3</v>
      </c>
      <c r="G1062" s="25">
        <v>1</v>
      </c>
      <c r="H1062" s="25">
        <v>0</v>
      </c>
      <c r="I1062" s="25">
        <f t="shared" si="275"/>
        <v>3</v>
      </c>
      <c r="J1062" s="25" t="str">
        <f>'Triplex Inferior'!F26</f>
        <v>pç</v>
      </c>
      <c r="K1062" s="26">
        <f>_xlfn.XLOOKUP($E1062,PREÇO!$C$7:$C$91,PREÇO!$E$7:$E$91)</f>
        <v>15.9</v>
      </c>
      <c r="L1062" s="66">
        <f>IF(SUM(F1062:K1062)=0,SUMIFS($L1063:$L$1593,$B1063:$B$1593,$B1062,$A1063:$A$1593,$A1062),I1062*K1062)</f>
        <v>47.7</v>
      </c>
      <c r="N1062"/>
      <c r="O1062"/>
      <c r="P1062" s="28"/>
      <c r="Q1062" s="28"/>
      <c r="R1062" s="28"/>
    </row>
    <row r="1063" spans="1:18" outlineLevel="1">
      <c r="A1063" s="24" t="str">
        <f t="shared" si="273"/>
        <v>GERAL</v>
      </c>
      <c r="B1063" s="24" t="str">
        <f t="shared" si="274"/>
        <v>136º PAV. - TRIPLEX - LANÇAMENTO</v>
      </c>
      <c r="C1063" s="30" t="s">
        <v>220</v>
      </c>
      <c r="D1063" s="30" t="str">
        <f>'Triplex Inferior'!C27</f>
        <v>Luminárias e Placas de Saída</v>
      </c>
      <c r="E1063" s="30" t="str">
        <f>'Triplex Inferior'!D27</f>
        <v>Luminária de Emergência 24V de Teto</v>
      </c>
      <c r="F1063" s="30">
        <f>'Triplex Inferior'!E27</f>
        <v>5</v>
      </c>
      <c r="G1063" s="25">
        <v>1</v>
      </c>
      <c r="H1063" s="25">
        <v>0</v>
      </c>
      <c r="I1063" s="25">
        <f t="shared" si="275"/>
        <v>5</v>
      </c>
      <c r="J1063" s="25" t="str">
        <f>'Triplex Inferior'!F27</f>
        <v>pç</v>
      </c>
      <c r="K1063" s="26">
        <f>_xlfn.XLOOKUP($E1063,PREÇO!$C$7:$C$91,PREÇO!$E$7:$E$91)</f>
        <v>69.900000000000006</v>
      </c>
      <c r="L1063" s="66">
        <f>IF(SUM(F1063:K1063)=0,SUMIFS($L1064:$L$1593,$B1064:$B$1593,$B1063,$A1064:$A$1593,$A1063),I1063*K1063)</f>
        <v>349.5</v>
      </c>
      <c r="N1063"/>
      <c r="O1063"/>
      <c r="P1063" s="28"/>
      <c r="Q1063" s="28"/>
      <c r="R1063" s="28"/>
    </row>
    <row r="1064" spans="1:18" outlineLevel="1">
      <c r="A1064" s="24" t="str">
        <f t="shared" si="273"/>
        <v>GERAL</v>
      </c>
      <c r="B1064" s="24" t="str">
        <f t="shared" si="274"/>
        <v>136º PAV. - TRIPLEX - LANÇAMENTO</v>
      </c>
      <c r="C1064" s="24" t="s">
        <v>222</v>
      </c>
      <c r="D1064" s="30" t="str">
        <f>'Triplex Inferior'!C28</f>
        <v>Luminárias e Placas de Saída</v>
      </c>
      <c r="E1064" s="30" t="str">
        <f>'Triplex Inferior'!D28</f>
        <v>Placa de Saída 24V de Parede sem Direção</v>
      </c>
      <c r="F1064" s="30">
        <f>'Triplex Inferior'!E28</f>
        <v>1</v>
      </c>
      <c r="G1064" s="25">
        <v>1</v>
      </c>
      <c r="H1064" s="25">
        <v>0</v>
      </c>
      <c r="I1064" s="25">
        <f t="shared" si="275"/>
        <v>1</v>
      </c>
      <c r="J1064" s="25" t="str">
        <f>'Triplex Inferior'!F28</f>
        <v>pç</v>
      </c>
      <c r="K1064" s="26">
        <f>_xlfn.XLOOKUP($E1064,PREÇO!$C$7:$C$91,PREÇO!$E$7:$E$91)</f>
        <v>61.66</v>
      </c>
      <c r="L1064" s="66">
        <f>IF(SUM(F1064:K1064)=0,SUMIFS($L1066:$L$1593,$B1066:$B$1593,$B1064,$A1066:$A$1593,$A1064),I1064*K1064)</f>
        <v>61.66</v>
      </c>
      <c r="N1064"/>
      <c r="O1064"/>
      <c r="P1064" s="28"/>
      <c r="Q1064" s="28"/>
      <c r="R1064" s="28"/>
    </row>
    <row r="1065" spans="1:18" outlineLevel="1">
      <c r="A1065" s="116" t="str">
        <f>A1063</f>
        <v>GERAL</v>
      </c>
      <c r="B1065" s="116" t="str">
        <f>B1064</f>
        <v>136º PAV. - TRIPLEX - LANÇAMENTO</v>
      </c>
      <c r="C1065" s="116" t="s">
        <v>222</v>
      </c>
      <c r="D1065" s="116" t="s">
        <v>223</v>
      </c>
      <c r="E1065" s="116" t="s">
        <v>224</v>
      </c>
      <c r="F1065" s="117">
        <v>1</v>
      </c>
      <c r="G1065" s="117">
        <f>G1064</f>
        <v>1</v>
      </c>
      <c r="H1065" s="118">
        <v>0</v>
      </c>
      <c r="I1065" s="117">
        <f t="shared" si="275"/>
        <v>1</v>
      </c>
      <c r="J1065" s="117" t="s">
        <v>11</v>
      </c>
      <c r="K1065" s="119">
        <f>_xlfn.XLOOKUP($E1065,PREÇO!$C$7:$C$91,PREÇO!$E$7:$E$91)</f>
        <v>646.55999999999995</v>
      </c>
      <c r="L1065" s="120">
        <f>IF(SUM(F1065:K1065)=0,SUMIFS($L1066:$L$1593,$B1066:$B$1593,$B1065,$A1066:$A$1593,$A1065),I1065*K1065)</f>
        <v>646.55999999999995</v>
      </c>
      <c r="N1065"/>
      <c r="O1065"/>
      <c r="P1065" s="28"/>
      <c r="Q1065" s="28"/>
      <c r="R1065" s="28"/>
    </row>
    <row r="1066" spans="1:18" outlineLevel="1">
      <c r="A1066" s="24" t="str">
        <f>A1064</f>
        <v>GERAL</v>
      </c>
      <c r="B1066" s="24" t="str">
        <f>B1064</f>
        <v>136º PAV. - TRIPLEX - LANÇAMENTO</v>
      </c>
      <c r="C1066" s="30" t="s">
        <v>220</v>
      </c>
      <c r="D1066" s="30" t="str">
        <f>'Triplex Inferior'!C29</f>
        <v>Sensores de Presença</v>
      </c>
      <c r="E1066" s="30" t="str">
        <f>'Triplex Inferior'!D29</f>
        <v>Sensor de Presença 24V de teto</v>
      </c>
      <c r="F1066" s="30">
        <f>'Triplex Inferior'!E29</f>
        <v>3</v>
      </c>
      <c r="G1066" s="25">
        <v>1</v>
      </c>
      <c r="H1066" s="25">
        <v>0</v>
      </c>
      <c r="I1066" s="25">
        <f t="shared" si="275"/>
        <v>3</v>
      </c>
      <c r="J1066" s="25" t="str">
        <f>'Triplex Inferior'!F29</f>
        <v>pç</v>
      </c>
      <c r="K1066" s="26">
        <f>_xlfn.XLOOKUP($E1066,PREÇO!$C$7:$C$91,PREÇO!$E$7:$E$91)</f>
        <v>38.4</v>
      </c>
      <c r="L1066" s="66">
        <f>IF(SUM(F1066:K1066)=0,SUMIFS($L1067:$L$1593,$B1067:$B$1593,$B1066,$A1067:$A$1593,$A1066),I1066*K1066)</f>
        <v>115.19999999999999</v>
      </c>
      <c r="N1066"/>
      <c r="O1066"/>
      <c r="P1066" s="28"/>
      <c r="Q1066" s="28"/>
      <c r="R1066" s="28"/>
    </row>
    <row r="1067" spans="1:18" outlineLevel="1">
      <c r="A1067" s="24" t="str">
        <f t="shared" si="273"/>
        <v>GERAL</v>
      </c>
      <c r="B1067" s="24" t="str">
        <f t="shared" si="274"/>
        <v>136º PAV. - TRIPLEX - LANÇAMENTO</v>
      </c>
      <c r="C1067" s="30" t="s">
        <v>221</v>
      </c>
      <c r="D1067" s="86" t="s">
        <v>87</v>
      </c>
      <c r="E1067" s="30" t="s">
        <v>179</v>
      </c>
      <c r="F1067" s="30">
        <f>'Triplex Inferior'!E32</f>
        <v>55.37</v>
      </c>
      <c r="G1067" s="25">
        <v>1</v>
      </c>
      <c r="H1067" s="25">
        <v>0</v>
      </c>
      <c r="I1067" s="25">
        <f t="shared" si="275"/>
        <v>55.37</v>
      </c>
      <c r="J1067" s="25" t="str">
        <f>'Triplex Inferior'!F32</f>
        <v>m</v>
      </c>
      <c r="K1067" s="26">
        <f>_xlfn.XLOOKUP($E1067,PREÇO!$C$7:$C$91,PREÇO!$E$7:$E$91)</f>
        <v>1.59</v>
      </c>
      <c r="L1067" s="66">
        <f>IF(SUM(F1067:K1067)=0,SUMIFS($L1068:$L$1593,$B1068:$B$1593,$B1067,$A1068:$A$1593,$A1067),I1067*K1067)</f>
        <v>88.038300000000007</v>
      </c>
      <c r="N1067"/>
      <c r="O1067"/>
      <c r="P1067" s="28"/>
      <c r="Q1067" s="28"/>
      <c r="R1067" s="28"/>
    </row>
    <row r="1068" spans="1:18" outlineLevel="1">
      <c r="A1068" s="24" t="str">
        <f t="shared" si="273"/>
        <v>GERAL</v>
      </c>
      <c r="B1068" s="24" t="str">
        <f t="shared" si="274"/>
        <v>136º PAV. - TRIPLEX - LANÇAMENTO</v>
      </c>
      <c r="C1068" s="30" t="s">
        <v>221</v>
      </c>
      <c r="D1068" s="86" t="s">
        <v>87</v>
      </c>
      <c r="E1068" s="30" t="s">
        <v>180</v>
      </c>
      <c r="F1068" s="30">
        <f>'Triplex Inferior'!E33</f>
        <v>67.27</v>
      </c>
      <c r="G1068" s="25">
        <v>1</v>
      </c>
      <c r="H1068" s="25">
        <v>0</v>
      </c>
      <c r="I1068" s="25">
        <f t="shared" si="275"/>
        <v>67.27</v>
      </c>
      <c r="J1068" s="25" t="str">
        <f>'Triplex Inferior'!F33</f>
        <v>m</v>
      </c>
      <c r="K1068" s="26">
        <f>_xlfn.XLOOKUP($E1068,PREÇO!$C$7:$C$91,PREÇO!$E$7:$E$91)</f>
        <v>1.59</v>
      </c>
      <c r="L1068" s="66">
        <f>IF(SUM(F1068:K1068)=0,SUMIFS($L1069:$L$1593,$B1069:$B$1593,$B1068,$A1069:$A$1593,$A1068),I1068*K1068)</f>
        <v>106.9593</v>
      </c>
      <c r="N1068"/>
      <c r="O1068"/>
      <c r="P1068" s="28"/>
      <c r="Q1068" s="28"/>
      <c r="R1068" s="28"/>
    </row>
    <row r="1069" spans="1:18" outlineLevel="1">
      <c r="A1069" s="24" t="str">
        <f t="shared" si="273"/>
        <v>GERAL</v>
      </c>
      <c r="B1069" s="24" t="str">
        <f t="shared" si="274"/>
        <v>136º PAV. - TRIPLEX - LANÇAMENTO</v>
      </c>
      <c r="C1069" s="30" t="s">
        <v>221</v>
      </c>
      <c r="D1069" s="86" t="s">
        <v>87</v>
      </c>
      <c r="E1069" s="30" t="s">
        <v>181</v>
      </c>
      <c r="F1069" s="30">
        <f>'Triplex Inferior'!E34</f>
        <v>67.27</v>
      </c>
      <c r="G1069" s="25">
        <v>1</v>
      </c>
      <c r="H1069" s="25">
        <v>0</v>
      </c>
      <c r="I1069" s="25">
        <f t="shared" si="275"/>
        <v>67.27</v>
      </c>
      <c r="J1069" s="25" t="str">
        <f>'Triplex Inferior'!F34</f>
        <v>m</v>
      </c>
      <c r="K1069" s="26">
        <f>_xlfn.XLOOKUP($E1069,PREÇO!$C$7:$C$91,PREÇO!$E$7:$E$91)</f>
        <v>1.59</v>
      </c>
      <c r="L1069" s="66">
        <f>IF(SUM(F1069:K1069)=0,SUMIFS($L1070:$L$1593,$B1070:$B$1593,$B1069,$A1070:$A$1593,$A1069),I1069*K1069)</f>
        <v>106.9593</v>
      </c>
      <c r="N1069"/>
      <c r="O1069"/>
      <c r="P1069" s="28"/>
      <c r="Q1069" s="28"/>
      <c r="R1069" s="28"/>
    </row>
    <row r="1070" spans="1:18" outlineLevel="1">
      <c r="A1070" s="24" t="str">
        <f t="shared" si="273"/>
        <v>GERAL</v>
      </c>
      <c r="B1070" s="24" t="str">
        <f t="shared" si="274"/>
        <v>136º PAV. - TRIPLEX - LANÇAMENTO</v>
      </c>
      <c r="C1070" s="30" t="s">
        <v>221</v>
      </c>
      <c r="D1070" s="86" t="s">
        <v>87</v>
      </c>
      <c r="E1070" s="30" t="s">
        <v>182</v>
      </c>
      <c r="F1070" s="30">
        <f>'Triplex Inferior'!E35</f>
        <v>17.38</v>
      </c>
      <c r="G1070" s="25">
        <v>1</v>
      </c>
      <c r="H1070" s="25">
        <v>0</v>
      </c>
      <c r="I1070" s="25">
        <f t="shared" si="275"/>
        <v>17.38</v>
      </c>
      <c r="J1070" s="25" t="str">
        <f>'Triplex Inferior'!F35</f>
        <v>m</v>
      </c>
      <c r="K1070" s="26">
        <f>_xlfn.XLOOKUP($E1070,PREÇO!$C$7:$C$91,PREÇO!$E$7:$E$91)</f>
        <v>2.19</v>
      </c>
      <c r="L1070" s="66">
        <f>IF(SUM(F1070:K1070)=0,SUMIFS($L1071:$L$1593,$B1071:$B$1593,$B1070,$A1071:$A$1593,$A1070),I1070*K1070)</f>
        <v>38.062199999999997</v>
      </c>
      <c r="N1070"/>
      <c r="O1070"/>
      <c r="P1070" s="28"/>
      <c r="Q1070" s="28"/>
      <c r="R1070" s="28"/>
    </row>
    <row r="1071" spans="1:18" outlineLevel="1">
      <c r="A1071" s="24" t="str">
        <f t="shared" si="273"/>
        <v>GERAL</v>
      </c>
      <c r="B1071" s="24" t="str">
        <f t="shared" si="274"/>
        <v>136º PAV. - TRIPLEX - LANÇAMENTO</v>
      </c>
      <c r="C1071" s="30" t="s">
        <v>221</v>
      </c>
      <c r="D1071" s="86" t="s">
        <v>87</v>
      </c>
      <c r="E1071" s="30" t="s">
        <v>183</v>
      </c>
      <c r="F1071" s="30">
        <f>'Triplex Inferior'!E36</f>
        <v>12.79</v>
      </c>
      <c r="G1071" s="25">
        <v>1</v>
      </c>
      <c r="H1071" s="25">
        <v>0</v>
      </c>
      <c r="I1071" s="25">
        <f t="shared" si="275"/>
        <v>12.79</v>
      </c>
      <c r="J1071" s="25" t="str">
        <f>'Triplex Inferior'!F36</f>
        <v>m</v>
      </c>
      <c r="K1071" s="26">
        <f>_xlfn.XLOOKUP($E1071,PREÇO!$C$7:$C$91,PREÇO!$E$7:$E$91)</f>
        <v>2.19</v>
      </c>
      <c r="L1071" s="66">
        <f>IF(SUM(F1071:K1071)=0,SUMIFS($L1072:$L$1593,$B1072:$B$1593,$B1071,$A1072:$A$1593,$A1071),I1071*K1071)</f>
        <v>28.010099999999998</v>
      </c>
      <c r="N1071"/>
      <c r="O1071"/>
      <c r="P1071" s="28"/>
      <c r="Q1071" s="28"/>
      <c r="R1071" s="28"/>
    </row>
    <row r="1072" spans="1:18" outlineLevel="1">
      <c r="A1072" s="24" t="str">
        <f t="shared" si="273"/>
        <v>GERAL</v>
      </c>
      <c r="B1072" s="24" t="str">
        <f t="shared" si="274"/>
        <v>136º PAV. - TRIPLEX - LANÇAMENTO</v>
      </c>
      <c r="C1072" s="30" t="s">
        <v>221</v>
      </c>
      <c r="D1072" s="86" t="s">
        <v>87</v>
      </c>
      <c r="E1072" s="30" t="s">
        <v>184</v>
      </c>
      <c r="F1072" s="30">
        <f>'Triplex Inferior'!E37</f>
        <v>12.79</v>
      </c>
      <c r="G1072" s="25">
        <v>1</v>
      </c>
      <c r="H1072" s="25">
        <v>0</v>
      </c>
      <c r="I1072" s="25">
        <f t="shared" si="275"/>
        <v>12.79</v>
      </c>
      <c r="J1072" s="25" t="str">
        <f>'Triplex Inferior'!F37</f>
        <v>m</v>
      </c>
      <c r="K1072" s="26">
        <f>_xlfn.XLOOKUP($E1072,PREÇO!$C$7:$C$91,PREÇO!$E$7:$E$91)</f>
        <v>2.19</v>
      </c>
      <c r="L1072" s="66">
        <f>IF(SUM(F1072:K1072)=0,SUMIFS($L1073:$L$1593,$B1073:$B$1593,$B1072,$A1073:$A$1593,$A1072),I1072*K1072)</f>
        <v>28.010099999999998</v>
      </c>
      <c r="N1072"/>
      <c r="O1072"/>
      <c r="P1072" s="28"/>
      <c r="Q1072" s="28"/>
      <c r="R1072" s="28"/>
    </row>
    <row r="1073" spans="1:18" outlineLevel="1">
      <c r="A1073" s="24" t="str">
        <f t="shared" si="273"/>
        <v>GERAL</v>
      </c>
      <c r="B1073" s="24" t="str">
        <f t="shared" si="274"/>
        <v>136º PAV. - TRIPLEX - LANÇAMENTO</v>
      </c>
      <c r="C1073" s="30" t="s">
        <v>221</v>
      </c>
      <c r="D1073" s="86" t="s">
        <v>46</v>
      </c>
      <c r="E1073" s="30" t="s">
        <v>44</v>
      </c>
      <c r="F1073" s="30">
        <f>'Triplex Inferior'!E41</f>
        <v>39.26</v>
      </c>
      <c r="G1073" s="25">
        <v>1</v>
      </c>
      <c r="H1073" s="25">
        <v>0</v>
      </c>
      <c r="I1073" s="25">
        <f t="shared" si="275"/>
        <v>39.26</v>
      </c>
      <c r="J1073" s="25" t="str">
        <f>'Triplex Inferior'!F41</f>
        <v>m</v>
      </c>
      <c r="K1073" s="26">
        <f>_xlfn.XLOOKUP($E1073,PREÇO!$C$7:$C$91,PREÇO!$E$7:$E$91)</f>
        <v>2.5299999999999998</v>
      </c>
      <c r="L1073" s="66">
        <f>IF(SUM(F1073:K1073)=0,SUMIFS($L1074:$L$1593,$B1074:$B$1593,$B1073,$A1074:$A$1593,$A1073),I1073*K1073)</f>
        <v>99.327799999999982</v>
      </c>
      <c r="N1073"/>
      <c r="O1073"/>
      <c r="P1073" s="28"/>
      <c r="Q1073" s="28"/>
      <c r="R1073" s="28"/>
    </row>
    <row r="1074" spans="1:18" outlineLevel="1">
      <c r="A1074" s="24" t="str">
        <f t="shared" si="273"/>
        <v>GERAL</v>
      </c>
      <c r="B1074" s="24" t="str">
        <f t="shared" si="274"/>
        <v>136º PAV. - TRIPLEX - LANÇAMENTO</v>
      </c>
      <c r="C1074" s="30" t="s">
        <v>221</v>
      </c>
      <c r="D1074" s="86" t="s">
        <v>89</v>
      </c>
      <c r="E1074" s="30" t="s">
        <v>185</v>
      </c>
      <c r="F1074" s="30">
        <f>'Triplex Inferior'!E44</f>
        <v>32.89</v>
      </c>
      <c r="G1074" s="25">
        <v>1</v>
      </c>
      <c r="H1074" s="25">
        <v>0</v>
      </c>
      <c r="I1074" s="25">
        <f t="shared" si="275"/>
        <v>32.89</v>
      </c>
      <c r="J1074" s="25" t="str">
        <f>'Triplex Inferior'!F44</f>
        <v>m</v>
      </c>
      <c r="K1074" s="26">
        <f>_xlfn.XLOOKUP($E1074,PREÇO!$C$7:$C$91,PREÇO!$E$7:$E$91)</f>
        <v>0.99</v>
      </c>
      <c r="L1074" s="66">
        <f>IF(SUM(F1074:K1074)=0,SUMIFS($L1075:$L$1593,$B1075:$B$1593,$B1074,$A1075:$A$1593,$A1074),I1074*K1074)</f>
        <v>32.561100000000003</v>
      </c>
      <c r="N1074"/>
      <c r="O1074"/>
      <c r="P1074" s="28"/>
      <c r="Q1074" s="28"/>
      <c r="R1074" s="28"/>
    </row>
    <row r="1075" spans="1:18" ht="15.75" outlineLevel="1" thickBot="1">
      <c r="A1075" s="24" t="str">
        <f t="shared" si="273"/>
        <v>GERAL</v>
      </c>
      <c r="B1075" s="24" t="str">
        <f t="shared" si="274"/>
        <v>136º PAV. - TRIPLEX - LANÇAMENTO</v>
      </c>
      <c r="C1075" s="30" t="s">
        <v>221</v>
      </c>
      <c r="D1075" s="86" t="s">
        <v>89</v>
      </c>
      <c r="E1075" s="30" t="s">
        <v>186</v>
      </c>
      <c r="F1075" s="30">
        <f>'Triplex Inferior'!E45</f>
        <v>14.45</v>
      </c>
      <c r="G1075" s="25">
        <v>1</v>
      </c>
      <c r="H1075" s="25">
        <v>0</v>
      </c>
      <c r="I1075" s="25">
        <f t="shared" si="275"/>
        <v>14.45</v>
      </c>
      <c r="J1075" s="25" t="str">
        <f>'Triplex Inferior'!F45</f>
        <v>m</v>
      </c>
      <c r="K1075" s="26">
        <f>_xlfn.XLOOKUP($E1075,PREÇO!$C$7:$C$91,PREÇO!$E$7:$E$91)</f>
        <v>1.69</v>
      </c>
      <c r="L1075" s="66">
        <f>IF(SUM(F1075:K1075)=0,SUMIFS($L1076:$L$1593,$B1076:$B$1593,$B1075,$A1076:$A$1593,$A1075),I1075*K1075)</f>
        <v>24.420499999999997</v>
      </c>
      <c r="N1075"/>
      <c r="O1075"/>
      <c r="P1075" s="28"/>
      <c r="Q1075" s="28"/>
      <c r="R1075" s="28"/>
    </row>
    <row r="1076" spans="1:18" ht="15.75" thickTop="1">
      <c r="A1076" s="82" t="s">
        <v>19</v>
      </c>
      <c r="B1076" s="82" t="s">
        <v>199</v>
      </c>
      <c r="C1076" s="43"/>
      <c r="D1076" s="44" t="str">
        <f>'Triplex Inferior'!C46</f>
        <v/>
      </c>
      <c r="E1076" s="44" t="str">
        <f>'Triplex Inferior'!D46</f>
        <v/>
      </c>
      <c r="F1076" s="45" t="str">
        <f>'Triplex Inferior'!E46</f>
        <v/>
      </c>
      <c r="G1076" s="45"/>
      <c r="H1076" s="45"/>
      <c r="I1076" s="45"/>
      <c r="J1076" s="45" t="str">
        <f>'Triplex Inferior'!F46</f>
        <v/>
      </c>
      <c r="K1076" s="47"/>
      <c r="L1076" s="48">
        <f>IF(SUM(F1076:K1076)=0,SUMIFS($L1077:$L$1593,$B1077:$B$1593,$B1076,$A1077:$A$1593,$A1076),I1076*K1076)</f>
        <v>5119.4415000000008</v>
      </c>
      <c r="N1076"/>
      <c r="O1076"/>
      <c r="P1076" s="28"/>
      <c r="Q1076" s="28"/>
      <c r="R1076" s="28"/>
    </row>
    <row r="1077" spans="1:18" outlineLevel="1">
      <c r="A1077" s="24" t="str">
        <f>A1076</f>
        <v>GERAL</v>
      </c>
      <c r="B1077" s="24" t="str">
        <f>B1076</f>
        <v>137º PAV. - TRIPLEX REBAIXADOR - LANÇAMENTO</v>
      </c>
      <c r="C1077" s="30" t="s">
        <v>221</v>
      </c>
      <c r="D1077" s="30" t="str">
        <f>'Triplex Intermed.'!C6</f>
        <v>Acionadores</v>
      </c>
      <c r="E1077" s="30" t="str">
        <f>'Triplex Intermed.'!D6</f>
        <v>Acionador Manual de Alarme de Incêndio</v>
      </c>
      <c r="F1077" s="30">
        <f>'Triplex Intermed.'!E6</f>
        <v>1</v>
      </c>
      <c r="G1077" s="25">
        <v>1</v>
      </c>
      <c r="H1077" s="25">
        <v>0</v>
      </c>
      <c r="I1077" s="25">
        <f t="shared" si="275"/>
        <v>1</v>
      </c>
      <c r="J1077" s="25" t="str">
        <f>'Triplex Intermed.'!F6</f>
        <v>pç</v>
      </c>
      <c r="K1077" s="26">
        <f>_xlfn.XLOOKUP($E1077,PREÇO!$C$7:$C$91,PREÇO!$E$7:$E$91)</f>
        <v>65</v>
      </c>
      <c r="L1077" s="66">
        <f>IF(SUM(F1077:K1077)=0,SUMIFS($L1078:$L$1593,$B1078:$B$1593,$B1077,$A1078:$A$1593,$A1077),I1077*K1077)</f>
        <v>65</v>
      </c>
      <c r="N1077"/>
      <c r="O1077"/>
      <c r="P1077" s="28"/>
      <c r="Q1077" s="28"/>
      <c r="R1077" s="28"/>
    </row>
    <row r="1078" spans="1:18" outlineLevel="1">
      <c r="A1078" s="24" t="str">
        <f t="shared" ref="A1078:A1081" si="276">A1077</f>
        <v>GERAL</v>
      </c>
      <c r="B1078" s="24" t="str">
        <f t="shared" ref="B1078:B1081" si="277">B1077</f>
        <v>137º PAV. - TRIPLEX REBAIXADOR - LANÇAMENTO</v>
      </c>
      <c r="C1078" s="30" t="s">
        <v>221</v>
      </c>
      <c r="D1078" s="30" t="str">
        <f>'Triplex Intermed.'!C7</f>
        <v>Anunciadores</v>
      </c>
      <c r="E1078" s="30" t="str">
        <f>'Triplex Intermed.'!D7</f>
        <v>Anunciador Audiovisual de Alarme de Incêndio de Parede</v>
      </c>
      <c r="F1078" s="30">
        <f>'Triplex Intermed.'!E7</f>
        <v>1</v>
      </c>
      <c r="G1078" s="25">
        <v>1</v>
      </c>
      <c r="H1078" s="25">
        <v>0</v>
      </c>
      <c r="I1078" s="25">
        <f t="shared" ref="I1078:I1096" si="278">(F1078+H1078*F1078)*G1078</f>
        <v>1</v>
      </c>
      <c r="J1078" s="25" t="str">
        <f>'Triplex Intermed.'!F7</f>
        <v>pç</v>
      </c>
      <c r="K1078" s="26">
        <f>_xlfn.XLOOKUP($E1078,PREÇO!$C$7:$C$91,PREÇO!$E$7:$E$91)</f>
        <v>191.81</v>
      </c>
      <c r="L1078" s="66">
        <f>IF(SUM(F1078:K1078)=0,SUMIFS($L1079:$L$1593,$B1079:$B$1593,$B1078,$A1079:$A$1593,$A1078),I1078*K1078)</f>
        <v>191.81</v>
      </c>
      <c r="N1078"/>
      <c r="O1078"/>
      <c r="P1078" s="28"/>
      <c r="Q1078" s="28"/>
      <c r="R1078" s="28"/>
    </row>
    <row r="1079" spans="1:18" outlineLevel="1">
      <c r="A1079" s="24" t="str">
        <f t="shared" si="276"/>
        <v>GERAL</v>
      </c>
      <c r="B1079" s="24" t="str">
        <f t="shared" si="277"/>
        <v>137º PAV. - TRIPLEX REBAIXADOR - LANÇAMENTO</v>
      </c>
      <c r="C1079" s="30" t="s">
        <v>221</v>
      </c>
      <c r="D1079" s="30" t="str">
        <f>'Triplex Intermed.'!C8</f>
        <v>Atuadores</v>
      </c>
      <c r="E1079" s="30" t="str">
        <f>'Triplex Intermed.'!D8</f>
        <v>Atuador Janela Desenfumagem</v>
      </c>
      <c r="F1079" s="30">
        <f>'Triplex Intermed.'!E8</f>
        <v>1</v>
      </c>
      <c r="G1079" s="25">
        <v>1</v>
      </c>
      <c r="H1079" s="25">
        <v>0</v>
      </c>
      <c r="I1079" s="25">
        <f t="shared" si="278"/>
        <v>1</v>
      </c>
      <c r="J1079" s="25" t="str">
        <f>'Triplex Intermed.'!F8</f>
        <v>pç</v>
      </c>
      <c r="K1079" s="26">
        <f>_xlfn.XLOOKUP($E1079,PREÇO!$C$7:$C$91,PREÇO!$E$7:$E$91)</f>
        <v>1150</v>
      </c>
      <c r="L1079" s="66">
        <f>IF(SUM(F1079:K1079)=0,SUMIFS($L1080:$L$1593,$B1080:$B$1593,$B1079,$A1080:$A$1593,$A1079),I1079*K1079)</f>
        <v>1150</v>
      </c>
      <c r="N1079"/>
      <c r="O1079"/>
      <c r="P1079" s="28"/>
      <c r="Q1079" s="28"/>
      <c r="R1079" s="28"/>
    </row>
    <row r="1080" spans="1:18" outlineLevel="1">
      <c r="A1080" s="24" t="str">
        <f t="shared" si="276"/>
        <v>GERAL</v>
      </c>
      <c r="B1080" s="24" t="str">
        <f t="shared" si="277"/>
        <v>137º PAV. - TRIPLEX REBAIXADOR - LANÇAMENTO</v>
      </c>
      <c r="C1080" s="30" t="s">
        <v>221</v>
      </c>
      <c r="D1080" s="30" t="str">
        <f>'Triplex Intermed.'!C9</f>
        <v>Atuadores</v>
      </c>
      <c r="E1080" s="30" t="str">
        <f>'Triplex Intermed.'!D9</f>
        <v>Dispositivo Eletromagnético de Porta Aberta</v>
      </c>
      <c r="F1080" s="30">
        <f>'Triplex Intermed.'!E9</f>
        <v>1</v>
      </c>
      <c r="G1080" s="25">
        <v>1</v>
      </c>
      <c r="H1080" s="25">
        <v>0</v>
      </c>
      <c r="I1080" s="25">
        <f t="shared" si="278"/>
        <v>1</v>
      </c>
      <c r="J1080" s="25" t="str">
        <f>'Triplex Intermed.'!F9</f>
        <v>pç</v>
      </c>
      <c r="K1080" s="26">
        <f>_xlfn.XLOOKUP($E1080,PREÇO!$C$7:$C$91,PREÇO!$E$7:$E$91)</f>
        <v>416.9</v>
      </c>
      <c r="L1080" s="66">
        <f>IF(SUM(F1080:K1080)=0,SUMIFS($L1081:$L$1593,$B1081:$B$1593,$B1080,$A1081:$A$1593,$A1080),I1080*K1080)</f>
        <v>416.9</v>
      </c>
      <c r="N1080"/>
      <c r="O1080"/>
      <c r="P1080" s="28"/>
      <c r="Q1080" s="28"/>
      <c r="R1080" s="28"/>
    </row>
    <row r="1081" spans="1:18" outlineLevel="1">
      <c r="A1081" s="24" t="str">
        <f t="shared" si="276"/>
        <v>GERAL</v>
      </c>
      <c r="B1081" s="24" t="str">
        <f t="shared" si="277"/>
        <v>137º PAV. - TRIPLEX REBAIXADOR - LANÇAMENTO</v>
      </c>
      <c r="C1081" s="30" t="s">
        <v>221</v>
      </c>
      <c r="D1081" s="30" t="str">
        <f>'Triplex Intermed.'!C10</f>
        <v>Sensores</v>
      </c>
      <c r="E1081" s="30" t="str">
        <f>'Triplex Intermed.'!D10</f>
        <v>Sensor de Fumaça</v>
      </c>
      <c r="F1081" s="30">
        <f>'Triplex Intermed.'!E10</f>
        <v>9</v>
      </c>
      <c r="G1081" s="25">
        <v>1</v>
      </c>
      <c r="H1081" s="25">
        <v>0</v>
      </c>
      <c r="I1081" s="25">
        <f t="shared" si="278"/>
        <v>9</v>
      </c>
      <c r="J1081" s="25" t="str">
        <f>'Triplex Intermed.'!F10</f>
        <v>pç</v>
      </c>
      <c r="K1081" s="26">
        <f>_xlfn.XLOOKUP($E1081,PREÇO!$C$7:$C$91,PREÇO!$E$7:$E$91)</f>
        <v>53.9</v>
      </c>
      <c r="L1081" s="66">
        <f>IF(SUM(F1081:K1081)=0,SUMIFS($L1082:$L$1593,$B1082:$B$1593,$B1081,$A1082:$A$1593,$A1081),I1081*K1081)</f>
        <v>485.09999999999997</v>
      </c>
      <c r="N1081"/>
      <c r="O1081"/>
      <c r="P1081" s="28"/>
      <c r="Q1081" s="28"/>
      <c r="R1081" s="28"/>
    </row>
    <row r="1082" spans="1:18" outlineLevel="1">
      <c r="A1082" s="24" t="str">
        <f t="shared" ref="A1082:A1103" si="279">A1081</f>
        <v>GERAL</v>
      </c>
      <c r="B1082" s="24" t="str">
        <f t="shared" ref="B1082:B1103" si="280">B1081</f>
        <v>137º PAV. - TRIPLEX REBAIXADOR - LANÇAMENTO</v>
      </c>
      <c r="C1082" s="30" t="s">
        <v>221</v>
      </c>
      <c r="D1082" s="30" t="str">
        <f>'Triplex Intermed.'!C13</f>
        <v>Caixas</v>
      </c>
      <c r="E1082" s="30" t="str">
        <f>'Triplex Intermed.'!D13</f>
        <v>Caixa Octogonal Padrão NBR IEC 60670</v>
      </c>
      <c r="F1082" s="30">
        <f>'Triplex Intermed.'!E13</f>
        <v>17</v>
      </c>
      <c r="G1082" s="25">
        <v>1</v>
      </c>
      <c r="H1082" s="25">
        <v>0</v>
      </c>
      <c r="I1082" s="25">
        <f t="shared" si="278"/>
        <v>17</v>
      </c>
      <c r="J1082" s="25" t="str">
        <f>'Triplex Intermed.'!F13</f>
        <v>pç</v>
      </c>
      <c r="K1082" s="26">
        <f>_xlfn.XLOOKUP($E1082,PREÇO!$C$7:$C$91,PREÇO!$E$7:$E$91)</f>
        <v>5.32</v>
      </c>
      <c r="L1082" s="66">
        <f>IF(SUM(F1082:K1082)=0,SUMIFS($L1083:$L$1593,$B1083:$B$1593,$B1082,$A1083:$A$1593,$A1082),I1082*K1082)</f>
        <v>90.44</v>
      </c>
      <c r="N1082"/>
      <c r="O1082"/>
      <c r="P1082" s="28"/>
      <c r="Q1082" s="28"/>
      <c r="R1082" s="28"/>
    </row>
    <row r="1083" spans="1:18" outlineLevel="1">
      <c r="A1083" s="24" t="str">
        <f t="shared" si="279"/>
        <v>GERAL</v>
      </c>
      <c r="B1083" s="24" t="str">
        <f t="shared" si="280"/>
        <v>137º PAV. - TRIPLEX REBAIXADOR - LANÇAMENTO</v>
      </c>
      <c r="C1083" s="30" t="s">
        <v>221</v>
      </c>
      <c r="D1083" s="30" t="str">
        <f>'Triplex Intermed.'!C16</f>
        <v>Caixas</v>
      </c>
      <c r="E1083" s="30" t="str">
        <f>'Triplex Intermed.'!D16</f>
        <v>Caixa 4x2" de Embutir em PVC Padrão NBR IEC 60670</v>
      </c>
      <c r="F1083" s="30">
        <f>'Triplex Intermed.'!E16</f>
        <v>9</v>
      </c>
      <c r="G1083" s="25">
        <v>1</v>
      </c>
      <c r="H1083" s="25">
        <v>0</v>
      </c>
      <c r="I1083" s="25">
        <f t="shared" si="278"/>
        <v>9</v>
      </c>
      <c r="J1083" s="25" t="str">
        <f>'Triplex Intermed.'!F16</f>
        <v>pç</v>
      </c>
      <c r="K1083" s="26">
        <f>_xlfn.XLOOKUP($E1083,PREÇO!$C$7:$C$91,PREÇO!$E$7:$E$91)</f>
        <v>1.72</v>
      </c>
      <c r="L1083" s="66">
        <f>IF(SUM(F1083:K1083)=0,SUMIFS($L1084:$L$1593,$B1084:$B$1593,$B1083,$A1084:$A$1593,$A1083),I1083*K1083)</f>
        <v>15.48</v>
      </c>
      <c r="N1083"/>
      <c r="O1083"/>
      <c r="P1083" s="28"/>
      <c r="Q1083" s="28"/>
      <c r="R1083" s="28"/>
    </row>
    <row r="1084" spans="1:18" outlineLevel="1">
      <c r="A1084" s="24" t="str">
        <f t="shared" si="279"/>
        <v>GERAL</v>
      </c>
      <c r="B1084" s="24" t="str">
        <f t="shared" si="280"/>
        <v>137º PAV. - TRIPLEX REBAIXADOR - LANÇAMENTO</v>
      </c>
      <c r="C1084" s="30" t="s">
        <v>221</v>
      </c>
      <c r="D1084" s="30" t="str">
        <f>'Triplex Intermed.'!C17</f>
        <v>Placas</v>
      </c>
      <c r="E1084" s="30" t="str">
        <f>'Triplex Intermed.'!D17</f>
        <v>Placa 4x2" cega Padrão NBR IEC 60670</v>
      </c>
      <c r="F1084" s="30">
        <f>'Triplex Intermed.'!E17</f>
        <v>3</v>
      </c>
      <c r="G1084" s="25">
        <v>1</v>
      </c>
      <c r="H1084" s="25">
        <v>0</v>
      </c>
      <c r="I1084" s="25">
        <f t="shared" si="278"/>
        <v>3</v>
      </c>
      <c r="J1084" s="25" t="str">
        <f>'Triplex Intermed.'!F17</f>
        <v>pç</v>
      </c>
      <c r="K1084" s="26">
        <f>_xlfn.XLOOKUP($E1084,PREÇO!$C$7:$C$91,PREÇO!$E$7:$E$91)</f>
        <v>4.59</v>
      </c>
      <c r="L1084" s="66">
        <f>IF(SUM(F1084:K1084)=0,SUMIFS($L1085:$L$1593,$B1085:$B$1593,$B1084,$A1085:$A$1593,$A1084),I1084*K1084)</f>
        <v>13.77</v>
      </c>
      <c r="N1084"/>
      <c r="O1084"/>
      <c r="P1084" s="28"/>
      <c r="Q1084" s="28"/>
      <c r="R1084" s="28"/>
    </row>
    <row r="1085" spans="1:18" outlineLevel="1">
      <c r="A1085" s="24" t="str">
        <f t="shared" si="279"/>
        <v>GERAL</v>
      </c>
      <c r="B1085" s="24" t="str">
        <f t="shared" si="280"/>
        <v>137º PAV. - TRIPLEX REBAIXADOR - LANÇAMENTO</v>
      </c>
      <c r="C1085" s="30" t="s">
        <v>221</v>
      </c>
      <c r="D1085" s="30" t="str">
        <f>'Triplex Intermed.'!C18</f>
        <v>Placas</v>
      </c>
      <c r="E1085" s="30" t="str">
        <f>'Triplex Intermed.'!D18</f>
        <v>Placa 4x2" com furo para saída de cabos Padrão NBR IEC 60670</v>
      </c>
      <c r="F1085" s="30">
        <f>'Triplex Intermed.'!E18</f>
        <v>6</v>
      </c>
      <c r="G1085" s="25">
        <v>1</v>
      </c>
      <c r="H1085" s="25">
        <v>0</v>
      </c>
      <c r="I1085" s="25">
        <f t="shared" si="278"/>
        <v>6</v>
      </c>
      <c r="J1085" s="25" t="str">
        <f>'Triplex Intermed.'!F18</f>
        <v>pç</v>
      </c>
      <c r="K1085" s="26">
        <f>_xlfn.XLOOKUP($E1085,PREÇO!$C$7:$C$91,PREÇO!$E$7:$E$91)</f>
        <v>6.55</v>
      </c>
      <c r="L1085" s="66">
        <f>IF(SUM(F1085:K1085)=0,SUMIFS($L1086:$L$1593,$B1086:$B$1593,$B1085,$A1086:$A$1593,$A1085),I1085*K1085)</f>
        <v>39.299999999999997</v>
      </c>
      <c r="N1085"/>
      <c r="O1085"/>
      <c r="P1085" s="28"/>
      <c r="Q1085" s="28"/>
      <c r="R1085" s="28"/>
    </row>
    <row r="1086" spans="1:18" outlineLevel="1">
      <c r="A1086" s="24" t="str">
        <f t="shared" si="279"/>
        <v>GERAL</v>
      </c>
      <c r="B1086" s="24" t="str">
        <f t="shared" si="280"/>
        <v>137º PAV. - TRIPLEX REBAIXADOR - LANÇAMENTO</v>
      </c>
      <c r="C1086" s="30" t="s">
        <v>221</v>
      </c>
      <c r="D1086" s="30" t="str">
        <f>'Triplex Intermed.'!C19</f>
        <v>Suportes</v>
      </c>
      <c r="E1086" s="30" t="str">
        <f>'Triplex Intermed.'!D19</f>
        <v>Suporte p/ caixa 4x2" Padrão NBR IEC 60670</v>
      </c>
      <c r="F1086" s="30">
        <f>'Triplex Intermed.'!E19</f>
        <v>9</v>
      </c>
      <c r="G1086" s="25">
        <v>1</v>
      </c>
      <c r="H1086" s="25">
        <v>0</v>
      </c>
      <c r="I1086" s="25">
        <f t="shared" si="278"/>
        <v>9</v>
      </c>
      <c r="J1086" s="25" t="str">
        <f>'Triplex Intermed.'!F19</f>
        <v>pç</v>
      </c>
      <c r="K1086" s="26">
        <f>_xlfn.XLOOKUP($E1086,PREÇO!$C$7:$C$91,PREÇO!$E$7:$E$91)</f>
        <v>1.85</v>
      </c>
      <c r="L1086" s="66">
        <f>IF(SUM(F1086:K1086)=0,SUMIFS($L1087:$L$1593,$B1087:$B$1593,$B1086,$A1087:$A$1593,$A1086),I1086*K1086)</f>
        <v>16.650000000000002</v>
      </c>
      <c r="N1086"/>
      <c r="O1086"/>
      <c r="P1086" s="28"/>
      <c r="Q1086" s="28"/>
      <c r="R1086" s="28"/>
    </row>
    <row r="1087" spans="1:18" outlineLevel="1">
      <c r="A1087" s="24" t="str">
        <f t="shared" si="279"/>
        <v>GERAL</v>
      </c>
      <c r="B1087" s="24" t="str">
        <f t="shared" si="280"/>
        <v>137º PAV. - TRIPLEX REBAIXADOR - LANÇAMENTO</v>
      </c>
      <c r="C1087" s="30" t="s">
        <v>221</v>
      </c>
      <c r="D1087" s="30" t="str">
        <f>'Triplex Intermed.'!C22</f>
        <v>Embutir</v>
      </c>
      <c r="E1087" s="30" t="str">
        <f>'Triplex Intermed.'!D22</f>
        <v>Cx de passagem de embutir com dimensão de 50x50x15 cm</v>
      </c>
      <c r="F1087" s="30">
        <f>'Triplex Intermed.'!E22</f>
        <v>1</v>
      </c>
      <c r="G1087" s="25">
        <v>1</v>
      </c>
      <c r="H1087" s="25">
        <v>0</v>
      </c>
      <c r="I1087" s="25">
        <f t="shared" si="278"/>
        <v>1</v>
      </c>
      <c r="J1087" s="25" t="str">
        <f>'Triplex Intermed.'!F22</f>
        <v>pç</v>
      </c>
      <c r="K1087" s="26">
        <f>_xlfn.XLOOKUP($E1087,PREÇO!$C$7:$C$91,PREÇO!$E$7:$E$91)</f>
        <v>291.60000000000002</v>
      </c>
      <c r="L1087" s="66">
        <f>IF(SUM(F1087:K1087)=0,SUMIFS($L1088:$L$1593,$B1088:$B$1593,$B1087,$A1088:$A$1593,$A1087),I1087*K1087)</f>
        <v>291.60000000000002</v>
      </c>
      <c r="N1087"/>
      <c r="O1087"/>
      <c r="P1087" s="28"/>
      <c r="Q1087" s="28"/>
      <c r="R1087" s="28"/>
    </row>
    <row r="1088" spans="1:18" outlineLevel="1">
      <c r="A1088" s="24" t="str">
        <f t="shared" si="279"/>
        <v>GERAL</v>
      </c>
      <c r="B1088" s="24" t="str">
        <f t="shared" si="280"/>
        <v>137º PAV. - TRIPLEX REBAIXADOR - LANÇAMENTO</v>
      </c>
      <c r="C1088" s="30" t="s">
        <v>221</v>
      </c>
      <c r="D1088" s="86" t="s">
        <v>46</v>
      </c>
      <c r="E1088" s="30" t="s">
        <v>44</v>
      </c>
      <c r="F1088" s="30">
        <f>'Triplex Intermed.'!E25</f>
        <v>3.6</v>
      </c>
      <c r="G1088" s="25">
        <v>1</v>
      </c>
      <c r="H1088" s="25">
        <v>0</v>
      </c>
      <c r="I1088" s="25">
        <f t="shared" si="278"/>
        <v>3.6</v>
      </c>
      <c r="J1088" s="25" t="str">
        <f>'Triplex Intermed.'!F25</f>
        <v>m</v>
      </c>
      <c r="K1088" s="26">
        <f>_xlfn.XLOOKUP($E1088,PREÇO!$C$7:$C$91,PREÇO!$E$7:$E$91)</f>
        <v>2.5299999999999998</v>
      </c>
      <c r="L1088" s="66">
        <f>IF(SUM(F1088:K1088)=0,SUMIFS($L1089:$L$1593,$B1089:$B$1593,$B1088,$A1089:$A$1593,$A1088),I1088*K1088)</f>
        <v>9.1079999999999988</v>
      </c>
      <c r="N1088"/>
      <c r="O1088"/>
      <c r="P1088" s="28"/>
      <c r="Q1088" s="28"/>
      <c r="R1088" s="28"/>
    </row>
    <row r="1089" spans="1:18" outlineLevel="1">
      <c r="A1089" s="24" t="str">
        <f t="shared" si="279"/>
        <v>GERAL</v>
      </c>
      <c r="B1089" s="24" t="str">
        <f t="shared" si="280"/>
        <v>137º PAV. - TRIPLEX REBAIXADOR - LANÇAMENTO</v>
      </c>
      <c r="C1089" s="30" t="s">
        <v>221</v>
      </c>
      <c r="D1089" s="86" t="s">
        <v>46</v>
      </c>
      <c r="E1089" s="30" t="s">
        <v>45</v>
      </c>
      <c r="F1089" s="30">
        <f>'Triplex Intermed.'!E26</f>
        <v>31.98</v>
      </c>
      <c r="G1089" s="25">
        <v>1</v>
      </c>
      <c r="H1089" s="25">
        <v>0</v>
      </c>
      <c r="I1089" s="25">
        <f t="shared" si="278"/>
        <v>31.98</v>
      </c>
      <c r="J1089" s="25" t="str">
        <f>'Triplex Intermed.'!F26</f>
        <v>m</v>
      </c>
      <c r="K1089" s="26">
        <f>_xlfn.XLOOKUP($E1089,PREÇO!$C$7:$C$91,PREÇO!$E$7:$E$91)</f>
        <v>1.8</v>
      </c>
      <c r="L1089" s="66">
        <f>IF(SUM(F1089:K1089)=0,SUMIFS($L1090:$L$1593,$B1090:$B$1593,$B1089,$A1090:$A$1593,$A1089),I1089*K1089)</f>
        <v>57.564</v>
      </c>
      <c r="N1089"/>
      <c r="O1089"/>
      <c r="P1089" s="28"/>
      <c r="Q1089" s="28"/>
      <c r="R1089" s="28"/>
    </row>
    <row r="1090" spans="1:18" outlineLevel="1">
      <c r="A1090" s="24" t="str">
        <f t="shared" si="279"/>
        <v>GERAL</v>
      </c>
      <c r="B1090" s="24" t="str">
        <f t="shared" si="280"/>
        <v>137º PAV. - TRIPLEX REBAIXADOR - LANÇAMENTO</v>
      </c>
      <c r="C1090" s="30" t="s">
        <v>220</v>
      </c>
      <c r="D1090" s="30" t="str">
        <f>'Triplex Intermed.'!C29</f>
        <v>Luminárias e Placas de Saída</v>
      </c>
      <c r="E1090" s="30" t="str">
        <f>'Triplex Intermed.'!D29</f>
        <v>Luminária de Emergência 24V de Parede</v>
      </c>
      <c r="F1090" s="30">
        <f>'Triplex Intermed.'!E29</f>
        <v>3</v>
      </c>
      <c r="G1090" s="25">
        <v>1</v>
      </c>
      <c r="H1090" s="25">
        <v>0</v>
      </c>
      <c r="I1090" s="25">
        <f t="shared" si="278"/>
        <v>3</v>
      </c>
      <c r="J1090" s="25" t="str">
        <f>'Triplex Intermed.'!F29</f>
        <v>pç</v>
      </c>
      <c r="K1090" s="26">
        <f>_xlfn.XLOOKUP($E1090,PREÇO!$C$7:$C$91,PREÇO!$E$7:$E$91)</f>
        <v>15.9</v>
      </c>
      <c r="L1090" s="66">
        <f>IF(SUM(F1090:K1090)=0,SUMIFS($L1091:$L$1593,$B1091:$B$1593,$B1090,$A1091:$A$1593,$A1090),I1090*K1090)</f>
        <v>47.7</v>
      </c>
      <c r="N1090"/>
      <c r="O1090"/>
      <c r="P1090" s="28"/>
      <c r="Q1090" s="28"/>
      <c r="R1090" s="28"/>
    </row>
    <row r="1091" spans="1:18" outlineLevel="1">
      <c r="A1091" s="24" t="str">
        <f t="shared" si="279"/>
        <v>GERAL</v>
      </c>
      <c r="B1091" s="24" t="str">
        <f t="shared" si="280"/>
        <v>137º PAV. - TRIPLEX REBAIXADOR - LANÇAMENTO</v>
      </c>
      <c r="C1091" s="30" t="s">
        <v>220</v>
      </c>
      <c r="D1091" s="30" t="str">
        <f>'Triplex Intermed.'!C30</f>
        <v>Luminárias e Placas de Saída</v>
      </c>
      <c r="E1091" s="30" t="str">
        <f>'Triplex Intermed.'!D30</f>
        <v>Luminária de Emergência 24V de Teto</v>
      </c>
      <c r="F1091" s="30">
        <f>'Triplex Intermed.'!E30</f>
        <v>5</v>
      </c>
      <c r="G1091" s="25">
        <v>1</v>
      </c>
      <c r="H1091" s="25">
        <v>0</v>
      </c>
      <c r="I1091" s="25">
        <f t="shared" si="278"/>
        <v>5</v>
      </c>
      <c r="J1091" s="25" t="str">
        <f>'Triplex Intermed.'!F30</f>
        <v>pç</v>
      </c>
      <c r="K1091" s="26">
        <f>_xlfn.XLOOKUP($E1091,PREÇO!$C$7:$C$91,PREÇO!$E$7:$E$91)</f>
        <v>69.900000000000006</v>
      </c>
      <c r="L1091" s="66">
        <f>IF(SUM(F1091:K1091)=0,SUMIFS($L1092:$L$1593,$B1092:$B$1593,$B1091,$A1092:$A$1593,$A1091),I1091*K1091)</f>
        <v>349.5</v>
      </c>
      <c r="N1091"/>
      <c r="O1091"/>
      <c r="P1091" s="28"/>
      <c r="Q1091" s="28"/>
      <c r="R1091" s="28"/>
    </row>
    <row r="1092" spans="1:18" outlineLevel="1">
      <c r="A1092" s="24" t="str">
        <f t="shared" si="279"/>
        <v>GERAL</v>
      </c>
      <c r="B1092" s="24" t="str">
        <f t="shared" si="280"/>
        <v>137º PAV. - TRIPLEX REBAIXADOR - LANÇAMENTO</v>
      </c>
      <c r="C1092" s="24" t="s">
        <v>222</v>
      </c>
      <c r="D1092" s="30" t="str">
        <f>'Triplex Intermed.'!C31</f>
        <v>Luminárias e Placas de Saída</v>
      </c>
      <c r="E1092" s="30" t="str">
        <f>'Triplex Intermed.'!D31</f>
        <v>Placa de Saída 24V de Parede sem Direção</v>
      </c>
      <c r="F1092" s="30">
        <f>'Triplex Intermed.'!E31</f>
        <v>1</v>
      </c>
      <c r="G1092" s="25">
        <v>1</v>
      </c>
      <c r="H1092" s="25">
        <v>0</v>
      </c>
      <c r="I1092" s="25">
        <f t="shared" si="278"/>
        <v>1</v>
      </c>
      <c r="J1092" s="25" t="str">
        <f>'Triplex Intermed.'!F31</f>
        <v>pç</v>
      </c>
      <c r="K1092" s="26">
        <f>_xlfn.XLOOKUP($E1092,PREÇO!$C$7:$C$91,PREÇO!$E$7:$E$91)</f>
        <v>61.66</v>
      </c>
      <c r="L1092" s="66">
        <f>IF(SUM(F1092:K1092)=0,SUMIFS($L1094:$L$1593,$B1094:$B$1593,$B1092,$A1094:$A$1593,$A1092),I1092*K1092)</f>
        <v>61.66</v>
      </c>
      <c r="N1092"/>
      <c r="O1092"/>
      <c r="P1092" s="28"/>
      <c r="Q1092" s="28"/>
      <c r="R1092" s="28"/>
    </row>
    <row r="1093" spans="1:18" outlineLevel="1">
      <c r="A1093" s="116" t="str">
        <f>A1091</f>
        <v>GERAL</v>
      </c>
      <c r="B1093" s="116" t="str">
        <f>B1092</f>
        <v>137º PAV. - TRIPLEX REBAIXADOR - LANÇAMENTO</v>
      </c>
      <c r="C1093" s="116" t="s">
        <v>222</v>
      </c>
      <c r="D1093" s="116" t="s">
        <v>223</v>
      </c>
      <c r="E1093" s="116" t="s">
        <v>224</v>
      </c>
      <c r="F1093" s="117">
        <v>1</v>
      </c>
      <c r="G1093" s="117">
        <f>G1092</f>
        <v>1</v>
      </c>
      <c r="H1093" s="118">
        <v>0</v>
      </c>
      <c r="I1093" s="117">
        <f t="shared" si="278"/>
        <v>1</v>
      </c>
      <c r="J1093" s="117" t="s">
        <v>11</v>
      </c>
      <c r="K1093" s="119">
        <f>_xlfn.XLOOKUP($E1093,PREÇO!$C$7:$C$91,PREÇO!$E$7:$E$91)</f>
        <v>646.55999999999995</v>
      </c>
      <c r="L1093" s="120">
        <f>IF(SUM(F1093:K1093)=0,SUMIFS($L1094:$L$1593,$B1094:$B$1593,$B1093,$A1094:$A$1593,$A1093),I1093*K1093)</f>
        <v>646.55999999999995</v>
      </c>
      <c r="N1093"/>
      <c r="O1093"/>
      <c r="P1093" s="28"/>
      <c r="Q1093" s="28"/>
      <c r="R1093" s="28"/>
    </row>
    <row r="1094" spans="1:18" outlineLevel="1">
      <c r="A1094" s="24" t="str">
        <f>A1092</f>
        <v>GERAL</v>
      </c>
      <c r="B1094" s="24" t="str">
        <f>B1092</f>
        <v>137º PAV. - TRIPLEX REBAIXADOR - LANÇAMENTO</v>
      </c>
      <c r="C1094" s="30" t="s">
        <v>220</v>
      </c>
      <c r="D1094" s="30" t="str">
        <f>'Triplex Intermed.'!C32</f>
        <v>Sensores de Presença</v>
      </c>
      <c r="E1094" s="30" t="str">
        <f>'Triplex Intermed.'!D32</f>
        <v>Sensor de Presença 24V de teto</v>
      </c>
      <c r="F1094" s="30">
        <f>'Triplex Intermed.'!E32</f>
        <v>3</v>
      </c>
      <c r="G1094" s="25">
        <v>1</v>
      </c>
      <c r="H1094" s="25">
        <v>0</v>
      </c>
      <c r="I1094" s="25">
        <f t="shared" si="278"/>
        <v>3</v>
      </c>
      <c r="J1094" s="25" t="str">
        <f>'Triplex Intermed.'!F32</f>
        <v>pç</v>
      </c>
      <c r="K1094" s="26">
        <f>_xlfn.XLOOKUP($E1094,PREÇO!$C$7:$C$91,PREÇO!$E$7:$E$91)</f>
        <v>38.4</v>
      </c>
      <c r="L1094" s="66">
        <f>IF(SUM(F1094:K1094)=0,SUMIFS($L1095:$L$1593,$B1095:$B$1593,$B1094,$A1095:$A$1593,$A1094),I1094*K1094)</f>
        <v>115.19999999999999</v>
      </c>
      <c r="N1094"/>
      <c r="O1094"/>
      <c r="P1094" s="28"/>
      <c r="Q1094" s="28"/>
      <c r="R1094" s="28"/>
    </row>
    <row r="1095" spans="1:18" outlineLevel="1">
      <c r="A1095" s="24" t="str">
        <f t="shared" si="279"/>
        <v>GERAL</v>
      </c>
      <c r="B1095" s="24" t="str">
        <f t="shared" si="280"/>
        <v>137º PAV. - TRIPLEX REBAIXADOR - LANÇAMENTO</v>
      </c>
      <c r="C1095" s="30" t="s">
        <v>221</v>
      </c>
      <c r="D1095" s="86" t="s">
        <v>87</v>
      </c>
      <c r="E1095" s="30" t="s">
        <v>179</v>
      </c>
      <c r="F1095" s="30">
        <f>'Triplex Intermed.'!E35</f>
        <v>71.97</v>
      </c>
      <c r="G1095" s="25">
        <v>1</v>
      </c>
      <c r="H1095" s="25">
        <v>0</v>
      </c>
      <c r="I1095" s="25">
        <f t="shared" si="278"/>
        <v>71.97</v>
      </c>
      <c r="J1095" s="25" t="str">
        <f>'Triplex Intermed.'!F35</f>
        <v>m</v>
      </c>
      <c r="K1095" s="26">
        <f>_xlfn.XLOOKUP($E1095,PREÇO!$C$7:$C$91,PREÇO!$E$7:$E$91)</f>
        <v>1.59</v>
      </c>
      <c r="L1095" s="66">
        <f>IF(SUM(F1095:K1095)=0,SUMIFS($L1096:$L$1593,$B1096:$B$1593,$B1095,$A1096:$A$1593,$A1095),I1095*K1095)</f>
        <v>114.4323</v>
      </c>
      <c r="N1095"/>
      <c r="O1095"/>
      <c r="P1095" s="28"/>
      <c r="Q1095" s="28"/>
      <c r="R1095" s="28"/>
    </row>
    <row r="1096" spans="1:18" outlineLevel="1">
      <c r="A1096" s="24" t="str">
        <f t="shared" si="279"/>
        <v>GERAL</v>
      </c>
      <c r="B1096" s="24" t="str">
        <f t="shared" si="280"/>
        <v>137º PAV. - TRIPLEX REBAIXADOR - LANÇAMENTO</v>
      </c>
      <c r="C1096" s="30" t="s">
        <v>221</v>
      </c>
      <c r="D1096" s="86" t="s">
        <v>87</v>
      </c>
      <c r="E1096" s="30" t="s">
        <v>180</v>
      </c>
      <c r="F1096" s="30">
        <f>'Triplex Intermed.'!E36</f>
        <v>66.88</v>
      </c>
      <c r="G1096" s="25">
        <v>1</v>
      </c>
      <c r="H1096" s="25">
        <v>0</v>
      </c>
      <c r="I1096" s="25">
        <f t="shared" si="278"/>
        <v>66.88</v>
      </c>
      <c r="J1096" s="25" t="str">
        <f>'Triplex Intermed.'!F36</f>
        <v>m</v>
      </c>
      <c r="K1096" s="26">
        <f>_xlfn.XLOOKUP($E1096,PREÇO!$C$7:$C$91,PREÇO!$E$7:$E$91)</f>
        <v>1.59</v>
      </c>
      <c r="L1096" s="66">
        <f>IF(SUM(F1096:K1096)=0,SUMIFS($L1097:$L$1593,$B1097:$B$1593,$B1096,$A1097:$A$1593,$A1096),I1096*K1096)</f>
        <v>106.33919999999999</v>
      </c>
      <c r="N1096"/>
      <c r="O1096"/>
      <c r="P1096" s="28"/>
      <c r="Q1096" s="28"/>
      <c r="R1096" s="28"/>
    </row>
    <row r="1097" spans="1:18" outlineLevel="1">
      <c r="A1097" s="24" t="str">
        <f t="shared" si="279"/>
        <v>GERAL</v>
      </c>
      <c r="B1097" s="24" t="str">
        <f t="shared" si="280"/>
        <v>137º PAV. - TRIPLEX REBAIXADOR - LANÇAMENTO</v>
      </c>
      <c r="C1097" s="30" t="s">
        <v>221</v>
      </c>
      <c r="D1097" s="86" t="s">
        <v>87</v>
      </c>
      <c r="E1097" s="30" t="s">
        <v>181</v>
      </c>
      <c r="F1097" s="30">
        <f>'Triplex Intermed.'!E37</f>
        <v>66.88</v>
      </c>
      <c r="G1097" s="25">
        <v>1</v>
      </c>
      <c r="H1097" s="25">
        <v>0</v>
      </c>
      <c r="I1097" s="25">
        <f t="shared" ref="I1097:I1105" si="281">(F1097+H1097*F1097)*G1097</f>
        <v>66.88</v>
      </c>
      <c r="J1097" s="25" t="str">
        <f>'Triplex Intermed.'!F37</f>
        <v>m</v>
      </c>
      <c r="K1097" s="26">
        <f>_xlfn.XLOOKUP($E1097,PREÇO!$C$7:$C$91,PREÇO!$E$7:$E$91)</f>
        <v>1.59</v>
      </c>
      <c r="L1097" s="66">
        <f>IF(SUM(F1097:K1097)=0,SUMIFS($L1098:$L$1593,$B1098:$B$1593,$B1097,$A1098:$A$1593,$A1097),I1097*K1097)</f>
        <v>106.33919999999999</v>
      </c>
      <c r="N1097"/>
      <c r="O1097"/>
      <c r="P1097" s="28"/>
      <c r="Q1097" s="28"/>
      <c r="R1097" s="28"/>
    </row>
    <row r="1098" spans="1:18" outlineLevel="1">
      <c r="A1098" s="24" t="str">
        <f t="shared" si="279"/>
        <v>GERAL</v>
      </c>
      <c r="B1098" s="24" t="str">
        <f t="shared" si="280"/>
        <v>137º PAV. - TRIPLEX REBAIXADOR - LANÇAMENTO</v>
      </c>
      <c r="C1098" s="30" t="s">
        <v>221</v>
      </c>
      <c r="D1098" s="86" t="s">
        <v>87</v>
      </c>
      <c r="E1098" s="30" t="s">
        <v>182</v>
      </c>
      <c r="F1098" s="30">
        <f>'Triplex Intermed.'!E38</f>
        <v>25.58</v>
      </c>
      <c r="G1098" s="25">
        <v>1</v>
      </c>
      <c r="H1098" s="25">
        <v>0</v>
      </c>
      <c r="I1098" s="25">
        <f t="shared" si="281"/>
        <v>25.58</v>
      </c>
      <c r="J1098" s="25" t="str">
        <f>'Triplex Intermed.'!F38</f>
        <v>m</v>
      </c>
      <c r="K1098" s="26">
        <f>_xlfn.XLOOKUP($E1098,PREÇO!$C$7:$C$91,PREÇO!$E$7:$E$91)</f>
        <v>2.19</v>
      </c>
      <c r="L1098" s="66">
        <f>IF(SUM(F1098:K1098)=0,SUMIFS($L1099:$L$1593,$B1099:$B$1593,$B1098,$A1099:$A$1593,$A1098),I1098*K1098)</f>
        <v>56.020199999999996</v>
      </c>
      <c r="N1098"/>
      <c r="O1098"/>
      <c r="P1098" s="28"/>
      <c r="Q1098" s="28"/>
      <c r="R1098" s="28"/>
    </row>
    <row r="1099" spans="1:18" outlineLevel="1">
      <c r="A1099" s="24" t="str">
        <f t="shared" si="279"/>
        <v>GERAL</v>
      </c>
      <c r="B1099" s="24" t="str">
        <f t="shared" si="280"/>
        <v>137º PAV. - TRIPLEX REBAIXADOR - LANÇAMENTO</v>
      </c>
      <c r="C1099" s="30" t="s">
        <v>221</v>
      </c>
      <c r="D1099" s="86" t="s">
        <v>87</v>
      </c>
      <c r="E1099" s="30" t="s">
        <v>183</v>
      </c>
      <c r="F1099" s="30">
        <f>'Triplex Intermed.'!E39</f>
        <v>32.380000000000003</v>
      </c>
      <c r="G1099" s="25">
        <v>1</v>
      </c>
      <c r="H1099" s="25">
        <v>0</v>
      </c>
      <c r="I1099" s="25">
        <f t="shared" si="281"/>
        <v>32.380000000000003</v>
      </c>
      <c r="J1099" s="25" t="str">
        <f>'Triplex Intermed.'!F39</f>
        <v>m</v>
      </c>
      <c r="K1099" s="26">
        <f>_xlfn.XLOOKUP($E1099,PREÇO!$C$7:$C$91,PREÇO!$E$7:$E$91)</f>
        <v>2.19</v>
      </c>
      <c r="L1099" s="66">
        <f>IF(SUM(F1099:K1099)=0,SUMIFS($L1100:$L$1593,$B1100:$B$1593,$B1099,$A1100:$A$1593,$A1099),I1099*K1099)</f>
        <v>70.912199999999999</v>
      </c>
      <c r="N1099"/>
      <c r="O1099"/>
      <c r="P1099" s="28"/>
      <c r="Q1099" s="28"/>
      <c r="R1099" s="28"/>
    </row>
    <row r="1100" spans="1:18" outlineLevel="1">
      <c r="A1100" s="24" t="str">
        <f t="shared" si="279"/>
        <v>GERAL</v>
      </c>
      <c r="B1100" s="24" t="str">
        <f t="shared" si="280"/>
        <v>137º PAV. - TRIPLEX REBAIXADOR - LANÇAMENTO</v>
      </c>
      <c r="C1100" s="30" t="s">
        <v>221</v>
      </c>
      <c r="D1100" s="86" t="s">
        <v>87</v>
      </c>
      <c r="E1100" s="30" t="s">
        <v>184</v>
      </c>
      <c r="F1100" s="30">
        <f>'Triplex Intermed.'!E40</f>
        <v>32.380000000000003</v>
      </c>
      <c r="G1100" s="25">
        <v>1</v>
      </c>
      <c r="H1100" s="25">
        <v>0</v>
      </c>
      <c r="I1100" s="25">
        <f t="shared" si="281"/>
        <v>32.380000000000003</v>
      </c>
      <c r="J1100" s="25" t="str">
        <f>'Triplex Intermed.'!F40</f>
        <v>m</v>
      </c>
      <c r="K1100" s="26">
        <f>_xlfn.XLOOKUP($E1100,PREÇO!$C$7:$C$91,PREÇO!$E$7:$E$91)</f>
        <v>2.19</v>
      </c>
      <c r="L1100" s="66">
        <f>IF(SUM(F1100:K1100)=0,SUMIFS($L1101:$L$1593,$B1101:$B$1593,$B1100,$A1101:$A$1593,$A1100),I1100*K1100)</f>
        <v>70.912199999999999</v>
      </c>
      <c r="N1100"/>
      <c r="O1100"/>
      <c r="P1100" s="28"/>
      <c r="Q1100" s="28"/>
      <c r="R1100" s="28"/>
    </row>
    <row r="1101" spans="1:18" outlineLevel="1">
      <c r="A1101" s="24" t="str">
        <f t="shared" si="279"/>
        <v>GERAL</v>
      </c>
      <c r="B1101" s="24" t="str">
        <f t="shared" si="280"/>
        <v>137º PAV. - TRIPLEX REBAIXADOR - LANÇAMENTO</v>
      </c>
      <c r="C1101" s="30" t="s">
        <v>221</v>
      </c>
      <c r="D1101" s="86" t="s">
        <v>46</v>
      </c>
      <c r="E1101" s="30" t="s">
        <v>44</v>
      </c>
      <c r="F1101" s="30">
        <f>'Triplex Intermed.'!E44</f>
        <v>111.01</v>
      </c>
      <c r="G1101" s="25">
        <v>1</v>
      </c>
      <c r="H1101" s="25">
        <v>0</v>
      </c>
      <c r="I1101" s="25">
        <f t="shared" si="281"/>
        <v>111.01</v>
      </c>
      <c r="J1101" s="25" t="str">
        <f>'Triplex Intermed.'!F44</f>
        <v>m</v>
      </c>
      <c r="K1101" s="26">
        <f>_xlfn.XLOOKUP($E1101,PREÇO!$C$7:$C$91,PREÇO!$E$7:$E$91)</f>
        <v>2.5299999999999998</v>
      </c>
      <c r="L1101" s="66">
        <f>IF(SUM(F1101:K1101)=0,SUMIFS($L1102:$L$1593,$B1102:$B$1593,$B1101,$A1102:$A$1593,$A1101),I1101*K1101)</f>
        <v>280.8553</v>
      </c>
      <c r="N1101"/>
      <c r="O1101"/>
      <c r="P1101" s="28"/>
      <c r="Q1101" s="28"/>
      <c r="R1101" s="28"/>
    </row>
    <row r="1102" spans="1:18" outlineLevel="1">
      <c r="A1102" s="24" t="str">
        <f t="shared" si="279"/>
        <v>GERAL</v>
      </c>
      <c r="B1102" s="24" t="str">
        <f t="shared" si="280"/>
        <v>137º PAV. - TRIPLEX REBAIXADOR - LANÇAMENTO</v>
      </c>
      <c r="C1102" s="30" t="s">
        <v>221</v>
      </c>
      <c r="D1102" s="86" t="s">
        <v>89</v>
      </c>
      <c r="E1102" s="30" t="s">
        <v>185</v>
      </c>
      <c r="F1102" s="30">
        <f>'Triplex Intermed.'!E47</f>
        <v>99.01</v>
      </c>
      <c r="G1102" s="25">
        <v>1</v>
      </c>
      <c r="H1102" s="25">
        <v>0</v>
      </c>
      <c r="I1102" s="25">
        <f t="shared" si="281"/>
        <v>99.01</v>
      </c>
      <c r="J1102" s="25" t="str">
        <f>'Triplex Intermed.'!F47</f>
        <v>m</v>
      </c>
      <c r="K1102" s="26">
        <f>_xlfn.XLOOKUP($E1102,PREÇO!$C$7:$C$91,PREÇO!$E$7:$E$91)</f>
        <v>0.99</v>
      </c>
      <c r="L1102" s="66">
        <f>IF(SUM(F1102:K1102)=0,SUMIFS($L1103:$L$1593,$B1103:$B$1593,$B1102,$A1103:$A$1593,$A1102),I1102*K1102)</f>
        <v>98.019900000000007</v>
      </c>
      <c r="N1102"/>
      <c r="O1102"/>
      <c r="P1102" s="28"/>
      <c r="Q1102" s="28"/>
      <c r="R1102" s="28"/>
    </row>
    <row r="1103" spans="1:18" ht="15.75" outlineLevel="1" thickBot="1">
      <c r="A1103" s="24" t="str">
        <f t="shared" si="279"/>
        <v>GERAL</v>
      </c>
      <c r="B1103" s="24" t="str">
        <f t="shared" si="280"/>
        <v>137º PAV. - TRIPLEX REBAIXADOR - LANÇAMENTO</v>
      </c>
      <c r="C1103" s="30" t="s">
        <v>221</v>
      </c>
      <c r="D1103" s="86" t="s">
        <v>89</v>
      </c>
      <c r="E1103" s="30" t="s">
        <v>186</v>
      </c>
      <c r="F1103" s="30">
        <f>'Triplex Intermed.'!E48</f>
        <v>90.1</v>
      </c>
      <c r="G1103" s="25">
        <v>1</v>
      </c>
      <c r="H1103" s="25">
        <v>0</v>
      </c>
      <c r="I1103" s="25">
        <f t="shared" si="281"/>
        <v>90.1</v>
      </c>
      <c r="J1103" s="25" t="str">
        <f>'Triplex Intermed.'!F48</f>
        <v>m</v>
      </c>
      <c r="K1103" s="26">
        <f>_xlfn.XLOOKUP($E1103,PREÇO!$C$7:$C$91,PREÇO!$E$7:$E$91)</f>
        <v>1.69</v>
      </c>
      <c r="L1103" s="66">
        <f>IF(SUM(F1103:K1103)=0,SUMIFS($L1104:$L$1593,$B1104:$B$1593,$B1103,$A1104:$A$1593,$A1103),I1103*K1103)</f>
        <v>152.26899999999998</v>
      </c>
      <c r="N1103"/>
      <c r="O1103"/>
      <c r="P1103" s="28"/>
      <c r="Q1103" s="28"/>
      <c r="R1103" s="28"/>
    </row>
    <row r="1104" spans="1:18" ht="15.75" thickTop="1">
      <c r="A1104" s="82" t="s">
        <v>19</v>
      </c>
      <c r="B1104" s="82" t="s">
        <v>200</v>
      </c>
      <c r="C1104" s="43"/>
      <c r="D1104" s="44" t="str">
        <f>'Triplex Intermed.'!C49</f>
        <v/>
      </c>
      <c r="E1104" s="44" t="str">
        <f>'Triplex Intermed.'!D49</f>
        <v/>
      </c>
      <c r="F1104" s="45" t="str">
        <f>'Triplex Intermed.'!E49</f>
        <v/>
      </c>
      <c r="G1104" s="45"/>
      <c r="H1104" s="45"/>
      <c r="I1104" s="45"/>
      <c r="J1104" s="45" t="str">
        <f>'Triplex Intermed.'!F49</f>
        <v/>
      </c>
      <c r="K1104" s="47"/>
      <c r="L1104" s="48">
        <f>IF(SUM(F1104:K1104)=0,SUMIFS($L1105:$L$1593,$B1105:$B$1593,$B1104,$A1105:$A$1593,$A1104),I1104*K1104)</f>
        <v>6120.2571999999973</v>
      </c>
      <c r="N1104"/>
      <c r="O1104"/>
      <c r="P1104" s="28"/>
      <c r="Q1104" s="28"/>
      <c r="R1104" s="28"/>
    </row>
    <row r="1105" spans="1:18" outlineLevel="1">
      <c r="A1105" s="24" t="str">
        <f>A1104</f>
        <v>GERAL</v>
      </c>
      <c r="B1105" s="24" t="str">
        <f>B1104</f>
        <v>138º PAV. - TRIPLEX - LANÇAMENTO</v>
      </c>
      <c r="C1105" s="30" t="s">
        <v>221</v>
      </c>
      <c r="D1105" s="30" t="str">
        <f>'Triplex Superior'!C6</f>
        <v>Acionadores</v>
      </c>
      <c r="E1105" s="30" t="str">
        <f>'Triplex Superior'!D6</f>
        <v>Acionador Manual de Alarme de Incêndio</v>
      </c>
      <c r="F1105" s="30">
        <f>'Triplex Superior'!E6</f>
        <v>1</v>
      </c>
      <c r="G1105" s="25">
        <v>1</v>
      </c>
      <c r="H1105" s="25">
        <v>0</v>
      </c>
      <c r="I1105" s="25">
        <f t="shared" si="281"/>
        <v>1</v>
      </c>
      <c r="J1105" s="25" t="str">
        <f>'Triplex Superior'!F6</f>
        <v>pç</v>
      </c>
      <c r="K1105" s="26">
        <f>_xlfn.XLOOKUP($E1105,PREÇO!$C$7:$C$91,PREÇO!$E$7:$E$91)</f>
        <v>65</v>
      </c>
      <c r="L1105" s="66">
        <f>IF(SUM(F1105:K1105)=0,SUMIFS($L1106:$L$1593,$B1106:$B$1593,$B1105,$A1106:$A$1593,$A1105),I1105*K1105)</f>
        <v>65</v>
      </c>
      <c r="N1105"/>
      <c r="O1105"/>
      <c r="P1105" s="28"/>
      <c r="Q1105" s="28"/>
      <c r="R1105" s="28"/>
    </row>
    <row r="1106" spans="1:18" outlineLevel="1">
      <c r="A1106" s="24" t="str">
        <f t="shared" ref="A1106:A1132" si="282">A1105</f>
        <v>GERAL</v>
      </c>
      <c r="B1106" s="24" t="str">
        <f t="shared" ref="B1106:B1132" si="283">B1105</f>
        <v>138º PAV. - TRIPLEX - LANÇAMENTO</v>
      </c>
      <c r="C1106" s="30" t="s">
        <v>221</v>
      </c>
      <c r="D1106" s="30" t="str">
        <f>'Triplex Superior'!C7</f>
        <v>Anunciadores</v>
      </c>
      <c r="E1106" s="30" t="str">
        <f>'Triplex Superior'!D7</f>
        <v>Anunciador Audiovisual de Alarme de Incêndio de Parede</v>
      </c>
      <c r="F1106" s="30">
        <f>'Triplex Superior'!E7</f>
        <v>1</v>
      </c>
      <c r="G1106" s="25">
        <v>1</v>
      </c>
      <c r="H1106" s="25">
        <v>0</v>
      </c>
      <c r="I1106" s="25">
        <f t="shared" ref="I1106:I1129" si="284">(F1106+H1106*F1106)*G1106</f>
        <v>1</v>
      </c>
      <c r="J1106" s="25" t="str">
        <f>'Triplex Superior'!F7</f>
        <v>pç</v>
      </c>
      <c r="K1106" s="26">
        <f>_xlfn.XLOOKUP($E1106,PREÇO!$C$7:$C$91,PREÇO!$E$7:$E$91)</f>
        <v>191.81</v>
      </c>
      <c r="L1106" s="66">
        <f>IF(SUM(F1106:K1106)=0,SUMIFS($L1107:$L$1593,$B1107:$B$1593,$B1106,$A1107:$A$1593,$A1106),I1106*K1106)</f>
        <v>191.81</v>
      </c>
      <c r="N1106"/>
      <c r="O1106"/>
      <c r="P1106" s="28"/>
      <c r="Q1106" s="28"/>
      <c r="R1106" s="28"/>
    </row>
    <row r="1107" spans="1:18" outlineLevel="1">
      <c r="A1107" s="24" t="str">
        <f t="shared" si="282"/>
        <v>GERAL</v>
      </c>
      <c r="B1107" s="24" t="str">
        <f t="shared" si="283"/>
        <v>138º PAV. - TRIPLEX - LANÇAMENTO</v>
      </c>
      <c r="C1107" s="30" t="s">
        <v>221</v>
      </c>
      <c r="D1107" s="30" t="str">
        <f>'Triplex Superior'!C8</f>
        <v>Anunciadores</v>
      </c>
      <c r="E1107" s="30" t="str">
        <f>'Triplex Superior'!D8</f>
        <v>Anunciador Audiovisual de Alarme de Incêndio de Teto</v>
      </c>
      <c r="F1107" s="30">
        <f>'Triplex Superior'!E8</f>
        <v>2</v>
      </c>
      <c r="G1107" s="25">
        <v>1</v>
      </c>
      <c r="H1107" s="25">
        <v>0</v>
      </c>
      <c r="I1107" s="25">
        <f t="shared" si="284"/>
        <v>2</v>
      </c>
      <c r="J1107" s="25" t="str">
        <f>'Triplex Superior'!F8</f>
        <v>pç</v>
      </c>
      <c r="K1107" s="26">
        <f>_xlfn.XLOOKUP($E1107,PREÇO!$C$7:$C$91,PREÇO!$E$7:$E$91)</f>
        <v>169.96</v>
      </c>
      <c r="L1107" s="66">
        <f>IF(SUM(F1107:K1107)=0,SUMIFS($L1108:$L$1593,$B1108:$B$1593,$B1107,$A1108:$A$1593,$A1107),I1107*K1107)</f>
        <v>339.92</v>
      </c>
      <c r="N1107"/>
      <c r="O1107"/>
      <c r="P1107" s="28"/>
      <c r="Q1107" s="28"/>
      <c r="R1107" s="28"/>
    </row>
    <row r="1108" spans="1:18" outlineLevel="1">
      <c r="A1108" s="24" t="str">
        <f t="shared" si="282"/>
        <v>GERAL</v>
      </c>
      <c r="B1108" s="24" t="str">
        <f t="shared" si="283"/>
        <v>138º PAV. - TRIPLEX - LANÇAMENTO</v>
      </c>
      <c r="C1108" s="30" t="s">
        <v>221</v>
      </c>
      <c r="D1108" s="30" t="str">
        <f>'Triplex Superior'!C9</f>
        <v>Atuadores</v>
      </c>
      <c r="E1108" s="30" t="str">
        <f>'Triplex Superior'!D9</f>
        <v>Atuador Janela Desenfumagem</v>
      </c>
      <c r="F1108" s="30">
        <f>'Triplex Superior'!E9</f>
        <v>1</v>
      </c>
      <c r="G1108" s="25">
        <v>1</v>
      </c>
      <c r="H1108" s="25">
        <v>0</v>
      </c>
      <c r="I1108" s="25">
        <f t="shared" si="284"/>
        <v>1</v>
      </c>
      <c r="J1108" s="25" t="str">
        <f>'Triplex Superior'!F9</f>
        <v>pç</v>
      </c>
      <c r="K1108" s="26">
        <f>_xlfn.XLOOKUP($E1108,PREÇO!$C$7:$C$91,PREÇO!$E$7:$E$91)</f>
        <v>1150</v>
      </c>
      <c r="L1108" s="66">
        <f>IF(SUM(F1108:K1108)=0,SUMIFS($L1109:$L$1593,$B1109:$B$1593,$B1108,$A1109:$A$1593,$A1108),I1108*K1108)</f>
        <v>1150</v>
      </c>
      <c r="N1108"/>
      <c r="O1108"/>
      <c r="P1108" s="28"/>
      <c r="Q1108" s="28"/>
      <c r="R1108" s="28"/>
    </row>
    <row r="1109" spans="1:18" outlineLevel="1">
      <c r="A1109" s="24" t="str">
        <f t="shared" si="282"/>
        <v>GERAL</v>
      </c>
      <c r="B1109" s="24" t="str">
        <f t="shared" si="283"/>
        <v>138º PAV. - TRIPLEX - LANÇAMENTO</v>
      </c>
      <c r="C1109" s="30" t="s">
        <v>221</v>
      </c>
      <c r="D1109" s="30" t="str">
        <f>'Triplex Superior'!C10</f>
        <v>Atuadores</v>
      </c>
      <c r="E1109" s="30" t="str">
        <f>'Triplex Superior'!D10</f>
        <v>Dispositivo Eletromagnético de Porta Aberta</v>
      </c>
      <c r="F1109" s="30">
        <f>'Triplex Superior'!E10</f>
        <v>1</v>
      </c>
      <c r="G1109" s="25">
        <v>1</v>
      </c>
      <c r="H1109" s="25">
        <v>0</v>
      </c>
      <c r="I1109" s="25">
        <f t="shared" si="284"/>
        <v>1</v>
      </c>
      <c r="J1109" s="25" t="str">
        <f>'Triplex Superior'!F10</f>
        <v>pç</v>
      </c>
      <c r="K1109" s="26">
        <f>_xlfn.XLOOKUP($E1109,PREÇO!$C$7:$C$91,PREÇO!$E$7:$E$91)</f>
        <v>416.9</v>
      </c>
      <c r="L1109" s="66">
        <f>IF(SUM(F1109:K1109)=0,SUMIFS($L1110:$L$1593,$B1110:$B$1593,$B1109,$A1110:$A$1593,$A1109),I1109*K1109)</f>
        <v>416.9</v>
      </c>
      <c r="N1109"/>
      <c r="O1109"/>
      <c r="P1109" s="28"/>
      <c r="Q1109" s="28"/>
      <c r="R1109" s="28"/>
    </row>
    <row r="1110" spans="1:18" outlineLevel="1">
      <c r="A1110" s="24" t="str">
        <f t="shared" si="282"/>
        <v>GERAL</v>
      </c>
      <c r="B1110" s="24" t="str">
        <f t="shared" si="283"/>
        <v>138º PAV. - TRIPLEX - LANÇAMENTO</v>
      </c>
      <c r="C1110" s="30" t="s">
        <v>221</v>
      </c>
      <c r="D1110" s="30" t="str">
        <f>'Triplex Superior'!C11</f>
        <v>Sensores</v>
      </c>
      <c r="E1110" s="30" t="str">
        <f>'Triplex Superior'!D11</f>
        <v>Sensor de Fumaça</v>
      </c>
      <c r="F1110" s="30">
        <f>'Triplex Superior'!E11</f>
        <v>19</v>
      </c>
      <c r="G1110" s="25">
        <v>1</v>
      </c>
      <c r="H1110" s="25">
        <v>0</v>
      </c>
      <c r="I1110" s="25">
        <f t="shared" si="284"/>
        <v>19</v>
      </c>
      <c r="J1110" s="25" t="str">
        <f>'Triplex Superior'!F11</f>
        <v>pç</v>
      </c>
      <c r="K1110" s="26">
        <f>_xlfn.XLOOKUP($E1110,PREÇO!$C$7:$C$91,PREÇO!$E$7:$E$91)</f>
        <v>53.9</v>
      </c>
      <c r="L1110" s="66">
        <f>IF(SUM(F1110:K1110)=0,SUMIFS($L1111:$L$1593,$B1111:$B$1593,$B1110,$A1111:$A$1593,$A1110),I1110*K1110)</f>
        <v>1024.0999999999999</v>
      </c>
      <c r="N1110"/>
      <c r="O1110"/>
      <c r="P1110" s="28"/>
      <c r="Q1110" s="28"/>
      <c r="R1110" s="28"/>
    </row>
    <row r="1111" spans="1:18" outlineLevel="1">
      <c r="A1111" s="24" t="str">
        <f t="shared" si="282"/>
        <v>GERAL</v>
      </c>
      <c r="B1111" s="24" t="str">
        <f t="shared" si="283"/>
        <v>138º PAV. - TRIPLEX - LANÇAMENTO</v>
      </c>
      <c r="C1111" s="30" t="s">
        <v>221</v>
      </c>
      <c r="D1111" s="30" t="str">
        <f>'Triplex Superior'!C14</f>
        <v>Caixas</v>
      </c>
      <c r="E1111" s="30" t="str">
        <f>'Triplex Superior'!D14</f>
        <v>Caixa Octogonal Padrão NBR IEC 60670</v>
      </c>
      <c r="F1111" s="30">
        <f>'Triplex Superior'!E14</f>
        <v>31</v>
      </c>
      <c r="G1111" s="25">
        <v>1</v>
      </c>
      <c r="H1111" s="25">
        <v>0</v>
      </c>
      <c r="I1111" s="25">
        <f t="shared" si="284"/>
        <v>31</v>
      </c>
      <c r="J1111" s="25" t="str">
        <f>'Triplex Superior'!F14</f>
        <v>pç</v>
      </c>
      <c r="K1111" s="26">
        <f>_xlfn.XLOOKUP($E1111,PREÇO!$C$7:$C$91,PREÇO!$E$7:$E$91)</f>
        <v>5.32</v>
      </c>
      <c r="L1111" s="66">
        <f>IF(SUM(F1111:K1111)=0,SUMIFS($L1112:$L$1593,$B1112:$B$1593,$B1111,$A1112:$A$1593,$A1111),I1111*K1111)</f>
        <v>164.92000000000002</v>
      </c>
      <c r="N1111"/>
      <c r="O1111"/>
      <c r="P1111" s="28"/>
      <c r="Q1111" s="28"/>
      <c r="R1111" s="28"/>
    </row>
    <row r="1112" spans="1:18" outlineLevel="1">
      <c r="A1112" s="24" t="str">
        <f t="shared" si="282"/>
        <v>GERAL</v>
      </c>
      <c r="B1112" s="24" t="str">
        <f t="shared" si="283"/>
        <v>138º PAV. - TRIPLEX - LANÇAMENTO</v>
      </c>
      <c r="C1112" s="30" t="s">
        <v>221</v>
      </c>
      <c r="D1112" s="30" t="str">
        <f>'Triplex Superior'!C15</f>
        <v>Placas</v>
      </c>
      <c r="E1112" s="30" t="str">
        <f>'Triplex Superior'!D15</f>
        <v>Placa cega para caixa octogonal Padrão NBR IEC 60670</v>
      </c>
      <c r="F1112" s="30">
        <f>'Triplex Superior'!E15</f>
        <v>2</v>
      </c>
      <c r="G1112" s="25">
        <v>1</v>
      </c>
      <c r="H1112" s="25">
        <v>0</v>
      </c>
      <c r="I1112" s="25">
        <f t="shared" si="284"/>
        <v>2</v>
      </c>
      <c r="J1112" s="25" t="str">
        <f>'Triplex Superior'!F15</f>
        <v>pç</v>
      </c>
      <c r="K1112" s="26">
        <f>_xlfn.XLOOKUP($E1112,PREÇO!$C$7:$C$91,PREÇO!$E$7:$E$91)</f>
        <v>2.5</v>
      </c>
      <c r="L1112" s="66">
        <f>IF(SUM(F1112:K1112)=0,SUMIFS($L1113:$L$1593,$B1113:$B$1593,$B1112,$A1113:$A$1593,$A1112),I1112*K1112)</f>
        <v>5</v>
      </c>
      <c r="N1112"/>
      <c r="O1112"/>
      <c r="P1112" s="28"/>
      <c r="Q1112" s="28"/>
      <c r="R1112" s="28"/>
    </row>
    <row r="1113" spans="1:18" outlineLevel="1">
      <c r="A1113" s="24" t="str">
        <f t="shared" si="282"/>
        <v>GERAL</v>
      </c>
      <c r="B1113" s="24" t="str">
        <f t="shared" si="283"/>
        <v>138º PAV. - TRIPLEX - LANÇAMENTO</v>
      </c>
      <c r="C1113" s="30" t="s">
        <v>221</v>
      </c>
      <c r="D1113" s="30" t="str">
        <f>'Triplex Superior'!C18</f>
        <v>Caixas</v>
      </c>
      <c r="E1113" s="30" t="str">
        <f>'Triplex Superior'!D18</f>
        <v>Caixa 4x2" de Embutir em PVC Padrão NBR IEC 60670</v>
      </c>
      <c r="F1113" s="30">
        <f>'Triplex Superior'!E18</f>
        <v>9</v>
      </c>
      <c r="G1113" s="25">
        <v>1</v>
      </c>
      <c r="H1113" s="25">
        <v>0</v>
      </c>
      <c r="I1113" s="25">
        <f t="shared" si="284"/>
        <v>9</v>
      </c>
      <c r="J1113" s="25" t="str">
        <f>'Triplex Superior'!F18</f>
        <v>pç</v>
      </c>
      <c r="K1113" s="26">
        <f>_xlfn.XLOOKUP($E1113,PREÇO!$C$7:$C$91,PREÇO!$E$7:$E$91)</f>
        <v>1.72</v>
      </c>
      <c r="L1113" s="66">
        <f>IF(SUM(F1113:K1113)=0,SUMIFS($L1114:$L$1593,$B1114:$B$1593,$B1113,$A1114:$A$1593,$A1113),I1113*K1113)</f>
        <v>15.48</v>
      </c>
      <c r="N1113"/>
      <c r="O1113"/>
      <c r="P1113" s="28"/>
      <c r="Q1113" s="28"/>
      <c r="R1113" s="28"/>
    </row>
    <row r="1114" spans="1:18" outlineLevel="1">
      <c r="A1114" s="24" t="str">
        <f t="shared" si="282"/>
        <v>GERAL</v>
      </c>
      <c r="B1114" s="24" t="str">
        <f t="shared" si="283"/>
        <v>138º PAV. - TRIPLEX - LANÇAMENTO</v>
      </c>
      <c r="C1114" s="30" t="s">
        <v>221</v>
      </c>
      <c r="D1114" s="30" t="str">
        <f>'Triplex Superior'!C19</f>
        <v>Placas</v>
      </c>
      <c r="E1114" s="30" t="str">
        <f>'Triplex Superior'!D19</f>
        <v>Placa 4x2" cega Padrão NBR IEC 60670</v>
      </c>
      <c r="F1114" s="30">
        <f>'Triplex Superior'!E19</f>
        <v>3</v>
      </c>
      <c r="G1114" s="25">
        <v>1</v>
      </c>
      <c r="H1114" s="25">
        <v>0</v>
      </c>
      <c r="I1114" s="25">
        <f t="shared" si="284"/>
        <v>3</v>
      </c>
      <c r="J1114" s="25" t="str">
        <f>'Triplex Superior'!F19</f>
        <v>pç</v>
      </c>
      <c r="K1114" s="26">
        <f>_xlfn.XLOOKUP($E1114,PREÇO!$C$7:$C$91,PREÇO!$E$7:$E$91)</f>
        <v>4.59</v>
      </c>
      <c r="L1114" s="66">
        <f>IF(SUM(F1114:K1114)=0,SUMIFS($L1115:$L$1593,$B1115:$B$1593,$B1114,$A1115:$A$1593,$A1114),I1114*K1114)</f>
        <v>13.77</v>
      </c>
      <c r="N1114"/>
      <c r="O1114"/>
      <c r="P1114" s="28"/>
      <c r="Q1114" s="28"/>
      <c r="R1114" s="28"/>
    </row>
    <row r="1115" spans="1:18" outlineLevel="1">
      <c r="A1115" s="24" t="str">
        <f t="shared" si="282"/>
        <v>GERAL</v>
      </c>
      <c r="B1115" s="24" t="str">
        <f t="shared" si="283"/>
        <v>138º PAV. - TRIPLEX - LANÇAMENTO</v>
      </c>
      <c r="C1115" s="30" t="s">
        <v>221</v>
      </c>
      <c r="D1115" s="30" t="str">
        <f>'Triplex Superior'!C20</f>
        <v>Placas</v>
      </c>
      <c r="E1115" s="30" t="str">
        <f>'Triplex Superior'!D20</f>
        <v>Placa 4x2" com furo para saída de cabos Padrão NBR IEC 60670</v>
      </c>
      <c r="F1115" s="30">
        <f>'Triplex Superior'!E20</f>
        <v>6</v>
      </c>
      <c r="G1115" s="25">
        <v>1</v>
      </c>
      <c r="H1115" s="25">
        <v>0</v>
      </c>
      <c r="I1115" s="25">
        <f t="shared" si="284"/>
        <v>6</v>
      </c>
      <c r="J1115" s="25" t="str">
        <f>'Triplex Superior'!F20</f>
        <v>pç</v>
      </c>
      <c r="K1115" s="26">
        <f>_xlfn.XLOOKUP($E1115,PREÇO!$C$7:$C$91,PREÇO!$E$7:$E$91)</f>
        <v>6.55</v>
      </c>
      <c r="L1115" s="66">
        <f>IF(SUM(F1115:K1115)=0,SUMIFS($L1116:$L$1593,$B1116:$B$1593,$B1115,$A1116:$A$1593,$A1115),I1115*K1115)</f>
        <v>39.299999999999997</v>
      </c>
      <c r="N1115"/>
      <c r="O1115"/>
      <c r="P1115" s="28"/>
      <c r="Q1115" s="28"/>
      <c r="R1115" s="28"/>
    </row>
    <row r="1116" spans="1:18" outlineLevel="1">
      <c r="A1116" s="24" t="str">
        <f t="shared" si="282"/>
        <v>GERAL</v>
      </c>
      <c r="B1116" s="24" t="str">
        <f t="shared" si="283"/>
        <v>138º PAV. - TRIPLEX - LANÇAMENTO</v>
      </c>
      <c r="C1116" s="30" t="s">
        <v>221</v>
      </c>
      <c r="D1116" s="30" t="str">
        <f>'Triplex Superior'!C21</f>
        <v>Suportes</v>
      </c>
      <c r="E1116" s="30" t="str">
        <f>'Triplex Superior'!D21</f>
        <v>Suporte p/ caixa 4x2" Padrão NBR IEC 60670</v>
      </c>
      <c r="F1116" s="30">
        <f>'Triplex Superior'!E21</f>
        <v>9</v>
      </c>
      <c r="G1116" s="25">
        <v>1</v>
      </c>
      <c r="H1116" s="25">
        <v>0</v>
      </c>
      <c r="I1116" s="25">
        <f t="shared" si="284"/>
        <v>9</v>
      </c>
      <c r="J1116" s="25" t="str">
        <f>'Triplex Superior'!F21</f>
        <v>pç</v>
      </c>
      <c r="K1116" s="26">
        <f>_xlfn.XLOOKUP($E1116,PREÇO!$C$7:$C$91,PREÇO!$E$7:$E$91)</f>
        <v>1.85</v>
      </c>
      <c r="L1116" s="66">
        <f>IF(SUM(F1116:K1116)=0,SUMIFS($L1117:$L$1593,$B1117:$B$1593,$B1116,$A1117:$A$1593,$A1116),I1116*K1116)</f>
        <v>16.650000000000002</v>
      </c>
      <c r="N1116"/>
      <c r="O1116"/>
      <c r="P1116" s="28"/>
      <c r="Q1116" s="28"/>
      <c r="R1116" s="28"/>
    </row>
    <row r="1117" spans="1:18" outlineLevel="1">
      <c r="A1117" s="24" t="str">
        <f t="shared" si="282"/>
        <v>GERAL</v>
      </c>
      <c r="B1117" s="24" t="str">
        <f t="shared" si="283"/>
        <v>138º PAV. - TRIPLEX - LANÇAMENTO</v>
      </c>
      <c r="C1117" s="30" t="s">
        <v>221</v>
      </c>
      <c r="D1117" s="86" t="s">
        <v>46</v>
      </c>
      <c r="E1117" s="30" t="s">
        <v>44</v>
      </c>
      <c r="F1117" s="30">
        <f>'Triplex Superior'!E24</f>
        <v>28.5</v>
      </c>
      <c r="G1117" s="25">
        <v>1</v>
      </c>
      <c r="H1117" s="25">
        <v>0</v>
      </c>
      <c r="I1117" s="25">
        <f t="shared" si="284"/>
        <v>28.5</v>
      </c>
      <c r="J1117" s="25" t="str">
        <f>'Triplex Superior'!F24</f>
        <v>m</v>
      </c>
      <c r="K1117" s="26">
        <f>_xlfn.XLOOKUP($E1117,PREÇO!$C$7:$C$91,PREÇO!$E$7:$E$91)</f>
        <v>2.5299999999999998</v>
      </c>
      <c r="L1117" s="66">
        <f>IF(SUM(F1117:K1117)=0,SUMIFS($L1118:$L$1593,$B1118:$B$1593,$B1117,$A1118:$A$1593,$A1117),I1117*K1117)</f>
        <v>72.10499999999999</v>
      </c>
      <c r="N1117"/>
      <c r="O1117"/>
      <c r="P1117" s="28"/>
      <c r="Q1117" s="28"/>
      <c r="R1117" s="28"/>
    </row>
    <row r="1118" spans="1:18" outlineLevel="1">
      <c r="A1118" s="24" t="str">
        <f t="shared" si="282"/>
        <v>GERAL</v>
      </c>
      <c r="B1118" s="24" t="str">
        <f t="shared" si="283"/>
        <v>138º PAV. - TRIPLEX - LANÇAMENTO</v>
      </c>
      <c r="C1118" s="30" t="s">
        <v>221</v>
      </c>
      <c r="D1118" s="86" t="s">
        <v>46</v>
      </c>
      <c r="E1118" s="30" t="s">
        <v>45</v>
      </c>
      <c r="F1118" s="30">
        <f>'Triplex Superior'!E25</f>
        <v>34.19</v>
      </c>
      <c r="G1118" s="25">
        <v>1</v>
      </c>
      <c r="H1118" s="25">
        <v>0</v>
      </c>
      <c r="I1118" s="25">
        <f t="shared" si="284"/>
        <v>34.19</v>
      </c>
      <c r="J1118" s="25" t="str">
        <f>'Triplex Superior'!F25</f>
        <v>m</v>
      </c>
      <c r="K1118" s="26">
        <f>_xlfn.XLOOKUP($E1118,PREÇO!$C$7:$C$91,PREÇO!$E$7:$E$91)</f>
        <v>1.8</v>
      </c>
      <c r="L1118" s="66">
        <f>IF(SUM(F1118:K1118)=0,SUMIFS($L1119:$L$1593,$B1119:$B$1593,$B1118,$A1119:$A$1593,$A1118),I1118*K1118)</f>
        <v>61.541999999999994</v>
      </c>
      <c r="N1118"/>
      <c r="O1118"/>
      <c r="P1118" s="28"/>
      <c r="Q1118" s="28"/>
      <c r="R1118" s="28"/>
    </row>
    <row r="1119" spans="1:18" outlineLevel="1">
      <c r="A1119" s="24" t="str">
        <f t="shared" si="282"/>
        <v>GERAL</v>
      </c>
      <c r="B1119" s="24" t="str">
        <f t="shared" si="283"/>
        <v>138º PAV. - TRIPLEX - LANÇAMENTO</v>
      </c>
      <c r="C1119" s="30" t="s">
        <v>220</v>
      </c>
      <c r="D1119" s="30" t="str">
        <f>'Triplex Superior'!C28</f>
        <v>Luminárias e Placas de Saída</v>
      </c>
      <c r="E1119" s="30" t="str">
        <f>'Triplex Superior'!D28</f>
        <v>Luminária de Emergência 24V de Parede</v>
      </c>
      <c r="F1119" s="30">
        <f>'Triplex Superior'!E28</f>
        <v>3</v>
      </c>
      <c r="G1119" s="25">
        <v>1</v>
      </c>
      <c r="H1119" s="25">
        <v>0</v>
      </c>
      <c r="I1119" s="25">
        <f t="shared" si="284"/>
        <v>3</v>
      </c>
      <c r="J1119" s="25" t="str">
        <f>'Triplex Superior'!F28</f>
        <v>pç</v>
      </c>
      <c r="K1119" s="26">
        <f>_xlfn.XLOOKUP($E1119,PREÇO!$C$7:$C$91,PREÇO!$E$7:$E$91)</f>
        <v>15.9</v>
      </c>
      <c r="L1119" s="66">
        <f>IF(SUM(F1119:K1119)=0,SUMIFS($L1120:$L$1593,$B1120:$B$1593,$B1119,$A1120:$A$1593,$A1119),I1119*K1119)</f>
        <v>47.7</v>
      </c>
      <c r="N1119"/>
      <c r="O1119"/>
      <c r="P1119" s="28"/>
      <c r="Q1119" s="28"/>
      <c r="R1119" s="28"/>
    </row>
    <row r="1120" spans="1:18" outlineLevel="1">
      <c r="A1120" s="24" t="str">
        <f t="shared" si="282"/>
        <v>GERAL</v>
      </c>
      <c r="B1120" s="24" t="str">
        <f t="shared" si="283"/>
        <v>138º PAV. - TRIPLEX - LANÇAMENTO</v>
      </c>
      <c r="C1120" s="30" t="s">
        <v>220</v>
      </c>
      <c r="D1120" s="30" t="str">
        <f>'Triplex Superior'!C29</f>
        <v>Luminárias e Placas de Saída</v>
      </c>
      <c r="E1120" s="30" t="str">
        <f>'Triplex Superior'!D29</f>
        <v>Luminária de Emergência 24V de Teto</v>
      </c>
      <c r="F1120" s="30">
        <f>'Triplex Superior'!E29</f>
        <v>5</v>
      </c>
      <c r="G1120" s="25">
        <v>1</v>
      </c>
      <c r="H1120" s="25">
        <v>0</v>
      </c>
      <c r="I1120" s="25">
        <f t="shared" si="284"/>
        <v>5</v>
      </c>
      <c r="J1120" s="25" t="str">
        <f>'Triplex Superior'!F29</f>
        <v>pç</v>
      </c>
      <c r="K1120" s="26">
        <f>_xlfn.XLOOKUP($E1120,PREÇO!$C$7:$C$91,PREÇO!$E$7:$E$91)</f>
        <v>69.900000000000006</v>
      </c>
      <c r="L1120" s="66">
        <f>IF(SUM(F1120:K1120)=0,SUMIFS($L1121:$L$1593,$B1121:$B$1593,$B1120,$A1121:$A$1593,$A1120),I1120*K1120)</f>
        <v>349.5</v>
      </c>
      <c r="N1120"/>
      <c r="O1120"/>
      <c r="P1120" s="28"/>
      <c r="Q1120" s="28"/>
      <c r="R1120" s="28"/>
    </row>
    <row r="1121" spans="1:18" outlineLevel="1">
      <c r="A1121" s="24" t="str">
        <f t="shared" si="282"/>
        <v>GERAL</v>
      </c>
      <c r="B1121" s="24" t="str">
        <f t="shared" si="283"/>
        <v>138º PAV. - TRIPLEX - LANÇAMENTO</v>
      </c>
      <c r="C1121" s="24" t="s">
        <v>222</v>
      </c>
      <c r="D1121" s="30" t="str">
        <f>'Triplex Superior'!C30</f>
        <v>Luminárias e Placas de Saída</v>
      </c>
      <c r="E1121" s="30" t="str">
        <f>'Triplex Superior'!D30</f>
        <v>Placa de Saída 24V de Parede sem Direção</v>
      </c>
      <c r="F1121" s="30">
        <f>'Triplex Superior'!E30</f>
        <v>1</v>
      </c>
      <c r="G1121" s="25">
        <v>1</v>
      </c>
      <c r="H1121" s="25">
        <v>0</v>
      </c>
      <c r="I1121" s="25">
        <f t="shared" si="284"/>
        <v>1</v>
      </c>
      <c r="J1121" s="25" t="str">
        <f>'Triplex Superior'!F30</f>
        <v>pç</v>
      </c>
      <c r="K1121" s="26">
        <f>_xlfn.XLOOKUP($E1121,PREÇO!$C$7:$C$91,PREÇO!$E$7:$E$91)</f>
        <v>61.66</v>
      </c>
      <c r="L1121" s="66">
        <f>IF(SUM(F1121:K1121)=0,SUMIFS($L1123:$L$1593,$B1123:$B$1593,$B1121,$A1123:$A$1593,$A1121),I1121*K1121)</f>
        <v>61.66</v>
      </c>
      <c r="N1121"/>
      <c r="O1121"/>
      <c r="P1121" s="28"/>
      <c r="Q1121" s="28"/>
      <c r="R1121" s="28"/>
    </row>
    <row r="1122" spans="1:18" outlineLevel="1">
      <c r="A1122" s="116" t="str">
        <f>A1120</f>
        <v>GERAL</v>
      </c>
      <c r="B1122" s="116" t="str">
        <f>B1121</f>
        <v>138º PAV. - TRIPLEX - LANÇAMENTO</v>
      </c>
      <c r="C1122" s="116" t="s">
        <v>222</v>
      </c>
      <c r="D1122" s="116" t="s">
        <v>223</v>
      </c>
      <c r="E1122" s="116" t="s">
        <v>224</v>
      </c>
      <c r="F1122" s="117">
        <v>1</v>
      </c>
      <c r="G1122" s="117">
        <f>G1121</f>
        <v>1</v>
      </c>
      <c r="H1122" s="118">
        <v>0</v>
      </c>
      <c r="I1122" s="117">
        <f t="shared" si="284"/>
        <v>1</v>
      </c>
      <c r="J1122" s="117" t="s">
        <v>11</v>
      </c>
      <c r="K1122" s="119">
        <f>_xlfn.XLOOKUP($E1122,PREÇO!$C$7:$C$91,PREÇO!$E$7:$E$91)</f>
        <v>646.55999999999995</v>
      </c>
      <c r="L1122" s="120">
        <f>IF(SUM(F1122:K1122)=0,SUMIFS($L1123:$L$1593,$B1123:$B$1593,$B1122,$A1123:$A$1593,$A1122),I1122*K1122)</f>
        <v>646.55999999999995</v>
      </c>
      <c r="N1122"/>
      <c r="O1122"/>
      <c r="P1122" s="28"/>
      <c r="Q1122" s="28"/>
      <c r="R1122" s="28"/>
    </row>
    <row r="1123" spans="1:18" outlineLevel="1">
      <c r="A1123" s="24" t="str">
        <f>A1121</f>
        <v>GERAL</v>
      </c>
      <c r="B1123" s="24" t="str">
        <f>B1121</f>
        <v>138º PAV. - TRIPLEX - LANÇAMENTO</v>
      </c>
      <c r="C1123" s="30" t="s">
        <v>220</v>
      </c>
      <c r="D1123" s="30" t="str">
        <f>'Triplex Superior'!C31</f>
        <v>Sensores de Presença</v>
      </c>
      <c r="E1123" s="30" t="str">
        <f>'Triplex Superior'!D31</f>
        <v>Sensor de Presença 24V de teto</v>
      </c>
      <c r="F1123" s="30">
        <f>'Triplex Superior'!E31</f>
        <v>3</v>
      </c>
      <c r="G1123" s="25">
        <v>1</v>
      </c>
      <c r="H1123" s="25">
        <v>0</v>
      </c>
      <c r="I1123" s="25">
        <f t="shared" si="284"/>
        <v>3</v>
      </c>
      <c r="J1123" s="25" t="str">
        <f>'Triplex Superior'!F31</f>
        <v>pç</v>
      </c>
      <c r="K1123" s="26">
        <f>_xlfn.XLOOKUP($E1123,PREÇO!$C$7:$C$91,PREÇO!$E$7:$E$91)</f>
        <v>38.4</v>
      </c>
      <c r="L1123" s="66">
        <f>IF(SUM(F1123:K1123)=0,SUMIFS($L1124:$L$1593,$B1124:$B$1593,$B1123,$A1124:$A$1593,$A1123),I1123*K1123)</f>
        <v>115.19999999999999</v>
      </c>
      <c r="N1123"/>
      <c r="O1123"/>
      <c r="P1123" s="28"/>
      <c r="Q1123" s="28"/>
      <c r="R1123" s="28"/>
    </row>
    <row r="1124" spans="1:18" outlineLevel="1">
      <c r="A1124" s="24" t="str">
        <f t="shared" si="282"/>
        <v>GERAL</v>
      </c>
      <c r="B1124" s="24" t="str">
        <f t="shared" si="283"/>
        <v>138º PAV. - TRIPLEX - LANÇAMENTO</v>
      </c>
      <c r="C1124" s="30" t="s">
        <v>221</v>
      </c>
      <c r="D1124" s="86" t="s">
        <v>87</v>
      </c>
      <c r="E1124" s="30" t="s">
        <v>179</v>
      </c>
      <c r="F1124" s="30">
        <f>'Triplex Superior'!E34</f>
        <v>71.77</v>
      </c>
      <c r="G1124" s="25">
        <v>1</v>
      </c>
      <c r="H1124" s="25">
        <v>0</v>
      </c>
      <c r="I1124" s="25">
        <f t="shared" si="284"/>
        <v>71.77</v>
      </c>
      <c r="J1124" s="25" t="str">
        <f>'Triplex Superior'!F34</f>
        <v>m</v>
      </c>
      <c r="K1124" s="26">
        <f>_xlfn.XLOOKUP($E1124,PREÇO!$C$7:$C$91,PREÇO!$E$7:$E$91)</f>
        <v>1.59</v>
      </c>
      <c r="L1124" s="66">
        <f>IF(SUM(F1124:K1124)=0,SUMIFS($L1125:$L$1593,$B1125:$B$1593,$B1124,$A1125:$A$1593,$A1124),I1124*K1124)</f>
        <v>114.1143</v>
      </c>
      <c r="N1124"/>
      <c r="O1124"/>
      <c r="P1124" s="28"/>
      <c r="Q1124" s="28"/>
      <c r="R1124" s="28"/>
    </row>
    <row r="1125" spans="1:18" outlineLevel="1">
      <c r="A1125" s="24" t="str">
        <f t="shared" si="282"/>
        <v>GERAL</v>
      </c>
      <c r="B1125" s="24" t="str">
        <f t="shared" si="283"/>
        <v>138º PAV. - TRIPLEX - LANÇAMENTO</v>
      </c>
      <c r="C1125" s="30" t="s">
        <v>221</v>
      </c>
      <c r="D1125" s="86" t="s">
        <v>87</v>
      </c>
      <c r="E1125" s="30" t="s">
        <v>180</v>
      </c>
      <c r="F1125" s="30">
        <f>'Triplex Superior'!E35</f>
        <v>58.48</v>
      </c>
      <c r="G1125" s="25">
        <v>1</v>
      </c>
      <c r="H1125" s="25">
        <v>0</v>
      </c>
      <c r="I1125" s="25">
        <f t="shared" si="284"/>
        <v>58.48</v>
      </c>
      <c r="J1125" s="25" t="str">
        <f>'Triplex Superior'!F35</f>
        <v>m</v>
      </c>
      <c r="K1125" s="26">
        <f>_xlfn.XLOOKUP($E1125,PREÇO!$C$7:$C$91,PREÇO!$E$7:$E$91)</f>
        <v>1.59</v>
      </c>
      <c r="L1125" s="66">
        <f>IF(SUM(F1125:K1125)=0,SUMIFS($L1126:$L$1593,$B1126:$B$1593,$B1125,$A1126:$A$1593,$A1125),I1125*K1125)</f>
        <v>92.983199999999997</v>
      </c>
      <c r="N1125"/>
      <c r="O1125"/>
      <c r="P1125" s="28"/>
      <c r="Q1125" s="28"/>
      <c r="R1125" s="28"/>
    </row>
    <row r="1126" spans="1:18" outlineLevel="1">
      <c r="A1126" s="24" t="str">
        <f t="shared" si="282"/>
        <v>GERAL</v>
      </c>
      <c r="B1126" s="24" t="str">
        <f t="shared" si="283"/>
        <v>138º PAV. - TRIPLEX - LANÇAMENTO</v>
      </c>
      <c r="C1126" s="30" t="s">
        <v>221</v>
      </c>
      <c r="D1126" s="86" t="s">
        <v>87</v>
      </c>
      <c r="E1126" s="30" t="s">
        <v>181</v>
      </c>
      <c r="F1126" s="30">
        <f>'Triplex Superior'!E36</f>
        <v>58.48</v>
      </c>
      <c r="G1126" s="25">
        <v>1</v>
      </c>
      <c r="H1126" s="25">
        <v>0</v>
      </c>
      <c r="I1126" s="25">
        <f t="shared" si="284"/>
        <v>58.48</v>
      </c>
      <c r="J1126" s="25" t="str">
        <f>'Triplex Superior'!F36</f>
        <v>m</v>
      </c>
      <c r="K1126" s="26">
        <f>_xlfn.XLOOKUP($E1126,PREÇO!$C$7:$C$91,PREÇO!$E$7:$E$91)</f>
        <v>1.59</v>
      </c>
      <c r="L1126" s="66">
        <f>IF(SUM(F1126:K1126)=0,SUMIFS($L1127:$L$1593,$B1127:$B$1593,$B1126,$A1127:$A$1593,$A1126),I1126*K1126)</f>
        <v>92.983199999999997</v>
      </c>
      <c r="N1126"/>
      <c r="O1126"/>
      <c r="P1126" s="28"/>
      <c r="Q1126" s="28"/>
      <c r="R1126" s="28"/>
    </row>
    <row r="1127" spans="1:18" outlineLevel="1">
      <c r="A1127" s="24" t="str">
        <f t="shared" si="282"/>
        <v>GERAL</v>
      </c>
      <c r="B1127" s="24" t="str">
        <f t="shared" si="283"/>
        <v>138º PAV. - TRIPLEX - LANÇAMENTO</v>
      </c>
      <c r="C1127" s="30" t="s">
        <v>221</v>
      </c>
      <c r="D1127" s="86" t="s">
        <v>87</v>
      </c>
      <c r="E1127" s="30" t="s">
        <v>182</v>
      </c>
      <c r="F1127" s="30">
        <f>'Triplex Superior'!E37</f>
        <v>33.78</v>
      </c>
      <c r="G1127" s="25">
        <v>1</v>
      </c>
      <c r="H1127" s="25">
        <v>0</v>
      </c>
      <c r="I1127" s="25">
        <f t="shared" si="284"/>
        <v>33.78</v>
      </c>
      <c r="J1127" s="25" t="str">
        <f>'Triplex Superior'!F37</f>
        <v>m</v>
      </c>
      <c r="K1127" s="26">
        <f>_xlfn.XLOOKUP($E1127,PREÇO!$C$7:$C$91,PREÇO!$E$7:$E$91)</f>
        <v>2.19</v>
      </c>
      <c r="L1127" s="66">
        <f>IF(SUM(F1127:K1127)=0,SUMIFS($L1128:$L$1593,$B1128:$B$1593,$B1127,$A1128:$A$1593,$A1127),I1127*K1127)</f>
        <v>73.978200000000001</v>
      </c>
      <c r="N1127"/>
      <c r="O1127"/>
      <c r="P1127" s="28"/>
      <c r="Q1127" s="28"/>
      <c r="R1127" s="28"/>
    </row>
    <row r="1128" spans="1:18" outlineLevel="1">
      <c r="A1128" s="24" t="str">
        <f t="shared" si="282"/>
        <v>GERAL</v>
      </c>
      <c r="B1128" s="24" t="str">
        <f t="shared" si="283"/>
        <v>138º PAV. - TRIPLEX - LANÇAMENTO</v>
      </c>
      <c r="C1128" s="30" t="s">
        <v>221</v>
      </c>
      <c r="D1128" s="86" t="s">
        <v>87</v>
      </c>
      <c r="E1128" s="30" t="s">
        <v>183</v>
      </c>
      <c r="F1128" s="30">
        <f>'Triplex Superior'!E38</f>
        <v>71.89</v>
      </c>
      <c r="G1128" s="25">
        <v>1</v>
      </c>
      <c r="H1128" s="25">
        <v>0</v>
      </c>
      <c r="I1128" s="25">
        <f t="shared" si="284"/>
        <v>71.89</v>
      </c>
      <c r="J1128" s="25" t="str">
        <f>'Triplex Superior'!F38</f>
        <v>m</v>
      </c>
      <c r="K1128" s="26">
        <f>_xlfn.XLOOKUP($E1128,PREÇO!$C$7:$C$91,PREÇO!$E$7:$E$91)</f>
        <v>2.19</v>
      </c>
      <c r="L1128" s="66">
        <f>IF(SUM(F1128:K1128)=0,SUMIFS($L1129:$L$1593,$B1129:$B$1593,$B1128,$A1129:$A$1593,$A1128),I1128*K1128)</f>
        <v>157.4391</v>
      </c>
      <c r="N1128"/>
      <c r="O1128"/>
      <c r="P1128" s="28"/>
      <c r="Q1128" s="28"/>
      <c r="R1128" s="28"/>
    </row>
    <row r="1129" spans="1:18" outlineLevel="1">
      <c r="A1129" s="24" t="str">
        <f t="shared" si="282"/>
        <v>GERAL</v>
      </c>
      <c r="B1129" s="24" t="str">
        <f t="shared" si="283"/>
        <v>138º PAV. - TRIPLEX - LANÇAMENTO</v>
      </c>
      <c r="C1129" s="30" t="s">
        <v>221</v>
      </c>
      <c r="D1129" s="86" t="s">
        <v>87</v>
      </c>
      <c r="E1129" s="30" t="s">
        <v>184</v>
      </c>
      <c r="F1129" s="30">
        <f>'Triplex Superior'!E39</f>
        <v>71.89</v>
      </c>
      <c r="G1129" s="25">
        <v>1</v>
      </c>
      <c r="H1129" s="25">
        <v>0</v>
      </c>
      <c r="I1129" s="25">
        <f t="shared" si="284"/>
        <v>71.89</v>
      </c>
      <c r="J1129" s="25" t="str">
        <f>'Triplex Superior'!F39</f>
        <v>m</v>
      </c>
      <c r="K1129" s="26">
        <f>_xlfn.XLOOKUP($E1129,PREÇO!$C$7:$C$91,PREÇO!$E$7:$E$91)</f>
        <v>2.19</v>
      </c>
      <c r="L1129" s="66">
        <f>IF(SUM(F1129:K1129)=0,SUMIFS($L1130:$L$1593,$B1130:$B$1593,$B1129,$A1130:$A$1593,$A1129),I1129*K1129)</f>
        <v>157.4391</v>
      </c>
      <c r="N1129"/>
      <c r="O1129"/>
      <c r="P1129" s="28"/>
      <c r="Q1129" s="28"/>
      <c r="R1129" s="28"/>
    </row>
    <row r="1130" spans="1:18" outlineLevel="1">
      <c r="A1130" s="24" t="str">
        <f t="shared" si="282"/>
        <v>GERAL</v>
      </c>
      <c r="B1130" s="24" t="str">
        <f t="shared" si="283"/>
        <v>138º PAV. - TRIPLEX - LANÇAMENTO</v>
      </c>
      <c r="C1130" s="30" t="s">
        <v>221</v>
      </c>
      <c r="D1130" s="86" t="s">
        <v>46</v>
      </c>
      <c r="E1130" s="30" t="s">
        <v>44</v>
      </c>
      <c r="F1130" s="30">
        <f>'Triplex Superior'!E43</f>
        <v>127.47</v>
      </c>
      <c r="G1130" s="25">
        <v>1</v>
      </c>
      <c r="H1130" s="25">
        <v>0</v>
      </c>
      <c r="I1130" s="25">
        <f t="shared" ref="I1130:I1134" si="285">(F1130+H1130*F1130)*G1130</f>
        <v>127.47</v>
      </c>
      <c r="J1130" s="25" t="str">
        <f>'Triplex Superior'!F43</f>
        <v>m</v>
      </c>
      <c r="K1130" s="26">
        <f>_xlfn.XLOOKUP($E1130,PREÇO!$C$7:$C$91,PREÇO!$E$7:$E$91)</f>
        <v>2.5299999999999998</v>
      </c>
      <c r="L1130" s="66">
        <f>IF(SUM(F1130:K1130)=0,SUMIFS($L1131:$L$1593,$B1131:$B$1593,$B1130,$A1131:$A$1593,$A1130),I1130*K1130)</f>
        <v>322.4991</v>
      </c>
      <c r="N1130"/>
      <c r="O1130"/>
      <c r="P1130" s="28"/>
      <c r="Q1130" s="28"/>
      <c r="R1130" s="28"/>
    </row>
    <row r="1131" spans="1:18" outlineLevel="1">
      <c r="A1131" s="24" t="str">
        <f t="shared" si="282"/>
        <v>GERAL</v>
      </c>
      <c r="B1131" s="24" t="str">
        <f t="shared" si="283"/>
        <v>138º PAV. - TRIPLEX - LANÇAMENTO</v>
      </c>
      <c r="C1131" s="30" t="s">
        <v>221</v>
      </c>
      <c r="D1131" s="86" t="s">
        <v>89</v>
      </c>
      <c r="E1131" s="30" t="s">
        <v>185</v>
      </c>
      <c r="F1131" s="30">
        <f>'Triplex Superior'!E46</f>
        <v>121.1</v>
      </c>
      <c r="G1131" s="25">
        <v>1</v>
      </c>
      <c r="H1131" s="25">
        <v>0</v>
      </c>
      <c r="I1131" s="25">
        <f t="shared" si="285"/>
        <v>121.1</v>
      </c>
      <c r="J1131" s="25" t="str">
        <f>'Triplex Superior'!F46</f>
        <v>m</v>
      </c>
      <c r="K1131" s="26">
        <f>_xlfn.XLOOKUP($E1131,PREÇO!$C$7:$C$91,PREÇO!$E$7:$E$91)</f>
        <v>0.99</v>
      </c>
      <c r="L1131" s="66">
        <f>IF(SUM(F1131:K1131)=0,SUMIFS($L1132:$L$1593,$B1132:$B$1593,$B1131,$A1132:$A$1593,$A1131),I1131*K1131)</f>
        <v>119.889</v>
      </c>
      <c r="N1131"/>
      <c r="O1131"/>
      <c r="P1131" s="28"/>
      <c r="Q1131" s="28"/>
      <c r="R1131" s="28"/>
    </row>
    <row r="1132" spans="1:18" ht="15.75" outlineLevel="1" thickBot="1">
      <c r="A1132" s="24" t="str">
        <f t="shared" si="282"/>
        <v>GERAL</v>
      </c>
      <c r="B1132" s="24" t="str">
        <f t="shared" si="283"/>
        <v>138º PAV. - TRIPLEX - LANÇAMENTO</v>
      </c>
      <c r="C1132" s="30" t="s">
        <v>221</v>
      </c>
      <c r="D1132" s="86" t="s">
        <v>89</v>
      </c>
      <c r="E1132" s="30" t="s">
        <v>186</v>
      </c>
      <c r="F1132" s="30">
        <f>'Triplex Superior'!E47</f>
        <v>113.5</v>
      </c>
      <c r="G1132" s="25">
        <v>1</v>
      </c>
      <c r="H1132" s="25">
        <v>0</v>
      </c>
      <c r="I1132" s="25">
        <f t="shared" si="285"/>
        <v>113.5</v>
      </c>
      <c r="J1132" s="25" t="str">
        <f>'Triplex Superior'!F47</f>
        <v>m</v>
      </c>
      <c r="K1132" s="26">
        <f>_xlfn.XLOOKUP($E1132,PREÇO!$C$7:$C$91,PREÇO!$E$7:$E$91)</f>
        <v>1.69</v>
      </c>
      <c r="L1132" s="66">
        <f>IF(SUM(F1132:K1132)=0,SUMIFS($L1133:$L$1593,$B1133:$B$1593,$B1132,$A1133:$A$1593,$A1132),I1132*K1132)</f>
        <v>191.815</v>
      </c>
      <c r="N1132"/>
      <c r="O1132"/>
      <c r="P1132" s="28"/>
      <c r="Q1132" s="28"/>
      <c r="R1132" s="28"/>
    </row>
    <row r="1133" spans="1:18" ht="15.75" thickTop="1">
      <c r="A1133" s="82" t="s">
        <v>19</v>
      </c>
      <c r="B1133" s="82" t="s">
        <v>201</v>
      </c>
      <c r="C1133" s="43"/>
      <c r="D1133" s="44" t="str">
        <f>'Triplex Superior'!C48</f>
        <v/>
      </c>
      <c r="E1133" s="44" t="str">
        <f>'Triplex Superior'!D48</f>
        <v/>
      </c>
      <c r="F1133" s="45" t="str">
        <f>'Triplex Superior'!E48</f>
        <v/>
      </c>
      <c r="G1133" s="45"/>
      <c r="H1133" s="45"/>
      <c r="I1133" s="45"/>
      <c r="J1133" s="45" t="str">
        <f>'Triplex Superior'!F48</f>
        <v/>
      </c>
      <c r="K1133" s="47"/>
      <c r="L1133" s="48">
        <f>IF(SUM(F1133:K1133)=0,SUMIFS($L1134:$L$1593,$B1134:$B$1593,$B1133,$A1134:$A$1593,$A1133),I1133*K1133)</f>
        <v>6757.7180999999991</v>
      </c>
      <c r="N1133"/>
      <c r="O1133"/>
      <c r="P1133" s="28"/>
      <c r="Q1133" s="28"/>
      <c r="R1133" s="28"/>
    </row>
    <row r="1134" spans="1:18" outlineLevel="1">
      <c r="A1134" s="24" t="str">
        <f>A1133</f>
        <v>GERAL</v>
      </c>
      <c r="B1134" s="24" t="str">
        <f>B1133</f>
        <v>139º PAV. - ÁREA TÉCNICA 08 - LANÇAMENTO</v>
      </c>
      <c r="C1134" s="30" t="s">
        <v>221</v>
      </c>
      <c r="D1134" s="30" t="str">
        <f>'Técnico 8'!C6</f>
        <v>Acionadores</v>
      </c>
      <c r="E1134" s="30" t="str">
        <f>'Técnico 8'!D6</f>
        <v>Acionador Manual de Alarme de Incêndio</v>
      </c>
      <c r="F1134" s="30">
        <f>'Técnico 8'!E6</f>
        <v>1</v>
      </c>
      <c r="G1134" s="30">
        <v>1</v>
      </c>
      <c r="H1134" s="25">
        <v>0</v>
      </c>
      <c r="I1134" s="25">
        <f t="shared" si="285"/>
        <v>1</v>
      </c>
      <c r="J1134" s="25" t="str">
        <f>'Técnico 8'!F6</f>
        <v>pç</v>
      </c>
      <c r="K1134" s="26">
        <f>_xlfn.XLOOKUP($E1134,PREÇO!$C$7:$C$91,PREÇO!$E$7:$E$91)</f>
        <v>65</v>
      </c>
      <c r="L1134" s="66">
        <f>IF(SUM(F1134:K1134)=0,SUMIFS($L1135:$L$1593,$B1135:$B$1593,$B1134,$A1135:$A$1593,$A1134),I1134*K1134)</f>
        <v>65</v>
      </c>
      <c r="N1134"/>
      <c r="O1134"/>
      <c r="P1134" s="28"/>
      <c r="Q1134" s="28"/>
      <c r="R1134" s="28"/>
    </row>
    <row r="1135" spans="1:18" outlineLevel="1">
      <c r="A1135" s="24" t="str">
        <f t="shared" ref="A1135:A1159" si="286">A1134</f>
        <v>GERAL</v>
      </c>
      <c r="B1135" s="24" t="str">
        <f t="shared" ref="B1135:B1159" si="287">B1134</f>
        <v>139º PAV. - ÁREA TÉCNICA 08 - LANÇAMENTO</v>
      </c>
      <c r="C1135" s="30" t="s">
        <v>221</v>
      </c>
      <c r="D1135" s="30" t="str">
        <f>'Técnico 8'!C7</f>
        <v>Anunciadores</v>
      </c>
      <c r="E1135" s="30" t="str">
        <f>'Técnico 8'!D7</f>
        <v>Anunciador Audiovisual de Alarme de Incêndio de Parede</v>
      </c>
      <c r="F1135" s="30">
        <f>'Técnico 8'!E7</f>
        <v>1</v>
      </c>
      <c r="G1135" s="30">
        <v>1</v>
      </c>
      <c r="H1135" s="25">
        <v>0</v>
      </c>
      <c r="I1135" s="25">
        <f t="shared" ref="I1135:I1155" si="288">(F1135+H1135*F1135)*G1135</f>
        <v>1</v>
      </c>
      <c r="J1135" s="25" t="str">
        <f>'Técnico 8'!F7</f>
        <v>pç</v>
      </c>
      <c r="K1135" s="26">
        <f>_xlfn.XLOOKUP($E1135,PREÇO!$C$7:$C$91,PREÇO!$E$7:$E$91)</f>
        <v>191.81</v>
      </c>
      <c r="L1135" s="66">
        <f>IF(SUM(F1135:K1135)=0,SUMIFS($L1136:$L$1593,$B1136:$B$1593,$B1135,$A1136:$A$1593,$A1135),I1135*K1135)</f>
        <v>191.81</v>
      </c>
      <c r="N1135"/>
      <c r="O1135"/>
      <c r="P1135" s="28"/>
      <c r="Q1135" s="28"/>
      <c r="R1135" s="28"/>
    </row>
    <row r="1136" spans="1:18" outlineLevel="1">
      <c r="A1136" s="24" t="str">
        <f t="shared" si="286"/>
        <v>GERAL</v>
      </c>
      <c r="B1136" s="24" t="str">
        <f t="shared" si="287"/>
        <v>139º PAV. - ÁREA TÉCNICA 08 - LANÇAMENTO</v>
      </c>
      <c r="C1136" s="30" t="s">
        <v>221</v>
      </c>
      <c r="D1136" s="30" t="str">
        <f>'Técnico 8'!C8</f>
        <v>Atuadores</v>
      </c>
      <c r="E1136" s="30" t="str">
        <f>'Técnico 8'!D8</f>
        <v>Atuador Janela Desenfumagem</v>
      </c>
      <c r="F1136" s="30">
        <f>'Técnico 8'!E8</f>
        <v>1</v>
      </c>
      <c r="G1136" s="30">
        <v>1</v>
      </c>
      <c r="H1136" s="25">
        <v>0</v>
      </c>
      <c r="I1136" s="25">
        <f t="shared" si="288"/>
        <v>1</v>
      </c>
      <c r="J1136" s="25" t="str">
        <f>'Técnico 8'!F8</f>
        <v>pç</v>
      </c>
      <c r="K1136" s="26">
        <f>_xlfn.XLOOKUP($E1136,PREÇO!$C$7:$C$91,PREÇO!$E$7:$E$91)</f>
        <v>1150</v>
      </c>
      <c r="L1136" s="66">
        <f>IF(SUM(F1136:K1136)=0,SUMIFS($L1137:$L$1593,$B1137:$B$1593,$B1136,$A1137:$A$1593,$A1136),I1136*K1136)</f>
        <v>1150</v>
      </c>
      <c r="N1136"/>
      <c r="O1136"/>
      <c r="P1136" s="28"/>
      <c r="Q1136" s="28"/>
      <c r="R1136" s="28"/>
    </row>
    <row r="1137" spans="1:18" outlineLevel="1">
      <c r="A1137" s="24" t="str">
        <f t="shared" si="286"/>
        <v>GERAL</v>
      </c>
      <c r="B1137" s="24" t="str">
        <f t="shared" si="287"/>
        <v>139º PAV. - ÁREA TÉCNICA 08 - LANÇAMENTO</v>
      </c>
      <c r="C1137" s="30" t="s">
        <v>221</v>
      </c>
      <c r="D1137" s="30" t="str">
        <f>'Técnico 8'!C9</f>
        <v>Atuadores</v>
      </c>
      <c r="E1137" s="30" t="str">
        <f>'Técnico 8'!D9</f>
        <v>Dispositivo Eletromagnético de Porta Aberta</v>
      </c>
      <c r="F1137" s="30">
        <f>'Técnico 8'!E9</f>
        <v>1</v>
      </c>
      <c r="G1137" s="30">
        <v>1</v>
      </c>
      <c r="H1137" s="25">
        <v>0</v>
      </c>
      <c r="I1137" s="25">
        <f t="shared" si="288"/>
        <v>1</v>
      </c>
      <c r="J1137" s="25" t="str">
        <f>'Técnico 8'!F9</f>
        <v>pç</v>
      </c>
      <c r="K1137" s="26">
        <f>_xlfn.XLOOKUP($E1137,PREÇO!$C$7:$C$91,PREÇO!$E$7:$E$91)</f>
        <v>416.9</v>
      </c>
      <c r="L1137" s="66">
        <f>IF(SUM(F1137:K1137)=0,SUMIFS($L1138:$L$1593,$B1138:$B$1593,$B1137,$A1138:$A$1593,$A1137),I1137*K1137)</f>
        <v>416.9</v>
      </c>
      <c r="N1137"/>
      <c r="O1137"/>
      <c r="P1137" s="28"/>
      <c r="Q1137" s="28"/>
      <c r="R1137" s="28"/>
    </row>
    <row r="1138" spans="1:18" outlineLevel="1">
      <c r="A1138" s="24" t="str">
        <f t="shared" si="286"/>
        <v>GERAL</v>
      </c>
      <c r="B1138" s="24" t="str">
        <f t="shared" si="287"/>
        <v>139º PAV. - ÁREA TÉCNICA 08 - LANÇAMENTO</v>
      </c>
      <c r="C1138" s="30" t="s">
        <v>221</v>
      </c>
      <c r="D1138" s="30" t="str">
        <f>'Técnico 8'!C10</f>
        <v>Sensores</v>
      </c>
      <c r="E1138" s="30" t="str">
        <f>'Técnico 8'!D10</f>
        <v>Sensor de Fumaça</v>
      </c>
      <c r="F1138" s="30">
        <f>'Técnico 8'!E10</f>
        <v>4</v>
      </c>
      <c r="G1138" s="30">
        <v>1</v>
      </c>
      <c r="H1138" s="25">
        <v>0</v>
      </c>
      <c r="I1138" s="25">
        <f t="shared" si="288"/>
        <v>4</v>
      </c>
      <c r="J1138" s="25" t="str">
        <f>'Técnico 8'!F10</f>
        <v>pç</v>
      </c>
      <c r="K1138" s="26">
        <f>_xlfn.XLOOKUP($E1138,PREÇO!$C$7:$C$91,PREÇO!$E$7:$E$91)</f>
        <v>53.9</v>
      </c>
      <c r="L1138" s="66">
        <f>IF(SUM(F1138:K1138)=0,SUMIFS($L1139:$L$1593,$B1139:$B$1593,$B1138,$A1139:$A$1593,$A1138),I1138*K1138)</f>
        <v>215.6</v>
      </c>
      <c r="N1138"/>
      <c r="O1138"/>
      <c r="P1138" s="28"/>
      <c r="Q1138" s="28"/>
      <c r="R1138" s="28"/>
    </row>
    <row r="1139" spans="1:18" outlineLevel="1">
      <c r="A1139" s="24" t="str">
        <f t="shared" si="286"/>
        <v>GERAL</v>
      </c>
      <c r="B1139" s="24" t="str">
        <f t="shared" si="287"/>
        <v>139º PAV. - ÁREA TÉCNICA 08 - LANÇAMENTO</v>
      </c>
      <c r="C1139" s="30" t="s">
        <v>221</v>
      </c>
      <c r="D1139" s="30" t="str">
        <f>'Técnico 8'!C13</f>
        <v>Caixas</v>
      </c>
      <c r="E1139" s="30" t="str">
        <f>'Técnico 8'!D13</f>
        <v>Caixa Octogonal Padrão NBR IEC 60670</v>
      </c>
      <c r="F1139" s="30">
        <f>'Técnico 8'!E13</f>
        <v>12</v>
      </c>
      <c r="G1139" s="30">
        <v>1</v>
      </c>
      <c r="H1139" s="25">
        <v>0</v>
      </c>
      <c r="I1139" s="25">
        <f t="shared" si="288"/>
        <v>12</v>
      </c>
      <c r="J1139" s="25" t="str">
        <f>'Técnico 8'!F13</f>
        <v>pç</v>
      </c>
      <c r="K1139" s="26">
        <f>_xlfn.XLOOKUP($E1139,PREÇO!$C$7:$C$91,PREÇO!$E$7:$E$91)</f>
        <v>5.32</v>
      </c>
      <c r="L1139" s="66">
        <f>IF(SUM(F1139:K1139)=0,SUMIFS($L1140:$L$1593,$B1140:$B$1593,$B1139,$A1140:$A$1593,$A1139),I1139*K1139)</f>
        <v>63.84</v>
      </c>
      <c r="N1139"/>
      <c r="O1139"/>
      <c r="P1139" s="28"/>
      <c r="Q1139" s="28"/>
      <c r="R1139" s="28"/>
    </row>
    <row r="1140" spans="1:18" outlineLevel="1">
      <c r="A1140" s="24" t="str">
        <f t="shared" si="286"/>
        <v>GERAL</v>
      </c>
      <c r="B1140" s="24" t="str">
        <f t="shared" si="287"/>
        <v>139º PAV. - ÁREA TÉCNICA 08 - LANÇAMENTO</v>
      </c>
      <c r="C1140" s="30" t="s">
        <v>221</v>
      </c>
      <c r="D1140" s="30" t="str">
        <f>'Técnico 8'!C16</f>
        <v>Caixas</v>
      </c>
      <c r="E1140" s="30" t="str">
        <f>'Técnico 8'!D16</f>
        <v>Caixa 4x2" de Embutir em PVC Padrão NBR IEC 60670</v>
      </c>
      <c r="F1140" s="30">
        <f>'Técnico 8'!E16</f>
        <v>16</v>
      </c>
      <c r="G1140" s="30">
        <v>1</v>
      </c>
      <c r="H1140" s="25">
        <v>0</v>
      </c>
      <c r="I1140" s="25">
        <f t="shared" si="288"/>
        <v>16</v>
      </c>
      <c r="J1140" s="25" t="str">
        <f>'Técnico 8'!F16</f>
        <v>pç</v>
      </c>
      <c r="K1140" s="26">
        <f>_xlfn.XLOOKUP($E1140,PREÇO!$C$7:$C$91,PREÇO!$E$7:$E$91)</f>
        <v>1.72</v>
      </c>
      <c r="L1140" s="66">
        <f>IF(SUM(F1140:K1140)=0,SUMIFS($L1141:$L$1593,$B1141:$B$1593,$B1140,$A1141:$A$1593,$A1140),I1140*K1140)</f>
        <v>27.52</v>
      </c>
      <c r="N1140"/>
      <c r="O1140"/>
      <c r="P1140" s="28"/>
      <c r="Q1140" s="28"/>
      <c r="R1140" s="28"/>
    </row>
    <row r="1141" spans="1:18" outlineLevel="1">
      <c r="A1141" s="24" t="str">
        <f t="shared" si="286"/>
        <v>GERAL</v>
      </c>
      <c r="B1141" s="24" t="str">
        <f t="shared" si="287"/>
        <v>139º PAV. - ÁREA TÉCNICA 08 - LANÇAMENTO</v>
      </c>
      <c r="C1141" s="30" t="s">
        <v>221</v>
      </c>
      <c r="D1141" s="30" t="str">
        <f>'Técnico 8'!C17</f>
        <v>Placas</v>
      </c>
      <c r="E1141" s="30" t="str">
        <f>'Técnico 8'!D17</f>
        <v>Placa 4x2" cega Padrão NBR IEC 60670</v>
      </c>
      <c r="F1141" s="30">
        <f>'Técnico 8'!E17</f>
        <v>8</v>
      </c>
      <c r="G1141" s="30">
        <v>1</v>
      </c>
      <c r="H1141" s="25">
        <v>0</v>
      </c>
      <c r="I1141" s="25">
        <f t="shared" si="288"/>
        <v>8</v>
      </c>
      <c r="J1141" s="25" t="str">
        <f>'Técnico 8'!F17</f>
        <v>pç</v>
      </c>
      <c r="K1141" s="26">
        <f>_xlfn.XLOOKUP($E1141,PREÇO!$C$7:$C$91,PREÇO!$E$7:$E$91)</f>
        <v>4.59</v>
      </c>
      <c r="L1141" s="66">
        <f>IF(SUM(F1141:K1141)=0,SUMIFS($L1142:$L$1593,$B1142:$B$1593,$B1141,$A1142:$A$1593,$A1141),I1141*K1141)</f>
        <v>36.72</v>
      </c>
      <c r="N1141"/>
      <c r="O1141"/>
      <c r="P1141" s="28"/>
      <c r="Q1141" s="28"/>
      <c r="R1141" s="28"/>
    </row>
    <row r="1142" spans="1:18" outlineLevel="1">
      <c r="A1142" s="24" t="str">
        <f t="shared" si="286"/>
        <v>GERAL</v>
      </c>
      <c r="B1142" s="24" t="str">
        <f t="shared" si="287"/>
        <v>139º PAV. - ÁREA TÉCNICA 08 - LANÇAMENTO</v>
      </c>
      <c r="C1142" s="30" t="s">
        <v>221</v>
      </c>
      <c r="D1142" s="30" t="str">
        <f>'Técnico 8'!C18</f>
        <v>Placas</v>
      </c>
      <c r="E1142" s="30" t="str">
        <f>'Técnico 8'!D18</f>
        <v>Placa 4x2" com furo para saída de cabos Padrão NBR IEC 60670</v>
      </c>
      <c r="F1142" s="30">
        <f>'Técnico 8'!E18</f>
        <v>8</v>
      </c>
      <c r="G1142" s="30">
        <v>1</v>
      </c>
      <c r="H1142" s="25">
        <v>0</v>
      </c>
      <c r="I1142" s="25">
        <f t="shared" si="288"/>
        <v>8</v>
      </c>
      <c r="J1142" s="25" t="str">
        <f>'Técnico 8'!F18</f>
        <v>pç</v>
      </c>
      <c r="K1142" s="26">
        <f>_xlfn.XLOOKUP($E1142,PREÇO!$C$7:$C$91,PREÇO!$E$7:$E$91)</f>
        <v>6.55</v>
      </c>
      <c r="L1142" s="66">
        <f>IF(SUM(F1142:K1142)=0,SUMIFS($L1143:$L$1593,$B1143:$B$1593,$B1142,$A1143:$A$1593,$A1142),I1142*K1142)</f>
        <v>52.4</v>
      </c>
      <c r="N1142"/>
      <c r="O1142"/>
      <c r="P1142" s="28"/>
      <c r="Q1142" s="28"/>
      <c r="R1142" s="28"/>
    </row>
    <row r="1143" spans="1:18" outlineLevel="1">
      <c r="A1143" s="24" t="str">
        <f t="shared" si="286"/>
        <v>GERAL</v>
      </c>
      <c r="B1143" s="24" t="str">
        <f t="shared" si="287"/>
        <v>139º PAV. - ÁREA TÉCNICA 08 - LANÇAMENTO</v>
      </c>
      <c r="C1143" s="30" t="s">
        <v>221</v>
      </c>
      <c r="D1143" s="30" t="str">
        <f>'Técnico 8'!C19</f>
        <v>Suportes</v>
      </c>
      <c r="E1143" s="30" t="str">
        <f>'Técnico 8'!D19</f>
        <v>Suporte p/ caixa 4x2" Padrão NBR IEC 60670</v>
      </c>
      <c r="F1143" s="30">
        <f>'Técnico 8'!E19</f>
        <v>16</v>
      </c>
      <c r="G1143" s="30">
        <v>1</v>
      </c>
      <c r="H1143" s="25">
        <v>0</v>
      </c>
      <c r="I1143" s="25">
        <f t="shared" si="288"/>
        <v>16</v>
      </c>
      <c r="J1143" s="25" t="str">
        <f>'Técnico 8'!F19</f>
        <v>pç</v>
      </c>
      <c r="K1143" s="26">
        <f>_xlfn.XLOOKUP($E1143,PREÇO!$C$7:$C$91,PREÇO!$E$7:$E$91)</f>
        <v>1.85</v>
      </c>
      <c r="L1143" s="66">
        <f>IF(SUM(F1143:K1143)=0,SUMIFS($L1144:$L$1593,$B1144:$B$1593,$B1143,$A1144:$A$1593,$A1143),I1143*K1143)</f>
        <v>29.6</v>
      </c>
      <c r="N1143"/>
      <c r="O1143"/>
      <c r="P1143" s="28"/>
      <c r="Q1143" s="28"/>
      <c r="R1143" s="28"/>
    </row>
    <row r="1144" spans="1:18" outlineLevel="1">
      <c r="A1144" s="24" t="str">
        <f t="shared" si="286"/>
        <v>GERAL</v>
      </c>
      <c r="B1144" s="24" t="str">
        <f t="shared" si="287"/>
        <v>139º PAV. - ÁREA TÉCNICA 08 - LANÇAMENTO</v>
      </c>
      <c r="C1144" s="30" t="s">
        <v>221</v>
      </c>
      <c r="D1144" s="86" t="s">
        <v>46</v>
      </c>
      <c r="E1144" s="30" t="s">
        <v>44</v>
      </c>
      <c r="F1144" s="30">
        <f>'Técnico 8'!E22</f>
        <v>4.1100000000000003</v>
      </c>
      <c r="G1144" s="30">
        <v>1</v>
      </c>
      <c r="H1144" s="25">
        <v>0</v>
      </c>
      <c r="I1144" s="25">
        <f t="shared" si="288"/>
        <v>4.1100000000000003</v>
      </c>
      <c r="J1144" s="25" t="str">
        <f>'Técnico 8'!F22</f>
        <v>m</v>
      </c>
      <c r="K1144" s="26">
        <f>_xlfn.XLOOKUP($E1144,PREÇO!$C$7:$C$91,PREÇO!$E$7:$E$91)</f>
        <v>2.5299999999999998</v>
      </c>
      <c r="L1144" s="66">
        <f>IF(SUM(F1144:K1144)=0,SUMIFS($L1145:$L$1593,$B1145:$B$1593,$B1144,$A1145:$A$1593,$A1144),I1144*K1144)</f>
        <v>10.398300000000001</v>
      </c>
      <c r="N1144"/>
      <c r="O1144"/>
      <c r="P1144" s="28"/>
      <c r="Q1144" s="28"/>
      <c r="R1144" s="28"/>
    </row>
    <row r="1145" spans="1:18" outlineLevel="1">
      <c r="A1145" s="24" t="str">
        <f t="shared" si="286"/>
        <v>GERAL</v>
      </c>
      <c r="B1145" s="24" t="str">
        <f t="shared" si="287"/>
        <v>139º PAV. - ÁREA TÉCNICA 08 - LANÇAMENTO</v>
      </c>
      <c r="C1145" s="30" t="s">
        <v>221</v>
      </c>
      <c r="D1145" s="86" t="s">
        <v>46</v>
      </c>
      <c r="E1145" s="30" t="s">
        <v>45</v>
      </c>
      <c r="F1145" s="30">
        <f>'Técnico 8'!E23</f>
        <v>105.03</v>
      </c>
      <c r="G1145" s="30">
        <v>1</v>
      </c>
      <c r="H1145" s="25">
        <v>0</v>
      </c>
      <c r="I1145" s="25">
        <f t="shared" si="288"/>
        <v>105.03</v>
      </c>
      <c r="J1145" s="25" t="str">
        <f>'Técnico 8'!F23</f>
        <v>m</v>
      </c>
      <c r="K1145" s="26">
        <f>_xlfn.XLOOKUP($E1145,PREÇO!$C$7:$C$91,PREÇO!$E$7:$E$91)</f>
        <v>1.8</v>
      </c>
      <c r="L1145" s="66">
        <f>IF(SUM(F1145:K1145)=0,SUMIFS($L1146:$L$1593,$B1146:$B$1593,$B1145,$A1146:$A$1593,$A1145),I1145*K1145)</f>
        <v>189.054</v>
      </c>
      <c r="N1145"/>
      <c r="O1145"/>
      <c r="P1145" s="28"/>
      <c r="Q1145" s="28"/>
      <c r="R1145" s="28"/>
    </row>
    <row r="1146" spans="1:18" outlineLevel="1">
      <c r="A1146" s="24" t="str">
        <f t="shared" si="286"/>
        <v>GERAL</v>
      </c>
      <c r="B1146" s="24" t="str">
        <f t="shared" si="287"/>
        <v>139º PAV. - ÁREA TÉCNICA 08 - LANÇAMENTO</v>
      </c>
      <c r="C1146" s="30" t="s">
        <v>220</v>
      </c>
      <c r="D1146" s="30" t="str">
        <f>'Técnico 8'!C26</f>
        <v>Luminárias e Placas de Saída</v>
      </c>
      <c r="E1146" s="30" t="str">
        <f>'Técnico 8'!D26</f>
        <v>Luminária de Emergência 24V de Parede</v>
      </c>
      <c r="F1146" s="30">
        <f>'Técnico 8'!E26</f>
        <v>8</v>
      </c>
      <c r="G1146" s="30">
        <v>1</v>
      </c>
      <c r="H1146" s="25">
        <v>0</v>
      </c>
      <c r="I1146" s="25">
        <f t="shared" si="288"/>
        <v>8</v>
      </c>
      <c r="J1146" s="25" t="str">
        <f>'Técnico 8'!F26</f>
        <v>pç</v>
      </c>
      <c r="K1146" s="26">
        <f>_xlfn.XLOOKUP($E1146,PREÇO!$C$7:$C$91,PREÇO!$E$7:$E$91)</f>
        <v>15.9</v>
      </c>
      <c r="L1146" s="66">
        <f>IF(SUM(F1146:K1146)=0,SUMIFS($L1147:$L$1593,$B1147:$B$1593,$B1146,$A1147:$A$1593,$A1146),I1146*K1146)</f>
        <v>127.2</v>
      </c>
      <c r="N1146"/>
      <c r="O1146"/>
      <c r="P1146" s="28"/>
      <c r="Q1146" s="28"/>
      <c r="R1146" s="28"/>
    </row>
    <row r="1147" spans="1:18" outlineLevel="1">
      <c r="A1147" s="24" t="str">
        <f t="shared" si="286"/>
        <v>GERAL</v>
      </c>
      <c r="B1147" s="24" t="str">
        <f t="shared" si="287"/>
        <v>139º PAV. - ÁREA TÉCNICA 08 - LANÇAMENTO</v>
      </c>
      <c r="C1147" s="30" t="s">
        <v>220</v>
      </c>
      <c r="D1147" s="30" t="str">
        <f>'Técnico 8'!C27</f>
        <v>Luminárias e Placas de Saída</v>
      </c>
      <c r="E1147" s="30" t="str">
        <f>'Técnico 8'!D27</f>
        <v>Luminária de Emergência 24V de Teto</v>
      </c>
      <c r="F1147" s="30">
        <f>'Técnico 8'!E27</f>
        <v>5</v>
      </c>
      <c r="G1147" s="30">
        <v>1</v>
      </c>
      <c r="H1147" s="25">
        <v>0</v>
      </c>
      <c r="I1147" s="25">
        <f t="shared" si="288"/>
        <v>5</v>
      </c>
      <c r="J1147" s="25" t="str">
        <f>'Técnico 8'!F27</f>
        <v>pç</v>
      </c>
      <c r="K1147" s="26">
        <f>_xlfn.XLOOKUP($E1147,PREÇO!$C$7:$C$91,PREÇO!$E$7:$E$91)</f>
        <v>69.900000000000006</v>
      </c>
      <c r="L1147" s="66">
        <f>IF(SUM(F1147:K1147)=0,SUMIFS($L1148:$L$1593,$B1148:$B$1593,$B1147,$A1148:$A$1593,$A1147),I1147*K1147)</f>
        <v>349.5</v>
      </c>
      <c r="N1147"/>
      <c r="O1147"/>
      <c r="P1147" s="28"/>
      <c r="Q1147" s="28"/>
      <c r="R1147" s="28"/>
    </row>
    <row r="1148" spans="1:18" outlineLevel="1">
      <c r="A1148" s="24" t="str">
        <f t="shared" si="286"/>
        <v>GERAL</v>
      </c>
      <c r="B1148" s="24" t="str">
        <f t="shared" si="287"/>
        <v>139º PAV. - ÁREA TÉCNICA 08 - LANÇAMENTO</v>
      </c>
      <c r="C1148" s="24" t="s">
        <v>222</v>
      </c>
      <c r="D1148" s="30" t="str">
        <f>'Técnico 8'!C28</f>
        <v>Luminárias e Placas de Saída</v>
      </c>
      <c r="E1148" s="30" t="str">
        <f>'Técnico 8'!D28</f>
        <v>Placa de Saída 24V de Parede sem Direção</v>
      </c>
      <c r="F1148" s="30">
        <f>'Técnico 8'!E28</f>
        <v>3</v>
      </c>
      <c r="G1148" s="30">
        <v>1</v>
      </c>
      <c r="H1148" s="25">
        <v>0</v>
      </c>
      <c r="I1148" s="25">
        <f t="shared" si="288"/>
        <v>3</v>
      </c>
      <c r="J1148" s="25" t="str">
        <f>'Técnico 8'!F28</f>
        <v>pç</v>
      </c>
      <c r="K1148" s="26">
        <f>_xlfn.XLOOKUP($E1148,PREÇO!$C$7:$C$91,PREÇO!$E$7:$E$91)</f>
        <v>61.66</v>
      </c>
      <c r="L1148" s="66">
        <f>IF(SUM(F1148:K1148)=0,SUMIFS($L1150:$L$1593,$B1150:$B$1593,$B1148,$A1150:$A$1593,$A1148),I1148*K1148)</f>
        <v>184.98</v>
      </c>
      <c r="N1148"/>
      <c r="O1148"/>
      <c r="P1148" s="28"/>
      <c r="Q1148" s="28"/>
      <c r="R1148" s="28"/>
    </row>
    <row r="1149" spans="1:18" outlineLevel="1">
      <c r="A1149" s="116" t="str">
        <f>A1147</f>
        <v>GERAL</v>
      </c>
      <c r="B1149" s="116" t="str">
        <f>B1148</f>
        <v>139º PAV. - ÁREA TÉCNICA 08 - LANÇAMENTO</v>
      </c>
      <c r="C1149" s="116" t="s">
        <v>222</v>
      </c>
      <c r="D1149" s="116" t="s">
        <v>223</v>
      </c>
      <c r="E1149" s="116" t="s">
        <v>224</v>
      </c>
      <c r="F1149" s="117">
        <v>4</v>
      </c>
      <c r="G1149" s="117">
        <f>G1148</f>
        <v>1</v>
      </c>
      <c r="H1149" s="118">
        <v>0</v>
      </c>
      <c r="I1149" s="117">
        <f t="shared" si="288"/>
        <v>4</v>
      </c>
      <c r="J1149" s="117" t="s">
        <v>11</v>
      </c>
      <c r="K1149" s="119">
        <f>_xlfn.XLOOKUP($E1149,PREÇO!$C$7:$C$91,PREÇO!$E$7:$E$91)</f>
        <v>646.55999999999995</v>
      </c>
      <c r="L1149" s="120">
        <f>IF(SUM(F1149:K1149)=0,SUMIFS($L1150:$L$1593,$B1150:$B$1593,$B1149,$A1150:$A$1593,$A1149),I1149*K1149)</f>
        <v>2586.2399999999998</v>
      </c>
      <c r="N1149"/>
      <c r="O1149"/>
      <c r="P1149" s="28"/>
      <c r="Q1149" s="28"/>
      <c r="R1149" s="28"/>
    </row>
    <row r="1150" spans="1:18" outlineLevel="1">
      <c r="A1150" s="24" t="str">
        <f>A1148</f>
        <v>GERAL</v>
      </c>
      <c r="B1150" s="24" t="str">
        <f>B1148</f>
        <v>139º PAV. - ÁREA TÉCNICA 08 - LANÇAMENTO</v>
      </c>
      <c r="C1150" s="30" t="s">
        <v>220</v>
      </c>
      <c r="D1150" s="30" t="str">
        <f>'Técnico 8'!C29</f>
        <v>Sensores de Presença</v>
      </c>
      <c r="E1150" s="30" t="str">
        <f>'Técnico 8'!D29</f>
        <v>Sensor de Presença 24V de teto</v>
      </c>
      <c r="F1150" s="30">
        <f>'Técnico 8'!E29</f>
        <v>3</v>
      </c>
      <c r="G1150" s="30">
        <v>1</v>
      </c>
      <c r="H1150" s="25">
        <v>0</v>
      </c>
      <c r="I1150" s="25">
        <f t="shared" si="288"/>
        <v>3</v>
      </c>
      <c r="J1150" s="25" t="str">
        <f>'Técnico 8'!F29</f>
        <v>pç</v>
      </c>
      <c r="K1150" s="26">
        <f>_xlfn.XLOOKUP($E1150,PREÇO!$C$7:$C$91,PREÇO!$E$7:$E$91)</f>
        <v>38.4</v>
      </c>
      <c r="L1150" s="66">
        <f>IF(SUM(F1150:K1150)=0,SUMIFS($L1151:$L$1593,$B1151:$B$1593,$B1150,$A1151:$A$1593,$A1150),I1150*K1150)</f>
        <v>115.19999999999999</v>
      </c>
      <c r="N1150"/>
      <c r="O1150"/>
      <c r="P1150" s="28"/>
      <c r="Q1150" s="28"/>
      <c r="R1150" s="28"/>
    </row>
    <row r="1151" spans="1:18" outlineLevel="1">
      <c r="A1151" s="24" t="str">
        <f t="shared" si="286"/>
        <v>GERAL</v>
      </c>
      <c r="B1151" s="24" t="str">
        <f t="shared" si="287"/>
        <v>139º PAV. - ÁREA TÉCNICA 08 - LANÇAMENTO</v>
      </c>
      <c r="C1151" s="30" t="s">
        <v>221</v>
      </c>
      <c r="D1151" s="86" t="s">
        <v>87</v>
      </c>
      <c r="E1151" s="30" t="s">
        <v>179</v>
      </c>
      <c r="F1151" s="30">
        <f>'Técnico 8'!E32</f>
        <v>59.43</v>
      </c>
      <c r="G1151" s="30">
        <v>1</v>
      </c>
      <c r="H1151" s="25">
        <v>0</v>
      </c>
      <c r="I1151" s="25">
        <f t="shared" si="288"/>
        <v>59.43</v>
      </c>
      <c r="J1151" s="25" t="str">
        <f>'Técnico 8'!F32</f>
        <v>m</v>
      </c>
      <c r="K1151" s="26">
        <f>_xlfn.XLOOKUP($E1151,PREÇO!$C$7:$C$91,PREÇO!$E$7:$E$91)</f>
        <v>1.59</v>
      </c>
      <c r="L1151" s="66">
        <f>IF(SUM(F1151:K1151)=0,SUMIFS($L1152:$L$1593,$B1152:$B$1593,$B1151,$A1152:$A$1593,$A1151),I1151*K1151)</f>
        <v>94.493700000000004</v>
      </c>
      <c r="N1151"/>
      <c r="O1151"/>
      <c r="P1151" s="28"/>
      <c r="Q1151" s="28"/>
      <c r="R1151" s="28"/>
    </row>
    <row r="1152" spans="1:18" outlineLevel="1">
      <c r="A1152" s="24" t="str">
        <f t="shared" si="286"/>
        <v>GERAL</v>
      </c>
      <c r="B1152" s="24" t="str">
        <f t="shared" si="287"/>
        <v>139º PAV. - ÁREA TÉCNICA 08 - LANÇAMENTO</v>
      </c>
      <c r="C1152" s="30" t="s">
        <v>221</v>
      </c>
      <c r="D1152" s="86" t="s">
        <v>87</v>
      </c>
      <c r="E1152" s="30" t="s">
        <v>180</v>
      </c>
      <c r="F1152" s="30">
        <f>'Técnico 8'!E33</f>
        <v>49.02</v>
      </c>
      <c r="G1152" s="30">
        <v>1</v>
      </c>
      <c r="H1152" s="25">
        <v>0</v>
      </c>
      <c r="I1152" s="25">
        <f t="shared" si="288"/>
        <v>49.02</v>
      </c>
      <c r="J1152" s="25" t="str">
        <f>'Técnico 8'!F33</f>
        <v>m</v>
      </c>
      <c r="K1152" s="26">
        <f>_xlfn.XLOOKUP($E1152,PREÇO!$C$7:$C$91,PREÇO!$E$7:$E$91)</f>
        <v>1.59</v>
      </c>
      <c r="L1152" s="66">
        <f>IF(SUM(F1152:K1152)=0,SUMIFS($L1153:$L$1593,$B1153:$B$1593,$B1152,$A1153:$A$1593,$A1152),I1152*K1152)</f>
        <v>77.941800000000015</v>
      </c>
      <c r="N1152"/>
      <c r="O1152"/>
      <c r="P1152" s="28"/>
      <c r="Q1152" s="28"/>
      <c r="R1152" s="28"/>
    </row>
    <row r="1153" spans="1:18" outlineLevel="1">
      <c r="A1153" s="24" t="str">
        <f t="shared" si="286"/>
        <v>GERAL</v>
      </c>
      <c r="B1153" s="24" t="str">
        <f t="shared" si="287"/>
        <v>139º PAV. - ÁREA TÉCNICA 08 - LANÇAMENTO</v>
      </c>
      <c r="C1153" s="30" t="s">
        <v>221</v>
      </c>
      <c r="D1153" s="86" t="s">
        <v>87</v>
      </c>
      <c r="E1153" s="30" t="s">
        <v>181</v>
      </c>
      <c r="F1153" s="30">
        <f>'Técnico 8'!E34</f>
        <v>49.02</v>
      </c>
      <c r="G1153" s="30">
        <v>1</v>
      </c>
      <c r="H1153" s="25">
        <v>0</v>
      </c>
      <c r="I1153" s="25">
        <f t="shared" si="288"/>
        <v>49.02</v>
      </c>
      <c r="J1153" s="25" t="str">
        <f>'Técnico 8'!F34</f>
        <v>m</v>
      </c>
      <c r="K1153" s="26">
        <f>_xlfn.XLOOKUP($E1153,PREÇO!$C$7:$C$91,PREÇO!$E$7:$E$91)</f>
        <v>1.59</v>
      </c>
      <c r="L1153" s="66">
        <f>IF(SUM(F1153:K1153)=0,SUMIFS($L1154:$L$1593,$B1154:$B$1593,$B1153,$A1154:$A$1593,$A1153),I1153*K1153)</f>
        <v>77.941800000000015</v>
      </c>
      <c r="N1153"/>
      <c r="O1153"/>
      <c r="P1153" s="28"/>
      <c r="Q1153" s="28"/>
      <c r="R1153" s="28"/>
    </row>
    <row r="1154" spans="1:18" outlineLevel="1">
      <c r="A1154" s="24" t="str">
        <f t="shared" si="286"/>
        <v>GERAL</v>
      </c>
      <c r="B1154" s="24" t="str">
        <f t="shared" si="287"/>
        <v>139º PAV. - ÁREA TÉCNICA 08 - LANÇAMENTO</v>
      </c>
      <c r="C1154" s="30" t="s">
        <v>221</v>
      </c>
      <c r="D1154" s="86" t="s">
        <v>87</v>
      </c>
      <c r="E1154" s="30" t="s">
        <v>182</v>
      </c>
      <c r="F1154" s="30">
        <f>'Técnico 8'!E35</f>
        <v>27.62</v>
      </c>
      <c r="G1154" s="30">
        <v>1</v>
      </c>
      <c r="H1154" s="25">
        <v>0</v>
      </c>
      <c r="I1154" s="25">
        <f t="shared" si="288"/>
        <v>27.62</v>
      </c>
      <c r="J1154" s="25" t="str">
        <f>'Técnico 8'!F35</f>
        <v>m</v>
      </c>
      <c r="K1154" s="26">
        <f>_xlfn.XLOOKUP($E1154,PREÇO!$C$7:$C$91,PREÇO!$E$7:$E$91)</f>
        <v>2.19</v>
      </c>
      <c r="L1154" s="66">
        <f>IF(SUM(F1154:K1154)=0,SUMIFS($L1155:$L$1593,$B1155:$B$1593,$B1154,$A1155:$A$1593,$A1154),I1154*K1154)</f>
        <v>60.4878</v>
      </c>
      <c r="N1154"/>
      <c r="O1154"/>
      <c r="P1154" s="28"/>
      <c r="Q1154" s="28"/>
      <c r="R1154" s="28"/>
    </row>
    <row r="1155" spans="1:18" outlineLevel="1">
      <c r="A1155" s="24" t="str">
        <f t="shared" si="286"/>
        <v>GERAL</v>
      </c>
      <c r="B1155" s="24" t="str">
        <f t="shared" si="287"/>
        <v>139º PAV. - ÁREA TÉCNICA 08 - LANÇAMENTO</v>
      </c>
      <c r="C1155" s="30" t="s">
        <v>221</v>
      </c>
      <c r="D1155" s="86" t="s">
        <v>87</v>
      </c>
      <c r="E1155" s="30" t="s">
        <v>183</v>
      </c>
      <c r="F1155" s="30">
        <f>'Técnico 8'!E36</f>
        <v>110.04</v>
      </c>
      <c r="G1155" s="30">
        <v>1</v>
      </c>
      <c r="H1155" s="25">
        <v>0</v>
      </c>
      <c r="I1155" s="25">
        <f t="shared" si="288"/>
        <v>110.04</v>
      </c>
      <c r="J1155" s="25" t="str">
        <f>'Técnico 8'!F36</f>
        <v>m</v>
      </c>
      <c r="K1155" s="26">
        <f>_xlfn.XLOOKUP($E1155,PREÇO!$C$7:$C$91,PREÇO!$E$7:$E$91)</f>
        <v>2.19</v>
      </c>
      <c r="L1155" s="66">
        <f>IF(SUM(F1155:K1155)=0,SUMIFS($L1156:$L$1593,$B1156:$B$1593,$B1155,$A1156:$A$1593,$A1155),I1155*K1155)</f>
        <v>240.98760000000001</v>
      </c>
      <c r="N1155"/>
      <c r="O1155"/>
      <c r="P1155" s="28"/>
      <c r="Q1155" s="28"/>
      <c r="R1155" s="28"/>
    </row>
    <row r="1156" spans="1:18" outlineLevel="1">
      <c r="A1156" s="24" t="str">
        <f t="shared" si="286"/>
        <v>GERAL</v>
      </c>
      <c r="B1156" s="24" t="str">
        <f t="shared" si="287"/>
        <v>139º PAV. - ÁREA TÉCNICA 08 - LANÇAMENTO</v>
      </c>
      <c r="C1156" s="30" t="s">
        <v>221</v>
      </c>
      <c r="D1156" s="86" t="s">
        <v>87</v>
      </c>
      <c r="E1156" s="30" t="s">
        <v>184</v>
      </c>
      <c r="F1156" s="30">
        <f>'Técnico 8'!E37</f>
        <v>110.04</v>
      </c>
      <c r="G1156" s="30">
        <v>1</v>
      </c>
      <c r="H1156" s="25">
        <v>0</v>
      </c>
      <c r="I1156" s="25">
        <f t="shared" ref="I1156:I1161" si="289">(F1156+H1156*F1156)*G1156</f>
        <v>110.04</v>
      </c>
      <c r="J1156" s="25" t="str">
        <f>'Técnico 8'!F37</f>
        <v>m</v>
      </c>
      <c r="K1156" s="26">
        <f>_xlfn.XLOOKUP($E1156,PREÇO!$C$7:$C$91,PREÇO!$E$7:$E$91)</f>
        <v>2.19</v>
      </c>
      <c r="L1156" s="66">
        <f>IF(SUM(F1156:K1156)=0,SUMIFS($L1157:$L$1593,$B1157:$B$1593,$B1156,$A1157:$A$1593,$A1156),I1156*K1156)</f>
        <v>240.98760000000001</v>
      </c>
      <c r="N1156"/>
      <c r="O1156"/>
      <c r="P1156" s="28"/>
      <c r="Q1156" s="28"/>
      <c r="R1156" s="28"/>
    </row>
    <row r="1157" spans="1:18" outlineLevel="1">
      <c r="A1157" s="24" t="str">
        <f t="shared" si="286"/>
        <v>GERAL</v>
      </c>
      <c r="B1157" s="24" t="str">
        <f t="shared" si="287"/>
        <v>139º PAV. - ÁREA TÉCNICA 08 - LANÇAMENTO</v>
      </c>
      <c r="C1157" s="30" t="s">
        <v>221</v>
      </c>
      <c r="D1157" s="86" t="s">
        <v>46</v>
      </c>
      <c r="E1157" s="30" t="s">
        <v>44</v>
      </c>
      <c r="F1157" s="30">
        <f>'Técnico 8'!E41</f>
        <v>40.549999999999997</v>
      </c>
      <c r="G1157" s="30">
        <v>1</v>
      </c>
      <c r="H1157" s="25">
        <v>0</v>
      </c>
      <c r="I1157" s="25">
        <f t="shared" si="289"/>
        <v>40.549999999999997</v>
      </c>
      <c r="J1157" s="25" t="str">
        <f>'Técnico 8'!F41</f>
        <v>m</v>
      </c>
      <c r="K1157" s="26">
        <f>_xlfn.XLOOKUP($E1157,PREÇO!$C$7:$C$91,PREÇO!$E$7:$E$91)</f>
        <v>2.5299999999999998</v>
      </c>
      <c r="L1157" s="66">
        <f>IF(SUM(F1157:K1157)=0,SUMIFS($L1158:$L$1593,$B1158:$B$1593,$B1157,$A1158:$A$1593,$A1157),I1157*K1157)</f>
        <v>102.59149999999998</v>
      </c>
      <c r="N1157"/>
      <c r="O1157"/>
      <c r="P1157" s="28"/>
      <c r="Q1157" s="28"/>
      <c r="R1157" s="28"/>
    </row>
    <row r="1158" spans="1:18" outlineLevel="1">
      <c r="A1158" s="24" t="str">
        <f t="shared" si="286"/>
        <v>GERAL</v>
      </c>
      <c r="B1158" s="24" t="str">
        <f t="shared" si="287"/>
        <v>139º PAV. - ÁREA TÉCNICA 08 - LANÇAMENTO</v>
      </c>
      <c r="C1158" s="30" t="s">
        <v>221</v>
      </c>
      <c r="D1158" s="86" t="s">
        <v>89</v>
      </c>
      <c r="E1158" s="30" t="s">
        <v>185</v>
      </c>
      <c r="F1158" s="30">
        <f>'Técnico 8'!E44</f>
        <v>33.130000000000003</v>
      </c>
      <c r="G1158" s="30">
        <v>1</v>
      </c>
      <c r="H1158" s="25">
        <v>0</v>
      </c>
      <c r="I1158" s="25">
        <f t="shared" si="289"/>
        <v>33.130000000000003</v>
      </c>
      <c r="J1158" s="25" t="str">
        <f>'Técnico 8'!F44</f>
        <v>m</v>
      </c>
      <c r="K1158" s="26">
        <f>_xlfn.XLOOKUP($E1158,PREÇO!$C$7:$C$91,PREÇO!$E$7:$E$91)</f>
        <v>0.99</v>
      </c>
      <c r="L1158" s="66">
        <f>IF(SUM(F1158:K1158)=0,SUMIFS($L1159:$L$1593,$B1159:$B$1593,$B1158,$A1159:$A$1593,$A1158),I1158*K1158)</f>
        <v>32.798700000000004</v>
      </c>
      <c r="N1158"/>
      <c r="O1158"/>
      <c r="P1158" s="28"/>
      <c r="Q1158" s="28"/>
      <c r="R1158" s="28"/>
    </row>
    <row r="1159" spans="1:18" ht="15.75" outlineLevel="1" thickBot="1">
      <c r="A1159" s="24" t="str">
        <f t="shared" si="286"/>
        <v>GERAL</v>
      </c>
      <c r="B1159" s="24" t="str">
        <f t="shared" si="287"/>
        <v>139º PAV. - ÁREA TÉCNICA 08 - LANÇAMENTO</v>
      </c>
      <c r="C1159" s="30" t="s">
        <v>221</v>
      </c>
      <c r="D1159" s="86" t="s">
        <v>89</v>
      </c>
      <c r="E1159" s="30" t="s">
        <v>186</v>
      </c>
      <c r="F1159" s="30">
        <f>'Técnico 8'!E45</f>
        <v>10.37</v>
      </c>
      <c r="G1159" s="30">
        <v>1</v>
      </c>
      <c r="H1159" s="25">
        <v>0</v>
      </c>
      <c r="I1159" s="25">
        <f t="shared" si="289"/>
        <v>10.37</v>
      </c>
      <c r="J1159" s="25" t="str">
        <f>'Técnico 8'!F45</f>
        <v>m</v>
      </c>
      <c r="K1159" s="26">
        <f>_xlfn.XLOOKUP($E1159,PREÇO!$C$7:$C$91,PREÇO!$E$7:$E$91)</f>
        <v>1.69</v>
      </c>
      <c r="L1159" s="66">
        <f>IF(SUM(F1159:K1159)=0,SUMIFS($L1160:$L$1593,$B1160:$B$1593,$B1159,$A1160:$A$1593,$A1159),I1159*K1159)</f>
        <v>17.525299999999998</v>
      </c>
      <c r="N1159"/>
      <c r="O1159"/>
      <c r="P1159" s="28"/>
      <c r="Q1159" s="28"/>
      <c r="R1159" s="28"/>
    </row>
    <row r="1160" spans="1:18" ht="15.75" thickTop="1">
      <c r="A1160" s="82" t="s">
        <v>19</v>
      </c>
      <c r="B1160" s="82" t="s">
        <v>202</v>
      </c>
      <c r="C1160" s="43"/>
      <c r="D1160" s="44" t="str">
        <f>'Técnico 8'!C46</f>
        <v/>
      </c>
      <c r="E1160" s="44" t="str">
        <f>'Técnico 8'!D46</f>
        <v/>
      </c>
      <c r="F1160" s="45" t="str">
        <f>'Técnico 8'!E46</f>
        <v/>
      </c>
      <c r="G1160" s="45"/>
      <c r="H1160" s="45"/>
      <c r="I1160" s="45"/>
      <c r="J1160" s="45" t="str">
        <f>'Técnico 8'!F46</f>
        <v/>
      </c>
      <c r="K1160" s="47"/>
      <c r="L1160" s="48">
        <f>IF(SUM(F1160:K1160)=0,SUMIFS($L1161:$L$1593,$B1161:$B$1593,$B1160,$A1161:$A$1593,$A1160),I1160*K1160)</f>
        <v>6760.4708000000001</v>
      </c>
      <c r="N1160"/>
      <c r="O1160"/>
      <c r="P1160" s="28"/>
      <c r="Q1160" s="28"/>
      <c r="R1160" s="28"/>
    </row>
    <row r="1161" spans="1:18" outlineLevel="1">
      <c r="A1161" s="24" t="str">
        <f>A1160</f>
        <v>GERAL</v>
      </c>
      <c r="B1161" s="24" t="str">
        <f>B1160</f>
        <v>140º PAV. - LAZER 05</v>
      </c>
      <c r="C1161" s="30" t="s">
        <v>221</v>
      </c>
      <c r="D1161" s="30" t="str">
        <f>'Lazer 5'!C6</f>
        <v>Acionadores</v>
      </c>
      <c r="E1161" s="30" t="str">
        <f>'Lazer 5'!D6</f>
        <v>Acionador Manual de Alarme de Incêndio</v>
      </c>
      <c r="F1161" s="30">
        <f>'Lazer 5'!E6</f>
        <v>1</v>
      </c>
      <c r="G1161" s="30">
        <v>1</v>
      </c>
      <c r="H1161" s="25">
        <v>0</v>
      </c>
      <c r="I1161" s="25">
        <f t="shared" si="289"/>
        <v>1</v>
      </c>
      <c r="J1161" s="25" t="str">
        <f>'Lazer 5'!F6</f>
        <v>pç</v>
      </c>
      <c r="K1161" s="26">
        <f>_xlfn.XLOOKUP($E1161,PREÇO!$C$7:$C$91,PREÇO!$E$7:$E$91)</f>
        <v>65</v>
      </c>
      <c r="L1161" s="66">
        <f>IF(SUM(F1161:K1161)=0,SUMIFS($L1162:$L$1593,$B1162:$B$1593,$B1161,$A1162:$A$1593,$A1161),I1161*K1161)</f>
        <v>65</v>
      </c>
      <c r="N1161"/>
      <c r="O1161"/>
      <c r="P1161" s="28"/>
      <c r="Q1161" s="28"/>
      <c r="R1161" s="28"/>
    </row>
    <row r="1162" spans="1:18" outlineLevel="1">
      <c r="A1162" s="24" t="str">
        <f t="shared" ref="A1162:A1190" si="290">A1161</f>
        <v>GERAL</v>
      </c>
      <c r="B1162" s="24" t="str">
        <f t="shared" ref="B1162:B1190" si="291">B1161</f>
        <v>140º PAV. - LAZER 05</v>
      </c>
      <c r="C1162" s="30" t="s">
        <v>221</v>
      </c>
      <c r="D1162" s="30" t="str">
        <f>'Lazer 5'!C7</f>
        <v>Anunciadores</v>
      </c>
      <c r="E1162" s="30" t="str">
        <f>'Lazer 5'!D7</f>
        <v>Anunciador Audiovisual de Alarme de Incêndio de Parede</v>
      </c>
      <c r="F1162" s="30">
        <f>'Lazer 5'!E7</f>
        <v>1</v>
      </c>
      <c r="G1162" s="30">
        <v>1</v>
      </c>
      <c r="H1162" s="25">
        <v>0</v>
      </c>
      <c r="I1162" s="25">
        <f t="shared" ref="I1162:I1165" si="292">(F1162+H1162*F1162)*G1162</f>
        <v>1</v>
      </c>
      <c r="J1162" s="25" t="str">
        <f>'Lazer 5'!F7</f>
        <v>pç</v>
      </c>
      <c r="K1162" s="26">
        <f>_xlfn.XLOOKUP($E1162,PREÇO!$C$7:$C$91,PREÇO!$E$7:$E$91)</f>
        <v>191.81</v>
      </c>
      <c r="L1162" s="66">
        <f>IF(SUM(F1162:K1162)=0,SUMIFS($L1163:$L$1593,$B1163:$B$1593,$B1162,$A1163:$A$1593,$A1162),I1162*K1162)</f>
        <v>191.81</v>
      </c>
      <c r="N1162"/>
      <c r="O1162"/>
      <c r="P1162" s="28"/>
      <c r="Q1162" s="28"/>
      <c r="R1162" s="28"/>
    </row>
    <row r="1163" spans="1:18" outlineLevel="1">
      <c r="A1163" s="24" t="str">
        <f t="shared" si="290"/>
        <v>GERAL</v>
      </c>
      <c r="B1163" s="24" t="str">
        <f t="shared" si="291"/>
        <v>140º PAV. - LAZER 05</v>
      </c>
      <c r="C1163" s="30" t="s">
        <v>221</v>
      </c>
      <c r="D1163" s="30" t="str">
        <f>'Lazer 5'!C8</f>
        <v>Atuadores</v>
      </c>
      <c r="E1163" s="30" t="str">
        <f>'Lazer 5'!D8</f>
        <v>Atuador Janela Desenfumagem</v>
      </c>
      <c r="F1163" s="30">
        <f>'Lazer 5'!E8</f>
        <v>1</v>
      </c>
      <c r="G1163" s="30">
        <v>1</v>
      </c>
      <c r="H1163" s="25">
        <v>0</v>
      </c>
      <c r="I1163" s="25">
        <f t="shared" si="292"/>
        <v>1</v>
      </c>
      <c r="J1163" s="25" t="str">
        <f>'Lazer 5'!F8</f>
        <v>pç</v>
      </c>
      <c r="K1163" s="26">
        <f>_xlfn.XLOOKUP($E1163,PREÇO!$C$7:$C$91,PREÇO!$E$7:$E$91)</f>
        <v>1150</v>
      </c>
      <c r="L1163" s="66">
        <f>IF(SUM(F1163:K1163)=0,SUMIFS($L1164:$L$1593,$B1164:$B$1593,$B1163,$A1164:$A$1593,$A1163),I1163*K1163)</f>
        <v>1150</v>
      </c>
      <c r="N1163"/>
      <c r="O1163"/>
      <c r="P1163" s="28"/>
      <c r="Q1163" s="28"/>
      <c r="R1163" s="28"/>
    </row>
    <row r="1164" spans="1:18" outlineLevel="1">
      <c r="A1164" s="24" t="str">
        <f t="shared" si="290"/>
        <v>GERAL</v>
      </c>
      <c r="B1164" s="24" t="str">
        <f t="shared" si="291"/>
        <v>140º PAV. - LAZER 05</v>
      </c>
      <c r="C1164" s="30" t="s">
        <v>221</v>
      </c>
      <c r="D1164" s="30" t="str">
        <f>'Lazer 5'!C9</f>
        <v>Atuadores</v>
      </c>
      <c r="E1164" s="30" t="str">
        <f>'Lazer 5'!D9</f>
        <v>Dispositivo Eletromagnético de Porta Aberta</v>
      </c>
      <c r="F1164" s="30">
        <f>'Lazer 5'!E9</f>
        <v>1</v>
      </c>
      <c r="G1164" s="30">
        <v>1</v>
      </c>
      <c r="H1164" s="25">
        <v>0</v>
      </c>
      <c r="I1164" s="25">
        <f t="shared" si="292"/>
        <v>1</v>
      </c>
      <c r="J1164" s="25" t="str">
        <f>'Lazer 5'!F9</f>
        <v>pç</v>
      </c>
      <c r="K1164" s="26">
        <f>_xlfn.XLOOKUP($E1164,PREÇO!$C$7:$C$91,PREÇO!$E$7:$E$91)</f>
        <v>416.9</v>
      </c>
      <c r="L1164" s="66">
        <f>IF(SUM(F1164:K1164)=0,SUMIFS($L1165:$L$1593,$B1165:$B$1593,$B1164,$A1165:$A$1593,$A1164),I1164*K1164)</f>
        <v>416.9</v>
      </c>
      <c r="N1164"/>
      <c r="O1164"/>
      <c r="P1164" s="28"/>
      <c r="Q1164" s="28"/>
      <c r="R1164" s="28"/>
    </row>
    <row r="1165" spans="1:18" outlineLevel="1">
      <c r="A1165" s="24" t="str">
        <f t="shared" si="290"/>
        <v>GERAL</v>
      </c>
      <c r="B1165" s="24" t="str">
        <f t="shared" si="291"/>
        <v>140º PAV. - LAZER 05</v>
      </c>
      <c r="C1165" s="30" t="s">
        <v>221</v>
      </c>
      <c r="D1165" s="30" t="str">
        <f>'Lazer 5'!C10</f>
        <v>Sensores</v>
      </c>
      <c r="E1165" s="30" t="str">
        <f>'Lazer 5'!D10</f>
        <v>Sensor de Fumaça</v>
      </c>
      <c r="F1165" s="30">
        <f>'Lazer 5'!E10</f>
        <v>2</v>
      </c>
      <c r="G1165" s="30">
        <v>1</v>
      </c>
      <c r="H1165" s="25">
        <v>0</v>
      </c>
      <c r="I1165" s="25">
        <f t="shared" si="292"/>
        <v>2</v>
      </c>
      <c r="J1165" s="25" t="str">
        <f>'Lazer 5'!F10</f>
        <v>pç</v>
      </c>
      <c r="K1165" s="26">
        <f>_xlfn.XLOOKUP($E1165,PREÇO!$C$7:$C$91,PREÇO!$E$7:$E$91)</f>
        <v>53.9</v>
      </c>
      <c r="L1165" s="66">
        <f>IF(SUM(F1165:K1165)=0,SUMIFS($L1166:$L$1593,$B1166:$B$1593,$B1165,$A1166:$A$1593,$A1165),I1165*K1165)</f>
        <v>107.8</v>
      </c>
      <c r="N1165"/>
      <c r="O1165"/>
      <c r="P1165" s="28"/>
      <c r="Q1165" s="28"/>
      <c r="R1165" s="28"/>
    </row>
    <row r="1166" spans="1:18" outlineLevel="1">
      <c r="A1166" s="24" t="str">
        <f t="shared" si="290"/>
        <v>GERAL</v>
      </c>
      <c r="B1166" s="24" t="str">
        <f t="shared" si="291"/>
        <v>140º PAV. - LAZER 05</v>
      </c>
      <c r="C1166" s="30" t="s">
        <v>221</v>
      </c>
      <c r="D1166" s="30" t="str">
        <f>'Lazer 5'!C13</f>
        <v>Caixas</v>
      </c>
      <c r="E1166" s="30" t="str">
        <f>'Lazer 5'!D13</f>
        <v>Caixa Octogonal Padrão NBR IEC 60670</v>
      </c>
      <c r="F1166" s="30">
        <f>'Lazer 5'!E13</f>
        <v>16</v>
      </c>
      <c r="G1166" s="30">
        <v>1</v>
      </c>
      <c r="H1166" s="25">
        <v>0</v>
      </c>
      <c r="I1166" s="25">
        <f t="shared" ref="I1166:I1171" si="293">(F1166+H1166*F1166)*G1166</f>
        <v>16</v>
      </c>
      <c r="J1166" s="25" t="str">
        <f>'Lazer 5'!F13</f>
        <v>pç</v>
      </c>
      <c r="K1166" s="26">
        <f>_xlfn.XLOOKUP($E1166,PREÇO!$C$7:$C$91,PREÇO!$E$7:$E$91)</f>
        <v>5.32</v>
      </c>
      <c r="L1166" s="66">
        <f>IF(SUM(F1166:K1166)=0,SUMIFS($L1167:$L$1593,$B1167:$B$1593,$B1166,$A1167:$A$1593,$A1166),I1166*K1166)</f>
        <v>85.12</v>
      </c>
      <c r="N1166"/>
      <c r="O1166"/>
      <c r="P1166" s="28"/>
      <c r="Q1166" s="28"/>
      <c r="R1166" s="28"/>
    </row>
    <row r="1167" spans="1:18" outlineLevel="1">
      <c r="A1167" s="24" t="str">
        <f t="shared" si="290"/>
        <v>GERAL</v>
      </c>
      <c r="B1167" s="24" t="str">
        <f t="shared" si="291"/>
        <v>140º PAV. - LAZER 05</v>
      </c>
      <c r="C1167" s="30" t="s">
        <v>221</v>
      </c>
      <c r="D1167" s="30" t="str">
        <f>'Lazer 5'!C14</f>
        <v>Placas</v>
      </c>
      <c r="E1167" s="30" t="str">
        <f>'Lazer 5'!D14</f>
        <v>Placa cega para caixa octogonal Padrão NBR IEC 60670</v>
      </c>
      <c r="F1167" s="30">
        <f>'Lazer 5'!E14</f>
        <v>6</v>
      </c>
      <c r="G1167" s="30">
        <v>1</v>
      </c>
      <c r="H1167" s="25">
        <v>0</v>
      </c>
      <c r="I1167" s="25">
        <f t="shared" si="293"/>
        <v>6</v>
      </c>
      <c r="J1167" s="25" t="str">
        <f>'Lazer 5'!F14</f>
        <v>pç</v>
      </c>
      <c r="K1167" s="26">
        <f>_xlfn.XLOOKUP($E1167,PREÇO!$C$7:$C$91,PREÇO!$E$7:$E$91)</f>
        <v>2.5</v>
      </c>
      <c r="L1167" s="66">
        <f>IF(SUM(F1167:K1167)=0,SUMIFS($L1168:$L$1593,$B1168:$B$1593,$B1167,$A1168:$A$1593,$A1167),I1167*K1167)</f>
        <v>15</v>
      </c>
      <c r="N1167"/>
      <c r="O1167"/>
      <c r="P1167" s="28"/>
      <c r="Q1167" s="28"/>
      <c r="R1167" s="28"/>
    </row>
    <row r="1168" spans="1:18" outlineLevel="1">
      <c r="A1168" s="24" t="str">
        <f t="shared" si="290"/>
        <v>GERAL</v>
      </c>
      <c r="B1168" s="24" t="str">
        <f t="shared" si="291"/>
        <v>140º PAV. - LAZER 05</v>
      </c>
      <c r="C1168" s="30" t="s">
        <v>221</v>
      </c>
      <c r="D1168" s="30" t="str">
        <f>'Lazer 5'!C17</f>
        <v>Caixas</v>
      </c>
      <c r="E1168" s="30" t="str">
        <f>'Lazer 5'!D17</f>
        <v>Caixa 4x2" de Embutir em PVC Padrão NBR IEC 60670</v>
      </c>
      <c r="F1168" s="30">
        <f>'Lazer 5'!E17</f>
        <v>29</v>
      </c>
      <c r="G1168" s="30">
        <v>1</v>
      </c>
      <c r="H1168" s="25">
        <v>0</v>
      </c>
      <c r="I1168" s="25">
        <f t="shared" si="293"/>
        <v>29</v>
      </c>
      <c r="J1168" s="25" t="str">
        <f>'Lazer 5'!F17</f>
        <v>pç</v>
      </c>
      <c r="K1168" s="26">
        <f>_xlfn.XLOOKUP($E1168,PREÇO!$C$7:$C$91,PREÇO!$E$7:$E$91)</f>
        <v>1.72</v>
      </c>
      <c r="L1168" s="66">
        <f>IF(SUM(F1168:K1168)=0,SUMIFS($L1169:$L$1593,$B1169:$B$1593,$B1168,$A1169:$A$1593,$A1168),I1168*K1168)</f>
        <v>49.88</v>
      </c>
      <c r="N1168"/>
      <c r="O1168"/>
      <c r="P1168" s="28"/>
      <c r="Q1168" s="28"/>
      <c r="R1168" s="28"/>
    </row>
    <row r="1169" spans="1:18" outlineLevel="1">
      <c r="A1169" s="24" t="str">
        <f t="shared" si="290"/>
        <v>GERAL</v>
      </c>
      <c r="B1169" s="24" t="str">
        <f t="shared" si="291"/>
        <v>140º PAV. - LAZER 05</v>
      </c>
      <c r="C1169" s="30" t="s">
        <v>221</v>
      </c>
      <c r="D1169" s="30" t="str">
        <f>'Lazer 5'!C18</f>
        <v>Placas</v>
      </c>
      <c r="E1169" s="30" t="str">
        <f>'Lazer 5'!D18</f>
        <v>Placa 4x2" cega Padrão NBR IEC 60670</v>
      </c>
      <c r="F1169" s="30">
        <f>'Lazer 5'!E18</f>
        <v>22</v>
      </c>
      <c r="G1169" s="30">
        <v>1</v>
      </c>
      <c r="H1169" s="25">
        <v>0</v>
      </c>
      <c r="I1169" s="25">
        <f t="shared" si="293"/>
        <v>22</v>
      </c>
      <c r="J1169" s="25" t="str">
        <f>'Lazer 5'!F18</f>
        <v>pç</v>
      </c>
      <c r="K1169" s="26">
        <f>_xlfn.XLOOKUP($E1169,PREÇO!$C$7:$C$91,PREÇO!$E$7:$E$91)</f>
        <v>4.59</v>
      </c>
      <c r="L1169" s="66">
        <f>IF(SUM(F1169:K1169)=0,SUMIFS($L1170:$L$1593,$B1170:$B$1593,$B1169,$A1170:$A$1593,$A1169),I1169*K1169)</f>
        <v>100.97999999999999</v>
      </c>
      <c r="N1169"/>
      <c r="O1169"/>
      <c r="P1169" s="28"/>
      <c r="Q1169" s="28"/>
      <c r="R1169" s="28"/>
    </row>
    <row r="1170" spans="1:18" outlineLevel="1">
      <c r="A1170" s="24" t="str">
        <f t="shared" si="290"/>
        <v>GERAL</v>
      </c>
      <c r="B1170" s="24" t="str">
        <f t="shared" si="291"/>
        <v>140º PAV. - LAZER 05</v>
      </c>
      <c r="C1170" s="30" t="s">
        <v>221</v>
      </c>
      <c r="D1170" s="30" t="str">
        <f>'Lazer 5'!C19</f>
        <v>Placas</v>
      </c>
      <c r="E1170" s="30" t="str">
        <f>'Lazer 5'!D19</f>
        <v>Placa 4x2" com furo para saída de cabos Padrão NBR IEC 60670</v>
      </c>
      <c r="F1170" s="30">
        <f>'Lazer 5'!E19</f>
        <v>7</v>
      </c>
      <c r="G1170" s="30">
        <v>1</v>
      </c>
      <c r="H1170" s="25">
        <v>0</v>
      </c>
      <c r="I1170" s="25">
        <f t="shared" si="293"/>
        <v>7</v>
      </c>
      <c r="J1170" s="25" t="str">
        <f>'Lazer 5'!F19</f>
        <v>pç</v>
      </c>
      <c r="K1170" s="26">
        <f>_xlfn.XLOOKUP($E1170,PREÇO!$C$7:$C$91,PREÇO!$E$7:$E$91)</f>
        <v>6.55</v>
      </c>
      <c r="L1170" s="66">
        <f>IF(SUM(F1170:K1170)=0,SUMIFS($L1171:$L$1593,$B1171:$B$1593,$B1170,$A1171:$A$1593,$A1170),I1170*K1170)</f>
        <v>45.85</v>
      </c>
      <c r="N1170"/>
      <c r="O1170"/>
      <c r="P1170" s="28"/>
      <c r="Q1170" s="28"/>
      <c r="R1170" s="28"/>
    </row>
    <row r="1171" spans="1:18" outlineLevel="1">
      <c r="A1171" s="24" t="str">
        <f t="shared" si="290"/>
        <v>GERAL</v>
      </c>
      <c r="B1171" s="24" t="str">
        <f t="shared" si="291"/>
        <v>140º PAV. - LAZER 05</v>
      </c>
      <c r="C1171" s="30" t="s">
        <v>221</v>
      </c>
      <c r="D1171" s="30" t="str">
        <f>'Lazer 5'!C20</f>
        <v>Suportes</v>
      </c>
      <c r="E1171" s="30" t="str">
        <f>'Lazer 5'!D20</f>
        <v>Suporte p/ caixa 4x2" Padrão NBR IEC 60670</v>
      </c>
      <c r="F1171" s="30">
        <f>'Lazer 5'!E20</f>
        <v>29</v>
      </c>
      <c r="G1171" s="30">
        <v>1</v>
      </c>
      <c r="H1171" s="25">
        <v>0</v>
      </c>
      <c r="I1171" s="25">
        <f t="shared" si="293"/>
        <v>29</v>
      </c>
      <c r="J1171" s="25" t="str">
        <f>'Lazer 5'!F20</f>
        <v>pç</v>
      </c>
      <c r="K1171" s="26">
        <f>_xlfn.XLOOKUP($E1171,PREÇO!$C$7:$C$91,PREÇO!$E$7:$E$91)</f>
        <v>1.85</v>
      </c>
      <c r="L1171" s="66">
        <f>IF(SUM(F1171:K1171)=0,SUMIFS($L1172:$L$1593,$B1172:$B$1593,$B1171,$A1172:$A$1593,$A1171),I1171*K1171)</f>
        <v>53.650000000000006</v>
      </c>
      <c r="N1171"/>
      <c r="O1171"/>
      <c r="P1171" s="28"/>
      <c r="Q1171" s="28"/>
      <c r="R1171" s="28"/>
    </row>
    <row r="1172" spans="1:18" outlineLevel="1">
      <c r="A1172" s="24" t="str">
        <f t="shared" si="290"/>
        <v>GERAL</v>
      </c>
      <c r="B1172" s="24" t="str">
        <f t="shared" si="291"/>
        <v>140º PAV. - LAZER 05</v>
      </c>
      <c r="C1172" s="30" t="s">
        <v>221</v>
      </c>
      <c r="D1172" s="86" t="s">
        <v>46</v>
      </c>
      <c r="E1172" s="30" t="s">
        <v>44</v>
      </c>
      <c r="F1172" s="30">
        <f>'Lazer 5'!E23</f>
        <v>13.77</v>
      </c>
      <c r="G1172" s="30">
        <v>1</v>
      </c>
      <c r="H1172" s="25">
        <v>0</v>
      </c>
      <c r="I1172" s="25">
        <f t="shared" ref="I1172:I1188" si="294">(F1172+H1172*F1172)*G1172</f>
        <v>13.77</v>
      </c>
      <c r="J1172" s="25" t="str">
        <f>'Lazer 5'!F23</f>
        <v>m</v>
      </c>
      <c r="K1172" s="26">
        <f>_xlfn.XLOOKUP($E1172,PREÇO!$C$7:$C$91,PREÇO!$E$7:$E$91)</f>
        <v>2.5299999999999998</v>
      </c>
      <c r="L1172" s="66">
        <f>IF(SUM(F1172:K1172)=0,SUMIFS($L1173:$L$1593,$B1173:$B$1593,$B1172,$A1173:$A$1593,$A1172),I1172*K1172)</f>
        <v>34.838099999999997</v>
      </c>
      <c r="N1172"/>
      <c r="O1172"/>
      <c r="P1172" s="28"/>
      <c r="Q1172" s="28"/>
      <c r="R1172" s="28"/>
    </row>
    <row r="1173" spans="1:18" outlineLevel="1">
      <c r="A1173" s="24" t="str">
        <f t="shared" si="290"/>
        <v>GERAL</v>
      </c>
      <c r="B1173" s="24" t="str">
        <f t="shared" si="291"/>
        <v>140º PAV. - LAZER 05</v>
      </c>
      <c r="C1173" s="30" t="s">
        <v>221</v>
      </c>
      <c r="D1173" s="86" t="s">
        <v>46</v>
      </c>
      <c r="E1173" s="30" t="s">
        <v>45</v>
      </c>
      <c r="F1173" s="30">
        <f>'Lazer 5'!E24</f>
        <v>190.46</v>
      </c>
      <c r="G1173" s="30">
        <v>1</v>
      </c>
      <c r="H1173" s="25">
        <v>0</v>
      </c>
      <c r="I1173" s="25">
        <f t="shared" si="294"/>
        <v>190.46</v>
      </c>
      <c r="J1173" s="25" t="str">
        <f>'Lazer 5'!F24</f>
        <v>m</v>
      </c>
      <c r="K1173" s="26">
        <f>_xlfn.XLOOKUP($E1173,PREÇO!$C$7:$C$91,PREÇO!$E$7:$E$91)</f>
        <v>1.8</v>
      </c>
      <c r="L1173" s="66">
        <f>IF(SUM(F1173:K1173)=0,SUMIFS($L1174:$L$1593,$B1174:$B$1593,$B1173,$A1174:$A$1593,$A1173),I1173*K1173)</f>
        <v>342.82800000000003</v>
      </c>
      <c r="N1173"/>
      <c r="O1173"/>
      <c r="P1173" s="28"/>
      <c r="Q1173" s="28"/>
      <c r="R1173" s="28"/>
    </row>
    <row r="1174" spans="1:18" outlineLevel="1">
      <c r="A1174" s="24" t="str">
        <f t="shared" si="290"/>
        <v>GERAL</v>
      </c>
      <c r="B1174" s="24" t="str">
        <f t="shared" si="291"/>
        <v>140º PAV. - LAZER 05</v>
      </c>
      <c r="C1174" s="30" t="s">
        <v>220</v>
      </c>
      <c r="D1174" s="30" t="str">
        <f>'Lazer 5'!C27</f>
        <v>Luminárias e Placas de Saída</v>
      </c>
      <c r="E1174" s="30" t="str">
        <f>'Lazer 5'!D27</f>
        <v>Luminária de Emergência 24V de Parede</v>
      </c>
      <c r="F1174" s="30">
        <f>'Lazer 5'!E27</f>
        <v>22</v>
      </c>
      <c r="G1174" s="30">
        <v>1</v>
      </c>
      <c r="H1174" s="25">
        <v>0</v>
      </c>
      <c r="I1174" s="25">
        <f t="shared" si="294"/>
        <v>22</v>
      </c>
      <c r="J1174" s="25" t="str">
        <f>'Lazer 5'!F27</f>
        <v>pç</v>
      </c>
      <c r="K1174" s="26">
        <f>_xlfn.XLOOKUP($E1174,PREÇO!$C$7:$C$91,PREÇO!$E$7:$E$91)</f>
        <v>15.9</v>
      </c>
      <c r="L1174" s="66">
        <f>IF(SUM(F1174:K1174)=0,SUMIFS($L1175:$L$1593,$B1175:$B$1593,$B1174,$A1175:$A$1593,$A1174),I1174*K1174)</f>
        <v>349.8</v>
      </c>
      <c r="N1174"/>
      <c r="O1174"/>
      <c r="P1174" s="28"/>
      <c r="Q1174" s="28"/>
      <c r="R1174" s="28"/>
    </row>
    <row r="1175" spans="1:18" outlineLevel="1">
      <c r="A1175" s="24" t="str">
        <f t="shared" si="290"/>
        <v>GERAL</v>
      </c>
      <c r="B1175" s="24" t="str">
        <f t="shared" si="291"/>
        <v>140º PAV. - LAZER 05</v>
      </c>
      <c r="C1175" s="30" t="s">
        <v>220</v>
      </c>
      <c r="D1175" s="30" t="str">
        <f>'Lazer 5'!C28</f>
        <v>Luminárias e Placas de Saída</v>
      </c>
      <c r="E1175" s="30" t="str">
        <f>'Lazer 5'!D28</f>
        <v>Luminária de Emergência 24V de Teto</v>
      </c>
      <c r="F1175" s="30">
        <f>'Lazer 5'!E28</f>
        <v>5</v>
      </c>
      <c r="G1175" s="30">
        <v>1</v>
      </c>
      <c r="H1175" s="25">
        <v>0</v>
      </c>
      <c r="I1175" s="25">
        <f t="shared" si="294"/>
        <v>5</v>
      </c>
      <c r="J1175" s="25" t="str">
        <f>'Lazer 5'!F28</f>
        <v>pç</v>
      </c>
      <c r="K1175" s="26">
        <f>_xlfn.XLOOKUP($E1175,PREÇO!$C$7:$C$91,PREÇO!$E$7:$E$91)</f>
        <v>69.900000000000006</v>
      </c>
      <c r="L1175" s="66">
        <f>IF(SUM(F1175:K1175)=0,SUMIFS($L1176:$L$1593,$B1176:$B$1593,$B1175,$A1176:$A$1593,$A1175),I1175*K1175)</f>
        <v>349.5</v>
      </c>
      <c r="N1175"/>
      <c r="O1175"/>
      <c r="P1175" s="28"/>
      <c r="Q1175" s="28"/>
      <c r="R1175" s="28"/>
    </row>
    <row r="1176" spans="1:18" outlineLevel="1">
      <c r="A1176" s="24" t="str">
        <f t="shared" si="290"/>
        <v>GERAL</v>
      </c>
      <c r="B1176" s="24" t="str">
        <f t="shared" si="291"/>
        <v>140º PAV. - LAZER 05</v>
      </c>
      <c r="C1176" s="24" t="s">
        <v>222</v>
      </c>
      <c r="D1176" s="30" t="str">
        <f>'Lazer 5'!C29</f>
        <v>Luminárias e Placas de Saída</v>
      </c>
      <c r="E1176" s="30" t="str">
        <f>'Lazer 5'!D29</f>
        <v>Placa de Saída 24V de Parede sem Direção</v>
      </c>
      <c r="F1176" s="30">
        <f>'Lazer 5'!E29</f>
        <v>3</v>
      </c>
      <c r="G1176" s="30">
        <v>1</v>
      </c>
      <c r="H1176" s="25">
        <v>0</v>
      </c>
      <c r="I1176" s="25">
        <f t="shared" si="294"/>
        <v>3</v>
      </c>
      <c r="J1176" s="25" t="str">
        <f>'Lazer 5'!F29</f>
        <v>pç</v>
      </c>
      <c r="K1176" s="26">
        <f>_xlfn.XLOOKUP($E1176,PREÇO!$C$7:$C$91,PREÇO!$E$7:$E$91)</f>
        <v>61.66</v>
      </c>
      <c r="L1176" s="66">
        <f>IF(SUM(F1176:K1176)=0,SUMIFS($L1178:$L$1593,$B1178:$B$1593,$B1176,$A1178:$A$1593,$A1176),I1176*K1176)</f>
        <v>184.98</v>
      </c>
      <c r="N1176"/>
      <c r="O1176"/>
      <c r="P1176" s="28"/>
      <c r="Q1176" s="28"/>
      <c r="R1176" s="28"/>
    </row>
    <row r="1177" spans="1:18" outlineLevel="1">
      <c r="A1177" s="116" t="str">
        <f>A1175</f>
        <v>GERAL</v>
      </c>
      <c r="B1177" s="116" t="str">
        <f>B1176</f>
        <v>140º PAV. - LAZER 05</v>
      </c>
      <c r="C1177" s="116" t="s">
        <v>222</v>
      </c>
      <c r="D1177" s="116" t="s">
        <v>223</v>
      </c>
      <c r="E1177" s="116" t="s">
        <v>224</v>
      </c>
      <c r="F1177" s="117">
        <v>2</v>
      </c>
      <c r="G1177" s="117">
        <f>G1176</f>
        <v>1</v>
      </c>
      <c r="H1177" s="118">
        <v>0</v>
      </c>
      <c r="I1177" s="117">
        <f t="shared" si="294"/>
        <v>2</v>
      </c>
      <c r="J1177" s="117" t="s">
        <v>11</v>
      </c>
      <c r="K1177" s="119">
        <f>_xlfn.XLOOKUP($E1177,PREÇO!$C$7:$C$91,PREÇO!$E$7:$E$91)</f>
        <v>646.55999999999995</v>
      </c>
      <c r="L1177" s="120">
        <f>IF(SUM(F1177:K1177)=0,SUMIFS($L1178:$L$1593,$B1178:$B$1593,$B1177,$A1178:$A$1593,$A1177),I1177*K1177)</f>
        <v>1293.1199999999999</v>
      </c>
      <c r="N1177"/>
      <c r="O1177"/>
      <c r="P1177" s="28"/>
      <c r="Q1177" s="28"/>
      <c r="R1177" s="28"/>
    </row>
    <row r="1178" spans="1:18" outlineLevel="1">
      <c r="A1178" s="24" t="str">
        <f>A1176</f>
        <v>GERAL</v>
      </c>
      <c r="B1178" s="24" t="str">
        <f>B1176</f>
        <v>140º PAV. - LAZER 05</v>
      </c>
      <c r="C1178" s="30" t="s">
        <v>220</v>
      </c>
      <c r="D1178" s="30" t="str">
        <f>'Lazer 5'!C30</f>
        <v>Sensores de Presença</v>
      </c>
      <c r="E1178" s="30" t="str">
        <f>'Lazer 5'!D30</f>
        <v>Sensor de Presença 24V de teto</v>
      </c>
      <c r="F1178" s="30">
        <f>'Lazer 5'!E30</f>
        <v>3</v>
      </c>
      <c r="G1178" s="30">
        <v>1</v>
      </c>
      <c r="H1178" s="25">
        <v>0</v>
      </c>
      <c r="I1178" s="25">
        <f t="shared" si="294"/>
        <v>3</v>
      </c>
      <c r="J1178" s="25" t="str">
        <f>'Lazer 5'!F30</f>
        <v>pç</v>
      </c>
      <c r="K1178" s="26">
        <f>_xlfn.XLOOKUP($E1178,PREÇO!$C$7:$C$91,PREÇO!$E$7:$E$91)</f>
        <v>38.4</v>
      </c>
      <c r="L1178" s="66">
        <f>IF(SUM(F1178:K1178)=0,SUMIFS($L1179:$L$1593,$B1179:$B$1593,$B1178,$A1179:$A$1593,$A1178),I1178*K1178)</f>
        <v>115.19999999999999</v>
      </c>
      <c r="N1178"/>
      <c r="O1178"/>
      <c r="P1178" s="28"/>
      <c r="Q1178" s="28"/>
      <c r="R1178" s="28"/>
    </row>
    <row r="1179" spans="1:18" outlineLevel="1">
      <c r="A1179" s="24" t="str">
        <f t="shared" si="290"/>
        <v>GERAL</v>
      </c>
      <c r="B1179" s="24" t="str">
        <f t="shared" si="291"/>
        <v>140º PAV. - LAZER 05</v>
      </c>
      <c r="C1179" s="30" t="s">
        <v>221</v>
      </c>
      <c r="D1179" s="86" t="s">
        <v>87</v>
      </c>
      <c r="E1179" s="30" t="s">
        <v>179</v>
      </c>
      <c r="F1179" s="30">
        <f>'Lazer 5'!E33</f>
        <v>44.78</v>
      </c>
      <c r="G1179" s="30">
        <v>1</v>
      </c>
      <c r="H1179" s="25">
        <v>0</v>
      </c>
      <c r="I1179" s="25">
        <f t="shared" si="294"/>
        <v>44.78</v>
      </c>
      <c r="J1179" s="25" t="str">
        <f>'Lazer 5'!F33</f>
        <v>m</v>
      </c>
      <c r="K1179" s="26">
        <f>_xlfn.XLOOKUP($E1179,PREÇO!$C$7:$C$91,PREÇO!$E$7:$E$91)</f>
        <v>1.59</v>
      </c>
      <c r="L1179" s="66">
        <f>IF(SUM(F1179:K1179)=0,SUMIFS($L1180:$L$1593,$B1180:$B$1593,$B1179,$A1180:$A$1593,$A1179),I1179*K1179)</f>
        <v>71.200200000000009</v>
      </c>
      <c r="N1179"/>
      <c r="O1179"/>
      <c r="P1179" s="28"/>
      <c r="Q1179" s="28"/>
      <c r="R1179" s="28"/>
    </row>
    <row r="1180" spans="1:18" outlineLevel="1">
      <c r="A1180" s="24" t="str">
        <f t="shared" si="290"/>
        <v>GERAL</v>
      </c>
      <c r="B1180" s="24" t="str">
        <f t="shared" si="291"/>
        <v>140º PAV. - LAZER 05</v>
      </c>
      <c r="C1180" s="30" t="s">
        <v>221</v>
      </c>
      <c r="D1180" s="86" t="s">
        <v>87</v>
      </c>
      <c r="E1180" s="30" t="s">
        <v>180</v>
      </c>
      <c r="F1180" s="30">
        <f>'Lazer 5'!E34</f>
        <v>38.299999999999997</v>
      </c>
      <c r="G1180" s="30">
        <v>1</v>
      </c>
      <c r="H1180" s="25">
        <v>0</v>
      </c>
      <c r="I1180" s="25">
        <f t="shared" si="294"/>
        <v>38.299999999999997</v>
      </c>
      <c r="J1180" s="25" t="str">
        <f>'Lazer 5'!F34</f>
        <v>m</v>
      </c>
      <c r="K1180" s="26">
        <f>_xlfn.XLOOKUP($E1180,PREÇO!$C$7:$C$91,PREÇO!$E$7:$E$91)</f>
        <v>1.59</v>
      </c>
      <c r="L1180" s="66">
        <f>IF(SUM(F1180:K1180)=0,SUMIFS($L1181:$L$1593,$B1181:$B$1593,$B1180,$A1181:$A$1593,$A1180),I1180*K1180)</f>
        <v>60.896999999999998</v>
      </c>
      <c r="N1180"/>
      <c r="O1180"/>
      <c r="P1180" s="28"/>
      <c r="Q1180" s="28"/>
      <c r="R1180" s="28"/>
    </row>
    <row r="1181" spans="1:18" outlineLevel="1">
      <c r="A1181" s="24" t="str">
        <f t="shared" si="290"/>
        <v>GERAL</v>
      </c>
      <c r="B1181" s="24" t="str">
        <f t="shared" si="291"/>
        <v>140º PAV. - LAZER 05</v>
      </c>
      <c r="C1181" s="30" t="s">
        <v>221</v>
      </c>
      <c r="D1181" s="86" t="s">
        <v>87</v>
      </c>
      <c r="E1181" s="30" t="s">
        <v>181</v>
      </c>
      <c r="F1181" s="30">
        <f>'Lazer 5'!E35</f>
        <v>38.299999999999997</v>
      </c>
      <c r="G1181" s="30">
        <v>1</v>
      </c>
      <c r="H1181" s="25">
        <v>0</v>
      </c>
      <c r="I1181" s="25">
        <f t="shared" si="294"/>
        <v>38.299999999999997</v>
      </c>
      <c r="J1181" s="25" t="str">
        <f>'Lazer 5'!F35</f>
        <v>m</v>
      </c>
      <c r="K1181" s="26">
        <f>_xlfn.XLOOKUP($E1181,PREÇO!$C$7:$C$91,PREÇO!$E$7:$E$91)</f>
        <v>1.59</v>
      </c>
      <c r="L1181" s="66">
        <f>IF(SUM(F1181:K1181)=0,SUMIFS($L1182:$L$1593,$B1182:$B$1593,$B1181,$A1182:$A$1593,$A1181),I1181*K1181)</f>
        <v>60.896999999999998</v>
      </c>
      <c r="N1181"/>
      <c r="O1181"/>
      <c r="P1181" s="28"/>
      <c r="Q1181" s="28"/>
      <c r="R1181" s="28"/>
    </row>
    <row r="1182" spans="1:18" outlineLevel="1">
      <c r="A1182" s="24" t="str">
        <f t="shared" si="290"/>
        <v>GERAL</v>
      </c>
      <c r="B1182" s="24" t="str">
        <f t="shared" si="291"/>
        <v>140º PAV. - LAZER 05</v>
      </c>
      <c r="C1182" s="30" t="s">
        <v>221</v>
      </c>
      <c r="D1182" s="86" t="s">
        <v>87</v>
      </c>
      <c r="E1182" s="30" t="s">
        <v>182</v>
      </c>
      <c r="F1182" s="30">
        <f>'Lazer 5'!E36</f>
        <v>20.02</v>
      </c>
      <c r="G1182" s="30">
        <v>1</v>
      </c>
      <c r="H1182" s="25">
        <v>0</v>
      </c>
      <c r="I1182" s="25">
        <f t="shared" si="294"/>
        <v>20.02</v>
      </c>
      <c r="J1182" s="25" t="str">
        <f>'Lazer 5'!F36</f>
        <v>m</v>
      </c>
      <c r="K1182" s="26">
        <f>_xlfn.XLOOKUP($E1182,PREÇO!$C$7:$C$91,PREÇO!$E$7:$E$91)</f>
        <v>2.19</v>
      </c>
      <c r="L1182" s="66">
        <f>IF(SUM(F1182:K1182)=0,SUMIFS($L1183:$L$1593,$B1183:$B$1593,$B1182,$A1183:$A$1593,$A1182),I1182*K1182)</f>
        <v>43.843799999999995</v>
      </c>
      <c r="N1182"/>
      <c r="O1182"/>
      <c r="P1182" s="28"/>
      <c r="Q1182" s="28"/>
      <c r="R1182" s="28"/>
    </row>
    <row r="1183" spans="1:18" outlineLevel="1">
      <c r="A1183" s="24" t="str">
        <f t="shared" si="290"/>
        <v>GERAL</v>
      </c>
      <c r="B1183" s="24" t="str">
        <f t="shared" si="291"/>
        <v>140º PAV. - LAZER 05</v>
      </c>
      <c r="C1183" s="30" t="s">
        <v>221</v>
      </c>
      <c r="D1183" s="86" t="s">
        <v>87</v>
      </c>
      <c r="E1183" s="30" t="s">
        <v>183</v>
      </c>
      <c r="F1183" s="30">
        <f>'Lazer 5'!E37</f>
        <v>10.01</v>
      </c>
      <c r="G1183" s="30">
        <v>1</v>
      </c>
      <c r="H1183" s="25">
        <v>0</v>
      </c>
      <c r="I1183" s="25">
        <f t="shared" si="294"/>
        <v>10.01</v>
      </c>
      <c r="J1183" s="25" t="str">
        <f>'Lazer 5'!F37</f>
        <v>m</v>
      </c>
      <c r="K1183" s="26">
        <f>_xlfn.XLOOKUP($E1183,PREÇO!$C$7:$C$91,PREÇO!$E$7:$E$91)</f>
        <v>2.19</v>
      </c>
      <c r="L1183" s="66">
        <f>IF(SUM(F1183:K1183)=0,SUMIFS($L1184:$L$1593,$B1184:$B$1593,$B1183,$A1184:$A$1593,$A1183),I1183*K1183)</f>
        <v>21.921899999999997</v>
      </c>
      <c r="N1183"/>
      <c r="O1183"/>
      <c r="P1183" s="28"/>
      <c r="Q1183" s="28"/>
      <c r="R1183" s="28"/>
    </row>
    <row r="1184" spans="1:18" outlineLevel="1">
      <c r="A1184" s="24" t="str">
        <f t="shared" si="290"/>
        <v>GERAL</v>
      </c>
      <c r="B1184" s="24" t="str">
        <f t="shared" si="291"/>
        <v>140º PAV. - LAZER 05</v>
      </c>
      <c r="C1184" s="30" t="s">
        <v>221</v>
      </c>
      <c r="D1184" s="86" t="s">
        <v>87</v>
      </c>
      <c r="E1184" s="30" t="s">
        <v>184</v>
      </c>
      <c r="F1184" s="30">
        <f>'Lazer 5'!E38</f>
        <v>10.01</v>
      </c>
      <c r="G1184" s="30">
        <v>1</v>
      </c>
      <c r="H1184" s="25">
        <v>0</v>
      </c>
      <c r="I1184" s="25">
        <f t="shared" si="294"/>
        <v>10.01</v>
      </c>
      <c r="J1184" s="25" t="str">
        <f>'Lazer 5'!F38</f>
        <v>m</v>
      </c>
      <c r="K1184" s="26">
        <f>_xlfn.XLOOKUP($E1184,PREÇO!$C$7:$C$91,PREÇO!$E$7:$E$91)</f>
        <v>2.19</v>
      </c>
      <c r="L1184" s="66">
        <f>IF(SUM(F1184:K1184)=0,SUMIFS($L1185:$L$1593,$B1185:$B$1593,$B1184,$A1185:$A$1593,$A1184),I1184*K1184)</f>
        <v>21.921899999999997</v>
      </c>
      <c r="N1184"/>
      <c r="O1184"/>
      <c r="P1184" s="28"/>
      <c r="Q1184" s="28"/>
      <c r="R1184" s="28"/>
    </row>
    <row r="1185" spans="1:18" outlineLevel="1">
      <c r="A1185" s="24" t="str">
        <f t="shared" si="290"/>
        <v>GERAL</v>
      </c>
      <c r="B1185" s="24" t="str">
        <f t="shared" si="291"/>
        <v>140º PAV. - LAZER 05</v>
      </c>
      <c r="C1185" s="30" t="s">
        <v>221</v>
      </c>
      <c r="D1185" s="86" t="s">
        <v>87</v>
      </c>
      <c r="E1185" s="30" t="s">
        <v>205</v>
      </c>
      <c r="F1185" s="30">
        <f>'Lazer 5'!E39</f>
        <v>186.84</v>
      </c>
      <c r="G1185" s="30">
        <v>1</v>
      </c>
      <c r="H1185" s="25">
        <v>0</v>
      </c>
      <c r="I1185" s="25">
        <f t="shared" si="294"/>
        <v>186.84</v>
      </c>
      <c r="J1185" s="25" t="str">
        <f>'Lazer 5'!F39</f>
        <v>m</v>
      </c>
      <c r="K1185" s="26">
        <f>_xlfn.XLOOKUP($E1185,PREÇO!$C$7:$C$91,PREÇO!$E$7:$E$91)</f>
        <v>3.89</v>
      </c>
      <c r="L1185" s="66">
        <f>IF(SUM(F1185:K1185)=0,SUMIFS($L1186:$L$1593,$B1186:$B$1593,$B1185,$A1186:$A$1593,$A1185),I1185*K1185)</f>
        <v>726.80760000000009</v>
      </c>
      <c r="N1185"/>
      <c r="O1185"/>
      <c r="P1185" s="28"/>
      <c r="Q1185" s="28"/>
      <c r="R1185" s="28"/>
    </row>
    <row r="1186" spans="1:18" outlineLevel="1">
      <c r="A1186" s="24" t="str">
        <f t="shared" si="290"/>
        <v>GERAL</v>
      </c>
      <c r="B1186" s="24" t="str">
        <f t="shared" si="291"/>
        <v>140º PAV. - LAZER 05</v>
      </c>
      <c r="C1186" s="30" t="s">
        <v>221</v>
      </c>
      <c r="D1186" s="86" t="s">
        <v>87</v>
      </c>
      <c r="E1186" s="30" t="s">
        <v>206</v>
      </c>
      <c r="F1186" s="30">
        <f>'Lazer 5'!E40</f>
        <v>186.84</v>
      </c>
      <c r="G1186" s="30">
        <v>1</v>
      </c>
      <c r="H1186" s="25">
        <v>0</v>
      </c>
      <c r="I1186" s="25">
        <f t="shared" si="294"/>
        <v>186.84</v>
      </c>
      <c r="J1186" s="25" t="str">
        <f>'Lazer 5'!F40</f>
        <v>m</v>
      </c>
      <c r="K1186" s="26">
        <f>_xlfn.XLOOKUP($E1186,PREÇO!$C$7:$C$91,PREÇO!$E$7:$E$91)</f>
        <v>3.89</v>
      </c>
      <c r="L1186" s="66">
        <f>IF(SUM(F1186:K1186)=0,SUMIFS($L1187:$L$1593,$B1187:$B$1593,$B1186,$A1187:$A$1593,$A1186),I1186*K1186)</f>
        <v>726.80760000000009</v>
      </c>
      <c r="N1186"/>
      <c r="O1186"/>
      <c r="P1186" s="28"/>
      <c r="Q1186" s="28"/>
      <c r="R1186" s="28"/>
    </row>
    <row r="1187" spans="1:18" outlineLevel="1">
      <c r="A1187" s="24" t="str">
        <f t="shared" si="290"/>
        <v>GERAL</v>
      </c>
      <c r="B1187" s="24" t="str">
        <f t="shared" si="291"/>
        <v>140º PAV. - LAZER 05</v>
      </c>
      <c r="C1187" s="30" t="s">
        <v>221</v>
      </c>
      <c r="D1187" s="86" t="s">
        <v>46</v>
      </c>
      <c r="E1187" s="30" t="s">
        <v>44</v>
      </c>
      <c r="F1187" s="30">
        <f>'Lazer 5'!E44</f>
        <v>15.17</v>
      </c>
      <c r="G1187" s="30">
        <v>1</v>
      </c>
      <c r="H1187" s="25">
        <v>0</v>
      </c>
      <c r="I1187" s="25">
        <f t="shared" si="294"/>
        <v>15.17</v>
      </c>
      <c r="J1187" s="25" t="str">
        <f>'Lazer 5'!F44</f>
        <v>m</v>
      </c>
      <c r="K1187" s="26">
        <f>_xlfn.XLOOKUP($E1187,PREÇO!$C$7:$C$91,PREÇO!$E$7:$E$91)</f>
        <v>2.5299999999999998</v>
      </c>
      <c r="L1187" s="66">
        <f>IF(SUM(F1187:K1187)=0,SUMIFS($L1188:$L$1593,$B1188:$B$1593,$B1187,$A1188:$A$1593,$A1187),I1187*K1187)</f>
        <v>38.380099999999999</v>
      </c>
      <c r="N1187"/>
      <c r="O1187"/>
      <c r="P1187" s="28"/>
      <c r="Q1187" s="28"/>
      <c r="R1187" s="28"/>
    </row>
    <row r="1188" spans="1:18" outlineLevel="1">
      <c r="A1188" s="24" t="str">
        <f t="shared" si="290"/>
        <v>GERAL</v>
      </c>
      <c r="B1188" s="24" t="str">
        <f t="shared" si="291"/>
        <v>140º PAV. - LAZER 05</v>
      </c>
      <c r="C1188" s="30" t="s">
        <v>221</v>
      </c>
      <c r="D1188" s="86" t="s">
        <v>46</v>
      </c>
      <c r="E1188" s="30" t="s">
        <v>45</v>
      </c>
      <c r="F1188" s="30">
        <f>'Lazer 5'!E45</f>
        <v>1.1000000000000001</v>
      </c>
      <c r="G1188" s="30">
        <v>1</v>
      </c>
      <c r="H1188" s="25">
        <v>0</v>
      </c>
      <c r="I1188" s="25">
        <f t="shared" si="294"/>
        <v>1.1000000000000001</v>
      </c>
      <c r="J1188" s="25" t="str">
        <f>'Lazer 5'!F45</f>
        <v>m</v>
      </c>
      <c r="K1188" s="26">
        <f>_xlfn.XLOOKUP($E1188,PREÇO!$C$7:$C$91,PREÇO!$E$7:$E$91)</f>
        <v>1.8</v>
      </c>
      <c r="L1188" s="66">
        <f>IF(SUM(F1188:K1188)=0,SUMIFS($L1189:$L$1593,$B1189:$B$1593,$B1188,$A1189:$A$1593,$A1188),I1188*K1188)</f>
        <v>1.9800000000000002</v>
      </c>
      <c r="N1188"/>
      <c r="O1188"/>
      <c r="P1188" s="28"/>
      <c r="Q1188" s="28"/>
      <c r="R1188" s="28"/>
    </row>
    <row r="1189" spans="1:18" outlineLevel="1">
      <c r="A1189" s="24" t="str">
        <f t="shared" si="290"/>
        <v>GERAL</v>
      </c>
      <c r="B1189" s="24" t="str">
        <f t="shared" si="291"/>
        <v>140º PAV. - LAZER 05</v>
      </c>
      <c r="C1189" s="30" t="s">
        <v>221</v>
      </c>
      <c r="D1189" s="86" t="s">
        <v>89</v>
      </c>
      <c r="E1189" s="30" t="s">
        <v>185</v>
      </c>
      <c r="F1189" s="30">
        <f>'Lazer 5'!E48</f>
        <v>15.17</v>
      </c>
      <c r="G1189" s="30">
        <v>1</v>
      </c>
      <c r="H1189" s="25">
        <v>0</v>
      </c>
      <c r="I1189" s="25">
        <f t="shared" ref="I1189:I1192" si="295">(F1189+H1189*F1189)*G1189</f>
        <v>15.17</v>
      </c>
      <c r="J1189" s="25" t="str">
        <f>'Lazer 5'!F48</f>
        <v>m</v>
      </c>
      <c r="K1189" s="26">
        <f>_xlfn.XLOOKUP($E1189,PREÇO!$C$7:$C$91,PREÇO!$E$7:$E$91)</f>
        <v>0.99</v>
      </c>
      <c r="L1189" s="66">
        <f>IF(SUM(F1189:K1189)=0,SUMIFS($L1190:$L$1593,$B1190:$B$1593,$B1189,$A1190:$A$1593,$A1189),I1189*K1189)</f>
        <v>15.0183</v>
      </c>
      <c r="N1189"/>
      <c r="O1189"/>
      <c r="P1189" s="28"/>
      <c r="Q1189" s="28"/>
      <c r="R1189" s="28"/>
    </row>
    <row r="1190" spans="1:18" ht="15.75" outlineLevel="1" thickBot="1">
      <c r="A1190" s="24" t="str">
        <f t="shared" si="290"/>
        <v>GERAL</v>
      </c>
      <c r="B1190" s="24" t="str">
        <f t="shared" si="291"/>
        <v>140º PAV. - LAZER 05</v>
      </c>
      <c r="C1190" s="30" t="s">
        <v>221</v>
      </c>
      <c r="D1190" s="86" t="s">
        <v>89</v>
      </c>
      <c r="E1190" s="30" t="s">
        <v>186</v>
      </c>
      <c r="F1190" s="30">
        <f>'Lazer 5'!E49</f>
        <v>10.97</v>
      </c>
      <c r="G1190" s="30">
        <v>1</v>
      </c>
      <c r="H1190" s="25">
        <v>0</v>
      </c>
      <c r="I1190" s="25">
        <f t="shared" si="295"/>
        <v>10.97</v>
      </c>
      <c r="J1190" s="25" t="str">
        <f>'Lazer 5'!F49</f>
        <v>m</v>
      </c>
      <c r="K1190" s="26">
        <f>_xlfn.XLOOKUP($E1190,PREÇO!$C$7:$C$91,PREÇO!$E$7:$E$91)</f>
        <v>1.69</v>
      </c>
      <c r="L1190" s="66">
        <f>IF(SUM(F1190:K1190)=0,SUMIFS($L1191:$L$1593,$B1191:$B$1593,$B1190,$A1191:$A$1593,$A1190),I1190*K1190)</f>
        <v>18.539300000000001</v>
      </c>
      <c r="N1190"/>
      <c r="O1190"/>
      <c r="P1190" s="28"/>
      <c r="Q1190" s="28"/>
      <c r="R1190" s="28"/>
    </row>
    <row r="1191" spans="1:18" ht="15.75" thickTop="1">
      <c r="A1191" s="87" t="s">
        <v>19</v>
      </c>
      <c r="B1191" s="82" t="s">
        <v>203</v>
      </c>
      <c r="C1191" s="43"/>
      <c r="D1191" s="44" t="str">
        <f>'Lazer 5'!C50</f>
        <v/>
      </c>
      <c r="E1191" s="44" t="str">
        <f>'Lazer 5'!D50</f>
        <v/>
      </c>
      <c r="F1191" s="45" t="str">
        <f>'Lazer 5'!E50</f>
        <v/>
      </c>
      <c r="G1191" s="45"/>
      <c r="H1191" s="45"/>
      <c r="I1191" s="45"/>
      <c r="J1191" s="45"/>
      <c r="K1191" s="47"/>
      <c r="L1191" s="48">
        <f>IF(SUM(F1191:K1191)=0,SUMIFS($L1192:$L$1593,$B1192:$B$1593,$B1191,$A1192:$A$1593,$A1191),I1191*K1191)</f>
        <v>5963.2577999999985</v>
      </c>
      <c r="N1191"/>
      <c r="O1191"/>
      <c r="P1191" s="28"/>
      <c r="Q1191" s="28"/>
      <c r="R1191" s="28"/>
    </row>
    <row r="1192" spans="1:18" outlineLevel="1">
      <c r="A1192" s="24" t="str">
        <f>A1191</f>
        <v>GERAL</v>
      </c>
      <c r="B1192" s="24" t="str">
        <f>B1191</f>
        <v>141º PAV. - LAZER 06</v>
      </c>
      <c r="C1192" s="30" t="s">
        <v>221</v>
      </c>
      <c r="D1192" s="30" t="str">
        <f>'Lazer 6'!C6</f>
        <v>Acionadores</v>
      </c>
      <c r="E1192" s="30" t="str">
        <f>'Lazer 6'!D6</f>
        <v>Acionador Manual de Alarme de Incêndio</v>
      </c>
      <c r="F1192" s="30">
        <f>'Lazer 6'!E6</f>
        <v>1</v>
      </c>
      <c r="G1192" s="30">
        <v>1</v>
      </c>
      <c r="H1192" s="25">
        <v>0</v>
      </c>
      <c r="I1192" s="25">
        <f t="shared" si="295"/>
        <v>1</v>
      </c>
      <c r="J1192" s="25" t="str">
        <f>'Lazer 6'!F6</f>
        <v>pç</v>
      </c>
      <c r="K1192" s="26">
        <f>_xlfn.XLOOKUP($E1192,PREÇO!$C$7:$C$91,PREÇO!$E$7:$E$91)</f>
        <v>65</v>
      </c>
      <c r="L1192" s="66">
        <f>IF(SUM(F1192:K1192)=0,SUMIFS($L1193:$L$1593,$B1193:$B$1593,$B1192,$A1193:$A$1593,$A1192),I1192*K1192)</f>
        <v>65</v>
      </c>
      <c r="N1192"/>
      <c r="O1192"/>
      <c r="P1192" s="28"/>
      <c r="Q1192" s="28"/>
      <c r="R1192" s="28"/>
    </row>
    <row r="1193" spans="1:18" outlineLevel="1">
      <c r="A1193" s="24" t="str">
        <f t="shared" ref="A1193:A1221" si="296">A1192</f>
        <v>GERAL</v>
      </c>
      <c r="B1193" s="24" t="str">
        <f t="shared" ref="B1193:B1221" si="297">B1192</f>
        <v>141º PAV. - LAZER 06</v>
      </c>
      <c r="C1193" s="30" t="s">
        <v>221</v>
      </c>
      <c r="D1193" s="30" t="str">
        <f>'Lazer 6'!C7</f>
        <v>Anunciadores</v>
      </c>
      <c r="E1193" s="30" t="str">
        <f>'Lazer 6'!D7</f>
        <v>Anunciador Audiovisual de Alarme de Incêndio de Parede</v>
      </c>
      <c r="F1193" s="30">
        <f>'Lazer 6'!E7</f>
        <v>1</v>
      </c>
      <c r="G1193" s="30">
        <v>1</v>
      </c>
      <c r="H1193" s="25">
        <v>0</v>
      </c>
      <c r="I1193" s="25">
        <f t="shared" ref="I1193:I1215" si="298">(F1193+H1193*F1193)*G1193</f>
        <v>1</v>
      </c>
      <c r="J1193" s="25" t="str">
        <f>'Lazer 6'!F7</f>
        <v>pç</v>
      </c>
      <c r="K1193" s="26">
        <f>_xlfn.XLOOKUP($E1193,PREÇO!$C$7:$C$91,PREÇO!$E$7:$E$91)</f>
        <v>191.81</v>
      </c>
      <c r="L1193" s="66">
        <f>IF(SUM(F1193:K1193)=0,SUMIFS($L1194:$L$1593,$B1194:$B$1593,$B1193,$A1194:$A$1593,$A1193),I1193*K1193)</f>
        <v>191.81</v>
      </c>
      <c r="N1193"/>
      <c r="O1193"/>
      <c r="P1193" s="28"/>
      <c r="Q1193" s="28"/>
      <c r="R1193" s="28"/>
    </row>
    <row r="1194" spans="1:18" outlineLevel="1">
      <c r="A1194" s="24" t="str">
        <f t="shared" si="296"/>
        <v>GERAL</v>
      </c>
      <c r="B1194" s="24" t="str">
        <f t="shared" si="297"/>
        <v>141º PAV. - LAZER 06</v>
      </c>
      <c r="C1194" s="30" t="s">
        <v>221</v>
      </c>
      <c r="D1194" s="30" t="str">
        <f>'Lazer 6'!C8</f>
        <v>Atuadores</v>
      </c>
      <c r="E1194" s="30" t="str">
        <f>'Lazer 6'!D8</f>
        <v>Atuador Janela Desenfumagem</v>
      </c>
      <c r="F1194" s="30">
        <f>'Lazer 6'!E8</f>
        <v>1</v>
      </c>
      <c r="G1194" s="30">
        <v>1</v>
      </c>
      <c r="H1194" s="25">
        <v>0</v>
      </c>
      <c r="I1194" s="25">
        <f t="shared" si="298"/>
        <v>1</v>
      </c>
      <c r="J1194" s="25" t="str">
        <f>'Lazer 6'!F8</f>
        <v>pç</v>
      </c>
      <c r="K1194" s="26">
        <f>_xlfn.XLOOKUP($E1194,PREÇO!$C$7:$C$91,PREÇO!$E$7:$E$91)</f>
        <v>1150</v>
      </c>
      <c r="L1194" s="66">
        <f>IF(SUM(F1194:K1194)=0,SUMIFS($L1195:$L$1593,$B1195:$B$1593,$B1194,$A1195:$A$1593,$A1194),I1194*K1194)</f>
        <v>1150</v>
      </c>
      <c r="N1194"/>
      <c r="O1194"/>
      <c r="P1194" s="28"/>
      <c r="Q1194" s="28"/>
      <c r="R1194" s="28"/>
    </row>
    <row r="1195" spans="1:18" outlineLevel="1">
      <c r="A1195" s="24" t="str">
        <f t="shared" si="296"/>
        <v>GERAL</v>
      </c>
      <c r="B1195" s="24" t="str">
        <f t="shared" si="297"/>
        <v>141º PAV. - LAZER 06</v>
      </c>
      <c r="C1195" s="30" t="s">
        <v>221</v>
      </c>
      <c r="D1195" s="30" t="str">
        <f>'Lazer 6'!C9</f>
        <v>Atuadores</v>
      </c>
      <c r="E1195" s="30" t="str">
        <f>'Lazer 6'!D9</f>
        <v>Dispositivo Eletromagnético de Porta Aberta</v>
      </c>
      <c r="F1195" s="30">
        <f>'Lazer 6'!E9</f>
        <v>1</v>
      </c>
      <c r="G1195" s="30">
        <v>1</v>
      </c>
      <c r="H1195" s="25">
        <v>0</v>
      </c>
      <c r="I1195" s="25">
        <f t="shared" si="298"/>
        <v>1</v>
      </c>
      <c r="J1195" s="25" t="str">
        <f>'Lazer 6'!F9</f>
        <v>pç</v>
      </c>
      <c r="K1195" s="26">
        <f>_xlfn.XLOOKUP($E1195,PREÇO!$C$7:$C$91,PREÇO!$E$7:$E$91)</f>
        <v>416.9</v>
      </c>
      <c r="L1195" s="66">
        <f>IF(SUM(F1195:K1195)=0,SUMIFS($L1196:$L$1593,$B1196:$B$1593,$B1195,$A1196:$A$1593,$A1195),I1195*K1195)</f>
        <v>416.9</v>
      </c>
      <c r="N1195"/>
      <c r="O1195"/>
      <c r="P1195" s="28"/>
      <c r="Q1195" s="28"/>
      <c r="R1195" s="28"/>
    </row>
    <row r="1196" spans="1:18" outlineLevel="1">
      <c r="A1196" s="24" t="str">
        <f t="shared" si="296"/>
        <v>GERAL</v>
      </c>
      <c r="B1196" s="24" t="str">
        <f t="shared" si="297"/>
        <v>141º PAV. - LAZER 06</v>
      </c>
      <c r="C1196" s="30" t="s">
        <v>221</v>
      </c>
      <c r="D1196" s="30" t="str">
        <f>'Lazer 6'!C10</f>
        <v>Sensores</v>
      </c>
      <c r="E1196" s="30" t="str">
        <f>'Lazer 6'!D10</f>
        <v>Sensor de Fumaça</v>
      </c>
      <c r="F1196" s="30">
        <f>'Lazer 6'!E10</f>
        <v>2</v>
      </c>
      <c r="G1196" s="30">
        <v>1</v>
      </c>
      <c r="H1196" s="25">
        <v>0</v>
      </c>
      <c r="I1196" s="25">
        <f t="shared" si="298"/>
        <v>2</v>
      </c>
      <c r="J1196" s="25" t="str">
        <f>'Lazer 6'!F10</f>
        <v>pç</v>
      </c>
      <c r="K1196" s="26">
        <f>_xlfn.XLOOKUP($E1196,PREÇO!$C$7:$C$91,PREÇO!$E$7:$E$91)</f>
        <v>53.9</v>
      </c>
      <c r="L1196" s="66">
        <f>IF(SUM(F1196:K1196)=0,SUMIFS($L1197:$L$1593,$B1197:$B$1593,$B1196,$A1197:$A$1593,$A1196),I1196*K1196)</f>
        <v>107.8</v>
      </c>
      <c r="N1196"/>
      <c r="O1196"/>
      <c r="P1196" s="28"/>
      <c r="Q1196" s="28"/>
      <c r="R1196" s="28"/>
    </row>
    <row r="1197" spans="1:18" outlineLevel="1">
      <c r="A1197" s="24" t="str">
        <f t="shared" si="296"/>
        <v>GERAL</v>
      </c>
      <c r="B1197" s="24" t="str">
        <f t="shared" si="297"/>
        <v>141º PAV. - LAZER 06</v>
      </c>
      <c r="C1197" s="30" t="s">
        <v>221</v>
      </c>
      <c r="D1197" s="30" t="str">
        <f>'Lazer 6'!C13</f>
        <v>Caixas</v>
      </c>
      <c r="E1197" s="30" t="str">
        <f>'Lazer 6'!D13</f>
        <v>Caixa Octogonal Padrão NBR IEC 60670</v>
      </c>
      <c r="F1197" s="30">
        <f>'Lazer 6'!E13</f>
        <v>16</v>
      </c>
      <c r="G1197" s="30">
        <v>1</v>
      </c>
      <c r="H1197" s="25">
        <v>0</v>
      </c>
      <c r="I1197" s="25">
        <f t="shared" si="298"/>
        <v>16</v>
      </c>
      <c r="J1197" s="25" t="str">
        <f>'Lazer 6'!F13</f>
        <v>pç</v>
      </c>
      <c r="K1197" s="26">
        <f>_xlfn.XLOOKUP($E1197,PREÇO!$C$7:$C$91,PREÇO!$E$7:$E$91)</f>
        <v>5.32</v>
      </c>
      <c r="L1197" s="66">
        <f>IF(SUM(F1197:K1197)=0,SUMIFS($L1198:$L$1593,$B1198:$B$1593,$B1197,$A1198:$A$1593,$A1197),I1197*K1197)</f>
        <v>85.12</v>
      </c>
      <c r="N1197"/>
      <c r="O1197"/>
      <c r="P1197" s="28"/>
      <c r="Q1197" s="28"/>
      <c r="R1197" s="28"/>
    </row>
    <row r="1198" spans="1:18" outlineLevel="1">
      <c r="A1198" s="24" t="str">
        <f t="shared" si="296"/>
        <v>GERAL</v>
      </c>
      <c r="B1198" s="24" t="str">
        <f t="shared" si="297"/>
        <v>141º PAV. - LAZER 06</v>
      </c>
      <c r="C1198" s="30" t="s">
        <v>221</v>
      </c>
      <c r="D1198" s="30" t="str">
        <f>'Lazer 6'!C14</f>
        <v>Placas</v>
      </c>
      <c r="E1198" s="30" t="str">
        <f>'Lazer 6'!D14</f>
        <v>Placa cega para caixa octogonal Padrão NBR IEC 60670</v>
      </c>
      <c r="F1198" s="30">
        <f>'Lazer 6'!E14</f>
        <v>6</v>
      </c>
      <c r="G1198" s="30">
        <v>1</v>
      </c>
      <c r="H1198" s="25">
        <v>0</v>
      </c>
      <c r="I1198" s="25">
        <f t="shared" si="298"/>
        <v>6</v>
      </c>
      <c r="J1198" s="25" t="str">
        <f>'Lazer 6'!F14</f>
        <v>pç</v>
      </c>
      <c r="K1198" s="26">
        <f>_xlfn.XLOOKUP($E1198,PREÇO!$C$7:$C$91,PREÇO!$E$7:$E$91)</f>
        <v>2.5</v>
      </c>
      <c r="L1198" s="66">
        <f>IF(SUM(F1198:K1198)=0,SUMIFS($L1199:$L$1593,$B1199:$B$1593,$B1198,$A1199:$A$1593,$A1198),I1198*K1198)</f>
        <v>15</v>
      </c>
      <c r="N1198"/>
      <c r="O1198"/>
      <c r="P1198" s="28"/>
      <c r="Q1198" s="28"/>
      <c r="R1198" s="28"/>
    </row>
    <row r="1199" spans="1:18" outlineLevel="1">
      <c r="A1199" s="24" t="str">
        <f t="shared" si="296"/>
        <v>GERAL</v>
      </c>
      <c r="B1199" s="24" t="str">
        <f t="shared" si="297"/>
        <v>141º PAV. - LAZER 06</v>
      </c>
      <c r="C1199" s="30" t="s">
        <v>221</v>
      </c>
      <c r="D1199" s="30" t="str">
        <f>'Lazer 6'!C17</f>
        <v>Caixas</v>
      </c>
      <c r="E1199" s="30" t="str">
        <f>'Lazer 6'!D17</f>
        <v>Caixa 4x2" de Embutir em PVC Padrão NBR IEC 60670</v>
      </c>
      <c r="F1199" s="30">
        <f>'Lazer 6'!E17</f>
        <v>23</v>
      </c>
      <c r="G1199" s="30">
        <v>1</v>
      </c>
      <c r="H1199" s="25">
        <v>0</v>
      </c>
      <c r="I1199" s="25">
        <f t="shared" si="298"/>
        <v>23</v>
      </c>
      <c r="J1199" s="25" t="str">
        <f>'Lazer 6'!F17</f>
        <v>pç</v>
      </c>
      <c r="K1199" s="26">
        <f>_xlfn.XLOOKUP($E1199,PREÇO!$C$7:$C$91,PREÇO!$E$7:$E$91)</f>
        <v>1.72</v>
      </c>
      <c r="L1199" s="66">
        <f>IF(SUM(F1199:K1199)=0,SUMIFS($L1200:$L$1593,$B1200:$B$1593,$B1199,$A1200:$A$1593,$A1199),I1199*K1199)</f>
        <v>39.56</v>
      </c>
      <c r="N1199"/>
      <c r="O1199"/>
      <c r="P1199" s="28"/>
      <c r="Q1199" s="28"/>
      <c r="R1199" s="28"/>
    </row>
    <row r="1200" spans="1:18" outlineLevel="1">
      <c r="A1200" s="24" t="str">
        <f t="shared" si="296"/>
        <v>GERAL</v>
      </c>
      <c r="B1200" s="24" t="str">
        <f t="shared" si="297"/>
        <v>141º PAV. - LAZER 06</v>
      </c>
      <c r="C1200" s="30" t="s">
        <v>221</v>
      </c>
      <c r="D1200" s="30" t="str">
        <f>'Lazer 6'!C18</f>
        <v>Placas</v>
      </c>
      <c r="E1200" s="30" t="str">
        <f>'Lazer 6'!D18</f>
        <v>Placa 4x2" cega Padrão NBR IEC 60670</v>
      </c>
      <c r="F1200" s="30">
        <f>'Lazer 6'!E18</f>
        <v>16</v>
      </c>
      <c r="G1200" s="30">
        <v>1</v>
      </c>
      <c r="H1200" s="25">
        <v>0</v>
      </c>
      <c r="I1200" s="25">
        <f t="shared" si="298"/>
        <v>16</v>
      </c>
      <c r="J1200" s="25" t="str">
        <f>'Lazer 6'!F18</f>
        <v>pç</v>
      </c>
      <c r="K1200" s="26">
        <f>_xlfn.XLOOKUP($E1200,PREÇO!$C$7:$C$91,PREÇO!$E$7:$E$91)</f>
        <v>4.59</v>
      </c>
      <c r="L1200" s="66">
        <f>IF(SUM(F1200:K1200)=0,SUMIFS($L1201:$L$1593,$B1201:$B$1593,$B1200,$A1201:$A$1593,$A1200),I1200*K1200)</f>
        <v>73.44</v>
      </c>
      <c r="N1200"/>
      <c r="O1200"/>
      <c r="P1200" s="28"/>
      <c r="Q1200" s="28"/>
      <c r="R1200" s="28"/>
    </row>
    <row r="1201" spans="1:18" outlineLevel="1">
      <c r="A1201" s="24" t="str">
        <f t="shared" si="296"/>
        <v>GERAL</v>
      </c>
      <c r="B1201" s="24" t="str">
        <f t="shared" si="297"/>
        <v>141º PAV. - LAZER 06</v>
      </c>
      <c r="C1201" s="30" t="s">
        <v>221</v>
      </c>
      <c r="D1201" s="30" t="str">
        <f>'Lazer 6'!C19</f>
        <v>Placas</v>
      </c>
      <c r="E1201" s="30" t="str">
        <f>'Lazer 6'!D19</f>
        <v>Placa 4x2" com furo para saída de cabos Padrão NBR IEC 60670</v>
      </c>
      <c r="F1201" s="30">
        <f>'Lazer 6'!E19</f>
        <v>7</v>
      </c>
      <c r="G1201" s="30">
        <v>1</v>
      </c>
      <c r="H1201" s="25">
        <v>0</v>
      </c>
      <c r="I1201" s="25">
        <f t="shared" si="298"/>
        <v>7</v>
      </c>
      <c r="J1201" s="25" t="str">
        <f>'Lazer 6'!F19</f>
        <v>pç</v>
      </c>
      <c r="K1201" s="26">
        <f>_xlfn.XLOOKUP($E1201,PREÇO!$C$7:$C$91,PREÇO!$E$7:$E$91)</f>
        <v>6.55</v>
      </c>
      <c r="L1201" s="66">
        <f>IF(SUM(F1201:K1201)=0,SUMIFS($L1202:$L$1593,$B1202:$B$1593,$B1201,$A1202:$A$1593,$A1201),I1201*K1201)</f>
        <v>45.85</v>
      </c>
      <c r="N1201"/>
      <c r="O1201"/>
      <c r="P1201" s="28"/>
      <c r="Q1201" s="28"/>
      <c r="R1201" s="28"/>
    </row>
    <row r="1202" spans="1:18" outlineLevel="1">
      <c r="A1202" s="24" t="str">
        <f t="shared" si="296"/>
        <v>GERAL</v>
      </c>
      <c r="B1202" s="24" t="str">
        <f t="shared" si="297"/>
        <v>141º PAV. - LAZER 06</v>
      </c>
      <c r="C1202" s="30" t="s">
        <v>221</v>
      </c>
      <c r="D1202" s="30" t="str">
        <f>'Lazer 6'!C20</f>
        <v>Suportes</v>
      </c>
      <c r="E1202" s="30" t="str">
        <f>'Lazer 6'!D20</f>
        <v>Suporte p/ caixa 4x2" Padrão NBR IEC 60670</v>
      </c>
      <c r="F1202" s="30">
        <f>'Lazer 6'!E20</f>
        <v>23</v>
      </c>
      <c r="G1202" s="30">
        <v>1</v>
      </c>
      <c r="H1202" s="25">
        <v>0</v>
      </c>
      <c r="I1202" s="25">
        <f t="shared" si="298"/>
        <v>23</v>
      </c>
      <c r="J1202" s="25" t="str">
        <f>'Lazer 6'!F20</f>
        <v>pç</v>
      </c>
      <c r="K1202" s="26">
        <f>_xlfn.XLOOKUP($E1202,PREÇO!$C$7:$C$91,PREÇO!$E$7:$E$91)</f>
        <v>1.85</v>
      </c>
      <c r="L1202" s="66">
        <f>IF(SUM(F1202:K1202)=0,SUMIFS($L1203:$L$1593,$B1203:$B$1593,$B1202,$A1203:$A$1593,$A1202),I1202*K1202)</f>
        <v>42.550000000000004</v>
      </c>
      <c r="N1202"/>
      <c r="O1202"/>
      <c r="P1202" s="28"/>
      <c r="Q1202" s="28"/>
      <c r="R1202" s="28"/>
    </row>
    <row r="1203" spans="1:18" outlineLevel="1">
      <c r="A1203" s="24" t="str">
        <f t="shared" si="296"/>
        <v>GERAL</v>
      </c>
      <c r="B1203" s="24" t="str">
        <f t="shared" si="297"/>
        <v>141º PAV. - LAZER 06</v>
      </c>
      <c r="C1203" s="30" t="s">
        <v>221</v>
      </c>
      <c r="D1203" s="86" t="s">
        <v>46</v>
      </c>
      <c r="E1203" s="30" t="s">
        <v>44</v>
      </c>
      <c r="F1203" s="30">
        <f>'Lazer 6'!E23</f>
        <v>13.47</v>
      </c>
      <c r="G1203" s="30">
        <v>1</v>
      </c>
      <c r="H1203" s="25">
        <v>0</v>
      </c>
      <c r="I1203" s="25">
        <f t="shared" si="298"/>
        <v>13.47</v>
      </c>
      <c r="J1203" s="25" t="str">
        <f>'Lazer 6'!F23</f>
        <v>m</v>
      </c>
      <c r="K1203" s="26">
        <f>_xlfn.XLOOKUP($E1203,PREÇO!$C$7:$C$91,PREÇO!$E$7:$E$91)</f>
        <v>2.5299999999999998</v>
      </c>
      <c r="L1203" s="66">
        <f>IF(SUM(F1203:K1203)=0,SUMIFS($L1204:$L$1593,$B1204:$B$1593,$B1203,$A1204:$A$1593,$A1203),I1203*K1203)</f>
        <v>34.079099999999997</v>
      </c>
      <c r="N1203"/>
      <c r="O1203"/>
      <c r="P1203" s="28"/>
      <c r="Q1203" s="28"/>
      <c r="R1203" s="28"/>
    </row>
    <row r="1204" spans="1:18" outlineLevel="1">
      <c r="A1204" s="24" t="str">
        <f t="shared" si="296"/>
        <v>GERAL</v>
      </c>
      <c r="B1204" s="24" t="str">
        <f t="shared" si="297"/>
        <v>141º PAV. - LAZER 06</v>
      </c>
      <c r="C1204" s="30" t="s">
        <v>221</v>
      </c>
      <c r="D1204" s="86" t="s">
        <v>46</v>
      </c>
      <c r="E1204" s="30" t="s">
        <v>45</v>
      </c>
      <c r="F1204" s="30">
        <f>'Lazer 6'!E24</f>
        <v>157.36000000000001</v>
      </c>
      <c r="G1204" s="30">
        <v>1</v>
      </c>
      <c r="H1204" s="25">
        <v>0</v>
      </c>
      <c r="I1204" s="25">
        <f t="shared" si="298"/>
        <v>157.36000000000001</v>
      </c>
      <c r="J1204" s="25" t="str">
        <f>'Lazer 6'!F24</f>
        <v>m</v>
      </c>
      <c r="K1204" s="26">
        <f>_xlfn.XLOOKUP($E1204,PREÇO!$C$7:$C$91,PREÇO!$E$7:$E$91)</f>
        <v>1.8</v>
      </c>
      <c r="L1204" s="66">
        <f>IF(SUM(F1204:K1204)=0,SUMIFS($L1205:$L$1593,$B1205:$B$1593,$B1204,$A1205:$A$1593,$A1204),I1204*K1204)</f>
        <v>283.24800000000005</v>
      </c>
      <c r="N1204"/>
      <c r="O1204"/>
      <c r="P1204" s="28"/>
      <c r="Q1204" s="28"/>
      <c r="R1204" s="28"/>
    </row>
    <row r="1205" spans="1:18" outlineLevel="1">
      <c r="A1205" s="24" t="str">
        <f t="shared" si="296"/>
        <v>GERAL</v>
      </c>
      <c r="B1205" s="24" t="str">
        <f t="shared" si="297"/>
        <v>141º PAV. - LAZER 06</v>
      </c>
      <c r="C1205" s="30" t="s">
        <v>220</v>
      </c>
      <c r="D1205" s="30" t="str">
        <f>'Lazer 6'!C27</f>
        <v>Luminárias e Placas de Saída</v>
      </c>
      <c r="E1205" s="30" t="str">
        <f>'Lazer 6'!D27</f>
        <v>Luminária de Emergência 24V de Parede</v>
      </c>
      <c r="F1205" s="30">
        <f>'Lazer 6'!E27</f>
        <v>16</v>
      </c>
      <c r="G1205" s="30">
        <v>1</v>
      </c>
      <c r="H1205" s="25">
        <v>0</v>
      </c>
      <c r="I1205" s="25">
        <f t="shared" si="298"/>
        <v>16</v>
      </c>
      <c r="J1205" s="25" t="str">
        <f>'Lazer 6'!F27</f>
        <v>pç</v>
      </c>
      <c r="K1205" s="26">
        <f>_xlfn.XLOOKUP($E1205,PREÇO!$C$7:$C$91,PREÇO!$E$7:$E$91)</f>
        <v>15.9</v>
      </c>
      <c r="L1205" s="66">
        <f>IF(SUM(F1205:K1205)=0,SUMIFS($L1206:$L$1593,$B1206:$B$1593,$B1205,$A1206:$A$1593,$A1205),I1205*K1205)</f>
        <v>254.4</v>
      </c>
      <c r="N1205"/>
      <c r="O1205"/>
      <c r="P1205" s="28"/>
      <c r="Q1205" s="28"/>
      <c r="R1205" s="28"/>
    </row>
    <row r="1206" spans="1:18" outlineLevel="1">
      <c r="A1206" s="24" t="str">
        <f t="shared" si="296"/>
        <v>GERAL</v>
      </c>
      <c r="B1206" s="24" t="str">
        <f t="shared" si="297"/>
        <v>141º PAV. - LAZER 06</v>
      </c>
      <c r="C1206" s="30" t="s">
        <v>220</v>
      </c>
      <c r="D1206" s="30" t="str">
        <f>'Lazer 6'!C28</f>
        <v>Luminárias e Placas de Saída</v>
      </c>
      <c r="E1206" s="30" t="str">
        <f>'Lazer 6'!D28</f>
        <v>Luminária de Emergência 24V de Teto</v>
      </c>
      <c r="F1206" s="30">
        <f>'Lazer 6'!E28</f>
        <v>5</v>
      </c>
      <c r="G1206" s="30">
        <v>1</v>
      </c>
      <c r="H1206" s="25">
        <v>0</v>
      </c>
      <c r="I1206" s="25">
        <f t="shared" si="298"/>
        <v>5</v>
      </c>
      <c r="J1206" s="25" t="str">
        <f>'Lazer 6'!F28</f>
        <v>pç</v>
      </c>
      <c r="K1206" s="26">
        <f>_xlfn.XLOOKUP($E1206,PREÇO!$C$7:$C$91,PREÇO!$E$7:$E$91)</f>
        <v>69.900000000000006</v>
      </c>
      <c r="L1206" s="66">
        <f>IF(SUM(F1206:K1206)=0,SUMIFS($L1207:$L$1593,$B1207:$B$1593,$B1206,$A1207:$A$1593,$A1206),I1206*K1206)</f>
        <v>349.5</v>
      </c>
      <c r="N1206"/>
      <c r="O1206"/>
      <c r="P1206" s="28"/>
      <c r="Q1206" s="28"/>
      <c r="R1206" s="28"/>
    </row>
    <row r="1207" spans="1:18" outlineLevel="1">
      <c r="A1207" s="24" t="str">
        <f t="shared" si="296"/>
        <v>GERAL</v>
      </c>
      <c r="B1207" s="24" t="str">
        <f t="shared" si="297"/>
        <v>141º PAV. - LAZER 06</v>
      </c>
      <c r="C1207" s="24" t="s">
        <v>222</v>
      </c>
      <c r="D1207" s="30" t="str">
        <f>'Lazer 6'!C29</f>
        <v>Luminárias e Placas de Saída</v>
      </c>
      <c r="E1207" s="30" t="str">
        <f>'Lazer 6'!D29</f>
        <v>Placa de Saída 24V de Parede sem Direção</v>
      </c>
      <c r="F1207" s="30">
        <f>'Lazer 6'!E29</f>
        <v>3</v>
      </c>
      <c r="G1207" s="30">
        <v>1</v>
      </c>
      <c r="H1207" s="25">
        <v>0</v>
      </c>
      <c r="I1207" s="25">
        <f t="shared" si="298"/>
        <v>3</v>
      </c>
      <c r="J1207" s="25" t="str">
        <f>'Lazer 6'!F29</f>
        <v>pç</v>
      </c>
      <c r="K1207" s="26">
        <f>_xlfn.XLOOKUP($E1207,PREÇO!$C$7:$C$91,PREÇO!$E$7:$E$91)</f>
        <v>61.66</v>
      </c>
      <c r="L1207" s="66">
        <f>IF(SUM(F1207:K1207)=0,SUMIFS($L1209:$L$1593,$B1209:$B$1593,$B1207,$A1209:$A$1593,$A1207),I1207*K1207)</f>
        <v>184.98</v>
      </c>
      <c r="N1207"/>
      <c r="O1207"/>
      <c r="P1207" s="28"/>
      <c r="Q1207" s="28"/>
      <c r="R1207" s="28"/>
    </row>
    <row r="1208" spans="1:18" outlineLevel="1">
      <c r="A1208" s="116" t="str">
        <f>A1206</f>
        <v>GERAL</v>
      </c>
      <c r="B1208" s="116" t="str">
        <f>B1207</f>
        <v>141º PAV. - LAZER 06</v>
      </c>
      <c r="C1208" s="116" t="s">
        <v>222</v>
      </c>
      <c r="D1208" s="116" t="s">
        <v>223</v>
      </c>
      <c r="E1208" s="116" t="s">
        <v>224</v>
      </c>
      <c r="F1208" s="117">
        <v>2</v>
      </c>
      <c r="G1208" s="117">
        <f>G1207</f>
        <v>1</v>
      </c>
      <c r="H1208" s="118">
        <v>0</v>
      </c>
      <c r="I1208" s="117">
        <f t="shared" si="298"/>
        <v>2</v>
      </c>
      <c r="J1208" s="117" t="s">
        <v>11</v>
      </c>
      <c r="K1208" s="119">
        <f>_xlfn.XLOOKUP($E1208,PREÇO!$C$7:$C$91,PREÇO!$E$7:$E$91)</f>
        <v>646.55999999999995</v>
      </c>
      <c r="L1208" s="120">
        <f>IF(SUM(F1208:K1208)=0,SUMIFS($L1209:$L$1593,$B1209:$B$1593,$B1208,$A1209:$A$1593,$A1208),I1208*K1208)</f>
        <v>1293.1199999999999</v>
      </c>
      <c r="N1208"/>
      <c r="O1208"/>
      <c r="P1208" s="28"/>
      <c r="Q1208" s="28"/>
      <c r="R1208" s="28"/>
    </row>
    <row r="1209" spans="1:18" outlineLevel="1">
      <c r="A1209" s="24" t="str">
        <f>A1207</f>
        <v>GERAL</v>
      </c>
      <c r="B1209" s="24" t="str">
        <f>B1207</f>
        <v>141º PAV. - LAZER 06</v>
      </c>
      <c r="C1209" s="30" t="s">
        <v>220</v>
      </c>
      <c r="D1209" s="30" t="str">
        <f>'Lazer 6'!C30</f>
        <v>Sensores de Presença</v>
      </c>
      <c r="E1209" s="30" t="str">
        <f>'Lazer 6'!D30</f>
        <v>Sensor de Presença 24V de teto</v>
      </c>
      <c r="F1209" s="30">
        <f>'Lazer 6'!E30</f>
        <v>3</v>
      </c>
      <c r="G1209" s="30">
        <v>1</v>
      </c>
      <c r="H1209" s="25">
        <v>0</v>
      </c>
      <c r="I1209" s="25">
        <f t="shared" si="298"/>
        <v>3</v>
      </c>
      <c r="J1209" s="25" t="str">
        <f>'Lazer 6'!F30</f>
        <v>pç</v>
      </c>
      <c r="K1209" s="26">
        <f>_xlfn.XLOOKUP($E1209,PREÇO!$C$7:$C$91,PREÇO!$E$7:$E$91)</f>
        <v>38.4</v>
      </c>
      <c r="L1209" s="66">
        <f>IF(SUM(F1209:K1209)=0,SUMIFS($L1210:$L$1593,$B1210:$B$1593,$B1209,$A1210:$A$1593,$A1209),I1209*K1209)</f>
        <v>115.19999999999999</v>
      </c>
      <c r="N1209"/>
      <c r="O1209"/>
      <c r="P1209" s="28"/>
      <c r="Q1209" s="28"/>
      <c r="R1209" s="28"/>
    </row>
    <row r="1210" spans="1:18" outlineLevel="1">
      <c r="A1210" s="24" t="str">
        <f t="shared" si="296"/>
        <v>GERAL</v>
      </c>
      <c r="B1210" s="24" t="str">
        <f t="shared" si="297"/>
        <v>141º PAV. - LAZER 06</v>
      </c>
      <c r="C1210" s="30" t="s">
        <v>221</v>
      </c>
      <c r="D1210" s="86" t="s">
        <v>87</v>
      </c>
      <c r="E1210" s="30" t="s">
        <v>179</v>
      </c>
      <c r="F1210" s="30">
        <f>'Lazer 6'!E33</f>
        <v>63.58</v>
      </c>
      <c r="G1210" s="30">
        <v>1</v>
      </c>
      <c r="H1210" s="25">
        <v>0</v>
      </c>
      <c r="I1210" s="25">
        <f t="shared" si="298"/>
        <v>63.58</v>
      </c>
      <c r="J1210" s="25" t="str">
        <f>'Lazer 6'!F33</f>
        <v>m</v>
      </c>
      <c r="K1210" s="26">
        <f>_xlfn.XLOOKUP($E1210,PREÇO!$C$7:$C$91,PREÇO!$E$7:$E$91)</f>
        <v>1.59</v>
      </c>
      <c r="L1210" s="66">
        <f>IF(SUM(F1210:K1210)=0,SUMIFS($L1211:$L$1593,$B1211:$B$1593,$B1210,$A1211:$A$1593,$A1210),I1210*K1210)</f>
        <v>101.09220000000001</v>
      </c>
      <c r="N1210"/>
      <c r="O1210"/>
      <c r="P1210" s="28"/>
      <c r="Q1210" s="28"/>
      <c r="R1210" s="28"/>
    </row>
    <row r="1211" spans="1:18" outlineLevel="1">
      <c r="A1211" s="24" t="str">
        <f t="shared" si="296"/>
        <v>GERAL</v>
      </c>
      <c r="B1211" s="24" t="str">
        <f t="shared" si="297"/>
        <v>141º PAV. - LAZER 06</v>
      </c>
      <c r="C1211" s="30" t="s">
        <v>221</v>
      </c>
      <c r="D1211" s="86" t="s">
        <v>87</v>
      </c>
      <c r="E1211" s="30" t="s">
        <v>180</v>
      </c>
      <c r="F1211" s="30">
        <f>'Lazer 6'!E34</f>
        <v>52.4</v>
      </c>
      <c r="G1211" s="30">
        <v>1</v>
      </c>
      <c r="H1211" s="25">
        <v>0</v>
      </c>
      <c r="I1211" s="25">
        <f t="shared" si="298"/>
        <v>52.4</v>
      </c>
      <c r="J1211" s="25" t="str">
        <f>'Lazer 6'!F34</f>
        <v>m</v>
      </c>
      <c r="K1211" s="26">
        <f>_xlfn.XLOOKUP($E1211,PREÇO!$C$7:$C$91,PREÇO!$E$7:$E$91)</f>
        <v>1.59</v>
      </c>
      <c r="L1211" s="66">
        <f>IF(SUM(F1211:K1211)=0,SUMIFS($L1212:$L$1593,$B1212:$B$1593,$B1211,$A1212:$A$1593,$A1211),I1211*K1211)</f>
        <v>83.316000000000003</v>
      </c>
      <c r="N1211"/>
      <c r="O1211"/>
      <c r="P1211" s="28"/>
      <c r="Q1211" s="28"/>
      <c r="R1211" s="28"/>
    </row>
    <row r="1212" spans="1:18" outlineLevel="1">
      <c r="A1212" s="24" t="str">
        <f t="shared" si="296"/>
        <v>GERAL</v>
      </c>
      <c r="B1212" s="24" t="str">
        <f t="shared" si="297"/>
        <v>141º PAV. - LAZER 06</v>
      </c>
      <c r="C1212" s="30" t="s">
        <v>221</v>
      </c>
      <c r="D1212" s="86" t="s">
        <v>87</v>
      </c>
      <c r="E1212" s="30" t="s">
        <v>181</v>
      </c>
      <c r="F1212" s="30">
        <f>'Lazer 6'!E35</f>
        <v>52.4</v>
      </c>
      <c r="G1212" s="30">
        <v>1</v>
      </c>
      <c r="H1212" s="25">
        <v>0</v>
      </c>
      <c r="I1212" s="25">
        <f t="shared" si="298"/>
        <v>52.4</v>
      </c>
      <c r="J1212" s="25" t="str">
        <f>'Lazer 6'!F35</f>
        <v>m</v>
      </c>
      <c r="K1212" s="26">
        <f>_xlfn.XLOOKUP($E1212,PREÇO!$C$7:$C$91,PREÇO!$E$7:$E$91)</f>
        <v>1.59</v>
      </c>
      <c r="L1212" s="66">
        <f>IF(SUM(F1212:K1212)=0,SUMIFS($L1213:$L$1593,$B1213:$B$1593,$B1212,$A1213:$A$1593,$A1212),I1212*K1212)</f>
        <v>83.316000000000003</v>
      </c>
      <c r="N1212"/>
      <c r="O1212"/>
      <c r="P1212" s="28"/>
      <c r="Q1212" s="28"/>
      <c r="R1212" s="28"/>
    </row>
    <row r="1213" spans="1:18" outlineLevel="1">
      <c r="A1213" s="24" t="str">
        <f t="shared" si="296"/>
        <v>GERAL</v>
      </c>
      <c r="B1213" s="24" t="str">
        <f t="shared" si="297"/>
        <v>141º PAV. - LAZER 06</v>
      </c>
      <c r="C1213" s="30" t="s">
        <v>221</v>
      </c>
      <c r="D1213" s="86" t="s">
        <v>87</v>
      </c>
      <c r="E1213" s="30" t="s">
        <v>182</v>
      </c>
      <c r="F1213" s="30">
        <f>'Lazer 6'!E36</f>
        <v>29.42</v>
      </c>
      <c r="G1213" s="30">
        <v>1</v>
      </c>
      <c r="H1213" s="25">
        <v>0</v>
      </c>
      <c r="I1213" s="25">
        <f t="shared" si="298"/>
        <v>29.42</v>
      </c>
      <c r="J1213" s="25" t="str">
        <f>'Lazer 6'!F36</f>
        <v>m</v>
      </c>
      <c r="K1213" s="26">
        <f>_xlfn.XLOOKUP($E1213,PREÇO!$C$7:$C$91,PREÇO!$E$7:$E$91)</f>
        <v>2.19</v>
      </c>
      <c r="L1213" s="66">
        <f>IF(SUM(F1213:K1213)=0,SUMIFS($L1214:$L$1593,$B1214:$B$1593,$B1213,$A1214:$A$1593,$A1213),I1213*K1213)</f>
        <v>64.4298</v>
      </c>
      <c r="N1213"/>
      <c r="O1213"/>
      <c r="P1213" s="28"/>
      <c r="Q1213" s="28"/>
      <c r="R1213" s="28"/>
    </row>
    <row r="1214" spans="1:18" outlineLevel="1">
      <c r="A1214" s="24" t="str">
        <f t="shared" si="296"/>
        <v>GERAL</v>
      </c>
      <c r="B1214" s="24" t="str">
        <f t="shared" si="297"/>
        <v>141º PAV. - LAZER 06</v>
      </c>
      <c r="C1214" s="30" t="s">
        <v>221</v>
      </c>
      <c r="D1214" s="86" t="s">
        <v>87</v>
      </c>
      <c r="E1214" s="30" t="s">
        <v>183</v>
      </c>
      <c r="F1214" s="30">
        <f>'Lazer 6'!E37</f>
        <v>168.15</v>
      </c>
      <c r="G1214" s="30">
        <v>1</v>
      </c>
      <c r="H1214" s="25">
        <v>0</v>
      </c>
      <c r="I1214" s="25">
        <f t="shared" si="298"/>
        <v>168.15</v>
      </c>
      <c r="J1214" s="25" t="str">
        <f>'Lazer 6'!F37</f>
        <v>m</v>
      </c>
      <c r="K1214" s="26">
        <f>_xlfn.XLOOKUP($E1214,PREÇO!$C$7:$C$91,PREÇO!$E$7:$E$91)</f>
        <v>2.19</v>
      </c>
      <c r="L1214" s="66">
        <f>IF(SUM(F1214:K1214)=0,SUMIFS($L1215:$L$1593,$B1215:$B$1593,$B1214,$A1215:$A$1593,$A1214),I1214*K1214)</f>
        <v>368.24849999999998</v>
      </c>
      <c r="N1214"/>
      <c r="O1214"/>
      <c r="P1214" s="28"/>
      <c r="Q1214" s="28"/>
      <c r="R1214" s="28"/>
    </row>
    <row r="1215" spans="1:18" outlineLevel="1">
      <c r="A1215" s="24" t="str">
        <f t="shared" si="296"/>
        <v>GERAL</v>
      </c>
      <c r="B1215" s="24" t="str">
        <f t="shared" si="297"/>
        <v>141º PAV. - LAZER 06</v>
      </c>
      <c r="C1215" s="30" t="s">
        <v>221</v>
      </c>
      <c r="D1215" s="86" t="s">
        <v>87</v>
      </c>
      <c r="E1215" s="30" t="s">
        <v>184</v>
      </c>
      <c r="F1215" s="30">
        <f>'Lazer 6'!E38</f>
        <v>168.15</v>
      </c>
      <c r="G1215" s="30">
        <v>1</v>
      </c>
      <c r="H1215" s="25">
        <v>0</v>
      </c>
      <c r="I1215" s="25">
        <f t="shared" si="298"/>
        <v>168.15</v>
      </c>
      <c r="J1215" s="25" t="str">
        <f>'Lazer 6'!F38</f>
        <v>m</v>
      </c>
      <c r="K1215" s="26">
        <f>_xlfn.XLOOKUP($E1215,PREÇO!$C$7:$C$91,PREÇO!$E$7:$E$91)</f>
        <v>2.19</v>
      </c>
      <c r="L1215" s="66">
        <f>IF(SUM(F1215:K1215)=0,SUMIFS($L1216:$L$1593,$B1216:$B$1593,$B1215,$A1216:$A$1593,$A1215),I1215*K1215)</f>
        <v>368.24849999999998</v>
      </c>
      <c r="N1215"/>
      <c r="O1215"/>
      <c r="P1215" s="28"/>
      <c r="Q1215" s="28"/>
      <c r="R1215" s="28"/>
    </row>
    <row r="1216" spans="1:18" outlineLevel="1">
      <c r="A1216" s="24" t="str">
        <f t="shared" si="296"/>
        <v>GERAL</v>
      </c>
      <c r="B1216" s="24" t="str">
        <f t="shared" si="297"/>
        <v>141º PAV. - LAZER 06</v>
      </c>
      <c r="C1216" s="30" t="s">
        <v>221</v>
      </c>
      <c r="D1216" s="86" t="s">
        <v>87</v>
      </c>
      <c r="E1216" s="30" t="s">
        <v>205</v>
      </c>
      <c r="F1216" s="30">
        <f>'Lazer 6'!E39</f>
        <v>9.4</v>
      </c>
      <c r="G1216" s="30">
        <v>1</v>
      </c>
      <c r="H1216" s="25">
        <v>0</v>
      </c>
      <c r="I1216" s="25">
        <f t="shared" ref="I1216:I1223" si="299">(F1216+H1216*F1216)*G1216</f>
        <v>9.4</v>
      </c>
      <c r="J1216" s="25" t="str">
        <f>'Lazer 6'!F39</f>
        <v>m</v>
      </c>
      <c r="K1216" s="26">
        <f>_xlfn.XLOOKUP($E1216,PREÇO!$C$7:$C$91,PREÇO!$E$7:$E$91)</f>
        <v>3.89</v>
      </c>
      <c r="L1216" s="66">
        <f>IF(SUM(F1216:K1216)=0,SUMIFS($L1217:$L$1593,$B1217:$B$1593,$B1216,$A1217:$A$1593,$A1216),I1216*K1216)</f>
        <v>36.566000000000003</v>
      </c>
      <c r="N1216"/>
      <c r="O1216"/>
      <c r="P1216" s="28"/>
      <c r="Q1216" s="28"/>
      <c r="R1216" s="28"/>
    </row>
    <row r="1217" spans="1:18" outlineLevel="1">
      <c r="A1217" s="24" t="str">
        <f t="shared" si="296"/>
        <v>GERAL</v>
      </c>
      <c r="B1217" s="24" t="str">
        <f t="shared" si="297"/>
        <v>141º PAV. - LAZER 06</v>
      </c>
      <c r="C1217" s="30" t="s">
        <v>221</v>
      </c>
      <c r="D1217" s="86" t="s">
        <v>87</v>
      </c>
      <c r="E1217" s="30" t="s">
        <v>206</v>
      </c>
      <c r="F1217" s="30">
        <f>'Lazer 6'!E40</f>
        <v>9.4</v>
      </c>
      <c r="G1217" s="30">
        <v>1</v>
      </c>
      <c r="H1217" s="25">
        <v>0</v>
      </c>
      <c r="I1217" s="25">
        <f t="shared" si="299"/>
        <v>9.4</v>
      </c>
      <c r="J1217" s="25" t="str">
        <f>'Lazer 6'!F40</f>
        <v>m</v>
      </c>
      <c r="K1217" s="26">
        <f>_xlfn.XLOOKUP($E1217,PREÇO!$C$7:$C$91,PREÇO!$E$7:$E$91)</f>
        <v>3.89</v>
      </c>
      <c r="L1217" s="66">
        <f>IF(SUM(F1217:K1217)=0,SUMIFS($L1218:$L$1593,$B1218:$B$1593,$B1217,$A1218:$A$1593,$A1217),I1217*K1217)</f>
        <v>36.566000000000003</v>
      </c>
      <c r="N1217"/>
      <c r="O1217"/>
      <c r="P1217" s="28"/>
      <c r="Q1217" s="28"/>
      <c r="R1217" s="28"/>
    </row>
    <row r="1218" spans="1:18" outlineLevel="1">
      <c r="A1218" s="24" t="str">
        <f t="shared" si="296"/>
        <v>GERAL</v>
      </c>
      <c r="B1218" s="24" t="str">
        <f t="shared" si="297"/>
        <v>141º PAV. - LAZER 06</v>
      </c>
      <c r="C1218" s="30" t="s">
        <v>221</v>
      </c>
      <c r="D1218" s="86" t="s">
        <v>46</v>
      </c>
      <c r="E1218" s="30" t="s">
        <v>44</v>
      </c>
      <c r="F1218" s="30">
        <f>'Lazer 6'!E44</f>
        <v>15.17</v>
      </c>
      <c r="G1218" s="30">
        <v>1</v>
      </c>
      <c r="H1218" s="25">
        <v>0</v>
      </c>
      <c r="I1218" s="25">
        <f t="shared" si="299"/>
        <v>15.17</v>
      </c>
      <c r="J1218" s="25" t="str">
        <f>'Lazer 6'!F44</f>
        <v>m</v>
      </c>
      <c r="K1218" s="26">
        <f>_xlfn.XLOOKUP($E1218,PREÇO!$C$7:$C$91,PREÇO!$E$7:$E$91)</f>
        <v>2.5299999999999998</v>
      </c>
      <c r="L1218" s="66">
        <f>IF(SUM(F1218:K1218)=0,SUMIFS($L1219:$L$1593,$B1219:$B$1593,$B1218,$A1219:$A$1593,$A1218),I1218*K1218)</f>
        <v>38.380099999999999</v>
      </c>
      <c r="N1218"/>
      <c r="O1218"/>
      <c r="P1218" s="28"/>
      <c r="Q1218" s="28"/>
      <c r="R1218" s="28"/>
    </row>
    <row r="1219" spans="1:18" outlineLevel="1">
      <c r="A1219" s="24" t="str">
        <f t="shared" si="296"/>
        <v>GERAL</v>
      </c>
      <c r="B1219" s="24" t="str">
        <f t="shared" si="297"/>
        <v>141º PAV. - LAZER 06</v>
      </c>
      <c r="C1219" s="30" t="s">
        <v>221</v>
      </c>
      <c r="D1219" s="86" t="s">
        <v>46</v>
      </c>
      <c r="E1219" s="30" t="s">
        <v>45</v>
      </c>
      <c r="F1219" s="30">
        <f>'Lazer 6'!E45</f>
        <v>1.1000000000000001</v>
      </c>
      <c r="G1219" s="30">
        <v>1</v>
      </c>
      <c r="H1219" s="25">
        <v>0</v>
      </c>
      <c r="I1219" s="25">
        <f t="shared" si="299"/>
        <v>1.1000000000000001</v>
      </c>
      <c r="J1219" s="25" t="str">
        <f>'Lazer 6'!F45</f>
        <v>m</v>
      </c>
      <c r="K1219" s="26">
        <f>_xlfn.XLOOKUP($E1219,PREÇO!$C$7:$C$91,PREÇO!$E$7:$E$91)</f>
        <v>1.8</v>
      </c>
      <c r="L1219" s="66">
        <f>IF(SUM(F1219:K1219)=0,SUMIFS($L1220:$L$1593,$B1220:$B$1593,$B1219,$A1220:$A$1593,$A1219),I1219*K1219)</f>
        <v>1.9800000000000002</v>
      </c>
      <c r="N1219"/>
      <c r="O1219"/>
      <c r="P1219" s="28"/>
      <c r="Q1219" s="28"/>
      <c r="R1219" s="28"/>
    </row>
    <row r="1220" spans="1:18" outlineLevel="1">
      <c r="A1220" s="24" t="str">
        <f t="shared" si="296"/>
        <v>GERAL</v>
      </c>
      <c r="B1220" s="24" t="str">
        <f t="shared" si="297"/>
        <v>141º PAV. - LAZER 06</v>
      </c>
      <c r="C1220" s="30" t="s">
        <v>221</v>
      </c>
      <c r="D1220" s="86" t="s">
        <v>89</v>
      </c>
      <c r="E1220" s="30" t="s">
        <v>185</v>
      </c>
      <c r="F1220" s="30">
        <f>'Lazer 6'!E48</f>
        <v>15.17</v>
      </c>
      <c r="G1220" s="30">
        <v>1</v>
      </c>
      <c r="H1220" s="25">
        <v>0</v>
      </c>
      <c r="I1220" s="25">
        <f t="shared" si="299"/>
        <v>15.17</v>
      </c>
      <c r="J1220" s="25" t="str">
        <f>'Lazer 6'!F48</f>
        <v>m</v>
      </c>
      <c r="K1220" s="26">
        <f>_xlfn.XLOOKUP($E1220,PREÇO!$C$7:$C$91,PREÇO!$E$7:$E$91)</f>
        <v>0.99</v>
      </c>
      <c r="L1220" s="66">
        <f>IF(SUM(F1220:K1220)=0,SUMIFS($L1221:$L$1593,$B1221:$B$1593,$B1220,$A1221:$A$1593,$A1220),I1220*K1220)</f>
        <v>15.0183</v>
      </c>
      <c r="N1220"/>
      <c r="O1220"/>
      <c r="P1220" s="28"/>
      <c r="Q1220" s="28"/>
      <c r="R1220" s="28"/>
    </row>
    <row r="1221" spans="1:18" ht="15.75" outlineLevel="1" thickBot="1">
      <c r="A1221" s="24" t="str">
        <f t="shared" si="296"/>
        <v>GERAL</v>
      </c>
      <c r="B1221" s="24" t="str">
        <f t="shared" si="297"/>
        <v>141º PAV. - LAZER 06</v>
      </c>
      <c r="C1221" s="30" t="s">
        <v>221</v>
      </c>
      <c r="D1221" s="86" t="s">
        <v>89</v>
      </c>
      <c r="E1221" s="30" t="s">
        <v>186</v>
      </c>
      <c r="F1221" s="30">
        <f>'Lazer 6'!E49</f>
        <v>10.97</v>
      </c>
      <c r="G1221" s="30">
        <v>1</v>
      </c>
      <c r="H1221" s="25">
        <v>0</v>
      </c>
      <c r="I1221" s="25">
        <f t="shared" si="299"/>
        <v>10.97</v>
      </c>
      <c r="J1221" s="25" t="str">
        <f>'Lazer 6'!F49</f>
        <v>m</v>
      </c>
      <c r="K1221" s="26">
        <f>_xlfn.XLOOKUP($E1221,PREÇO!$C$7:$C$91,PREÇO!$E$7:$E$91)</f>
        <v>1.69</v>
      </c>
      <c r="L1221" s="66">
        <f>IF(SUM(F1221:K1221)=0,SUMIFS($L1222:$L$1593,$B1222:$B$1593,$B1221,$A1222:$A$1593,$A1221),I1221*K1221)</f>
        <v>18.539300000000001</v>
      </c>
      <c r="N1221"/>
      <c r="O1221"/>
      <c r="P1221" s="28"/>
      <c r="Q1221" s="28"/>
      <c r="R1221" s="28"/>
    </row>
    <row r="1222" spans="1:18" ht="15.75" thickTop="1">
      <c r="A1222" s="87" t="s">
        <v>19</v>
      </c>
      <c r="B1222" s="82" t="s">
        <v>204</v>
      </c>
      <c r="C1222" s="43"/>
      <c r="D1222" s="44" t="str">
        <f>'Lazer 6'!C50</f>
        <v/>
      </c>
      <c r="E1222" s="44" t="str">
        <f>'Lazer 6'!D50</f>
        <v/>
      </c>
      <c r="F1222" s="45" t="str">
        <f>'Lazer 6'!E50</f>
        <v/>
      </c>
      <c r="G1222" s="45"/>
      <c r="H1222" s="45"/>
      <c r="I1222" s="45"/>
      <c r="J1222" s="45" t="str">
        <f>'Lazer 6'!F50</f>
        <v/>
      </c>
      <c r="K1222" s="47"/>
      <c r="L1222" s="48">
        <f>IF(SUM(F1222:K1222)=0,SUMIFS($L1223:$L$1593,$B1223:$B$1593,$B1222,$A1223:$A$1593,$A1222),I1222*K1222)</f>
        <v>8936.1895000000022</v>
      </c>
      <c r="N1222"/>
      <c r="O1222"/>
      <c r="P1222" s="28"/>
      <c r="Q1222" s="28"/>
      <c r="R1222" s="28"/>
    </row>
    <row r="1223" spans="1:18" outlineLevel="1">
      <c r="A1223" s="24" t="str">
        <f>A1222</f>
        <v>GERAL</v>
      </c>
      <c r="B1223" s="24" t="str">
        <f>B1222</f>
        <v>142º PAV. - TERRAÇO TÉCNICO</v>
      </c>
      <c r="C1223" s="30" t="s">
        <v>221</v>
      </c>
      <c r="D1223" s="30" t="str">
        <f>'Técnico 9'!C6</f>
        <v>Acionadores</v>
      </c>
      <c r="E1223" s="30" t="str">
        <f>'Técnico 9'!D6</f>
        <v>Acionador Manual de Alarme de Incêndio</v>
      </c>
      <c r="F1223" s="30">
        <f>'Técnico 9'!E6</f>
        <v>1</v>
      </c>
      <c r="G1223" s="30">
        <v>1</v>
      </c>
      <c r="H1223" s="25">
        <v>0</v>
      </c>
      <c r="I1223" s="25">
        <f t="shared" si="299"/>
        <v>1</v>
      </c>
      <c r="J1223" s="25" t="str">
        <f>'Técnico 9'!F6</f>
        <v>pç</v>
      </c>
      <c r="K1223" s="26">
        <f>_xlfn.XLOOKUP($E1223,PREÇO!$C$7:$C$91,PREÇO!$E$7:$E$91)</f>
        <v>65</v>
      </c>
      <c r="L1223" s="66">
        <f>IF(SUM(F1223:K1223)=0,SUMIFS($L1224:$L$1593,$B1224:$B$1593,$B1223,$A1224:$A$1593,$A1223),I1223*K1223)</f>
        <v>65</v>
      </c>
      <c r="N1223"/>
      <c r="O1223"/>
      <c r="P1223" s="28"/>
      <c r="Q1223" s="28"/>
      <c r="R1223" s="28"/>
    </row>
    <row r="1224" spans="1:18" outlineLevel="1">
      <c r="A1224" s="24" t="str">
        <f t="shared" ref="A1224:A1256" si="300">A1223</f>
        <v>GERAL</v>
      </c>
      <c r="B1224" s="24" t="str">
        <f t="shared" ref="B1224:B1256" si="301">B1223</f>
        <v>142º PAV. - TERRAÇO TÉCNICO</v>
      </c>
      <c r="C1224" s="30" t="s">
        <v>221</v>
      </c>
      <c r="D1224" s="30" t="str">
        <f>'Técnico 9'!C7</f>
        <v>Anunciadores</v>
      </c>
      <c r="E1224" s="30" t="str">
        <f>'Técnico 9'!D7</f>
        <v>Anunciador Audiovisual de Alarme de Incêndio de Parede</v>
      </c>
      <c r="F1224" s="30">
        <f>'Técnico 9'!E7</f>
        <v>1</v>
      </c>
      <c r="G1224" s="30">
        <v>1</v>
      </c>
      <c r="H1224" s="25">
        <v>0</v>
      </c>
      <c r="I1224" s="25">
        <f t="shared" ref="I1224:I1256" si="302">(F1224+H1224*F1224)*G1224</f>
        <v>1</v>
      </c>
      <c r="J1224" s="25" t="str">
        <f>'Técnico 9'!F7</f>
        <v>pç</v>
      </c>
      <c r="K1224" s="26">
        <f>_xlfn.XLOOKUP($E1224,PREÇO!$C$7:$C$91,PREÇO!$E$7:$E$91)</f>
        <v>191.81</v>
      </c>
      <c r="L1224" s="66">
        <f>IF(SUM(F1224:K1224)=0,SUMIFS($L1225:$L$1593,$B1225:$B$1593,$B1224,$A1225:$A$1593,$A1224),I1224*K1224)</f>
        <v>191.81</v>
      </c>
      <c r="N1224"/>
      <c r="O1224"/>
      <c r="P1224" s="28"/>
      <c r="Q1224" s="28"/>
      <c r="R1224" s="28"/>
    </row>
    <row r="1225" spans="1:18" outlineLevel="1">
      <c r="A1225" s="24" t="str">
        <f t="shared" si="300"/>
        <v>GERAL</v>
      </c>
      <c r="B1225" s="24" t="str">
        <f t="shared" si="301"/>
        <v>142º PAV. - TERRAÇO TÉCNICO</v>
      </c>
      <c r="C1225" s="30" t="s">
        <v>221</v>
      </c>
      <c r="D1225" s="30" t="str">
        <f>'Técnico 9'!C8</f>
        <v>Atuadores</v>
      </c>
      <c r="E1225" s="30" t="str">
        <f>'Técnico 9'!D8</f>
        <v>Atuador Janela Desenfumagem</v>
      </c>
      <c r="F1225" s="30">
        <f>'Técnico 9'!E8</f>
        <v>1</v>
      </c>
      <c r="G1225" s="30">
        <v>1</v>
      </c>
      <c r="H1225" s="25">
        <v>0</v>
      </c>
      <c r="I1225" s="25">
        <f t="shared" si="302"/>
        <v>1</v>
      </c>
      <c r="J1225" s="25" t="str">
        <f>'Técnico 9'!F8</f>
        <v>pç</v>
      </c>
      <c r="K1225" s="26">
        <f>_xlfn.XLOOKUP($E1225,PREÇO!$C$7:$C$91,PREÇO!$E$7:$E$91)</f>
        <v>1150</v>
      </c>
      <c r="L1225" s="66">
        <f>IF(SUM(F1225:K1225)=0,SUMIFS($L1226:$L$1593,$B1226:$B$1593,$B1225,$A1226:$A$1593,$A1225),I1225*K1225)</f>
        <v>1150</v>
      </c>
      <c r="N1225"/>
      <c r="O1225"/>
      <c r="P1225" s="28"/>
      <c r="Q1225" s="28"/>
      <c r="R1225" s="28"/>
    </row>
    <row r="1226" spans="1:18" outlineLevel="1">
      <c r="A1226" s="24" t="str">
        <f t="shared" si="300"/>
        <v>GERAL</v>
      </c>
      <c r="B1226" s="24" t="str">
        <f t="shared" si="301"/>
        <v>142º PAV. - TERRAÇO TÉCNICO</v>
      </c>
      <c r="C1226" s="30" t="s">
        <v>221</v>
      </c>
      <c r="D1226" s="30" t="str">
        <f>'Técnico 9'!C9</f>
        <v>Central de Alarme</v>
      </c>
      <c r="E1226" s="30" t="str">
        <f>'Técnico 9'!D9</f>
        <v>Central de Alarme de Incêndio</v>
      </c>
      <c r="F1226" s="30">
        <f>'Técnico 9'!E9</f>
        <v>1</v>
      </c>
      <c r="G1226" s="30">
        <v>1</v>
      </c>
      <c r="H1226" s="25">
        <v>0</v>
      </c>
      <c r="I1226" s="25">
        <f t="shared" si="302"/>
        <v>1</v>
      </c>
      <c r="J1226" s="25" t="str">
        <f>'Técnico 9'!F9</f>
        <v>pç</v>
      </c>
      <c r="K1226" s="26">
        <f>_xlfn.XLOOKUP($E1226,PREÇO!$C$7:$C$91,PREÇO!$E$7:$E$91)</f>
        <v>855.86</v>
      </c>
      <c r="L1226" s="66">
        <f>IF(SUM(F1226:K1226)=0,SUMIFS($L1227:$L$1593,$B1227:$B$1593,$B1226,$A1227:$A$1593,$A1226),I1226*K1226)</f>
        <v>855.86</v>
      </c>
      <c r="N1226"/>
      <c r="O1226"/>
      <c r="P1226" s="28"/>
      <c r="Q1226" s="28"/>
      <c r="R1226" s="28"/>
    </row>
    <row r="1227" spans="1:18" outlineLevel="1">
      <c r="A1227" s="24" t="str">
        <f t="shared" si="300"/>
        <v>GERAL</v>
      </c>
      <c r="B1227" s="24" t="str">
        <f t="shared" si="301"/>
        <v>142º PAV. - TERRAÇO TÉCNICO</v>
      </c>
      <c r="C1227" s="30" t="s">
        <v>221</v>
      </c>
      <c r="D1227" s="30" t="str">
        <f>'Técnico 9'!C10</f>
        <v>Sensores</v>
      </c>
      <c r="E1227" s="30" t="str">
        <f>'Técnico 9'!D10</f>
        <v>Sensor de Fumaça</v>
      </c>
      <c r="F1227" s="30">
        <f>'Técnico 9'!E10</f>
        <v>7</v>
      </c>
      <c r="G1227" s="30">
        <v>1</v>
      </c>
      <c r="H1227" s="25">
        <v>0</v>
      </c>
      <c r="I1227" s="25">
        <f t="shared" si="302"/>
        <v>7</v>
      </c>
      <c r="J1227" s="25" t="str">
        <f>'Técnico 9'!F10</f>
        <v>pç</v>
      </c>
      <c r="K1227" s="26">
        <f>_xlfn.XLOOKUP($E1227,PREÇO!$C$7:$C$91,PREÇO!$E$7:$E$91)</f>
        <v>53.9</v>
      </c>
      <c r="L1227" s="66">
        <f>IF(SUM(F1227:K1227)=0,SUMIFS($L1228:$L$1593,$B1228:$B$1593,$B1227,$A1228:$A$1593,$A1227),I1227*K1227)</f>
        <v>377.3</v>
      </c>
      <c r="N1227"/>
      <c r="O1227"/>
      <c r="P1227" s="28"/>
      <c r="Q1227" s="28"/>
      <c r="R1227" s="28"/>
    </row>
    <row r="1228" spans="1:18" outlineLevel="1">
      <c r="A1228" s="24" t="str">
        <f t="shared" si="300"/>
        <v>GERAL</v>
      </c>
      <c r="B1228" s="24" t="str">
        <f t="shared" si="301"/>
        <v>142º PAV. - TERRAÇO TÉCNICO</v>
      </c>
      <c r="C1228" s="30" t="s">
        <v>221</v>
      </c>
      <c r="D1228" s="30" t="str">
        <f>'Técnico 9'!C13</f>
        <v>Caixas</v>
      </c>
      <c r="E1228" s="30" t="str">
        <f>'Técnico 9'!D13</f>
        <v>Caixa Octogonal Padrão NBR IEC 60670</v>
      </c>
      <c r="F1228" s="30">
        <f>'Técnico 9'!E13</f>
        <v>22</v>
      </c>
      <c r="G1228" s="30">
        <v>1</v>
      </c>
      <c r="H1228" s="25">
        <v>0</v>
      </c>
      <c r="I1228" s="25">
        <f t="shared" si="302"/>
        <v>22</v>
      </c>
      <c r="J1228" s="25" t="str">
        <f>'Técnico 9'!F13</f>
        <v>pç</v>
      </c>
      <c r="K1228" s="26">
        <f>_xlfn.XLOOKUP($E1228,PREÇO!$C$7:$C$91,PREÇO!$E$7:$E$91)</f>
        <v>5.32</v>
      </c>
      <c r="L1228" s="66">
        <f>IF(SUM(F1228:K1228)=0,SUMIFS($L1229:$L$1593,$B1229:$B$1593,$B1228,$A1229:$A$1593,$A1228),I1228*K1228)</f>
        <v>117.04</v>
      </c>
      <c r="N1228"/>
      <c r="O1228"/>
      <c r="P1228" s="28"/>
      <c r="Q1228" s="28"/>
      <c r="R1228" s="28"/>
    </row>
    <row r="1229" spans="1:18" outlineLevel="1">
      <c r="A1229" s="24" t="str">
        <f t="shared" si="300"/>
        <v>GERAL</v>
      </c>
      <c r="B1229" s="24" t="str">
        <f t="shared" si="301"/>
        <v>142º PAV. - TERRAÇO TÉCNICO</v>
      </c>
      <c r="C1229" s="30" t="s">
        <v>221</v>
      </c>
      <c r="D1229" s="30" t="str">
        <f>'Técnico 9'!C14</f>
        <v>Placas</v>
      </c>
      <c r="E1229" s="30" t="str">
        <f>'Técnico 9'!D14</f>
        <v>Placa cega para caixa octogonal Padrão NBR IEC 60670</v>
      </c>
      <c r="F1229" s="30">
        <f>'Técnico 9'!E14</f>
        <v>2</v>
      </c>
      <c r="G1229" s="30">
        <v>1</v>
      </c>
      <c r="H1229" s="25">
        <v>0</v>
      </c>
      <c r="I1229" s="25">
        <f t="shared" si="302"/>
        <v>2</v>
      </c>
      <c r="J1229" s="25" t="str">
        <f>'Técnico 9'!F14</f>
        <v>pç</v>
      </c>
      <c r="K1229" s="26">
        <f>_xlfn.XLOOKUP($E1229,PREÇO!$C$7:$C$91,PREÇO!$E$7:$E$91)</f>
        <v>2.5</v>
      </c>
      <c r="L1229" s="66">
        <f>IF(SUM(F1229:K1229)=0,SUMIFS($L1230:$L$1593,$B1230:$B$1593,$B1229,$A1230:$A$1593,$A1229),I1229*K1229)</f>
        <v>5</v>
      </c>
      <c r="N1229"/>
      <c r="O1229"/>
      <c r="P1229" s="28"/>
      <c r="Q1229" s="28"/>
      <c r="R1229" s="28"/>
    </row>
    <row r="1230" spans="1:18" outlineLevel="1">
      <c r="A1230" s="24" t="str">
        <f t="shared" si="300"/>
        <v>GERAL</v>
      </c>
      <c r="B1230" s="24" t="str">
        <f t="shared" si="301"/>
        <v>142º PAV. - TERRAÇO TÉCNICO</v>
      </c>
      <c r="C1230" s="30" t="s">
        <v>221</v>
      </c>
      <c r="D1230" s="30" t="str">
        <f>'Técnico 9'!C17</f>
        <v>Caixas</v>
      </c>
      <c r="E1230" s="30" t="str">
        <f>'Técnico 9'!D17</f>
        <v>Caixa 4x2" de Embutir em PVC Padrão NBR IEC 60670</v>
      </c>
      <c r="F1230" s="30">
        <f>'Técnico 9'!E17</f>
        <v>25</v>
      </c>
      <c r="G1230" s="30">
        <v>1</v>
      </c>
      <c r="H1230" s="25">
        <v>0</v>
      </c>
      <c r="I1230" s="25">
        <f t="shared" si="302"/>
        <v>25</v>
      </c>
      <c r="J1230" s="25" t="str">
        <f>'Técnico 9'!F17</f>
        <v>pç</v>
      </c>
      <c r="K1230" s="26">
        <f>_xlfn.XLOOKUP($E1230,PREÇO!$C$7:$C$91,PREÇO!$E$7:$E$91)</f>
        <v>1.72</v>
      </c>
      <c r="L1230" s="66">
        <f>IF(SUM(F1230:K1230)=0,SUMIFS($L1231:$L$1593,$B1231:$B$1593,$B1230,$A1231:$A$1593,$A1230),I1230*K1230)</f>
        <v>43</v>
      </c>
      <c r="N1230"/>
      <c r="O1230"/>
      <c r="P1230" s="28"/>
      <c r="Q1230" s="28"/>
      <c r="R1230" s="28"/>
    </row>
    <row r="1231" spans="1:18" outlineLevel="1">
      <c r="A1231" s="24" t="str">
        <f t="shared" si="300"/>
        <v>GERAL</v>
      </c>
      <c r="B1231" s="24" t="str">
        <f t="shared" si="301"/>
        <v>142º PAV. - TERRAÇO TÉCNICO</v>
      </c>
      <c r="C1231" s="30" t="s">
        <v>221</v>
      </c>
      <c r="D1231" s="30" t="str">
        <f>'Técnico 9'!C18</f>
        <v>Caixas</v>
      </c>
      <c r="E1231" s="30" t="str">
        <f>'Técnico 9'!D18</f>
        <v>Caixa 4x4" de Embutir em PVC Padrão NBR IEC 60670</v>
      </c>
      <c r="F1231" s="30">
        <f>'Técnico 9'!E18</f>
        <v>2</v>
      </c>
      <c r="G1231" s="30">
        <v>1</v>
      </c>
      <c r="H1231" s="25">
        <v>0</v>
      </c>
      <c r="I1231" s="25">
        <f t="shared" si="302"/>
        <v>2</v>
      </c>
      <c r="J1231" s="25" t="str">
        <f>'Técnico 9'!F18</f>
        <v>pç</v>
      </c>
      <c r="K1231" s="26">
        <f>_xlfn.XLOOKUP($E1231,PREÇO!$C$7:$C$91,PREÇO!$E$7:$E$91)</f>
        <v>1.72</v>
      </c>
      <c r="L1231" s="66">
        <f>IF(SUM(F1231:K1231)=0,SUMIFS($L1232:$L$1593,$B1232:$B$1593,$B1231,$A1232:$A$1593,$A1231),I1231*K1231)</f>
        <v>3.44</v>
      </c>
      <c r="N1231"/>
      <c r="O1231"/>
      <c r="P1231" s="28"/>
      <c r="Q1231" s="28"/>
      <c r="R1231" s="28"/>
    </row>
    <row r="1232" spans="1:18" outlineLevel="1">
      <c r="A1232" s="24" t="str">
        <f t="shared" si="300"/>
        <v>GERAL</v>
      </c>
      <c r="B1232" s="24" t="str">
        <f t="shared" si="301"/>
        <v>142º PAV. - TERRAÇO TÉCNICO</v>
      </c>
      <c r="C1232" s="30" t="s">
        <v>221</v>
      </c>
      <c r="D1232" s="30" t="str">
        <f>'Técnico 9'!C19</f>
        <v>Placas</v>
      </c>
      <c r="E1232" s="30" t="str">
        <f>'Técnico 9'!D19</f>
        <v>Placa 4x2" cega Padrão NBR IEC 60670</v>
      </c>
      <c r="F1232" s="30">
        <f>'Técnico 9'!E19</f>
        <v>14</v>
      </c>
      <c r="G1232" s="30">
        <v>1</v>
      </c>
      <c r="H1232" s="25">
        <v>0</v>
      </c>
      <c r="I1232" s="25">
        <f t="shared" si="302"/>
        <v>14</v>
      </c>
      <c r="J1232" s="25" t="str">
        <f>'Técnico 9'!F19</f>
        <v>pç</v>
      </c>
      <c r="K1232" s="26">
        <f>_xlfn.XLOOKUP($E1232,PREÇO!$C$7:$C$91,PREÇO!$E$7:$E$91)</f>
        <v>4.59</v>
      </c>
      <c r="L1232" s="66">
        <f>IF(SUM(F1232:K1232)=0,SUMIFS($L1233:$L$1593,$B1233:$B$1593,$B1232,$A1233:$A$1593,$A1232),I1232*K1232)</f>
        <v>64.259999999999991</v>
      </c>
      <c r="N1232"/>
      <c r="O1232"/>
      <c r="P1232" s="28"/>
      <c r="Q1232" s="28"/>
      <c r="R1232" s="28"/>
    </row>
    <row r="1233" spans="1:18" outlineLevel="1">
      <c r="A1233" s="24" t="str">
        <f t="shared" si="300"/>
        <v>GERAL</v>
      </c>
      <c r="B1233" s="24" t="str">
        <f t="shared" si="301"/>
        <v>142º PAV. - TERRAÇO TÉCNICO</v>
      </c>
      <c r="C1233" s="30" t="s">
        <v>221</v>
      </c>
      <c r="D1233" s="30" t="str">
        <f>'Técnico 9'!C20</f>
        <v>Placas</v>
      </c>
      <c r="E1233" s="30" t="str">
        <f>'Técnico 9'!D20</f>
        <v>Placa 4x2" com furo para saída de cabos Padrão NBR IEC 60670</v>
      </c>
      <c r="F1233" s="30">
        <f>'Técnico 9'!E20</f>
        <v>11</v>
      </c>
      <c r="G1233" s="30">
        <v>1</v>
      </c>
      <c r="H1233" s="25">
        <v>0</v>
      </c>
      <c r="I1233" s="25">
        <f t="shared" si="302"/>
        <v>11</v>
      </c>
      <c r="J1233" s="25" t="str">
        <f>'Técnico 9'!F20</f>
        <v>pç</v>
      </c>
      <c r="K1233" s="26">
        <f>_xlfn.XLOOKUP($E1233,PREÇO!$C$7:$C$91,PREÇO!$E$7:$E$91)</f>
        <v>6.55</v>
      </c>
      <c r="L1233" s="66">
        <f>IF(SUM(F1233:K1233)=0,SUMIFS($L1234:$L$1593,$B1234:$B$1593,$B1233,$A1234:$A$1593,$A1233),I1233*K1233)</f>
        <v>72.05</v>
      </c>
      <c r="N1233"/>
      <c r="O1233"/>
      <c r="P1233" s="28"/>
      <c r="Q1233" s="28"/>
      <c r="R1233" s="28"/>
    </row>
    <row r="1234" spans="1:18" outlineLevel="1">
      <c r="A1234" s="24" t="str">
        <f t="shared" si="300"/>
        <v>GERAL</v>
      </c>
      <c r="B1234" s="24" t="str">
        <f t="shared" si="301"/>
        <v>142º PAV. - TERRAÇO TÉCNICO</v>
      </c>
      <c r="C1234" s="30" t="s">
        <v>221</v>
      </c>
      <c r="D1234" s="30" t="str">
        <f>'Técnico 9'!C21</f>
        <v>Placas</v>
      </c>
      <c r="E1234" s="30" t="str">
        <f>'Técnico 9'!D21</f>
        <v>Placa 4x4" cega Padrão NBR IEC 60670</v>
      </c>
      <c r="F1234" s="30">
        <f>'Técnico 9'!E21</f>
        <v>2</v>
      </c>
      <c r="G1234" s="30">
        <v>1</v>
      </c>
      <c r="H1234" s="25">
        <v>0</v>
      </c>
      <c r="I1234" s="25">
        <f t="shared" si="302"/>
        <v>2</v>
      </c>
      <c r="J1234" s="25" t="str">
        <f>'Técnico 9'!F21</f>
        <v>pç</v>
      </c>
      <c r="K1234" s="26">
        <f>_xlfn.XLOOKUP($E1234,PREÇO!$C$7:$C$91,PREÇO!$E$7:$E$91)</f>
        <v>12.25</v>
      </c>
      <c r="L1234" s="66">
        <f>IF(SUM(F1234:K1234)=0,SUMIFS($L1235:$L$1593,$B1235:$B$1593,$B1234,$A1235:$A$1593,$A1234),I1234*K1234)</f>
        <v>24.5</v>
      </c>
      <c r="N1234"/>
      <c r="O1234"/>
      <c r="P1234" s="28"/>
      <c r="Q1234" s="28"/>
      <c r="R1234" s="28"/>
    </row>
    <row r="1235" spans="1:18" outlineLevel="1">
      <c r="A1235" s="24" t="str">
        <f t="shared" si="300"/>
        <v>GERAL</v>
      </c>
      <c r="B1235" s="24" t="str">
        <f t="shared" si="301"/>
        <v>142º PAV. - TERRAÇO TÉCNICO</v>
      </c>
      <c r="C1235" s="30" t="s">
        <v>221</v>
      </c>
      <c r="D1235" s="30" t="str">
        <f>'Técnico 9'!C22</f>
        <v>Suportes</v>
      </c>
      <c r="E1235" s="30" t="str">
        <f>'Técnico 9'!D22</f>
        <v>Suporte p/ caixa 4x2" Padrão NBR IEC 60670</v>
      </c>
      <c r="F1235" s="30">
        <f>'Técnico 9'!E22</f>
        <v>25</v>
      </c>
      <c r="G1235" s="30">
        <v>1</v>
      </c>
      <c r="H1235" s="25">
        <v>0</v>
      </c>
      <c r="I1235" s="25">
        <f t="shared" si="302"/>
        <v>25</v>
      </c>
      <c r="J1235" s="25" t="str">
        <f>'Técnico 9'!F22</f>
        <v>pç</v>
      </c>
      <c r="K1235" s="26">
        <f>_xlfn.XLOOKUP($E1235,PREÇO!$C$7:$C$91,PREÇO!$E$7:$E$91)</f>
        <v>1.85</v>
      </c>
      <c r="L1235" s="66">
        <f>IF(SUM(F1235:K1235)=0,SUMIFS($L1236:$L$1593,$B1236:$B$1593,$B1235,$A1236:$A$1593,$A1235),I1235*K1235)</f>
        <v>46.25</v>
      </c>
      <c r="N1235"/>
      <c r="O1235"/>
      <c r="P1235" s="28"/>
      <c r="Q1235" s="28"/>
      <c r="R1235" s="28"/>
    </row>
    <row r="1236" spans="1:18" outlineLevel="1">
      <c r="A1236" s="24" t="str">
        <f t="shared" si="300"/>
        <v>GERAL</v>
      </c>
      <c r="B1236" s="24" t="str">
        <f t="shared" si="301"/>
        <v>142º PAV. - TERRAÇO TÉCNICO</v>
      </c>
      <c r="C1236" s="30" t="s">
        <v>221</v>
      </c>
      <c r="D1236" s="30" t="str">
        <f>'Técnico 9'!C23</f>
        <v>Suportes</v>
      </c>
      <c r="E1236" s="30" t="str">
        <f>'Técnico 9'!D23</f>
        <v>Suporte p/ caixa 4x4" Padrão NBR IEC 60670</v>
      </c>
      <c r="F1236" s="30">
        <f>'Técnico 9'!E23</f>
        <v>2</v>
      </c>
      <c r="G1236" s="30">
        <v>1</v>
      </c>
      <c r="H1236" s="25">
        <v>0</v>
      </c>
      <c r="I1236" s="25">
        <f t="shared" si="302"/>
        <v>2</v>
      </c>
      <c r="J1236" s="25" t="str">
        <f>'Técnico 9'!F23</f>
        <v>pç</v>
      </c>
      <c r="K1236" s="26">
        <f>_xlfn.XLOOKUP($E1236,PREÇO!$C$7:$C$91,PREÇO!$E$7:$E$91)</f>
        <v>3.15</v>
      </c>
      <c r="L1236" s="66">
        <f>IF(SUM(F1236:K1236)=0,SUMIFS($L1237:$L$1593,$B1237:$B$1593,$B1236,$A1237:$A$1593,$A1236),I1236*K1236)</f>
        <v>6.3</v>
      </c>
      <c r="N1236"/>
      <c r="O1236"/>
      <c r="P1236" s="28"/>
      <c r="Q1236" s="28"/>
      <c r="R1236" s="28"/>
    </row>
    <row r="1237" spans="1:18" outlineLevel="1">
      <c r="A1237" s="24" t="str">
        <f t="shared" si="300"/>
        <v>GERAL</v>
      </c>
      <c r="B1237" s="24" t="str">
        <f t="shared" si="301"/>
        <v>142º PAV. - TERRAÇO TÉCNICO</v>
      </c>
      <c r="C1237" s="30" t="s">
        <v>221</v>
      </c>
      <c r="D1237" s="30" t="str">
        <f>'Técnico 9'!C26</f>
        <v>Embutir</v>
      </c>
      <c r="E1237" s="30" t="str">
        <f>'Técnico 9'!D26</f>
        <v>Cx de passagem de embutir com dimensão de 50x50x15 cm</v>
      </c>
      <c r="F1237" s="30">
        <f>'Técnico 9'!E26</f>
        <v>1</v>
      </c>
      <c r="G1237" s="30">
        <v>1</v>
      </c>
      <c r="H1237" s="25">
        <v>0</v>
      </c>
      <c r="I1237" s="25">
        <f t="shared" si="302"/>
        <v>1</v>
      </c>
      <c r="J1237" s="25" t="str">
        <f>'Técnico 9'!F26</f>
        <v>pç</v>
      </c>
      <c r="K1237" s="26">
        <f>_xlfn.XLOOKUP($E1237,PREÇO!$C$7:$C$91,PREÇO!$E$7:$E$91)</f>
        <v>291.60000000000002</v>
      </c>
      <c r="L1237" s="66">
        <f>IF(SUM(F1237:K1237)=0,SUMIFS($L1238:$L$1593,$B1238:$B$1593,$B1237,$A1238:$A$1593,$A1237),I1237*K1237)</f>
        <v>291.60000000000002</v>
      </c>
      <c r="N1237"/>
      <c r="O1237"/>
      <c r="P1237" s="28"/>
      <c r="Q1237" s="28"/>
      <c r="R1237" s="28"/>
    </row>
    <row r="1238" spans="1:18" outlineLevel="1">
      <c r="A1238" s="24" t="str">
        <f t="shared" si="300"/>
        <v>GERAL</v>
      </c>
      <c r="B1238" s="24" t="str">
        <f t="shared" si="301"/>
        <v>142º PAV. - TERRAÇO TÉCNICO</v>
      </c>
      <c r="C1238" s="30" t="s">
        <v>221</v>
      </c>
      <c r="D1238" s="86" t="s">
        <v>46</v>
      </c>
      <c r="E1238" s="30" t="s">
        <v>44</v>
      </c>
      <c r="F1238" s="30">
        <f>'Técnico 9'!E29</f>
        <v>22.86</v>
      </c>
      <c r="G1238" s="30">
        <v>1</v>
      </c>
      <c r="H1238" s="25">
        <v>0</v>
      </c>
      <c r="I1238" s="25">
        <f t="shared" si="302"/>
        <v>22.86</v>
      </c>
      <c r="J1238" s="25" t="str">
        <f>'Técnico 9'!F29</f>
        <v>m</v>
      </c>
      <c r="K1238" s="26">
        <f>_xlfn.XLOOKUP($E1238,PREÇO!$C$7:$C$91,PREÇO!$E$7:$E$91)</f>
        <v>2.5299999999999998</v>
      </c>
      <c r="L1238" s="66">
        <f>IF(SUM(F1238:K1238)=0,SUMIFS($L1239:$L$1593,$B1239:$B$1593,$B1238,$A1239:$A$1593,$A1238),I1238*K1238)</f>
        <v>57.835799999999992</v>
      </c>
      <c r="N1238"/>
      <c r="O1238"/>
      <c r="P1238" s="28"/>
      <c r="Q1238" s="28"/>
      <c r="R1238" s="28"/>
    </row>
    <row r="1239" spans="1:18" outlineLevel="1">
      <c r="A1239" s="24" t="str">
        <f t="shared" si="300"/>
        <v>GERAL</v>
      </c>
      <c r="B1239" s="24" t="str">
        <f t="shared" si="301"/>
        <v>142º PAV. - TERRAÇO TÉCNICO</v>
      </c>
      <c r="C1239" s="30" t="s">
        <v>221</v>
      </c>
      <c r="D1239" s="86" t="s">
        <v>46</v>
      </c>
      <c r="E1239" s="30" t="s">
        <v>45</v>
      </c>
      <c r="F1239" s="30">
        <f>'Técnico 9'!E30</f>
        <v>105.82</v>
      </c>
      <c r="G1239" s="30">
        <v>1</v>
      </c>
      <c r="H1239" s="25">
        <v>0</v>
      </c>
      <c r="I1239" s="25">
        <f t="shared" si="302"/>
        <v>105.82</v>
      </c>
      <c r="J1239" s="25" t="str">
        <f>'Técnico 9'!F30</f>
        <v>m</v>
      </c>
      <c r="K1239" s="26">
        <f>_xlfn.XLOOKUP($E1239,PREÇO!$C$7:$C$91,PREÇO!$E$7:$E$91)</f>
        <v>1.8</v>
      </c>
      <c r="L1239" s="66">
        <f>IF(SUM(F1239:K1239)=0,SUMIFS($L1240:$L$1593,$B1240:$B$1593,$B1239,$A1240:$A$1593,$A1239),I1239*K1239)</f>
        <v>190.476</v>
      </c>
      <c r="N1239"/>
      <c r="O1239"/>
      <c r="P1239" s="28"/>
      <c r="Q1239" s="28"/>
      <c r="R1239" s="28"/>
    </row>
    <row r="1240" spans="1:18" outlineLevel="1">
      <c r="A1240" s="24" t="str">
        <f t="shared" si="300"/>
        <v>GERAL</v>
      </c>
      <c r="B1240" s="24" t="str">
        <f t="shared" si="301"/>
        <v>142º PAV. - TERRAÇO TÉCNICO</v>
      </c>
      <c r="C1240" s="88" t="s">
        <v>220</v>
      </c>
      <c r="D1240" s="30" t="str">
        <f>'Técnico 9'!C33</f>
        <v>Luminárias e Placas de Saída</v>
      </c>
      <c r="E1240" s="30" t="str">
        <f>'Técnico 9'!D33</f>
        <v>Luminária de Emergência 24V de Parede</v>
      </c>
      <c r="F1240" s="30">
        <f>'Técnico 9'!E33</f>
        <v>14</v>
      </c>
      <c r="G1240" s="30">
        <v>1</v>
      </c>
      <c r="H1240" s="25">
        <v>0</v>
      </c>
      <c r="I1240" s="25">
        <f t="shared" si="302"/>
        <v>14</v>
      </c>
      <c r="J1240" s="25" t="str">
        <f>'Técnico 9'!F33</f>
        <v>pç</v>
      </c>
      <c r="K1240" s="26">
        <f>_xlfn.XLOOKUP($E1240,PREÇO!$C$7:$C$91,PREÇO!$E$7:$E$91)</f>
        <v>15.9</v>
      </c>
      <c r="L1240" s="66">
        <f>IF(SUM(F1240:K1240)=0,SUMIFS($L1241:$L$1593,$B1241:$B$1593,$B1240,$A1241:$A$1593,$A1240),I1240*K1240)</f>
        <v>222.6</v>
      </c>
      <c r="N1240"/>
      <c r="O1240"/>
      <c r="P1240" s="28"/>
      <c r="Q1240" s="28"/>
      <c r="R1240" s="28"/>
    </row>
    <row r="1241" spans="1:18" outlineLevel="1">
      <c r="A1241" s="24" t="str">
        <f t="shared" si="300"/>
        <v>GERAL</v>
      </c>
      <c r="B1241" s="24" t="str">
        <f t="shared" si="301"/>
        <v>142º PAV. - TERRAÇO TÉCNICO</v>
      </c>
      <c r="C1241" s="30" t="s">
        <v>220</v>
      </c>
      <c r="D1241" s="30" t="str">
        <f>'Técnico 9'!C34</f>
        <v>Luminárias e Placas de Saída</v>
      </c>
      <c r="E1241" s="30" t="str">
        <f>'Técnico 9'!D34</f>
        <v>Luminária de Emergência 24V de Teto</v>
      </c>
      <c r="F1241" s="30">
        <f>'Técnico 9'!E34</f>
        <v>8</v>
      </c>
      <c r="G1241" s="30">
        <v>1</v>
      </c>
      <c r="H1241" s="25">
        <v>0</v>
      </c>
      <c r="I1241" s="25">
        <f t="shared" si="302"/>
        <v>8</v>
      </c>
      <c r="J1241" s="25" t="str">
        <f>'Técnico 9'!F34</f>
        <v>pç</v>
      </c>
      <c r="K1241" s="26">
        <f>_xlfn.XLOOKUP($E1241,PREÇO!$C$7:$C$91,PREÇO!$E$7:$E$91)</f>
        <v>69.900000000000006</v>
      </c>
      <c r="L1241" s="66">
        <f>IF(SUM(F1241:K1241)=0,SUMIFS($L1242:$L$1593,$B1242:$B$1593,$B1241,$A1242:$A$1593,$A1241),I1241*K1241)</f>
        <v>559.20000000000005</v>
      </c>
      <c r="N1241"/>
      <c r="O1241"/>
      <c r="P1241" s="28"/>
      <c r="Q1241" s="28"/>
      <c r="R1241" s="28"/>
    </row>
    <row r="1242" spans="1:18" outlineLevel="1">
      <c r="A1242" s="24" t="str">
        <f t="shared" si="300"/>
        <v>GERAL</v>
      </c>
      <c r="B1242" s="24" t="str">
        <f t="shared" si="301"/>
        <v>142º PAV. - TERRAÇO TÉCNICO</v>
      </c>
      <c r="C1242" s="24" t="s">
        <v>222</v>
      </c>
      <c r="D1242" s="30" t="str">
        <f>'Técnico 9'!C35</f>
        <v>Luminárias e Placas de Saída</v>
      </c>
      <c r="E1242" s="30" t="str">
        <f>'Técnico 9'!D35</f>
        <v>Placa de Saída 24V de Parede sem Direção</v>
      </c>
      <c r="F1242" s="30">
        <f>'Técnico 9'!E35</f>
        <v>6</v>
      </c>
      <c r="G1242" s="30">
        <v>1</v>
      </c>
      <c r="H1242" s="25">
        <v>0</v>
      </c>
      <c r="I1242" s="25">
        <f t="shared" si="302"/>
        <v>6</v>
      </c>
      <c r="J1242" s="25" t="str">
        <f>'Técnico 9'!F35</f>
        <v>pç</v>
      </c>
      <c r="K1242" s="26">
        <f>_xlfn.XLOOKUP($E1242,PREÇO!$C$7:$C$91,PREÇO!$E$7:$E$91)</f>
        <v>61.66</v>
      </c>
      <c r="L1242" s="66">
        <f>IF(SUM(F1242:K1242)=0,SUMIFS($L1243:$L$1593,$B1243:$B$1593,$B1242,$A1243:$A$1593,$A1242),I1242*K1242)</f>
        <v>369.96</v>
      </c>
      <c r="N1242"/>
      <c r="O1242"/>
      <c r="P1242" s="28"/>
      <c r="Q1242" s="28"/>
      <c r="R1242" s="28"/>
    </row>
    <row r="1243" spans="1:18" outlineLevel="1">
      <c r="A1243" s="24" t="str">
        <f t="shared" si="300"/>
        <v>GERAL</v>
      </c>
      <c r="B1243" s="24" t="str">
        <f t="shared" si="301"/>
        <v>142º PAV. - TERRAÇO TÉCNICO</v>
      </c>
      <c r="C1243" s="24" t="s">
        <v>222</v>
      </c>
      <c r="D1243" s="30" t="str">
        <f>'Técnico 9'!C36</f>
        <v>Luminárias e Placas de Saída</v>
      </c>
      <c r="E1243" s="30" t="str">
        <f>'Técnico 9'!D36</f>
        <v>Placa de Saída Dupla Face 24V de Teto com Direção</v>
      </c>
      <c r="F1243" s="30">
        <f>'Técnico 9'!E36</f>
        <v>1</v>
      </c>
      <c r="G1243" s="30">
        <v>1</v>
      </c>
      <c r="H1243" s="25">
        <v>0</v>
      </c>
      <c r="I1243" s="25">
        <f t="shared" si="302"/>
        <v>1</v>
      </c>
      <c r="J1243" s="25" t="str">
        <f>'Técnico 9'!F36</f>
        <v>pç</v>
      </c>
      <c r="K1243" s="26">
        <f>_xlfn.XLOOKUP($E1243,PREÇO!$C$7:$C$91,PREÇO!$E$7:$E$91)</f>
        <v>61.66</v>
      </c>
      <c r="L1243" s="66">
        <f>IF(SUM(F1243:K1243)=0,SUMIFS($L1245:$L$1593,$B1245:$B$1593,$B1243,$A1245:$A$1593,$A1243),I1243*K1243)</f>
        <v>61.66</v>
      </c>
      <c r="N1243"/>
      <c r="O1243"/>
      <c r="P1243" s="28"/>
      <c r="Q1243" s="28"/>
      <c r="R1243" s="28"/>
    </row>
    <row r="1244" spans="1:18" outlineLevel="1">
      <c r="A1244" s="116" t="str">
        <f>A1242</f>
        <v>GERAL</v>
      </c>
      <c r="B1244" s="116" t="str">
        <f>B1243</f>
        <v>142º PAV. - TERRAÇO TÉCNICO</v>
      </c>
      <c r="C1244" s="116" t="s">
        <v>222</v>
      </c>
      <c r="D1244" s="116" t="s">
        <v>223</v>
      </c>
      <c r="E1244" s="116" t="s">
        <v>224</v>
      </c>
      <c r="F1244" s="117">
        <v>4</v>
      </c>
      <c r="G1244" s="117">
        <f>G1243</f>
        <v>1</v>
      </c>
      <c r="H1244" s="118">
        <v>0</v>
      </c>
      <c r="I1244" s="117">
        <f t="shared" si="302"/>
        <v>4</v>
      </c>
      <c r="J1244" s="117" t="s">
        <v>11</v>
      </c>
      <c r="K1244" s="119">
        <f>_xlfn.XLOOKUP($E1244,PREÇO!$C$7:$C$91,PREÇO!$E$7:$E$91)</f>
        <v>646.55999999999995</v>
      </c>
      <c r="L1244" s="120">
        <f>IF(SUM(F1244:K1244)=0,SUMIFS($L1245:$L$1593,$B1245:$B$1593,$B1244,$A1245:$A$1593,$A1244),I1244*K1244)</f>
        <v>2586.2399999999998</v>
      </c>
      <c r="N1244"/>
      <c r="O1244"/>
      <c r="P1244" s="28"/>
      <c r="Q1244" s="28"/>
      <c r="R1244" s="28"/>
    </row>
    <row r="1245" spans="1:18" outlineLevel="1">
      <c r="A1245" s="24" t="str">
        <f>A1243</f>
        <v>GERAL</v>
      </c>
      <c r="B1245" s="24" t="str">
        <f>B1243</f>
        <v>142º PAV. - TERRAÇO TÉCNICO</v>
      </c>
      <c r="C1245" s="30" t="s">
        <v>220</v>
      </c>
      <c r="D1245" s="30" t="str">
        <f>'Técnico 9'!C37</f>
        <v>Sensores de Presença</v>
      </c>
      <c r="E1245" s="30" t="str">
        <f>'Técnico 9'!D37</f>
        <v>Sensor de Presença 24V de teto</v>
      </c>
      <c r="F1245" s="30">
        <f>'Técnico 9'!E37</f>
        <v>5</v>
      </c>
      <c r="G1245" s="30">
        <v>1</v>
      </c>
      <c r="H1245" s="25">
        <v>0</v>
      </c>
      <c r="I1245" s="25">
        <f t="shared" si="302"/>
        <v>5</v>
      </c>
      <c r="J1245" s="25" t="str">
        <f>'Técnico 9'!F37</f>
        <v>pç</v>
      </c>
      <c r="K1245" s="26">
        <f>_xlfn.XLOOKUP($E1245,PREÇO!$C$7:$C$91,PREÇO!$E$7:$E$91)</f>
        <v>38.4</v>
      </c>
      <c r="L1245" s="66">
        <f>IF(SUM(F1245:K1245)=0,SUMIFS($L1246:$L$1593,$B1246:$B$1593,$B1245,$A1246:$A$1593,$A1245),I1245*K1245)</f>
        <v>192</v>
      </c>
      <c r="N1245"/>
      <c r="O1245"/>
      <c r="P1245" s="28"/>
      <c r="Q1245" s="28"/>
      <c r="R1245" s="28"/>
    </row>
    <row r="1246" spans="1:18" outlineLevel="1">
      <c r="A1246" s="24" t="str">
        <f t="shared" si="300"/>
        <v>GERAL</v>
      </c>
      <c r="B1246" s="24" t="str">
        <f t="shared" si="301"/>
        <v>142º PAV. - TERRAÇO TÉCNICO</v>
      </c>
      <c r="C1246" s="30" t="s">
        <v>221</v>
      </c>
      <c r="D1246" s="86" t="s">
        <v>87</v>
      </c>
      <c r="E1246" s="30" t="s">
        <v>179</v>
      </c>
      <c r="F1246" s="30">
        <f>'Técnico 9'!E40</f>
        <v>107.84</v>
      </c>
      <c r="G1246" s="30">
        <v>1</v>
      </c>
      <c r="H1246" s="25">
        <v>0</v>
      </c>
      <c r="I1246" s="25">
        <f t="shared" si="302"/>
        <v>107.84</v>
      </c>
      <c r="J1246" s="25" t="str">
        <f>'Técnico 9'!F40</f>
        <v>m</v>
      </c>
      <c r="K1246" s="26">
        <f>_xlfn.XLOOKUP($E1246,PREÇO!$C$7:$C$91,PREÇO!$E$7:$E$91)</f>
        <v>1.59</v>
      </c>
      <c r="L1246" s="66">
        <f>IF(SUM(F1246:K1246)=0,SUMIFS($L1247:$L$1593,$B1247:$B$1593,$B1246,$A1247:$A$1593,$A1246),I1246*K1246)</f>
        <v>171.46560000000002</v>
      </c>
      <c r="N1246"/>
      <c r="O1246"/>
      <c r="P1246" s="28"/>
      <c r="Q1246" s="28"/>
      <c r="R1246" s="28"/>
    </row>
    <row r="1247" spans="1:18" outlineLevel="1">
      <c r="A1247" s="24" t="str">
        <f t="shared" si="300"/>
        <v>GERAL</v>
      </c>
      <c r="B1247" s="24" t="str">
        <f t="shared" si="301"/>
        <v>142º PAV. - TERRAÇO TÉCNICO</v>
      </c>
      <c r="C1247" s="30" t="s">
        <v>221</v>
      </c>
      <c r="D1247" s="86" t="s">
        <v>87</v>
      </c>
      <c r="E1247" s="30" t="s">
        <v>180</v>
      </c>
      <c r="F1247" s="30">
        <f>'Técnico 9'!E41</f>
        <v>147.83000000000001</v>
      </c>
      <c r="G1247" s="30">
        <v>1</v>
      </c>
      <c r="H1247" s="25">
        <v>0</v>
      </c>
      <c r="I1247" s="25">
        <f t="shared" si="302"/>
        <v>147.83000000000001</v>
      </c>
      <c r="J1247" s="25" t="str">
        <f>'Técnico 9'!F41</f>
        <v>m</v>
      </c>
      <c r="K1247" s="26">
        <f>_xlfn.XLOOKUP($E1247,PREÇO!$C$7:$C$91,PREÇO!$E$7:$E$91)</f>
        <v>1.59</v>
      </c>
      <c r="L1247" s="66">
        <f>IF(SUM(F1247:K1247)=0,SUMIFS($L1248:$L$1593,$B1248:$B$1593,$B1247,$A1248:$A$1593,$A1247),I1247*K1247)</f>
        <v>235.04970000000003</v>
      </c>
      <c r="N1247"/>
      <c r="O1247"/>
      <c r="P1247" s="28"/>
      <c r="Q1247" s="28"/>
      <c r="R1247" s="28"/>
    </row>
    <row r="1248" spans="1:18" outlineLevel="1">
      <c r="A1248" s="24" t="str">
        <f t="shared" si="300"/>
        <v>GERAL</v>
      </c>
      <c r="B1248" s="24" t="str">
        <f t="shared" si="301"/>
        <v>142º PAV. - TERRAÇO TÉCNICO</v>
      </c>
      <c r="C1248" s="30" t="s">
        <v>221</v>
      </c>
      <c r="D1248" s="86" t="s">
        <v>87</v>
      </c>
      <c r="E1248" s="30" t="s">
        <v>181</v>
      </c>
      <c r="F1248" s="30">
        <f>'Técnico 9'!E42</f>
        <v>147.83000000000001</v>
      </c>
      <c r="G1248" s="30">
        <v>1</v>
      </c>
      <c r="H1248" s="25">
        <v>0</v>
      </c>
      <c r="I1248" s="25">
        <f t="shared" si="302"/>
        <v>147.83000000000001</v>
      </c>
      <c r="J1248" s="25" t="str">
        <f>'Técnico 9'!F42</f>
        <v>m</v>
      </c>
      <c r="K1248" s="26">
        <f>_xlfn.XLOOKUP($E1248,PREÇO!$C$7:$C$91,PREÇO!$E$7:$E$91)</f>
        <v>1.59</v>
      </c>
      <c r="L1248" s="66">
        <f>IF(SUM(F1248:K1248)=0,SUMIFS($L1249:$L$1593,$B1249:$B$1593,$B1248,$A1249:$A$1593,$A1248),I1248*K1248)</f>
        <v>235.04970000000003</v>
      </c>
      <c r="N1248"/>
      <c r="O1248"/>
      <c r="P1248" s="28"/>
      <c r="Q1248" s="28"/>
      <c r="R1248" s="28"/>
    </row>
    <row r="1249" spans="1:18" outlineLevel="1">
      <c r="A1249" s="24" t="str">
        <f t="shared" si="300"/>
        <v>GERAL</v>
      </c>
      <c r="B1249" s="24" t="str">
        <f t="shared" si="301"/>
        <v>142º PAV. - TERRAÇO TÉCNICO</v>
      </c>
      <c r="C1249" s="30" t="s">
        <v>221</v>
      </c>
      <c r="D1249" s="86" t="s">
        <v>87</v>
      </c>
      <c r="E1249" s="30" t="s">
        <v>182</v>
      </c>
      <c r="F1249" s="30">
        <f>'Técnico 9'!E43</f>
        <v>33.299999999999997</v>
      </c>
      <c r="G1249" s="30">
        <v>1</v>
      </c>
      <c r="H1249" s="25">
        <v>0</v>
      </c>
      <c r="I1249" s="25">
        <f t="shared" si="302"/>
        <v>33.299999999999997</v>
      </c>
      <c r="J1249" s="25" t="str">
        <f>'Técnico 9'!F43</f>
        <v>m</v>
      </c>
      <c r="K1249" s="26">
        <f>_xlfn.XLOOKUP($E1249,PREÇO!$C$7:$C$91,PREÇO!$E$7:$E$91)</f>
        <v>2.19</v>
      </c>
      <c r="L1249" s="66">
        <f>IF(SUM(F1249:K1249)=0,SUMIFS($L1250:$L$1593,$B1250:$B$1593,$B1249,$A1250:$A$1593,$A1249),I1249*K1249)</f>
        <v>72.926999999999992</v>
      </c>
      <c r="N1249"/>
      <c r="O1249"/>
      <c r="P1249" s="28"/>
      <c r="Q1249" s="28"/>
      <c r="R1249" s="28"/>
    </row>
    <row r="1250" spans="1:18" outlineLevel="1">
      <c r="A1250" s="24" t="str">
        <f t="shared" si="300"/>
        <v>GERAL</v>
      </c>
      <c r="B1250" s="24" t="str">
        <f t="shared" si="301"/>
        <v>142º PAV. - TERRAÇO TÉCNICO</v>
      </c>
      <c r="C1250" s="30" t="s">
        <v>221</v>
      </c>
      <c r="D1250" s="86" t="s">
        <v>87</v>
      </c>
      <c r="E1250" s="30" t="s">
        <v>183</v>
      </c>
      <c r="F1250" s="30">
        <f>'Técnico 9'!E44</f>
        <v>84.97</v>
      </c>
      <c r="G1250" s="30">
        <v>1</v>
      </c>
      <c r="H1250" s="25">
        <v>0</v>
      </c>
      <c r="I1250" s="25">
        <f t="shared" si="302"/>
        <v>84.97</v>
      </c>
      <c r="J1250" s="25" t="str">
        <f>'Técnico 9'!F44</f>
        <v>m</v>
      </c>
      <c r="K1250" s="26">
        <f>_xlfn.XLOOKUP($E1250,PREÇO!$C$7:$C$91,PREÇO!$E$7:$E$91)</f>
        <v>2.19</v>
      </c>
      <c r="L1250" s="66">
        <f>IF(SUM(F1250:K1250)=0,SUMIFS($L1251:$L$1593,$B1251:$B$1593,$B1250,$A1251:$A$1593,$A1250),I1250*K1250)</f>
        <v>186.08429999999998</v>
      </c>
      <c r="N1250"/>
      <c r="O1250"/>
      <c r="P1250" s="28"/>
      <c r="Q1250" s="28"/>
      <c r="R1250" s="28"/>
    </row>
    <row r="1251" spans="1:18" outlineLevel="1">
      <c r="A1251" s="24" t="str">
        <f t="shared" si="300"/>
        <v>GERAL</v>
      </c>
      <c r="B1251" s="24" t="str">
        <f t="shared" si="301"/>
        <v>142º PAV. - TERRAÇO TÉCNICO</v>
      </c>
      <c r="C1251" s="30" t="s">
        <v>221</v>
      </c>
      <c r="D1251" s="86" t="s">
        <v>87</v>
      </c>
      <c r="E1251" s="30" t="s">
        <v>184</v>
      </c>
      <c r="F1251" s="30">
        <f>'Técnico 9'!E45</f>
        <v>84.97</v>
      </c>
      <c r="G1251" s="30">
        <v>1</v>
      </c>
      <c r="H1251" s="25">
        <v>0</v>
      </c>
      <c r="I1251" s="25">
        <f t="shared" si="302"/>
        <v>84.97</v>
      </c>
      <c r="J1251" s="25" t="str">
        <f>'Técnico 9'!F45</f>
        <v>m</v>
      </c>
      <c r="K1251" s="26">
        <f>_xlfn.XLOOKUP($E1251,PREÇO!$C$7:$C$91,PREÇO!$E$7:$E$91)</f>
        <v>2.19</v>
      </c>
      <c r="L1251" s="66">
        <f>IF(SUM(F1251:K1251)=0,SUMIFS($L1252:$L$1593,$B1252:$B$1593,$B1251,$A1252:$A$1593,$A1251),I1251*K1251)</f>
        <v>186.08429999999998</v>
      </c>
      <c r="N1251"/>
      <c r="O1251"/>
      <c r="P1251" s="28"/>
      <c r="Q1251" s="28"/>
      <c r="R1251" s="28"/>
    </row>
    <row r="1252" spans="1:18" outlineLevel="1">
      <c r="A1252" s="24" t="str">
        <f t="shared" si="300"/>
        <v>GERAL</v>
      </c>
      <c r="B1252" s="24" t="str">
        <f t="shared" si="301"/>
        <v>142º PAV. - TERRAÇO TÉCNICO</v>
      </c>
      <c r="C1252" s="30" t="s">
        <v>221</v>
      </c>
      <c r="D1252" s="86" t="s">
        <v>87</v>
      </c>
      <c r="E1252" s="30" t="s">
        <v>205</v>
      </c>
      <c r="F1252" s="30">
        <f>'Técnico 9'!E46</f>
        <v>9.4</v>
      </c>
      <c r="G1252" s="30">
        <v>1</v>
      </c>
      <c r="H1252" s="25">
        <v>0</v>
      </c>
      <c r="I1252" s="25">
        <f t="shared" si="302"/>
        <v>9.4</v>
      </c>
      <c r="J1252" s="25" t="str">
        <f>'Técnico 9'!F46</f>
        <v>m</v>
      </c>
      <c r="K1252" s="26">
        <f>_xlfn.XLOOKUP($E1252,PREÇO!$C$7:$C$91,PREÇO!$E$7:$E$91)</f>
        <v>3.89</v>
      </c>
      <c r="L1252" s="66">
        <f>IF(SUM(F1252:K1252)=0,SUMIFS($L1253:$L$1593,$B1253:$B$1593,$B1252,$A1253:$A$1593,$A1252),I1252*K1252)</f>
        <v>36.566000000000003</v>
      </c>
      <c r="N1252"/>
      <c r="O1252"/>
      <c r="P1252" s="28"/>
      <c r="Q1252" s="28"/>
      <c r="R1252" s="28"/>
    </row>
    <row r="1253" spans="1:18" outlineLevel="1">
      <c r="A1253" s="24" t="str">
        <f t="shared" si="300"/>
        <v>GERAL</v>
      </c>
      <c r="B1253" s="24" t="str">
        <f t="shared" si="301"/>
        <v>142º PAV. - TERRAÇO TÉCNICO</v>
      </c>
      <c r="C1253" s="30" t="s">
        <v>221</v>
      </c>
      <c r="D1253" s="86" t="s">
        <v>87</v>
      </c>
      <c r="E1253" s="30" t="s">
        <v>206</v>
      </c>
      <c r="F1253" s="30">
        <f>'Técnico 9'!E47</f>
        <v>9.4</v>
      </c>
      <c r="G1253" s="30">
        <v>1</v>
      </c>
      <c r="H1253" s="25">
        <v>0</v>
      </c>
      <c r="I1253" s="25">
        <f t="shared" si="302"/>
        <v>9.4</v>
      </c>
      <c r="J1253" s="25" t="str">
        <f>'Técnico 9'!F47</f>
        <v>m</v>
      </c>
      <c r="K1253" s="26">
        <f>_xlfn.XLOOKUP($E1253,PREÇO!$C$7:$C$91,PREÇO!$E$7:$E$91)</f>
        <v>3.89</v>
      </c>
      <c r="L1253" s="66">
        <f>IF(SUM(F1253:K1253)=0,SUMIFS($L1254:$L$1593,$B1254:$B$1593,$B1253,$A1254:$A$1593,$A1253),I1253*K1253)</f>
        <v>36.566000000000003</v>
      </c>
      <c r="N1253"/>
      <c r="O1253"/>
      <c r="P1253" s="28"/>
      <c r="Q1253" s="28"/>
      <c r="R1253" s="28"/>
    </row>
    <row r="1254" spans="1:18" outlineLevel="1">
      <c r="A1254" s="24" t="str">
        <f t="shared" si="300"/>
        <v>GERAL</v>
      </c>
      <c r="B1254" s="24" t="str">
        <f t="shared" si="301"/>
        <v>142º PAV. - TERRAÇO TÉCNICO</v>
      </c>
      <c r="C1254" s="30" t="s">
        <v>221</v>
      </c>
      <c r="D1254" s="86" t="s">
        <v>46</v>
      </c>
      <c r="E1254" s="30" t="s">
        <v>44</v>
      </c>
      <c r="F1254" s="30">
        <f>'Técnico 9'!E51</f>
        <v>61.48</v>
      </c>
      <c r="G1254" s="30">
        <v>1</v>
      </c>
      <c r="H1254" s="25">
        <v>0</v>
      </c>
      <c r="I1254" s="25">
        <f t="shared" si="302"/>
        <v>61.48</v>
      </c>
      <c r="J1254" s="25" t="str">
        <f>'Técnico 9'!F51</f>
        <v>m</v>
      </c>
      <c r="K1254" s="26">
        <f>_xlfn.XLOOKUP($E1254,PREÇO!$C$7:$C$91,PREÇO!$E$7:$E$91)</f>
        <v>2.5299999999999998</v>
      </c>
      <c r="L1254" s="66">
        <f>IF(SUM(F1254:K1254)=0,SUMIFS($L1255:$L$1593,$B1255:$B$1593,$B1254,$A1255:$A$1593,$A1254),I1254*K1254)</f>
        <v>155.54439999999997</v>
      </c>
      <c r="N1254"/>
      <c r="O1254"/>
      <c r="P1254" s="28"/>
      <c r="Q1254" s="28"/>
      <c r="R1254" s="28"/>
    </row>
    <row r="1255" spans="1:18" outlineLevel="1">
      <c r="A1255" s="24" t="str">
        <f t="shared" si="300"/>
        <v>GERAL</v>
      </c>
      <c r="B1255" s="24" t="str">
        <f t="shared" si="301"/>
        <v>142º PAV. - TERRAÇO TÉCNICO</v>
      </c>
      <c r="C1255" s="30" t="s">
        <v>221</v>
      </c>
      <c r="D1255" s="86" t="s">
        <v>89</v>
      </c>
      <c r="E1255" s="30" t="s">
        <v>185</v>
      </c>
      <c r="F1255" s="30">
        <f>'Técnico 9'!E54</f>
        <v>56.51</v>
      </c>
      <c r="G1255" s="30">
        <v>1</v>
      </c>
      <c r="H1255" s="25">
        <v>0</v>
      </c>
      <c r="I1255" s="25">
        <f t="shared" si="302"/>
        <v>56.51</v>
      </c>
      <c r="J1255" s="25" t="str">
        <f>'Técnico 9'!F54</f>
        <v>m</v>
      </c>
      <c r="K1255" s="26">
        <f>_xlfn.XLOOKUP($E1255,PREÇO!$C$7:$C$91,PREÇO!$E$7:$E$91)</f>
        <v>0.99</v>
      </c>
      <c r="L1255" s="66">
        <f>IF(SUM(F1255:K1255)=0,SUMIFS($L1256:$L$1593,$B1256:$B$1593,$B1255,$A1256:$A$1593,$A1255),I1255*K1255)</f>
        <v>55.944899999999997</v>
      </c>
      <c r="N1255"/>
      <c r="O1255"/>
      <c r="P1255" s="28"/>
      <c r="Q1255" s="28"/>
      <c r="R1255" s="28"/>
    </row>
    <row r="1256" spans="1:18" ht="15.75" outlineLevel="1" thickBot="1">
      <c r="A1256" s="24" t="str">
        <f t="shared" si="300"/>
        <v>GERAL</v>
      </c>
      <c r="B1256" s="24" t="str">
        <f t="shared" si="301"/>
        <v>142º PAV. - TERRAÇO TÉCNICO</v>
      </c>
      <c r="C1256" s="30" t="s">
        <v>221</v>
      </c>
      <c r="D1256" s="86" t="s">
        <v>89</v>
      </c>
      <c r="E1256" s="30" t="s">
        <v>186</v>
      </c>
      <c r="F1256" s="30">
        <f>'Técnico 9'!E55</f>
        <v>6.82</v>
      </c>
      <c r="G1256" s="30">
        <v>1</v>
      </c>
      <c r="H1256" s="25">
        <v>0</v>
      </c>
      <c r="I1256" s="25">
        <f t="shared" si="302"/>
        <v>6.82</v>
      </c>
      <c r="J1256" s="25" t="str">
        <f>'Técnico 9'!F55</f>
        <v>m</v>
      </c>
      <c r="K1256" s="26">
        <f>_xlfn.XLOOKUP($E1256,PREÇO!$C$7:$C$91,PREÇO!$E$7:$E$91)</f>
        <v>1.69</v>
      </c>
      <c r="L1256" s="66">
        <f>IF(SUM(F1256:K1256)=0,SUMIFS($L1257:$L$1593,$B1257:$B$1593,$B1256,$A1257:$A$1593,$A1256),I1256*K1256)</f>
        <v>11.5258</v>
      </c>
      <c r="N1256"/>
      <c r="O1256"/>
      <c r="P1256" s="28"/>
      <c r="Q1256" s="28"/>
      <c r="R1256" s="28"/>
    </row>
    <row r="1257" spans="1:18" ht="15.75" thickTop="1">
      <c r="A1257" s="87" t="s">
        <v>19</v>
      </c>
      <c r="B1257" s="87" t="s">
        <v>19</v>
      </c>
      <c r="C1257" s="43"/>
      <c r="D1257" s="44"/>
      <c r="E1257" s="44"/>
      <c r="F1257" s="45"/>
      <c r="G1257" s="45"/>
      <c r="H1257" s="45"/>
      <c r="I1257" s="45"/>
      <c r="J1257" s="45"/>
      <c r="K1257" s="47"/>
      <c r="L1257" s="48">
        <f>IF(SUM(F1257:K1257)=0,SUMIFS($L1258:$L$1593,$B1258:$B$1593,$B1257,$A1258:$A$1593,$A1257),I1257*K1257)</f>
        <v>776164.13</v>
      </c>
      <c r="N1257"/>
      <c r="O1257"/>
      <c r="P1257" s="28"/>
      <c r="Q1257" s="28"/>
      <c r="R1257" s="28"/>
    </row>
    <row r="1258" spans="1:18" outlineLevel="1">
      <c r="A1258" s="24" t="str">
        <f>A1257</f>
        <v>GERAL</v>
      </c>
      <c r="B1258" s="24" t="str">
        <f>B1257</f>
        <v>GERAL</v>
      </c>
      <c r="C1258" s="30" t="s">
        <v>221</v>
      </c>
      <c r="D1258" s="86" t="s">
        <v>210</v>
      </c>
      <c r="E1258" s="30" t="s">
        <v>207</v>
      </c>
      <c r="F1258" s="30">
        <v>44</v>
      </c>
      <c r="G1258" s="30">
        <v>1</v>
      </c>
      <c r="H1258" s="25">
        <v>0</v>
      </c>
      <c r="I1258" s="25">
        <f>(F1258+H1258*F1258)*G1258</f>
        <v>44</v>
      </c>
      <c r="J1258" s="25" t="s">
        <v>16</v>
      </c>
      <c r="K1258" s="26">
        <f>_xlfn.XLOOKUP($E1258,PREÇO!$C$7:$C$91,PREÇO!$E$7:$E$91)</f>
        <v>700</v>
      </c>
      <c r="L1258" s="66">
        <f>IF(SUM(F1258:K1258)=0,SUMIFS($L1259:$L$1593,$B1259:$B$1593,$B1258,$A1259:$A$1593,$A1258),I1258*K1258)</f>
        <v>30800</v>
      </c>
      <c r="N1258"/>
      <c r="O1258"/>
      <c r="P1258" s="28"/>
      <c r="Q1258" s="28"/>
      <c r="R1258" s="28"/>
    </row>
    <row r="1259" spans="1:18" outlineLevel="1">
      <c r="A1259" s="24" t="str">
        <f t="shared" ref="A1259:A1260" si="303">A1258</f>
        <v>GERAL</v>
      </c>
      <c r="B1259" s="24" t="str">
        <f t="shared" ref="B1259:B1260" si="304">B1258</f>
        <v>GERAL</v>
      </c>
      <c r="C1259" s="30" t="s">
        <v>221</v>
      </c>
      <c r="D1259" s="86" t="s">
        <v>211</v>
      </c>
      <c r="E1259" s="115" t="s">
        <v>208</v>
      </c>
      <c r="F1259" s="30">
        <v>21</v>
      </c>
      <c r="G1259" s="30">
        <v>1</v>
      </c>
      <c r="H1259" s="25">
        <v>0</v>
      </c>
      <c r="I1259" s="25">
        <f t="shared" ref="I1259:I1260" si="305">(F1259+H1259*F1259)*G1259</f>
        <v>21</v>
      </c>
      <c r="J1259" s="25" t="s">
        <v>16</v>
      </c>
      <c r="K1259" s="26">
        <f>_xlfn.XLOOKUP($E1259,PREÇO!$C$7:$C$91,PREÇO!$E$7:$E$91)</f>
        <v>20000</v>
      </c>
      <c r="L1259" s="66">
        <f>IF(SUM(F1259:K1259)=0,SUMIFS($L1260:$L$1593,$B1260:$B$1593,$B1259,$A1260:$A$1593,$A1259),I1259*K1259)</f>
        <v>420000</v>
      </c>
      <c r="N1259"/>
      <c r="O1259"/>
      <c r="P1259" s="28"/>
      <c r="Q1259" s="28"/>
      <c r="R1259" s="28"/>
    </row>
    <row r="1260" spans="1:18" outlineLevel="1">
      <c r="A1260" s="24" t="str">
        <f t="shared" si="303"/>
        <v>GERAL</v>
      </c>
      <c r="B1260" s="24" t="str">
        <f t="shared" si="304"/>
        <v>GERAL</v>
      </c>
      <c r="C1260" s="30" t="s">
        <v>221</v>
      </c>
      <c r="D1260" s="86" t="s">
        <v>212</v>
      </c>
      <c r="E1260" s="88" t="s">
        <v>209</v>
      </c>
      <c r="F1260" s="30">
        <v>21</v>
      </c>
      <c r="G1260" s="30">
        <v>1</v>
      </c>
      <c r="H1260" s="25">
        <v>0</v>
      </c>
      <c r="I1260" s="25">
        <f t="shared" si="305"/>
        <v>21</v>
      </c>
      <c r="J1260" s="25" t="s">
        <v>16</v>
      </c>
      <c r="K1260" s="26">
        <f>_xlfn.XLOOKUP($E1260,PREÇO!$C$7:$C$91,PREÇO!$E$7:$E$91)</f>
        <v>15493.53</v>
      </c>
      <c r="L1260" s="66">
        <f>IF(SUM(F1260:K1260)=0,SUMIFS($L1261:$L$1593,$B1261:$B$1593,$B1260,$A1261:$A$1593,$A1260),I1260*K1260)</f>
        <v>325364.13</v>
      </c>
      <c r="N1260"/>
      <c r="O1260"/>
      <c r="P1260" s="28"/>
      <c r="Q1260" s="28"/>
      <c r="R1260" s="28"/>
    </row>
    <row r="1261" spans="1:18">
      <c r="A1261" s="31"/>
      <c r="B1261" s="31"/>
      <c r="C1261" s="31"/>
      <c r="D1261" s="31"/>
      <c r="E1261" s="31"/>
      <c r="F1261" s="31"/>
      <c r="G1261" s="31"/>
      <c r="H1261" s="31"/>
      <c r="I1261" s="31"/>
      <c r="J1261" s="31"/>
      <c r="K1261" s="32" t="s">
        <v>20</v>
      </c>
      <c r="L1261" s="33">
        <f>SUMPRODUCT(I6:I1260,K6:K1260)</f>
        <v>1955066.292900003</v>
      </c>
      <c r="N1261"/>
      <c r="O1261"/>
      <c r="P1261" s="28"/>
      <c r="Q1261" s="28"/>
      <c r="R1261" s="28"/>
    </row>
    <row r="1262" spans="1:18">
      <c r="L1262" s="40">
        <f>SUM(L6:L1260)/2</f>
        <v>1955066.2929000009</v>
      </c>
      <c r="N1262"/>
      <c r="O1262"/>
      <c r="P1262" s="28"/>
      <c r="Q1262" s="28"/>
      <c r="R1262" s="28"/>
    </row>
    <row r="1263" spans="1:18">
      <c r="N1263"/>
      <c r="O1263"/>
      <c r="P1263" s="28"/>
      <c r="Q1263" s="28"/>
      <c r="R1263" s="28"/>
    </row>
    <row r="1264" spans="1:18">
      <c r="N1264"/>
      <c r="O1264"/>
      <c r="P1264" s="28"/>
      <c r="Q1264" s="28"/>
      <c r="R1264" s="28"/>
    </row>
    <row r="1265" spans="14:18">
      <c r="N1265"/>
      <c r="O1265"/>
      <c r="P1265" s="28"/>
      <c r="Q1265" s="28"/>
      <c r="R1265" s="28"/>
    </row>
    <row r="1266" spans="14:18">
      <c r="N1266"/>
      <c r="O1266"/>
      <c r="P1266" s="28"/>
      <c r="Q1266" s="28"/>
      <c r="R1266" s="28"/>
    </row>
    <row r="1267" spans="14:18">
      <c r="N1267"/>
      <c r="O1267"/>
      <c r="P1267" s="28"/>
      <c r="Q1267" s="28"/>
      <c r="R1267" s="28"/>
    </row>
    <row r="1268" spans="14:18">
      <c r="N1268"/>
      <c r="O1268"/>
      <c r="P1268" s="28"/>
      <c r="Q1268" s="28"/>
      <c r="R1268" s="28"/>
    </row>
    <row r="1269" spans="14:18">
      <c r="N1269"/>
      <c r="O1269"/>
      <c r="P1269" s="28"/>
      <c r="Q1269" s="28"/>
      <c r="R1269" s="28"/>
    </row>
    <row r="1270" spans="14:18">
      <c r="N1270"/>
      <c r="O1270"/>
      <c r="P1270" s="28"/>
      <c r="Q1270" s="28"/>
      <c r="R1270" s="28"/>
    </row>
    <row r="1271" spans="14:18">
      <c r="N1271"/>
      <c r="O1271"/>
      <c r="P1271" s="28"/>
      <c r="Q1271" s="28"/>
      <c r="R1271" s="28"/>
    </row>
    <row r="1272" spans="14:18">
      <c r="N1272"/>
      <c r="O1272"/>
      <c r="P1272" s="28"/>
      <c r="Q1272" s="28"/>
      <c r="R1272" s="28"/>
    </row>
    <row r="1273" spans="14:18">
      <c r="N1273"/>
      <c r="O1273"/>
      <c r="P1273" s="28"/>
      <c r="Q1273" s="28"/>
      <c r="R1273" s="28"/>
    </row>
    <row r="1274" spans="14:18">
      <c r="N1274"/>
      <c r="O1274"/>
      <c r="P1274" s="28"/>
      <c r="Q1274" s="28"/>
      <c r="R1274" s="28"/>
    </row>
    <row r="1275" spans="14:18">
      <c r="N1275"/>
      <c r="O1275" s="28"/>
      <c r="P1275" s="28"/>
      <c r="Q1275" s="28"/>
      <c r="R1275" s="28"/>
    </row>
    <row r="1276" spans="14:18">
      <c r="N1276"/>
      <c r="O1276" s="28"/>
      <c r="P1276" s="28"/>
      <c r="Q1276" s="28"/>
      <c r="R1276" s="28"/>
    </row>
    <row r="1277" spans="14:18">
      <c r="N1277"/>
      <c r="O1277" s="28"/>
      <c r="P1277" s="28"/>
      <c r="Q1277" s="28"/>
      <c r="R1277" s="28"/>
    </row>
    <row r="1278" spans="14:18">
      <c r="N1278"/>
      <c r="O1278" s="28"/>
      <c r="P1278" s="28"/>
      <c r="Q1278" s="28"/>
      <c r="R1278" s="28"/>
    </row>
    <row r="1279" spans="14:18">
      <c r="N1279"/>
      <c r="O1279" s="28"/>
      <c r="P1279" s="28"/>
      <c r="Q1279" s="28"/>
      <c r="R1279" s="28"/>
    </row>
    <row r="1280" spans="14:18">
      <c r="N1280"/>
    </row>
    <row r="1281" spans="14:14">
      <c r="N1281"/>
    </row>
    <row r="1282" spans="14:14">
      <c r="N1282"/>
    </row>
    <row r="1283" spans="14:14">
      <c r="N1283"/>
    </row>
    <row r="1284" spans="14:14">
      <c r="N1284"/>
    </row>
    <row r="1285" spans="14:14">
      <c r="N1285"/>
    </row>
    <row r="1286" spans="14:14">
      <c r="N1286"/>
    </row>
    <row r="1287" spans="14:14">
      <c r="N1287"/>
    </row>
    <row r="1288" spans="14:14">
      <c r="N1288"/>
    </row>
    <row r="1289" spans="14:14">
      <c r="N1289"/>
    </row>
  </sheetData>
  <autoFilter ref="A6:L1262" xr:uid="{C1CB23AC-E1EC-4E62-80B1-DF5421E7F0F4}"/>
  <mergeCells count="1">
    <mergeCell ref="A5:S5"/>
  </mergeCells>
  <phoneticPr fontId="10" type="noConversion"/>
  <pageMargins left="0.511811024" right="0.511811024" top="0.78740157499999996" bottom="0.78740157499999996" header="0.31496062000000002" footer="0.31496062000000002"/>
  <pageSetup paperSize="9" scale="1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1EE0-B3B3-448E-B2EC-87D26739612B}">
  <dimension ref="B2:F48"/>
  <sheetViews>
    <sheetView workbookViewId="0">
      <selection activeCell="D8" sqref="D8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149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17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29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21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35.380000000000003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73.02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110.62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110.62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24.88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12.44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12.44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148.02000000000001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142.69999999999999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135.53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6BA-DE41-4336-84C3-BFFE0F2F09F8}">
  <dimension ref="B2:F48"/>
  <sheetViews>
    <sheetView workbookViewId="0">
      <selection activeCell="I7" sqref="I7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150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29.07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27.08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49.82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61.19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61.19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22.48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14.84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14.84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120.82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115.5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108.43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3F3D-281F-40AA-A435-912FD60AA6C1}">
  <dimension ref="B2:F49"/>
  <sheetViews>
    <sheetView workbookViewId="0">
      <selection activeCell="K7" sqref="K7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151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8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31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12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5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7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12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15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119.25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5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17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3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6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118.06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88.15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88.15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17.260000000000002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138.72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138.72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70.739999999999995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63.29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9.8000000000000007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9786-452F-4A75-85D9-88F9907AD34E}">
  <dimension ref="B2:F48"/>
  <sheetViews>
    <sheetView workbookViewId="0">
      <selection activeCell="I8" sqref="I8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152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24.07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32.119999999999997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73.02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110.53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110.53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24.68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12.34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12.34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120.82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115.5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108.43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A94D-AF6B-4AF5-A012-B6982FE433A3}">
  <dimension ref="B2:F51"/>
  <sheetViews>
    <sheetView workbookViewId="0">
      <selection activeCell="B12" sqref="B12:F1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153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79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80</v>
      </c>
      <c r="D24" s="72" t="s">
        <v>42</v>
      </c>
      <c r="E24" s="72">
        <v>1</v>
      </c>
      <c r="F24" s="72" t="s">
        <v>16</v>
      </c>
    </row>
    <row r="25" spans="2:6" ht="19.5">
      <c r="B25" s="112" t="s">
        <v>81</v>
      </c>
      <c r="C25" s="112" t="s">
        <v>65</v>
      </c>
      <c r="D25" s="112" t="s">
        <v>65</v>
      </c>
      <c r="E25" s="112" t="s">
        <v>65</v>
      </c>
      <c r="F25" s="112" t="s">
        <v>65</v>
      </c>
    </row>
    <row r="26" spans="2:6" ht="25.5">
      <c r="B26" s="70" t="s">
        <v>68</v>
      </c>
      <c r="C26" s="70" t="s">
        <v>7</v>
      </c>
      <c r="D26" s="70" t="s">
        <v>69</v>
      </c>
      <c r="E26" s="70" t="s">
        <v>8</v>
      </c>
      <c r="F26" s="70" t="s">
        <v>11</v>
      </c>
    </row>
    <row r="27" spans="2:6">
      <c r="B27" s="71">
        <v>1</v>
      </c>
      <c r="C27" s="72" t="s">
        <v>43</v>
      </c>
      <c r="D27" s="72" t="s">
        <v>82</v>
      </c>
      <c r="E27" s="72">
        <v>24.07</v>
      </c>
      <c r="F27" s="72" t="s">
        <v>17</v>
      </c>
    </row>
    <row r="28" spans="2:6">
      <c r="B28" s="73">
        <v>2</v>
      </c>
      <c r="C28" s="74" t="s">
        <v>43</v>
      </c>
      <c r="D28" s="74" t="s">
        <v>83</v>
      </c>
      <c r="E28" s="74">
        <v>35.78</v>
      </c>
      <c r="F28" s="74" t="s">
        <v>17</v>
      </c>
    </row>
    <row r="29" spans="2:6" ht="19.5">
      <c r="B29" s="112" t="s">
        <v>84</v>
      </c>
      <c r="C29" s="112" t="s">
        <v>65</v>
      </c>
      <c r="D29" s="112" t="s">
        <v>65</v>
      </c>
      <c r="E29" s="112" t="s">
        <v>65</v>
      </c>
      <c r="F29" s="112" t="s">
        <v>65</v>
      </c>
    </row>
    <row r="30" spans="2:6" ht="25.5">
      <c r="B30" s="70" t="s">
        <v>68</v>
      </c>
      <c r="C30" s="70" t="s">
        <v>7</v>
      </c>
      <c r="D30" s="70" t="s">
        <v>69</v>
      </c>
      <c r="E30" s="70" t="s">
        <v>8</v>
      </c>
      <c r="F30" s="70" t="s">
        <v>11</v>
      </c>
    </row>
    <row r="31" spans="2:6">
      <c r="B31" s="71">
        <v>1</v>
      </c>
      <c r="C31" s="72" t="s">
        <v>85</v>
      </c>
      <c r="D31" s="72" t="s">
        <v>47</v>
      </c>
      <c r="E31" s="72">
        <v>3</v>
      </c>
      <c r="F31" s="72" t="s">
        <v>16</v>
      </c>
    </row>
    <row r="32" spans="2:6">
      <c r="B32" s="73">
        <v>2</v>
      </c>
      <c r="C32" s="74" t="s">
        <v>85</v>
      </c>
      <c r="D32" s="74" t="s">
        <v>48</v>
      </c>
      <c r="E32" s="74">
        <v>5</v>
      </c>
      <c r="F32" s="74" t="s">
        <v>16</v>
      </c>
    </row>
    <row r="33" spans="2:6">
      <c r="B33" s="71">
        <v>3</v>
      </c>
      <c r="C33" s="72" t="s">
        <v>85</v>
      </c>
      <c r="D33" s="72" t="s">
        <v>50</v>
      </c>
      <c r="E33" s="72">
        <v>1</v>
      </c>
      <c r="F33" s="72" t="s">
        <v>16</v>
      </c>
    </row>
    <row r="34" spans="2:6">
      <c r="B34" s="73">
        <v>4</v>
      </c>
      <c r="C34" s="74" t="s">
        <v>86</v>
      </c>
      <c r="D34" s="74" t="s">
        <v>52</v>
      </c>
      <c r="E34" s="74">
        <v>3</v>
      </c>
      <c r="F34" s="74" t="s">
        <v>16</v>
      </c>
    </row>
    <row r="35" spans="2:6" ht="19.5">
      <c r="B35" s="112" t="s">
        <v>87</v>
      </c>
      <c r="C35" s="112" t="s">
        <v>65</v>
      </c>
      <c r="D35" s="112" t="s">
        <v>65</v>
      </c>
      <c r="E35" s="112" t="s">
        <v>65</v>
      </c>
      <c r="F35" s="112" t="s">
        <v>65</v>
      </c>
    </row>
    <row r="36" spans="2:6" ht="25.5">
      <c r="B36" s="70" t="s">
        <v>68</v>
      </c>
      <c r="C36" s="70" t="s">
        <v>7</v>
      </c>
      <c r="D36" s="70" t="s">
        <v>69</v>
      </c>
      <c r="E36" s="70" t="s">
        <v>8</v>
      </c>
      <c r="F36" s="70" t="s">
        <v>11</v>
      </c>
    </row>
    <row r="37" spans="2:6">
      <c r="B37" s="71">
        <v>1</v>
      </c>
      <c r="C37" s="72" t="s">
        <v>63</v>
      </c>
      <c r="D37" s="72" t="s">
        <v>53</v>
      </c>
      <c r="E37" s="72">
        <v>63.56</v>
      </c>
      <c r="F37" s="72" t="s">
        <v>17</v>
      </c>
    </row>
    <row r="38" spans="2:6">
      <c r="B38" s="73">
        <v>2</v>
      </c>
      <c r="C38" s="74" t="s">
        <v>63</v>
      </c>
      <c r="D38" s="74" t="s">
        <v>54</v>
      </c>
      <c r="E38" s="74">
        <v>59.55</v>
      </c>
      <c r="F38" s="74" t="s">
        <v>17</v>
      </c>
    </row>
    <row r="39" spans="2:6">
      <c r="B39" s="71">
        <v>3</v>
      </c>
      <c r="C39" s="72" t="s">
        <v>63</v>
      </c>
      <c r="D39" s="72" t="s">
        <v>55</v>
      </c>
      <c r="E39" s="72">
        <v>59.55</v>
      </c>
      <c r="F39" s="72" t="s">
        <v>17</v>
      </c>
    </row>
    <row r="40" spans="2:6">
      <c r="B40" s="73">
        <v>4</v>
      </c>
      <c r="C40" s="74" t="s">
        <v>63</v>
      </c>
      <c r="D40" s="74" t="s">
        <v>56</v>
      </c>
      <c r="E40" s="74">
        <v>15.28</v>
      </c>
      <c r="F40" s="74" t="s">
        <v>17</v>
      </c>
    </row>
    <row r="41" spans="2:6">
      <c r="B41" s="71">
        <v>5</v>
      </c>
      <c r="C41" s="72" t="s">
        <v>63</v>
      </c>
      <c r="D41" s="72" t="s">
        <v>57</v>
      </c>
      <c r="E41" s="72">
        <v>52.78</v>
      </c>
      <c r="F41" s="72" t="s">
        <v>17</v>
      </c>
    </row>
    <row r="42" spans="2:6">
      <c r="B42" s="73">
        <v>6</v>
      </c>
      <c r="C42" s="74" t="s">
        <v>63</v>
      </c>
      <c r="D42" s="74" t="s">
        <v>58</v>
      </c>
      <c r="E42" s="74">
        <v>52.78</v>
      </c>
      <c r="F42" s="74" t="s">
        <v>17</v>
      </c>
    </row>
    <row r="43" spans="2:6" ht="19.5">
      <c r="B43" s="113" t="s">
        <v>88</v>
      </c>
      <c r="C43" s="113" t="s">
        <v>65</v>
      </c>
      <c r="D43" s="113" t="s">
        <v>65</v>
      </c>
      <c r="E43" s="113" t="s">
        <v>65</v>
      </c>
      <c r="F43" s="113" t="s">
        <v>65</v>
      </c>
    </row>
    <row r="44" spans="2:6" ht="19.5">
      <c r="B44" s="112" t="s">
        <v>81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43</v>
      </c>
      <c r="D46" s="72" t="s">
        <v>82</v>
      </c>
      <c r="E46" s="72">
        <v>120.82</v>
      </c>
      <c r="F46" s="72" t="s">
        <v>17</v>
      </c>
    </row>
    <row r="47" spans="2:6" ht="19.5">
      <c r="B47" s="112" t="s">
        <v>89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90</v>
      </c>
      <c r="D49" s="72" t="s">
        <v>91</v>
      </c>
      <c r="E49" s="72">
        <v>115.5</v>
      </c>
      <c r="F49" s="72" t="s">
        <v>17</v>
      </c>
    </row>
    <row r="50" spans="2:6">
      <c r="B50" s="73">
        <v>2</v>
      </c>
      <c r="C50" s="74" t="s">
        <v>92</v>
      </c>
      <c r="D50" s="74" t="s">
        <v>93</v>
      </c>
      <c r="E50" s="74">
        <v>108.43</v>
      </c>
      <c r="F50" s="74" t="s">
        <v>17</v>
      </c>
    </row>
    <row r="51" spans="2:6" ht="19.5">
      <c r="B51" s="75" t="s">
        <v>65</v>
      </c>
      <c r="C51" s="75" t="s">
        <v>65</v>
      </c>
      <c r="D51" s="75" t="s">
        <v>65</v>
      </c>
      <c r="E51" s="75" t="s">
        <v>65</v>
      </c>
      <c r="F51" s="75" t="s">
        <v>65</v>
      </c>
    </row>
  </sheetData>
  <mergeCells count="12">
    <mergeCell ref="B47:F47"/>
    <mergeCell ref="B2:F2"/>
    <mergeCell ref="B3:F3"/>
    <mergeCell ref="B4:F4"/>
    <mergeCell ref="B12:F12"/>
    <mergeCell ref="B16:F16"/>
    <mergeCell ref="B22:F22"/>
    <mergeCell ref="B25:F25"/>
    <mergeCell ref="B29:F29"/>
    <mergeCell ref="B35:F35"/>
    <mergeCell ref="B43:F43"/>
    <mergeCell ref="B44:F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F839-994F-4B18-B07D-28D9332FFAB6}">
  <dimension ref="B2:F49"/>
  <sheetViews>
    <sheetView workbookViewId="0">
      <selection activeCell="H6" sqref="H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154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11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45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13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4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9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13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27.2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132.75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4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24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5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10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236.52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242.44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242.44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17.88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123.88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123.88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105.29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97.87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9.6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1B91-1E27-490D-B126-0AD313EF14F4}">
  <dimension ref="B2:F49"/>
  <sheetViews>
    <sheetView workbookViewId="0">
      <selection activeCell="H10" sqref="H10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155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14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3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24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15</v>
      </c>
      <c r="F18" s="74" t="s">
        <v>16</v>
      </c>
    </row>
    <row r="19" spans="2:6" ht="25.5">
      <c r="B19" s="71">
        <v>3</v>
      </c>
      <c r="C19" s="72" t="s">
        <v>76</v>
      </c>
      <c r="D19" s="72" t="s">
        <v>38</v>
      </c>
      <c r="E19" s="72">
        <v>9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24</v>
      </c>
      <c r="F20" s="74" t="s">
        <v>16</v>
      </c>
    </row>
    <row r="21" spans="2:6" ht="19.5">
      <c r="B21" s="112" t="s">
        <v>81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43</v>
      </c>
      <c r="D23" s="72" t="s">
        <v>82</v>
      </c>
      <c r="E23" s="72">
        <v>13.77</v>
      </c>
      <c r="F23" s="72" t="s">
        <v>17</v>
      </c>
    </row>
    <row r="24" spans="2:6">
      <c r="B24" s="73">
        <v>2</v>
      </c>
      <c r="C24" s="74" t="s">
        <v>43</v>
      </c>
      <c r="D24" s="74" t="s">
        <v>83</v>
      </c>
      <c r="E24" s="74">
        <v>130.69999999999999</v>
      </c>
      <c r="F24" s="74" t="s">
        <v>17</v>
      </c>
    </row>
    <row r="25" spans="2:6" ht="19.5">
      <c r="B25" s="112" t="s">
        <v>84</v>
      </c>
      <c r="C25" s="112" t="s">
        <v>65</v>
      </c>
      <c r="D25" s="112" t="s">
        <v>65</v>
      </c>
      <c r="E25" s="112" t="s">
        <v>65</v>
      </c>
      <c r="F25" s="112" t="s">
        <v>65</v>
      </c>
    </row>
    <row r="26" spans="2:6" ht="25.5">
      <c r="B26" s="70" t="s">
        <v>68</v>
      </c>
      <c r="C26" s="70" t="s">
        <v>7</v>
      </c>
      <c r="D26" s="70" t="s">
        <v>69</v>
      </c>
      <c r="E26" s="70" t="s">
        <v>8</v>
      </c>
      <c r="F26" s="70" t="s">
        <v>11</v>
      </c>
    </row>
    <row r="27" spans="2:6">
      <c r="B27" s="71">
        <v>1</v>
      </c>
      <c r="C27" s="72" t="s">
        <v>85</v>
      </c>
      <c r="D27" s="72" t="s">
        <v>47</v>
      </c>
      <c r="E27" s="72">
        <v>15</v>
      </c>
      <c r="F27" s="72" t="s">
        <v>16</v>
      </c>
    </row>
    <row r="28" spans="2:6">
      <c r="B28" s="73">
        <v>2</v>
      </c>
      <c r="C28" s="74" t="s">
        <v>85</v>
      </c>
      <c r="D28" s="74" t="s">
        <v>48</v>
      </c>
      <c r="E28" s="74">
        <v>5</v>
      </c>
      <c r="F28" s="74" t="s">
        <v>16</v>
      </c>
    </row>
    <row r="29" spans="2:6">
      <c r="B29" s="71">
        <v>3</v>
      </c>
      <c r="C29" s="72" t="s">
        <v>85</v>
      </c>
      <c r="D29" s="72" t="s">
        <v>49</v>
      </c>
      <c r="E29" s="72">
        <v>2</v>
      </c>
      <c r="F29" s="72" t="s">
        <v>16</v>
      </c>
    </row>
    <row r="30" spans="2:6">
      <c r="B30" s="73">
        <v>4</v>
      </c>
      <c r="C30" s="74" t="s">
        <v>85</v>
      </c>
      <c r="D30" s="74" t="s">
        <v>50</v>
      </c>
      <c r="E30" s="74">
        <v>3</v>
      </c>
      <c r="F30" s="74" t="s">
        <v>16</v>
      </c>
    </row>
    <row r="31" spans="2:6">
      <c r="B31" s="71">
        <v>5</v>
      </c>
      <c r="C31" s="72" t="s">
        <v>86</v>
      </c>
      <c r="D31" s="72" t="s">
        <v>52</v>
      </c>
      <c r="E31" s="72">
        <v>3</v>
      </c>
      <c r="F31" s="72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82.38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66.5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66.5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39.020000000000003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184.86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184.86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22.07</v>
      </c>
      <c r="F43" s="72" t="s">
        <v>17</v>
      </c>
    </row>
    <row r="44" spans="2:6">
      <c r="B44" s="73">
        <v>2</v>
      </c>
      <c r="C44" s="74" t="s">
        <v>43</v>
      </c>
      <c r="D44" s="74" t="s">
        <v>83</v>
      </c>
      <c r="E44" s="74">
        <v>1.1000000000000001</v>
      </c>
      <c r="F44" s="74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22.07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10.97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1">
    <mergeCell ref="B21:F21"/>
    <mergeCell ref="B2:F2"/>
    <mergeCell ref="B3:F3"/>
    <mergeCell ref="B4:F4"/>
    <mergeCell ref="B11:F11"/>
    <mergeCell ref="B15:F15"/>
    <mergeCell ref="B25:F25"/>
    <mergeCell ref="B32:F32"/>
    <mergeCell ref="B40:F40"/>
    <mergeCell ref="B41:F41"/>
    <mergeCell ref="B45:F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B9AF-A40B-4439-A06D-14A61FAD1656}">
  <dimension ref="B2:F48"/>
  <sheetViews>
    <sheetView topLeftCell="A34" workbookViewId="0">
      <selection activeCell="H47" sqref="H47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156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2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15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5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21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14</v>
      </c>
      <c r="F18" s="74" t="s">
        <v>16</v>
      </c>
    </row>
    <row r="19" spans="2:6" ht="25.5">
      <c r="B19" s="71">
        <v>3</v>
      </c>
      <c r="C19" s="72" t="s">
        <v>76</v>
      </c>
      <c r="D19" s="72" t="s">
        <v>38</v>
      </c>
      <c r="E19" s="72">
        <v>7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21</v>
      </c>
      <c r="F20" s="74" t="s">
        <v>16</v>
      </c>
    </row>
    <row r="21" spans="2:6" ht="19.5">
      <c r="B21" s="112" t="s">
        <v>81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43</v>
      </c>
      <c r="D23" s="72" t="s">
        <v>82</v>
      </c>
      <c r="E23" s="72">
        <v>13.77</v>
      </c>
      <c r="F23" s="72" t="s">
        <v>17</v>
      </c>
    </row>
    <row r="24" spans="2:6">
      <c r="B24" s="73">
        <v>2</v>
      </c>
      <c r="C24" s="74" t="s">
        <v>43</v>
      </c>
      <c r="D24" s="74" t="s">
        <v>83</v>
      </c>
      <c r="E24" s="74">
        <v>127.92</v>
      </c>
      <c r="F24" s="74" t="s">
        <v>17</v>
      </c>
    </row>
    <row r="25" spans="2:6" ht="19.5">
      <c r="B25" s="112" t="s">
        <v>84</v>
      </c>
      <c r="C25" s="112" t="s">
        <v>65</v>
      </c>
      <c r="D25" s="112" t="s">
        <v>65</v>
      </c>
      <c r="E25" s="112" t="s">
        <v>65</v>
      </c>
      <c r="F25" s="112" t="s">
        <v>65</v>
      </c>
    </row>
    <row r="26" spans="2:6" ht="25.5">
      <c r="B26" s="70" t="s">
        <v>68</v>
      </c>
      <c r="C26" s="70" t="s">
        <v>7</v>
      </c>
      <c r="D26" s="70" t="s">
        <v>69</v>
      </c>
      <c r="E26" s="70" t="s">
        <v>8</v>
      </c>
      <c r="F26" s="70" t="s">
        <v>11</v>
      </c>
    </row>
    <row r="27" spans="2:6">
      <c r="B27" s="71">
        <v>1</v>
      </c>
      <c r="C27" s="72" t="s">
        <v>85</v>
      </c>
      <c r="D27" s="72" t="s">
        <v>47</v>
      </c>
      <c r="E27" s="72">
        <v>14</v>
      </c>
      <c r="F27" s="72" t="s">
        <v>16</v>
      </c>
    </row>
    <row r="28" spans="2:6">
      <c r="B28" s="73">
        <v>2</v>
      </c>
      <c r="C28" s="74" t="s">
        <v>85</v>
      </c>
      <c r="D28" s="74" t="s">
        <v>48</v>
      </c>
      <c r="E28" s="74">
        <v>5</v>
      </c>
      <c r="F28" s="74" t="s">
        <v>16</v>
      </c>
    </row>
    <row r="29" spans="2:6">
      <c r="B29" s="71">
        <v>3</v>
      </c>
      <c r="C29" s="72" t="s">
        <v>85</v>
      </c>
      <c r="D29" s="72" t="s">
        <v>50</v>
      </c>
      <c r="E29" s="72">
        <v>3</v>
      </c>
      <c r="F29" s="72" t="s">
        <v>16</v>
      </c>
    </row>
    <row r="30" spans="2:6">
      <c r="B30" s="73">
        <v>4</v>
      </c>
      <c r="C30" s="74" t="s">
        <v>86</v>
      </c>
      <c r="D30" s="74" t="s">
        <v>52</v>
      </c>
      <c r="E30" s="74">
        <v>3</v>
      </c>
      <c r="F30" s="74" t="s">
        <v>16</v>
      </c>
    </row>
    <row r="31" spans="2:6" ht="19.5">
      <c r="B31" s="112" t="s">
        <v>87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63</v>
      </c>
      <c r="D33" s="72" t="s">
        <v>53</v>
      </c>
      <c r="E33" s="72">
        <v>63.58</v>
      </c>
      <c r="F33" s="72" t="s">
        <v>17</v>
      </c>
    </row>
    <row r="34" spans="2:6">
      <c r="B34" s="73">
        <v>2</v>
      </c>
      <c r="C34" s="74" t="s">
        <v>63</v>
      </c>
      <c r="D34" s="74" t="s">
        <v>54</v>
      </c>
      <c r="E34" s="74">
        <v>52.4</v>
      </c>
      <c r="F34" s="74" t="s">
        <v>17</v>
      </c>
    </row>
    <row r="35" spans="2:6">
      <c r="B35" s="71">
        <v>3</v>
      </c>
      <c r="C35" s="72" t="s">
        <v>63</v>
      </c>
      <c r="D35" s="72" t="s">
        <v>55</v>
      </c>
      <c r="E35" s="72">
        <v>52.4</v>
      </c>
      <c r="F35" s="72" t="s">
        <v>17</v>
      </c>
    </row>
    <row r="36" spans="2:6">
      <c r="B36" s="73">
        <v>4</v>
      </c>
      <c r="C36" s="74" t="s">
        <v>63</v>
      </c>
      <c r="D36" s="74" t="s">
        <v>56</v>
      </c>
      <c r="E36" s="74">
        <v>29.42</v>
      </c>
      <c r="F36" s="74" t="s">
        <v>17</v>
      </c>
    </row>
    <row r="37" spans="2:6">
      <c r="B37" s="71">
        <v>5</v>
      </c>
      <c r="C37" s="72" t="s">
        <v>63</v>
      </c>
      <c r="D37" s="72" t="s">
        <v>57</v>
      </c>
      <c r="E37" s="72">
        <v>148.41</v>
      </c>
      <c r="F37" s="72" t="s">
        <v>17</v>
      </c>
    </row>
    <row r="38" spans="2:6">
      <c r="B38" s="73">
        <v>6</v>
      </c>
      <c r="C38" s="74" t="s">
        <v>63</v>
      </c>
      <c r="D38" s="74" t="s">
        <v>58</v>
      </c>
      <c r="E38" s="74">
        <v>148.41</v>
      </c>
      <c r="F38" s="74" t="s">
        <v>17</v>
      </c>
    </row>
    <row r="39" spans="2:6" ht="19.5">
      <c r="B39" s="113" t="s">
        <v>88</v>
      </c>
      <c r="C39" s="113" t="s">
        <v>65</v>
      </c>
      <c r="D39" s="113" t="s">
        <v>65</v>
      </c>
      <c r="E39" s="113" t="s">
        <v>65</v>
      </c>
      <c r="F39" s="113" t="s">
        <v>65</v>
      </c>
    </row>
    <row r="40" spans="2:6" ht="19.5">
      <c r="B40" s="112" t="s">
        <v>81</v>
      </c>
      <c r="C40" s="112" t="s">
        <v>65</v>
      </c>
      <c r="D40" s="112" t="s">
        <v>65</v>
      </c>
      <c r="E40" s="112" t="s">
        <v>65</v>
      </c>
      <c r="F40" s="112" t="s">
        <v>65</v>
      </c>
    </row>
    <row r="41" spans="2:6" ht="25.5">
      <c r="B41" s="70" t="s">
        <v>68</v>
      </c>
      <c r="C41" s="70" t="s">
        <v>7</v>
      </c>
      <c r="D41" s="70" t="s">
        <v>69</v>
      </c>
      <c r="E41" s="70" t="s">
        <v>8</v>
      </c>
      <c r="F41" s="70" t="s">
        <v>11</v>
      </c>
    </row>
    <row r="42" spans="2:6">
      <c r="B42" s="71">
        <v>1</v>
      </c>
      <c r="C42" s="72" t="s">
        <v>43</v>
      </c>
      <c r="D42" s="72" t="s">
        <v>82</v>
      </c>
      <c r="E42" s="72">
        <v>15.17</v>
      </c>
      <c r="F42" s="72" t="s">
        <v>17</v>
      </c>
    </row>
    <row r="43" spans="2:6">
      <c r="B43" s="73">
        <v>2</v>
      </c>
      <c r="C43" s="74" t="s">
        <v>43</v>
      </c>
      <c r="D43" s="74" t="s">
        <v>83</v>
      </c>
      <c r="E43" s="74">
        <v>1.1000000000000001</v>
      </c>
      <c r="F43" s="74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15.17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10.97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1:F21"/>
    <mergeCell ref="B2:F2"/>
    <mergeCell ref="B3:F3"/>
    <mergeCell ref="B4:F4"/>
    <mergeCell ref="B11:F11"/>
    <mergeCell ref="B15:F15"/>
    <mergeCell ref="B25:F25"/>
    <mergeCell ref="B31:F31"/>
    <mergeCell ref="B39:F39"/>
    <mergeCell ref="B40:F40"/>
    <mergeCell ref="B44:F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EF20-9F76-40B6-BD41-F0EBA4340B1F}">
  <dimension ref="B2:F48"/>
  <sheetViews>
    <sheetView workbookViewId="0">
      <selection activeCell="J5" sqref="J5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157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29.07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26.98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27.74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42.75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42.75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15.08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7.54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7.54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120.82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115.5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108.43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4068-652A-4348-AEA9-F8E258B299F8}">
  <dimension ref="B2:F60"/>
  <sheetViews>
    <sheetView workbookViewId="0">
      <selection activeCell="I56" sqref="I5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158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8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31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11</v>
      </c>
      <c r="F16" s="72" t="s">
        <v>16</v>
      </c>
    </row>
    <row r="17" spans="2:6">
      <c r="B17" s="73">
        <v>2</v>
      </c>
      <c r="C17" s="74" t="s">
        <v>75</v>
      </c>
      <c r="D17" s="74" t="s">
        <v>36</v>
      </c>
      <c r="E17" s="74">
        <v>7</v>
      </c>
      <c r="F17" s="74" t="s">
        <v>16</v>
      </c>
    </row>
    <row r="18" spans="2:6">
      <c r="B18" s="71">
        <v>3</v>
      </c>
      <c r="C18" s="72" t="s">
        <v>76</v>
      </c>
      <c r="D18" s="72" t="s">
        <v>37</v>
      </c>
      <c r="E18" s="72">
        <v>5</v>
      </c>
      <c r="F18" s="72" t="s">
        <v>16</v>
      </c>
    </row>
    <row r="19" spans="2:6" ht="25.5">
      <c r="B19" s="73">
        <v>4</v>
      </c>
      <c r="C19" s="74" t="s">
        <v>76</v>
      </c>
      <c r="D19" s="74" t="s">
        <v>38</v>
      </c>
      <c r="E19" s="74">
        <v>6</v>
      </c>
      <c r="F19" s="74" t="s">
        <v>16</v>
      </c>
    </row>
    <row r="20" spans="2:6">
      <c r="B20" s="71">
        <v>5</v>
      </c>
      <c r="C20" s="72" t="s">
        <v>76</v>
      </c>
      <c r="D20" s="72" t="s">
        <v>39</v>
      </c>
      <c r="E20" s="72">
        <v>7</v>
      </c>
      <c r="F20" s="72" t="s">
        <v>16</v>
      </c>
    </row>
    <row r="21" spans="2:6">
      <c r="B21" s="73">
        <v>6</v>
      </c>
      <c r="C21" s="74" t="s">
        <v>78</v>
      </c>
      <c r="D21" s="74" t="s">
        <v>40</v>
      </c>
      <c r="E21" s="74">
        <v>11</v>
      </c>
      <c r="F21" s="74" t="s">
        <v>16</v>
      </c>
    </row>
    <row r="22" spans="2:6">
      <c r="B22" s="71">
        <v>7</v>
      </c>
      <c r="C22" s="72" t="s">
        <v>78</v>
      </c>
      <c r="D22" s="72" t="s">
        <v>41</v>
      </c>
      <c r="E22" s="72">
        <v>7</v>
      </c>
      <c r="F22" s="72" t="s">
        <v>16</v>
      </c>
    </row>
    <row r="23" spans="2:6" ht="19.5">
      <c r="B23" s="112" t="s">
        <v>79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80</v>
      </c>
      <c r="D25" s="72" t="s">
        <v>42</v>
      </c>
      <c r="E25" s="72">
        <v>1</v>
      </c>
      <c r="F25" s="72" t="s">
        <v>16</v>
      </c>
    </row>
    <row r="26" spans="2:6" ht="19.5">
      <c r="B26" s="112" t="s">
        <v>81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43</v>
      </c>
      <c r="D28" s="72" t="s">
        <v>82</v>
      </c>
      <c r="E28" s="72">
        <v>11.27</v>
      </c>
      <c r="F28" s="72" t="s">
        <v>17</v>
      </c>
    </row>
    <row r="29" spans="2:6">
      <c r="B29" s="73">
        <v>2</v>
      </c>
      <c r="C29" s="74" t="s">
        <v>43</v>
      </c>
      <c r="D29" s="74" t="s">
        <v>83</v>
      </c>
      <c r="E29" s="74">
        <v>0.3</v>
      </c>
      <c r="F29" s="74" t="s">
        <v>17</v>
      </c>
    </row>
    <row r="30" spans="2:6" ht="19.5">
      <c r="B30" s="112" t="s">
        <v>84</v>
      </c>
      <c r="C30" s="112" t="s">
        <v>65</v>
      </c>
      <c r="D30" s="112" t="s">
        <v>65</v>
      </c>
      <c r="E30" s="112" t="s">
        <v>65</v>
      </c>
      <c r="F30" s="112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85</v>
      </c>
      <c r="D32" s="72" t="s">
        <v>47</v>
      </c>
      <c r="E32" s="72">
        <v>5</v>
      </c>
      <c r="F32" s="72" t="s">
        <v>16</v>
      </c>
    </row>
    <row r="33" spans="2:6">
      <c r="B33" s="73">
        <v>2</v>
      </c>
      <c r="C33" s="74" t="s">
        <v>85</v>
      </c>
      <c r="D33" s="74" t="s">
        <v>48</v>
      </c>
      <c r="E33" s="74">
        <v>17</v>
      </c>
      <c r="F33" s="74" t="s">
        <v>16</v>
      </c>
    </row>
    <row r="34" spans="2:6">
      <c r="B34" s="71">
        <v>3</v>
      </c>
      <c r="C34" s="72" t="s">
        <v>85</v>
      </c>
      <c r="D34" s="72" t="s">
        <v>50</v>
      </c>
      <c r="E34" s="72">
        <v>3</v>
      </c>
      <c r="F34" s="72" t="s">
        <v>16</v>
      </c>
    </row>
    <row r="35" spans="2:6">
      <c r="B35" s="73">
        <v>4</v>
      </c>
      <c r="C35" s="74" t="s">
        <v>86</v>
      </c>
      <c r="D35" s="74" t="s">
        <v>52</v>
      </c>
      <c r="E35" s="74">
        <v>6</v>
      </c>
      <c r="F35" s="74" t="s">
        <v>16</v>
      </c>
    </row>
    <row r="36" spans="2:6" ht="19.5">
      <c r="B36" s="112" t="s">
        <v>135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136</v>
      </c>
      <c r="D38" s="72" t="s">
        <v>137</v>
      </c>
      <c r="E38" s="72">
        <v>7</v>
      </c>
      <c r="F38" s="72" t="s">
        <v>16</v>
      </c>
    </row>
    <row r="39" spans="2:6" ht="19.5">
      <c r="B39" s="112" t="s">
        <v>87</v>
      </c>
      <c r="C39" s="112" t="s">
        <v>65</v>
      </c>
      <c r="D39" s="112" t="s">
        <v>65</v>
      </c>
      <c r="E39" s="112" t="s">
        <v>65</v>
      </c>
      <c r="F39" s="112" t="s">
        <v>65</v>
      </c>
    </row>
    <row r="40" spans="2:6" ht="25.5">
      <c r="B40" s="70" t="s">
        <v>68</v>
      </c>
      <c r="C40" s="70" t="s">
        <v>7</v>
      </c>
      <c r="D40" s="70" t="s">
        <v>69</v>
      </c>
      <c r="E40" s="70" t="s">
        <v>8</v>
      </c>
      <c r="F40" s="70" t="s">
        <v>11</v>
      </c>
    </row>
    <row r="41" spans="2:6">
      <c r="B41" s="71">
        <v>1</v>
      </c>
      <c r="C41" s="72" t="s">
        <v>63</v>
      </c>
      <c r="D41" s="72" t="s">
        <v>53</v>
      </c>
      <c r="E41" s="72">
        <v>117.54</v>
      </c>
      <c r="F41" s="72" t="s">
        <v>17</v>
      </c>
    </row>
    <row r="42" spans="2:6">
      <c r="B42" s="73">
        <v>2</v>
      </c>
      <c r="C42" s="74" t="s">
        <v>63</v>
      </c>
      <c r="D42" s="74" t="s">
        <v>54</v>
      </c>
      <c r="E42" s="74">
        <v>86.98</v>
      </c>
      <c r="F42" s="74" t="s">
        <v>17</v>
      </c>
    </row>
    <row r="43" spans="2:6">
      <c r="B43" s="71">
        <v>3</v>
      </c>
      <c r="C43" s="72" t="s">
        <v>63</v>
      </c>
      <c r="D43" s="72" t="s">
        <v>55</v>
      </c>
      <c r="E43" s="72">
        <v>86.98</v>
      </c>
      <c r="F43" s="72" t="s">
        <v>17</v>
      </c>
    </row>
    <row r="44" spans="2:6">
      <c r="B44" s="73">
        <v>4</v>
      </c>
      <c r="C44" s="74" t="s">
        <v>63</v>
      </c>
      <c r="D44" s="74" t="s">
        <v>56</v>
      </c>
      <c r="E44" s="74">
        <v>19.02</v>
      </c>
      <c r="F44" s="74" t="s">
        <v>17</v>
      </c>
    </row>
    <row r="45" spans="2:6">
      <c r="B45" s="71">
        <v>5</v>
      </c>
      <c r="C45" s="72" t="s">
        <v>63</v>
      </c>
      <c r="D45" s="72" t="s">
        <v>57</v>
      </c>
      <c r="E45" s="72">
        <v>300.27999999999997</v>
      </c>
      <c r="F45" s="72" t="s">
        <v>17</v>
      </c>
    </row>
    <row r="46" spans="2:6">
      <c r="B46" s="73">
        <v>6</v>
      </c>
      <c r="C46" s="74" t="s">
        <v>63</v>
      </c>
      <c r="D46" s="74" t="s">
        <v>58</v>
      </c>
      <c r="E46" s="74">
        <v>300.27999999999997</v>
      </c>
      <c r="F46" s="74" t="s">
        <v>17</v>
      </c>
    </row>
    <row r="47" spans="2:6" ht="19.5">
      <c r="B47" s="112" t="s">
        <v>138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139</v>
      </c>
      <c r="D49" s="72" t="s">
        <v>140</v>
      </c>
      <c r="E49" s="72">
        <v>18.91</v>
      </c>
      <c r="F49" s="72" t="s">
        <v>17</v>
      </c>
    </row>
    <row r="50" spans="2:6">
      <c r="B50" s="73">
        <v>2</v>
      </c>
      <c r="C50" s="74" t="s">
        <v>139</v>
      </c>
      <c r="D50" s="74" t="s">
        <v>141</v>
      </c>
      <c r="E50" s="74">
        <v>118.46</v>
      </c>
      <c r="F50" s="74" t="s">
        <v>17</v>
      </c>
    </row>
    <row r="51" spans="2:6" ht="19.5">
      <c r="B51" s="113" t="s">
        <v>88</v>
      </c>
      <c r="C51" s="113" t="s">
        <v>65</v>
      </c>
      <c r="D51" s="113" t="s">
        <v>65</v>
      </c>
      <c r="E51" s="113" t="s">
        <v>65</v>
      </c>
      <c r="F51" s="113" t="s">
        <v>65</v>
      </c>
    </row>
    <row r="52" spans="2:6" ht="19.5">
      <c r="B52" s="112" t="s">
        <v>89</v>
      </c>
      <c r="C52" s="112" t="s">
        <v>65</v>
      </c>
      <c r="D52" s="112" t="s">
        <v>65</v>
      </c>
      <c r="E52" s="112" t="s">
        <v>65</v>
      </c>
      <c r="F52" s="112" t="s">
        <v>65</v>
      </c>
    </row>
    <row r="53" spans="2:6" ht="25.5">
      <c r="B53" s="70" t="s">
        <v>68</v>
      </c>
      <c r="C53" s="70" t="s">
        <v>7</v>
      </c>
      <c r="D53" s="70" t="s">
        <v>69</v>
      </c>
      <c r="E53" s="70" t="s">
        <v>8</v>
      </c>
      <c r="F53" s="70" t="s">
        <v>11</v>
      </c>
    </row>
    <row r="54" spans="2:6">
      <c r="B54" s="71">
        <v>1</v>
      </c>
      <c r="C54" s="72" t="s">
        <v>90</v>
      </c>
      <c r="D54" s="72" t="s">
        <v>91</v>
      </c>
      <c r="E54" s="72">
        <v>72.94</v>
      </c>
      <c r="F54" s="72" t="s">
        <v>17</v>
      </c>
    </row>
    <row r="55" spans="2:6">
      <c r="B55" s="73">
        <v>2</v>
      </c>
      <c r="C55" s="74" t="s">
        <v>92</v>
      </c>
      <c r="D55" s="74" t="s">
        <v>93</v>
      </c>
      <c r="E55" s="74">
        <v>10.37</v>
      </c>
      <c r="F55" s="74" t="s">
        <v>17</v>
      </c>
    </row>
    <row r="56" spans="2:6" ht="19.5">
      <c r="B56" s="112" t="s">
        <v>138</v>
      </c>
      <c r="C56" s="112" t="s">
        <v>65</v>
      </c>
      <c r="D56" s="112" t="s">
        <v>65</v>
      </c>
      <c r="E56" s="112" t="s">
        <v>65</v>
      </c>
      <c r="F56" s="112" t="s">
        <v>65</v>
      </c>
    </row>
    <row r="57" spans="2:6" ht="25.5">
      <c r="B57" s="70" t="s">
        <v>68</v>
      </c>
      <c r="C57" s="70" t="s">
        <v>7</v>
      </c>
      <c r="D57" s="70" t="s">
        <v>69</v>
      </c>
      <c r="E57" s="70" t="s">
        <v>8</v>
      </c>
      <c r="F57" s="70" t="s">
        <v>11</v>
      </c>
    </row>
    <row r="58" spans="2:6">
      <c r="B58" s="71">
        <v>1</v>
      </c>
      <c r="C58" s="72" t="s">
        <v>139</v>
      </c>
      <c r="D58" s="72" t="s">
        <v>140</v>
      </c>
      <c r="E58" s="72">
        <v>65.95</v>
      </c>
      <c r="F58" s="72" t="s">
        <v>17</v>
      </c>
    </row>
    <row r="59" spans="2:6">
      <c r="B59" s="73">
        <v>2</v>
      </c>
      <c r="C59" s="74" t="s">
        <v>139</v>
      </c>
      <c r="D59" s="74" t="s">
        <v>141</v>
      </c>
      <c r="E59" s="74">
        <v>3.88</v>
      </c>
      <c r="F59" s="74" t="s">
        <v>17</v>
      </c>
    </row>
    <row r="60" spans="2:6" ht="19.5">
      <c r="B60" s="75" t="s">
        <v>65</v>
      </c>
      <c r="C60" s="75" t="s">
        <v>65</v>
      </c>
      <c r="D60" s="75" t="s">
        <v>65</v>
      </c>
      <c r="E60" s="75" t="s">
        <v>65</v>
      </c>
      <c r="F60" s="75" t="s">
        <v>65</v>
      </c>
    </row>
  </sheetData>
  <mergeCells count="14">
    <mergeCell ref="B23:F23"/>
    <mergeCell ref="B2:F2"/>
    <mergeCell ref="B3:F3"/>
    <mergeCell ref="B4:F4"/>
    <mergeCell ref="B11:F11"/>
    <mergeCell ref="B14:F14"/>
    <mergeCell ref="B52:F52"/>
    <mergeCell ref="B56:F56"/>
    <mergeCell ref="B26:F26"/>
    <mergeCell ref="B30:F30"/>
    <mergeCell ref="B36:F36"/>
    <mergeCell ref="B39:F39"/>
    <mergeCell ref="B47:F47"/>
    <mergeCell ref="B51:F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F741-A8D3-42AC-A2FC-E0DB2C8F683F}">
  <dimension ref="B2:F49"/>
  <sheetViews>
    <sheetView workbookViewId="0">
      <selection activeCell="D8" sqref="D8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159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8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31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11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5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6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11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15.77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119.86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5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17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3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6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114.34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87.38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87.38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20.2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141.58000000000001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141.58000000000001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60.62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56.66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10.37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F37D-CF16-44D2-8959-87426CCEE93E}">
  <dimension ref="B2:F48"/>
  <sheetViews>
    <sheetView workbookViewId="0">
      <selection activeCell="J6" sqref="J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160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29.07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27.38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64.42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107.09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107.09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25.08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12.54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12.54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120.82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115.5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108.43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282-B80B-4A73-A18C-F7ABCCBFB4CF}">
  <dimension ref="B2:F56"/>
  <sheetViews>
    <sheetView workbookViewId="0">
      <selection activeCell="B36" sqref="B36:F3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161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8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31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11</v>
      </c>
      <c r="F16" s="72" t="s">
        <v>16</v>
      </c>
    </row>
    <row r="17" spans="2:6">
      <c r="B17" s="73">
        <v>2</v>
      </c>
      <c r="C17" s="74" t="s">
        <v>75</v>
      </c>
      <c r="D17" s="74" t="s">
        <v>36</v>
      </c>
      <c r="E17" s="74">
        <v>7</v>
      </c>
      <c r="F17" s="74" t="s">
        <v>16</v>
      </c>
    </row>
    <row r="18" spans="2:6">
      <c r="B18" s="71">
        <v>3</v>
      </c>
      <c r="C18" s="72" t="s">
        <v>76</v>
      </c>
      <c r="D18" s="72" t="s">
        <v>37</v>
      </c>
      <c r="E18" s="72">
        <v>5</v>
      </c>
      <c r="F18" s="72" t="s">
        <v>16</v>
      </c>
    </row>
    <row r="19" spans="2:6" ht="25.5">
      <c r="B19" s="73">
        <v>4</v>
      </c>
      <c r="C19" s="74" t="s">
        <v>76</v>
      </c>
      <c r="D19" s="74" t="s">
        <v>38</v>
      </c>
      <c r="E19" s="74">
        <v>6</v>
      </c>
      <c r="F19" s="74" t="s">
        <v>16</v>
      </c>
    </row>
    <row r="20" spans="2:6">
      <c r="B20" s="71">
        <v>5</v>
      </c>
      <c r="C20" s="72" t="s">
        <v>76</v>
      </c>
      <c r="D20" s="72" t="s">
        <v>39</v>
      </c>
      <c r="E20" s="72">
        <v>7</v>
      </c>
      <c r="F20" s="72" t="s">
        <v>16</v>
      </c>
    </row>
    <row r="21" spans="2:6">
      <c r="B21" s="73">
        <v>6</v>
      </c>
      <c r="C21" s="74" t="s">
        <v>78</v>
      </c>
      <c r="D21" s="74" t="s">
        <v>40</v>
      </c>
      <c r="E21" s="74">
        <v>11</v>
      </c>
      <c r="F21" s="74" t="s">
        <v>16</v>
      </c>
    </row>
    <row r="22" spans="2:6">
      <c r="B22" s="71">
        <v>7</v>
      </c>
      <c r="C22" s="72" t="s">
        <v>78</v>
      </c>
      <c r="D22" s="72" t="s">
        <v>41</v>
      </c>
      <c r="E22" s="72">
        <v>7</v>
      </c>
      <c r="F22" s="72" t="s">
        <v>16</v>
      </c>
    </row>
    <row r="23" spans="2:6" ht="19.5">
      <c r="B23" s="112" t="s">
        <v>79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80</v>
      </c>
      <c r="D25" s="72" t="s">
        <v>42</v>
      </c>
      <c r="E25" s="72">
        <v>1</v>
      </c>
      <c r="F25" s="72" t="s">
        <v>16</v>
      </c>
    </row>
    <row r="26" spans="2:6" ht="19.5">
      <c r="B26" s="112" t="s">
        <v>81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43</v>
      </c>
      <c r="D28" s="72" t="s">
        <v>82</v>
      </c>
      <c r="E28" s="72">
        <v>30.17</v>
      </c>
      <c r="F28" s="72" t="s">
        <v>17</v>
      </c>
    </row>
    <row r="29" spans="2:6">
      <c r="B29" s="73">
        <v>2</v>
      </c>
      <c r="C29" s="74" t="s">
        <v>43</v>
      </c>
      <c r="D29" s="74" t="s">
        <v>83</v>
      </c>
      <c r="E29" s="74">
        <v>119.47</v>
      </c>
      <c r="F29" s="74" t="s">
        <v>17</v>
      </c>
    </row>
    <row r="30" spans="2:6" ht="19.5">
      <c r="B30" s="112" t="s">
        <v>84</v>
      </c>
      <c r="C30" s="112" t="s">
        <v>65</v>
      </c>
      <c r="D30" s="112" t="s">
        <v>65</v>
      </c>
      <c r="E30" s="112" t="s">
        <v>65</v>
      </c>
      <c r="F30" s="112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85</v>
      </c>
      <c r="D32" s="72" t="s">
        <v>47</v>
      </c>
      <c r="E32" s="72">
        <v>5</v>
      </c>
      <c r="F32" s="72" t="s">
        <v>16</v>
      </c>
    </row>
    <row r="33" spans="2:6">
      <c r="B33" s="73">
        <v>2</v>
      </c>
      <c r="C33" s="74" t="s">
        <v>85</v>
      </c>
      <c r="D33" s="74" t="s">
        <v>48</v>
      </c>
      <c r="E33" s="74">
        <v>17</v>
      </c>
      <c r="F33" s="74" t="s">
        <v>16</v>
      </c>
    </row>
    <row r="34" spans="2:6">
      <c r="B34" s="71">
        <v>3</v>
      </c>
      <c r="C34" s="72" t="s">
        <v>85</v>
      </c>
      <c r="D34" s="72" t="s">
        <v>50</v>
      </c>
      <c r="E34" s="72">
        <v>3</v>
      </c>
      <c r="F34" s="72" t="s">
        <v>16</v>
      </c>
    </row>
    <row r="35" spans="2:6">
      <c r="B35" s="73">
        <v>4</v>
      </c>
      <c r="C35" s="74" t="s">
        <v>86</v>
      </c>
      <c r="D35" s="74" t="s">
        <v>52</v>
      </c>
      <c r="E35" s="74">
        <v>6</v>
      </c>
      <c r="F35" s="74" t="s">
        <v>16</v>
      </c>
    </row>
    <row r="36" spans="2:6" ht="19.5">
      <c r="B36" s="112" t="s">
        <v>135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136</v>
      </c>
      <c r="D38" s="72" t="s">
        <v>137</v>
      </c>
      <c r="E38" s="72">
        <v>7</v>
      </c>
      <c r="F38" s="72" t="s">
        <v>16</v>
      </c>
    </row>
    <row r="39" spans="2:6" ht="19.5">
      <c r="B39" s="112" t="s">
        <v>87</v>
      </c>
      <c r="C39" s="112" t="s">
        <v>65</v>
      </c>
      <c r="D39" s="112" t="s">
        <v>65</v>
      </c>
      <c r="E39" s="112" t="s">
        <v>65</v>
      </c>
      <c r="F39" s="112" t="s">
        <v>65</v>
      </c>
    </row>
    <row r="40" spans="2:6" ht="25.5">
      <c r="B40" s="70" t="s">
        <v>68</v>
      </c>
      <c r="C40" s="70" t="s">
        <v>7</v>
      </c>
      <c r="D40" s="70" t="s">
        <v>69</v>
      </c>
      <c r="E40" s="70" t="s">
        <v>8</v>
      </c>
      <c r="F40" s="70" t="s">
        <v>11</v>
      </c>
    </row>
    <row r="41" spans="2:6">
      <c r="B41" s="71">
        <v>1</v>
      </c>
      <c r="C41" s="72" t="s">
        <v>63</v>
      </c>
      <c r="D41" s="72" t="s">
        <v>53</v>
      </c>
      <c r="E41" s="72">
        <v>98.94</v>
      </c>
      <c r="F41" s="72" t="s">
        <v>17</v>
      </c>
    </row>
    <row r="42" spans="2:6">
      <c r="B42" s="73">
        <v>2</v>
      </c>
      <c r="C42" s="74" t="s">
        <v>63</v>
      </c>
      <c r="D42" s="74" t="s">
        <v>54</v>
      </c>
      <c r="E42" s="74">
        <v>77.680000000000007</v>
      </c>
      <c r="F42" s="74" t="s">
        <v>17</v>
      </c>
    </row>
    <row r="43" spans="2:6">
      <c r="B43" s="71">
        <v>3</v>
      </c>
      <c r="C43" s="72" t="s">
        <v>63</v>
      </c>
      <c r="D43" s="72" t="s">
        <v>55</v>
      </c>
      <c r="E43" s="72">
        <v>77.680000000000007</v>
      </c>
      <c r="F43" s="72" t="s">
        <v>17</v>
      </c>
    </row>
    <row r="44" spans="2:6">
      <c r="B44" s="73">
        <v>4</v>
      </c>
      <c r="C44" s="74" t="s">
        <v>63</v>
      </c>
      <c r="D44" s="74" t="s">
        <v>56</v>
      </c>
      <c r="E44" s="74">
        <v>19</v>
      </c>
      <c r="F44" s="74" t="s">
        <v>17</v>
      </c>
    </row>
    <row r="45" spans="2:6">
      <c r="B45" s="71">
        <v>5</v>
      </c>
      <c r="C45" s="72" t="s">
        <v>63</v>
      </c>
      <c r="D45" s="72" t="s">
        <v>57</v>
      </c>
      <c r="E45" s="72">
        <v>301.75</v>
      </c>
      <c r="F45" s="72" t="s">
        <v>17</v>
      </c>
    </row>
    <row r="46" spans="2:6">
      <c r="B46" s="73">
        <v>6</v>
      </c>
      <c r="C46" s="74" t="s">
        <v>63</v>
      </c>
      <c r="D46" s="74" t="s">
        <v>58</v>
      </c>
      <c r="E46" s="74">
        <v>301.75</v>
      </c>
      <c r="F46" s="74" t="s">
        <v>17</v>
      </c>
    </row>
    <row r="47" spans="2:6" ht="19.5">
      <c r="B47" s="113" t="s">
        <v>88</v>
      </c>
      <c r="C47" s="113" t="s">
        <v>65</v>
      </c>
      <c r="D47" s="113" t="s">
        <v>65</v>
      </c>
      <c r="E47" s="113" t="s">
        <v>65</v>
      </c>
      <c r="F47" s="113" t="s">
        <v>65</v>
      </c>
    </row>
    <row r="48" spans="2:6" ht="19.5">
      <c r="B48" s="112" t="s">
        <v>81</v>
      </c>
      <c r="C48" s="112" t="s">
        <v>65</v>
      </c>
      <c r="D48" s="112" t="s">
        <v>65</v>
      </c>
      <c r="E48" s="112" t="s">
        <v>65</v>
      </c>
      <c r="F48" s="112" t="s">
        <v>65</v>
      </c>
    </row>
    <row r="49" spans="2:6" ht="25.5">
      <c r="B49" s="70" t="s">
        <v>68</v>
      </c>
      <c r="C49" s="70" t="s">
        <v>7</v>
      </c>
      <c r="D49" s="70" t="s">
        <v>69</v>
      </c>
      <c r="E49" s="70" t="s">
        <v>8</v>
      </c>
      <c r="F49" s="70" t="s">
        <v>11</v>
      </c>
    </row>
    <row r="50" spans="2:6">
      <c r="B50" s="71">
        <v>1</v>
      </c>
      <c r="C50" s="72" t="s">
        <v>43</v>
      </c>
      <c r="D50" s="72" t="s">
        <v>82</v>
      </c>
      <c r="E50" s="72">
        <v>68.88</v>
      </c>
      <c r="F50" s="72" t="s">
        <v>17</v>
      </c>
    </row>
    <row r="51" spans="2:6">
      <c r="B51" s="73">
        <v>2</v>
      </c>
      <c r="C51" s="74" t="s">
        <v>43</v>
      </c>
      <c r="D51" s="74" t="s">
        <v>83</v>
      </c>
      <c r="E51" s="74">
        <v>3.88</v>
      </c>
      <c r="F51" s="74" t="s">
        <v>17</v>
      </c>
    </row>
    <row r="52" spans="2:6" ht="19.5">
      <c r="B52" s="112" t="s">
        <v>89</v>
      </c>
      <c r="C52" s="112" t="s">
        <v>65</v>
      </c>
      <c r="D52" s="112" t="s">
        <v>65</v>
      </c>
      <c r="E52" s="112" t="s">
        <v>65</v>
      </c>
      <c r="F52" s="112" t="s">
        <v>65</v>
      </c>
    </row>
    <row r="53" spans="2:6" ht="25.5">
      <c r="B53" s="70" t="s">
        <v>68</v>
      </c>
      <c r="C53" s="70" t="s">
        <v>7</v>
      </c>
      <c r="D53" s="70" t="s">
        <v>69</v>
      </c>
      <c r="E53" s="70" t="s">
        <v>8</v>
      </c>
      <c r="F53" s="70" t="s">
        <v>11</v>
      </c>
    </row>
    <row r="54" spans="2:6">
      <c r="B54" s="71">
        <v>1</v>
      </c>
      <c r="C54" s="72" t="s">
        <v>90</v>
      </c>
      <c r="D54" s="72" t="s">
        <v>91</v>
      </c>
      <c r="E54" s="72">
        <v>64.92</v>
      </c>
      <c r="F54" s="72" t="s">
        <v>17</v>
      </c>
    </row>
    <row r="55" spans="2:6">
      <c r="B55" s="73">
        <v>2</v>
      </c>
      <c r="C55" s="74" t="s">
        <v>92</v>
      </c>
      <c r="D55" s="74" t="s">
        <v>93</v>
      </c>
      <c r="E55" s="74">
        <v>10.37</v>
      </c>
      <c r="F55" s="74" t="s">
        <v>17</v>
      </c>
    </row>
    <row r="56" spans="2:6" ht="19.5">
      <c r="B56" s="75" t="s">
        <v>65</v>
      </c>
      <c r="C56" s="75" t="s">
        <v>65</v>
      </c>
      <c r="D56" s="75" t="s">
        <v>65</v>
      </c>
      <c r="E56" s="75" t="s">
        <v>65</v>
      </c>
      <c r="F56" s="75" t="s">
        <v>65</v>
      </c>
    </row>
  </sheetData>
  <mergeCells count="13">
    <mergeCell ref="B23:F23"/>
    <mergeCell ref="B2:F2"/>
    <mergeCell ref="B3:F3"/>
    <mergeCell ref="B4:F4"/>
    <mergeCell ref="B11:F11"/>
    <mergeCell ref="B14:F14"/>
    <mergeCell ref="B52:F52"/>
    <mergeCell ref="B26:F26"/>
    <mergeCell ref="B30:F30"/>
    <mergeCell ref="B36:F36"/>
    <mergeCell ref="B39:F39"/>
    <mergeCell ref="B47:F47"/>
    <mergeCell ref="B48:F4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467E-8FE2-4C11-A2EB-050C9A336F07}">
  <dimension ref="B2:F48"/>
  <sheetViews>
    <sheetView topLeftCell="A7"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162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29.07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27.38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55.82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103.79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103.79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25.68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12.84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12.84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120.82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115.5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108.43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B629-3A3E-41A1-9DF4-C75A82CFB487}">
  <dimension ref="B2:F49"/>
  <sheetViews>
    <sheetView workbookViewId="0">
      <selection activeCell="L6" sqref="L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163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9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17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9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3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6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9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3.6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32.880000000000003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3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5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1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3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53.17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55.08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55.08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17.38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29.18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29.18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104.1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97.7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90.1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8F4-41C6-4889-B7A1-7E1454586D1F}">
  <dimension ref="B2:F48"/>
  <sheetViews>
    <sheetView workbookViewId="0">
      <selection activeCell="I6" sqref="I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164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28.5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34.19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71.77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62.58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62.58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33.78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67.790000000000006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67.790000000000006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127.57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121.2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113.6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2771-648A-4057-BA7B-B45AE0BF43D8}">
  <dimension ref="B2:F46"/>
  <sheetViews>
    <sheetView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165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5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13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10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4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6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10</v>
      </c>
      <c r="F19" s="74" t="s">
        <v>16</v>
      </c>
    </row>
    <row r="20" spans="2:6" ht="19.5">
      <c r="B20" s="112" t="s">
        <v>81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43</v>
      </c>
      <c r="D22" s="72" t="s">
        <v>82</v>
      </c>
      <c r="E22" s="72">
        <v>3.6</v>
      </c>
      <c r="F22" s="72" t="s">
        <v>17</v>
      </c>
    </row>
    <row r="23" spans="2:6">
      <c r="B23" s="73">
        <v>2</v>
      </c>
      <c r="C23" s="74" t="s">
        <v>43</v>
      </c>
      <c r="D23" s="74" t="s">
        <v>83</v>
      </c>
      <c r="E23" s="74">
        <v>33.479999999999997</v>
      </c>
      <c r="F23" s="74" t="s">
        <v>17</v>
      </c>
    </row>
    <row r="24" spans="2:6" ht="19.5">
      <c r="B24" s="112" t="s">
        <v>84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85</v>
      </c>
      <c r="D26" s="72" t="s">
        <v>47</v>
      </c>
      <c r="E26" s="72">
        <v>3</v>
      </c>
      <c r="F26" s="72" t="s">
        <v>16</v>
      </c>
    </row>
    <row r="27" spans="2:6">
      <c r="B27" s="73">
        <v>2</v>
      </c>
      <c r="C27" s="74" t="s">
        <v>85</v>
      </c>
      <c r="D27" s="74" t="s">
        <v>48</v>
      </c>
      <c r="E27" s="74">
        <v>5</v>
      </c>
      <c r="F27" s="74" t="s">
        <v>16</v>
      </c>
    </row>
    <row r="28" spans="2:6">
      <c r="B28" s="71">
        <v>3</v>
      </c>
      <c r="C28" s="72" t="s">
        <v>85</v>
      </c>
      <c r="D28" s="72" t="s">
        <v>50</v>
      </c>
      <c r="E28" s="72">
        <v>1</v>
      </c>
      <c r="F28" s="72" t="s">
        <v>16</v>
      </c>
    </row>
    <row r="29" spans="2:6">
      <c r="B29" s="73">
        <v>4</v>
      </c>
      <c r="C29" s="74" t="s">
        <v>86</v>
      </c>
      <c r="D29" s="74" t="s">
        <v>52</v>
      </c>
      <c r="E29" s="74">
        <v>3</v>
      </c>
      <c r="F29" s="74" t="s">
        <v>16</v>
      </c>
    </row>
    <row r="30" spans="2:6" ht="19.5">
      <c r="B30" s="112" t="s">
        <v>87</v>
      </c>
      <c r="C30" s="112" t="s">
        <v>65</v>
      </c>
      <c r="D30" s="112" t="s">
        <v>65</v>
      </c>
      <c r="E30" s="112" t="s">
        <v>65</v>
      </c>
      <c r="F30" s="112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63</v>
      </c>
      <c r="D32" s="72" t="s">
        <v>53</v>
      </c>
      <c r="E32" s="72">
        <v>55.37</v>
      </c>
      <c r="F32" s="72" t="s">
        <v>17</v>
      </c>
    </row>
    <row r="33" spans="2:6">
      <c r="B33" s="73">
        <v>2</v>
      </c>
      <c r="C33" s="74" t="s">
        <v>63</v>
      </c>
      <c r="D33" s="74" t="s">
        <v>54</v>
      </c>
      <c r="E33" s="74">
        <v>67.27</v>
      </c>
      <c r="F33" s="74" t="s">
        <v>17</v>
      </c>
    </row>
    <row r="34" spans="2:6">
      <c r="B34" s="71">
        <v>3</v>
      </c>
      <c r="C34" s="72" t="s">
        <v>63</v>
      </c>
      <c r="D34" s="72" t="s">
        <v>55</v>
      </c>
      <c r="E34" s="72">
        <v>67.27</v>
      </c>
      <c r="F34" s="72" t="s">
        <v>17</v>
      </c>
    </row>
    <row r="35" spans="2:6">
      <c r="B35" s="73">
        <v>4</v>
      </c>
      <c r="C35" s="74" t="s">
        <v>63</v>
      </c>
      <c r="D35" s="74" t="s">
        <v>56</v>
      </c>
      <c r="E35" s="74">
        <v>17.38</v>
      </c>
      <c r="F35" s="74" t="s">
        <v>17</v>
      </c>
    </row>
    <row r="36" spans="2:6">
      <c r="B36" s="71">
        <v>5</v>
      </c>
      <c r="C36" s="72" t="s">
        <v>63</v>
      </c>
      <c r="D36" s="72" t="s">
        <v>57</v>
      </c>
      <c r="E36" s="72">
        <v>12.79</v>
      </c>
      <c r="F36" s="72" t="s">
        <v>17</v>
      </c>
    </row>
    <row r="37" spans="2:6">
      <c r="B37" s="73">
        <v>6</v>
      </c>
      <c r="C37" s="74" t="s">
        <v>63</v>
      </c>
      <c r="D37" s="74" t="s">
        <v>58</v>
      </c>
      <c r="E37" s="74">
        <v>12.79</v>
      </c>
      <c r="F37" s="74" t="s">
        <v>17</v>
      </c>
    </row>
    <row r="38" spans="2:6" ht="19.5">
      <c r="B38" s="113" t="s">
        <v>88</v>
      </c>
      <c r="C38" s="113" t="s">
        <v>65</v>
      </c>
      <c r="D38" s="113" t="s">
        <v>65</v>
      </c>
      <c r="E38" s="113" t="s">
        <v>65</v>
      </c>
      <c r="F38" s="113" t="s">
        <v>65</v>
      </c>
    </row>
    <row r="39" spans="2:6" ht="19.5">
      <c r="B39" s="112" t="s">
        <v>81</v>
      </c>
      <c r="C39" s="112" t="s">
        <v>65</v>
      </c>
      <c r="D39" s="112" t="s">
        <v>65</v>
      </c>
      <c r="E39" s="112" t="s">
        <v>65</v>
      </c>
      <c r="F39" s="112" t="s">
        <v>65</v>
      </c>
    </row>
    <row r="40" spans="2:6" ht="25.5">
      <c r="B40" s="70" t="s">
        <v>68</v>
      </c>
      <c r="C40" s="70" t="s">
        <v>7</v>
      </c>
      <c r="D40" s="70" t="s">
        <v>69</v>
      </c>
      <c r="E40" s="70" t="s">
        <v>8</v>
      </c>
      <c r="F40" s="70" t="s">
        <v>11</v>
      </c>
    </row>
    <row r="41" spans="2:6">
      <c r="B41" s="71">
        <v>1</v>
      </c>
      <c r="C41" s="72" t="s">
        <v>43</v>
      </c>
      <c r="D41" s="72" t="s">
        <v>82</v>
      </c>
      <c r="E41" s="72">
        <v>39.26</v>
      </c>
      <c r="F41" s="72" t="s">
        <v>17</v>
      </c>
    </row>
    <row r="42" spans="2:6" ht="19.5">
      <c r="B42" s="112" t="s">
        <v>89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90</v>
      </c>
      <c r="D44" s="72" t="s">
        <v>91</v>
      </c>
      <c r="E44" s="72">
        <v>32.89</v>
      </c>
      <c r="F44" s="72" t="s">
        <v>17</v>
      </c>
    </row>
    <row r="45" spans="2:6">
      <c r="B45" s="73">
        <v>2</v>
      </c>
      <c r="C45" s="74" t="s">
        <v>92</v>
      </c>
      <c r="D45" s="74" t="s">
        <v>93</v>
      </c>
      <c r="E45" s="74">
        <v>14.45</v>
      </c>
      <c r="F45" s="74" t="s">
        <v>17</v>
      </c>
    </row>
    <row r="46" spans="2:6" ht="19.5">
      <c r="B46" s="75" t="s">
        <v>65</v>
      </c>
      <c r="C46" s="75" t="s">
        <v>65</v>
      </c>
      <c r="D46" s="75" t="s">
        <v>65</v>
      </c>
      <c r="E46" s="75" t="s">
        <v>65</v>
      </c>
      <c r="F46" s="75" t="s">
        <v>65</v>
      </c>
    </row>
  </sheetData>
  <mergeCells count="11">
    <mergeCell ref="B20:F20"/>
    <mergeCell ref="B2:F2"/>
    <mergeCell ref="B3:F3"/>
    <mergeCell ref="B4:F4"/>
    <mergeCell ref="B11:F11"/>
    <mergeCell ref="B14:F14"/>
    <mergeCell ref="B24:F24"/>
    <mergeCell ref="B30:F30"/>
    <mergeCell ref="B38:F38"/>
    <mergeCell ref="B39:F39"/>
    <mergeCell ref="B42:F4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05B1-65EE-4C91-9275-989C1B8493C1}">
  <dimension ref="B2:F49"/>
  <sheetViews>
    <sheetView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166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9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17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9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3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6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9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3.6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31.98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3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5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1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3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71.97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66.88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66.88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25.58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32.380000000000003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32.380000000000003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111.01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99.01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90.1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0CD7-A3C6-447E-86F0-E6C1968DE6BD}">
  <dimension ref="B2:F48"/>
  <sheetViews>
    <sheetView workbookViewId="0">
      <selection activeCell="I9" sqref="I9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167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28.5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34.19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71.77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58.48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58.48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33.78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71.89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71.89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127.47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121.1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113.5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1A43-A5C0-477C-A1D4-968EED35B38F}">
  <dimension ref="B2:F46"/>
  <sheetViews>
    <sheetView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168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4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16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8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8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16</v>
      </c>
      <c r="F19" s="74" t="s">
        <v>16</v>
      </c>
    </row>
    <row r="20" spans="2:6" ht="19.5">
      <c r="B20" s="112" t="s">
        <v>81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43</v>
      </c>
      <c r="D22" s="72" t="s">
        <v>82</v>
      </c>
      <c r="E22" s="72">
        <v>4.1100000000000003</v>
      </c>
      <c r="F22" s="72" t="s">
        <v>17</v>
      </c>
    </row>
    <row r="23" spans="2:6">
      <c r="B23" s="73">
        <v>2</v>
      </c>
      <c r="C23" s="74" t="s">
        <v>43</v>
      </c>
      <c r="D23" s="74" t="s">
        <v>83</v>
      </c>
      <c r="E23" s="74">
        <v>105.03</v>
      </c>
      <c r="F23" s="74" t="s">
        <v>17</v>
      </c>
    </row>
    <row r="24" spans="2:6" ht="19.5">
      <c r="B24" s="112" t="s">
        <v>84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85</v>
      </c>
      <c r="D26" s="72" t="s">
        <v>47</v>
      </c>
      <c r="E26" s="72">
        <v>8</v>
      </c>
      <c r="F26" s="72" t="s">
        <v>16</v>
      </c>
    </row>
    <row r="27" spans="2:6">
      <c r="B27" s="73">
        <v>2</v>
      </c>
      <c r="C27" s="74" t="s">
        <v>85</v>
      </c>
      <c r="D27" s="74" t="s">
        <v>48</v>
      </c>
      <c r="E27" s="74">
        <v>5</v>
      </c>
      <c r="F27" s="74" t="s">
        <v>16</v>
      </c>
    </row>
    <row r="28" spans="2:6">
      <c r="B28" s="71">
        <v>3</v>
      </c>
      <c r="C28" s="72" t="s">
        <v>85</v>
      </c>
      <c r="D28" s="72" t="s">
        <v>50</v>
      </c>
      <c r="E28" s="72">
        <v>3</v>
      </c>
      <c r="F28" s="72" t="s">
        <v>16</v>
      </c>
    </row>
    <row r="29" spans="2:6">
      <c r="B29" s="73">
        <v>4</v>
      </c>
      <c r="C29" s="74" t="s">
        <v>86</v>
      </c>
      <c r="D29" s="74" t="s">
        <v>52</v>
      </c>
      <c r="E29" s="74">
        <v>3</v>
      </c>
      <c r="F29" s="74" t="s">
        <v>16</v>
      </c>
    </row>
    <row r="30" spans="2:6" ht="19.5">
      <c r="B30" s="112" t="s">
        <v>87</v>
      </c>
      <c r="C30" s="112" t="s">
        <v>65</v>
      </c>
      <c r="D30" s="112" t="s">
        <v>65</v>
      </c>
      <c r="E30" s="112" t="s">
        <v>65</v>
      </c>
      <c r="F30" s="112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63</v>
      </c>
      <c r="D32" s="72" t="s">
        <v>53</v>
      </c>
      <c r="E32" s="72">
        <v>59.43</v>
      </c>
      <c r="F32" s="72" t="s">
        <v>17</v>
      </c>
    </row>
    <row r="33" spans="2:6">
      <c r="B33" s="73">
        <v>2</v>
      </c>
      <c r="C33" s="74" t="s">
        <v>63</v>
      </c>
      <c r="D33" s="74" t="s">
        <v>54</v>
      </c>
      <c r="E33" s="74">
        <v>49.02</v>
      </c>
      <c r="F33" s="74" t="s">
        <v>17</v>
      </c>
    </row>
    <row r="34" spans="2:6">
      <c r="B34" s="71">
        <v>3</v>
      </c>
      <c r="C34" s="72" t="s">
        <v>63</v>
      </c>
      <c r="D34" s="72" t="s">
        <v>55</v>
      </c>
      <c r="E34" s="72">
        <v>49.02</v>
      </c>
      <c r="F34" s="72" t="s">
        <v>17</v>
      </c>
    </row>
    <row r="35" spans="2:6">
      <c r="B35" s="73">
        <v>4</v>
      </c>
      <c r="C35" s="74" t="s">
        <v>63</v>
      </c>
      <c r="D35" s="74" t="s">
        <v>56</v>
      </c>
      <c r="E35" s="74">
        <v>27.62</v>
      </c>
      <c r="F35" s="74" t="s">
        <v>17</v>
      </c>
    </row>
    <row r="36" spans="2:6">
      <c r="B36" s="71">
        <v>5</v>
      </c>
      <c r="C36" s="72" t="s">
        <v>63</v>
      </c>
      <c r="D36" s="72" t="s">
        <v>57</v>
      </c>
      <c r="E36" s="72">
        <v>110.04</v>
      </c>
      <c r="F36" s="72" t="s">
        <v>17</v>
      </c>
    </row>
    <row r="37" spans="2:6">
      <c r="B37" s="73">
        <v>6</v>
      </c>
      <c r="C37" s="74" t="s">
        <v>63</v>
      </c>
      <c r="D37" s="74" t="s">
        <v>58</v>
      </c>
      <c r="E37" s="74">
        <v>110.04</v>
      </c>
      <c r="F37" s="74" t="s">
        <v>17</v>
      </c>
    </row>
    <row r="38" spans="2:6" ht="19.5">
      <c r="B38" s="113" t="s">
        <v>88</v>
      </c>
      <c r="C38" s="113" t="s">
        <v>65</v>
      </c>
      <c r="D38" s="113" t="s">
        <v>65</v>
      </c>
      <c r="E38" s="113" t="s">
        <v>65</v>
      </c>
      <c r="F38" s="113" t="s">
        <v>65</v>
      </c>
    </row>
    <row r="39" spans="2:6" ht="19.5">
      <c r="B39" s="112" t="s">
        <v>81</v>
      </c>
      <c r="C39" s="112" t="s">
        <v>65</v>
      </c>
      <c r="D39" s="112" t="s">
        <v>65</v>
      </c>
      <c r="E39" s="112" t="s">
        <v>65</v>
      </c>
      <c r="F39" s="112" t="s">
        <v>65</v>
      </c>
    </row>
    <row r="40" spans="2:6" ht="25.5">
      <c r="B40" s="70" t="s">
        <v>68</v>
      </c>
      <c r="C40" s="70" t="s">
        <v>7</v>
      </c>
      <c r="D40" s="70" t="s">
        <v>69</v>
      </c>
      <c r="E40" s="70" t="s">
        <v>8</v>
      </c>
      <c r="F40" s="70" t="s">
        <v>11</v>
      </c>
    </row>
    <row r="41" spans="2:6">
      <c r="B41" s="71">
        <v>1</v>
      </c>
      <c r="C41" s="72" t="s">
        <v>43</v>
      </c>
      <c r="D41" s="72" t="s">
        <v>82</v>
      </c>
      <c r="E41" s="72">
        <v>40.549999999999997</v>
      </c>
      <c r="F41" s="72" t="s">
        <v>17</v>
      </c>
    </row>
    <row r="42" spans="2:6" ht="19.5">
      <c r="B42" s="112" t="s">
        <v>89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90</v>
      </c>
      <c r="D44" s="72" t="s">
        <v>91</v>
      </c>
      <c r="E44" s="72">
        <v>33.130000000000003</v>
      </c>
      <c r="F44" s="72" t="s">
        <v>17</v>
      </c>
    </row>
    <row r="45" spans="2:6">
      <c r="B45" s="73">
        <v>2</v>
      </c>
      <c r="C45" s="74" t="s">
        <v>92</v>
      </c>
      <c r="D45" s="74" t="s">
        <v>93</v>
      </c>
      <c r="E45" s="74">
        <v>10.37</v>
      </c>
      <c r="F45" s="74" t="s">
        <v>17</v>
      </c>
    </row>
    <row r="46" spans="2:6" ht="19.5">
      <c r="B46" s="75" t="s">
        <v>65</v>
      </c>
      <c r="C46" s="75" t="s">
        <v>65</v>
      </c>
      <c r="D46" s="75" t="s">
        <v>65</v>
      </c>
      <c r="E46" s="75" t="s">
        <v>65</v>
      </c>
      <c r="F46" s="75" t="s">
        <v>65</v>
      </c>
    </row>
  </sheetData>
  <mergeCells count="11">
    <mergeCell ref="B20:F20"/>
    <mergeCell ref="B2:F2"/>
    <mergeCell ref="B3:F3"/>
    <mergeCell ref="B4:F4"/>
    <mergeCell ref="B11:F11"/>
    <mergeCell ref="B14:F14"/>
    <mergeCell ref="B24:F24"/>
    <mergeCell ref="B30:F30"/>
    <mergeCell ref="B38:F38"/>
    <mergeCell ref="B39:F39"/>
    <mergeCell ref="B42:F4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B9EA-0318-4E1B-9CB1-C7841AF320AE}">
  <dimension ref="B2:F50"/>
  <sheetViews>
    <sheetView topLeftCell="A16" workbookViewId="0">
      <selection activeCell="H22" sqref="H2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169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2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16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6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29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22</v>
      </c>
      <c r="F18" s="74" t="s">
        <v>16</v>
      </c>
    </row>
    <row r="19" spans="2:6" ht="25.5">
      <c r="B19" s="71">
        <v>3</v>
      </c>
      <c r="C19" s="72" t="s">
        <v>76</v>
      </c>
      <c r="D19" s="72" t="s">
        <v>38</v>
      </c>
      <c r="E19" s="72">
        <v>7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29</v>
      </c>
      <c r="F20" s="74" t="s">
        <v>16</v>
      </c>
    </row>
    <row r="21" spans="2:6" ht="19.5">
      <c r="B21" s="112" t="s">
        <v>81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43</v>
      </c>
      <c r="D23" s="72" t="s">
        <v>82</v>
      </c>
      <c r="E23" s="72">
        <v>13.77</v>
      </c>
      <c r="F23" s="72" t="s">
        <v>17</v>
      </c>
    </row>
    <row r="24" spans="2:6">
      <c r="B24" s="73">
        <v>2</v>
      </c>
      <c r="C24" s="74" t="s">
        <v>43</v>
      </c>
      <c r="D24" s="74" t="s">
        <v>83</v>
      </c>
      <c r="E24" s="74">
        <v>190.46</v>
      </c>
      <c r="F24" s="74" t="s">
        <v>17</v>
      </c>
    </row>
    <row r="25" spans="2:6" ht="19.5">
      <c r="B25" s="112" t="s">
        <v>84</v>
      </c>
      <c r="C25" s="112" t="s">
        <v>65</v>
      </c>
      <c r="D25" s="112" t="s">
        <v>65</v>
      </c>
      <c r="E25" s="112" t="s">
        <v>65</v>
      </c>
      <c r="F25" s="112" t="s">
        <v>65</v>
      </c>
    </row>
    <row r="26" spans="2:6" ht="25.5">
      <c r="B26" s="70" t="s">
        <v>68</v>
      </c>
      <c r="C26" s="70" t="s">
        <v>7</v>
      </c>
      <c r="D26" s="70" t="s">
        <v>69</v>
      </c>
      <c r="E26" s="70" t="s">
        <v>8</v>
      </c>
      <c r="F26" s="70" t="s">
        <v>11</v>
      </c>
    </row>
    <row r="27" spans="2:6">
      <c r="B27" s="71">
        <v>1</v>
      </c>
      <c r="C27" s="72" t="s">
        <v>85</v>
      </c>
      <c r="D27" s="72" t="s">
        <v>47</v>
      </c>
      <c r="E27" s="72">
        <v>22</v>
      </c>
      <c r="F27" s="72" t="s">
        <v>16</v>
      </c>
    </row>
    <row r="28" spans="2:6">
      <c r="B28" s="73">
        <v>2</v>
      </c>
      <c r="C28" s="74" t="s">
        <v>85</v>
      </c>
      <c r="D28" s="74" t="s">
        <v>48</v>
      </c>
      <c r="E28" s="74">
        <v>5</v>
      </c>
      <c r="F28" s="74" t="s">
        <v>16</v>
      </c>
    </row>
    <row r="29" spans="2:6">
      <c r="B29" s="71">
        <v>3</v>
      </c>
      <c r="C29" s="72" t="s">
        <v>85</v>
      </c>
      <c r="D29" s="72" t="s">
        <v>50</v>
      </c>
      <c r="E29" s="72">
        <v>3</v>
      </c>
      <c r="F29" s="72" t="s">
        <v>16</v>
      </c>
    </row>
    <row r="30" spans="2:6">
      <c r="B30" s="73">
        <v>4</v>
      </c>
      <c r="C30" s="74" t="s">
        <v>86</v>
      </c>
      <c r="D30" s="74" t="s">
        <v>52</v>
      </c>
      <c r="E30" s="74">
        <v>3</v>
      </c>
      <c r="F30" s="74" t="s">
        <v>16</v>
      </c>
    </row>
    <row r="31" spans="2:6" ht="19.5">
      <c r="B31" s="112" t="s">
        <v>87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63</v>
      </c>
      <c r="D33" s="72" t="s">
        <v>53</v>
      </c>
      <c r="E33" s="72">
        <v>44.78</v>
      </c>
      <c r="F33" s="72" t="s">
        <v>17</v>
      </c>
    </row>
    <row r="34" spans="2:6">
      <c r="B34" s="73">
        <v>2</v>
      </c>
      <c r="C34" s="74" t="s">
        <v>63</v>
      </c>
      <c r="D34" s="74" t="s">
        <v>54</v>
      </c>
      <c r="E34" s="74">
        <v>38.299999999999997</v>
      </c>
      <c r="F34" s="74" t="s">
        <v>17</v>
      </c>
    </row>
    <row r="35" spans="2:6">
      <c r="B35" s="71">
        <v>3</v>
      </c>
      <c r="C35" s="72" t="s">
        <v>63</v>
      </c>
      <c r="D35" s="72" t="s">
        <v>55</v>
      </c>
      <c r="E35" s="72">
        <v>38.299999999999997</v>
      </c>
      <c r="F35" s="72" t="s">
        <v>17</v>
      </c>
    </row>
    <row r="36" spans="2:6">
      <c r="B36" s="73">
        <v>4</v>
      </c>
      <c r="C36" s="74" t="s">
        <v>63</v>
      </c>
      <c r="D36" s="74" t="s">
        <v>56</v>
      </c>
      <c r="E36" s="74">
        <v>20.02</v>
      </c>
      <c r="F36" s="74" t="s">
        <v>17</v>
      </c>
    </row>
    <row r="37" spans="2:6">
      <c r="B37" s="71">
        <v>5</v>
      </c>
      <c r="C37" s="72" t="s">
        <v>63</v>
      </c>
      <c r="D37" s="72" t="s">
        <v>57</v>
      </c>
      <c r="E37" s="72">
        <v>10.01</v>
      </c>
      <c r="F37" s="72" t="s">
        <v>17</v>
      </c>
    </row>
    <row r="38" spans="2:6">
      <c r="B38" s="73">
        <v>6</v>
      </c>
      <c r="C38" s="74" t="s">
        <v>63</v>
      </c>
      <c r="D38" s="74" t="s">
        <v>58</v>
      </c>
      <c r="E38" s="74">
        <v>10.01</v>
      </c>
      <c r="F38" s="74" t="s">
        <v>17</v>
      </c>
    </row>
    <row r="39" spans="2:6">
      <c r="B39" s="71">
        <v>7</v>
      </c>
      <c r="C39" s="72" t="s">
        <v>63</v>
      </c>
      <c r="D39" s="72" t="s">
        <v>59</v>
      </c>
      <c r="E39" s="72">
        <v>186.84</v>
      </c>
      <c r="F39" s="72" t="s">
        <v>17</v>
      </c>
    </row>
    <row r="40" spans="2:6">
      <c r="B40" s="73">
        <v>8</v>
      </c>
      <c r="C40" s="74" t="s">
        <v>63</v>
      </c>
      <c r="D40" s="74" t="s">
        <v>60</v>
      </c>
      <c r="E40" s="74">
        <v>186.84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15.17</v>
      </c>
      <c r="F44" s="72" t="s">
        <v>17</v>
      </c>
    </row>
    <row r="45" spans="2:6">
      <c r="B45" s="73">
        <v>2</v>
      </c>
      <c r="C45" s="74" t="s">
        <v>43</v>
      </c>
      <c r="D45" s="74" t="s">
        <v>83</v>
      </c>
      <c r="E45" s="74">
        <v>1.1000000000000001</v>
      </c>
      <c r="F45" s="74" t="s">
        <v>17</v>
      </c>
    </row>
    <row r="46" spans="2:6" ht="19.5">
      <c r="B46" s="112" t="s">
        <v>89</v>
      </c>
      <c r="C46" s="112" t="s">
        <v>65</v>
      </c>
      <c r="D46" s="112" t="s">
        <v>65</v>
      </c>
      <c r="E46" s="112" t="s">
        <v>65</v>
      </c>
      <c r="F46" s="112" t="s">
        <v>65</v>
      </c>
    </row>
    <row r="47" spans="2:6" ht="25.5">
      <c r="B47" s="70" t="s">
        <v>68</v>
      </c>
      <c r="C47" s="70" t="s">
        <v>7</v>
      </c>
      <c r="D47" s="70" t="s">
        <v>69</v>
      </c>
      <c r="E47" s="70" t="s">
        <v>8</v>
      </c>
      <c r="F47" s="70" t="s">
        <v>11</v>
      </c>
    </row>
    <row r="48" spans="2:6">
      <c r="B48" s="71">
        <v>1</v>
      </c>
      <c r="C48" s="72" t="s">
        <v>90</v>
      </c>
      <c r="D48" s="72" t="s">
        <v>91</v>
      </c>
      <c r="E48" s="72">
        <v>15.17</v>
      </c>
      <c r="F48" s="72" t="s">
        <v>17</v>
      </c>
    </row>
    <row r="49" spans="2:6">
      <c r="B49" s="73">
        <v>2</v>
      </c>
      <c r="C49" s="74" t="s">
        <v>92</v>
      </c>
      <c r="D49" s="74" t="s">
        <v>93</v>
      </c>
      <c r="E49" s="74">
        <v>10.97</v>
      </c>
      <c r="F49" s="74" t="s">
        <v>17</v>
      </c>
    </row>
    <row r="50" spans="2:6" ht="19.5">
      <c r="B50" s="75" t="s">
        <v>65</v>
      </c>
      <c r="C50" s="75" t="s">
        <v>65</v>
      </c>
      <c r="D50" s="75" t="s">
        <v>65</v>
      </c>
      <c r="E50" s="75" t="s">
        <v>65</v>
      </c>
      <c r="F50" s="75" t="s">
        <v>65</v>
      </c>
    </row>
  </sheetData>
  <mergeCells count="11">
    <mergeCell ref="B21:F21"/>
    <mergeCell ref="B2:F2"/>
    <mergeCell ref="B3:F3"/>
    <mergeCell ref="B4:F4"/>
    <mergeCell ref="B11:F11"/>
    <mergeCell ref="B15:F15"/>
    <mergeCell ref="B25:F25"/>
    <mergeCell ref="B31:F31"/>
    <mergeCell ref="B41:F41"/>
    <mergeCell ref="B42:F42"/>
    <mergeCell ref="B46:F4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5C51-BA25-4B22-93DE-C87B20A8893A}">
  <dimension ref="B2:F50"/>
  <sheetViews>
    <sheetView workbookViewId="0">
      <selection activeCell="H10" sqref="H10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170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2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16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6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23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16</v>
      </c>
      <c r="F18" s="74" t="s">
        <v>16</v>
      </c>
    </row>
    <row r="19" spans="2:6" ht="25.5">
      <c r="B19" s="71">
        <v>3</v>
      </c>
      <c r="C19" s="72" t="s">
        <v>76</v>
      </c>
      <c r="D19" s="72" t="s">
        <v>38</v>
      </c>
      <c r="E19" s="72">
        <v>7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23</v>
      </c>
      <c r="F20" s="74" t="s">
        <v>16</v>
      </c>
    </row>
    <row r="21" spans="2:6" ht="19.5">
      <c r="B21" s="112" t="s">
        <v>81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43</v>
      </c>
      <c r="D23" s="72" t="s">
        <v>82</v>
      </c>
      <c r="E23" s="72">
        <v>13.47</v>
      </c>
      <c r="F23" s="72" t="s">
        <v>17</v>
      </c>
    </row>
    <row r="24" spans="2:6">
      <c r="B24" s="73">
        <v>2</v>
      </c>
      <c r="C24" s="74" t="s">
        <v>43</v>
      </c>
      <c r="D24" s="74" t="s">
        <v>83</v>
      </c>
      <c r="E24" s="74">
        <v>157.36000000000001</v>
      </c>
      <c r="F24" s="74" t="s">
        <v>17</v>
      </c>
    </row>
    <row r="25" spans="2:6" ht="19.5">
      <c r="B25" s="112" t="s">
        <v>84</v>
      </c>
      <c r="C25" s="112" t="s">
        <v>65</v>
      </c>
      <c r="D25" s="112" t="s">
        <v>65</v>
      </c>
      <c r="E25" s="112" t="s">
        <v>65</v>
      </c>
      <c r="F25" s="112" t="s">
        <v>65</v>
      </c>
    </row>
    <row r="26" spans="2:6" ht="25.5">
      <c r="B26" s="70" t="s">
        <v>68</v>
      </c>
      <c r="C26" s="70" t="s">
        <v>7</v>
      </c>
      <c r="D26" s="70" t="s">
        <v>69</v>
      </c>
      <c r="E26" s="70" t="s">
        <v>8</v>
      </c>
      <c r="F26" s="70" t="s">
        <v>11</v>
      </c>
    </row>
    <row r="27" spans="2:6">
      <c r="B27" s="71">
        <v>1</v>
      </c>
      <c r="C27" s="72" t="s">
        <v>85</v>
      </c>
      <c r="D27" s="72" t="s">
        <v>47</v>
      </c>
      <c r="E27" s="72">
        <v>16</v>
      </c>
      <c r="F27" s="72" t="s">
        <v>16</v>
      </c>
    </row>
    <row r="28" spans="2:6">
      <c r="B28" s="73">
        <v>2</v>
      </c>
      <c r="C28" s="74" t="s">
        <v>85</v>
      </c>
      <c r="D28" s="74" t="s">
        <v>48</v>
      </c>
      <c r="E28" s="74">
        <v>5</v>
      </c>
      <c r="F28" s="74" t="s">
        <v>16</v>
      </c>
    </row>
    <row r="29" spans="2:6">
      <c r="B29" s="71">
        <v>3</v>
      </c>
      <c r="C29" s="72" t="s">
        <v>85</v>
      </c>
      <c r="D29" s="72" t="s">
        <v>50</v>
      </c>
      <c r="E29" s="72">
        <v>3</v>
      </c>
      <c r="F29" s="72" t="s">
        <v>16</v>
      </c>
    </row>
    <row r="30" spans="2:6">
      <c r="B30" s="73">
        <v>4</v>
      </c>
      <c r="C30" s="74" t="s">
        <v>86</v>
      </c>
      <c r="D30" s="74" t="s">
        <v>52</v>
      </c>
      <c r="E30" s="74">
        <v>3</v>
      </c>
      <c r="F30" s="74" t="s">
        <v>16</v>
      </c>
    </row>
    <row r="31" spans="2:6" ht="19.5">
      <c r="B31" s="112" t="s">
        <v>87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63</v>
      </c>
      <c r="D33" s="72" t="s">
        <v>53</v>
      </c>
      <c r="E33" s="72">
        <v>63.58</v>
      </c>
      <c r="F33" s="72" t="s">
        <v>17</v>
      </c>
    </row>
    <row r="34" spans="2:6">
      <c r="B34" s="73">
        <v>2</v>
      </c>
      <c r="C34" s="74" t="s">
        <v>63</v>
      </c>
      <c r="D34" s="74" t="s">
        <v>54</v>
      </c>
      <c r="E34" s="74">
        <v>52.4</v>
      </c>
      <c r="F34" s="74" t="s">
        <v>17</v>
      </c>
    </row>
    <row r="35" spans="2:6">
      <c r="B35" s="71">
        <v>3</v>
      </c>
      <c r="C35" s="72" t="s">
        <v>63</v>
      </c>
      <c r="D35" s="72" t="s">
        <v>55</v>
      </c>
      <c r="E35" s="72">
        <v>52.4</v>
      </c>
      <c r="F35" s="72" t="s">
        <v>17</v>
      </c>
    </row>
    <row r="36" spans="2:6">
      <c r="B36" s="73">
        <v>4</v>
      </c>
      <c r="C36" s="74" t="s">
        <v>63</v>
      </c>
      <c r="D36" s="74" t="s">
        <v>56</v>
      </c>
      <c r="E36" s="74">
        <v>29.42</v>
      </c>
      <c r="F36" s="74" t="s">
        <v>17</v>
      </c>
    </row>
    <row r="37" spans="2:6">
      <c r="B37" s="71">
        <v>5</v>
      </c>
      <c r="C37" s="72" t="s">
        <v>63</v>
      </c>
      <c r="D37" s="72" t="s">
        <v>57</v>
      </c>
      <c r="E37" s="72">
        <v>168.15</v>
      </c>
      <c r="F37" s="72" t="s">
        <v>17</v>
      </c>
    </row>
    <row r="38" spans="2:6">
      <c r="B38" s="73">
        <v>6</v>
      </c>
      <c r="C38" s="74" t="s">
        <v>63</v>
      </c>
      <c r="D38" s="74" t="s">
        <v>58</v>
      </c>
      <c r="E38" s="74">
        <v>168.15</v>
      </c>
      <c r="F38" s="74" t="s">
        <v>17</v>
      </c>
    </row>
    <row r="39" spans="2:6">
      <c r="B39" s="71">
        <v>7</v>
      </c>
      <c r="C39" s="72" t="s">
        <v>63</v>
      </c>
      <c r="D39" s="72" t="s">
        <v>59</v>
      </c>
      <c r="E39" s="72">
        <v>9.4</v>
      </c>
      <c r="F39" s="72" t="s">
        <v>17</v>
      </c>
    </row>
    <row r="40" spans="2:6">
      <c r="B40" s="73">
        <v>8</v>
      </c>
      <c r="C40" s="74" t="s">
        <v>63</v>
      </c>
      <c r="D40" s="74" t="s">
        <v>60</v>
      </c>
      <c r="E40" s="74">
        <v>9.4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15.17</v>
      </c>
      <c r="F44" s="72" t="s">
        <v>17</v>
      </c>
    </row>
    <row r="45" spans="2:6">
      <c r="B45" s="73">
        <v>2</v>
      </c>
      <c r="C45" s="74" t="s">
        <v>43</v>
      </c>
      <c r="D45" s="74" t="s">
        <v>83</v>
      </c>
      <c r="E45" s="74">
        <v>1.1000000000000001</v>
      </c>
      <c r="F45" s="74" t="s">
        <v>17</v>
      </c>
    </row>
    <row r="46" spans="2:6" ht="19.5">
      <c r="B46" s="112" t="s">
        <v>89</v>
      </c>
      <c r="C46" s="112" t="s">
        <v>65</v>
      </c>
      <c r="D46" s="112" t="s">
        <v>65</v>
      </c>
      <c r="E46" s="112" t="s">
        <v>65</v>
      </c>
      <c r="F46" s="112" t="s">
        <v>65</v>
      </c>
    </row>
    <row r="47" spans="2:6" ht="25.5">
      <c r="B47" s="70" t="s">
        <v>68</v>
      </c>
      <c r="C47" s="70" t="s">
        <v>7</v>
      </c>
      <c r="D47" s="70" t="s">
        <v>69</v>
      </c>
      <c r="E47" s="70" t="s">
        <v>8</v>
      </c>
      <c r="F47" s="70" t="s">
        <v>11</v>
      </c>
    </row>
    <row r="48" spans="2:6">
      <c r="B48" s="71">
        <v>1</v>
      </c>
      <c r="C48" s="72" t="s">
        <v>90</v>
      </c>
      <c r="D48" s="72" t="s">
        <v>91</v>
      </c>
      <c r="E48" s="72">
        <v>15.17</v>
      </c>
      <c r="F48" s="72" t="s">
        <v>17</v>
      </c>
    </row>
    <row r="49" spans="2:6">
      <c r="B49" s="73">
        <v>2</v>
      </c>
      <c r="C49" s="74" t="s">
        <v>92</v>
      </c>
      <c r="D49" s="74" t="s">
        <v>93</v>
      </c>
      <c r="E49" s="74">
        <v>10.97</v>
      </c>
      <c r="F49" s="74" t="s">
        <v>17</v>
      </c>
    </row>
    <row r="50" spans="2:6" ht="19.5">
      <c r="B50" s="75" t="s">
        <v>65</v>
      </c>
      <c r="C50" s="75" t="s">
        <v>65</v>
      </c>
      <c r="D50" s="75" t="s">
        <v>65</v>
      </c>
      <c r="E50" s="75" t="s">
        <v>65</v>
      </c>
      <c r="F50" s="75" t="s">
        <v>65</v>
      </c>
    </row>
  </sheetData>
  <mergeCells count="11">
    <mergeCell ref="B21:F21"/>
    <mergeCell ref="B2:F2"/>
    <mergeCell ref="B3:F3"/>
    <mergeCell ref="B4:F4"/>
    <mergeCell ref="B11:F11"/>
    <mergeCell ref="B15:F15"/>
    <mergeCell ref="B25:F25"/>
    <mergeCell ref="B31:F31"/>
    <mergeCell ref="B41:F41"/>
    <mergeCell ref="B42:F42"/>
    <mergeCell ref="B46:F4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53B3-D654-4297-A32E-C67E76D93CC9}">
  <dimension ref="B2:F56"/>
  <sheetViews>
    <sheetView workbookViewId="0">
      <selection activeCell="H5" sqref="H5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171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7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22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2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25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2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14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11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2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25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2</v>
      </c>
      <c r="F23" s="72" t="s">
        <v>16</v>
      </c>
    </row>
    <row r="24" spans="2:6" ht="19.5">
      <c r="B24" s="112" t="s">
        <v>79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112" t="s">
        <v>81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22.86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105.82</v>
      </c>
      <c r="F30" s="74" t="s">
        <v>17</v>
      </c>
    </row>
    <row r="31" spans="2:6" ht="19.5">
      <c r="B31" s="112" t="s">
        <v>84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14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8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6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5</v>
      </c>
      <c r="F37" s="72" t="s">
        <v>16</v>
      </c>
    </row>
    <row r="38" spans="2:6" ht="19.5">
      <c r="B38" s="112" t="s">
        <v>87</v>
      </c>
      <c r="C38" s="112" t="s">
        <v>65</v>
      </c>
      <c r="D38" s="112" t="s">
        <v>65</v>
      </c>
      <c r="E38" s="112" t="s">
        <v>65</v>
      </c>
      <c r="F38" s="112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107.84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147.83000000000001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147.83000000000001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33.299999999999997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84.97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84.97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9.4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9.4</v>
      </c>
      <c r="F47" s="74" t="s">
        <v>17</v>
      </c>
    </row>
    <row r="48" spans="2:6" ht="19.5">
      <c r="B48" s="113" t="s">
        <v>88</v>
      </c>
      <c r="C48" s="113" t="s">
        <v>65</v>
      </c>
      <c r="D48" s="113" t="s">
        <v>65</v>
      </c>
      <c r="E48" s="113" t="s">
        <v>65</v>
      </c>
      <c r="F48" s="113" t="s">
        <v>65</v>
      </c>
    </row>
    <row r="49" spans="2:6" ht="19.5">
      <c r="B49" s="112" t="s">
        <v>81</v>
      </c>
      <c r="C49" s="112" t="s">
        <v>65</v>
      </c>
      <c r="D49" s="112" t="s">
        <v>65</v>
      </c>
      <c r="E49" s="112" t="s">
        <v>65</v>
      </c>
      <c r="F49" s="112" t="s">
        <v>65</v>
      </c>
    </row>
    <row r="50" spans="2:6" ht="25.5">
      <c r="B50" s="70" t="s">
        <v>68</v>
      </c>
      <c r="C50" s="70" t="s">
        <v>7</v>
      </c>
      <c r="D50" s="70" t="s">
        <v>69</v>
      </c>
      <c r="E50" s="70" t="s">
        <v>8</v>
      </c>
      <c r="F50" s="70" t="s">
        <v>11</v>
      </c>
    </row>
    <row r="51" spans="2:6">
      <c r="B51" s="71">
        <v>1</v>
      </c>
      <c r="C51" s="72" t="s">
        <v>43</v>
      </c>
      <c r="D51" s="72" t="s">
        <v>82</v>
      </c>
      <c r="E51" s="72">
        <v>61.48</v>
      </c>
      <c r="F51" s="72" t="s">
        <v>17</v>
      </c>
    </row>
    <row r="52" spans="2:6" ht="19.5">
      <c r="B52" s="112" t="s">
        <v>89</v>
      </c>
      <c r="C52" s="112" t="s">
        <v>65</v>
      </c>
      <c r="D52" s="112" t="s">
        <v>65</v>
      </c>
      <c r="E52" s="112" t="s">
        <v>65</v>
      </c>
      <c r="F52" s="112" t="s">
        <v>65</v>
      </c>
    </row>
    <row r="53" spans="2:6" ht="25.5">
      <c r="B53" s="70" t="s">
        <v>68</v>
      </c>
      <c r="C53" s="70" t="s">
        <v>7</v>
      </c>
      <c r="D53" s="70" t="s">
        <v>69</v>
      </c>
      <c r="E53" s="70" t="s">
        <v>8</v>
      </c>
      <c r="F53" s="70" t="s">
        <v>11</v>
      </c>
    </row>
    <row r="54" spans="2:6">
      <c r="B54" s="71">
        <v>1</v>
      </c>
      <c r="C54" s="72" t="s">
        <v>90</v>
      </c>
      <c r="D54" s="72" t="s">
        <v>91</v>
      </c>
      <c r="E54" s="72">
        <v>56.51</v>
      </c>
      <c r="F54" s="72" t="s">
        <v>17</v>
      </c>
    </row>
    <row r="55" spans="2:6">
      <c r="B55" s="73">
        <v>2</v>
      </c>
      <c r="C55" s="74" t="s">
        <v>92</v>
      </c>
      <c r="D55" s="74" t="s">
        <v>93</v>
      </c>
      <c r="E55" s="74">
        <v>6.82</v>
      </c>
      <c r="F55" s="74" t="s">
        <v>17</v>
      </c>
    </row>
    <row r="56" spans="2:6" ht="19.5">
      <c r="B56" s="75" t="s">
        <v>65</v>
      </c>
      <c r="C56" s="75" t="s">
        <v>65</v>
      </c>
      <c r="D56" s="75" t="s">
        <v>65</v>
      </c>
      <c r="E56" s="75" t="s">
        <v>65</v>
      </c>
      <c r="F56" s="75" t="s">
        <v>65</v>
      </c>
    </row>
  </sheetData>
  <mergeCells count="12">
    <mergeCell ref="B52:F52"/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48:F48"/>
    <mergeCell ref="B49:F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E08C-92B0-4A29-93C4-42789E3CDDEB}">
  <dimension ref="B2:F54"/>
  <sheetViews>
    <sheetView workbookViewId="0">
      <selection activeCell="D5" sqref="D5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64.2851562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127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4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4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24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13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54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30</v>
      </c>
      <c r="F18" s="74" t="s">
        <v>16</v>
      </c>
    </row>
    <row r="19" spans="2:6">
      <c r="B19" s="71">
        <v>3</v>
      </c>
      <c r="C19" s="72" t="s">
        <v>76</v>
      </c>
      <c r="D19" s="72" t="s">
        <v>38</v>
      </c>
      <c r="E19" s="72">
        <v>24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54</v>
      </c>
      <c r="F20" s="74" t="s">
        <v>16</v>
      </c>
    </row>
    <row r="21" spans="2:6" ht="19.5">
      <c r="B21" s="112" t="s">
        <v>79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80</v>
      </c>
      <c r="D23" s="72" t="s">
        <v>42</v>
      </c>
      <c r="E23" s="72">
        <v>1</v>
      </c>
      <c r="F23" s="72" t="s">
        <v>16</v>
      </c>
    </row>
    <row r="24" spans="2:6" ht="19.5">
      <c r="B24" s="112" t="s">
        <v>81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43</v>
      </c>
      <c r="D26" s="72" t="s">
        <v>82</v>
      </c>
      <c r="E26" s="72">
        <v>22.47</v>
      </c>
      <c r="F26" s="72" t="s">
        <v>17</v>
      </c>
    </row>
    <row r="27" spans="2:6">
      <c r="B27" s="73">
        <v>2</v>
      </c>
      <c r="C27" s="74" t="s">
        <v>43</v>
      </c>
      <c r="D27" s="74" t="s">
        <v>83</v>
      </c>
      <c r="E27" s="74">
        <v>324.2</v>
      </c>
      <c r="F27" s="74" t="s">
        <v>17</v>
      </c>
    </row>
    <row r="28" spans="2:6" ht="19.5">
      <c r="B28" s="112" t="s">
        <v>84</v>
      </c>
      <c r="C28" s="112" t="s">
        <v>65</v>
      </c>
      <c r="D28" s="112" t="s">
        <v>65</v>
      </c>
      <c r="E28" s="112" t="s">
        <v>65</v>
      </c>
      <c r="F28" s="112" t="s">
        <v>65</v>
      </c>
    </row>
    <row r="29" spans="2:6" ht="25.5">
      <c r="B29" s="70" t="s">
        <v>68</v>
      </c>
      <c r="C29" s="70" t="s">
        <v>7</v>
      </c>
      <c r="D29" s="70" t="s">
        <v>69</v>
      </c>
      <c r="E29" s="70" t="s">
        <v>8</v>
      </c>
      <c r="F29" s="70" t="s">
        <v>11</v>
      </c>
    </row>
    <row r="30" spans="2:6">
      <c r="B30" s="71">
        <v>1</v>
      </c>
      <c r="C30" s="72" t="s">
        <v>85</v>
      </c>
      <c r="D30" s="72" t="s">
        <v>47</v>
      </c>
      <c r="E30" s="72">
        <v>30</v>
      </c>
      <c r="F30" s="72" t="s">
        <v>16</v>
      </c>
    </row>
    <row r="31" spans="2:6">
      <c r="B31" s="73">
        <v>2</v>
      </c>
      <c r="C31" s="74" t="s">
        <v>85</v>
      </c>
      <c r="D31" s="74" t="s">
        <v>48</v>
      </c>
      <c r="E31" s="74">
        <v>5</v>
      </c>
      <c r="F31" s="74" t="s">
        <v>16</v>
      </c>
    </row>
    <row r="32" spans="2:6">
      <c r="B32" s="71">
        <v>3</v>
      </c>
      <c r="C32" s="72" t="s">
        <v>85</v>
      </c>
      <c r="D32" s="72" t="s">
        <v>49</v>
      </c>
      <c r="E32" s="72">
        <v>6</v>
      </c>
      <c r="F32" s="72" t="s">
        <v>16</v>
      </c>
    </row>
    <row r="33" spans="2:6">
      <c r="B33" s="73">
        <v>4</v>
      </c>
      <c r="C33" s="74" t="s">
        <v>85</v>
      </c>
      <c r="D33" s="74" t="s">
        <v>50</v>
      </c>
      <c r="E33" s="74">
        <v>1</v>
      </c>
      <c r="F33" s="74" t="s">
        <v>16</v>
      </c>
    </row>
    <row r="34" spans="2:6">
      <c r="B34" s="71">
        <v>5</v>
      </c>
      <c r="C34" s="72" t="s">
        <v>85</v>
      </c>
      <c r="D34" s="72" t="s">
        <v>102</v>
      </c>
      <c r="E34" s="72">
        <v>6</v>
      </c>
      <c r="F34" s="72" t="s">
        <v>16</v>
      </c>
    </row>
    <row r="35" spans="2:6">
      <c r="B35" s="73">
        <v>6</v>
      </c>
      <c r="C35" s="74" t="s">
        <v>86</v>
      </c>
      <c r="D35" s="74" t="s">
        <v>52</v>
      </c>
      <c r="E35" s="74">
        <v>3</v>
      </c>
      <c r="F35" s="74" t="s">
        <v>16</v>
      </c>
    </row>
    <row r="36" spans="2:6" ht="19.5">
      <c r="B36" s="112" t="s">
        <v>87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63</v>
      </c>
      <c r="D38" s="72" t="s">
        <v>53</v>
      </c>
      <c r="E38" s="72">
        <v>33.409999999999997</v>
      </c>
      <c r="F38" s="72" t="s">
        <v>17</v>
      </c>
    </row>
    <row r="39" spans="2:6">
      <c r="B39" s="73">
        <v>2</v>
      </c>
      <c r="C39" s="74" t="s">
        <v>63</v>
      </c>
      <c r="D39" s="74" t="s">
        <v>54</v>
      </c>
      <c r="E39" s="74">
        <v>16.71</v>
      </c>
      <c r="F39" s="74" t="s">
        <v>17</v>
      </c>
    </row>
    <row r="40" spans="2:6">
      <c r="B40" s="71">
        <v>3</v>
      </c>
      <c r="C40" s="72" t="s">
        <v>63</v>
      </c>
      <c r="D40" s="72" t="s">
        <v>55</v>
      </c>
      <c r="E40" s="72">
        <v>16.71</v>
      </c>
      <c r="F40" s="72" t="s">
        <v>17</v>
      </c>
    </row>
    <row r="41" spans="2:6">
      <c r="B41" s="73">
        <v>4</v>
      </c>
      <c r="C41" s="74" t="s">
        <v>63</v>
      </c>
      <c r="D41" s="74" t="s">
        <v>56</v>
      </c>
      <c r="E41" s="74">
        <v>45.64</v>
      </c>
      <c r="F41" s="74" t="s">
        <v>17</v>
      </c>
    </row>
    <row r="42" spans="2:6">
      <c r="B42" s="71">
        <v>5</v>
      </c>
      <c r="C42" s="72" t="s">
        <v>63</v>
      </c>
      <c r="D42" s="72" t="s">
        <v>57</v>
      </c>
      <c r="E42" s="72">
        <v>162.78</v>
      </c>
      <c r="F42" s="72" t="s">
        <v>17</v>
      </c>
    </row>
    <row r="43" spans="2:6">
      <c r="B43" s="73">
        <v>6</v>
      </c>
      <c r="C43" s="74" t="s">
        <v>63</v>
      </c>
      <c r="D43" s="74" t="s">
        <v>58</v>
      </c>
      <c r="E43" s="74">
        <v>162.78</v>
      </c>
      <c r="F43" s="74" t="s">
        <v>17</v>
      </c>
    </row>
    <row r="44" spans="2:6">
      <c r="B44" s="71">
        <v>7</v>
      </c>
      <c r="C44" s="72" t="s">
        <v>63</v>
      </c>
      <c r="D44" s="72" t="s">
        <v>59</v>
      </c>
      <c r="E44" s="72">
        <v>227.16</v>
      </c>
      <c r="F44" s="72" t="s">
        <v>17</v>
      </c>
    </row>
    <row r="45" spans="2:6">
      <c r="B45" s="73">
        <v>8</v>
      </c>
      <c r="C45" s="74" t="s">
        <v>63</v>
      </c>
      <c r="D45" s="74" t="s">
        <v>60</v>
      </c>
      <c r="E45" s="74">
        <v>227.16</v>
      </c>
      <c r="F45" s="74" t="s">
        <v>17</v>
      </c>
    </row>
    <row r="46" spans="2:6" ht="19.5">
      <c r="B46" s="113" t="s">
        <v>88</v>
      </c>
      <c r="C46" s="113" t="s">
        <v>65</v>
      </c>
      <c r="D46" s="113" t="s">
        <v>65</v>
      </c>
      <c r="E46" s="113" t="s">
        <v>65</v>
      </c>
      <c r="F46" s="113" t="s">
        <v>65</v>
      </c>
    </row>
    <row r="47" spans="2:6" ht="19.5">
      <c r="B47" s="112" t="s">
        <v>81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43</v>
      </c>
      <c r="D49" s="72" t="s">
        <v>82</v>
      </c>
      <c r="E49" s="72">
        <v>106.96</v>
      </c>
      <c r="F49" s="72" t="s">
        <v>17</v>
      </c>
    </row>
    <row r="50" spans="2:6" ht="19.5">
      <c r="B50" s="112" t="s">
        <v>89</v>
      </c>
      <c r="C50" s="112" t="s">
        <v>65</v>
      </c>
      <c r="D50" s="112" t="s">
        <v>65</v>
      </c>
      <c r="E50" s="112" t="s">
        <v>65</v>
      </c>
      <c r="F50" s="112" t="s">
        <v>65</v>
      </c>
    </row>
    <row r="51" spans="2:6" ht="25.5">
      <c r="B51" s="70" t="s">
        <v>68</v>
      </c>
      <c r="C51" s="70" t="s">
        <v>7</v>
      </c>
      <c r="D51" s="70" t="s">
        <v>69</v>
      </c>
      <c r="E51" s="70" t="s">
        <v>8</v>
      </c>
      <c r="F51" s="70" t="s">
        <v>11</v>
      </c>
    </row>
    <row r="52" spans="2:6">
      <c r="B52" s="71">
        <v>1</v>
      </c>
      <c r="C52" s="72" t="s">
        <v>90</v>
      </c>
      <c r="D52" s="72" t="s">
        <v>91</v>
      </c>
      <c r="E52" s="72">
        <v>93.04</v>
      </c>
      <c r="F52" s="72" t="s">
        <v>17</v>
      </c>
    </row>
    <row r="53" spans="2:6">
      <c r="B53" s="73">
        <v>2</v>
      </c>
      <c r="C53" s="74" t="s">
        <v>92</v>
      </c>
      <c r="D53" s="74" t="s">
        <v>93</v>
      </c>
      <c r="E53" s="74">
        <v>73.88</v>
      </c>
      <c r="F53" s="74" t="s">
        <v>17</v>
      </c>
    </row>
    <row r="54" spans="2:6" ht="19.5">
      <c r="B54" s="75" t="s">
        <v>65</v>
      </c>
      <c r="C54" s="75" t="s">
        <v>65</v>
      </c>
      <c r="D54" s="75" t="s">
        <v>65</v>
      </c>
      <c r="E54" s="75" t="s">
        <v>65</v>
      </c>
      <c r="F54" s="75" t="s">
        <v>65</v>
      </c>
    </row>
  </sheetData>
  <mergeCells count="12">
    <mergeCell ref="B50:F50"/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785A-D9BB-458B-A7E5-C798311E65E7}">
  <dimension ref="B2:F54"/>
  <sheetViews>
    <sheetView workbookViewId="0">
      <selection activeCell="C17" sqref="C17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64.2851562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128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2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2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20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9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45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26</v>
      </c>
      <c r="F18" s="74" t="s">
        <v>16</v>
      </c>
    </row>
    <row r="19" spans="2:6">
      <c r="B19" s="71">
        <v>3</v>
      </c>
      <c r="C19" s="72" t="s">
        <v>76</v>
      </c>
      <c r="D19" s="72" t="s">
        <v>38</v>
      </c>
      <c r="E19" s="72">
        <v>19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45</v>
      </c>
      <c r="F20" s="74" t="s">
        <v>16</v>
      </c>
    </row>
    <row r="21" spans="2:6" ht="19.5">
      <c r="B21" s="112" t="s">
        <v>79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80</v>
      </c>
      <c r="D23" s="72" t="s">
        <v>42</v>
      </c>
      <c r="E23" s="72">
        <v>1</v>
      </c>
      <c r="F23" s="72" t="s">
        <v>16</v>
      </c>
    </row>
    <row r="24" spans="2:6" ht="19.5">
      <c r="B24" s="112" t="s">
        <v>81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43</v>
      </c>
      <c r="D26" s="72" t="s">
        <v>82</v>
      </c>
      <c r="E26" s="72">
        <v>19.97</v>
      </c>
      <c r="F26" s="72" t="s">
        <v>17</v>
      </c>
    </row>
    <row r="27" spans="2:6">
      <c r="B27" s="73">
        <v>2</v>
      </c>
      <c r="C27" s="74" t="s">
        <v>43</v>
      </c>
      <c r="D27" s="74" t="s">
        <v>83</v>
      </c>
      <c r="E27" s="74">
        <v>301.89999999999998</v>
      </c>
      <c r="F27" s="74" t="s">
        <v>17</v>
      </c>
    </row>
    <row r="28" spans="2:6" ht="19.5">
      <c r="B28" s="112" t="s">
        <v>84</v>
      </c>
      <c r="C28" s="112" t="s">
        <v>65</v>
      </c>
      <c r="D28" s="112" t="s">
        <v>65</v>
      </c>
      <c r="E28" s="112" t="s">
        <v>65</v>
      </c>
      <c r="F28" s="112" t="s">
        <v>65</v>
      </c>
    </row>
    <row r="29" spans="2:6" ht="25.5">
      <c r="B29" s="70" t="s">
        <v>68</v>
      </c>
      <c r="C29" s="70" t="s">
        <v>7</v>
      </c>
      <c r="D29" s="70" t="s">
        <v>69</v>
      </c>
      <c r="E29" s="70" t="s">
        <v>8</v>
      </c>
      <c r="F29" s="70" t="s">
        <v>11</v>
      </c>
    </row>
    <row r="30" spans="2:6">
      <c r="B30" s="71">
        <v>1</v>
      </c>
      <c r="C30" s="72" t="s">
        <v>85</v>
      </c>
      <c r="D30" s="72" t="s">
        <v>47</v>
      </c>
      <c r="E30" s="72">
        <v>26</v>
      </c>
      <c r="F30" s="72" t="s">
        <v>16</v>
      </c>
    </row>
    <row r="31" spans="2:6">
      <c r="B31" s="73">
        <v>2</v>
      </c>
      <c r="C31" s="74" t="s">
        <v>85</v>
      </c>
      <c r="D31" s="74" t="s">
        <v>48</v>
      </c>
      <c r="E31" s="74">
        <v>5</v>
      </c>
      <c r="F31" s="74" t="s">
        <v>16</v>
      </c>
    </row>
    <row r="32" spans="2:6">
      <c r="B32" s="71">
        <v>3</v>
      </c>
      <c r="C32" s="72" t="s">
        <v>85</v>
      </c>
      <c r="D32" s="72" t="s">
        <v>49</v>
      </c>
      <c r="E32" s="72">
        <v>4</v>
      </c>
      <c r="F32" s="72" t="s">
        <v>16</v>
      </c>
    </row>
    <row r="33" spans="2:6">
      <c r="B33" s="73">
        <v>4</v>
      </c>
      <c r="C33" s="74" t="s">
        <v>85</v>
      </c>
      <c r="D33" s="74" t="s">
        <v>50</v>
      </c>
      <c r="E33" s="74">
        <v>3</v>
      </c>
      <c r="F33" s="74" t="s">
        <v>16</v>
      </c>
    </row>
    <row r="34" spans="2:6">
      <c r="B34" s="71">
        <v>5</v>
      </c>
      <c r="C34" s="72" t="s">
        <v>85</v>
      </c>
      <c r="D34" s="72" t="s">
        <v>102</v>
      </c>
      <c r="E34" s="72">
        <v>5</v>
      </c>
      <c r="F34" s="72" t="s">
        <v>16</v>
      </c>
    </row>
    <row r="35" spans="2:6">
      <c r="B35" s="73">
        <v>6</v>
      </c>
      <c r="C35" s="74" t="s">
        <v>86</v>
      </c>
      <c r="D35" s="74" t="s">
        <v>52</v>
      </c>
      <c r="E35" s="74">
        <v>3</v>
      </c>
      <c r="F35" s="74" t="s">
        <v>16</v>
      </c>
    </row>
    <row r="36" spans="2:6" ht="19.5">
      <c r="B36" s="112" t="s">
        <v>87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63</v>
      </c>
      <c r="D38" s="72" t="s">
        <v>53</v>
      </c>
      <c r="E38" s="72">
        <v>33.409999999999997</v>
      </c>
      <c r="F38" s="72" t="s">
        <v>17</v>
      </c>
    </row>
    <row r="39" spans="2:6">
      <c r="B39" s="73">
        <v>2</v>
      </c>
      <c r="C39" s="74" t="s">
        <v>63</v>
      </c>
      <c r="D39" s="74" t="s">
        <v>54</v>
      </c>
      <c r="E39" s="74">
        <v>16.71</v>
      </c>
      <c r="F39" s="74" t="s">
        <v>17</v>
      </c>
    </row>
    <row r="40" spans="2:6">
      <c r="B40" s="71">
        <v>3</v>
      </c>
      <c r="C40" s="72" t="s">
        <v>63</v>
      </c>
      <c r="D40" s="72" t="s">
        <v>55</v>
      </c>
      <c r="E40" s="72">
        <v>16.71</v>
      </c>
      <c r="F40" s="72" t="s">
        <v>17</v>
      </c>
    </row>
    <row r="41" spans="2:6">
      <c r="B41" s="73">
        <v>4</v>
      </c>
      <c r="C41" s="74" t="s">
        <v>63</v>
      </c>
      <c r="D41" s="74" t="s">
        <v>56</v>
      </c>
      <c r="E41" s="74">
        <v>45.64</v>
      </c>
      <c r="F41" s="74" t="s">
        <v>17</v>
      </c>
    </row>
    <row r="42" spans="2:6">
      <c r="B42" s="71">
        <v>5</v>
      </c>
      <c r="C42" s="72" t="s">
        <v>63</v>
      </c>
      <c r="D42" s="72" t="s">
        <v>57</v>
      </c>
      <c r="E42" s="72">
        <v>122.03</v>
      </c>
      <c r="F42" s="72" t="s">
        <v>17</v>
      </c>
    </row>
    <row r="43" spans="2:6">
      <c r="B43" s="73">
        <v>6</v>
      </c>
      <c r="C43" s="74" t="s">
        <v>63</v>
      </c>
      <c r="D43" s="74" t="s">
        <v>58</v>
      </c>
      <c r="E43" s="74">
        <v>122.03</v>
      </c>
      <c r="F43" s="74" t="s">
        <v>17</v>
      </c>
    </row>
    <row r="44" spans="2:6">
      <c r="B44" s="71">
        <v>7</v>
      </c>
      <c r="C44" s="72" t="s">
        <v>63</v>
      </c>
      <c r="D44" s="72" t="s">
        <v>59</v>
      </c>
      <c r="E44" s="72">
        <v>243.12</v>
      </c>
      <c r="F44" s="72" t="s">
        <v>17</v>
      </c>
    </row>
    <row r="45" spans="2:6">
      <c r="B45" s="73">
        <v>8</v>
      </c>
      <c r="C45" s="74" t="s">
        <v>63</v>
      </c>
      <c r="D45" s="74" t="s">
        <v>60</v>
      </c>
      <c r="E45" s="74">
        <v>243.12</v>
      </c>
      <c r="F45" s="74" t="s">
        <v>17</v>
      </c>
    </row>
    <row r="46" spans="2:6" ht="19.5">
      <c r="B46" s="113" t="s">
        <v>88</v>
      </c>
      <c r="C46" s="113" t="s">
        <v>65</v>
      </c>
      <c r="D46" s="113" t="s">
        <v>65</v>
      </c>
      <c r="E46" s="113" t="s">
        <v>65</v>
      </c>
      <c r="F46" s="113" t="s">
        <v>65</v>
      </c>
    </row>
    <row r="47" spans="2:6" ht="19.5">
      <c r="B47" s="112" t="s">
        <v>81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43</v>
      </c>
      <c r="D49" s="72" t="s">
        <v>82</v>
      </c>
      <c r="E49" s="72">
        <v>79.66</v>
      </c>
      <c r="F49" s="72" t="s">
        <v>17</v>
      </c>
    </row>
    <row r="50" spans="2:6" ht="19.5">
      <c r="B50" s="112" t="s">
        <v>89</v>
      </c>
      <c r="C50" s="112" t="s">
        <v>65</v>
      </c>
      <c r="D50" s="112" t="s">
        <v>65</v>
      </c>
      <c r="E50" s="112" t="s">
        <v>65</v>
      </c>
      <c r="F50" s="112" t="s">
        <v>65</v>
      </c>
    </row>
    <row r="51" spans="2:6" ht="25.5">
      <c r="B51" s="70" t="s">
        <v>68</v>
      </c>
      <c r="C51" s="70" t="s">
        <v>7</v>
      </c>
      <c r="D51" s="70" t="s">
        <v>69</v>
      </c>
      <c r="E51" s="70" t="s">
        <v>8</v>
      </c>
      <c r="F51" s="70" t="s">
        <v>11</v>
      </c>
    </row>
    <row r="52" spans="2:6">
      <c r="B52" s="71">
        <v>1</v>
      </c>
      <c r="C52" s="72" t="s">
        <v>90</v>
      </c>
      <c r="D52" s="72" t="s">
        <v>91</v>
      </c>
      <c r="E52" s="72">
        <v>68.34</v>
      </c>
      <c r="F52" s="72" t="s">
        <v>17</v>
      </c>
    </row>
    <row r="53" spans="2:6">
      <c r="B53" s="73">
        <v>2</v>
      </c>
      <c r="C53" s="74" t="s">
        <v>92</v>
      </c>
      <c r="D53" s="74" t="s">
        <v>93</v>
      </c>
      <c r="E53" s="74">
        <v>47.68</v>
      </c>
      <c r="F53" s="74" t="s">
        <v>17</v>
      </c>
    </row>
    <row r="54" spans="2:6" ht="19.5">
      <c r="B54" s="75" t="s">
        <v>65</v>
      </c>
      <c r="C54" s="75" t="s">
        <v>65</v>
      </c>
      <c r="D54" s="75" t="s">
        <v>65</v>
      </c>
      <c r="E54" s="75" t="s">
        <v>65</v>
      </c>
      <c r="F54" s="75" t="s">
        <v>65</v>
      </c>
    </row>
  </sheetData>
  <mergeCells count="12">
    <mergeCell ref="B50:F50"/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3534-FCC1-40EF-B0A5-3B52032E53B0}">
  <dimension ref="B2:F49"/>
  <sheetViews>
    <sheetView workbookViewId="0">
      <selection activeCell="D50" sqref="D50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129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4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16</v>
      </c>
      <c r="F16" s="72" t="s">
        <v>16</v>
      </c>
    </row>
    <row r="17" spans="2:6">
      <c r="B17" s="73">
        <v>2</v>
      </c>
      <c r="C17" s="74" t="s">
        <v>76</v>
      </c>
      <c r="D17" s="74" t="s">
        <v>37</v>
      </c>
      <c r="E17" s="74">
        <v>8</v>
      </c>
      <c r="F17" s="74" t="s">
        <v>16</v>
      </c>
    </row>
    <row r="18" spans="2:6" ht="25.5">
      <c r="B18" s="71">
        <v>3</v>
      </c>
      <c r="C18" s="72" t="s">
        <v>76</v>
      </c>
      <c r="D18" s="72" t="s">
        <v>38</v>
      </c>
      <c r="E18" s="72">
        <v>8</v>
      </c>
      <c r="F18" s="72" t="s">
        <v>16</v>
      </c>
    </row>
    <row r="19" spans="2:6">
      <c r="B19" s="73">
        <v>4</v>
      </c>
      <c r="C19" s="74" t="s">
        <v>78</v>
      </c>
      <c r="D19" s="74" t="s">
        <v>40</v>
      </c>
      <c r="E19" s="74">
        <v>16</v>
      </c>
      <c r="F19" s="74" t="s">
        <v>16</v>
      </c>
    </row>
    <row r="20" spans="2:6" ht="19.5">
      <c r="B20" s="112" t="s">
        <v>79</v>
      </c>
      <c r="C20" s="112" t="s">
        <v>65</v>
      </c>
      <c r="D20" s="112" t="s">
        <v>65</v>
      </c>
      <c r="E20" s="112" t="s">
        <v>65</v>
      </c>
      <c r="F20" s="112" t="s">
        <v>65</v>
      </c>
    </row>
    <row r="21" spans="2:6" ht="25.5">
      <c r="B21" s="70" t="s">
        <v>68</v>
      </c>
      <c r="C21" s="70" t="s">
        <v>7</v>
      </c>
      <c r="D21" s="70" t="s">
        <v>69</v>
      </c>
      <c r="E21" s="70" t="s">
        <v>8</v>
      </c>
      <c r="F21" s="70" t="s">
        <v>11</v>
      </c>
    </row>
    <row r="22" spans="2:6">
      <c r="B22" s="71">
        <v>1</v>
      </c>
      <c r="C22" s="72" t="s">
        <v>80</v>
      </c>
      <c r="D22" s="72" t="s">
        <v>42</v>
      </c>
      <c r="E22" s="72">
        <v>1</v>
      </c>
      <c r="F22" s="72" t="s">
        <v>16</v>
      </c>
    </row>
    <row r="23" spans="2:6" ht="19.5">
      <c r="B23" s="112" t="s">
        <v>81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43</v>
      </c>
      <c r="D25" s="72" t="s">
        <v>82</v>
      </c>
      <c r="E25" s="72">
        <v>4.1100000000000003</v>
      </c>
      <c r="F25" s="72" t="s">
        <v>17</v>
      </c>
    </row>
    <row r="26" spans="2:6">
      <c r="B26" s="73">
        <v>2</v>
      </c>
      <c r="C26" s="74" t="s">
        <v>43</v>
      </c>
      <c r="D26" s="74" t="s">
        <v>83</v>
      </c>
      <c r="E26" s="74">
        <v>108.03</v>
      </c>
      <c r="F26" s="74" t="s">
        <v>17</v>
      </c>
    </row>
    <row r="27" spans="2:6" ht="19.5">
      <c r="B27" s="112" t="s">
        <v>84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85</v>
      </c>
      <c r="D29" s="72" t="s">
        <v>47</v>
      </c>
      <c r="E29" s="72">
        <v>8</v>
      </c>
      <c r="F29" s="72" t="s">
        <v>16</v>
      </c>
    </row>
    <row r="30" spans="2:6">
      <c r="B30" s="73">
        <v>2</v>
      </c>
      <c r="C30" s="74" t="s">
        <v>85</v>
      </c>
      <c r="D30" s="74" t="s">
        <v>48</v>
      </c>
      <c r="E30" s="74">
        <v>5</v>
      </c>
      <c r="F30" s="74" t="s">
        <v>16</v>
      </c>
    </row>
    <row r="31" spans="2:6">
      <c r="B31" s="71">
        <v>3</v>
      </c>
      <c r="C31" s="72" t="s">
        <v>85</v>
      </c>
      <c r="D31" s="72" t="s">
        <v>50</v>
      </c>
      <c r="E31" s="72">
        <v>3</v>
      </c>
      <c r="F31" s="72" t="s">
        <v>16</v>
      </c>
    </row>
    <row r="32" spans="2:6">
      <c r="B32" s="73">
        <v>4</v>
      </c>
      <c r="C32" s="74" t="s">
        <v>86</v>
      </c>
      <c r="D32" s="74" t="s">
        <v>52</v>
      </c>
      <c r="E32" s="74">
        <v>3</v>
      </c>
      <c r="F32" s="74" t="s">
        <v>16</v>
      </c>
    </row>
    <row r="33" spans="2:6" ht="19.5">
      <c r="B33" s="112" t="s">
        <v>87</v>
      </c>
      <c r="C33" s="112" t="s">
        <v>65</v>
      </c>
      <c r="D33" s="112" t="s">
        <v>65</v>
      </c>
      <c r="E33" s="112" t="s">
        <v>65</v>
      </c>
      <c r="F33" s="112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63</v>
      </c>
      <c r="D35" s="72" t="s">
        <v>53</v>
      </c>
      <c r="E35" s="72">
        <v>43.03</v>
      </c>
      <c r="F35" s="72" t="s">
        <v>17</v>
      </c>
    </row>
    <row r="36" spans="2:6">
      <c r="B36" s="73">
        <v>2</v>
      </c>
      <c r="C36" s="74" t="s">
        <v>63</v>
      </c>
      <c r="D36" s="74" t="s">
        <v>54</v>
      </c>
      <c r="E36" s="74">
        <v>36.72</v>
      </c>
      <c r="F36" s="74" t="s">
        <v>17</v>
      </c>
    </row>
    <row r="37" spans="2:6">
      <c r="B37" s="71">
        <v>3</v>
      </c>
      <c r="C37" s="72" t="s">
        <v>63</v>
      </c>
      <c r="D37" s="72" t="s">
        <v>55</v>
      </c>
      <c r="E37" s="72">
        <v>36.72</v>
      </c>
      <c r="F37" s="72" t="s">
        <v>17</v>
      </c>
    </row>
    <row r="38" spans="2:6">
      <c r="B38" s="73">
        <v>4</v>
      </c>
      <c r="C38" s="74" t="s">
        <v>63</v>
      </c>
      <c r="D38" s="74" t="s">
        <v>56</v>
      </c>
      <c r="E38" s="74">
        <v>22.42</v>
      </c>
      <c r="F38" s="74" t="s">
        <v>17</v>
      </c>
    </row>
    <row r="39" spans="2:6">
      <c r="B39" s="71">
        <v>5</v>
      </c>
      <c r="C39" s="72" t="s">
        <v>63</v>
      </c>
      <c r="D39" s="72" t="s">
        <v>57</v>
      </c>
      <c r="E39" s="72">
        <v>104.84</v>
      </c>
      <c r="F39" s="72" t="s">
        <v>17</v>
      </c>
    </row>
    <row r="40" spans="2:6">
      <c r="B40" s="73">
        <v>6</v>
      </c>
      <c r="C40" s="74" t="s">
        <v>63</v>
      </c>
      <c r="D40" s="74" t="s">
        <v>58</v>
      </c>
      <c r="E40" s="74">
        <v>104.84</v>
      </c>
      <c r="F40" s="74" t="s">
        <v>17</v>
      </c>
    </row>
    <row r="41" spans="2:6" ht="19.5">
      <c r="B41" s="113" t="s">
        <v>88</v>
      </c>
      <c r="C41" s="113" t="s">
        <v>65</v>
      </c>
      <c r="D41" s="113" t="s">
        <v>65</v>
      </c>
      <c r="E41" s="113" t="s">
        <v>65</v>
      </c>
      <c r="F41" s="113" t="s">
        <v>65</v>
      </c>
    </row>
    <row r="42" spans="2:6" ht="19.5">
      <c r="B42" s="112" t="s">
        <v>81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43</v>
      </c>
      <c r="D44" s="72" t="s">
        <v>82</v>
      </c>
      <c r="E44" s="72">
        <v>35.950000000000003</v>
      </c>
      <c r="F44" s="72" t="s">
        <v>17</v>
      </c>
    </row>
    <row r="45" spans="2:6" ht="19.5">
      <c r="B45" s="112" t="s">
        <v>89</v>
      </c>
      <c r="C45" s="112" t="s">
        <v>65</v>
      </c>
      <c r="D45" s="112" t="s">
        <v>65</v>
      </c>
      <c r="E45" s="112" t="s">
        <v>65</v>
      </c>
      <c r="F45" s="112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90</v>
      </c>
      <c r="D47" s="72" t="s">
        <v>91</v>
      </c>
      <c r="E47" s="72">
        <v>28.53</v>
      </c>
      <c r="F47" s="72" t="s">
        <v>17</v>
      </c>
    </row>
    <row r="48" spans="2:6">
      <c r="B48" s="73">
        <v>2</v>
      </c>
      <c r="C48" s="74" t="s">
        <v>92</v>
      </c>
      <c r="D48" s="74" t="s">
        <v>93</v>
      </c>
      <c r="E48" s="74">
        <v>10.37</v>
      </c>
      <c r="F48" s="74" t="s">
        <v>17</v>
      </c>
    </row>
    <row r="49" spans="2:6" ht="19.5">
      <c r="B49" s="75" t="s">
        <v>65</v>
      </c>
      <c r="C49" s="75" t="s">
        <v>65</v>
      </c>
      <c r="D49" s="75" t="s">
        <v>65</v>
      </c>
      <c r="E49" s="75" t="s">
        <v>65</v>
      </c>
      <c r="F49" s="75" t="s">
        <v>65</v>
      </c>
    </row>
  </sheetData>
  <mergeCells count="12">
    <mergeCell ref="B45:F45"/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4C82-C70E-4B96-9F65-B21713164918}">
  <dimension ref="B2:F48"/>
  <sheetViews>
    <sheetView workbookViewId="0">
      <selection activeCell="I5" sqref="I5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130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24.58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35.270000000000003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76.680000000000007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115.81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115.81</v>
      </c>
      <c r="F36" s="72" t="s">
        <v>17</v>
      </c>
    </row>
    <row r="37" spans="2:6">
      <c r="B37" s="73">
        <v>4</v>
      </c>
      <c r="C37" s="74" t="s">
        <v>63</v>
      </c>
      <c r="D37" s="74" t="s">
        <v>132</v>
      </c>
      <c r="E37" s="74">
        <v>26.72</v>
      </c>
      <c r="F37" s="74" t="s">
        <v>17</v>
      </c>
    </row>
    <row r="38" spans="2:6">
      <c r="B38" s="71">
        <v>5</v>
      </c>
      <c r="C38" s="72" t="s">
        <v>63</v>
      </c>
      <c r="D38" s="72" t="s">
        <v>59</v>
      </c>
      <c r="E38" s="72">
        <v>13.36</v>
      </c>
      <c r="F38" s="72" t="s">
        <v>17</v>
      </c>
    </row>
    <row r="39" spans="2:6">
      <c r="B39" s="73">
        <v>6</v>
      </c>
      <c r="C39" s="74" t="s">
        <v>63</v>
      </c>
      <c r="D39" s="74" t="s">
        <v>60</v>
      </c>
      <c r="E39" s="74">
        <v>13.36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163.11000000000001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156.74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149.06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DAC8-ADCE-40D5-908E-5433BCDECFFA}">
  <dimension ref="B2:F48"/>
  <sheetViews>
    <sheetView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133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71</v>
      </c>
      <c r="D8" s="72" t="s">
        <v>131</v>
      </c>
      <c r="E8" s="72">
        <v>2</v>
      </c>
      <c r="F8" s="72" t="s">
        <v>16</v>
      </c>
    </row>
    <row r="9" spans="2:6">
      <c r="B9" s="73">
        <v>4</v>
      </c>
      <c r="C9" s="74" t="s">
        <v>72</v>
      </c>
      <c r="D9" s="74" t="s">
        <v>31</v>
      </c>
      <c r="E9" s="74">
        <v>1</v>
      </c>
      <c r="F9" s="74" t="s">
        <v>16</v>
      </c>
    </row>
    <row r="10" spans="2:6">
      <c r="B10" s="71">
        <v>5</v>
      </c>
      <c r="C10" s="72" t="s">
        <v>72</v>
      </c>
      <c r="D10" s="72" t="s">
        <v>108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19</v>
      </c>
      <c r="F11" s="74" t="s">
        <v>16</v>
      </c>
    </row>
    <row r="12" spans="2:6" ht="19.5">
      <c r="B12" s="112" t="s">
        <v>74</v>
      </c>
      <c r="C12" s="112" t="s">
        <v>65</v>
      </c>
      <c r="D12" s="112" t="s">
        <v>65</v>
      </c>
      <c r="E12" s="112" t="s">
        <v>65</v>
      </c>
      <c r="F12" s="112" t="s">
        <v>65</v>
      </c>
    </row>
    <row r="13" spans="2:6" ht="25.5">
      <c r="B13" s="70" t="s">
        <v>68</v>
      </c>
      <c r="C13" s="70" t="s">
        <v>7</v>
      </c>
      <c r="D13" s="70" t="s">
        <v>69</v>
      </c>
      <c r="E13" s="70" t="s">
        <v>8</v>
      </c>
      <c r="F13" s="70" t="s">
        <v>11</v>
      </c>
    </row>
    <row r="14" spans="2:6">
      <c r="B14" s="71">
        <v>1</v>
      </c>
      <c r="C14" s="72" t="s">
        <v>75</v>
      </c>
      <c r="D14" s="72" t="s">
        <v>33</v>
      </c>
      <c r="E14" s="72">
        <v>31</v>
      </c>
      <c r="F14" s="72" t="s">
        <v>16</v>
      </c>
    </row>
    <row r="15" spans="2:6">
      <c r="B15" s="73">
        <v>2</v>
      </c>
      <c r="C15" s="74" t="s">
        <v>76</v>
      </c>
      <c r="D15" s="74" t="s">
        <v>34</v>
      </c>
      <c r="E15" s="74">
        <v>2</v>
      </c>
      <c r="F15" s="74" t="s">
        <v>16</v>
      </c>
    </row>
    <row r="16" spans="2:6" ht="19.5">
      <c r="B16" s="112" t="s">
        <v>77</v>
      </c>
      <c r="C16" s="112" t="s">
        <v>65</v>
      </c>
      <c r="D16" s="112" t="s">
        <v>65</v>
      </c>
      <c r="E16" s="112" t="s">
        <v>65</v>
      </c>
      <c r="F16" s="112" t="s">
        <v>65</v>
      </c>
    </row>
    <row r="17" spans="2:6" ht="25.5">
      <c r="B17" s="70" t="s">
        <v>68</v>
      </c>
      <c r="C17" s="70" t="s">
        <v>7</v>
      </c>
      <c r="D17" s="70" t="s">
        <v>69</v>
      </c>
      <c r="E17" s="70" t="s">
        <v>8</v>
      </c>
      <c r="F17" s="70" t="s">
        <v>11</v>
      </c>
    </row>
    <row r="18" spans="2:6">
      <c r="B18" s="71">
        <v>1</v>
      </c>
      <c r="C18" s="72" t="s">
        <v>75</v>
      </c>
      <c r="D18" s="72" t="s">
        <v>35</v>
      </c>
      <c r="E18" s="72">
        <v>9</v>
      </c>
      <c r="F18" s="72" t="s">
        <v>16</v>
      </c>
    </row>
    <row r="19" spans="2:6">
      <c r="B19" s="73">
        <v>2</v>
      </c>
      <c r="C19" s="74" t="s">
        <v>76</v>
      </c>
      <c r="D19" s="74" t="s">
        <v>37</v>
      </c>
      <c r="E19" s="74">
        <v>3</v>
      </c>
      <c r="F19" s="74" t="s">
        <v>16</v>
      </c>
    </row>
    <row r="20" spans="2:6" ht="25.5">
      <c r="B20" s="71">
        <v>3</v>
      </c>
      <c r="C20" s="72" t="s">
        <v>76</v>
      </c>
      <c r="D20" s="72" t="s">
        <v>38</v>
      </c>
      <c r="E20" s="72">
        <v>6</v>
      </c>
      <c r="F20" s="72" t="s">
        <v>16</v>
      </c>
    </row>
    <row r="21" spans="2:6">
      <c r="B21" s="73">
        <v>4</v>
      </c>
      <c r="C21" s="74" t="s">
        <v>78</v>
      </c>
      <c r="D21" s="74" t="s">
        <v>40</v>
      </c>
      <c r="E21" s="74">
        <v>9</v>
      </c>
      <c r="F21" s="74" t="s">
        <v>16</v>
      </c>
    </row>
    <row r="22" spans="2:6" ht="19.5">
      <c r="B22" s="112" t="s">
        <v>81</v>
      </c>
      <c r="C22" s="112" t="s">
        <v>65</v>
      </c>
      <c r="D22" s="112" t="s">
        <v>65</v>
      </c>
      <c r="E22" s="112" t="s">
        <v>65</v>
      </c>
      <c r="F22" s="112" t="s">
        <v>65</v>
      </c>
    </row>
    <row r="23" spans="2:6" ht="25.5">
      <c r="B23" s="70" t="s">
        <v>68</v>
      </c>
      <c r="C23" s="70" t="s">
        <v>7</v>
      </c>
      <c r="D23" s="70" t="s">
        <v>69</v>
      </c>
      <c r="E23" s="70" t="s">
        <v>8</v>
      </c>
      <c r="F23" s="70" t="s">
        <v>11</v>
      </c>
    </row>
    <row r="24" spans="2:6">
      <c r="B24" s="71">
        <v>1</v>
      </c>
      <c r="C24" s="72" t="s">
        <v>43</v>
      </c>
      <c r="D24" s="72" t="s">
        <v>82</v>
      </c>
      <c r="E24" s="72">
        <v>30.34</v>
      </c>
      <c r="F24" s="72" t="s">
        <v>17</v>
      </c>
    </row>
    <row r="25" spans="2:6">
      <c r="B25" s="73">
        <v>2</v>
      </c>
      <c r="C25" s="74" t="s">
        <v>43</v>
      </c>
      <c r="D25" s="74" t="s">
        <v>83</v>
      </c>
      <c r="E25" s="74">
        <v>33.42</v>
      </c>
      <c r="F25" s="74" t="s">
        <v>17</v>
      </c>
    </row>
    <row r="26" spans="2:6" ht="19.5">
      <c r="B26" s="112" t="s">
        <v>84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85</v>
      </c>
      <c r="D28" s="72" t="s">
        <v>47</v>
      </c>
      <c r="E28" s="72">
        <v>3</v>
      </c>
      <c r="F28" s="72" t="s">
        <v>16</v>
      </c>
    </row>
    <row r="29" spans="2:6">
      <c r="B29" s="73">
        <v>2</v>
      </c>
      <c r="C29" s="74" t="s">
        <v>85</v>
      </c>
      <c r="D29" s="74" t="s">
        <v>48</v>
      </c>
      <c r="E29" s="74">
        <v>5</v>
      </c>
      <c r="F29" s="74" t="s">
        <v>16</v>
      </c>
    </row>
    <row r="30" spans="2:6">
      <c r="B30" s="71">
        <v>3</v>
      </c>
      <c r="C30" s="72" t="s">
        <v>85</v>
      </c>
      <c r="D30" s="72" t="s">
        <v>50</v>
      </c>
      <c r="E30" s="72">
        <v>1</v>
      </c>
      <c r="F30" s="72" t="s">
        <v>16</v>
      </c>
    </row>
    <row r="31" spans="2:6">
      <c r="B31" s="73">
        <v>4</v>
      </c>
      <c r="C31" s="74" t="s">
        <v>86</v>
      </c>
      <c r="D31" s="74" t="s">
        <v>52</v>
      </c>
      <c r="E31" s="74">
        <v>3</v>
      </c>
      <c r="F31" s="74" t="s">
        <v>16</v>
      </c>
    </row>
    <row r="32" spans="2:6" ht="19.5">
      <c r="B32" s="112" t="s">
        <v>87</v>
      </c>
      <c r="C32" s="112" t="s">
        <v>65</v>
      </c>
      <c r="D32" s="112" t="s">
        <v>65</v>
      </c>
      <c r="E32" s="112" t="s">
        <v>65</v>
      </c>
      <c r="F32" s="112" t="s">
        <v>65</v>
      </c>
    </row>
    <row r="33" spans="2:6" ht="25.5">
      <c r="B33" s="70" t="s">
        <v>68</v>
      </c>
      <c r="C33" s="70" t="s">
        <v>7</v>
      </c>
      <c r="D33" s="70" t="s">
        <v>69</v>
      </c>
      <c r="E33" s="70" t="s">
        <v>8</v>
      </c>
      <c r="F33" s="70" t="s">
        <v>11</v>
      </c>
    </row>
    <row r="34" spans="2:6">
      <c r="B34" s="71">
        <v>1</v>
      </c>
      <c r="C34" s="72" t="s">
        <v>63</v>
      </c>
      <c r="D34" s="72" t="s">
        <v>53</v>
      </c>
      <c r="E34" s="72">
        <v>55.28</v>
      </c>
      <c r="F34" s="72" t="s">
        <v>17</v>
      </c>
    </row>
    <row r="35" spans="2:6">
      <c r="B35" s="73">
        <v>2</v>
      </c>
      <c r="C35" s="74" t="s">
        <v>63</v>
      </c>
      <c r="D35" s="74" t="s">
        <v>54</v>
      </c>
      <c r="E35" s="74">
        <v>67.459999999999994</v>
      </c>
      <c r="F35" s="74" t="s">
        <v>17</v>
      </c>
    </row>
    <row r="36" spans="2:6">
      <c r="B36" s="71">
        <v>3</v>
      </c>
      <c r="C36" s="72" t="s">
        <v>63</v>
      </c>
      <c r="D36" s="72" t="s">
        <v>55</v>
      </c>
      <c r="E36" s="72">
        <v>67.459999999999994</v>
      </c>
      <c r="F36" s="72" t="s">
        <v>17</v>
      </c>
    </row>
    <row r="37" spans="2:6">
      <c r="B37" s="73">
        <v>4</v>
      </c>
      <c r="C37" s="74" t="s">
        <v>63</v>
      </c>
      <c r="D37" s="74" t="s">
        <v>56</v>
      </c>
      <c r="E37" s="74">
        <v>25.52</v>
      </c>
      <c r="F37" s="74" t="s">
        <v>17</v>
      </c>
    </row>
    <row r="38" spans="2:6">
      <c r="B38" s="71">
        <v>5</v>
      </c>
      <c r="C38" s="72" t="s">
        <v>63</v>
      </c>
      <c r="D38" s="72" t="s">
        <v>57</v>
      </c>
      <c r="E38" s="72">
        <v>16.86</v>
      </c>
      <c r="F38" s="72" t="s">
        <v>17</v>
      </c>
    </row>
    <row r="39" spans="2:6">
      <c r="B39" s="73">
        <v>6</v>
      </c>
      <c r="C39" s="74" t="s">
        <v>63</v>
      </c>
      <c r="D39" s="74" t="s">
        <v>58</v>
      </c>
      <c r="E39" s="74">
        <v>16.86</v>
      </c>
      <c r="F39" s="74" t="s">
        <v>17</v>
      </c>
    </row>
    <row r="40" spans="2:6" ht="19.5">
      <c r="B40" s="113" t="s">
        <v>88</v>
      </c>
      <c r="C40" s="113" t="s">
        <v>65</v>
      </c>
      <c r="D40" s="113" t="s">
        <v>65</v>
      </c>
      <c r="E40" s="113" t="s">
        <v>65</v>
      </c>
      <c r="F40" s="113" t="s">
        <v>65</v>
      </c>
    </row>
    <row r="41" spans="2:6" ht="19.5">
      <c r="B41" s="112" t="s">
        <v>81</v>
      </c>
      <c r="C41" s="112" t="s">
        <v>65</v>
      </c>
      <c r="D41" s="112" t="s">
        <v>65</v>
      </c>
      <c r="E41" s="112" t="s">
        <v>65</v>
      </c>
      <c r="F41" s="112" t="s">
        <v>65</v>
      </c>
    </row>
    <row r="42" spans="2:6" ht="25.5">
      <c r="B42" s="70" t="s">
        <v>68</v>
      </c>
      <c r="C42" s="70" t="s">
        <v>7</v>
      </c>
      <c r="D42" s="70" t="s">
        <v>69</v>
      </c>
      <c r="E42" s="70" t="s">
        <v>8</v>
      </c>
      <c r="F42" s="70" t="s">
        <v>11</v>
      </c>
    </row>
    <row r="43" spans="2:6">
      <c r="B43" s="71">
        <v>1</v>
      </c>
      <c r="C43" s="72" t="s">
        <v>43</v>
      </c>
      <c r="D43" s="72" t="s">
        <v>82</v>
      </c>
      <c r="E43" s="72">
        <v>159.71</v>
      </c>
      <c r="F43" s="72" t="s">
        <v>17</v>
      </c>
    </row>
    <row r="44" spans="2:6" ht="19.5">
      <c r="B44" s="112" t="s">
        <v>89</v>
      </c>
      <c r="C44" s="112" t="s">
        <v>65</v>
      </c>
      <c r="D44" s="112" t="s">
        <v>65</v>
      </c>
      <c r="E44" s="112" t="s">
        <v>65</v>
      </c>
      <c r="F44" s="112" t="s">
        <v>65</v>
      </c>
    </row>
    <row r="45" spans="2:6" ht="25.5">
      <c r="B45" s="70" t="s">
        <v>68</v>
      </c>
      <c r="C45" s="70" t="s">
        <v>7</v>
      </c>
      <c r="D45" s="70" t="s">
        <v>69</v>
      </c>
      <c r="E45" s="70" t="s">
        <v>8</v>
      </c>
      <c r="F45" s="70" t="s">
        <v>11</v>
      </c>
    </row>
    <row r="46" spans="2:6">
      <c r="B46" s="71">
        <v>1</v>
      </c>
      <c r="C46" s="72" t="s">
        <v>90</v>
      </c>
      <c r="D46" s="72" t="s">
        <v>91</v>
      </c>
      <c r="E46" s="72">
        <v>153.34</v>
      </c>
      <c r="F46" s="72" t="s">
        <v>17</v>
      </c>
    </row>
    <row r="47" spans="2:6">
      <c r="B47" s="73">
        <v>2</v>
      </c>
      <c r="C47" s="74" t="s">
        <v>92</v>
      </c>
      <c r="D47" s="74" t="s">
        <v>93</v>
      </c>
      <c r="E47" s="74">
        <v>145.66</v>
      </c>
      <c r="F47" s="74" t="s">
        <v>17</v>
      </c>
    </row>
    <row r="48" spans="2:6" ht="19.5">
      <c r="B48" s="75" t="s">
        <v>65</v>
      </c>
      <c r="C48" s="75" t="s">
        <v>65</v>
      </c>
      <c r="D48" s="75" t="s">
        <v>65</v>
      </c>
      <c r="E48" s="75" t="s">
        <v>65</v>
      </c>
      <c r="F48" s="75" t="s">
        <v>65</v>
      </c>
    </row>
  </sheetData>
  <mergeCells count="11">
    <mergeCell ref="B22:F22"/>
    <mergeCell ref="B2:F2"/>
    <mergeCell ref="B3:F3"/>
    <mergeCell ref="B4:F4"/>
    <mergeCell ref="B12:F12"/>
    <mergeCell ref="B16:F16"/>
    <mergeCell ref="B26:F26"/>
    <mergeCell ref="B32:F32"/>
    <mergeCell ref="B40:F40"/>
    <mergeCell ref="B41:F41"/>
    <mergeCell ref="B44:F4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7F03-EA42-4931-A911-2C8153EB3267}">
  <dimension ref="B2:F62"/>
  <sheetViews>
    <sheetView workbookViewId="0">
      <selection activeCell="H4" sqref="H4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134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9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32</v>
      </c>
      <c r="F13" s="72" t="s">
        <v>16</v>
      </c>
    </row>
    <row r="14" spans="2:6" ht="19.5">
      <c r="B14" s="112" t="s">
        <v>77</v>
      </c>
      <c r="C14" s="112" t="s">
        <v>65</v>
      </c>
      <c r="D14" s="112" t="s">
        <v>65</v>
      </c>
      <c r="E14" s="112" t="s">
        <v>65</v>
      </c>
      <c r="F14" s="112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12</v>
      </c>
      <c r="F16" s="72" t="s">
        <v>16</v>
      </c>
    </row>
    <row r="17" spans="2:6">
      <c r="B17" s="73">
        <v>2</v>
      </c>
      <c r="C17" s="74" t="s">
        <v>75</v>
      </c>
      <c r="D17" s="74" t="s">
        <v>36</v>
      </c>
      <c r="E17" s="74">
        <v>7</v>
      </c>
      <c r="F17" s="74" t="s">
        <v>16</v>
      </c>
    </row>
    <row r="18" spans="2:6">
      <c r="B18" s="71">
        <v>3</v>
      </c>
      <c r="C18" s="72" t="s">
        <v>76</v>
      </c>
      <c r="D18" s="72" t="s">
        <v>37</v>
      </c>
      <c r="E18" s="72">
        <v>5</v>
      </c>
      <c r="F18" s="72" t="s">
        <v>16</v>
      </c>
    </row>
    <row r="19" spans="2:6" ht="25.5">
      <c r="B19" s="73">
        <v>4</v>
      </c>
      <c r="C19" s="74" t="s">
        <v>76</v>
      </c>
      <c r="D19" s="74" t="s">
        <v>38</v>
      </c>
      <c r="E19" s="74">
        <v>7</v>
      </c>
      <c r="F19" s="74" t="s">
        <v>16</v>
      </c>
    </row>
    <row r="20" spans="2:6">
      <c r="B20" s="71">
        <v>5</v>
      </c>
      <c r="C20" s="72" t="s">
        <v>76</v>
      </c>
      <c r="D20" s="72" t="s">
        <v>39</v>
      </c>
      <c r="E20" s="72">
        <v>7</v>
      </c>
      <c r="F20" s="72" t="s">
        <v>16</v>
      </c>
    </row>
    <row r="21" spans="2:6">
      <c r="B21" s="73">
        <v>6</v>
      </c>
      <c r="C21" s="74" t="s">
        <v>78</v>
      </c>
      <c r="D21" s="74" t="s">
        <v>40</v>
      </c>
      <c r="E21" s="74">
        <v>12</v>
      </c>
      <c r="F21" s="74" t="s">
        <v>16</v>
      </c>
    </row>
    <row r="22" spans="2:6">
      <c r="B22" s="71">
        <v>7</v>
      </c>
      <c r="C22" s="72" t="s">
        <v>78</v>
      </c>
      <c r="D22" s="72" t="s">
        <v>41</v>
      </c>
      <c r="E22" s="72">
        <v>7</v>
      </c>
      <c r="F22" s="72" t="s">
        <v>16</v>
      </c>
    </row>
    <row r="23" spans="2:6" ht="19.5">
      <c r="B23" s="112" t="s">
        <v>79</v>
      </c>
      <c r="C23" s="112" t="s">
        <v>65</v>
      </c>
      <c r="D23" s="112" t="s">
        <v>65</v>
      </c>
      <c r="E23" s="112" t="s">
        <v>65</v>
      </c>
      <c r="F23" s="112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80</v>
      </c>
      <c r="D25" s="72" t="s">
        <v>42</v>
      </c>
      <c r="E25" s="72">
        <v>1</v>
      </c>
      <c r="F25" s="72" t="s">
        <v>16</v>
      </c>
    </row>
    <row r="26" spans="2:6" ht="19.5">
      <c r="B26" s="112" t="s">
        <v>81</v>
      </c>
      <c r="C26" s="112" t="s">
        <v>65</v>
      </c>
      <c r="D26" s="112" t="s">
        <v>65</v>
      </c>
      <c r="E26" s="112" t="s">
        <v>65</v>
      </c>
      <c r="F26" s="112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43</v>
      </c>
      <c r="D28" s="72" t="s">
        <v>82</v>
      </c>
      <c r="E28" s="72">
        <v>10.67</v>
      </c>
      <c r="F28" s="72" t="s">
        <v>17</v>
      </c>
    </row>
    <row r="29" spans="2:6">
      <c r="B29" s="73">
        <v>2</v>
      </c>
      <c r="C29" s="74" t="s">
        <v>43</v>
      </c>
      <c r="D29" s="74" t="s">
        <v>83</v>
      </c>
      <c r="E29" s="74">
        <v>0.2</v>
      </c>
      <c r="F29" s="74" t="s">
        <v>17</v>
      </c>
    </row>
    <row r="30" spans="2:6" ht="19.5">
      <c r="B30" s="112" t="s">
        <v>84</v>
      </c>
      <c r="C30" s="112" t="s">
        <v>65</v>
      </c>
      <c r="D30" s="112" t="s">
        <v>65</v>
      </c>
      <c r="E30" s="112" t="s">
        <v>65</v>
      </c>
      <c r="F30" s="112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85</v>
      </c>
      <c r="D32" s="72" t="s">
        <v>47</v>
      </c>
      <c r="E32" s="72">
        <v>5</v>
      </c>
      <c r="F32" s="72" t="s">
        <v>16</v>
      </c>
    </row>
    <row r="33" spans="2:6">
      <c r="B33" s="73">
        <v>2</v>
      </c>
      <c r="C33" s="74" t="s">
        <v>85</v>
      </c>
      <c r="D33" s="74" t="s">
        <v>48</v>
      </c>
      <c r="E33" s="74">
        <v>17</v>
      </c>
      <c r="F33" s="74" t="s">
        <v>16</v>
      </c>
    </row>
    <row r="34" spans="2:6">
      <c r="B34" s="71">
        <v>3</v>
      </c>
      <c r="C34" s="72" t="s">
        <v>85</v>
      </c>
      <c r="D34" s="72" t="s">
        <v>50</v>
      </c>
      <c r="E34" s="72">
        <v>3</v>
      </c>
      <c r="F34" s="72" t="s">
        <v>16</v>
      </c>
    </row>
    <row r="35" spans="2:6">
      <c r="B35" s="73">
        <v>4</v>
      </c>
      <c r="C35" s="74" t="s">
        <v>86</v>
      </c>
      <c r="D35" s="74" t="s">
        <v>52</v>
      </c>
      <c r="E35" s="74">
        <v>6</v>
      </c>
      <c r="F35" s="74" t="s">
        <v>16</v>
      </c>
    </row>
    <row r="36" spans="2:6" ht="19.5">
      <c r="B36" s="112" t="s">
        <v>135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136</v>
      </c>
      <c r="D38" s="72" t="s">
        <v>137</v>
      </c>
      <c r="E38" s="72">
        <v>7</v>
      </c>
      <c r="F38" s="72" t="s">
        <v>16</v>
      </c>
    </row>
    <row r="39" spans="2:6" ht="19.5">
      <c r="B39" s="112" t="s">
        <v>87</v>
      </c>
      <c r="C39" s="112" t="s">
        <v>65</v>
      </c>
      <c r="D39" s="112" t="s">
        <v>65</v>
      </c>
      <c r="E39" s="112" t="s">
        <v>65</v>
      </c>
      <c r="F39" s="112" t="s">
        <v>65</v>
      </c>
    </row>
    <row r="40" spans="2:6" ht="25.5">
      <c r="B40" s="70" t="s">
        <v>68</v>
      </c>
      <c r="C40" s="70" t="s">
        <v>7</v>
      </c>
      <c r="D40" s="70" t="s">
        <v>69</v>
      </c>
      <c r="E40" s="70" t="s">
        <v>8</v>
      </c>
      <c r="F40" s="70" t="s">
        <v>11</v>
      </c>
    </row>
    <row r="41" spans="2:6">
      <c r="B41" s="71">
        <v>1</v>
      </c>
      <c r="C41" s="72" t="s">
        <v>63</v>
      </c>
      <c r="D41" s="72" t="s">
        <v>53</v>
      </c>
      <c r="E41" s="72">
        <v>129.13999999999999</v>
      </c>
      <c r="F41" s="72" t="s">
        <v>17</v>
      </c>
    </row>
    <row r="42" spans="2:6">
      <c r="B42" s="73">
        <v>2</v>
      </c>
      <c r="C42" s="74" t="s">
        <v>63</v>
      </c>
      <c r="D42" s="74" t="s">
        <v>54</v>
      </c>
      <c r="E42" s="74">
        <v>96.18</v>
      </c>
      <c r="F42" s="74" t="s">
        <v>17</v>
      </c>
    </row>
    <row r="43" spans="2:6">
      <c r="B43" s="71">
        <v>3</v>
      </c>
      <c r="C43" s="72" t="s">
        <v>63</v>
      </c>
      <c r="D43" s="72" t="s">
        <v>55</v>
      </c>
      <c r="E43" s="72">
        <v>96.18</v>
      </c>
      <c r="F43" s="72" t="s">
        <v>17</v>
      </c>
    </row>
    <row r="44" spans="2:6">
      <c r="B44" s="73">
        <v>4</v>
      </c>
      <c r="C44" s="74" t="s">
        <v>63</v>
      </c>
      <c r="D44" s="74" t="s">
        <v>56</v>
      </c>
      <c r="E44" s="74">
        <v>17.62</v>
      </c>
      <c r="F44" s="74" t="s">
        <v>17</v>
      </c>
    </row>
    <row r="45" spans="2:6">
      <c r="B45" s="71">
        <v>5</v>
      </c>
      <c r="C45" s="72" t="s">
        <v>63</v>
      </c>
      <c r="D45" s="72" t="s">
        <v>57</v>
      </c>
      <c r="E45" s="72">
        <v>291.58</v>
      </c>
      <c r="F45" s="72" t="s">
        <v>17</v>
      </c>
    </row>
    <row r="46" spans="2:6">
      <c r="B46" s="73">
        <v>6</v>
      </c>
      <c r="C46" s="74" t="s">
        <v>63</v>
      </c>
      <c r="D46" s="74" t="s">
        <v>58</v>
      </c>
      <c r="E46" s="74">
        <v>291.58</v>
      </c>
      <c r="F46" s="74" t="s">
        <v>17</v>
      </c>
    </row>
    <row r="47" spans="2:6" ht="19.5">
      <c r="B47" s="112" t="s">
        <v>138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139</v>
      </c>
      <c r="D49" s="72" t="s">
        <v>140</v>
      </c>
      <c r="E49" s="72">
        <v>18.510000000000002</v>
      </c>
      <c r="F49" s="72" t="s">
        <v>17</v>
      </c>
    </row>
    <row r="50" spans="2:6">
      <c r="B50" s="73">
        <v>2</v>
      </c>
      <c r="C50" s="74" t="s">
        <v>139</v>
      </c>
      <c r="D50" s="74" t="s">
        <v>141</v>
      </c>
      <c r="E50" s="74">
        <v>117.46</v>
      </c>
      <c r="F50" s="74" t="s">
        <v>17</v>
      </c>
    </row>
    <row r="51" spans="2:6" ht="19.5">
      <c r="B51" s="113" t="s">
        <v>88</v>
      </c>
      <c r="C51" s="113" t="s">
        <v>65</v>
      </c>
      <c r="D51" s="113" t="s">
        <v>65</v>
      </c>
      <c r="E51" s="113" t="s">
        <v>65</v>
      </c>
      <c r="F51" s="113" t="s">
        <v>65</v>
      </c>
    </row>
    <row r="52" spans="2:6" ht="19.5">
      <c r="B52" s="112" t="s">
        <v>81</v>
      </c>
      <c r="C52" s="112" t="s">
        <v>65</v>
      </c>
      <c r="D52" s="112" t="s">
        <v>65</v>
      </c>
      <c r="E52" s="112" t="s">
        <v>65</v>
      </c>
      <c r="F52" s="112" t="s">
        <v>65</v>
      </c>
    </row>
    <row r="53" spans="2:6" ht="25.5">
      <c r="B53" s="70" t="s">
        <v>68</v>
      </c>
      <c r="C53" s="70" t="s">
        <v>7</v>
      </c>
      <c r="D53" s="70" t="s">
        <v>69</v>
      </c>
      <c r="E53" s="70" t="s">
        <v>8</v>
      </c>
      <c r="F53" s="70" t="s">
        <v>11</v>
      </c>
    </row>
    <row r="54" spans="2:6">
      <c r="B54" s="71">
        <v>1</v>
      </c>
      <c r="C54" s="72" t="s">
        <v>43</v>
      </c>
      <c r="D54" s="72" t="s">
        <v>82</v>
      </c>
      <c r="E54" s="72">
        <v>15.49</v>
      </c>
      <c r="F54" s="72" t="s">
        <v>17</v>
      </c>
    </row>
    <row r="55" spans="2:6" ht="19.5">
      <c r="B55" s="112" t="s">
        <v>89</v>
      </c>
      <c r="C55" s="112" t="s">
        <v>65</v>
      </c>
      <c r="D55" s="112" t="s">
        <v>65</v>
      </c>
      <c r="E55" s="112" t="s">
        <v>65</v>
      </c>
      <c r="F55" s="112" t="s">
        <v>65</v>
      </c>
    </row>
    <row r="56" spans="2:6" ht="25.5">
      <c r="B56" s="70" t="s">
        <v>68</v>
      </c>
      <c r="C56" s="70" t="s">
        <v>7</v>
      </c>
      <c r="D56" s="70" t="s">
        <v>69</v>
      </c>
      <c r="E56" s="70" t="s">
        <v>8</v>
      </c>
      <c r="F56" s="70" t="s">
        <v>11</v>
      </c>
    </row>
    <row r="57" spans="2:6">
      <c r="B57" s="71">
        <v>1</v>
      </c>
      <c r="C57" s="72" t="s">
        <v>90</v>
      </c>
      <c r="D57" s="72" t="s">
        <v>91</v>
      </c>
      <c r="E57" s="72">
        <v>92.84</v>
      </c>
      <c r="F57" s="72" t="s">
        <v>17</v>
      </c>
    </row>
    <row r="58" spans="2:6">
      <c r="B58" s="73">
        <v>2</v>
      </c>
      <c r="C58" s="74" t="s">
        <v>92</v>
      </c>
      <c r="D58" s="74" t="s">
        <v>93</v>
      </c>
      <c r="E58" s="74">
        <v>9.8699999999999992</v>
      </c>
      <c r="F58" s="74" t="s">
        <v>17</v>
      </c>
    </row>
    <row r="59" spans="2:6" ht="19.5">
      <c r="B59" s="112" t="s">
        <v>138</v>
      </c>
      <c r="C59" s="112" t="s">
        <v>65</v>
      </c>
      <c r="D59" s="112" t="s">
        <v>65</v>
      </c>
      <c r="E59" s="112" t="s">
        <v>65</v>
      </c>
      <c r="F59" s="112" t="s">
        <v>65</v>
      </c>
    </row>
    <row r="60" spans="2:6" ht="25.5">
      <c r="B60" s="70" t="s">
        <v>68</v>
      </c>
      <c r="C60" s="70" t="s">
        <v>7</v>
      </c>
      <c r="D60" s="70" t="s">
        <v>69</v>
      </c>
      <c r="E60" s="70" t="s">
        <v>8</v>
      </c>
      <c r="F60" s="70" t="s">
        <v>11</v>
      </c>
    </row>
    <row r="61" spans="2:6">
      <c r="B61" s="71">
        <v>1</v>
      </c>
      <c r="C61" s="72" t="s">
        <v>139</v>
      </c>
      <c r="D61" s="72" t="s">
        <v>140</v>
      </c>
      <c r="E61" s="72">
        <v>84.78</v>
      </c>
      <c r="F61" s="72" t="s">
        <v>17</v>
      </c>
    </row>
    <row r="62" spans="2:6">
      <c r="B62" s="84">
        <v>2</v>
      </c>
      <c r="C62" s="85" t="s">
        <v>139</v>
      </c>
      <c r="D62" s="85" t="s">
        <v>141</v>
      </c>
      <c r="E62" s="85">
        <v>2.42</v>
      </c>
      <c r="F62" s="85" t="s">
        <v>17</v>
      </c>
    </row>
  </sheetData>
  <mergeCells count="15">
    <mergeCell ref="B23:F23"/>
    <mergeCell ref="B2:F2"/>
    <mergeCell ref="B3:F3"/>
    <mergeCell ref="B4:F4"/>
    <mergeCell ref="B11:F11"/>
    <mergeCell ref="B14:F14"/>
    <mergeCell ref="B52:F52"/>
    <mergeCell ref="B55:F55"/>
    <mergeCell ref="B59:F59"/>
    <mergeCell ref="B26:F26"/>
    <mergeCell ref="B30:F30"/>
    <mergeCell ref="B36:F36"/>
    <mergeCell ref="B39:F39"/>
    <mergeCell ref="B47:F47"/>
    <mergeCell ref="B51:F5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018E-296B-4212-BF21-0C53E786D60A}">
  <dimension ref="B2:F58"/>
  <sheetViews>
    <sheetView workbookViewId="0">
      <selection activeCell="B2" sqref="B2:F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64.2851562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121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5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5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44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9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53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2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31</v>
      </c>
      <c r="F19" s="72" t="s">
        <v>16</v>
      </c>
    </row>
    <row r="20" spans="2:6">
      <c r="B20" s="73">
        <v>4</v>
      </c>
      <c r="C20" s="74" t="s">
        <v>76</v>
      </c>
      <c r="D20" s="74" t="s">
        <v>38</v>
      </c>
      <c r="E20" s="74">
        <v>22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2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53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2</v>
      </c>
      <c r="F23" s="72" t="s">
        <v>16</v>
      </c>
    </row>
    <row r="24" spans="2:6" ht="19.5">
      <c r="B24" s="112" t="s">
        <v>79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4</v>
      </c>
      <c r="F26" s="72" t="s">
        <v>16</v>
      </c>
    </row>
    <row r="27" spans="2:6" ht="19.5">
      <c r="B27" s="112" t="s">
        <v>81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78.569999999999993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404.76</v>
      </c>
      <c r="F30" s="74" t="s">
        <v>17</v>
      </c>
    </row>
    <row r="31" spans="2:6" ht="19.5">
      <c r="B31" s="112" t="s">
        <v>84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29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20</v>
      </c>
      <c r="F34" s="74" t="s">
        <v>16</v>
      </c>
    </row>
    <row r="35" spans="2:6">
      <c r="B35" s="71">
        <v>3</v>
      </c>
      <c r="C35" s="72" t="s">
        <v>85</v>
      </c>
      <c r="D35" s="72" t="s">
        <v>49</v>
      </c>
      <c r="E35" s="72">
        <v>2</v>
      </c>
      <c r="F35" s="72" t="s">
        <v>16</v>
      </c>
    </row>
    <row r="36" spans="2:6">
      <c r="B36" s="73">
        <v>4</v>
      </c>
      <c r="C36" s="74" t="s">
        <v>85</v>
      </c>
      <c r="D36" s="74" t="s">
        <v>50</v>
      </c>
      <c r="E36" s="74">
        <v>5</v>
      </c>
      <c r="F36" s="74" t="s">
        <v>16</v>
      </c>
    </row>
    <row r="37" spans="2:6">
      <c r="B37" s="71">
        <v>5</v>
      </c>
      <c r="C37" s="72" t="s">
        <v>85</v>
      </c>
      <c r="D37" s="72" t="s">
        <v>102</v>
      </c>
      <c r="E37" s="72">
        <v>1</v>
      </c>
      <c r="F37" s="72" t="s">
        <v>16</v>
      </c>
    </row>
    <row r="38" spans="2:6">
      <c r="B38" s="73">
        <v>6</v>
      </c>
      <c r="C38" s="74" t="s">
        <v>85</v>
      </c>
      <c r="D38" s="74" t="s">
        <v>51</v>
      </c>
      <c r="E38" s="74">
        <v>1</v>
      </c>
      <c r="F38" s="74" t="s">
        <v>16</v>
      </c>
    </row>
    <row r="39" spans="2:6">
      <c r="B39" s="71">
        <v>7</v>
      </c>
      <c r="C39" s="72" t="s">
        <v>86</v>
      </c>
      <c r="D39" s="72" t="s">
        <v>52</v>
      </c>
      <c r="E39" s="72">
        <v>12</v>
      </c>
      <c r="F39" s="72" t="s">
        <v>16</v>
      </c>
    </row>
    <row r="40" spans="2:6" ht="19.5">
      <c r="B40" s="112" t="s">
        <v>87</v>
      </c>
      <c r="C40" s="112" t="s">
        <v>65</v>
      </c>
      <c r="D40" s="112" t="s">
        <v>65</v>
      </c>
      <c r="E40" s="112" t="s">
        <v>65</v>
      </c>
      <c r="F40" s="112" t="s">
        <v>65</v>
      </c>
    </row>
    <row r="41" spans="2:6" ht="25.5">
      <c r="B41" s="70" t="s">
        <v>68</v>
      </c>
      <c r="C41" s="70" t="s">
        <v>7</v>
      </c>
      <c r="D41" s="70" t="s">
        <v>69</v>
      </c>
      <c r="E41" s="70" t="s">
        <v>8</v>
      </c>
      <c r="F41" s="70" t="s">
        <v>11</v>
      </c>
    </row>
    <row r="42" spans="2:6">
      <c r="B42" s="71">
        <v>1</v>
      </c>
      <c r="C42" s="72" t="s">
        <v>63</v>
      </c>
      <c r="D42" s="72" t="s">
        <v>53</v>
      </c>
      <c r="E42" s="72">
        <v>337.72</v>
      </c>
      <c r="F42" s="72" t="s">
        <v>17</v>
      </c>
    </row>
    <row r="43" spans="2:6">
      <c r="B43" s="73">
        <v>2</v>
      </c>
      <c r="C43" s="74" t="s">
        <v>63</v>
      </c>
      <c r="D43" s="74" t="s">
        <v>54</v>
      </c>
      <c r="E43" s="74">
        <v>168.86</v>
      </c>
      <c r="F43" s="74" t="s">
        <v>17</v>
      </c>
    </row>
    <row r="44" spans="2:6">
      <c r="B44" s="71">
        <v>3</v>
      </c>
      <c r="C44" s="72" t="s">
        <v>63</v>
      </c>
      <c r="D44" s="72" t="s">
        <v>55</v>
      </c>
      <c r="E44" s="72">
        <v>168.86</v>
      </c>
      <c r="F44" s="72" t="s">
        <v>17</v>
      </c>
    </row>
    <row r="45" spans="2:6">
      <c r="B45" s="73">
        <v>4</v>
      </c>
      <c r="C45" s="74" t="s">
        <v>63</v>
      </c>
      <c r="D45" s="74" t="s">
        <v>56</v>
      </c>
      <c r="E45" s="74">
        <v>45.62</v>
      </c>
      <c r="F45" s="74" t="s">
        <v>17</v>
      </c>
    </row>
    <row r="46" spans="2:6">
      <c r="B46" s="71">
        <v>5</v>
      </c>
      <c r="C46" s="72" t="s">
        <v>63</v>
      </c>
      <c r="D46" s="72" t="s">
        <v>57</v>
      </c>
      <c r="E46" s="72">
        <v>558.30999999999995</v>
      </c>
      <c r="F46" s="72" t="s">
        <v>17</v>
      </c>
    </row>
    <row r="47" spans="2:6">
      <c r="B47" s="73">
        <v>6</v>
      </c>
      <c r="C47" s="74" t="s">
        <v>63</v>
      </c>
      <c r="D47" s="74" t="s">
        <v>58</v>
      </c>
      <c r="E47" s="74">
        <v>558.30999999999995</v>
      </c>
      <c r="F47" s="74" t="s">
        <v>17</v>
      </c>
    </row>
    <row r="48" spans="2:6">
      <c r="B48" s="71">
        <v>7</v>
      </c>
      <c r="C48" s="72" t="s">
        <v>63</v>
      </c>
      <c r="D48" s="72" t="s">
        <v>59</v>
      </c>
      <c r="E48" s="72">
        <v>95.62</v>
      </c>
      <c r="F48" s="72" t="s">
        <v>17</v>
      </c>
    </row>
    <row r="49" spans="2:6">
      <c r="B49" s="73">
        <v>8</v>
      </c>
      <c r="C49" s="74" t="s">
        <v>63</v>
      </c>
      <c r="D49" s="74" t="s">
        <v>60</v>
      </c>
      <c r="E49" s="74">
        <v>95.62</v>
      </c>
      <c r="F49" s="74" t="s">
        <v>17</v>
      </c>
    </row>
    <row r="50" spans="2:6" ht="19.5">
      <c r="B50" s="113" t="s">
        <v>88</v>
      </c>
      <c r="C50" s="113" t="s">
        <v>65</v>
      </c>
      <c r="D50" s="113" t="s">
        <v>65</v>
      </c>
      <c r="E50" s="113" t="s">
        <v>65</v>
      </c>
      <c r="F50" s="113" t="s">
        <v>65</v>
      </c>
    </row>
    <row r="51" spans="2:6" ht="19.5">
      <c r="B51" s="112" t="s">
        <v>81</v>
      </c>
      <c r="C51" s="112" t="s">
        <v>65</v>
      </c>
      <c r="D51" s="112" t="s">
        <v>65</v>
      </c>
      <c r="E51" s="112" t="s">
        <v>65</v>
      </c>
      <c r="F51" s="112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188.45</v>
      </c>
      <c r="F53" s="72" t="s">
        <v>17</v>
      </c>
    </row>
    <row r="54" spans="2:6" ht="19.5">
      <c r="B54" s="112" t="s">
        <v>89</v>
      </c>
      <c r="C54" s="112" t="s">
        <v>65</v>
      </c>
      <c r="D54" s="112" t="s">
        <v>65</v>
      </c>
      <c r="E54" s="112" t="s">
        <v>65</v>
      </c>
      <c r="F54" s="112" t="s">
        <v>65</v>
      </c>
    </row>
    <row r="55" spans="2:6" ht="25.5">
      <c r="B55" s="70" t="s">
        <v>68</v>
      </c>
      <c r="C55" s="70" t="s">
        <v>7</v>
      </c>
      <c r="D55" s="70" t="s">
        <v>69</v>
      </c>
      <c r="E55" s="70" t="s">
        <v>8</v>
      </c>
      <c r="F55" s="70" t="s">
        <v>11</v>
      </c>
    </row>
    <row r="56" spans="2:6">
      <c r="B56" s="71">
        <v>1</v>
      </c>
      <c r="C56" s="72" t="s">
        <v>90</v>
      </c>
      <c r="D56" s="72" t="s">
        <v>91</v>
      </c>
      <c r="E56" s="72">
        <v>181.45</v>
      </c>
      <c r="F56" s="72" t="s">
        <v>17</v>
      </c>
    </row>
    <row r="57" spans="2:6">
      <c r="B57" s="73">
        <v>2</v>
      </c>
      <c r="C57" s="74" t="s">
        <v>92</v>
      </c>
      <c r="D57" s="74" t="s">
        <v>93</v>
      </c>
      <c r="E57" s="74">
        <v>106.34</v>
      </c>
      <c r="F57" s="74" t="s">
        <v>17</v>
      </c>
    </row>
    <row r="58" spans="2:6" ht="19.5">
      <c r="B58" s="75" t="s">
        <v>65</v>
      </c>
      <c r="C58" s="75" t="s">
        <v>65</v>
      </c>
      <c r="D58" s="75" t="s">
        <v>65</v>
      </c>
      <c r="E58" s="75" t="s">
        <v>65</v>
      </c>
      <c r="F58" s="75" t="s">
        <v>65</v>
      </c>
    </row>
  </sheetData>
  <mergeCells count="12">
    <mergeCell ref="B54:F54"/>
    <mergeCell ref="B2:F2"/>
    <mergeCell ref="B3:F3"/>
    <mergeCell ref="B4:F4"/>
    <mergeCell ref="B11:F11"/>
    <mergeCell ref="B15:F15"/>
    <mergeCell ref="B24:F24"/>
    <mergeCell ref="B27:F27"/>
    <mergeCell ref="B31:F31"/>
    <mergeCell ref="B40:F40"/>
    <mergeCell ref="B50:F50"/>
    <mergeCell ref="B51:F5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7EA1-92DD-447A-AC09-7256A3497E0F}">
  <dimension ref="B2:F54"/>
  <sheetViews>
    <sheetView workbookViewId="0">
      <selection activeCell="D12" sqref="D12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124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5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5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6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39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8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52</v>
      </c>
      <c r="F17" s="72" t="s">
        <v>16</v>
      </c>
    </row>
    <row r="18" spans="2:6">
      <c r="B18" s="73">
        <v>2</v>
      </c>
      <c r="C18" s="74" t="s">
        <v>76</v>
      </c>
      <c r="D18" s="74" t="s">
        <v>37</v>
      </c>
      <c r="E18" s="74">
        <v>27</v>
      </c>
      <c r="F18" s="74" t="s">
        <v>16</v>
      </c>
    </row>
    <row r="19" spans="2:6" ht="25.5">
      <c r="B19" s="71">
        <v>3</v>
      </c>
      <c r="C19" s="72" t="s">
        <v>76</v>
      </c>
      <c r="D19" s="72" t="s">
        <v>38</v>
      </c>
      <c r="E19" s="72">
        <v>25</v>
      </c>
      <c r="F19" s="72" t="s">
        <v>16</v>
      </c>
    </row>
    <row r="20" spans="2:6">
      <c r="B20" s="73">
        <v>4</v>
      </c>
      <c r="C20" s="74" t="s">
        <v>78</v>
      </c>
      <c r="D20" s="74" t="s">
        <v>40</v>
      </c>
      <c r="E20" s="74">
        <v>52</v>
      </c>
      <c r="F20" s="74" t="s">
        <v>16</v>
      </c>
    </row>
    <row r="21" spans="2:6" ht="19.5">
      <c r="B21" s="112" t="s">
        <v>79</v>
      </c>
      <c r="C21" s="112" t="s">
        <v>65</v>
      </c>
      <c r="D21" s="112" t="s">
        <v>65</v>
      </c>
      <c r="E21" s="112" t="s">
        <v>65</v>
      </c>
      <c r="F21" s="112" t="s">
        <v>65</v>
      </c>
    </row>
    <row r="22" spans="2:6" ht="25.5">
      <c r="B22" s="70" t="s">
        <v>68</v>
      </c>
      <c r="C22" s="70" t="s">
        <v>7</v>
      </c>
      <c r="D22" s="70" t="s">
        <v>69</v>
      </c>
      <c r="E22" s="70" t="s">
        <v>8</v>
      </c>
      <c r="F22" s="70" t="s">
        <v>11</v>
      </c>
    </row>
    <row r="23" spans="2:6">
      <c r="B23" s="71">
        <v>1</v>
      </c>
      <c r="C23" s="72" t="s">
        <v>80</v>
      </c>
      <c r="D23" s="72" t="s">
        <v>42</v>
      </c>
      <c r="E23" s="72">
        <v>1</v>
      </c>
      <c r="F23" s="72" t="s">
        <v>16</v>
      </c>
    </row>
    <row r="24" spans="2:6" ht="19.5">
      <c r="B24" s="112" t="s">
        <v>81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43</v>
      </c>
      <c r="D26" s="72" t="s">
        <v>82</v>
      </c>
      <c r="E26" s="72">
        <v>42.38</v>
      </c>
      <c r="F26" s="72" t="s">
        <v>17</v>
      </c>
    </row>
    <row r="27" spans="2:6">
      <c r="B27" s="73">
        <v>2</v>
      </c>
      <c r="C27" s="74" t="s">
        <v>43</v>
      </c>
      <c r="D27" s="74" t="s">
        <v>83</v>
      </c>
      <c r="E27" s="74">
        <v>325.7</v>
      </c>
      <c r="F27" s="74" t="s">
        <v>17</v>
      </c>
    </row>
    <row r="28" spans="2:6" ht="19.5">
      <c r="B28" s="112" t="s">
        <v>84</v>
      </c>
      <c r="C28" s="112" t="s">
        <v>65</v>
      </c>
      <c r="D28" s="112" t="s">
        <v>65</v>
      </c>
      <c r="E28" s="112" t="s">
        <v>65</v>
      </c>
      <c r="F28" s="112" t="s">
        <v>65</v>
      </c>
    </row>
    <row r="29" spans="2:6" ht="25.5">
      <c r="B29" s="70" t="s">
        <v>68</v>
      </c>
      <c r="C29" s="70" t="s">
        <v>7</v>
      </c>
      <c r="D29" s="70" t="s">
        <v>69</v>
      </c>
      <c r="E29" s="70" t="s">
        <v>8</v>
      </c>
      <c r="F29" s="70" t="s">
        <v>11</v>
      </c>
    </row>
    <row r="30" spans="2:6">
      <c r="B30" s="71">
        <v>1</v>
      </c>
      <c r="C30" s="72" t="s">
        <v>85</v>
      </c>
      <c r="D30" s="72" t="s">
        <v>47</v>
      </c>
      <c r="E30" s="72">
        <v>24</v>
      </c>
      <c r="F30" s="72" t="s">
        <v>16</v>
      </c>
    </row>
    <row r="31" spans="2:6">
      <c r="B31" s="73">
        <v>2</v>
      </c>
      <c r="C31" s="74" t="s">
        <v>85</v>
      </c>
      <c r="D31" s="74" t="s">
        <v>48</v>
      </c>
      <c r="E31" s="74">
        <v>17</v>
      </c>
      <c r="F31" s="74" t="s">
        <v>16</v>
      </c>
    </row>
    <row r="32" spans="2:6">
      <c r="B32" s="71">
        <v>3</v>
      </c>
      <c r="C32" s="72" t="s">
        <v>85</v>
      </c>
      <c r="D32" s="72" t="s">
        <v>49</v>
      </c>
      <c r="E32" s="72">
        <v>5</v>
      </c>
      <c r="F32" s="72" t="s">
        <v>16</v>
      </c>
    </row>
    <row r="33" spans="2:6">
      <c r="B33" s="73">
        <v>4</v>
      </c>
      <c r="C33" s="74" t="s">
        <v>85</v>
      </c>
      <c r="D33" s="74" t="s">
        <v>50</v>
      </c>
      <c r="E33" s="74">
        <v>5</v>
      </c>
      <c r="F33" s="74" t="s">
        <v>16</v>
      </c>
    </row>
    <row r="34" spans="2:6">
      <c r="B34" s="71">
        <v>5</v>
      </c>
      <c r="C34" s="72" t="s">
        <v>85</v>
      </c>
      <c r="D34" s="72" t="s">
        <v>51</v>
      </c>
      <c r="E34" s="72">
        <v>2</v>
      </c>
      <c r="F34" s="72" t="s">
        <v>16</v>
      </c>
    </row>
    <row r="35" spans="2:6">
      <c r="B35" s="73">
        <v>6</v>
      </c>
      <c r="C35" s="74" t="s">
        <v>86</v>
      </c>
      <c r="D35" s="74" t="s">
        <v>52</v>
      </c>
      <c r="E35" s="74">
        <v>8</v>
      </c>
      <c r="F35" s="74" t="s">
        <v>16</v>
      </c>
    </row>
    <row r="36" spans="2:6" ht="19.5">
      <c r="B36" s="112" t="s">
        <v>87</v>
      </c>
      <c r="C36" s="112" t="s">
        <v>65</v>
      </c>
      <c r="D36" s="112" t="s">
        <v>65</v>
      </c>
      <c r="E36" s="112" t="s">
        <v>65</v>
      </c>
      <c r="F36" s="112" t="s">
        <v>65</v>
      </c>
    </row>
    <row r="37" spans="2:6" ht="25.5">
      <c r="B37" s="70" t="s">
        <v>68</v>
      </c>
      <c r="C37" s="70" t="s">
        <v>7</v>
      </c>
      <c r="D37" s="70" t="s">
        <v>69</v>
      </c>
      <c r="E37" s="70" t="s">
        <v>8</v>
      </c>
      <c r="F37" s="70" t="s">
        <v>11</v>
      </c>
    </row>
    <row r="38" spans="2:6">
      <c r="B38" s="71">
        <v>1</v>
      </c>
      <c r="C38" s="72" t="s">
        <v>63</v>
      </c>
      <c r="D38" s="72" t="s">
        <v>53</v>
      </c>
      <c r="E38" s="72">
        <v>95.03</v>
      </c>
      <c r="F38" s="72" t="s">
        <v>17</v>
      </c>
    </row>
    <row r="39" spans="2:6">
      <c r="B39" s="73">
        <v>2</v>
      </c>
      <c r="C39" s="74" t="s">
        <v>63</v>
      </c>
      <c r="D39" s="74" t="s">
        <v>54</v>
      </c>
      <c r="E39" s="74">
        <v>47.52</v>
      </c>
      <c r="F39" s="74" t="s">
        <v>17</v>
      </c>
    </row>
    <row r="40" spans="2:6">
      <c r="B40" s="71">
        <v>3</v>
      </c>
      <c r="C40" s="72" t="s">
        <v>63</v>
      </c>
      <c r="D40" s="72" t="s">
        <v>55</v>
      </c>
      <c r="E40" s="72">
        <v>47.52</v>
      </c>
      <c r="F40" s="72" t="s">
        <v>17</v>
      </c>
    </row>
    <row r="41" spans="2:6">
      <c r="B41" s="73">
        <v>4</v>
      </c>
      <c r="C41" s="74" t="s">
        <v>63</v>
      </c>
      <c r="D41" s="74" t="s">
        <v>56</v>
      </c>
      <c r="E41" s="74">
        <v>45.64</v>
      </c>
      <c r="F41" s="74" t="s">
        <v>17</v>
      </c>
    </row>
    <row r="42" spans="2:6">
      <c r="B42" s="71">
        <v>5</v>
      </c>
      <c r="C42" s="72" t="s">
        <v>63</v>
      </c>
      <c r="D42" s="72" t="s">
        <v>57</v>
      </c>
      <c r="E42" s="72">
        <v>100.35</v>
      </c>
      <c r="F42" s="72" t="s">
        <v>17</v>
      </c>
    </row>
    <row r="43" spans="2:6">
      <c r="B43" s="73">
        <v>6</v>
      </c>
      <c r="C43" s="74" t="s">
        <v>63</v>
      </c>
      <c r="D43" s="74" t="s">
        <v>58</v>
      </c>
      <c r="E43" s="74">
        <v>100.35</v>
      </c>
      <c r="F43" s="74" t="s">
        <v>17</v>
      </c>
    </row>
    <row r="44" spans="2:6">
      <c r="B44" s="71">
        <v>7</v>
      </c>
      <c r="C44" s="72" t="s">
        <v>63</v>
      </c>
      <c r="D44" s="72" t="s">
        <v>59</v>
      </c>
      <c r="E44" s="72">
        <v>314.14999999999998</v>
      </c>
      <c r="F44" s="72" t="s">
        <v>17</v>
      </c>
    </row>
    <row r="45" spans="2:6">
      <c r="B45" s="73">
        <v>8</v>
      </c>
      <c r="C45" s="74" t="s">
        <v>63</v>
      </c>
      <c r="D45" s="74" t="s">
        <v>60</v>
      </c>
      <c r="E45" s="74">
        <v>314.14999999999998</v>
      </c>
      <c r="F45" s="74" t="s">
        <v>17</v>
      </c>
    </row>
    <row r="46" spans="2:6" ht="19.5">
      <c r="B46" s="113" t="s">
        <v>88</v>
      </c>
      <c r="C46" s="113" t="s">
        <v>65</v>
      </c>
      <c r="D46" s="113" t="s">
        <v>65</v>
      </c>
      <c r="E46" s="113" t="s">
        <v>65</v>
      </c>
      <c r="F46" s="113" t="s">
        <v>65</v>
      </c>
    </row>
    <row r="47" spans="2:6" ht="19.5">
      <c r="B47" s="112" t="s">
        <v>81</v>
      </c>
      <c r="C47" s="112" t="s">
        <v>65</v>
      </c>
      <c r="D47" s="112" t="s">
        <v>65</v>
      </c>
      <c r="E47" s="112" t="s">
        <v>65</v>
      </c>
      <c r="F47" s="112" t="s">
        <v>65</v>
      </c>
    </row>
    <row r="48" spans="2:6" ht="25.5">
      <c r="B48" s="70" t="s">
        <v>68</v>
      </c>
      <c r="C48" s="70" t="s">
        <v>7</v>
      </c>
      <c r="D48" s="70" t="s">
        <v>69</v>
      </c>
      <c r="E48" s="70" t="s">
        <v>8</v>
      </c>
      <c r="F48" s="70" t="s">
        <v>11</v>
      </c>
    </row>
    <row r="49" spans="2:6">
      <c r="B49" s="71">
        <v>1</v>
      </c>
      <c r="C49" s="72" t="s">
        <v>43</v>
      </c>
      <c r="D49" s="72" t="s">
        <v>82</v>
      </c>
      <c r="E49" s="72">
        <v>143.79</v>
      </c>
      <c r="F49" s="72" t="s">
        <v>17</v>
      </c>
    </row>
    <row r="50" spans="2:6" ht="19.5">
      <c r="B50" s="112" t="s">
        <v>89</v>
      </c>
      <c r="C50" s="112" t="s">
        <v>65</v>
      </c>
      <c r="D50" s="112" t="s">
        <v>65</v>
      </c>
      <c r="E50" s="112" t="s">
        <v>65</v>
      </c>
      <c r="F50" s="112" t="s">
        <v>65</v>
      </c>
    </row>
    <row r="51" spans="2:6" ht="25.5">
      <c r="B51" s="70" t="s">
        <v>68</v>
      </c>
      <c r="C51" s="70" t="s">
        <v>7</v>
      </c>
      <c r="D51" s="70" t="s">
        <v>69</v>
      </c>
      <c r="E51" s="70" t="s">
        <v>8</v>
      </c>
      <c r="F51" s="70" t="s">
        <v>11</v>
      </c>
    </row>
    <row r="52" spans="2:6">
      <c r="B52" s="71">
        <v>1</v>
      </c>
      <c r="C52" s="72" t="s">
        <v>90</v>
      </c>
      <c r="D52" s="72" t="s">
        <v>91</v>
      </c>
      <c r="E52" s="72">
        <v>112.21</v>
      </c>
      <c r="F52" s="72" t="s">
        <v>17</v>
      </c>
    </row>
    <row r="53" spans="2:6">
      <c r="B53" s="73">
        <v>2</v>
      </c>
      <c r="C53" s="74" t="s">
        <v>92</v>
      </c>
      <c r="D53" s="74" t="s">
        <v>93</v>
      </c>
      <c r="E53" s="74">
        <v>95.55</v>
      </c>
      <c r="F53" s="74" t="s">
        <v>17</v>
      </c>
    </row>
    <row r="54" spans="2:6" ht="19.5">
      <c r="B54" s="75" t="s">
        <v>65</v>
      </c>
      <c r="C54" s="75" t="s">
        <v>65</v>
      </c>
      <c r="D54" s="75" t="s">
        <v>65</v>
      </c>
      <c r="E54" s="75" t="s">
        <v>65</v>
      </c>
      <c r="F54" s="75" t="s">
        <v>65</v>
      </c>
    </row>
  </sheetData>
  <mergeCells count="12">
    <mergeCell ref="B50:F50"/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4767-53DE-45FC-9837-207F11F2533E}">
  <dimension ref="B2:F62"/>
  <sheetViews>
    <sheetView topLeftCell="A31" workbookViewId="0">
      <selection activeCell="C40" sqref="C40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117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119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17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44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4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5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39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4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44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4</v>
      </c>
      <c r="F23" s="72" t="s">
        <v>16</v>
      </c>
    </row>
    <row r="24" spans="2:6" ht="19.5">
      <c r="B24" s="112" t="s">
        <v>79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112" t="s">
        <v>81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214.06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223.32</v>
      </c>
      <c r="F30" s="74" t="s">
        <v>17</v>
      </c>
    </row>
    <row r="31" spans="2:6" ht="19.5">
      <c r="B31" s="112" t="s">
        <v>84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3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65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4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18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34</v>
      </c>
      <c r="F37" s="72" t="s">
        <v>16</v>
      </c>
    </row>
    <row r="38" spans="2:6" ht="19.5">
      <c r="B38" s="112" t="s">
        <v>118</v>
      </c>
      <c r="C38" s="112" t="s">
        <v>65</v>
      </c>
      <c r="D38" s="112" t="s">
        <v>65</v>
      </c>
      <c r="E38" s="112" t="s">
        <v>65</v>
      </c>
      <c r="F38" s="112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119</v>
      </c>
      <c r="D40" s="72" t="s">
        <v>59</v>
      </c>
      <c r="E40" s="72">
        <v>51.44</v>
      </c>
      <c r="F40" s="72" t="s">
        <v>17</v>
      </c>
    </row>
    <row r="41" spans="2:6">
      <c r="B41" s="73">
        <v>2</v>
      </c>
      <c r="C41" s="74" t="s">
        <v>119</v>
      </c>
      <c r="D41" s="74" t="s">
        <v>60</v>
      </c>
      <c r="E41" s="74">
        <v>51.44</v>
      </c>
      <c r="F41" s="74" t="s">
        <v>17</v>
      </c>
    </row>
    <row r="42" spans="2:6" ht="19.5">
      <c r="B42" s="112" t="s">
        <v>87</v>
      </c>
      <c r="C42" s="112" t="s">
        <v>65</v>
      </c>
      <c r="D42" s="112" t="s">
        <v>65</v>
      </c>
      <c r="E42" s="112" t="s">
        <v>65</v>
      </c>
      <c r="F42" s="112" t="s">
        <v>65</v>
      </c>
    </row>
    <row r="43" spans="2:6" ht="25.5">
      <c r="B43" s="70" t="s">
        <v>68</v>
      </c>
      <c r="C43" s="70" t="s">
        <v>7</v>
      </c>
      <c r="D43" s="70" t="s">
        <v>69</v>
      </c>
      <c r="E43" s="70" t="s">
        <v>8</v>
      </c>
      <c r="F43" s="70" t="s">
        <v>11</v>
      </c>
    </row>
    <row r="44" spans="2:6">
      <c r="B44" s="71">
        <v>1</v>
      </c>
      <c r="C44" s="72" t="s">
        <v>63</v>
      </c>
      <c r="D44" s="72" t="s">
        <v>53</v>
      </c>
      <c r="E44" s="72">
        <v>1064.8599999999999</v>
      </c>
      <c r="F44" s="72" t="s">
        <v>17</v>
      </c>
    </row>
    <row r="45" spans="2:6">
      <c r="B45" s="73">
        <v>2</v>
      </c>
      <c r="C45" s="74" t="s">
        <v>63</v>
      </c>
      <c r="D45" s="74" t="s">
        <v>54</v>
      </c>
      <c r="E45" s="74">
        <v>532.42999999999995</v>
      </c>
      <c r="F45" s="74" t="s">
        <v>17</v>
      </c>
    </row>
    <row r="46" spans="2:6">
      <c r="B46" s="71">
        <v>3</v>
      </c>
      <c r="C46" s="72" t="s">
        <v>63</v>
      </c>
      <c r="D46" s="72" t="s">
        <v>55</v>
      </c>
      <c r="E46" s="72">
        <v>532.42999999999995</v>
      </c>
      <c r="F46" s="72" t="s">
        <v>17</v>
      </c>
    </row>
    <row r="47" spans="2:6">
      <c r="B47" s="73">
        <v>4</v>
      </c>
      <c r="C47" s="74" t="s">
        <v>63</v>
      </c>
      <c r="D47" s="74" t="s">
        <v>56</v>
      </c>
      <c r="E47" s="74">
        <v>24.44</v>
      </c>
      <c r="F47" s="74" t="s">
        <v>17</v>
      </c>
    </row>
    <row r="48" spans="2:6">
      <c r="B48" s="71">
        <v>5</v>
      </c>
      <c r="C48" s="72" t="s">
        <v>63</v>
      </c>
      <c r="D48" s="72" t="s">
        <v>57</v>
      </c>
      <c r="E48" s="72">
        <v>241.84</v>
      </c>
      <c r="F48" s="72" t="s">
        <v>17</v>
      </c>
    </row>
    <row r="49" spans="2:6">
      <c r="B49" s="73">
        <v>6</v>
      </c>
      <c r="C49" s="74" t="s">
        <v>63</v>
      </c>
      <c r="D49" s="74" t="s">
        <v>58</v>
      </c>
      <c r="E49" s="74">
        <v>241.84</v>
      </c>
      <c r="F49" s="74" t="s">
        <v>17</v>
      </c>
    </row>
    <row r="50" spans="2:6">
      <c r="B50" s="71">
        <v>7</v>
      </c>
      <c r="C50" s="72" t="s">
        <v>63</v>
      </c>
      <c r="D50" s="72" t="s">
        <v>59</v>
      </c>
      <c r="E50" s="72">
        <v>340.51</v>
      </c>
      <c r="F50" s="72" t="s">
        <v>17</v>
      </c>
    </row>
    <row r="51" spans="2:6">
      <c r="B51" s="73">
        <v>8</v>
      </c>
      <c r="C51" s="74" t="s">
        <v>63</v>
      </c>
      <c r="D51" s="74" t="s">
        <v>60</v>
      </c>
      <c r="E51" s="74">
        <v>340.51</v>
      </c>
      <c r="F51" s="74" t="s">
        <v>17</v>
      </c>
    </row>
    <row r="52" spans="2:6">
      <c r="B52" s="71">
        <v>9</v>
      </c>
      <c r="C52" s="72" t="s">
        <v>63</v>
      </c>
      <c r="D52" s="72" t="s">
        <v>61</v>
      </c>
      <c r="E52" s="72">
        <v>314.45</v>
      </c>
      <c r="F52" s="72" t="s">
        <v>17</v>
      </c>
    </row>
    <row r="53" spans="2:6">
      <c r="B53" s="73">
        <v>10</v>
      </c>
      <c r="C53" s="74" t="s">
        <v>63</v>
      </c>
      <c r="D53" s="74" t="s">
        <v>62</v>
      </c>
      <c r="E53" s="74">
        <v>314.45</v>
      </c>
      <c r="F53" s="74" t="s">
        <v>17</v>
      </c>
    </row>
    <row r="54" spans="2:6" ht="19.5">
      <c r="B54" s="113" t="s">
        <v>88</v>
      </c>
      <c r="C54" s="113" t="s">
        <v>65</v>
      </c>
      <c r="D54" s="113" t="s">
        <v>65</v>
      </c>
      <c r="E54" s="113" t="s">
        <v>65</v>
      </c>
      <c r="F54" s="113" t="s">
        <v>65</v>
      </c>
    </row>
    <row r="55" spans="2:6" ht="19.5">
      <c r="B55" s="112" t="s">
        <v>81</v>
      </c>
      <c r="C55" s="112" t="s">
        <v>65</v>
      </c>
      <c r="D55" s="112" t="s">
        <v>65</v>
      </c>
      <c r="E55" s="112" t="s">
        <v>65</v>
      </c>
      <c r="F55" s="112" t="s">
        <v>65</v>
      </c>
    </row>
    <row r="56" spans="2:6" ht="25.5">
      <c r="B56" s="70" t="s">
        <v>68</v>
      </c>
      <c r="C56" s="70" t="s">
        <v>7</v>
      </c>
      <c r="D56" s="70" t="s">
        <v>69</v>
      </c>
      <c r="E56" s="70" t="s">
        <v>8</v>
      </c>
      <c r="F56" s="70" t="s">
        <v>11</v>
      </c>
    </row>
    <row r="57" spans="2:6">
      <c r="B57" s="71">
        <v>1</v>
      </c>
      <c r="C57" s="72" t="s">
        <v>43</v>
      </c>
      <c r="D57" s="72" t="s">
        <v>82</v>
      </c>
      <c r="E57" s="72">
        <v>264.52</v>
      </c>
      <c r="F57" s="72" t="s">
        <v>17</v>
      </c>
    </row>
    <row r="58" spans="2:6" ht="19.5">
      <c r="B58" s="112" t="s">
        <v>89</v>
      </c>
      <c r="C58" s="112" t="s">
        <v>65</v>
      </c>
      <c r="D58" s="112" t="s">
        <v>65</v>
      </c>
      <c r="E58" s="112" t="s">
        <v>65</v>
      </c>
      <c r="F58" s="112" t="s">
        <v>65</v>
      </c>
    </row>
    <row r="59" spans="2:6" ht="25.5">
      <c r="B59" s="70" t="s">
        <v>68</v>
      </c>
      <c r="C59" s="70" t="s">
        <v>7</v>
      </c>
      <c r="D59" s="70" t="s">
        <v>69</v>
      </c>
      <c r="E59" s="70" t="s">
        <v>8</v>
      </c>
      <c r="F59" s="70" t="s">
        <v>11</v>
      </c>
    </row>
    <row r="60" spans="2:6">
      <c r="B60" s="71">
        <v>1</v>
      </c>
      <c r="C60" s="72" t="s">
        <v>90</v>
      </c>
      <c r="D60" s="72" t="s">
        <v>91</v>
      </c>
      <c r="E60" s="72">
        <v>252.95</v>
      </c>
      <c r="F60" s="72" t="s">
        <v>17</v>
      </c>
    </row>
    <row r="61" spans="2:6">
      <c r="B61" s="73">
        <v>2</v>
      </c>
      <c r="C61" s="74" t="s">
        <v>92</v>
      </c>
      <c r="D61" s="74" t="s">
        <v>93</v>
      </c>
      <c r="E61" s="74">
        <v>218.26</v>
      </c>
      <c r="F61" s="74" t="s">
        <v>17</v>
      </c>
    </row>
    <row r="62" spans="2:6" ht="19.5">
      <c r="B62" s="75" t="s">
        <v>65</v>
      </c>
      <c r="C62" s="75" t="s">
        <v>65</v>
      </c>
      <c r="D62" s="75" t="s">
        <v>65</v>
      </c>
      <c r="E62" s="75" t="s">
        <v>65</v>
      </c>
      <c r="F62" s="75" t="s">
        <v>65</v>
      </c>
    </row>
  </sheetData>
  <mergeCells count="13">
    <mergeCell ref="B24:F24"/>
    <mergeCell ref="B2:F2"/>
    <mergeCell ref="B3:F3"/>
    <mergeCell ref="B4:F4"/>
    <mergeCell ref="B11:F11"/>
    <mergeCell ref="B15:F15"/>
    <mergeCell ref="B58:F58"/>
    <mergeCell ref="B27:F27"/>
    <mergeCell ref="B31:F31"/>
    <mergeCell ref="B38:F38"/>
    <mergeCell ref="B42:F42"/>
    <mergeCell ref="B54:F54"/>
    <mergeCell ref="B55:F5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CF7F-5538-4CC6-A744-7CDE7C383B7C}">
  <dimension ref="B2:F58"/>
  <sheetViews>
    <sheetView topLeftCell="A31" workbookViewId="0">
      <selection activeCell="H36" sqref="H36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76" t="s">
        <v>113</v>
      </c>
      <c r="C2" s="76" t="s">
        <v>65</v>
      </c>
      <c r="D2" s="76" t="s">
        <v>65</v>
      </c>
      <c r="E2" s="76" t="s">
        <v>65</v>
      </c>
      <c r="F2" s="76" t="s">
        <v>65</v>
      </c>
    </row>
    <row r="3" spans="2:6" ht="19.5">
      <c r="B3" s="76" t="s">
        <v>66</v>
      </c>
      <c r="C3" s="76" t="s">
        <v>65</v>
      </c>
      <c r="D3" s="76" t="s">
        <v>65</v>
      </c>
      <c r="E3" s="76" t="s">
        <v>65</v>
      </c>
      <c r="F3" s="76" t="s">
        <v>65</v>
      </c>
    </row>
    <row r="4" spans="2:6" ht="19.5">
      <c r="B4" s="77" t="s">
        <v>67</v>
      </c>
      <c r="C4" s="77" t="s">
        <v>65</v>
      </c>
      <c r="D4" s="77" t="s">
        <v>65</v>
      </c>
      <c r="E4" s="77" t="s">
        <v>65</v>
      </c>
      <c r="F4" s="77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77" t="s">
        <v>74</v>
      </c>
      <c r="C11" s="77" t="s">
        <v>65</v>
      </c>
      <c r="D11" s="77" t="s">
        <v>65</v>
      </c>
      <c r="E11" s="77" t="s">
        <v>65</v>
      </c>
      <c r="F11" s="77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125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17</v>
      </c>
      <c r="F14" s="74" t="s">
        <v>16</v>
      </c>
    </row>
    <row r="15" spans="2:6" ht="19.5">
      <c r="B15" s="77" t="s">
        <v>77</v>
      </c>
      <c r="C15" s="77" t="s">
        <v>65</v>
      </c>
      <c r="D15" s="77" t="s">
        <v>65</v>
      </c>
      <c r="E15" s="77" t="s">
        <v>65</v>
      </c>
      <c r="F15" s="77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48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3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7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41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3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48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3</v>
      </c>
      <c r="F23" s="72" t="s">
        <v>16</v>
      </c>
    </row>
    <row r="24" spans="2:6" ht="19.5">
      <c r="B24" s="77" t="s">
        <v>79</v>
      </c>
      <c r="C24" s="77" t="s">
        <v>65</v>
      </c>
      <c r="D24" s="77" t="s">
        <v>65</v>
      </c>
      <c r="E24" s="77" t="s">
        <v>65</v>
      </c>
      <c r="F24" s="77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2</v>
      </c>
      <c r="F26" s="72" t="s">
        <v>16</v>
      </c>
    </row>
    <row r="27" spans="2:6" ht="19.5">
      <c r="B27" s="77" t="s">
        <v>81</v>
      </c>
      <c r="C27" s="77" t="s">
        <v>65</v>
      </c>
      <c r="D27" s="77" t="s">
        <v>65</v>
      </c>
      <c r="E27" s="77" t="s">
        <v>65</v>
      </c>
      <c r="F27" s="77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214.15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219.4</v>
      </c>
      <c r="F30" s="74" t="s">
        <v>17</v>
      </c>
    </row>
    <row r="31" spans="2:6" ht="19.5">
      <c r="B31" s="77" t="s">
        <v>84</v>
      </c>
      <c r="C31" s="77" t="s">
        <v>65</v>
      </c>
      <c r="D31" s="77" t="s">
        <v>65</v>
      </c>
      <c r="E31" s="77" t="s">
        <v>65</v>
      </c>
      <c r="F31" s="77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3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68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5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19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37</v>
      </c>
      <c r="F37" s="72" t="s">
        <v>16</v>
      </c>
    </row>
    <row r="38" spans="2:6" ht="19.5">
      <c r="B38" s="77" t="s">
        <v>87</v>
      </c>
      <c r="C38" s="77" t="s">
        <v>65</v>
      </c>
      <c r="D38" s="77" t="s">
        <v>65</v>
      </c>
      <c r="E38" s="77" t="s">
        <v>65</v>
      </c>
      <c r="F38" s="77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1122.32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561.16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561.16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22.04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180.53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180.53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470.69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470.69</v>
      </c>
      <c r="F47" s="74" t="s">
        <v>17</v>
      </c>
    </row>
    <row r="48" spans="2:6">
      <c r="B48" s="71">
        <v>9</v>
      </c>
      <c r="C48" s="72" t="s">
        <v>63</v>
      </c>
      <c r="D48" s="72" t="s">
        <v>61</v>
      </c>
      <c r="E48" s="72">
        <v>318.11</v>
      </c>
      <c r="F48" s="72" t="s">
        <v>17</v>
      </c>
    </row>
    <row r="49" spans="2:6">
      <c r="B49" s="73">
        <v>10</v>
      </c>
      <c r="C49" s="74" t="s">
        <v>63</v>
      </c>
      <c r="D49" s="74" t="s">
        <v>62</v>
      </c>
      <c r="E49" s="74">
        <v>318.11</v>
      </c>
      <c r="F49" s="74" t="s">
        <v>17</v>
      </c>
    </row>
    <row r="50" spans="2:6" ht="19.5">
      <c r="B50" s="76" t="s">
        <v>88</v>
      </c>
      <c r="C50" s="76" t="s">
        <v>65</v>
      </c>
      <c r="D50" s="76" t="s">
        <v>65</v>
      </c>
      <c r="E50" s="76" t="s">
        <v>65</v>
      </c>
      <c r="F50" s="76" t="s">
        <v>65</v>
      </c>
    </row>
    <row r="51" spans="2:6" ht="19.5">
      <c r="B51" s="77" t="s">
        <v>81</v>
      </c>
      <c r="C51" s="77" t="s">
        <v>65</v>
      </c>
      <c r="D51" s="77" t="s">
        <v>65</v>
      </c>
      <c r="E51" s="77" t="s">
        <v>65</v>
      </c>
      <c r="F51" s="77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262.98</v>
      </c>
      <c r="F53" s="72" t="s">
        <v>17</v>
      </c>
    </row>
    <row r="54" spans="2:6" ht="19.5">
      <c r="B54" s="77" t="s">
        <v>89</v>
      </c>
      <c r="C54" s="77" t="s">
        <v>65</v>
      </c>
      <c r="D54" s="77" t="s">
        <v>65</v>
      </c>
      <c r="E54" s="77" t="s">
        <v>65</v>
      </c>
      <c r="F54" s="77" t="s">
        <v>65</v>
      </c>
    </row>
    <row r="55" spans="2:6" ht="25.5">
      <c r="B55" s="70" t="s">
        <v>68</v>
      </c>
      <c r="C55" s="70" t="s">
        <v>7</v>
      </c>
      <c r="D55" s="70" t="s">
        <v>69</v>
      </c>
      <c r="E55" s="70" t="s">
        <v>8</v>
      </c>
      <c r="F55" s="70" t="s">
        <v>11</v>
      </c>
    </row>
    <row r="56" spans="2:6">
      <c r="B56" s="71">
        <v>1</v>
      </c>
      <c r="C56" s="72" t="s">
        <v>90</v>
      </c>
      <c r="D56" s="72" t="s">
        <v>91</v>
      </c>
      <c r="E56" s="72">
        <v>253.21</v>
      </c>
      <c r="F56" s="72" t="s">
        <v>17</v>
      </c>
    </row>
    <row r="57" spans="2:6">
      <c r="B57" s="73">
        <v>2</v>
      </c>
      <c r="C57" s="74" t="s">
        <v>92</v>
      </c>
      <c r="D57" s="74" t="s">
        <v>93</v>
      </c>
      <c r="E57" s="74">
        <v>204.23</v>
      </c>
      <c r="F57" s="74" t="s">
        <v>17</v>
      </c>
    </row>
    <row r="58" spans="2:6" ht="19.5">
      <c r="B58" s="75" t="s">
        <v>65</v>
      </c>
      <c r="C58" s="75" t="s">
        <v>65</v>
      </c>
      <c r="D58" s="75" t="s">
        <v>65</v>
      </c>
      <c r="E58" s="75" t="s">
        <v>65</v>
      </c>
      <c r="F58" s="75" t="s">
        <v>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090D-BF26-47E2-8144-21CA32319EA3}">
  <dimension ref="B2:F58"/>
  <sheetViews>
    <sheetView topLeftCell="A43" workbookViewId="0">
      <selection activeCell="K55" sqref="K55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116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123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17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46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3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6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40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3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46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3</v>
      </c>
      <c r="F23" s="72" t="s">
        <v>16</v>
      </c>
    </row>
    <row r="24" spans="2:6" ht="19.5">
      <c r="B24" s="112" t="s">
        <v>79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112" t="s">
        <v>81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206.89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222.33</v>
      </c>
      <c r="F30" s="74" t="s">
        <v>17</v>
      </c>
    </row>
    <row r="31" spans="2:6" ht="19.5">
      <c r="B31" s="112" t="s">
        <v>84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3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67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4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19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36</v>
      </c>
      <c r="F37" s="72" t="s">
        <v>16</v>
      </c>
    </row>
    <row r="38" spans="2:6" ht="19.5">
      <c r="B38" s="112" t="s">
        <v>87</v>
      </c>
      <c r="C38" s="112" t="s">
        <v>65</v>
      </c>
      <c r="D38" s="112" t="s">
        <v>65</v>
      </c>
      <c r="E38" s="112" t="s">
        <v>65</v>
      </c>
      <c r="F38" s="112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1109.81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554.9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554.9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22.04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152.75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152.75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405.71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405.71</v>
      </c>
      <c r="F47" s="74" t="s">
        <v>17</v>
      </c>
    </row>
    <row r="48" spans="2:6">
      <c r="B48" s="71">
        <v>9</v>
      </c>
      <c r="C48" s="72" t="s">
        <v>63</v>
      </c>
      <c r="D48" s="72" t="s">
        <v>61</v>
      </c>
      <c r="E48" s="72">
        <v>391.69</v>
      </c>
      <c r="F48" s="72" t="s">
        <v>17</v>
      </c>
    </row>
    <row r="49" spans="2:6">
      <c r="B49" s="73">
        <v>10</v>
      </c>
      <c r="C49" s="74" t="s">
        <v>63</v>
      </c>
      <c r="D49" s="74" t="s">
        <v>62</v>
      </c>
      <c r="E49" s="74">
        <v>391.69</v>
      </c>
      <c r="F49" s="74" t="s">
        <v>17</v>
      </c>
    </row>
    <row r="50" spans="2:6" ht="19.5">
      <c r="B50" s="113" t="s">
        <v>88</v>
      </c>
      <c r="C50" s="113" t="s">
        <v>65</v>
      </c>
      <c r="D50" s="113" t="s">
        <v>65</v>
      </c>
      <c r="E50" s="113" t="s">
        <v>65</v>
      </c>
      <c r="F50" s="113" t="s">
        <v>65</v>
      </c>
    </row>
    <row r="51" spans="2:6" ht="19.5">
      <c r="B51" s="112" t="s">
        <v>81</v>
      </c>
      <c r="C51" s="112" t="s">
        <v>65</v>
      </c>
      <c r="D51" s="112" t="s">
        <v>65</v>
      </c>
      <c r="E51" s="112" t="s">
        <v>65</v>
      </c>
      <c r="F51" s="112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246.81</v>
      </c>
      <c r="F53" s="72" t="s">
        <v>17</v>
      </c>
    </row>
    <row r="54" spans="2:6" ht="19.5">
      <c r="B54" s="112" t="s">
        <v>89</v>
      </c>
      <c r="C54" s="112" t="s">
        <v>65</v>
      </c>
      <c r="D54" s="112" t="s">
        <v>65</v>
      </c>
      <c r="E54" s="112" t="s">
        <v>65</v>
      </c>
      <c r="F54" s="112" t="s">
        <v>65</v>
      </c>
    </row>
    <row r="55" spans="2:6" ht="25.5">
      <c r="B55" s="70" t="s">
        <v>68</v>
      </c>
      <c r="C55" s="70" t="s">
        <v>7</v>
      </c>
      <c r="D55" s="70" t="s">
        <v>69</v>
      </c>
      <c r="E55" s="70" t="s">
        <v>8</v>
      </c>
      <c r="F55" s="70" t="s">
        <v>11</v>
      </c>
    </row>
    <row r="56" spans="2:6">
      <c r="B56" s="71">
        <v>1</v>
      </c>
      <c r="C56" s="72" t="s">
        <v>90</v>
      </c>
      <c r="D56" s="72" t="s">
        <v>91</v>
      </c>
      <c r="E56" s="72">
        <v>238.14</v>
      </c>
      <c r="F56" s="72" t="s">
        <v>17</v>
      </c>
    </row>
    <row r="57" spans="2:6">
      <c r="B57" s="73">
        <v>2</v>
      </c>
      <c r="C57" s="74" t="s">
        <v>92</v>
      </c>
      <c r="D57" s="74" t="s">
        <v>93</v>
      </c>
      <c r="E57" s="74">
        <v>204.6</v>
      </c>
      <c r="F57" s="74" t="s">
        <v>17</v>
      </c>
    </row>
    <row r="58" spans="2:6" ht="19.5">
      <c r="B58" s="75" t="s">
        <v>65</v>
      </c>
      <c r="C58" s="75" t="s">
        <v>65</v>
      </c>
      <c r="D58" s="75" t="s">
        <v>65</v>
      </c>
      <c r="E58" s="75" t="s">
        <v>65</v>
      </c>
      <c r="F58" s="75" t="s">
        <v>65</v>
      </c>
    </row>
  </sheetData>
  <mergeCells count="12">
    <mergeCell ref="B54:F54"/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5AEA-4B39-43B4-8160-0D91C3F1500B}">
  <dimension ref="B2:F59"/>
  <sheetViews>
    <sheetView topLeftCell="A19" workbookViewId="0">
      <selection activeCell="H29" sqref="H29"/>
    </sheetView>
  </sheetViews>
  <sheetFormatPr defaultColWidth="9" defaultRowHeight="12.75"/>
  <cols>
    <col min="1" max="1" width="9" style="69"/>
    <col min="2" max="2" width="5" style="69" customWidth="1"/>
    <col min="3" max="3" width="43.85546875" style="69" customWidth="1"/>
    <col min="4" max="4" width="50.85546875" style="69" customWidth="1"/>
    <col min="5" max="5" width="9.85546875" style="69" customWidth="1"/>
    <col min="6" max="6" width="7.140625" style="69" customWidth="1"/>
    <col min="7" max="16384" width="9" style="69"/>
  </cols>
  <sheetData>
    <row r="2" spans="2:6" ht="19.5">
      <c r="B2" s="76" t="s">
        <v>64</v>
      </c>
      <c r="C2" s="76" t="s">
        <v>65</v>
      </c>
      <c r="D2" s="76" t="s">
        <v>65</v>
      </c>
      <c r="E2" s="76" t="s">
        <v>65</v>
      </c>
      <c r="F2" s="76" t="s">
        <v>65</v>
      </c>
    </row>
    <row r="3" spans="2:6" ht="19.5">
      <c r="B3" s="76" t="s">
        <v>66</v>
      </c>
      <c r="C3" s="76" t="s">
        <v>65</v>
      </c>
      <c r="D3" s="76" t="s">
        <v>65</v>
      </c>
      <c r="E3" s="76" t="s">
        <v>65</v>
      </c>
      <c r="F3" s="76" t="s">
        <v>65</v>
      </c>
    </row>
    <row r="4" spans="2:6" ht="19.5">
      <c r="B4" s="77" t="s">
        <v>67</v>
      </c>
      <c r="C4" s="77" t="s">
        <v>65</v>
      </c>
      <c r="D4" s="77" t="s">
        <v>65</v>
      </c>
      <c r="E4" s="77" t="s">
        <v>65</v>
      </c>
      <c r="F4" s="77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73</v>
      </c>
      <c r="D9" s="74" t="s">
        <v>32</v>
      </c>
      <c r="E9" s="74">
        <v>11</v>
      </c>
      <c r="F9" s="74" t="s">
        <v>16</v>
      </c>
    </row>
    <row r="10" spans="2:6" ht="19.5">
      <c r="B10" s="77" t="s">
        <v>74</v>
      </c>
      <c r="C10" s="77" t="s">
        <v>65</v>
      </c>
      <c r="D10" s="77" t="s">
        <v>65</v>
      </c>
      <c r="E10" s="77" t="s">
        <v>65</v>
      </c>
      <c r="F10" s="77" t="s">
        <v>65</v>
      </c>
    </row>
    <row r="11" spans="2:6" ht="25.5">
      <c r="B11" s="70" t="s">
        <v>68</v>
      </c>
      <c r="C11" s="70" t="s">
        <v>7</v>
      </c>
      <c r="D11" s="70" t="s">
        <v>69</v>
      </c>
      <c r="E11" s="70" t="s">
        <v>8</v>
      </c>
      <c r="F11" s="70" t="s">
        <v>11</v>
      </c>
    </row>
    <row r="12" spans="2:6">
      <c r="B12" s="71">
        <v>1</v>
      </c>
      <c r="C12" s="72" t="s">
        <v>75</v>
      </c>
      <c r="D12" s="72" t="s">
        <v>33</v>
      </c>
      <c r="E12" s="72">
        <v>62</v>
      </c>
      <c r="F12" s="72" t="s">
        <v>16</v>
      </c>
    </row>
    <row r="13" spans="2:6">
      <c r="B13" s="73">
        <v>2</v>
      </c>
      <c r="C13" s="74" t="s">
        <v>76</v>
      </c>
      <c r="D13" s="74" t="s">
        <v>34</v>
      </c>
      <c r="E13" s="74">
        <v>44</v>
      </c>
      <c r="F13" s="74" t="s">
        <v>16</v>
      </c>
    </row>
    <row r="14" spans="2:6" ht="19.5">
      <c r="B14" s="77" t="s">
        <v>77</v>
      </c>
      <c r="C14" s="77" t="s">
        <v>65</v>
      </c>
      <c r="D14" s="77" t="s">
        <v>65</v>
      </c>
      <c r="E14" s="77" t="s">
        <v>65</v>
      </c>
      <c r="F14" s="77" t="s">
        <v>65</v>
      </c>
    </row>
    <row r="15" spans="2:6" ht="25.5">
      <c r="B15" s="70" t="s">
        <v>68</v>
      </c>
      <c r="C15" s="70" t="s">
        <v>7</v>
      </c>
      <c r="D15" s="70" t="s">
        <v>69</v>
      </c>
      <c r="E15" s="70" t="s">
        <v>8</v>
      </c>
      <c r="F15" s="70" t="s">
        <v>11</v>
      </c>
    </row>
    <row r="16" spans="2:6">
      <c r="B16" s="71">
        <v>1</v>
      </c>
      <c r="C16" s="72" t="s">
        <v>75</v>
      </c>
      <c r="D16" s="72" t="s">
        <v>35</v>
      </c>
      <c r="E16" s="72">
        <v>103</v>
      </c>
      <c r="F16" s="72" t="s">
        <v>16</v>
      </c>
    </row>
    <row r="17" spans="2:6">
      <c r="B17" s="73">
        <v>2</v>
      </c>
      <c r="C17" s="74" t="s">
        <v>75</v>
      </c>
      <c r="D17" s="74" t="s">
        <v>36</v>
      </c>
      <c r="E17" s="74">
        <v>2</v>
      </c>
      <c r="F17" s="74" t="s">
        <v>16</v>
      </c>
    </row>
    <row r="18" spans="2:6">
      <c r="B18" s="71">
        <v>3</v>
      </c>
      <c r="C18" s="72" t="s">
        <v>76</v>
      </c>
      <c r="D18" s="72" t="s">
        <v>37</v>
      </c>
      <c r="E18" s="72">
        <v>66</v>
      </c>
      <c r="F18" s="72" t="s">
        <v>16</v>
      </c>
    </row>
    <row r="19" spans="2:6" ht="25.5">
      <c r="B19" s="73">
        <v>4</v>
      </c>
      <c r="C19" s="74" t="s">
        <v>76</v>
      </c>
      <c r="D19" s="74" t="s">
        <v>38</v>
      </c>
      <c r="E19" s="74">
        <v>37</v>
      </c>
      <c r="F19" s="74" t="s">
        <v>16</v>
      </c>
    </row>
    <row r="20" spans="2:6">
      <c r="B20" s="71">
        <v>5</v>
      </c>
      <c r="C20" s="72" t="s">
        <v>76</v>
      </c>
      <c r="D20" s="72" t="s">
        <v>39</v>
      </c>
      <c r="E20" s="72">
        <v>2</v>
      </c>
      <c r="F20" s="72" t="s">
        <v>16</v>
      </c>
    </row>
    <row r="21" spans="2:6">
      <c r="B21" s="73">
        <v>6</v>
      </c>
      <c r="C21" s="74" t="s">
        <v>78</v>
      </c>
      <c r="D21" s="74" t="s">
        <v>40</v>
      </c>
      <c r="E21" s="74">
        <v>103</v>
      </c>
      <c r="F21" s="74" t="s">
        <v>16</v>
      </c>
    </row>
    <row r="22" spans="2:6">
      <c r="B22" s="71">
        <v>7</v>
      </c>
      <c r="C22" s="72" t="s">
        <v>78</v>
      </c>
      <c r="D22" s="72" t="s">
        <v>41</v>
      </c>
      <c r="E22" s="72">
        <v>2</v>
      </c>
      <c r="F22" s="72" t="s">
        <v>16</v>
      </c>
    </row>
    <row r="23" spans="2:6" ht="19.5">
      <c r="B23" s="77" t="s">
        <v>79</v>
      </c>
      <c r="C23" s="77" t="s">
        <v>65</v>
      </c>
      <c r="D23" s="77" t="s">
        <v>65</v>
      </c>
      <c r="E23" s="77" t="s">
        <v>65</v>
      </c>
      <c r="F23" s="77" t="s">
        <v>65</v>
      </c>
    </row>
    <row r="24" spans="2:6" ht="25.5">
      <c r="B24" s="70" t="s">
        <v>68</v>
      </c>
      <c r="C24" s="70" t="s">
        <v>7</v>
      </c>
      <c r="D24" s="70" t="s">
        <v>69</v>
      </c>
      <c r="E24" s="70" t="s">
        <v>8</v>
      </c>
      <c r="F24" s="70" t="s">
        <v>11</v>
      </c>
    </row>
    <row r="25" spans="2:6">
      <c r="B25" s="71">
        <v>1</v>
      </c>
      <c r="C25" s="72" t="s">
        <v>80</v>
      </c>
      <c r="D25" s="72" t="s">
        <v>42</v>
      </c>
      <c r="E25" s="72">
        <v>1</v>
      </c>
      <c r="F25" s="72" t="s">
        <v>16</v>
      </c>
    </row>
    <row r="26" spans="2:6" ht="19.5">
      <c r="B26" s="77" t="s">
        <v>81</v>
      </c>
      <c r="C26" s="77" t="s">
        <v>65</v>
      </c>
      <c r="D26" s="77" t="s">
        <v>65</v>
      </c>
      <c r="E26" s="77" t="s">
        <v>65</v>
      </c>
      <c r="F26" s="77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43</v>
      </c>
      <c r="D28" s="72" t="s">
        <v>82</v>
      </c>
      <c r="E28" s="72">
        <v>125.45</v>
      </c>
      <c r="F28" s="72" t="s">
        <v>17</v>
      </c>
    </row>
    <row r="29" spans="2:6">
      <c r="B29" s="73">
        <v>2</v>
      </c>
      <c r="C29" s="74" t="s">
        <v>43</v>
      </c>
      <c r="D29" s="74" t="s">
        <v>83</v>
      </c>
      <c r="E29" s="74">
        <v>563.67999999999995</v>
      </c>
      <c r="F29" s="74" t="s">
        <v>17</v>
      </c>
    </row>
    <row r="30" spans="2:6" ht="19.5">
      <c r="B30" s="77" t="s">
        <v>84</v>
      </c>
      <c r="C30" s="77" t="s">
        <v>65</v>
      </c>
      <c r="D30" s="77" t="s">
        <v>65</v>
      </c>
      <c r="E30" s="77" t="s">
        <v>65</v>
      </c>
      <c r="F30" s="77" t="s">
        <v>65</v>
      </c>
    </row>
    <row r="31" spans="2:6" ht="25.5">
      <c r="B31" s="70" t="s">
        <v>68</v>
      </c>
      <c r="C31" s="70" t="s">
        <v>7</v>
      </c>
      <c r="D31" s="70" t="s">
        <v>69</v>
      </c>
      <c r="E31" s="70" t="s">
        <v>8</v>
      </c>
      <c r="F31" s="70" t="s">
        <v>11</v>
      </c>
    </row>
    <row r="32" spans="2:6">
      <c r="B32" s="71">
        <v>1</v>
      </c>
      <c r="C32" s="72" t="s">
        <v>85</v>
      </c>
      <c r="D32" s="72" t="s">
        <v>47</v>
      </c>
      <c r="E32" s="72">
        <v>63</v>
      </c>
      <c r="F32" s="72" t="s">
        <v>16</v>
      </c>
    </row>
    <row r="33" spans="2:6">
      <c r="B33" s="73">
        <v>2</v>
      </c>
      <c r="C33" s="74" t="s">
        <v>85</v>
      </c>
      <c r="D33" s="74" t="s">
        <v>48</v>
      </c>
      <c r="E33" s="74">
        <v>4</v>
      </c>
      <c r="F33" s="74" t="s">
        <v>16</v>
      </c>
    </row>
    <row r="34" spans="2:6">
      <c r="B34" s="71">
        <v>3</v>
      </c>
      <c r="C34" s="72" t="s">
        <v>85</v>
      </c>
      <c r="D34" s="72" t="s">
        <v>49</v>
      </c>
      <c r="E34" s="72">
        <v>18</v>
      </c>
      <c r="F34" s="72" t="s">
        <v>16</v>
      </c>
    </row>
    <row r="35" spans="2:6">
      <c r="B35" s="73">
        <v>4</v>
      </c>
      <c r="C35" s="74" t="s">
        <v>85</v>
      </c>
      <c r="D35" s="74" t="s">
        <v>50</v>
      </c>
      <c r="E35" s="74">
        <v>2</v>
      </c>
      <c r="F35" s="74" t="s">
        <v>16</v>
      </c>
    </row>
    <row r="36" spans="2:6">
      <c r="B36" s="71">
        <v>5</v>
      </c>
      <c r="C36" s="72" t="s">
        <v>85</v>
      </c>
      <c r="D36" s="72" t="s">
        <v>51</v>
      </c>
      <c r="E36" s="72">
        <v>2</v>
      </c>
      <c r="F36" s="72" t="s">
        <v>16</v>
      </c>
    </row>
    <row r="37" spans="2:6">
      <c r="B37" s="73">
        <v>6</v>
      </c>
      <c r="C37" s="74" t="s">
        <v>86</v>
      </c>
      <c r="D37" s="74" t="s">
        <v>52</v>
      </c>
      <c r="E37" s="74">
        <v>3</v>
      </c>
      <c r="F37" s="74" t="s">
        <v>16</v>
      </c>
    </row>
    <row r="38" spans="2:6" ht="19.5">
      <c r="B38" s="77" t="s">
        <v>87</v>
      </c>
      <c r="C38" s="77" t="s">
        <v>65</v>
      </c>
      <c r="D38" s="77" t="s">
        <v>65</v>
      </c>
      <c r="E38" s="77" t="s">
        <v>65</v>
      </c>
      <c r="F38" s="77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14.43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7.22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7.22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12.57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112.72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112.72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489.91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489.91</v>
      </c>
      <c r="F47" s="74" t="s">
        <v>17</v>
      </c>
    </row>
    <row r="48" spans="2:6">
      <c r="B48" s="71">
        <v>9</v>
      </c>
      <c r="C48" s="72" t="s">
        <v>63</v>
      </c>
      <c r="D48" s="72" t="s">
        <v>61</v>
      </c>
      <c r="E48" s="72">
        <v>532.57000000000005</v>
      </c>
      <c r="F48" s="72" t="s">
        <v>17</v>
      </c>
    </row>
    <row r="49" spans="2:6">
      <c r="B49" s="73">
        <v>10</v>
      </c>
      <c r="C49" s="74" t="s">
        <v>63</v>
      </c>
      <c r="D49" s="74" t="s">
        <v>62</v>
      </c>
      <c r="E49" s="74">
        <v>532.57000000000005</v>
      </c>
      <c r="F49" s="74" t="s">
        <v>17</v>
      </c>
    </row>
    <row r="50" spans="2:6" ht="19.5">
      <c r="B50" s="76" t="s">
        <v>88</v>
      </c>
      <c r="C50" s="76" t="s">
        <v>65</v>
      </c>
      <c r="D50" s="76" t="s">
        <v>65</v>
      </c>
      <c r="E50" s="76" t="s">
        <v>65</v>
      </c>
      <c r="F50" s="76" t="s">
        <v>65</v>
      </c>
    </row>
    <row r="51" spans="2:6" ht="19.5">
      <c r="B51" s="77" t="s">
        <v>81</v>
      </c>
      <c r="C51" s="77" t="s">
        <v>65</v>
      </c>
      <c r="D51" s="77" t="s">
        <v>65</v>
      </c>
      <c r="E51" s="77" t="s">
        <v>65</v>
      </c>
      <c r="F51" s="77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382.07</v>
      </c>
      <c r="F53" s="72" t="s">
        <v>17</v>
      </c>
    </row>
    <row r="54" spans="2:6">
      <c r="B54" s="73">
        <v>2</v>
      </c>
      <c r="C54" s="74" t="s">
        <v>43</v>
      </c>
      <c r="D54" s="74" t="s">
        <v>83</v>
      </c>
      <c r="E54" s="74">
        <v>5.5</v>
      </c>
      <c r="F54" s="74" t="s">
        <v>17</v>
      </c>
    </row>
    <row r="55" spans="2:6" ht="19.5">
      <c r="B55" s="77" t="s">
        <v>89</v>
      </c>
      <c r="C55" s="77" t="s">
        <v>65</v>
      </c>
      <c r="D55" s="77" t="s">
        <v>65</v>
      </c>
      <c r="E55" s="77" t="s">
        <v>65</v>
      </c>
      <c r="F55" s="77" t="s">
        <v>65</v>
      </c>
    </row>
    <row r="56" spans="2:6" ht="25.5">
      <c r="B56" s="70" t="s">
        <v>68</v>
      </c>
      <c r="C56" s="70" t="s">
        <v>7</v>
      </c>
      <c r="D56" s="70" t="s">
        <v>69</v>
      </c>
      <c r="E56" s="70" t="s">
        <v>8</v>
      </c>
      <c r="F56" s="70" t="s">
        <v>11</v>
      </c>
    </row>
    <row r="57" spans="2:6">
      <c r="B57" s="71">
        <v>1</v>
      </c>
      <c r="C57" s="72" t="s">
        <v>90</v>
      </c>
      <c r="D57" s="72" t="s">
        <v>91</v>
      </c>
      <c r="E57" s="72">
        <v>379.87</v>
      </c>
      <c r="F57" s="72" t="s">
        <v>17</v>
      </c>
    </row>
    <row r="58" spans="2:6">
      <c r="B58" s="73">
        <v>2</v>
      </c>
      <c r="C58" s="74" t="s">
        <v>92</v>
      </c>
      <c r="D58" s="74" t="s">
        <v>93</v>
      </c>
      <c r="E58" s="74">
        <v>271.39999999999998</v>
      </c>
      <c r="F58" s="74" t="s">
        <v>17</v>
      </c>
    </row>
    <row r="59" spans="2:6" ht="19.5">
      <c r="B59" s="75" t="s">
        <v>65</v>
      </c>
      <c r="C59" s="75" t="s">
        <v>65</v>
      </c>
      <c r="D59" s="75" t="s">
        <v>65</v>
      </c>
      <c r="E59" s="75" t="s">
        <v>65</v>
      </c>
      <c r="F59" s="75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987F-FDDB-4B88-886E-A764928C1880}">
  <dimension ref="B2:F67"/>
  <sheetViews>
    <sheetView topLeftCell="A49" workbookViewId="0">
      <selection activeCell="C64" sqref="C64"/>
    </sheetView>
  </sheetViews>
  <sheetFormatPr defaultColWidth="9" defaultRowHeight="12.75"/>
  <cols>
    <col min="1" max="1" width="9" style="69"/>
    <col min="2" max="2" width="5" style="69" customWidth="1"/>
    <col min="3" max="3" width="43.85546875" style="69" customWidth="1"/>
    <col min="4" max="4" width="50.85546875" style="69" customWidth="1"/>
    <col min="5" max="5" width="9.85546875" style="69" customWidth="1"/>
    <col min="6" max="6" width="7.140625" style="69" customWidth="1"/>
    <col min="7" max="16384" width="9" style="69"/>
  </cols>
  <sheetData>
    <row r="2" spans="2:6" ht="19.5">
      <c r="B2" s="76" t="s">
        <v>94</v>
      </c>
      <c r="C2" s="76" t="s">
        <v>65</v>
      </c>
      <c r="D2" s="76" t="s">
        <v>65</v>
      </c>
      <c r="E2" s="76" t="s">
        <v>65</v>
      </c>
      <c r="F2" s="76" t="s">
        <v>65</v>
      </c>
    </row>
    <row r="3" spans="2:6" ht="19.5">
      <c r="B3" s="76" t="s">
        <v>66</v>
      </c>
      <c r="C3" s="76" t="s">
        <v>65</v>
      </c>
      <c r="D3" s="76" t="s">
        <v>65</v>
      </c>
      <c r="E3" s="76" t="s">
        <v>65</v>
      </c>
      <c r="F3" s="76" t="s">
        <v>65</v>
      </c>
    </row>
    <row r="4" spans="2:6" ht="19.5">
      <c r="B4" s="77" t="s">
        <v>67</v>
      </c>
      <c r="C4" s="77" t="s">
        <v>65</v>
      </c>
      <c r="D4" s="77" t="s">
        <v>65</v>
      </c>
      <c r="E4" s="77" t="s">
        <v>65</v>
      </c>
      <c r="F4" s="77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11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11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18</v>
      </c>
      <c r="D9" s="74" t="s">
        <v>95</v>
      </c>
      <c r="E9" s="74">
        <v>2</v>
      </c>
      <c r="F9" s="74" t="s">
        <v>16</v>
      </c>
    </row>
    <row r="10" spans="2:6">
      <c r="B10" s="71">
        <v>5</v>
      </c>
      <c r="C10" s="72" t="s">
        <v>18</v>
      </c>
      <c r="D10" s="72" t="s">
        <v>96</v>
      </c>
      <c r="E10" s="72">
        <v>1</v>
      </c>
      <c r="F10" s="72" t="s">
        <v>16</v>
      </c>
    </row>
    <row r="11" spans="2:6">
      <c r="B11" s="73">
        <v>6</v>
      </c>
      <c r="C11" s="74" t="s">
        <v>73</v>
      </c>
      <c r="D11" s="74" t="s">
        <v>32</v>
      </c>
      <c r="E11" s="74">
        <v>14</v>
      </c>
      <c r="F11" s="74" t="s">
        <v>16</v>
      </c>
    </row>
    <row r="12" spans="2:6">
      <c r="B12" s="71">
        <v>7</v>
      </c>
      <c r="C12" s="72" t="s">
        <v>73</v>
      </c>
      <c r="D12" s="72" t="s">
        <v>97</v>
      </c>
      <c r="E12" s="72">
        <v>1</v>
      </c>
      <c r="F12" s="72" t="s">
        <v>16</v>
      </c>
    </row>
    <row r="13" spans="2:6" ht="19.5">
      <c r="B13" s="77" t="s">
        <v>74</v>
      </c>
      <c r="C13" s="77" t="s">
        <v>65</v>
      </c>
      <c r="D13" s="77" t="s">
        <v>65</v>
      </c>
      <c r="E13" s="77" t="s">
        <v>65</v>
      </c>
      <c r="F13" s="77" t="s">
        <v>65</v>
      </c>
    </row>
    <row r="14" spans="2:6" ht="25.5">
      <c r="B14" s="70" t="s">
        <v>68</v>
      </c>
      <c r="C14" s="70" t="s">
        <v>7</v>
      </c>
      <c r="D14" s="70" t="s">
        <v>69</v>
      </c>
      <c r="E14" s="70" t="s">
        <v>8</v>
      </c>
      <c r="F14" s="70" t="s">
        <v>11</v>
      </c>
    </row>
    <row r="15" spans="2:6">
      <c r="B15" s="71">
        <v>1</v>
      </c>
      <c r="C15" s="72" t="s">
        <v>75</v>
      </c>
      <c r="D15" s="72" t="s">
        <v>33</v>
      </c>
      <c r="E15" s="72">
        <v>116</v>
      </c>
      <c r="F15" s="72" t="s">
        <v>16</v>
      </c>
    </row>
    <row r="16" spans="2:6">
      <c r="B16" s="73">
        <v>2</v>
      </c>
      <c r="C16" s="74" t="s">
        <v>76</v>
      </c>
      <c r="D16" s="74" t="s">
        <v>34</v>
      </c>
      <c r="E16" s="74">
        <v>41</v>
      </c>
      <c r="F16" s="74" t="s">
        <v>16</v>
      </c>
    </row>
    <row r="17" spans="2:6" ht="19.5">
      <c r="B17" s="77" t="s">
        <v>77</v>
      </c>
      <c r="C17" s="77" t="s">
        <v>65</v>
      </c>
      <c r="D17" s="77" t="s">
        <v>65</v>
      </c>
      <c r="E17" s="77" t="s">
        <v>65</v>
      </c>
      <c r="F17" s="77" t="s">
        <v>65</v>
      </c>
    </row>
    <row r="18" spans="2:6" ht="25.5">
      <c r="B18" s="70" t="s">
        <v>68</v>
      </c>
      <c r="C18" s="70" t="s">
        <v>7</v>
      </c>
      <c r="D18" s="70" t="s">
        <v>69</v>
      </c>
      <c r="E18" s="70" t="s">
        <v>8</v>
      </c>
      <c r="F18" s="70" t="s">
        <v>11</v>
      </c>
    </row>
    <row r="19" spans="2:6">
      <c r="B19" s="71">
        <v>1</v>
      </c>
      <c r="C19" s="72" t="s">
        <v>75</v>
      </c>
      <c r="D19" s="72" t="s">
        <v>35</v>
      </c>
      <c r="E19" s="72">
        <v>197</v>
      </c>
      <c r="F19" s="72" t="s">
        <v>16</v>
      </c>
    </row>
    <row r="20" spans="2:6">
      <c r="B20" s="73">
        <v>2</v>
      </c>
      <c r="C20" s="74" t="s">
        <v>75</v>
      </c>
      <c r="D20" s="74" t="s">
        <v>36</v>
      </c>
      <c r="E20" s="74">
        <v>2</v>
      </c>
      <c r="F20" s="74" t="s">
        <v>16</v>
      </c>
    </row>
    <row r="21" spans="2:6">
      <c r="B21" s="71">
        <v>3</v>
      </c>
      <c r="C21" s="72" t="s">
        <v>76</v>
      </c>
      <c r="D21" s="72" t="s">
        <v>37</v>
      </c>
      <c r="E21" s="72">
        <v>113</v>
      </c>
      <c r="F21" s="72" t="s">
        <v>16</v>
      </c>
    </row>
    <row r="22" spans="2:6" ht="25.5">
      <c r="B22" s="73">
        <v>4</v>
      </c>
      <c r="C22" s="74" t="s">
        <v>76</v>
      </c>
      <c r="D22" s="74" t="s">
        <v>38</v>
      </c>
      <c r="E22" s="74">
        <v>84</v>
      </c>
      <c r="F22" s="74" t="s">
        <v>16</v>
      </c>
    </row>
    <row r="23" spans="2:6">
      <c r="B23" s="71">
        <v>5</v>
      </c>
      <c r="C23" s="72" t="s">
        <v>76</v>
      </c>
      <c r="D23" s="72" t="s">
        <v>39</v>
      </c>
      <c r="E23" s="72">
        <v>2</v>
      </c>
      <c r="F23" s="72" t="s">
        <v>16</v>
      </c>
    </row>
    <row r="24" spans="2:6">
      <c r="B24" s="73">
        <v>6</v>
      </c>
      <c r="C24" s="74" t="s">
        <v>78</v>
      </c>
      <c r="D24" s="74" t="s">
        <v>40</v>
      </c>
      <c r="E24" s="74">
        <v>197</v>
      </c>
      <c r="F24" s="74" t="s">
        <v>16</v>
      </c>
    </row>
    <row r="25" spans="2:6">
      <c r="B25" s="71">
        <v>7</v>
      </c>
      <c r="C25" s="72" t="s">
        <v>78</v>
      </c>
      <c r="D25" s="72" t="s">
        <v>41</v>
      </c>
      <c r="E25" s="72">
        <v>2</v>
      </c>
      <c r="F25" s="72" t="s">
        <v>16</v>
      </c>
    </row>
    <row r="26" spans="2:6" ht="19.5">
      <c r="B26" s="77" t="s">
        <v>79</v>
      </c>
      <c r="C26" s="77" t="s">
        <v>65</v>
      </c>
      <c r="D26" s="77" t="s">
        <v>65</v>
      </c>
      <c r="E26" s="77" t="s">
        <v>65</v>
      </c>
      <c r="F26" s="77" t="s">
        <v>65</v>
      </c>
    </row>
    <row r="27" spans="2:6" ht="25.5">
      <c r="B27" s="70" t="s">
        <v>68</v>
      </c>
      <c r="C27" s="70" t="s">
        <v>7</v>
      </c>
      <c r="D27" s="70" t="s">
        <v>69</v>
      </c>
      <c r="E27" s="70" t="s">
        <v>8</v>
      </c>
      <c r="F27" s="70" t="s">
        <v>11</v>
      </c>
    </row>
    <row r="28" spans="2:6">
      <c r="B28" s="71">
        <v>1</v>
      </c>
      <c r="C28" s="72" t="s">
        <v>80</v>
      </c>
      <c r="D28" s="72" t="s">
        <v>42</v>
      </c>
      <c r="E28" s="72">
        <v>1</v>
      </c>
      <c r="F28" s="72" t="s">
        <v>16</v>
      </c>
    </row>
    <row r="29" spans="2:6" ht="19.5">
      <c r="B29" s="77" t="s">
        <v>81</v>
      </c>
      <c r="C29" s="77" t="s">
        <v>65</v>
      </c>
      <c r="D29" s="77" t="s">
        <v>65</v>
      </c>
      <c r="E29" s="77" t="s">
        <v>65</v>
      </c>
      <c r="F29" s="77" t="s">
        <v>65</v>
      </c>
    </row>
    <row r="30" spans="2:6" ht="25.5">
      <c r="B30" s="70" t="s">
        <v>68</v>
      </c>
      <c r="C30" s="70" t="s">
        <v>7</v>
      </c>
      <c r="D30" s="70" t="s">
        <v>69</v>
      </c>
      <c r="E30" s="70" t="s">
        <v>8</v>
      </c>
      <c r="F30" s="70" t="s">
        <v>11</v>
      </c>
    </row>
    <row r="31" spans="2:6">
      <c r="B31" s="71">
        <v>1</v>
      </c>
      <c r="C31" s="72" t="s">
        <v>43</v>
      </c>
      <c r="D31" s="72" t="s">
        <v>82</v>
      </c>
      <c r="E31" s="72">
        <v>205.47</v>
      </c>
      <c r="F31" s="72" t="s">
        <v>17</v>
      </c>
    </row>
    <row r="32" spans="2:6">
      <c r="B32" s="73">
        <v>2</v>
      </c>
      <c r="C32" s="74" t="s">
        <v>43</v>
      </c>
      <c r="D32" s="74" t="s">
        <v>83</v>
      </c>
      <c r="E32" s="74">
        <v>690.61</v>
      </c>
      <c r="F32" s="74" t="s">
        <v>17</v>
      </c>
    </row>
    <row r="33" spans="2:6" ht="19.5">
      <c r="B33" s="77" t="s">
        <v>84</v>
      </c>
      <c r="C33" s="77" t="s">
        <v>65</v>
      </c>
      <c r="D33" s="77" t="s">
        <v>65</v>
      </c>
      <c r="E33" s="77" t="s">
        <v>65</v>
      </c>
      <c r="F33" s="77" t="s">
        <v>65</v>
      </c>
    </row>
    <row r="34" spans="2:6" ht="25.5">
      <c r="B34" s="70" t="s">
        <v>68</v>
      </c>
      <c r="C34" s="70" t="s">
        <v>7</v>
      </c>
      <c r="D34" s="70" t="s">
        <v>69</v>
      </c>
      <c r="E34" s="70" t="s">
        <v>8</v>
      </c>
      <c r="F34" s="70" t="s">
        <v>11</v>
      </c>
    </row>
    <row r="35" spans="2:6">
      <c r="B35" s="71">
        <v>1</v>
      </c>
      <c r="C35" s="72" t="s">
        <v>98</v>
      </c>
      <c r="D35" s="72" t="s">
        <v>99</v>
      </c>
      <c r="E35" s="72">
        <v>8</v>
      </c>
      <c r="F35" s="72" t="s">
        <v>16</v>
      </c>
    </row>
    <row r="36" spans="2:6">
      <c r="B36" s="73">
        <v>2</v>
      </c>
      <c r="C36" s="74" t="s">
        <v>98</v>
      </c>
      <c r="D36" s="74" t="s">
        <v>100</v>
      </c>
      <c r="E36" s="74">
        <v>1</v>
      </c>
      <c r="F36" s="74" t="s">
        <v>16</v>
      </c>
    </row>
    <row r="37" spans="2:6">
      <c r="B37" s="71">
        <v>3</v>
      </c>
      <c r="C37" s="72" t="s">
        <v>98</v>
      </c>
      <c r="D37" s="72" t="s">
        <v>101</v>
      </c>
      <c r="E37" s="72">
        <v>3</v>
      </c>
      <c r="F37" s="72" t="s">
        <v>16</v>
      </c>
    </row>
    <row r="38" spans="2:6">
      <c r="B38" s="73">
        <v>4</v>
      </c>
      <c r="C38" s="74" t="s">
        <v>85</v>
      </c>
      <c r="D38" s="74" t="s">
        <v>47</v>
      </c>
      <c r="E38" s="74">
        <v>110</v>
      </c>
      <c r="F38" s="74" t="s">
        <v>16</v>
      </c>
    </row>
    <row r="39" spans="2:6">
      <c r="B39" s="71">
        <v>5</v>
      </c>
      <c r="C39" s="72" t="s">
        <v>85</v>
      </c>
      <c r="D39" s="72" t="s">
        <v>48</v>
      </c>
      <c r="E39" s="72">
        <v>41</v>
      </c>
      <c r="F39" s="72" t="s">
        <v>16</v>
      </c>
    </row>
    <row r="40" spans="2:6">
      <c r="B40" s="73">
        <v>6</v>
      </c>
      <c r="C40" s="74" t="s">
        <v>85</v>
      </c>
      <c r="D40" s="74" t="s">
        <v>49</v>
      </c>
      <c r="E40" s="74">
        <v>16</v>
      </c>
      <c r="F40" s="74" t="s">
        <v>16</v>
      </c>
    </row>
    <row r="41" spans="2:6">
      <c r="B41" s="71">
        <v>7</v>
      </c>
      <c r="C41" s="72" t="s">
        <v>85</v>
      </c>
      <c r="D41" s="72" t="s">
        <v>50</v>
      </c>
      <c r="E41" s="72">
        <v>29</v>
      </c>
      <c r="F41" s="72" t="s">
        <v>16</v>
      </c>
    </row>
    <row r="42" spans="2:6">
      <c r="B42" s="73">
        <v>8</v>
      </c>
      <c r="C42" s="74" t="s">
        <v>85</v>
      </c>
      <c r="D42" s="74" t="s">
        <v>102</v>
      </c>
      <c r="E42" s="74">
        <v>4</v>
      </c>
      <c r="F42" s="74" t="s">
        <v>16</v>
      </c>
    </row>
    <row r="43" spans="2:6">
      <c r="B43" s="71">
        <v>9</v>
      </c>
      <c r="C43" s="72" t="s">
        <v>85</v>
      </c>
      <c r="D43" s="72" t="s">
        <v>51</v>
      </c>
      <c r="E43" s="72">
        <v>7</v>
      </c>
      <c r="F43" s="72" t="s">
        <v>16</v>
      </c>
    </row>
    <row r="44" spans="2:6">
      <c r="B44" s="73">
        <v>10</v>
      </c>
      <c r="C44" s="74" t="s">
        <v>86</v>
      </c>
      <c r="D44" s="74" t="s">
        <v>52</v>
      </c>
      <c r="E44" s="74">
        <v>20</v>
      </c>
      <c r="F44" s="74" t="s">
        <v>16</v>
      </c>
    </row>
    <row r="45" spans="2:6" ht="19.5">
      <c r="B45" s="77" t="s">
        <v>87</v>
      </c>
      <c r="C45" s="77" t="s">
        <v>65</v>
      </c>
      <c r="D45" s="77" t="s">
        <v>65</v>
      </c>
      <c r="E45" s="77" t="s">
        <v>65</v>
      </c>
      <c r="F45" s="77" t="s">
        <v>65</v>
      </c>
    </row>
    <row r="46" spans="2:6" ht="25.5">
      <c r="B46" s="70" t="s">
        <v>68</v>
      </c>
      <c r="C46" s="70" t="s">
        <v>7</v>
      </c>
      <c r="D46" s="70" t="s">
        <v>69</v>
      </c>
      <c r="E46" s="70" t="s">
        <v>8</v>
      </c>
      <c r="F46" s="70" t="s">
        <v>11</v>
      </c>
    </row>
    <row r="47" spans="2:6">
      <c r="B47" s="71">
        <v>1</v>
      </c>
      <c r="C47" s="72" t="s">
        <v>63</v>
      </c>
      <c r="D47" s="72" t="s">
        <v>53</v>
      </c>
      <c r="E47" s="72">
        <v>227.56</v>
      </c>
      <c r="F47" s="72" t="s">
        <v>17</v>
      </c>
    </row>
    <row r="48" spans="2:6">
      <c r="B48" s="73">
        <v>2</v>
      </c>
      <c r="C48" s="74" t="s">
        <v>63</v>
      </c>
      <c r="D48" s="74" t="s">
        <v>54</v>
      </c>
      <c r="E48" s="74">
        <v>113.78</v>
      </c>
      <c r="F48" s="74" t="s">
        <v>17</v>
      </c>
    </row>
    <row r="49" spans="2:6">
      <c r="B49" s="71">
        <v>3</v>
      </c>
      <c r="C49" s="72" t="s">
        <v>63</v>
      </c>
      <c r="D49" s="72" t="s">
        <v>55</v>
      </c>
      <c r="E49" s="72">
        <v>113.78</v>
      </c>
      <c r="F49" s="72" t="s">
        <v>17</v>
      </c>
    </row>
    <row r="50" spans="2:6">
      <c r="B50" s="73">
        <v>4</v>
      </c>
      <c r="C50" s="74" t="s">
        <v>63</v>
      </c>
      <c r="D50" s="74" t="s">
        <v>56</v>
      </c>
      <c r="E50" s="74">
        <v>15.5</v>
      </c>
      <c r="F50" s="74" t="s">
        <v>17</v>
      </c>
    </row>
    <row r="51" spans="2:6">
      <c r="B51" s="71">
        <v>5</v>
      </c>
      <c r="C51" s="72" t="s">
        <v>63</v>
      </c>
      <c r="D51" s="72" t="s">
        <v>57</v>
      </c>
      <c r="E51" s="72">
        <v>217.09</v>
      </c>
      <c r="F51" s="72" t="s">
        <v>17</v>
      </c>
    </row>
    <row r="52" spans="2:6">
      <c r="B52" s="73">
        <v>6</v>
      </c>
      <c r="C52" s="74" t="s">
        <v>63</v>
      </c>
      <c r="D52" s="74" t="s">
        <v>58</v>
      </c>
      <c r="E52" s="74">
        <v>217.09</v>
      </c>
      <c r="F52" s="74" t="s">
        <v>17</v>
      </c>
    </row>
    <row r="53" spans="2:6">
      <c r="B53" s="71">
        <v>7</v>
      </c>
      <c r="C53" s="72" t="s">
        <v>63</v>
      </c>
      <c r="D53" s="72" t="s">
        <v>59</v>
      </c>
      <c r="E53" s="72">
        <v>546.89</v>
      </c>
      <c r="F53" s="72" t="s">
        <v>17</v>
      </c>
    </row>
    <row r="54" spans="2:6">
      <c r="B54" s="73">
        <v>8</v>
      </c>
      <c r="C54" s="74" t="s">
        <v>63</v>
      </c>
      <c r="D54" s="74" t="s">
        <v>60</v>
      </c>
      <c r="E54" s="74">
        <v>546.89</v>
      </c>
      <c r="F54" s="74" t="s">
        <v>17</v>
      </c>
    </row>
    <row r="55" spans="2:6">
      <c r="B55" s="71">
        <v>9</v>
      </c>
      <c r="C55" s="72" t="s">
        <v>63</v>
      </c>
      <c r="D55" s="72" t="s">
        <v>61</v>
      </c>
      <c r="E55" s="72">
        <v>559.28</v>
      </c>
      <c r="F55" s="72" t="s">
        <v>17</v>
      </c>
    </row>
    <row r="56" spans="2:6">
      <c r="B56" s="73">
        <v>10</v>
      </c>
      <c r="C56" s="74" t="s">
        <v>63</v>
      </c>
      <c r="D56" s="74" t="s">
        <v>62</v>
      </c>
      <c r="E56" s="74">
        <v>559.28</v>
      </c>
      <c r="F56" s="74" t="s">
        <v>17</v>
      </c>
    </row>
    <row r="57" spans="2:6" ht="19.5">
      <c r="B57" s="76" t="s">
        <v>88</v>
      </c>
      <c r="C57" s="76" t="s">
        <v>65</v>
      </c>
      <c r="D57" s="76" t="s">
        <v>65</v>
      </c>
      <c r="E57" s="76" t="s">
        <v>65</v>
      </c>
      <c r="F57" s="76" t="s">
        <v>65</v>
      </c>
    </row>
    <row r="58" spans="2:6" ht="19.5">
      <c r="B58" s="77" t="s">
        <v>81</v>
      </c>
      <c r="C58" s="77" t="s">
        <v>65</v>
      </c>
      <c r="D58" s="77" t="s">
        <v>65</v>
      </c>
      <c r="E58" s="77" t="s">
        <v>65</v>
      </c>
      <c r="F58" s="77" t="s">
        <v>65</v>
      </c>
    </row>
    <row r="59" spans="2:6" ht="25.5">
      <c r="B59" s="70" t="s">
        <v>68</v>
      </c>
      <c r="C59" s="70" t="s">
        <v>7</v>
      </c>
      <c r="D59" s="70" t="s">
        <v>69</v>
      </c>
      <c r="E59" s="70" t="s">
        <v>8</v>
      </c>
      <c r="F59" s="70" t="s">
        <v>11</v>
      </c>
    </row>
    <row r="60" spans="2:6">
      <c r="B60" s="71">
        <v>1</v>
      </c>
      <c r="C60" s="72" t="s">
        <v>43</v>
      </c>
      <c r="D60" s="72" t="s">
        <v>82</v>
      </c>
      <c r="E60" s="72">
        <v>385.44</v>
      </c>
      <c r="F60" s="72" t="s">
        <v>17</v>
      </c>
    </row>
    <row r="61" spans="2:6">
      <c r="B61" s="73">
        <v>2</v>
      </c>
      <c r="C61" s="74" t="s">
        <v>43</v>
      </c>
      <c r="D61" s="74" t="s">
        <v>83</v>
      </c>
      <c r="E61" s="74">
        <v>13.06</v>
      </c>
      <c r="F61" s="74" t="s">
        <v>17</v>
      </c>
    </row>
    <row r="62" spans="2:6">
      <c r="B62" s="71">
        <v>3</v>
      </c>
      <c r="C62" s="72" t="s">
        <v>103</v>
      </c>
      <c r="D62" s="72" t="s">
        <v>104</v>
      </c>
      <c r="E62" s="72">
        <v>3.6</v>
      </c>
      <c r="F62" s="72" t="s">
        <v>17</v>
      </c>
    </row>
    <row r="63" spans="2:6" ht="19.5">
      <c r="B63" s="77" t="s">
        <v>89</v>
      </c>
      <c r="C63" s="77" t="s">
        <v>65</v>
      </c>
      <c r="D63" s="77" t="s">
        <v>65</v>
      </c>
      <c r="E63" s="77" t="s">
        <v>65</v>
      </c>
      <c r="F63" s="77" t="s">
        <v>65</v>
      </c>
    </row>
    <row r="64" spans="2:6" ht="25.5">
      <c r="B64" s="70" t="s">
        <v>68</v>
      </c>
      <c r="C64" s="70" t="s">
        <v>7</v>
      </c>
      <c r="D64" s="70" t="s">
        <v>69</v>
      </c>
      <c r="E64" s="70" t="s">
        <v>8</v>
      </c>
      <c r="F64" s="70" t="s">
        <v>11</v>
      </c>
    </row>
    <row r="65" spans="2:6">
      <c r="B65" s="71">
        <v>1</v>
      </c>
      <c r="C65" s="72" t="s">
        <v>90</v>
      </c>
      <c r="D65" s="72" t="s">
        <v>91</v>
      </c>
      <c r="E65" s="72">
        <v>375.82</v>
      </c>
      <c r="F65" s="72" t="s">
        <v>17</v>
      </c>
    </row>
    <row r="66" spans="2:6">
      <c r="B66" s="73">
        <v>2</v>
      </c>
      <c r="C66" s="74" t="s">
        <v>92</v>
      </c>
      <c r="D66" s="74" t="s">
        <v>93</v>
      </c>
      <c r="E66" s="74">
        <v>174.87</v>
      </c>
      <c r="F66" s="74" t="s">
        <v>17</v>
      </c>
    </row>
    <row r="67" spans="2:6" ht="19.5">
      <c r="B67" s="75" t="s">
        <v>65</v>
      </c>
      <c r="C67" s="75" t="s">
        <v>65</v>
      </c>
      <c r="D67" s="75" t="s">
        <v>65</v>
      </c>
      <c r="E67" s="75" t="s">
        <v>65</v>
      </c>
      <c r="F67" s="75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CCB9-0127-4D70-B9EE-863603D236F0}">
  <dimension ref="B2:F60"/>
  <sheetViews>
    <sheetView topLeftCell="A46" workbookViewId="0">
      <selection activeCell="C61" sqref="C61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76" t="s">
        <v>107</v>
      </c>
      <c r="C2" s="76" t="s">
        <v>65</v>
      </c>
      <c r="D2" s="76" t="s">
        <v>65</v>
      </c>
      <c r="E2" s="76" t="s">
        <v>65</v>
      </c>
      <c r="F2" s="76" t="s">
        <v>65</v>
      </c>
    </row>
    <row r="3" spans="2:6" ht="19.5">
      <c r="B3" s="76" t="s">
        <v>66</v>
      </c>
      <c r="C3" s="76" t="s">
        <v>65</v>
      </c>
      <c r="D3" s="76" t="s">
        <v>65</v>
      </c>
      <c r="E3" s="76" t="s">
        <v>65</v>
      </c>
      <c r="F3" s="76" t="s">
        <v>65</v>
      </c>
    </row>
    <row r="4" spans="2:6" ht="19.5">
      <c r="B4" s="77" t="s">
        <v>67</v>
      </c>
      <c r="C4" s="77" t="s">
        <v>65</v>
      </c>
      <c r="D4" s="77" t="s">
        <v>65</v>
      </c>
      <c r="E4" s="77" t="s">
        <v>65</v>
      </c>
      <c r="F4" s="77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7</v>
      </c>
      <c r="F10" s="72" t="s">
        <v>16</v>
      </c>
    </row>
    <row r="11" spans="2:6" ht="19.5">
      <c r="B11" s="77" t="s">
        <v>74</v>
      </c>
      <c r="C11" s="77" t="s">
        <v>65</v>
      </c>
      <c r="D11" s="77" t="s">
        <v>65</v>
      </c>
      <c r="E11" s="77" t="s">
        <v>65</v>
      </c>
      <c r="F11" s="77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130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19</v>
      </c>
      <c r="F14" s="74" t="s">
        <v>16</v>
      </c>
    </row>
    <row r="15" spans="2:6" ht="19.5">
      <c r="B15" s="77" t="s">
        <v>77</v>
      </c>
      <c r="C15" s="77" t="s">
        <v>65</v>
      </c>
      <c r="D15" s="77" t="s">
        <v>65</v>
      </c>
      <c r="E15" s="77" t="s">
        <v>65</v>
      </c>
      <c r="F15" s="77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47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3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7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40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3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47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3</v>
      </c>
      <c r="F23" s="72" t="s">
        <v>16</v>
      </c>
    </row>
    <row r="24" spans="2:6" ht="19.5">
      <c r="B24" s="77" t="s">
        <v>79</v>
      </c>
      <c r="C24" s="77" t="s">
        <v>65</v>
      </c>
      <c r="D24" s="77" t="s">
        <v>65</v>
      </c>
      <c r="E24" s="77" t="s">
        <v>65</v>
      </c>
      <c r="F24" s="77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77" t="s">
        <v>81</v>
      </c>
      <c r="C27" s="77" t="s">
        <v>65</v>
      </c>
      <c r="D27" s="77" t="s">
        <v>65</v>
      </c>
      <c r="E27" s="77" t="s">
        <v>65</v>
      </c>
      <c r="F27" s="77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451.28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152.91</v>
      </c>
      <c r="F30" s="74" t="s">
        <v>17</v>
      </c>
    </row>
    <row r="31" spans="2:6" ht="19.5">
      <c r="B31" s="77" t="s">
        <v>84</v>
      </c>
      <c r="C31" s="77" t="s">
        <v>65</v>
      </c>
      <c r="D31" s="77" t="s">
        <v>65</v>
      </c>
      <c r="E31" s="77" t="s">
        <v>65</v>
      </c>
      <c r="F31" s="77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98</v>
      </c>
      <c r="D33" s="72" t="s">
        <v>99</v>
      </c>
      <c r="E33" s="72">
        <v>1</v>
      </c>
      <c r="F33" s="72" t="s">
        <v>16</v>
      </c>
    </row>
    <row r="34" spans="2:6">
      <c r="B34" s="73">
        <v>2</v>
      </c>
      <c r="C34" s="74" t="s">
        <v>85</v>
      </c>
      <c r="D34" s="74" t="s">
        <v>47</v>
      </c>
      <c r="E34" s="74">
        <v>3</v>
      </c>
      <c r="F34" s="74" t="s">
        <v>16</v>
      </c>
    </row>
    <row r="35" spans="2:6">
      <c r="B35" s="71">
        <v>3</v>
      </c>
      <c r="C35" s="72" t="s">
        <v>85</v>
      </c>
      <c r="D35" s="72" t="s">
        <v>48</v>
      </c>
      <c r="E35" s="72">
        <v>67</v>
      </c>
      <c r="F35" s="72" t="s">
        <v>16</v>
      </c>
    </row>
    <row r="36" spans="2:6">
      <c r="B36" s="73">
        <v>4</v>
      </c>
      <c r="C36" s="74" t="s">
        <v>85</v>
      </c>
      <c r="D36" s="74" t="s">
        <v>50</v>
      </c>
      <c r="E36" s="74">
        <v>4</v>
      </c>
      <c r="F36" s="74" t="s">
        <v>16</v>
      </c>
    </row>
    <row r="37" spans="2:6">
      <c r="B37" s="71">
        <v>5</v>
      </c>
      <c r="C37" s="72" t="s">
        <v>85</v>
      </c>
      <c r="D37" s="72" t="s">
        <v>102</v>
      </c>
      <c r="E37" s="72">
        <v>1</v>
      </c>
      <c r="F37" s="72" t="s">
        <v>16</v>
      </c>
    </row>
    <row r="38" spans="2:6">
      <c r="B38" s="73">
        <v>6</v>
      </c>
      <c r="C38" s="74" t="s">
        <v>85</v>
      </c>
      <c r="D38" s="74" t="s">
        <v>51</v>
      </c>
      <c r="E38" s="74">
        <v>18</v>
      </c>
      <c r="F38" s="74" t="s">
        <v>16</v>
      </c>
    </row>
    <row r="39" spans="2:6">
      <c r="B39" s="71">
        <v>7</v>
      </c>
      <c r="C39" s="72" t="s">
        <v>86</v>
      </c>
      <c r="D39" s="72" t="s">
        <v>52</v>
      </c>
      <c r="E39" s="72">
        <v>37</v>
      </c>
      <c r="F39" s="72" t="s">
        <v>16</v>
      </c>
    </row>
    <row r="40" spans="2:6" ht="19.5">
      <c r="B40" s="77" t="s">
        <v>87</v>
      </c>
      <c r="C40" s="77" t="s">
        <v>65</v>
      </c>
      <c r="D40" s="77" t="s">
        <v>65</v>
      </c>
      <c r="E40" s="77" t="s">
        <v>65</v>
      </c>
      <c r="F40" s="77" t="s">
        <v>65</v>
      </c>
    </row>
    <row r="41" spans="2:6" ht="25.5">
      <c r="B41" s="70" t="s">
        <v>68</v>
      </c>
      <c r="C41" s="70" t="s">
        <v>7</v>
      </c>
      <c r="D41" s="70" t="s">
        <v>69</v>
      </c>
      <c r="E41" s="70" t="s">
        <v>8</v>
      </c>
      <c r="F41" s="70" t="s">
        <v>11</v>
      </c>
    </row>
    <row r="42" spans="2:6">
      <c r="B42" s="71">
        <v>1</v>
      </c>
      <c r="C42" s="72" t="s">
        <v>63</v>
      </c>
      <c r="D42" s="72" t="s">
        <v>53</v>
      </c>
      <c r="E42" s="72">
        <v>1102.96</v>
      </c>
      <c r="F42" s="72" t="s">
        <v>17</v>
      </c>
    </row>
    <row r="43" spans="2:6">
      <c r="B43" s="73">
        <v>2</v>
      </c>
      <c r="C43" s="74" t="s">
        <v>63</v>
      </c>
      <c r="D43" s="74" t="s">
        <v>54</v>
      </c>
      <c r="E43" s="74">
        <v>551.48</v>
      </c>
      <c r="F43" s="74" t="s">
        <v>17</v>
      </c>
    </row>
    <row r="44" spans="2:6">
      <c r="B44" s="71">
        <v>3</v>
      </c>
      <c r="C44" s="72" t="s">
        <v>63</v>
      </c>
      <c r="D44" s="72" t="s">
        <v>55</v>
      </c>
      <c r="E44" s="72">
        <v>551.48</v>
      </c>
      <c r="F44" s="72" t="s">
        <v>17</v>
      </c>
    </row>
    <row r="45" spans="2:6">
      <c r="B45" s="73">
        <v>4</v>
      </c>
      <c r="C45" s="74" t="s">
        <v>63</v>
      </c>
      <c r="D45" s="74" t="s">
        <v>56</v>
      </c>
      <c r="E45" s="74">
        <v>24.42</v>
      </c>
      <c r="F45" s="74" t="s">
        <v>17</v>
      </c>
    </row>
    <row r="46" spans="2:6">
      <c r="B46" s="71">
        <v>5</v>
      </c>
      <c r="C46" s="72" t="s">
        <v>63</v>
      </c>
      <c r="D46" s="72" t="s">
        <v>57</v>
      </c>
      <c r="E46" s="72">
        <v>166.6</v>
      </c>
      <c r="F46" s="72" t="s">
        <v>17</v>
      </c>
    </row>
    <row r="47" spans="2:6">
      <c r="B47" s="73">
        <v>6</v>
      </c>
      <c r="C47" s="74" t="s">
        <v>63</v>
      </c>
      <c r="D47" s="74" t="s">
        <v>58</v>
      </c>
      <c r="E47" s="74">
        <v>166.6</v>
      </c>
      <c r="F47" s="74" t="s">
        <v>17</v>
      </c>
    </row>
    <row r="48" spans="2:6">
      <c r="B48" s="71">
        <v>7</v>
      </c>
      <c r="C48" s="72" t="s">
        <v>63</v>
      </c>
      <c r="D48" s="72" t="s">
        <v>59</v>
      </c>
      <c r="E48" s="72">
        <v>789.13</v>
      </c>
      <c r="F48" s="72" t="s">
        <v>17</v>
      </c>
    </row>
    <row r="49" spans="2:6">
      <c r="B49" s="73">
        <v>8</v>
      </c>
      <c r="C49" s="74" t="s">
        <v>63</v>
      </c>
      <c r="D49" s="74" t="s">
        <v>60</v>
      </c>
      <c r="E49" s="74">
        <v>789.13</v>
      </c>
      <c r="F49" s="74" t="s">
        <v>17</v>
      </c>
    </row>
    <row r="50" spans="2:6">
      <c r="B50" s="71">
        <v>9</v>
      </c>
      <c r="C50" s="72" t="s">
        <v>63</v>
      </c>
      <c r="D50" s="72" t="s">
        <v>61</v>
      </c>
      <c r="E50" s="72">
        <v>365.14</v>
      </c>
      <c r="F50" s="72" t="s">
        <v>17</v>
      </c>
    </row>
    <row r="51" spans="2:6">
      <c r="B51" s="73">
        <v>10</v>
      </c>
      <c r="C51" s="74" t="s">
        <v>63</v>
      </c>
      <c r="D51" s="74" t="s">
        <v>62</v>
      </c>
      <c r="E51" s="74">
        <v>365.14</v>
      </c>
      <c r="F51" s="74" t="s">
        <v>17</v>
      </c>
    </row>
    <row r="52" spans="2:6" ht="19.5">
      <c r="B52" s="76" t="s">
        <v>88</v>
      </c>
      <c r="C52" s="76" t="s">
        <v>65</v>
      </c>
      <c r="D52" s="76" t="s">
        <v>65</v>
      </c>
      <c r="E52" s="76" t="s">
        <v>65</v>
      </c>
      <c r="F52" s="76" t="s">
        <v>65</v>
      </c>
    </row>
    <row r="53" spans="2:6" ht="19.5">
      <c r="B53" s="77" t="s">
        <v>81</v>
      </c>
      <c r="C53" s="77" t="s">
        <v>65</v>
      </c>
      <c r="D53" s="77" t="s">
        <v>65</v>
      </c>
      <c r="E53" s="77" t="s">
        <v>65</v>
      </c>
      <c r="F53" s="77" t="s">
        <v>65</v>
      </c>
    </row>
    <row r="54" spans="2:6" ht="25.5">
      <c r="B54" s="70" t="s">
        <v>68</v>
      </c>
      <c r="C54" s="70" t="s">
        <v>7</v>
      </c>
      <c r="D54" s="70" t="s">
        <v>69</v>
      </c>
      <c r="E54" s="70" t="s">
        <v>8</v>
      </c>
      <c r="F54" s="70" t="s">
        <v>11</v>
      </c>
    </row>
    <row r="55" spans="2:6">
      <c r="B55" s="71">
        <v>1</v>
      </c>
      <c r="C55" s="72" t="s">
        <v>43</v>
      </c>
      <c r="D55" s="72" t="s">
        <v>82</v>
      </c>
      <c r="E55" s="72">
        <v>280.16000000000003</v>
      </c>
      <c r="F55" s="72" t="s">
        <v>17</v>
      </c>
    </row>
    <row r="56" spans="2:6" ht="19.5">
      <c r="B56" s="77" t="s">
        <v>89</v>
      </c>
      <c r="C56" s="77" t="s">
        <v>65</v>
      </c>
      <c r="D56" s="77" t="s">
        <v>65</v>
      </c>
      <c r="E56" s="77" t="s">
        <v>65</v>
      </c>
      <c r="F56" s="77" t="s">
        <v>65</v>
      </c>
    </row>
    <row r="57" spans="2:6" ht="25.5">
      <c r="B57" s="70" t="s">
        <v>68</v>
      </c>
      <c r="C57" s="70" t="s">
        <v>7</v>
      </c>
      <c r="D57" s="70" t="s">
        <v>69</v>
      </c>
      <c r="E57" s="70" t="s">
        <v>8</v>
      </c>
      <c r="F57" s="70" t="s">
        <v>11</v>
      </c>
    </row>
    <row r="58" spans="2:6">
      <c r="B58" s="71">
        <v>1</v>
      </c>
      <c r="C58" s="72" t="s">
        <v>90</v>
      </c>
      <c r="D58" s="72" t="s">
        <v>91</v>
      </c>
      <c r="E58" s="72">
        <v>269.69</v>
      </c>
      <c r="F58" s="72" t="s">
        <v>17</v>
      </c>
    </row>
    <row r="59" spans="2:6">
      <c r="B59" s="73">
        <v>2</v>
      </c>
      <c r="C59" s="74" t="s">
        <v>92</v>
      </c>
      <c r="D59" s="74" t="s">
        <v>93</v>
      </c>
      <c r="E59" s="74">
        <v>211.61</v>
      </c>
      <c r="F59" s="74" t="s">
        <v>17</v>
      </c>
    </row>
    <row r="60" spans="2:6" ht="19.5">
      <c r="B60" s="75" t="s">
        <v>65</v>
      </c>
      <c r="C60" s="75" t="s">
        <v>65</v>
      </c>
      <c r="D60" s="75" t="s">
        <v>65</v>
      </c>
      <c r="E60" s="75" t="s">
        <v>65</v>
      </c>
      <c r="F60" s="75" t="s">
        <v>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0D76-9887-4B8F-8D4E-083268063CB6}">
  <dimension ref="B2:F59"/>
  <sheetViews>
    <sheetView topLeftCell="A25" workbookViewId="0">
      <selection activeCell="I28" sqref="I28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113" t="s">
        <v>109</v>
      </c>
      <c r="C2" s="113" t="s">
        <v>65</v>
      </c>
      <c r="D2" s="113" t="s">
        <v>65</v>
      </c>
      <c r="E2" s="113" t="s">
        <v>65</v>
      </c>
      <c r="F2" s="113" t="s">
        <v>65</v>
      </c>
    </row>
    <row r="3" spans="2:6" ht="19.5">
      <c r="B3" s="113" t="s">
        <v>66</v>
      </c>
      <c r="C3" s="113" t="s">
        <v>65</v>
      </c>
      <c r="D3" s="113" t="s">
        <v>65</v>
      </c>
      <c r="E3" s="113" t="s">
        <v>65</v>
      </c>
      <c r="F3" s="113" t="s">
        <v>65</v>
      </c>
    </row>
    <row r="4" spans="2:6" ht="19.5">
      <c r="B4" s="112" t="s">
        <v>67</v>
      </c>
      <c r="C4" s="112" t="s">
        <v>65</v>
      </c>
      <c r="D4" s="112" t="s">
        <v>65</v>
      </c>
      <c r="E4" s="112" t="s">
        <v>65</v>
      </c>
      <c r="F4" s="112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112" t="s">
        <v>74</v>
      </c>
      <c r="C11" s="112" t="s">
        <v>65</v>
      </c>
      <c r="D11" s="112" t="s">
        <v>65</v>
      </c>
      <c r="E11" s="112" t="s">
        <v>65</v>
      </c>
      <c r="F11" s="112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123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17</v>
      </c>
      <c r="F14" s="74" t="s">
        <v>16</v>
      </c>
    </row>
    <row r="15" spans="2:6" ht="19.5">
      <c r="B15" s="112" t="s">
        <v>77</v>
      </c>
      <c r="C15" s="112" t="s">
        <v>65</v>
      </c>
      <c r="D15" s="112" t="s">
        <v>65</v>
      </c>
      <c r="E15" s="112" t="s">
        <v>65</v>
      </c>
      <c r="F15" s="112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46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3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7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39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3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46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3</v>
      </c>
      <c r="F23" s="72" t="s">
        <v>16</v>
      </c>
    </row>
    <row r="24" spans="2:6" ht="19.5">
      <c r="B24" s="112" t="s">
        <v>79</v>
      </c>
      <c r="C24" s="112" t="s">
        <v>65</v>
      </c>
      <c r="D24" s="112" t="s">
        <v>65</v>
      </c>
      <c r="E24" s="112" t="s">
        <v>65</v>
      </c>
      <c r="F24" s="112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112" t="s">
        <v>81</v>
      </c>
      <c r="C27" s="112" t="s">
        <v>65</v>
      </c>
      <c r="D27" s="112" t="s">
        <v>65</v>
      </c>
      <c r="E27" s="112" t="s">
        <v>65</v>
      </c>
      <c r="F27" s="112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207.59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220.26</v>
      </c>
      <c r="F30" s="74" t="s">
        <v>17</v>
      </c>
    </row>
    <row r="31" spans="2:6" ht="19.5">
      <c r="B31" s="112" t="s">
        <v>84</v>
      </c>
      <c r="C31" s="112" t="s">
        <v>65</v>
      </c>
      <c r="D31" s="112" t="s">
        <v>65</v>
      </c>
      <c r="E31" s="112" t="s">
        <v>65</v>
      </c>
      <c r="F31" s="112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3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67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4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18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36</v>
      </c>
      <c r="F37" s="72" t="s">
        <v>16</v>
      </c>
    </row>
    <row r="38" spans="2:6" ht="19.5">
      <c r="B38" s="112" t="s">
        <v>87</v>
      </c>
      <c r="C38" s="112" t="s">
        <v>65</v>
      </c>
      <c r="D38" s="112" t="s">
        <v>65</v>
      </c>
      <c r="E38" s="112" t="s">
        <v>65</v>
      </c>
      <c r="F38" s="112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1088.32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544.16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544.16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21.84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156.35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156.35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446.43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446.43</v>
      </c>
      <c r="F47" s="74" t="s">
        <v>17</v>
      </c>
    </row>
    <row r="48" spans="2:6">
      <c r="B48" s="71">
        <v>9</v>
      </c>
      <c r="C48" s="72" t="s">
        <v>63</v>
      </c>
      <c r="D48" s="72" t="s">
        <v>61</v>
      </c>
      <c r="E48" s="72">
        <v>322.91000000000003</v>
      </c>
      <c r="F48" s="72" t="s">
        <v>17</v>
      </c>
    </row>
    <row r="49" spans="2:6">
      <c r="B49" s="73">
        <v>10</v>
      </c>
      <c r="C49" s="74" t="s">
        <v>63</v>
      </c>
      <c r="D49" s="74" t="s">
        <v>62</v>
      </c>
      <c r="E49" s="74">
        <v>322.91000000000003</v>
      </c>
      <c r="F49" s="74" t="s">
        <v>17</v>
      </c>
    </row>
    <row r="50" spans="2:6" ht="19.5">
      <c r="B50" s="113" t="s">
        <v>88</v>
      </c>
      <c r="C50" s="113" t="s">
        <v>65</v>
      </c>
      <c r="D50" s="113" t="s">
        <v>65</v>
      </c>
      <c r="E50" s="113" t="s">
        <v>65</v>
      </c>
      <c r="F50" s="113" t="s">
        <v>65</v>
      </c>
    </row>
    <row r="51" spans="2:6" ht="19.5">
      <c r="B51" s="112" t="s">
        <v>81</v>
      </c>
      <c r="C51" s="112" t="s">
        <v>65</v>
      </c>
      <c r="D51" s="112" t="s">
        <v>65</v>
      </c>
      <c r="E51" s="112" t="s">
        <v>65</v>
      </c>
      <c r="F51" s="112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250.07</v>
      </c>
      <c r="F53" s="72" t="s">
        <v>17</v>
      </c>
    </row>
    <row r="54" spans="2:6">
      <c r="B54" s="73">
        <v>2</v>
      </c>
      <c r="C54" s="74" t="s">
        <v>43</v>
      </c>
      <c r="D54" s="74" t="s">
        <v>83</v>
      </c>
      <c r="E54" s="74">
        <v>1.1000000000000001</v>
      </c>
      <c r="F54" s="74" t="s">
        <v>17</v>
      </c>
    </row>
    <row r="55" spans="2:6" ht="19.5">
      <c r="B55" s="112" t="s">
        <v>89</v>
      </c>
      <c r="C55" s="112" t="s">
        <v>65</v>
      </c>
      <c r="D55" s="112" t="s">
        <v>65</v>
      </c>
      <c r="E55" s="112" t="s">
        <v>65</v>
      </c>
      <c r="F55" s="112" t="s">
        <v>65</v>
      </c>
    </row>
    <row r="56" spans="2:6" ht="25.5">
      <c r="B56" s="70" t="s">
        <v>68</v>
      </c>
      <c r="C56" s="70" t="s">
        <v>7</v>
      </c>
      <c r="D56" s="70" t="s">
        <v>69</v>
      </c>
      <c r="E56" s="70" t="s">
        <v>8</v>
      </c>
      <c r="F56" s="70" t="s">
        <v>11</v>
      </c>
    </row>
    <row r="57" spans="2:6">
      <c r="B57" s="71">
        <v>1</v>
      </c>
      <c r="C57" s="72" t="s">
        <v>90</v>
      </c>
      <c r="D57" s="72" t="s">
        <v>91</v>
      </c>
      <c r="E57" s="72">
        <v>241.4</v>
      </c>
      <c r="F57" s="72" t="s">
        <v>17</v>
      </c>
    </row>
    <row r="58" spans="2:6">
      <c r="B58" s="73">
        <v>2</v>
      </c>
      <c r="C58" s="74" t="s">
        <v>92</v>
      </c>
      <c r="D58" s="74" t="s">
        <v>93</v>
      </c>
      <c r="E58" s="74">
        <v>206.65</v>
      </c>
      <c r="F58" s="74" t="s">
        <v>17</v>
      </c>
    </row>
    <row r="59" spans="2:6" ht="19.5">
      <c r="B59" s="75" t="s">
        <v>65</v>
      </c>
      <c r="C59" s="75" t="s">
        <v>65</v>
      </c>
      <c r="D59" s="75" t="s">
        <v>65</v>
      </c>
      <c r="E59" s="75" t="s">
        <v>65</v>
      </c>
      <c r="F59" s="75" t="s">
        <v>65</v>
      </c>
    </row>
  </sheetData>
  <mergeCells count="12">
    <mergeCell ref="B55:F55"/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825B-13CE-458E-B35A-1E1FCEFD9CBE}">
  <dimension ref="B2:F59"/>
  <sheetViews>
    <sheetView workbookViewId="0">
      <selection activeCell="I4" sqref="I4"/>
    </sheetView>
  </sheetViews>
  <sheetFormatPr defaultColWidth="9.140625" defaultRowHeight="15"/>
  <cols>
    <col min="1" max="1" width="9.140625" style="81"/>
    <col min="2" max="2" width="5" style="81" customWidth="1"/>
    <col min="3" max="3" width="43.85546875" style="81" customWidth="1"/>
    <col min="4" max="4" width="50.85546875" style="81" customWidth="1"/>
    <col min="5" max="5" width="9.85546875" style="81" customWidth="1"/>
    <col min="6" max="6" width="7.140625" style="81" customWidth="1"/>
    <col min="7" max="16384" width="9.140625" style="81"/>
  </cols>
  <sheetData>
    <row r="2" spans="2:6" ht="19.5">
      <c r="B2" s="76" t="s">
        <v>111</v>
      </c>
      <c r="C2" s="76" t="s">
        <v>65</v>
      </c>
      <c r="D2" s="76" t="s">
        <v>65</v>
      </c>
      <c r="E2" s="76" t="s">
        <v>65</v>
      </c>
      <c r="F2" s="76" t="s">
        <v>65</v>
      </c>
    </row>
    <row r="3" spans="2:6" ht="19.5">
      <c r="B3" s="76" t="s">
        <v>66</v>
      </c>
      <c r="C3" s="76" t="s">
        <v>65</v>
      </c>
      <c r="D3" s="76" t="s">
        <v>65</v>
      </c>
      <c r="E3" s="76" t="s">
        <v>65</v>
      </c>
      <c r="F3" s="76" t="s">
        <v>65</v>
      </c>
    </row>
    <row r="4" spans="2:6" ht="19.5">
      <c r="B4" s="77" t="s">
        <v>67</v>
      </c>
      <c r="C4" s="77" t="s">
        <v>65</v>
      </c>
      <c r="D4" s="77" t="s">
        <v>65</v>
      </c>
      <c r="E4" s="77" t="s">
        <v>65</v>
      </c>
      <c r="F4" s="77" t="s">
        <v>65</v>
      </c>
    </row>
    <row r="5" spans="2:6" ht="25.5">
      <c r="B5" s="70" t="s">
        <v>68</v>
      </c>
      <c r="C5" s="70" t="s">
        <v>7</v>
      </c>
      <c r="D5" s="70" t="s">
        <v>69</v>
      </c>
      <c r="E5" s="70" t="s">
        <v>8</v>
      </c>
      <c r="F5" s="70" t="s">
        <v>11</v>
      </c>
    </row>
    <row r="6" spans="2:6">
      <c r="B6" s="71">
        <v>1</v>
      </c>
      <c r="C6" s="72" t="s">
        <v>70</v>
      </c>
      <c r="D6" s="72" t="s">
        <v>29</v>
      </c>
      <c r="E6" s="72">
        <v>7</v>
      </c>
      <c r="F6" s="72" t="s">
        <v>16</v>
      </c>
    </row>
    <row r="7" spans="2:6">
      <c r="B7" s="73">
        <v>2</v>
      </c>
      <c r="C7" s="74" t="s">
        <v>71</v>
      </c>
      <c r="D7" s="74" t="s">
        <v>30</v>
      </c>
      <c r="E7" s="74">
        <v>7</v>
      </c>
      <c r="F7" s="74" t="s">
        <v>16</v>
      </c>
    </row>
    <row r="8" spans="2:6">
      <c r="B8" s="71">
        <v>3</v>
      </c>
      <c r="C8" s="72" t="s">
        <v>72</v>
      </c>
      <c r="D8" s="72" t="s">
        <v>31</v>
      </c>
      <c r="E8" s="72">
        <v>1</v>
      </c>
      <c r="F8" s="72" t="s">
        <v>16</v>
      </c>
    </row>
    <row r="9" spans="2:6">
      <c r="B9" s="73">
        <v>4</v>
      </c>
      <c r="C9" s="74" t="s">
        <v>72</v>
      </c>
      <c r="D9" s="74" t="s">
        <v>108</v>
      </c>
      <c r="E9" s="74">
        <v>1</v>
      </c>
      <c r="F9" s="74" t="s">
        <v>16</v>
      </c>
    </row>
    <row r="10" spans="2:6">
      <c r="B10" s="71">
        <v>5</v>
      </c>
      <c r="C10" s="72" t="s">
        <v>73</v>
      </c>
      <c r="D10" s="72" t="s">
        <v>32</v>
      </c>
      <c r="E10" s="72">
        <v>3</v>
      </c>
      <c r="F10" s="72" t="s">
        <v>16</v>
      </c>
    </row>
    <row r="11" spans="2:6" ht="19.5">
      <c r="B11" s="77" t="s">
        <v>74</v>
      </c>
      <c r="C11" s="77" t="s">
        <v>65</v>
      </c>
      <c r="D11" s="77" t="s">
        <v>65</v>
      </c>
      <c r="E11" s="77" t="s">
        <v>65</v>
      </c>
      <c r="F11" s="77" t="s">
        <v>65</v>
      </c>
    </row>
    <row r="12" spans="2:6" ht="25.5">
      <c r="B12" s="70" t="s">
        <v>68</v>
      </c>
      <c r="C12" s="70" t="s">
        <v>7</v>
      </c>
      <c r="D12" s="70" t="s">
        <v>69</v>
      </c>
      <c r="E12" s="70" t="s">
        <v>8</v>
      </c>
      <c r="F12" s="70" t="s">
        <v>11</v>
      </c>
    </row>
    <row r="13" spans="2:6">
      <c r="B13" s="71">
        <v>1</v>
      </c>
      <c r="C13" s="72" t="s">
        <v>75</v>
      </c>
      <c r="D13" s="72" t="s">
        <v>33</v>
      </c>
      <c r="E13" s="72">
        <v>123</v>
      </c>
      <c r="F13" s="72" t="s">
        <v>16</v>
      </c>
    </row>
    <row r="14" spans="2:6">
      <c r="B14" s="73">
        <v>2</v>
      </c>
      <c r="C14" s="74" t="s">
        <v>76</v>
      </c>
      <c r="D14" s="74" t="s">
        <v>34</v>
      </c>
      <c r="E14" s="74">
        <v>17</v>
      </c>
      <c r="F14" s="74" t="s">
        <v>16</v>
      </c>
    </row>
    <row r="15" spans="2:6" ht="19.5">
      <c r="B15" s="77" t="s">
        <v>77</v>
      </c>
      <c r="C15" s="77" t="s">
        <v>65</v>
      </c>
      <c r="D15" s="77" t="s">
        <v>65</v>
      </c>
      <c r="E15" s="77" t="s">
        <v>65</v>
      </c>
      <c r="F15" s="77" t="s">
        <v>65</v>
      </c>
    </row>
    <row r="16" spans="2:6" ht="25.5">
      <c r="B16" s="70" t="s">
        <v>68</v>
      </c>
      <c r="C16" s="70" t="s">
        <v>7</v>
      </c>
      <c r="D16" s="70" t="s">
        <v>69</v>
      </c>
      <c r="E16" s="70" t="s">
        <v>8</v>
      </c>
      <c r="F16" s="70" t="s">
        <v>11</v>
      </c>
    </row>
    <row r="17" spans="2:6">
      <c r="B17" s="71">
        <v>1</v>
      </c>
      <c r="C17" s="72" t="s">
        <v>75</v>
      </c>
      <c r="D17" s="72" t="s">
        <v>35</v>
      </c>
      <c r="E17" s="72">
        <v>46</v>
      </c>
      <c r="F17" s="72" t="s">
        <v>16</v>
      </c>
    </row>
    <row r="18" spans="2:6">
      <c r="B18" s="73">
        <v>2</v>
      </c>
      <c r="C18" s="74" t="s">
        <v>75</v>
      </c>
      <c r="D18" s="74" t="s">
        <v>36</v>
      </c>
      <c r="E18" s="74">
        <v>3</v>
      </c>
      <c r="F18" s="74" t="s">
        <v>16</v>
      </c>
    </row>
    <row r="19" spans="2:6">
      <c r="B19" s="71">
        <v>3</v>
      </c>
      <c r="C19" s="72" t="s">
        <v>76</v>
      </c>
      <c r="D19" s="72" t="s">
        <v>37</v>
      </c>
      <c r="E19" s="72">
        <v>7</v>
      </c>
      <c r="F19" s="72" t="s">
        <v>16</v>
      </c>
    </row>
    <row r="20" spans="2:6" ht="25.5">
      <c r="B20" s="73">
        <v>4</v>
      </c>
      <c r="C20" s="74" t="s">
        <v>76</v>
      </c>
      <c r="D20" s="74" t="s">
        <v>38</v>
      </c>
      <c r="E20" s="74">
        <v>39</v>
      </c>
      <c r="F20" s="74" t="s">
        <v>16</v>
      </c>
    </row>
    <row r="21" spans="2:6">
      <c r="B21" s="71">
        <v>5</v>
      </c>
      <c r="C21" s="72" t="s">
        <v>76</v>
      </c>
      <c r="D21" s="72" t="s">
        <v>39</v>
      </c>
      <c r="E21" s="72">
        <v>3</v>
      </c>
      <c r="F21" s="72" t="s">
        <v>16</v>
      </c>
    </row>
    <row r="22" spans="2:6">
      <c r="B22" s="73">
        <v>6</v>
      </c>
      <c r="C22" s="74" t="s">
        <v>78</v>
      </c>
      <c r="D22" s="74" t="s">
        <v>40</v>
      </c>
      <c r="E22" s="74">
        <v>46</v>
      </c>
      <c r="F22" s="74" t="s">
        <v>16</v>
      </c>
    </row>
    <row r="23" spans="2:6">
      <c r="B23" s="71">
        <v>7</v>
      </c>
      <c r="C23" s="72" t="s">
        <v>78</v>
      </c>
      <c r="D23" s="72" t="s">
        <v>41</v>
      </c>
      <c r="E23" s="72">
        <v>3</v>
      </c>
      <c r="F23" s="72" t="s">
        <v>16</v>
      </c>
    </row>
    <row r="24" spans="2:6" ht="19.5">
      <c r="B24" s="77" t="s">
        <v>79</v>
      </c>
      <c r="C24" s="77" t="s">
        <v>65</v>
      </c>
      <c r="D24" s="77" t="s">
        <v>65</v>
      </c>
      <c r="E24" s="77" t="s">
        <v>65</v>
      </c>
      <c r="F24" s="77" t="s">
        <v>65</v>
      </c>
    </row>
    <row r="25" spans="2:6" ht="25.5">
      <c r="B25" s="70" t="s">
        <v>68</v>
      </c>
      <c r="C25" s="70" t="s">
        <v>7</v>
      </c>
      <c r="D25" s="70" t="s">
        <v>69</v>
      </c>
      <c r="E25" s="70" t="s">
        <v>8</v>
      </c>
      <c r="F25" s="70" t="s">
        <v>11</v>
      </c>
    </row>
    <row r="26" spans="2:6">
      <c r="B26" s="71">
        <v>1</v>
      </c>
      <c r="C26" s="72" t="s">
        <v>80</v>
      </c>
      <c r="D26" s="72" t="s">
        <v>42</v>
      </c>
      <c r="E26" s="72">
        <v>1</v>
      </c>
      <c r="F26" s="72" t="s">
        <v>16</v>
      </c>
    </row>
    <row r="27" spans="2:6" ht="19.5">
      <c r="B27" s="77" t="s">
        <v>81</v>
      </c>
      <c r="C27" s="77" t="s">
        <v>65</v>
      </c>
      <c r="D27" s="77" t="s">
        <v>65</v>
      </c>
      <c r="E27" s="77" t="s">
        <v>65</v>
      </c>
      <c r="F27" s="77" t="s">
        <v>65</v>
      </c>
    </row>
    <row r="28" spans="2:6" ht="25.5">
      <c r="B28" s="70" t="s">
        <v>68</v>
      </c>
      <c r="C28" s="70" t="s">
        <v>7</v>
      </c>
      <c r="D28" s="70" t="s">
        <v>69</v>
      </c>
      <c r="E28" s="70" t="s">
        <v>8</v>
      </c>
      <c r="F28" s="70" t="s">
        <v>11</v>
      </c>
    </row>
    <row r="29" spans="2:6">
      <c r="B29" s="71">
        <v>1</v>
      </c>
      <c r="C29" s="72" t="s">
        <v>43</v>
      </c>
      <c r="D29" s="72" t="s">
        <v>82</v>
      </c>
      <c r="E29" s="72">
        <v>207.86</v>
      </c>
      <c r="F29" s="72" t="s">
        <v>17</v>
      </c>
    </row>
    <row r="30" spans="2:6">
      <c r="B30" s="73">
        <v>2</v>
      </c>
      <c r="C30" s="74" t="s">
        <v>43</v>
      </c>
      <c r="D30" s="74" t="s">
        <v>83</v>
      </c>
      <c r="E30" s="74">
        <v>223.24</v>
      </c>
      <c r="F30" s="74" t="s">
        <v>17</v>
      </c>
    </row>
    <row r="31" spans="2:6" ht="19.5">
      <c r="B31" s="77" t="s">
        <v>84</v>
      </c>
      <c r="C31" s="77" t="s">
        <v>65</v>
      </c>
      <c r="D31" s="77" t="s">
        <v>65</v>
      </c>
      <c r="E31" s="77" t="s">
        <v>65</v>
      </c>
      <c r="F31" s="77" t="s">
        <v>65</v>
      </c>
    </row>
    <row r="32" spans="2:6" ht="25.5">
      <c r="B32" s="70" t="s">
        <v>68</v>
      </c>
      <c r="C32" s="70" t="s">
        <v>7</v>
      </c>
      <c r="D32" s="70" t="s">
        <v>69</v>
      </c>
      <c r="E32" s="70" t="s">
        <v>8</v>
      </c>
      <c r="F32" s="70" t="s">
        <v>11</v>
      </c>
    </row>
    <row r="33" spans="2:6">
      <c r="B33" s="71">
        <v>1</v>
      </c>
      <c r="C33" s="72" t="s">
        <v>85</v>
      </c>
      <c r="D33" s="72" t="s">
        <v>47</v>
      </c>
      <c r="E33" s="72">
        <v>3</v>
      </c>
      <c r="F33" s="72" t="s">
        <v>16</v>
      </c>
    </row>
    <row r="34" spans="2:6">
      <c r="B34" s="73">
        <v>2</v>
      </c>
      <c r="C34" s="74" t="s">
        <v>85</v>
      </c>
      <c r="D34" s="74" t="s">
        <v>48</v>
      </c>
      <c r="E34" s="74">
        <v>67</v>
      </c>
      <c r="F34" s="74" t="s">
        <v>16</v>
      </c>
    </row>
    <row r="35" spans="2:6">
      <c r="B35" s="71">
        <v>3</v>
      </c>
      <c r="C35" s="72" t="s">
        <v>85</v>
      </c>
      <c r="D35" s="72" t="s">
        <v>50</v>
      </c>
      <c r="E35" s="72">
        <v>4</v>
      </c>
      <c r="F35" s="72" t="s">
        <v>16</v>
      </c>
    </row>
    <row r="36" spans="2:6">
      <c r="B36" s="73">
        <v>4</v>
      </c>
      <c r="C36" s="74" t="s">
        <v>85</v>
      </c>
      <c r="D36" s="74" t="s">
        <v>51</v>
      </c>
      <c r="E36" s="74">
        <v>18</v>
      </c>
      <c r="F36" s="74" t="s">
        <v>16</v>
      </c>
    </row>
    <row r="37" spans="2:6">
      <c r="B37" s="71">
        <v>5</v>
      </c>
      <c r="C37" s="72" t="s">
        <v>86</v>
      </c>
      <c r="D37" s="72" t="s">
        <v>52</v>
      </c>
      <c r="E37" s="72">
        <v>36</v>
      </c>
      <c r="F37" s="72" t="s">
        <v>16</v>
      </c>
    </row>
    <row r="38" spans="2:6" ht="19.5">
      <c r="B38" s="77" t="s">
        <v>87</v>
      </c>
      <c r="C38" s="77" t="s">
        <v>65</v>
      </c>
      <c r="D38" s="77" t="s">
        <v>65</v>
      </c>
      <c r="E38" s="77" t="s">
        <v>65</v>
      </c>
      <c r="F38" s="77" t="s">
        <v>65</v>
      </c>
    </row>
    <row r="39" spans="2:6" ht="25.5">
      <c r="B39" s="70" t="s">
        <v>68</v>
      </c>
      <c r="C39" s="70" t="s">
        <v>7</v>
      </c>
      <c r="D39" s="70" t="s">
        <v>69</v>
      </c>
      <c r="E39" s="70" t="s">
        <v>8</v>
      </c>
      <c r="F39" s="70" t="s">
        <v>11</v>
      </c>
    </row>
    <row r="40" spans="2:6">
      <c r="B40" s="71">
        <v>1</v>
      </c>
      <c r="C40" s="72" t="s">
        <v>63</v>
      </c>
      <c r="D40" s="72" t="s">
        <v>53</v>
      </c>
      <c r="E40" s="72">
        <v>1083.1600000000001</v>
      </c>
      <c r="F40" s="72" t="s">
        <v>17</v>
      </c>
    </row>
    <row r="41" spans="2:6">
      <c r="B41" s="73">
        <v>2</v>
      </c>
      <c r="C41" s="74" t="s">
        <v>63</v>
      </c>
      <c r="D41" s="74" t="s">
        <v>54</v>
      </c>
      <c r="E41" s="74">
        <v>541.58000000000004</v>
      </c>
      <c r="F41" s="74" t="s">
        <v>17</v>
      </c>
    </row>
    <row r="42" spans="2:6">
      <c r="B42" s="71">
        <v>3</v>
      </c>
      <c r="C42" s="72" t="s">
        <v>63</v>
      </c>
      <c r="D42" s="72" t="s">
        <v>55</v>
      </c>
      <c r="E42" s="72">
        <v>541.58000000000004</v>
      </c>
      <c r="F42" s="72" t="s">
        <v>17</v>
      </c>
    </row>
    <row r="43" spans="2:6">
      <c r="B43" s="73">
        <v>4</v>
      </c>
      <c r="C43" s="74" t="s">
        <v>63</v>
      </c>
      <c r="D43" s="74" t="s">
        <v>56</v>
      </c>
      <c r="E43" s="74">
        <v>22.04</v>
      </c>
      <c r="F43" s="74" t="s">
        <v>17</v>
      </c>
    </row>
    <row r="44" spans="2:6">
      <c r="B44" s="71">
        <v>5</v>
      </c>
      <c r="C44" s="72" t="s">
        <v>63</v>
      </c>
      <c r="D44" s="72" t="s">
        <v>57</v>
      </c>
      <c r="E44" s="72">
        <v>153.85</v>
      </c>
      <c r="F44" s="72" t="s">
        <v>17</v>
      </c>
    </row>
    <row r="45" spans="2:6">
      <c r="B45" s="73">
        <v>6</v>
      </c>
      <c r="C45" s="74" t="s">
        <v>63</v>
      </c>
      <c r="D45" s="74" t="s">
        <v>58</v>
      </c>
      <c r="E45" s="74">
        <v>153.85</v>
      </c>
      <c r="F45" s="74" t="s">
        <v>17</v>
      </c>
    </row>
    <row r="46" spans="2:6">
      <c r="B46" s="71">
        <v>7</v>
      </c>
      <c r="C46" s="72" t="s">
        <v>63</v>
      </c>
      <c r="D46" s="72" t="s">
        <v>59</v>
      </c>
      <c r="E46" s="72">
        <v>445.37</v>
      </c>
      <c r="F46" s="72" t="s">
        <v>17</v>
      </c>
    </row>
    <row r="47" spans="2:6">
      <c r="B47" s="73">
        <v>8</v>
      </c>
      <c r="C47" s="74" t="s">
        <v>63</v>
      </c>
      <c r="D47" s="74" t="s">
        <v>60</v>
      </c>
      <c r="E47" s="74">
        <v>445.37</v>
      </c>
      <c r="F47" s="74" t="s">
        <v>17</v>
      </c>
    </row>
    <row r="48" spans="2:6">
      <c r="B48" s="71">
        <v>9</v>
      </c>
      <c r="C48" s="72" t="s">
        <v>63</v>
      </c>
      <c r="D48" s="72" t="s">
        <v>61</v>
      </c>
      <c r="E48" s="72">
        <v>323.41000000000003</v>
      </c>
      <c r="F48" s="72" t="s">
        <v>17</v>
      </c>
    </row>
    <row r="49" spans="2:6">
      <c r="B49" s="73">
        <v>10</v>
      </c>
      <c r="C49" s="74" t="s">
        <v>63</v>
      </c>
      <c r="D49" s="74" t="s">
        <v>62</v>
      </c>
      <c r="E49" s="74">
        <v>323.41000000000003</v>
      </c>
      <c r="F49" s="74" t="s">
        <v>17</v>
      </c>
    </row>
    <row r="50" spans="2:6" ht="19.5">
      <c r="B50" s="76" t="s">
        <v>88</v>
      </c>
      <c r="C50" s="76" t="s">
        <v>65</v>
      </c>
      <c r="D50" s="76" t="s">
        <v>65</v>
      </c>
      <c r="E50" s="76" t="s">
        <v>65</v>
      </c>
      <c r="F50" s="76" t="s">
        <v>65</v>
      </c>
    </row>
    <row r="51" spans="2:6" ht="19.5">
      <c r="B51" s="77" t="s">
        <v>81</v>
      </c>
      <c r="C51" s="77" t="s">
        <v>65</v>
      </c>
      <c r="D51" s="77" t="s">
        <v>65</v>
      </c>
      <c r="E51" s="77" t="s">
        <v>65</v>
      </c>
      <c r="F51" s="77" t="s">
        <v>65</v>
      </c>
    </row>
    <row r="52" spans="2:6" ht="25.5">
      <c r="B52" s="70" t="s">
        <v>68</v>
      </c>
      <c r="C52" s="70" t="s">
        <v>7</v>
      </c>
      <c r="D52" s="70" t="s">
        <v>69</v>
      </c>
      <c r="E52" s="70" t="s">
        <v>8</v>
      </c>
      <c r="F52" s="70" t="s">
        <v>11</v>
      </c>
    </row>
    <row r="53" spans="2:6">
      <c r="B53" s="71">
        <v>1</v>
      </c>
      <c r="C53" s="72" t="s">
        <v>43</v>
      </c>
      <c r="D53" s="72" t="s">
        <v>82</v>
      </c>
      <c r="E53" s="72">
        <v>248.81</v>
      </c>
      <c r="F53" s="72" t="s">
        <v>17</v>
      </c>
    </row>
    <row r="54" spans="2:6">
      <c r="B54" s="73">
        <v>2</v>
      </c>
      <c r="C54" s="74" t="s">
        <v>43</v>
      </c>
      <c r="D54" s="74" t="s">
        <v>83</v>
      </c>
      <c r="E54" s="74">
        <v>1.1000000000000001</v>
      </c>
      <c r="F54" s="74" t="s">
        <v>17</v>
      </c>
    </row>
    <row r="55" spans="2:6" ht="19.5">
      <c r="B55" s="77" t="s">
        <v>89</v>
      </c>
      <c r="C55" s="77" t="s">
        <v>65</v>
      </c>
      <c r="D55" s="77" t="s">
        <v>65</v>
      </c>
      <c r="E55" s="77" t="s">
        <v>65</v>
      </c>
      <c r="F55" s="77" t="s">
        <v>65</v>
      </c>
    </row>
    <row r="56" spans="2:6" ht="25.5">
      <c r="B56" s="70" t="s">
        <v>68</v>
      </c>
      <c r="C56" s="70" t="s">
        <v>7</v>
      </c>
      <c r="D56" s="70" t="s">
        <v>69</v>
      </c>
      <c r="E56" s="70" t="s">
        <v>8</v>
      </c>
      <c r="F56" s="70" t="s">
        <v>11</v>
      </c>
    </row>
    <row r="57" spans="2:6">
      <c r="B57" s="71">
        <v>1</v>
      </c>
      <c r="C57" s="72" t="s">
        <v>90</v>
      </c>
      <c r="D57" s="72" t="s">
        <v>91</v>
      </c>
      <c r="E57" s="72">
        <v>240.14</v>
      </c>
      <c r="F57" s="72" t="s">
        <v>17</v>
      </c>
    </row>
    <row r="58" spans="2:6">
      <c r="B58" s="73">
        <v>2</v>
      </c>
      <c r="C58" s="74" t="s">
        <v>92</v>
      </c>
      <c r="D58" s="74" t="s">
        <v>93</v>
      </c>
      <c r="E58" s="74">
        <v>204.9</v>
      </c>
      <c r="F58" s="74" t="s">
        <v>17</v>
      </c>
    </row>
    <row r="59" spans="2:6" ht="19.5">
      <c r="B59" s="75" t="s">
        <v>65</v>
      </c>
      <c r="C59" s="75" t="s">
        <v>65</v>
      </c>
      <c r="D59" s="75" t="s">
        <v>65</v>
      </c>
      <c r="E59" s="75" t="s">
        <v>65</v>
      </c>
      <c r="F59" s="7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41</vt:i4>
      </vt:variant>
      <vt:variant>
        <vt:lpstr>Intervalos Nomeados</vt:lpstr>
      </vt:variant>
      <vt:variant>
        <vt:i4>2</vt:i4>
      </vt:variant>
    </vt:vector>
  </HeadingPairs>
  <TitlesOfParts>
    <vt:vector size="43" baseType="lpstr">
      <vt:lpstr>PREÇO</vt:lpstr>
      <vt:lpstr>Equipamentos de emergência</vt:lpstr>
      <vt:lpstr>Tipo 3A - x11</vt:lpstr>
      <vt:lpstr>Tipo 3B - x8</vt:lpstr>
      <vt:lpstr>Técnico 3</vt:lpstr>
      <vt:lpstr>Tipo 3C - x9</vt:lpstr>
      <vt:lpstr>Tipo 4A - x10</vt:lpstr>
      <vt:lpstr>Técnico 4</vt:lpstr>
      <vt:lpstr>Lazer 3</vt:lpstr>
      <vt:lpstr>Lazer 4</vt:lpstr>
      <vt:lpstr>Tipo 4B - x36</vt:lpstr>
      <vt:lpstr>Técnico 5</vt:lpstr>
      <vt:lpstr>Técnico 6</vt:lpstr>
      <vt:lpstr>Tipo 4C - x19</vt:lpstr>
      <vt:lpstr>Técnico 7</vt:lpstr>
      <vt:lpstr>Tipo 4D - x9</vt:lpstr>
      <vt:lpstr>Duplex Inferior - x2</vt:lpstr>
      <vt:lpstr>Duplex Superior - x2</vt:lpstr>
      <vt:lpstr>Triplex Inferior</vt:lpstr>
      <vt:lpstr>Triplex Intermed.</vt:lpstr>
      <vt:lpstr>Triplex Superior</vt:lpstr>
      <vt:lpstr>Técnico 8</vt:lpstr>
      <vt:lpstr>Lazer 5</vt:lpstr>
      <vt:lpstr>Lazer 6</vt:lpstr>
      <vt:lpstr>Técnico 9</vt:lpstr>
      <vt:lpstr>Lazer 1</vt:lpstr>
      <vt:lpstr>Lazer 2</vt:lpstr>
      <vt:lpstr>Técnico 1</vt:lpstr>
      <vt:lpstr>Tipo 1 - x6</vt:lpstr>
      <vt:lpstr>Tipo 2 - x3</vt:lpstr>
      <vt:lpstr>Técnico 2</vt:lpstr>
      <vt:lpstr>Lazer Publ. 1</vt:lpstr>
      <vt:lpstr>Lazer Publ. 2</vt:lpstr>
      <vt:lpstr>Garagem 06</vt:lpstr>
      <vt:lpstr>Garagem 04</vt:lpstr>
      <vt:lpstr>Garagem 05</vt:lpstr>
      <vt:lpstr>Subsolo</vt:lpstr>
      <vt:lpstr>Térreo</vt:lpstr>
      <vt:lpstr>Garagem 01</vt:lpstr>
      <vt:lpstr>Garagem 02</vt:lpstr>
      <vt:lpstr>Garagem 03</vt:lpstr>
      <vt:lpstr>'Equipamentos de emergência'!Area_de_impressao</vt:lpstr>
      <vt:lpstr>PREÇO!Area_de_impressao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Valquira Vansquelhe</dc:creator>
  <cp:lastModifiedBy>Patricia Bragatto</cp:lastModifiedBy>
  <dcterms:created xsi:type="dcterms:W3CDTF">2025-01-31T20:10:43Z</dcterms:created>
  <dcterms:modified xsi:type="dcterms:W3CDTF">2026-02-04T14:49:53Z</dcterms:modified>
</cp:coreProperties>
</file>