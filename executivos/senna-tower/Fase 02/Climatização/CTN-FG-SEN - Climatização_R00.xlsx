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G Empreendimentos\2025.11 - Senna Tower\04. Custo\04.2 Custo - Preliminar\02 - Elaboração\Fase 02\Climatização\"/>
    </mc:Choice>
  </mc:AlternateContent>
  <xr:revisionPtr revIDLastSave="0" documentId="13_ncr:1_{88BFA16D-BC5B-42D3-8DA0-69FCFB5C1E42}" xr6:coauthVersionLast="47" xr6:coauthVersionMax="47" xr10:uidLastSave="{00000000-0000-0000-0000-000000000000}"/>
  <bookViews>
    <workbookView xWindow="-120" yWindow="-120" windowWidth="38640" windowHeight="15720" activeTab="1" xr2:uid="{8DDAB284-196A-4DB7-8580-082C6E37228E}"/>
  </bookViews>
  <sheets>
    <sheet name="PREÇO" sheetId="3" r:id="rId1"/>
    <sheet name="CLIMATIZAÇÃO E EXAUSTÃO" sheetId="1" r:id="rId2"/>
    <sheet name="Planilha1" sheetId="4" r:id="rId3"/>
  </sheets>
  <externalReferences>
    <externalReference r:id="rId4"/>
    <externalReference r:id="rId5"/>
    <externalReference r:id="rId6"/>
  </externalReferences>
  <definedNames>
    <definedName name="\0" localSheetId="1">#REF!</definedName>
    <definedName name="\0" localSheetId="0">#REF!</definedName>
    <definedName name="\0">#REF!</definedName>
    <definedName name="\1">#REF!</definedName>
    <definedName name="\a" localSheetId="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1">#REF!</definedName>
    <definedName name="\m" localSheetId="0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localSheetId="1" hidden="1">'CLIMATIZAÇÃO E EXAUSTÃO'!$A$5:$N$428</definedName>
    <definedName name="_xlnm._FilterDatabase" localSheetId="0" hidden="1">PREÇO!$B$5:$E$58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 localSheetId="1">#REF!</definedName>
    <definedName name="aa" localSheetId="0">#REF!</definedName>
    <definedName name="aa">#REF!</definedName>
    <definedName name="aaa">#REF!</definedName>
    <definedName name="aaaa" localSheetId="1">'[1]M.O.'!#REF!</definedName>
    <definedName name="aaaa" localSheetId="0">'[1]M.O.'!#REF!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1">[2]Geral!#REF!</definedName>
    <definedName name="angelo" localSheetId="0">[2]Geral!#REF!</definedName>
    <definedName name="angelo">[2]Geral!#REF!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 localSheetId="1">#REF!</definedName>
    <definedName name="area" localSheetId="0">#REF!</definedName>
    <definedName name="area" hidden="1">{#N/A,#N/A,FALSE,"Plan1";#N/A,#N/A,FALSE,"Plan2"}</definedName>
    <definedName name="área">#REF!</definedName>
    <definedName name="Área_Construída">#REF!</definedName>
    <definedName name="_xlnm.Print_Area" localSheetId="1">'CLIMATIZAÇÃO E EXAUSTÃO'!$A$1:$AF$455</definedName>
    <definedName name="_xlnm.Print_Area" localSheetId="0">PREÇO!$A$1:$G$63</definedName>
    <definedName name="_xlnm.Print_Are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 localSheetId="1">#REF!</definedName>
    <definedName name="Areaimpresso" localSheetId="0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 localSheetId="1">#REF!</definedName>
    <definedName name="aux" localSheetId="0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1">#REF!</definedName>
    <definedName name="BDA" localSheetId="0">#REF!</definedName>
    <definedName name="BDA">#REF!</definedName>
    <definedName name="bdfjghf" hidden="1">{#N/A,#N/A,FALSE,"Plan1";#N/A,#N/A,FALSE,"Plan2"}</definedName>
    <definedName name="BDI" localSheetId="1">#REF!</definedName>
    <definedName name="BDI" localSheetId="0">#REF!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 localSheetId="1">#REF!</definedName>
    <definedName name="ca" localSheetId="0">#REF!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 localSheetId="1">#REF!</definedName>
    <definedName name="Capa" localSheetId="0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 localSheetId="1">#REF!</definedName>
    <definedName name="cronograma" localSheetId="0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 localSheetId="1">#REF!</definedName>
    <definedName name="D" localSheetId="0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 localSheetId="1">#REF!</definedName>
    <definedName name="direto" localSheetId="0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 localSheetId="1">#REF!</definedName>
    <definedName name="DRE" localSheetId="0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a" localSheetId="0">#REF!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 localSheetId="1">#REF!</definedName>
    <definedName name="FFFFFFF" localSheetId="0">#REF!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1">#REF!</definedName>
    <definedName name="item_1" localSheetId="0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1">'[1]M.O.'!#REF!</definedName>
    <definedName name="LS" localSheetId="0">'[1]M.O.'!#REF!</definedName>
    <definedName name="LS">'[1]M.O.'!#REF!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1">#REF!</definedName>
    <definedName name="MENU" localSheetId="0">#REF!</definedName>
    <definedName name="MENU">#REF!</definedName>
    <definedName name="MENU1" localSheetId="1">#REF!</definedName>
    <definedName name="MENU1" localSheetId="0">#REF!</definedName>
    <definedName name="MENU1">#REF!</definedName>
    <definedName name="MENU2" localSheetId="1">#REF!</definedName>
    <definedName name="MENU2" localSheetId="0">#REF!</definedName>
    <definedName name="MENU2">#REF!</definedName>
    <definedName name="MENU3" localSheetId="1">#REF!</definedName>
    <definedName name="MENU3" localSheetId="0">#REF!</definedName>
    <definedName name="MENU3">#REF!</definedName>
    <definedName name="MENU4" localSheetId="1">#REF!</definedName>
    <definedName name="MENU4" localSheetId="0">#REF!</definedName>
    <definedName name="MENU4">#REF!</definedName>
    <definedName name="MENU5" localSheetId="1">#REF!</definedName>
    <definedName name="MENU5" localSheetId="0">#REF!</definedName>
    <definedName name="MENU5">#REF!</definedName>
    <definedName name="MENU6" localSheetId="1">#REF!</definedName>
    <definedName name="MENU6" localSheetId="0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 localSheetId="1">#REF!</definedName>
    <definedName name="mo" localSheetId="0">#REF!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 localSheetId="1">#REF!</definedName>
    <definedName name="OAE" localSheetId="0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0">ROW()-Linha_Cabeçalho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 localSheetId="1">[3]ParamValues!$A$1:$A$39</definedName>
    <definedName name="ParamValues1" localSheetId="0">[3]ParamValues!$A$1:$A$39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 localSheetId="1">#REF!</definedName>
    <definedName name="PAV" localSheetId="0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'[1]M.O.'!#REF!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 localSheetId="1">#REF!</definedName>
    <definedName name="pr" localSheetId="0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 localSheetId="1">#REF!</definedName>
    <definedName name="PRE" localSheetId="0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">#REF!</definedName>
    <definedName name="Print_Area_MI" localSheetId="1">#REF!</definedName>
    <definedName name="Print_Area_MI" localSheetId="0">#REF!</definedName>
    <definedName name="Print_Area_MI">#REF!</definedName>
    <definedName name="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 localSheetId="1">#REF!</definedName>
    <definedName name="qe" localSheetId="0">#REF!</definedName>
    <definedName name="qe">#REF!</definedName>
    <definedName name="qee" localSheetId="1">#REF!</definedName>
    <definedName name="qee" localSheetId="0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forsu" localSheetId="0">#REF!</definedName>
    <definedName name="reforsu">#REF!</definedName>
    <definedName name="REL_RJ">#REF!</definedName>
    <definedName name="REL_SP">#REF!</definedName>
    <definedName name="relat3">#REF!</definedName>
    <definedName name="ren" localSheetId="1">#REF!</definedName>
    <definedName name="ren" localSheetId="0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 localSheetId="1">#REF!</definedName>
    <definedName name="REV" localSheetId="0">#REF!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 localSheetId="1">#REF!</definedName>
    <definedName name="sa" localSheetId="0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" localSheetId="0">#REF!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1">#REF!</definedName>
    <definedName name="SIH" localSheetId="0">#REF!</definedName>
    <definedName name="SIH">#REF!</definedName>
    <definedName name="SISTEM1">#REF!</definedName>
    <definedName name="SISTEM2">#REF!</definedName>
    <definedName name="SIV" localSheetId="1">#REF!</definedName>
    <definedName name="SIV" localSheetId="0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">#REF!</definedName>
    <definedName name="ss" localSheetId="0">#REF!</definedName>
    <definedName name="SS" hidden="1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 localSheetId="1">#REF!</definedName>
    <definedName name="susref" localSheetId="0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 localSheetId="1">#REF!</definedName>
    <definedName name="tania" localSheetId="0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 localSheetId="1">#REF!</definedName>
    <definedName name="tc" localSheetId="0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 localSheetId="1">#REF!</definedName>
    <definedName name="titulos" localSheetId="0">#REF!</definedName>
    <definedName name="titulos">#REF!</definedName>
    <definedName name="_xlnm.Print_Titles" localSheetId="1">#REF!</definedName>
    <definedName name="_xlnm.Print_Titles" localSheetId="0">#REF!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1">#REF!</definedName>
    <definedName name="TOT" localSheetId="0">#REF!</definedName>
    <definedName name="TOT">#REF!</definedName>
    <definedName name="tot3estac">#REF!</definedName>
    <definedName name="TOTAIS">#REF!</definedName>
    <definedName name="Total" localSheetId="1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 localSheetId="1">#REF!</definedName>
    <definedName name="TRP" localSheetId="0">#REF!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0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1">#REF!</definedName>
    <definedName name="xxxx" localSheetId="0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" i="1" l="1" a="1"/>
  <c r="S85" i="1" s="1"/>
  <c r="K24" i="1"/>
  <c r="K25" i="1"/>
  <c r="K26" i="1"/>
  <c r="Y101" i="1"/>
  <c r="X101" i="1"/>
  <c r="W101" i="1"/>
  <c r="V101" i="1"/>
  <c r="U101" i="1"/>
  <c r="K41" i="1"/>
  <c r="K42" i="1"/>
  <c r="B320" i="1"/>
  <c r="B321" i="1" s="1"/>
  <c r="B322" i="1" s="1"/>
  <c r="B323" i="1" s="1"/>
  <c r="B324" i="1" s="1"/>
  <c r="M324" i="1"/>
  <c r="K324" i="1"/>
  <c r="N324" i="1" s="1"/>
  <c r="M323" i="1"/>
  <c r="K323" i="1"/>
  <c r="M322" i="1"/>
  <c r="K322" i="1"/>
  <c r="M321" i="1"/>
  <c r="K321" i="1"/>
  <c r="M320" i="1"/>
  <c r="K320" i="1"/>
  <c r="N320" i="1" s="1"/>
  <c r="A320" i="1"/>
  <c r="A321" i="1" s="1"/>
  <c r="A322" i="1" s="1"/>
  <c r="A323" i="1" s="1"/>
  <c r="A324" i="1" s="1"/>
  <c r="A7" i="1"/>
  <c r="A8" i="1" s="1"/>
  <c r="A9" i="1" s="1"/>
  <c r="A10" i="1" s="1"/>
  <c r="A11" i="1" s="1"/>
  <c r="A12" i="1" s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314" i="1"/>
  <c r="M314" i="1"/>
  <c r="K315" i="1"/>
  <c r="M315" i="1"/>
  <c r="K316" i="1"/>
  <c r="M316" i="1"/>
  <c r="K317" i="1"/>
  <c r="M317" i="1"/>
  <c r="K318" i="1"/>
  <c r="M318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194" i="1"/>
  <c r="K191" i="1"/>
  <c r="M191" i="1"/>
  <c r="K192" i="1"/>
  <c r="M192" i="1"/>
  <c r="K193" i="1"/>
  <c r="M193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65" i="1"/>
  <c r="K148" i="1"/>
  <c r="K141" i="1"/>
  <c r="K140" i="1"/>
  <c r="K139" i="1"/>
  <c r="K138" i="1"/>
  <c r="K131" i="1"/>
  <c r="K119" i="1"/>
  <c r="K118" i="1"/>
  <c r="K117" i="1"/>
  <c r="K116" i="1"/>
  <c r="K94" i="1"/>
  <c r="K95" i="1"/>
  <c r="K96" i="1"/>
  <c r="K97" i="1"/>
  <c r="K93" i="1"/>
  <c r="K92" i="1"/>
  <c r="K91" i="1"/>
  <c r="K90" i="1"/>
  <c r="K89" i="1"/>
  <c r="K88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0" i="1"/>
  <c r="K39" i="1"/>
  <c r="K38" i="1"/>
  <c r="K37" i="1"/>
  <c r="K36" i="1"/>
  <c r="K19" i="1"/>
  <c r="T9" i="1" l="1"/>
  <c r="T25" i="1"/>
  <c r="T41" i="1"/>
  <c r="T57" i="1"/>
  <c r="T89" i="1"/>
  <c r="T58" i="1"/>
  <c r="T22" i="1"/>
  <c r="T86" i="1"/>
  <c r="T7" i="1"/>
  <c r="T23" i="1"/>
  <c r="T39" i="1"/>
  <c r="T55" i="1"/>
  <c r="T87" i="1"/>
  <c r="T8" i="1"/>
  <c r="T24" i="1"/>
  <c r="T40" i="1"/>
  <c r="T56" i="1"/>
  <c r="T72" i="1"/>
  <c r="T88" i="1"/>
  <c r="T73" i="1"/>
  <c r="T10" i="1"/>
  <c r="T26" i="1"/>
  <c r="T42" i="1"/>
  <c r="T74" i="1"/>
  <c r="T90" i="1"/>
  <c r="T11" i="1"/>
  <c r="T27" i="1"/>
  <c r="T43" i="1"/>
  <c r="T59" i="1"/>
  <c r="T75" i="1"/>
  <c r="T91" i="1"/>
  <c r="T12" i="1"/>
  <c r="T28" i="1"/>
  <c r="T44" i="1"/>
  <c r="T60" i="1"/>
  <c r="T92" i="1"/>
  <c r="T15" i="1"/>
  <c r="T31" i="1"/>
  <c r="T47" i="1"/>
  <c r="T63" i="1"/>
  <c r="T79" i="1"/>
  <c r="T95" i="1"/>
  <c r="T13" i="1"/>
  <c r="T29" i="1"/>
  <c r="T45" i="1"/>
  <c r="T61" i="1"/>
  <c r="T77" i="1"/>
  <c r="T93" i="1"/>
  <c r="T16" i="1"/>
  <c r="T32" i="1"/>
  <c r="T48" i="1"/>
  <c r="T64" i="1"/>
  <c r="T80" i="1"/>
  <c r="T96" i="1"/>
  <c r="T38" i="1"/>
  <c r="T54" i="1"/>
  <c r="T70" i="1"/>
  <c r="T71" i="1"/>
  <c r="T76" i="1"/>
  <c r="T17" i="1"/>
  <c r="T33" i="1"/>
  <c r="T49" i="1"/>
  <c r="T65" i="1"/>
  <c r="T81" i="1"/>
  <c r="T97" i="1"/>
  <c r="T18" i="1"/>
  <c r="T34" i="1"/>
  <c r="T50" i="1"/>
  <c r="T66" i="1"/>
  <c r="T82" i="1"/>
  <c r="T98" i="1"/>
  <c r="T19" i="1"/>
  <c r="T35" i="1"/>
  <c r="T51" i="1"/>
  <c r="T67" i="1"/>
  <c r="T83" i="1"/>
  <c r="T99" i="1"/>
  <c r="T14" i="1"/>
  <c r="T30" i="1"/>
  <c r="T46" i="1"/>
  <c r="T62" i="1"/>
  <c r="T78" i="1"/>
  <c r="T20" i="1"/>
  <c r="T36" i="1"/>
  <c r="T52" i="1"/>
  <c r="T68" i="1"/>
  <c r="T84" i="1"/>
  <c r="T100" i="1"/>
  <c r="T21" i="1"/>
  <c r="T37" i="1"/>
  <c r="T53" i="1"/>
  <c r="T69" i="1"/>
  <c r="T85" i="1"/>
  <c r="S7" i="1"/>
  <c r="S23" i="1"/>
  <c r="S39" i="1"/>
  <c r="S55" i="1"/>
  <c r="S71" i="1"/>
  <c r="S87" i="1"/>
  <c r="S89" i="1"/>
  <c r="S8" i="1"/>
  <c r="S24" i="1"/>
  <c r="S40" i="1"/>
  <c r="S56" i="1"/>
  <c r="S88" i="1"/>
  <c r="S25" i="1"/>
  <c r="S26" i="1"/>
  <c r="S58" i="1"/>
  <c r="S11" i="1"/>
  <c r="S43" i="1"/>
  <c r="S59" i="1"/>
  <c r="S91" i="1"/>
  <c r="S60" i="1"/>
  <c r="S78" i="1"/>
  <c r="S15" i="1"/>
  <c r="S31" i="1"/>
  <c r="S47" i="1"/>
  <c r="S63" i="1"/>
  <c r="S79" i="1"/>
  <c r="S95" i="1"/>
  <c r="S22" i="1"/>
  <c r="S38" i="1"/>
  <c r="S54" i="1"/>
  <c r="S70" i="1"/>
  <c r="S86" i="1"/>
  <c r="S72" i="1"/>
  <c r="S9" i="1"/>
  <c r="S41" i="1"/>
  <c r="S73" i="1"/>
  <c r="S74" i="1"/>
  <c r="S57" i="1"/>
  <c r="S27" i="1"/>
  <c r="S76" i="1"/>
  <c r="S75" i="1"/>
  <c r="S61" i="1"/>
  <c r="S30" i="1"/>
  <c r="S62" i="1"/>
  <c r="S32" i="1"/>
  <c r="S64" i="1"/>
  <c r="S80" i="1"/>
  <c r="S17" i="1"/>
  <c r="S33" i="1"/>
  <c r="S65" i="1"/>
  <c r="S81" i="1"/>
  <c r="S18" i="1"/>
  <c r="S50" i="1"/>
  <c r="S82" i="1"/>
  <c r="S19" i="1"/>
  <c r="S35" i="1"/>
  <c r="S51" i="1"/>
  <c r="S67" i="1"/>
  <c r="S99" i="1"/>
  <c r="S20" i="1"/>
  <c r="S36" i="1"/>
  <c r="S52" i="1"/>
  <c r="S68" i="1"/>
  <c r="S84" i="1"/>
  <c r="S100" i="1"/>
  <c r="S42" i="1"/>
  <c r="S90" i="1"/>
  <c r="S12" i="1"/>
  <c r="S28" i="1"/>
  <c r="S44" i="1"/>
  <c r="S92" i="1"/>
  <c r="S13" i="1"/>
  <c r="S29" i="1"/>
  <c r="S45" i="1"/>
  <c r="S77" i="1"/>
  <c r="S93" i="1"/>
  <c r="S14" i="1"/>
  <c r="S46" i="1"/>
  <c r="S94" i="1"/>
  <c r="S16" i="1"/>
  <c r="S48" i="1"/>
  <c r="S96" i="1"/>
  <c r="S49" i="1"/>
  <c r="S97" i="1"/>
  <c r="S34" i="1"/>
  <c r="S66" i="1"/>
  <c r="S98" i="1"/>
  <c r="S83" i="1"/>
  <c r="S21" i="1"/>
  <c r="S37" i="1"/>
  <c r="S53" i="1"/>
  <c r="S69" i="1"/>
  <c r="R13" i="1"/>
  <c r="R91" i="1"/>
  <c r="R89" i="1"/>
  <c r="R57" i="1"/>
  <c r="R88" i="1"/>
  <c r="R56" i="1"/>
  <c r="R87" i="1"/>
  <c r="Q6" i="1"/>
  <c r="T6" i="1" s="1"/>
  <c r="R86" i="1"/>
  <c r="R70" i="1"/>
  <c r="R54" i="1"/>
  <c r="R22" i="1"/>
  <c r="R71" i="1"/>
  <c r="R55" i="1"/>
  <c r="R7" i="1"/>
  <c r="R85" i="1"/>
  <c r="R69" i="1"/>
  <c r="R21" i="1"/>
  <c r="Y21" i="1"/>
  <c r="R81" i="1"/>
  <c r="R49" i="1"/>
  <c r="R60" i="1"/>
  <c r="R28" i="1"/>
  <c r="R74" i="1"/>
  <c r="R58" i="1"/>
  <c r="R73" i="1"/>
  <c r="R9" i="1"/>
  <c r="R100" i="1"/>
  <c r="R84" i="1"/>
  <c r="R68" i="1"/>
  <c r="R36" i="1"/>
  <c r="R20" i="1"/>
  <c r="R97" i="1"/>
  <c r="R33" i="1"/>
  <c r="R94" i="1"/>
  <c r="R62" i="1"/>
  <c r="R46" i="1"/>
  <c r="R30" i="1"/>
  <c r="R77" i="1"/>
  <c r="R61" i="1"/>
  <c r="R29" i="1"/>
  <c r="R76" i="1"/>
  <c r="R44" i="1"/>
  <c r="R12" i="1"/>
  <c r="R75" i="1"/>
  <c r="R59" i="1"/>
  <c r="R27" i="1"/>
  <c r="R90" i="1"/>
  <c r="R26" i="1"/>
  <c r="R72" i="1"/>
  <c r="R8" i="1"/>
  <c r="R99" i="1"/>
  <c r="R83" i="1"/>
  <c r="R67" i="1"/>
  <c r="R51" i="1"/>
  <c r="R35" i="1"/>
  <c r="R19" i="1"/>
  <c r="R17" i="1"/>
  <c r="R95" i="1"/>
  <c r="R79" i="1"/>
  <c r="R63" i="1"/>
  <c r="R47" i="1"/>
  <c r="R31" i="1"/>
  <c r="R78" i="1"/>
  <c r="R45" i="1"/>
  <c r="R98" i="1"/>
  <c r="R82" i="1"/>
  <c r="R66" i="1"/>
  <c r="R50" i="1"/>
  <c r="R34" i="1"/>
  <c r="R18" i="1"/>
  <c r="R96" i="1"/>
  <c r="R80" i="1"/>
  <c r="R64" i="1"/>
  <c r="R48" i="1"/>
  <c r="R32" i="1"/>
  <c r="V86" i="1"/>
  <c r="V70" i="1"/>
  <c r="V54" i="1"/>
  <c r="V38" i="1"/>
  <c r="V22" i="1"/>
  <c r="X20" i="1"/>
  <c r="Y18" i="1"/>
  <c r="W87" i="1"/>
  <c r="W39" i="1"/>
  <c r="W23" i="1"/>
  <c r="X94" i="1"/>
  <c r="X78" i="1"/>
  <c r="X62" i="1"/>
  <c r="X46" i="1"/>
  <c r="X30" i="1"/>
  <c r="Y69" i="1"/>
  <c r="Y53" i="1"/>
  <c r="Y37" i="1"/>
  <c r="U17" i="1"/>
  <c r="U14" i="1"/>
  <c r="U96" i="1"/>
  <c r="U80" i="1"/>
  <c r="U64" i="1"/>
  <c r="U48" i="1"/>
  <c r="U32" i="1"/>
  <c r="V17" i="1"/>
  <c r="V85" i="1"/>
  <c r="V69" i="1"/>
  <c r="V53" i="1"/>
  <c r="V37" i="1"/>
  <c r="V21" i="1"/>
  <c r="X19" i="1"/>
  <c r="Y17" i="1"/>
  <c r="W86" i="1"/>
  <c r="W38" i="1"/>
  <c r="X93" i="1"/>
  <c r="X77" i="1"/>
  <c r="X61" i="1"/>
  <c r="X45" i="1"/>
  <c r="X29" i="1"/>
  <c r="Y100" i="1"/>
  <c r="Y68" i="1"/>
  <c r="Y52" i="1"/>
  <c r="Y36" i="1"/>
  <c r="V98" i="1"/>
  <c r="V82" i="1"/>
  <c r="V66" i="1"/>
  <c r="V34" i="1"/>
  <c r="X16" i="1"/>
  <c r="Y14" i="1"/>
  <c r="W83" i="1"/>
  <c r="W51" i="1"/>
  <c r="W35" i="1"/>
  <c r="U13" i="1"/>
  <c r="N321" i="1"/>
  <c r="U12" i="1"/>
  <c r="U95" i="1"/>
  <c r="U79" i="1"/>
  <c r="U63" i="1"/>
  <c r="U47" i="1"/>
  <c r="U31" i="1"/>
  <c r="V16" i="1"/>
  <c r="V100" i="1"/>
  <c r="V84" i="1"/>
  <c r="V68" i="1"/>
  <c r="V52" i="1"/>
  <c r="X18" i="1"/>
  <c r="Y16" i="1"/>
  <c r="W85" i="1"/>
  <c r="W53" i="1"/>
  <c r="W37" i="1"/>
  <c r="X92" i="1"/>
  <c r="X76" i="1"/>
  <c r="X60" i="1"/>
  <c r="X44" i="1"/>
  <c r="X28" i="1"/>
  <c r="Y99" i="1"/>
  <c r="Y83" i="1"/>
  <c r="Y67" i="1"/>
  <c r="Y51" i="1"/>
  <c r="Y35" i="1"/>
  <c r="V50" i="1"/>
  <c r="U89" i="1"/>
  <c r="U73" i="1"/>
  <c r="U57" i="1"/>
  <c r="V10" i="1"/>
  <c r="U19" i="1"/>
  <c r="U97" i="1"/>
  <c r="U81" i="1"/>
  <c r="U65" i="1"/>
  <c r="U49" i="1"/>
  <c r="U33" i="1"/>
  <c r="V18" i="1"/>
  <c r="U11" i="1"/>
  <c r="U94" i="1"/>
  <c r="U78" i="1"/>
  <c r="U62" i="1"/>
  <c r="U30" i="1"/>
  <c r="V15" i="1"/>
  <c r="V99" i="1"/>
  <c r="V83" i="1"/>
  <c r="V67" i="1"/>
  <c r="X17" i="1"/>
  <c r="Y15" i="1"/>
  <c r="W84" i="1"/>
  <c r="W52" i="1"/>
  <c r="W36" i="1"/>
  <c r="X91" i="1"/>
  <c r="X75" i="1"/>
  <c r="X59" i="1"/>
  <c r="X43" i="1"/>
  <c r="X27" i="1"/>
  <c r="Y98" i="1"/>
  <c r="Y82" i="1"/>
  <c r="Y66" i="1"/>
  <c r="Y50" i="1"/>
  <c r="Y34" i="1"/>
  <c r="Y97" i="1"/>
  <c r="Y81" i="1"/>
  <c r="Y65" i="1"/>
  <c r="Y49" i="1"/>
  <c r="Y33" i="1"/>
  <c r="N322" i="1"/>
  <c r="U92" i="1"/>
  <c r="U76" i="1"/>
  <c r="U60" i="1"/>
  <c r="U44" i="1"/>
  <c r="U28" i="1"/>
  <c r="V13" i="1"/>
  <c r="W82" i="1"/>
  <c r="W50" i="1"/>
  <c r="X89" i="1"/>
  <c r="X73" i="1"/>
  <c r="X57" i="1"/>
  <c r="X41" i="1"/>
  <c r="X25" i="1"/>
  <c r="V96" i="1"/>
  <c r="V80" i="1"/>
  <c r="V64" i="1"/>
  <c r="V48" i="1"/>
  <c r="V32" i="1"/>
  <c r="W16" i="1"/>
  <c r="X14" i="1"/>
  <c r="Y12" i="1"/>
  <c r="W81" i="1"/>
  <c r="W65" i="1"/>
  <c r="X88" i="1"/>
  <c r="X72" i="1"/>
  <c r="X56" i="1"/>
  <c r="X40" i="1"/>
  <c r="X24" i="1"/>
  <c r="Y95" i="1"/>
  <c r="Y79" i="1"/>
  <c r="Y63" i="1"/>
  <c r="Y47" i="1"/>
  <c r="Y31" i="1"/>
  <c r="U93" i="1"/>
  <c r="U77" i="1"/>
  <c r="U61" i="1"/>
  <c r="U45" i="1"/>
  <c r="U29" i="1"/>
  <c r="V14" i="1"/>
  <c r="X90" i="1"/>
  <c r="X74" i="1"/>
  <c r="X58" i="1"/>
  <c r="X42" i="1"/>
  <c r="X26" i="1"/>
  <c r="V97" i="1"/>
  <c r="V81" i="1"/>
  <c r="V65" i="1"/>
  <c r="V49" i="1"/>
  <c r="V33" i="1"/>
  <c r="X15" i="1"/>
  <c r="Y13" i="1"/>
  <c r="Y96" i="1"/>
  <c r="Y80" i="1"/>
  <c r="Y64" i="1"/>
  <c r="Y48" i="1"/>
  <c r="Y32" i="1"/>
  <c r="U91" i="1"/>
  <c r="U75" i="1"/>
  <c r="U59" i="1"/>
  <c r="U27" i="1"/>
  <c r="V12" i="1"/>
  <c r="U90" i="1"/>
  <c r="U74" i="1"/>
  <c r="U58" i="1"/>
  <c r="U42" i="1"/>
  <c r="U26" i="1"/>
  <c r="V11" i="1"/>
  <c r="V95" i="1"/>
  <c r="V63" i="1"/>
  <c r="V47" i="1"/>
  <c r="V31" i="1"/>
  <c r="W15" i="1"/>
  <c r="Y11" i="1"/>
  <c r="X87" i="1"/>
  <c r="X71" i="1"/>
  <c r="X55" i="1"/>
  <c r="X39" i="1"/>
  <c r="X23" i="1"/>
  <c r="Y94" i="1"/>
  <c r="Y78" i="1"/>
  <c r="Y62" i="1"/>
  <c r="Y46" i="1"/>
  <c r="Y30" i="1"/>
  <c r="Y93" i="1"/>
  <c r="Y77" i="1"/>
  <c r="Y61" i="1"/>
  <c r="Y45" i="1"/>
  <c r="Y29" i="1"/>
  <c r="W79" i="1"/>
  <c r="X86" i="1"/>
  <c r="X70" i="1"/>
  <c r="X54" i="1"/>
  <c r="X38" i="1"/>
  <c r="X22" i="1"/>
  <c r="U88" i="1"/>
  <c r="U72" i="1"/>
  <c r="U56" i="1"/>
  <c r="U40" i="1"/>
  <c r="V9" i="1"/>
  <c r="V93" i="1"/>
  <c r="V77" i="1"/>
  <c r="V61" i="1"/>
  <c r="V45" i="1"/>
  <c r="V29" i="1"/>
  <c r="X11" i="1"/>
  <c r="Y9" i="1"/>
  <c r="W46" i="1"/>
  <c r="X85" i="1"/>
  <c r="X69" i="1"/>
  <c r="X53" i="1"/>
  <c r="X37" i="1"/>
  <c r="X21" i="1"/>
  <c r="Y92" i="1"/>
  <c r="Y76" i="1"/>
  <c r="Y60" i="1"/>
  <c r="Y44" i="1"/>
  <c r="Y28" i="1"/>
  <c r="U20" i="1"/>
  <c r="U87" i="1"/>
  <c r="U71" i="1"/>
  <c r="U55" i="1"/>
  <c r="U39" i="1"/>
  <c r="V8" i="1"/>
  <c r="V92" i="1"/>
  <c r="V76" i="1"/>
  <c r="V60" i="1"/>
  <c r="V44" i="1"/>
  <c r="V28" i="1"/>
  <c r="X10" i="1"/>
  <c r="Y8" i="1"/>
  <c r="W93" i="1"/>
  <c r="X100" i="1"/>
  <c r="X84" i="1"/>
  <c r="X68" i="1"/>
  <c r="X52" i="1"/>
  <c r="X36" i="1"/>
  <c r="Y91" i="1"/>
  <c r="Y75" i="1"/>
  <c r="Y59" i="1"/>
  <c r="Y43" i="1"/>
  <c r="Y27" i="1"/>
  <c r="U86" i="1"/>
  <c r="U70" i="1"/>
  <c r="U54" i="1"/>
  <c r="U38" i="1"/>
  <c r="U22" i="1"/>
  <c r="V91" i="1"/>
  <c r="V75" i="1"/>
  <c r="V59" i="1"/>
  <c r="V43" i="1"/>
  <c r="V27" i="1"/>
  <c r="W11" i="1"/>
  <c r="X9" i="1"/>
  <c r="Y7" i="1"/>
  <c r="W92" i="1"/>
  <c r="X99" i="1"/>
  <c r="X83" i="1"/>
  <c r="X67" i="1"/>
  <c r="X51" i="1"/>
  <c r="X35" i="1"/>
  <c r="Y74" i="1"/>
  <c r="Y58" i="1"/>
  <c r="Y42" i="1"/>
  <c r="Y26" i="1"/>
  <c r="V94" i="1"/>
  <c r="V78" i="1"/>
  <c r="V62" i="1"/>
  <c r="V46" i="1"/>
  <c r="V30" i="1"/>
  <c r="W14" i="1"/>
  <c r="Y10" i="1"/>
  <c r="U18" i="1"/>
  <c r="U85" i="1"/>
  <c r="U69" i="1"/>
  <c r="U53" i="1"/>
  <c r="U37" i="1"/>
  <c r="U21" i="1"/>
  <c r="V90" i="1"/>
  <c r="V74" i="1"/>
  <c r="V58" i="1"/>
  <c r="V42" i="1"/>
  <c r="W10" i="1"/>
  <c r="X8" i="1"/>
  <c r="W43" i="1"/>
  <c r="X98" i="1"/>
  <c r="X82" i="1"/>
  <c r="X66" i="1"/>
  <c r="X50" i="1"/>
  <c r="X34" i="1"/>
  <c r="Y73" i="1"/>
  <c r="Y57" i="1"/>
  <c r="Y41" i="1"/>
  <c r="Y25" i="1"/>
  <c r="U84" i="1"/>
  <c r="V89" i="1"/>
  <c r="V73" i="1"/>
  <c r="V57" i="1"/>
  <c r="V25" i="1"/>
  <c r="W9" i="1"/>
  <c r="X7" i="1"/>
  <c r="W90" i="1"/>
  <c r="W42" i="1"/>
  <c r="W26" i="1"/>
  <c r="X97" i="1"/>
  <c r="X81" i="1"/>
  <c r="X65" i="1"/>
  <c r="X49" i="1"/>
  <c r="X33" i="1"/>
  <c r="Y72" i="1"/>
  <c r="Y56" i="1"/>
  <c r="Y40" i="1"/>
  <c r="Y24" i="1"/>
  <c r="U99" i="1"/>
  <c r="U83" i="1"/>
  <c r="U67" i="1"/>
  <c r="U51" i="1"/>
  <c r="U35" i="1"/>
  <c r="V20" i="1"/>
  <c r="V88" i="1"/>
  <c r="V72" i="1"/>
  <c r="V56" i="1"/>
  <c r="V40" i="1"/>
  <c r="V24" i="1"/>
  <c r="W8" i="1"/>
  <c r="Y20" i="1"/>
  <c r="W89" i="1"/>
  <c r="W41" i="1"/>
  <c r="W25" i="1"/>
  <c r="X96" i="1"/>
  <c r="X80" i="1"/>
  <c r="X64" i="1"/>
  <c r="X48" i="1"/>
  <c r="X32" i="1"/>
  <c r="Y71" i="1"/>
  <c r="Y55" i="1"/>
  <c r="Y39" i="1"/>
  <c r="Y23" i="1"/>
  <c r="U100" i="1"/>
  <c r="U68" i="1"/>
  <c r="U52" i="1"/>
  <c r="U36" i="1"/>
  <c r="V7" i="1"/>
  <c r="U15" i="1"/>
  <c r="U98" i="1"/>
  <c r="U82" i="1"/>
  <c r="U66" i="1"/>
  <c r="U34" i="1"/>
  <c r="V19" i="1"/>
  <c r="V87" i="1"/>
  <c r="V71" i="1"/>
  <c r="V55" i="1"/>
  <c r="V39" i="1"/>
  <c r="V23" i="1"/>
  <c r="W7" i="1"/>
  <c r="Y19" i="1"/>
  <c r="W88" i="1"/>
  <c r="W40" i="1"/>
  <c r="W24" i="1"/>
  <c r="X95" i="1"/>
  <c r="X79" i="1"/>
  <c r="X63" i="1"/>
  <c r="X47" i="1"/>
  <c r="X31" i="1"/>
  <c r="Y70" i="1"/>
  <c r="Y54" i="1"/>
  <c r="Y38" i="1"/>
  <c r="Y22" i="1"/>
  <c r="N323" i="1"/>
  <c r="N319" i="1"/>
  <c r="N317" i="1"/>
  <c r="N318" i="1"/>
  <c r="N316" i="1"/>
  <c r="N315" i="1"/>
  <c r="N314" i="1"/>
  <c r="N203" i="1"/>
  <c r="N195" i="1"/>
  <c r="N191" i="1"/>
  <c r="N204" i="1"/>
  <c r="N205" i="1"/>
  <c r="N201" i="1"/>
  <c r="N193" i="1"/>
  <c r="N196" i="1"/>
  <c r="N199" i="1"/>
  <c r="N207" i="1"/>
  <c r="N197" i="1"/>
  <c r="N206" i="1"/>
  <c r="N198" i="1"/>
  <c r="N200" i="1"/>
  <c r="N202" i="1"/>
  <c r="N194" i="1"/>
  <c r="N192" i="1"/>
  <c r="A4" i="3"/>
  <c r="B416" i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A416" i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B404" i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A404" i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K417" i="1"/>
  <c r="K418" i="1"/>
  <c r="K419" i="1"/>
  <c r="K420" i="1"/>
  <c r="K421" i="1"/>
  <c r="K422" i="1"/>
  <c r="K423" i="1"/>
  <c r="K424" i="1"/>
  <c r="K425" i="1"/>
  <c r="K426" i="1"/>
  <c r="K416" i="1"/>
  <c r="K409" i="1"/>
  <c r="K410" i="1"/>
  <c r="K411" i="1"/>
  <c r="K412" i="1"/>
  <c r="K413" i="1"/>
  <c r="K414" i="1"/>
  <c r="K405" i="1"/>
  <c r="K406" i="1"/>
  <c r="K407" i="1"/>
  <c r="K408" i="1"/>
  <c r="K404" i="1"/>
  <c r="L403" i="1"/>
  <c r="B388" i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A388" i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388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72" i="1"/>
  <c r="B372" i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A372" i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K367" i="1"/>
  <c r="K368" i="1"/>
  <c r="K369" i="1"/>
  <c r="K370" i="1"/>
  <c r="K366" i="1"/>
  <c r="B366" i="1"/>
  <c r="B367" i="1" s="1"/>
  <c r="B368" i="1" s="1"/>
  <c r="B369" i="1" s="1"/>
  <c r="B370" i="1" s="1"/>
  <c r="A366" i="1"/>
  <c r="A367" i="1" s="1"/>
  <c r="A368" i="1" s="1"/>
  <c r="A369" i="1" s="1"/>
  <c r="A370" i="1" s="1"/>
  <c r="B357" i="1"/>
  <c r="B358" i="1" s="1"/>
  <c r="B359" i="1" s="1"/>
  <c r="B360" i="1" s="1"/>
  <c r="B361" i="1" s="1"/>
  <c r="B362" i="1" s="1"/>
  <c r="B363" i="1" s="1"/>
  <c r="B364" i="1" s="1"/>
  <c r="A357" i="1"/>
  <c r="A358" i="1" s="1"/>
  <c r="A359" i="1" s="1"/>
  <c r="A360" i="1" s="1"/>
  <c r="A361" i="1" s="1"/>
  <c r="A362" i="1" s="1"/>
  <c r="A363" i="1" s="1"/>
  <c r="A364" i="1" s="1"/>
  <c r="L365" i="1"/>
  <c r="K358" i="1"/>
  <c r="K359" i="1"/>
  <c r="K360" i="1"/>
  <c r="K361" i="1"/>
  <c r="K362" i="1"/>
  <c r="K363" i="1"/>
  <c r="K364" i="1"/>
  <c r="K357" i="1"/>
  <c r="B348" i="1"/>
  <c r="B349" i="1" s="1"/>
  <c r="B350" i="1" s="1"/>
  <c r="B351" i="1" s="1"/>
  <c r="B352" i="1" s="1"/>
  <c r="B353" i="1" s="1"/>
  <c r="B354" i="1" s="1"/>
  <c r="B355" i="1" s="1"/>
  <c r="A348" i="1"/>
  <c r="A349" i="1" s="1"/>
  <c r="A350" i="1" s="1"/>
  <c r="A351" i="1" s="1"/>
  <c r="A352" i="1" s="1"/>
  <c r="A353" i="1" s="1"/>
  <c r="A354" i="1" s="1"/>
  <c r="A355" i="1" s="1"/>
  <c r="K349" i="1"/>
  <c r="K350" i="1"/>
  <c r="K351" i="1"/>
  <c r="K352" i="1"/>
  <c r="K353" i="1"/>
  <c r="K354" i="1"/>
  <c r="K355" i="1"/>
  <c r="K348" i="1"/>
  <c r="K340" i="1"/>
  <c r="K341" i="1"/>
  <c r="K342" i="1"/>
  <c r="K343" i="1"/>
  <c r="K344" i="1"/>
  <c r="K345" i="1"/>
  <c r="K346" i="1"/>
  <c r="L347" i="1"/>
  <c r="K339" i="1"/>
  <c r="B339" i="1"/>
  <c r="B340" i="1" s="1"/>
  <c r="B341" i="1" s="1"/>
  <c r="B342" i="1" s="1"/>
  <c r="B343" i="1" s="1"/>
  <c r="B344" i="1" s="1"/>
  <c r="B345" i="1" s="1"/>
  <c r="B346" i="1" s="1"/>
  <c r="A339" i="1"/>
  <c r="A340" i="1" s="1"/>
  <c r="A341" i="1" s="1"/>
  <c r="A342" i="1" s="1"/>
  <c r="A343" i="1" s="1"/>
  <c r="A344" i="1" s="1"/>
  <c r="A345" i="1" s="1"/>
  <c r="A346" i="1" s="1"/>
  <c r="K333" i="1"/>
  <c r="K334" i="1"/>
  <c r="K335" i="1"/>
  <c r="K336" i="1"/>
  <c r="K337" i="1"/>
  <c r="K332" i="1"/>
  <c r="B332" i="1"/>
  <c r="B333" i="1" s="1"/>
  <c r="B334" i="1" s="1"/>
  <c r="B335" i="1" s="1"/>
  <c r="B336" i="1" s="1"/>
  <c r="B337" i="1" s="1"/>
  <c r="K327" i="1"/>
  <c r="K328" i="1"/>
  <c r="K329" i="1"/>
  <c r="K330" i="1"/>
  <c r="K326" i="1"/>
  <c r="B326" i="1"/>
  <c r="B327" i="1" s="1"/>
  <c r="B328" i="1" s="1"/>
  <c r="B329" i="1" s="1"/>
  <c r="B330" i="1" s="1"/>
  <c r="A326" i="1"/>
  <c r="A327" i="1" s="1"/>
  <c r="A328" i="1" s="1"/>
  <c r="A329" i="1" s="1"/>
  <c r="A330" i="1" s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283" i="1"/>
  <c r="K267" i="1"/>
  <c r="K264" i="1"/>
  <c r="K265" i="1"/>
  <c r="K26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46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L245" i="1"/>
  <c r="K209" i="1"/>
  <c r="K172" i="1"/>
  <c r="B172" i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K168" i="1"/>
  <c r="K169" i="1"/>
  <c r="K170" i="1"/>
  <c r="K167" i="1"/>
  <c r="B167" i="1"/>
  <c r="B168" i="1" s="1"/>
  <c r="B169" i="1" s="1"/>
  <c r="B170" i="1" s="1"/>
  <c r="A167" i="1"/>
  <c r="A168" i="1" s="1"/>
  <c r="A169" i="1" s="1"/>
  <c r="A170" i="1" s="1"/>
  <c r="K122" i="1"/>
  <c r="K123" i="1"/>
  <c r="K124" i="1"/>
  <c r="K125" i="1"/>
  <c r="K126" i="1"/>
  <c r="K127" i="1"/>
  <c r="K128" i="1"/>
  <c r="K129" i="1"/>
  <c r="K130" i="1"/>
  <c r="K132" i="1"/>
  <c r="K133" i="1"/>
  <c r="K134" i="1"/>
  <c r="K135" i="1"/>
  <c r="K136" i="1"/>
  <c r="K137" i="1"/>
  <c r="K121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99" i="1"/>
  <c r="K72" i="1"/>
  <c r="K74" i="1"/>
  <c r="K75" i="1"/>
  <c r="K76" i="1"/>
  <c r="K77" i="1"/>
  <c r="K78" i="1"/>
  <c r="K79" i="1"/>
  <c r="K80" i="1"/>
  <c r="K81" i="1"/>
  <c r="K82" i="1"/>
  <c r="K84" i="1"/>
  <c r="K85" i="1"/>
  <c r="K86" i="1"/>
  <c r="K87" i="1"/>
  <c r="A99" i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1" i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U50" i="1" s="1"/>
  <c r="A143" i="1"/>
  <c r="A144" i="1" s="1"/>
  <c r="A145" i="1" s="1"/>
  <c r="A146" i="1" s="1"/>
  <c r="A148" i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B121" i="1"/>
  <c r="B122" i="1" s="1"/>
  <c r="B99" i="1"/>
  <c r="B71" i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143" i="1"/>
  <c r="B144" i="1" s="1"/>
  <c r="B145" i="1" s="1"/>
  <c r="B146" i="1" s="1"/>
  <c r="B148" i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K31" i="1"/>
  <c r="K32" i="1"/>
  <c r="K33" i="1"/>
  <c r="K34" i="1"/>
  <c r="K35" i="1"/>
  <c r="K20" i="1"/>
  <c r="K21" i="1"/>
  <c r="K22" i="1"/>
  <c r="K23" i="1"/>
  <c r="K27" i="1"/>
  <c r="K28" i="1"/>
  <c r="K29" i="1"/>
  <c r="K30" i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R43" i="1" s="1"/>
  <c r="C2" i="3"/>
  <c r="C3" i="3"/>
  <c r="C1" i="3"/>
  <c r="T94" i="1" l="1"/>
  <c r="T102" i="1"/>
  <c r="R92" i="1"/>
  <c r="R6" i="1"/>
  <c r="S6" i="1"/>
  <c r="R37" i="1"/>
  <c r="R41" i="1"/>
  <c r="R40" i="1"/>
  <c r="R42" i="1"/>
  <c r="R39" i="1"/>
  <c r="R93" i="1"/>
  <c r="W49" i="1"/>
  <c r="R38" i="1"/>
  <c r="V26" i="1"/>
  <c r="W100" i="1"/>
  <c r="W28" i="1"/>
  <c r="W34" i="1"/>
  <c r="Y84" i="1"/>
  <c r="W97" i="1"/>
  <c r="V35" i="1"/>
  <c r="W31" i="1"/>
  <c r="W47" i="1"/>
  <c r="W98" i="1"/>
  <c r="W30" i="1"/>
  <c r="W99" i="1"/>
  <c r="W95" i="1"/>
  <c r="V41" i="1"/>
  <c r="W48" i="1"/>
  <c r="W94" i="1"/>
  <c r="V36" i="1"/>
  <c r="Y90" i="1"/>
  <c r="U23" i="1"/>
  <c r="W91" i="1"/>
  <c r="W96" i="1"/>
  <c r="W29" i="1"/>
  <c r="W13" i="1"/>
  <c r="V6" i="1"/>
  <c r="W6" i="1"/>
  <c r="X6" i="1"/>
  <c r="Y6" i="1"/>
  <c r="B209" i="1"/>
  <c r="B191" i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M389" i="1"/>
  <c r="N389" i="1" s="1"/>
  <c r="M405" i="1"/>
  <c r="N405" i="1" s="1"/>
  <c r="M410" i="1"/>
  <c r="N410" i="1" s="1"/>
  <c r="A332" i="1"/>
  <c r="B246" i="1"/>
  <c r="B247" i="1" s="1"/>
  <c r="B248" i="1" s="1"/>
  <c r="B249" i="1" s="1"/>
  <c r="B250" i="1" s="1"/>
  <c r="A172" i="1"/>
  <c r="V51" i="1" s="1"/>
  <c r="K83" i="1"/>
  <c r="K73" i="1"/>
  <c r="B123" i="1"/>
  <c r="B100" i="1"/>
  <c r="K164" i="1"/>
  <c r="K163" i="1"/>
  <c r="K162" i="1"/>
  <c r="U24" i="1" s="1"/>
  <c r="K161" i="1"/>
  <c r="U16" i="1" s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6" i="1"/>
  <c r="K145" i="1"/>
  <c r="K144" i="1"/>
  <c r="K143" i="1"/>
  <c r="K71" i="1"/>
  <c r="K17" i="1"/>
  <c r="K16" i="1"/>
  <c r="K15" i="1"/>
  <c r="K14" i="1"/>
  <c r="K13" i="1"/>
  <c r="K12" i="1"/>
  <c r="R11" i="1" s="1"/>
  <c r="K11" i="1"/>
  <c r="R10" i="1" s="1"/>
  <c r="K10" i="1"/>
  <c r="K9" i="1"/>
  <c r="K8" i="1"/>
  <c r="K7" i="1"/>
  <c r="A71" i="1"/>
  <c r="B7" i="1"/>
  <c r="A333" i="1" l="1"/>
  <c r="Y88" i="1" s="1"/>
  <c r="S10" i="1"/>
  <c r="S102" i="1"/>
  <c r="U6" i="1"/>
  <c r="A334" i="1"/>
  <c r="Y89" i="1" s="1"/>
  <c r="A173" i="1"/>
  <c r="B210" i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A209" i="1"/>
  <c r="M187" i="1"/>
  <c r="M411" i="1"/>
  <c r="N411" i="1" s="1"/>
  <c r="M406" i="1"/>
  <c r="N406" i="1" s="1"/>
  <c r="M391" i="1"/>
  <c r="N391" i="1" s="1"/>
  <c r="M417" i="1"/>
  <c r="N417" i="1" s="1"/>
  <c r="M412" i="1"/>
  <c r="N412" i="1" s="1"/>
  <c r="M408" i="1"/>
  <c r="N408" i="1" s="1"/>
  <c r="M392" i="1"/>
  <c r="N392" i="1" s="1"/>
  <c r="M419" i="1"/>
  <c r="N419" i="1" s="1"/>
  <c r="M414" i="1"/>
  <c r="N414" i="1" s="1"/>
  <c r="M404" i="1"/>
  <c r="N404" i="1" s="1"/>
  <c r="M396" i="1"/>
  <c r="N396" i="1" s="1"/>
  <c r="M129" i="1"/>
  <c r="N129" i="1" s="1"/>
  <c r="M416" i="1"/>
  <c r="N416" i="1" s="1"/>
  <c r="M395" i="1"/>
  <c r="N395" i="1" s="1"/>
  <c r="M369" i="1"/>
  <c r="N369" i="1" s="1"/>
  <c r="M112" i="1"/>
  <c r="N112" i="1" s="1"/>
  <c r="M372" i="1"/>
  <c r="N372" i="1" s="1"/>
  <c r="M163" i="1"/>
  <c r="M306" i="1"/>
  <c r="N306" i="1" s="1"/>
  <c r="M248" i="1"/>
  <c r="N248" i="1" s="1"/>
  <c r="M299" i="1"/>
  <c r="N299" i="1" s="1"/>
  <c r="M246" i="1"/>
  <c r="N246" i="1" s="1"/>
  <c r="M361" i="1"/>
  <c r="N361" i="1" s="1"/>
  <c r="M73" i="1"/>
  <c r="N73" i="1" s="1"/>
  <c r="M137" i="1"/>
  <c r="N137" i="1" s="1"/>
  <c r="M33" i="1"/>
  <c r="N33" i="1" s="1"/>
  <c r="M422" i="1"/>
  <c r="N422" i="1" s="1"/>
  <c r="M379" i="1"/>
  <c r="N379" i="1" s="1"/>
  <c r="M283" i="1"/>
  <c r="N283" i="1" s="1"/>
  <c r="M342" i="1"/>
  <c r="N342" i="1" s="1"/>
  <c r="M182" i="1"/>
  <c r="N182" i="1" s="1"/>
  <c r="M29" i="1"/>
  <c r="N29" i="1" s="1"/>
  <c r="M126" i="1"/>
  <c r="N126" i="1" s="1"/>
  <c r="M418" i="1"/>
  <c r="N418" i="1" s="1"/>
  <c r="M409" i="1"/>
  <c r="N409" i="1" s="1"/>
  <c r="M413" i="1"/>
  <c r="N413" i="1" s="1"/>
  <c r="M407" i="1"/>
  <c r="N407" i="1" s="1"/>
  <c r="M393" i="1"/>
  <c r="N393" i="1" s="1"/>
  <c r="M426" i="1"/>
  <c r="N426" i="1" s="1"/>
  <c r="M326" i="1"/>
  <c r="N326" i="1" s="1"/>
  <c r="M308" i="1"/>
  <c r="N308" i="1" s="1"/>
  <c r="M159" i="1"/>
  <c r="M221" i="1"/>
  <c r="M294" i="1"/>
  <c r="N294" i="1" s="1"/>
  <c r="M289" i="1"/>
  <c r="N289" i="1" s="1"/>
  <c r="M423" i="1"/>
  <c r="N423" i="1" s="1"/>
  <c r="M310" i="1"/>
  <c r="N310" i="1" s="1"/>
  <c r="M300" i="1"/>
  <c r="N300" i="1" s="1"/>
  <c r="M267" i="1"/>
  <c r="N267" i="1" s="1"/>
  <c r="M370" i="1"/>
  <c r="N370" i="1" s="1"/>
  <c r="M343" i="1"/>
  <c r="N343" i="1" s="1"/>
  <c r="M252" i="1"/>
  <c r="N252" i="1" s="1"/>
  <c r="M186" i="1"/>
  <c r="N186" i="1" s="1"/>
  <c r="M170" i="1"/>
  <c r="N170" i="1" s="1"/>
  <c r="M352" i="1"/>
  <c r="N352" i="1" s="1"/>
  <c r="M225" i="1"/>
  <c r="M156" i="1"/>
  <c r="M332" i="1"/>
  <c r="N332" i="1" s="1"/>
  <c r="M81" i="1"/>
  <c r="N81" i="1" s="1"/>
  <c r="M224" i="1"/>
  <c r="M223" i="1"/>
  <c r="M162" i="1"/>
  <c r="M76" i="1"/>
  <c r="N76" i="1" s="1"/>
  <c r="M293" i="1"/>
  <c r="N293" i="1" s="1"/>
  <c r="M24" i="1"/>
  <c r="N24" i="1" s="1"/>
  <c r="M14" i="1"/>
  <c r="N14" i="1" s="1"/>
  <c r="M10" i="1"/>
  <c r="N10" i="1" s="1"/>
  <c r="M383" i="1"/>
  <c r="N383" i="1" s="1"/>
  <c r="M15" i="1"/>
  <c r="N15" i="1" s="1"/>
  <c r="M9" i="1"/>
  <c r="N9" i="1" s="1"/>
  <c r="M400" i="1"/>
  <c r="N400" i="1" s="1"/>
  <c r="M17" i="1"/>
  <c r="N17" i="1" s="1"/>
  <c r="M12" i="1"/>
  <c r="N12" i="1" s="1"/>
  <c r="M399" i="1"/>
  <c r="N399" i="1" s="1"/>
  <c r="M384" i="1"/>
  <c r="N384" i="1" s="1"/>
  <c r="M16" i="1"/>
  <c r="N16" i="1" s="1"/>
  <c r="M11" i="1"/>
  <c r="N11" i="1" s="1"/>
  <c r="M13" i="1"/>
  <c r="N13" i="1" s="1"/>
  <c r="M265" i="1"/>
  <c r="N265" i="1" s="1"/>
  <c r="M263" i="1"/>
  <c r="N263" i="1" s="1"/>
  <c r="M8" i="1"/>
  <c r="N8" i="1" s="1"/>
  <c r="M261" i="1"/>
  <c r="N261" i="1" s="1"/>
  <c r="M262" i="1"/>
  <c r="N262" i="1" s="1"/>
  <c r="M264" i="1"/>
  <c r="N264" i="1" s="1"/>
  <c r="M32" i="1"/>
  <c r="N32" i="1" s="1"/>
  <c r="M107" i="1"/>
  <c r="N107" i="1" s="1"/>
  <c r="M122" i="1"/>
  <c r="N122" i="1" s="1"/>
  <c r="M31" i="1"/>
  <c r="N31" i="1" s="1"/>
  <c r="M84" i="1"/>
  <c r="N84" i="1" s="1"/>
  <c r="M103" i="1"/>
  <c r="N103" i="1" s="1"/>
  <c r="M131" i="1"/>
  <c r="N131" i="1" s="1"/>
  <c r="M292" i="1"/>
  <c r="N292" i="1" s="1"/>
  <c r="M288" i="1"/>
  <c r="N288" i="1" s="1"/>
  <c r="M284" i="1"/>
  <c r="N284" i="1" s="1"/>
  <c r="M297" i="1"/>
  <c r="N297" i="1" s="1"/>
  <c r="M35" i="1"/>
  <c r="N35" i="1" s="1"/>
  <c r="M74" i="1"/>
  <c r="N74" i="1" s="1"/>
  <c r="M123" i="1"/>
  <c r="N123" i="1" s="1"/>
  <c r="M145" i="1"/>
  <c r="N145" i="1" s="1"/>
  <c r="M157" i="1"/>
  <c r="M23" i="1"/>
  <c r="N23" i="1" s="1"/>
  <c r="M108" i="1"/>
  <c r="N108" i="1" s="1"/>
  <c r="M132" i="1"/>
  <c r="N132" i="1" s="1"/>
  <c r="M158" i="1"/>
  <c r="M216" i="1"/>
  <c r="M212" i="1"/>
  <c r="M226" i="1"/>
  <c r="M79" i="1"/>
  <c r="N79" i="1" s="1"/>
  <c r="M121" i="1"/>
  <c r="N121" i="1" s="1"/>
  <c r="M125" i="1"/>
  <c r="N125" i="1" s="1"/>
  <c r="M155" i="1"/>
  <c r="M309" i="1"/>
  <c r="N309" i="1" s="1"/>
  <c r="M330" i="1"/>
  <c r="N330" i="1" s="1"/>
  <c r="M148" i="1"/>
  <c r="M152" i="1"/>
  <c r="M209" i="1"/>
  <c r="M231" i="1"/>
  <c r="M304" i="1"/>
  <c r="N304" i="1" s="1"/>
  <c r="M334" i="1"/>
  <c r="N334" i="1" s="1"/>
  <c r="M355" i="1"/>
  <c r="N355" i="1" s="1"/>
  <c r="M351" i="1"/>
  <c r="N351" i="1" s="1"/>
  <c r="M385" i="1"/>
  <c r="N385" i="1" s="1"/>
  <c r="M388" i="1"/>
  <c r="N388" i="1" s="1"/>
  <c r="M401" i="1"/>
  <c r="N401" i="1" s="1"/>
  <c r="M364" i="1"/>
  <c r="N364" i="1" s="1"/>
  <c r="M360" i="1"/>
  <c r="N360" i="1" s="1"/>
  <c r="M386" i="1"/>
  <c r="N386" i="1" s="1"/>
  <c r="M169" i="1"/>
  <c r="N169" i="1" s="1"/>
  <c r="M185" i="1"/>
  <c r="N185" i="1" s="1"/>
  <c r="M181" i="1"/>
  <c r="N181" i="1" s="1"/>
  <c r="M177" i="1"/>
  <c r="N177" i="1" s="1"/>
  <c r="M173" i="1"/>
  <c r="N173" i="1" s="1"/>
  <c r="M228" i="1"/>
  <c r="M255" i="1"/>
  <c r="N255" i="1" s="1"/>
  <c r="M251" i="1"/>
  <c r="N251" i="1" s="1"/>
  <c r="M247" i="1"/>
  <c r="N247" i="1" s="1"/>
  <c r="M345" i="1"/>
  <c r="N345" i="1" s="1"/>
  <c r="M341" i="1"/>
  <c r="N341" i="1" s="1"/>
  <c r="M368" i="1"/>
  <c r="N368" i="1" s="1"/>
  <c r="M380" i="1"/>
  <c r="N380" i="1" s="1"/>
  <c r="M104" i="1"/>
  <c r="N104" i="1" s="1"/>
  <c r="M134" i="1"/>
  <c r="N134" i="1" s="1"/>
  <c r="M82" i="1"/>
  <c r="N82" i="1" s="1"/>
  <c r="M127" i="1"/>
  <c r="N127" i="1" s="1"/>
  <c r="M291" i="1"/>
  <c r="N291" i="1" s="1"/>
  <c r="M287" i="1"/>
  <c r="N287" i="1" s="1"/>
  <c r="M303" i="1"/>
  <c r="N303" i="1" s="1"/>
  <c r="M19" i="1"/>
  <c r="N19" i="1" s="1"/>
  <c r="M87" i="1"/>
  <c r="N87" i="1" s="1"/>
  <c r="M110" i="1"/>
  <c r="N110" i="1" s="1"/>
  <c r="M136" i="1"/>
  <c r="N136" i="1" s="1"/>
  <c r="M149" i="1"/>
  <c r="M34" i="1"/>
  <c r="N34" i="1" s="1"/>
  <c r="M71" i="1"/>
  <c r="N71" i="1" s="1"/>
  <c r="M106" i="1"/>
  <c r="N106" i="1" s="1"/>
  <c r="M128" i="1"/>
  <c r="N128" i="1" s="1"/>
  <c r="M154" i="1"/>
  <c r="M222" i="1"/>
  <c r="M219" i="1"/>
  <c r="M215" i="1"/>
  <c r="M211" i="1"/>
  <c r="M229" i="1"/>
  <c r="M85" i="1"/>
  <c r="N85" i="1" s="1"/>
  <c r="M77" i="1"/>
  <c r="N77" i="1" s="1"/>
  <c r="M143" i="1"/>
  <c r="N143" i="1" s="1"/>
  <c r="M151" i="1"/>
  <c r="M305" i="1"/>
  <c r="N305" i="1" s="1"/>
  <c r="M329" i="1"/>
  <c r="N329" i="1" s="1"/>
  <c r="M220" i="1"/>
  <c r="M295" i="1"/>
  <c r="N295" i="1" s="1"/>
  <c r="M337" i="1"/>
  <c r="N337" i="1" s="1"/>
  <c r="M333" i="1"/>
  <c r="N333" i="1" s="1"/>
  <c r="M354" i="1"/>
  <c r="N354" i="1" s="1"/>
  <c r="M350" i="1"/>
  <c r="N350" i="1" s="1"/>
  <c r="M381" i="1"/>
  <c r="N381" i="1" s="1"/>
  <c r="M398" i="1"/>
  <c r="N398" i="1" s="1"/>
  <c r="M363" i="1"/>
  <c r="N363" i="1" s="1"/>
  <c r="M359" i="1"/>
  <c r="N359" i="1" s="1"/>
  <c r="M382" i="1"/>
  <c r="N382" i="1" s="1"/>
  <c r="M374" i="1"/>
  <c r="N374" i="1" s="1"/>
  <c r="M168" i="1"/>
  <c r="N168" i="1" s="1"/>
  <c r="M190" i="1"/>
  <c r="N190" i="1" s="1"/>
  <c r="M184" i="1"/>
  <c r="N184" i="1" s="1"/>
  <c r="M180" i="1"/>
  <c r="N180" i="1" s="1"/>
  <c r="M176" i="1"/>
  <c r="N176" i="1" s="1"/>
  <c r="M260" i="1"/>
  <c r="N260" i="1" s="1"/>
  <c r="M258" i="1"/>
  <c r="N258" i="1" s="1"/>
  <c r="M254" i="1"/>
  <c r="N254" i="1" s="1"/>
  <c r="M250" i="1"/>
  <c r="N250" i="1" s="1"/>
  <c r="M344" i="1"/>
  <c r="N344" i="1" s="1"/>
  <c r="M340" i="1"/>
  <c r="N340" i="1" s="1"/>
  <c r="M366" i="1"/>
  <c r="N366" i="1" s="1"/>
  <c r="M367" i="1"/>
  <c r="N367" i="1" s="1"/>
  <c r="M376" i="1"/>
  <c r="N376" i="1" s="1"/>
  <c r="M22" i="1"/>
  <c r="N22" i="1" s="1"/>
  <c r="M25" i="1"/>
  <c r="N25" i="1" s="1"/>
  <c r="M86" i="1"/>
  <c r="N86" i="1" s="1"/>
  <c r="M113" i="1"/>
  <c r="N113" i="1" s="1"/>
  <c r="M100" i="1"/>
  <c r="N100" i="1" s="1"/>
  <c r="M130" i="1"/>
  <c r="N130" i="1" s="1"/>
  <c r="M78" i="1"/>
  <c r="N78" i="1" s="1"/>
  <c r="M99" i="1"/>
  <c r="N99" i="1" s="1"/>
  <c r="M161" i="1"/>
  <c r="M266" i="1"/>
  <c r="N266" i="1" s="1"/>
  <c r="M290" i="1"/>
  <c r="N290" i="1" s="1"/>
  <c r="M286" i="1"/>
  <c r="N286" i="1" s="1"/>
  <c r="M307" i="1"/>
  <c r="N307" i="1" s="1"/>
  <c r="M26" i="1"/>
  <c r="N26" i="1" s="1"/>
  <c r="M28" i="1"/>
  <c r="N28" i="1" s="1"/>
  <c r="M80" i="1"/>
  <c r="N80" i="1" s="1"/>
  <c r="M30" i="1"/>
  <c r="N30" i="1" s="1"/>
  <c r="M115" i="1"/>
  <c r="N115" i="1" s="1"/>
  <c r="M102" i="1"/>
  <c r="N102" i="1" s="1"/>
  <c r="M124" i="1"/>
  <c r="N124" i="1" s="1"/>
  <c r="M146" i="1"/>
  <c r="N146" i="1" s="1"/>
  <c r="M150" i="1"/>
  <c r="M218" i="1"/>
  <c r="M214" i="1"/>
  <c r="M210" i="1"/>
  <c r="M257" i="1"/>
  <c r="N257" i="1" s="1"/>
  <c r="M83" i="1"/>
  <c r="N83" i="1" s="1"/>
  <c r="M75" i="1"/>
  <c r="N75" i="1" s="1"/>
  <c r="M105" i="1"/>
  <c r="N105" i="1" s="1"/>
  <c r="M133" i="1"/>
  <c r="N133" i="1" s="1"/>
  <c r="M281" i="1"/>
  <c r="N281" i="1" s="1"/>
  <c r="M313" i="1"/>
  <c r="N313" i="1" s="1"/>
  <c r="M328" i="1"/>
  <c r="N328" i="1" s="1"/>
  <c r="M160" i="1"/>
  <c r="M227" i="1"/>
  <c r="M336" i="1"/>
  <c r="N336" i="1" s="1"/>
  <c r="M353" i="1"/>
  <c r="N353" i="1" s="1"/>
  <c r="M349" i="1"/>
  <c r="N349" i="1" s="1"/>
  <c r="M377" i="1"/>
  <c r="N377" i="1" s="1"/>
  <c r="M397" i="1"/>
  <c r="N397" i="1" s="1"/>
  <c r="M339" i="1"/>
  <c r="N339" i="1" s="1"/>
  <c r="M362" i="1"/>
  <c r="N362" i="1" s="1"/>
  <c r="M358" i="1"/>
  <c r="N358" i="1" s="1"/>
  <c r="M164" i="1"/>
  <c r="M167" i="1"/>
  <c r="N167" i="1" s="1"/>
  <c r="M189" i="1"/>
  <c r="N189" i="1" s="1"/>
  <c r="M183" i="1"/>
  <c r="N183" i="1" s="1"/>
  <c r="M179" i="1"/>
  <c r="N179" i="1" s="1"/>
  <c r="M175" i="1"/>
  <c r="N175" i="1" s="1"/>
  <c r="M230" i="1"/>
  <c r="M253" i="1"/>
  <c r="N253" i="1" s="1"/>
  <c r="M249" i="1"/>
  <c r="N249" i="1" s="1"/>
  <c r="M420" i="1"/>
  <c r="N420" i="1" s="1"/>
  <c r="M424" i="1"/>
  <c r="N424" i="1" s="1"/>
  <c r="M296" i="1"/>
  <c r="N296" i="1" s="1"/>
  <c r="M301" i="1"/>
  <c r="N301" i="1" s="1"/>
  <c r="M346" i="1"/>
  <c r="N346" i="1" s="1"/>
  <c r="M256" i="1"/>
  <c r="N256" i="1" s="1"/>
  <c r="M174" i="1"/>
  <c r="N174" i="1" s="1"/>
  <c r="M378" i="1"/>
  <c r="N378" i="1" s="1"/>
  <c r="M402" i="1"/>
  <c r="N402" i="1" s="1"/>
  <c r="M327" i="1"/>
  <c r="N327" i="1" s="1"/>
  <c r="M101" i="1"/>
  <c r="N101" i="1" s="1"/>
  <c r="M213" i="1"/>
  <c r="M188" i="1"/>
  <c r="N188" i="1" s="1"/>
  <c r="M311" i="1"/>
  <c r="N311" i="1" s="1"/>
  <c r="M153" i="1"/>
  <c r="M21" i="1"/>
  <c r="N21" i="1" s="1"/>
  <c r="M390" i="1"/>
  <c r="N390" i="1" s="1"/>
  <c r="M394" i="1"/>
  <c r="N394" i="1" s="1"/>
  <c r="M421" i="1"/>
  <c r="N421" i="1" s="1"/>
  <c r="M425" i="1"/>
  <c r="N425" i="1" s="1"/>
  <c r="M375" i="1"/>
  <c r="N375" i="1" s="1"/>
  <c r="M312" i="1"/>
  <c r="N312" i="1" s="1"/>
  <c r="M298" i="1"/>
  <c r="N298" i="1" s="1"/>
  <c r="M302" i="1"/>
  <c r="N302" i="1" s="1"/>
  <c r="M348" i="1"/>
  <c r="N348" i="1" s="1"/>
  <c r="M259" i="1"/>
  <c r="N259" i="1" s="1"/>
  <c r="M178" i="1"/>
  <c r="N178" i="1" s="1"/>
  <c r="M172" i="1"/>
  <c r="N172" i="1" s="1"/>
  <c r="M357" i="1"/>
  <c r="N357" i="1" s="1"/>
  <c r="M373" i="1"/>
  <c r="N373" i="1" s="1"/>
  <c r="M335" i="1"/>
  <c r="N335" i="1" s="1"/>
  <c r="M144" i="1"/>
  <c r="N144" i="1" s="1"/>
  <c r="M114" i="1"/>
  <c r="N114" i="1" s="1"/>
  <c r="M217" i="1"/>
  <c r="M111" i="1"/>
  <c r="N111" i="1" s="1"/>
  <c r="M27" i="1"/>
  <c r="N27" i="1" s="1"/>
  <c r="M135" i="1"/>
  <c r="N135" i="1" s="1"/>
  <c r="M20" i="1"/>
  <c r="N20" i="1" s="1"/>
  <c r="M285" i="1"/>
  <c r="N285" i="1" s="1"/>
  <c r="M72" i="1"/>
  <c r="N72" i="1" s="1"/>
  <c r="M109" i="1"/>
  <c r="N109" i="1" s="1"/>
  <c r="M7" i="1"/>
  <c r="N7" i="1" s="1"/>
  <c r="N187" i="1"/>
  <c r="B251" i="1"/>
  <c r="B252" i="1" s="1"/>
  <c r="B253" i="1" s="1"/>
  <c r="B254" i="1" s="1"/>
  <c r="B255" i="1" s="1"/>
  <c r="B256" i="1" s="1"/>
  <c r="A72" i="1"/>
  <c r="A73" i="1" s="1"/>
  <c r="A74" i="1" s="1"/>
  <c r="A75" i="1" s="1"/>
  <c r="B101" i="1"/>
  <c r="B124" i="1"/>
  <c r="A13" i="1"/>
  <c r="X12" i="1" s="1"/>
  <c r="B8" i="1"/>
  <c r="Z6" i="1" l="1"/>
  <c r="A76" i="1"/>
  <c r="U10" i="1"/>
  <c r="U8" i="1"/>
  <c r="U9" i="1"/>
  <c r="U7" i="1"/>
  <c r="Z7" i="1" s="1"/>
  <c r="A210" i="1"/>
  <c r="A211" i="1" s="1"/>
  <c r="A212" i="1" s="1"/>
  <c r="A213" i="1" s="1"/>
  <c r="A214" i="1" s="1"/>
  <c r="A215" i="1" s="1"/>
  <c r="A216" i="1" s="1"/>
  <c r="A217" i="1" s="1"/>
  <c r="A218" i="1" s="1"/>
  <c r="A219" i="1" s="1"/>
  <c r="A174" i="1"/>
  <c r="A335" i="1"/>
  <c r="Y85" i="1" s="1"/>
  <c r="A14" i="1"/>
  <c r="A77" i="1"/>
  <c r="A78" i="1" s="1"/>
  <c r="B283" i="1"/>
  <c r="B257" i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A220" i="1"/>
  <c r="N427" i="1"/>
  <c r="N338" i="1"/>
  <c r="N365" i="1"/>
  <c r="N403" i="1"/>
  <c r="N347" i="1"/>
  <c r="N387" i="1"/>
  <c r="N356" i="1"/>
  <c r="N415" i="1"/>
  <c r="N371" i="1"/>
  <c r="N325" i="1"/>
  <c r="N331" i="1"/>
  <c r="B102" i="1"/>
  <c r="B125" i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9" i="1"/>
  <c r="A15" i="1" l="1"/>
  <c r="R14" i="1" s="1"/>
  <c r="X13" i="1"/>
  <c r="X102" i="1" s="1"/>
  <c r="A79" i="1"/>
  <c r="W19" i="1" s="1"/>
  <c r="W18" i="1"/>
  <c r="Z8" i="1"/>
  <c r="W17" i="1"/>
  <c r="A175" i="1"/>
  <c r="A221" i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B284" i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A336" i="1"/>
  <c r="Y86" i="1" s="1"/>
  <c r="A80" i="1"/>
  <c r="A16" i="1"/>
  <c r="A246" i="1"/>
  <c r="B103" i="1"/>
  <c r="B10" i="1"/>
  <c r="A17" i="1" l="1"/>
  <c r="R15" i="1"/>
  <c r="Z9" i="1"/>
  <c r="A81" i="1"/>
  <c r="A247" i="1"/>
  <c r="A337" i="1"/>
  <c r="Y87" i="1" s="1"/>
  <c r="Y102" i="1" s="1"/>
  <c r="A176" i="1"/>
  <c r="B104" i="1"/>
  <c r="B11" i="1"/>
  <c r="Z10" i="1" l="1"/>
  <c r="A177" i="1"/>
  <c r="B105" i="1"/>
  <c r="B106" i="1" s="1"/>
  <c r="B107" i="1" s="1"/>
  <c r="B108" i="1" s="1"/>
  <c r="B109" i="1" s="1"/>
  <c r="B110" i="1" s="1"/>
  <c r="B111" i="1" s="1"/>
  <c r="A248" i="1"/>
  <c r="A82" i="1"/>
  <c r="B12" i="1"/>
  <c r="Z11" i="1" l="1"/>
  <c r="A83" i="1"/>
  <c r="R23" i="1" s="1"/>
  <c r="A249" i="1"/>
  <c r="B112" i="1"/>
  <c r="B113" i="1" s="1"/>
  <c r="B114" i="1" s="1"/>
  <c r="B115" i="1" s="1"/>
  <c r="B116" i="1" s="1"/>
  <c r="A178" i="1"/>
  <c r="B13" i="1"/>
  <c r="B117" i="1" l="1"/>
  <c r="B118" i="1" s="1"/>
  <c r="B119" i="1" s="1"/>
  <c r="A179" i="1"/>
  <c r="A180" i="1" s="1"/>
  <c r="A250" i="1"/>
  <c r="A84" i="1"/>
  <c r="B14" i="1"/>
  <c r="A85" i="1" l="1"/>
  <c r="R24" i="1" s="1"/>
  <c r="Z13" i="1"/>
  <c r="A251" i="1"/>
  <c r="A181" i="1"/>
  <c r="B15" i="1"/>
  <c r="A86" i="1" l="1"/>
  <c r="Z14" i="1"/>
  <c r="A252" i="1"/>
  <c r="A87" i="1"/>
  <c r="A88" i="1" s="1"/>
  <c r="W27" i="1" s="1"/>
  <c r="A182" i="1"/>
  <c r="B16" i="1"/>
  <c r="Z15" i="1" l="1"/>
  <c r="A183" i="1"/>
  <c r="W60" i="1" s="1"/>
  <c r="A89" i="1"/>
  <c r="A253" i="1"/>
  <c r="A254" i="1" s="1"/>
  <c r="B17" i="1"/>
  <c r="A184" i="1" l="1"/>
  <c r="A185" i="1" s="1"/>
  <c r="A255" i="1"/>
  <c r="A90" i="1"/>
  <c r="N6" i="1"/>
  <c r="Z17" i="1" l="1"/>
  <c r="A186" i="1"/>
  <c r="A91" i="1"/>
  <c r="A256" i="1"/>
  <c r="N164" i="1"/>
  <c r="N163" i="1" s="1"/>
  <c r="N162" i="1" s="1"/>
  <c r="N161" i="1" s="1"/>
  <c r="N160" i="1" s="1"/>
  <c r="N159" i="1" s="1"/>
  <c r="N158" i="1" s="1"/>
  <c r="N157" i="1" s="1"/>
  <c r="N156" i="1" s="1"/>
  <c r="N155" i="1" s="1"/>
  <c r="N154" i="1" s="1"/>
  <c r="N153" i="1" s="1"/>
  <c r="N152" i="1" s="1"/>
  <c r="N151" i="1" s="1"/>
  <c r="N150" i="1" s="1"/>
  <c r="N149" i="1" s="1"/>
  <c r="N148" i="1" s="1"/>
  <c r="N147" i="1" s="1"/>
  <c r="N231" i="1"/>
  <c r="N230" i="1" s="1"/>
  <c r="N229" i="1" s="1"/>
  <c r="N228" i="1" s="1"/>
  <c r="N227" i="1" s="1"/>
  <c r="N226" i="1" s="1"/>
  <c r="N225" i="1" s="1"/>
  <c r="N224" i="1" s="1"/>
  <c r="N223" i="1" s="1"/>
  <c r="N222" i="1" s="1"/>
  <c r="N221" i="1" s="1"/>
  <c r="N220" i="1" s="1"/>
  <c r="N219" i="1" s="1"/>
  <c r="N218" i="1" s="1"/>
  <c r="N217" i="1" s="1"/>
  <c r="N216" i="1" s="1"/>
  <c r="N215" i="1" s="1"/>
  <c r="N214" i="1" s="1"/>
  <c r="N213" i="1" s="1"/>
  <c r="N212" i="1" s="1"/>
  <c r="N211" i="1" s="1"/>
  <c r="N210" i="1" s="1"/>
  <c r="N209" i="1" s="1"/>
  <c r="N208" i="1" s="1"/>
  <c r="N70" i="1"/>
  <c r="N98" i="1"/>
  <c r="N245" i="1"/>
  <c r="N142" i="1"/>
  <c r="N166" i="1"/>
  <c r="N171" i="1"/>
  <c r="N120" i="1"/>
  <c r="N18" i="1"/>
  <c r="A257" i="1" l="1"/>
  <c r="A258" i="1" s="1"/>
  <c r="Z18" i="1"/>
  <c r="A92" i="1"/>
  <c r="W33" i="1" s="1"/>
  <c r="A187" i="1"/>
  <c r="N428" i="1"/>
  <c r="Z19" i="1" l="1"/>
  <c r="A188" i="1"/>
  <c r="A93" i="1"/>
  <c r="W45" i="1" s="1"/>
  <c r="A259" i="1"/>
  <c r="A260" i="1" l="1"/>
  <c r="A94" i="1"/>
  <c r="U46" i="1" s="1"/>
  <c r="A189" i="1"/>
  <c r="A190" i="1" l="1"/>
  <c r="W64" i="1" s="1"/>
  <c r="A95" i="1"/>
  <c r="U25" i="1" s="1"/>
  <c r="A261" i="1"/>
  <c r="A262" i="1" l="1"/>
  <c r="A96" i="1"/>
  <c r="U41" i="1" s="1"/>
  <c r="A191" i="1"/>
  <c r="A192" i="1" s="1"/>
  <c r="A193" i="1" l="1"/>
  <c r="A194" i="1" s="1"/>
  <c r="Z23" i="1"/>
  <c r="A97" i="1"/>
  <c r="U43" i="1" s="1"/>
  <c r="U102" i="1" s="1"/>
  <c r="A263" i="1"/>
  <c r="Z24" i="1" l="1"/>
  <c r="A264" i="1"/>
  <c r="A195" i="1"/>
  <c r="A196" i="1" l="1"/>
  <c r="A265" i="1"/>
  <c r="A266" i="1" s="1"/>
  <c r="Z26" i="1" l="1"/>
  <c r="A267" i="1"/>
  <c r="A197" i="1"/>
  <c r="Z27" i="1" l="1"/>
  <c r="A198" i="1"/>
  <c r="A268" i="1"/>
  <c r="Z28" i="1" l="1"/>
  <c r="A269" i="1"/>
  <c r="A199" i="1"/>
  <c r="Z29" i="1" l="1"/>
  <c r="A200" i="1"/>
  <c r="A270" i="1"/>
  <c r="Z30" i="1" l="1"/>
  <c r="A271" i="1"/>
  <c r="A201" i="1"/>
  <c r="Z31" i="1" l="1"/>
  <c r="A202" i="1"/>
  <c r="A272" i="1"/>
  <c r="A273" i="1" l="1"/>
  <c r="A203" i="1"/>
  <c r="Z33" i="1" l="1"/>
  <c r="A204" i="1"/>
  <c r="A205" i="1" s="1"/>
  <c r="A274" i="1"/>
  <c r="Z34" i="1" l="1"/>
  <c r="A275" i="1"/>
  <c r="A206" i="1"/>
  <c r="Z35" i="1" l="1"/>
  <c r="A207" i="1"/>
  <c r="A276" i="1"/>
  <c r="Z36" i="1" l="1"/>
  <c r="A277" i="1"/>
  <c r="Z37" i="1" l="1"/>
  <c r="A278" i="1"/>
  <c r="A279" i="1" s="1"/>
  <c r="Z38" i="1" l="1"/>
  <c r="A280" i="1"/>
  <c r="Z39" i="1" l="1"/>
  <c r="A281" i="1"/>
  <c r="Z40" i="1" l="1"/>
  <c r="A282" i="1"/>
  <c r="Z41" i="1" l="1"/>
  <c r="A283" i="1"/>
  <c r="N282" i="1"/>
  <c r="Z42" i="1" l="1"/>
  <c r="A284" i="1"/>
  <c r="Z43" i="1" l="1"/>
  <c r="A285" i="1"/>
  <c r="A286" i="1" l="1"/>
  <c r="Z45" i="1" l="1"/>
  <c r="A287" i="1"/>
  <c r="Z46" i="1" l="1"/>
  <c r="A288" i="1"/>
  <c r="Z47" i="1" l="1"/>
  <c r="A289" i="1"/>
  <c r="Z48" i="1" l="1"/>
  <c r="A290" i="1"/>
  <c r="W44" i="1" s="1"/>
  <c r="Z44" i="1" s="1"/>
  <c r="Z49" i="1" l="1"/>
  <c r="A291" i="1"/>
  <c r="Z50" i="1" l="1"/>
  <c r="A292" i="1"/>
  <c r="Z51" i="1" l="1"/>
  <c r="A293" i="1"/>
  <c r="A294" i="1" l="1"/>
  <c r="W12" i="1"/>
  <c r="A295" i="1"/>
  <c r="Z12" i="1" l="1"/>
  <c r="A296" i="1"/>
  <c r="A297" i="1" l="1"/>
  <c r="A298" i="1" l="1"/>
  <c r="A299" i="1" l="1"/>
  <c r="A300" i="1" l="1"/>
  <c r="A301" i="1" l="1"/>
  <c r="A302" i="1" l="1"/>
  <c r="A303" i="1" s="1"/>
  <c r="Z60" i="1" l="1"/>
  <c r="A304" i="1"/>
  <c r="A305" i="1" l="1"/>
  <c r="A306" i="1" l="1"/>
  <c r="A307" i="1" l="1"/>
  <c r="Z64" i="1" l="1"/>
  <c r="A308" i="1"/>
  <c r="A309" i="1" l="1"/>
  <c r="A310" i="1" l="1"/>
  <c r="A311" i="1" l="1"/>
  <c r="A312" i="1" l="1"/>
  <c r="A313" i="1" l="1"/>
  <c r="A314" i="1" l="1"/>
  <c r="A315" i="1" l="1"/>
  <c r="A316" i="1" s="1"/>
  <c r="A317" i="1" l="1"/>
  <c r="A318" i="1" l="1"/>
  <c r="R52" i="1" l="1"/>
  <c r="Z52" i="1" s="1"/>
  <c r="R53" i="1"/>
  <c r="Z53" i="1" s="1"/>
  <c r="R16" i="1"/>
  <c r="Z16" i="1" s="1"/>
  <c r="R25" i="1"/>
  <c r="Z25" i="1" s="1"/>
  <c r="R65" i="1"/>
  <c r="V79" i="1"/>
  <c r="V102" i="1" s="1"/>
  <c r="W54" i="1"/>
  <c r="Z54" i="1" s="1"/>
  <c r="W55" i="1"/>
  <c r="Z55" i="1" s="1"/>
  <c r="W56" i="1"/>
  <c r="Z56" i="1" s="1"/>
  <c r="W57" i="1"/>
  <c r="Z57" i="1" s="1"/>
  <c r="W58" i="1"/>
  <c r="Z58" i="1" s="1"/>
  <c r="W21" i="1"/>
  <c r="Z21" i="1" s="1"/>
  <c r="W59" i="1"/>
  <c r="Z59" i="1" s="1"/>
  <c r="W22" i="1"/>
  <c r="Z22" i="1" s="1"/>
  <c r="W61" i="1"/>
  <c r="Z61" i="1" s="1"/>
  <c r="W80" i="1"/>
  <c r="W62" i="1"/>
  <c r="Z62" i="1" s="1"/>
  <c r="W63" i="1"/>
  <c r="Z63" i="1" s="1"/>
  <c r="W32" i="1"/>
  <c r="Z32" i="1" s="1"/>
  <c r="W20" i="1"/>
  <c r="W66" i="1"/>
  <c r="Z66" i="1" s="1"/>
  <c r="W67" i="1"/>
  <c r="Z67" i="1" s="1"/>
  <c r="W68" i="1"/>
  <c r="Z68" i="1" s="1"/>
  <c r="W69" i="1"/>
  <c r="Z69" i="1" s="1"/>
  <c r="W70" i="1"/>
  <c r="Z70" i="1" s="1"/>
  <c r="W71" i="1"/>
  <c r="Z71" i="1" s="1"/>
  <c r="W72" i="1"/>
  <c r="Z72" i="1" s="1"/>
  <c r="W73" i="1"/>
  <c r="Z73" i="1" s="1"/>
  <c r="W74" i="1"/>
  <c r="Z74" i="1" s="1"/>
  <c r="W75" i="1"/>
  <c r="W76" i="1"/>
  <c r="W77" i="1"/>
  <c r="W78" i="1"/>
  <c r="Z65" i="1" l="1"/>
  <c r="R102" i="1"/>
  <c r="Z20" i="1"/>
  <c r="W102" i="1"/>
  <c r="Z75" i="1"/>
  <c r="Z76" i="1" l="1"/>
  <c r="Z77" i="1" l="1"/>
  <c r="Z78" i="1" l="1"/>
  <c r="Z79" i="1" l="1"/>
  <c r="Z80" i="1" l="1"/>
  <c r="Z81" i="1" l="1"/>
  <c r="Z82" i="1" l="1"/>
  <c r="Z83" i="1" l="1"/>
  <c r="Z84" i="1" l="1"/>
  <c r="Z85" i="1" l="1"/>
  <c r="Z86" i="1" l="1"/>
  <c r="Z87" i="1" l="1"/>
  <c r="Z88" i="1" l="1"/>
  <c r="Z89" i="1" l="1"/>
  <c r="Z90" i="1" l="1"/>
  <c r="Z91" i="1" l="1"/>
  <c r="Z92" i="1" l="1"/>
  <c r="Z93" i="1" l="1"/>
  <c r="Z94" i="1" l="1"/>
  <c r="Z95" i="1" l="1"/>
  <c r="Z96" i="1" l="1"/>
  <c r="Z97" i="1" l="1"/>
  <c r="Z98" i="1" l="1"/>
  <c r="Z99" i="1" l="1"/>
  <c r="Z100" i="1"/>
  <c r="Z10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<sst xmlns="http://schemas.openxmlformats.org/spreadsheetml/2006/main" count="2427" uniqueCount="290">
  <si>
    <t>Projeto</t>
  </si>
  <si>
    <t>Empresa</t>
  </si>
  <si>
    <t>Revisão</t>
  </si>
  <si>
    <t>TORRE</t>
  </si>
  <si>
    <t>PAVIMENTO</t>
  </si>
  <si>
    <t>Descrição</t>
  </si>
  <si>
    <t>Quantidade</t>
  </si>
  <si>
    <t>Perda</t>
  </si>
  <si>
    <t>Qte com perda</t>
  </si>
  <si>
    <t>Unidade</t>
  </si>
  <si>
    <t>Custo unitário</t>
  </si>
  <si>
    <t>Custo Total</t>
  </si>
  <si>
    <t>TOTAL</t>
  </si>
  <si>
    <t>SUBSOLO</t>
  </si>
  <si>
    <t>m</t>
  </si>
  <si>
    <t>GERAL</t>
  </si>
  <si>
    <t>TOTAL:</t>
  </si>
  <si>
    <t>GRUPO/EAP</t>
  </si>
  <si>
    <t>Torre</t>
  </si>
  <si>
    <t>Repetição</t>
  </si>
  <si>
    <t>EAP</t>
  </si>
  <si>
    <t>Senna Tower</t>
  </si>
  <si>
    <t>FG</t>
  </si>
  <si>
    <t>R00 - Letícia</t>
  </si>
  <si>
    <t>1° PAV. TÉRREO</t>
  </si>
  <si>
    <t>2° PAV. - ESTAC. 01</t>
  </si>
  <si>
    <t>3° PAV. - ESTAC. 02</t>
  </si>
  <si>
    <t>4º PAV. - ESTAC. 03</t>
  </si>
  <si>
    <t>5º PAV. - ESTAC. 04</t>
  </si>
  <si>
    <t>6º PAV. - ESTAC. 05</t>
  </si>
  <si>
    <t>8º PAV. - LAZER PÚBLICO 01</t>
  </si>
  <si>
    <t>7º PAV. - ESTAC. 06</t>
  </si>
  <si>
    <t>9º PAV. - LAZER PÚBLICO 02</t>
  </si>
  <si>
    <t>10º PAV. - LAZER 01</t>
  </si>
  <si>
    <t>11º PAV. - LAZER 02</t>
  </si>
  <si>
    <t>63º PAV. - LAZER 03</t>
  </si>
  <si>
    <t>64º PAV. - LAZER 04</t>
  </si>
  <si>
    <t>140º PAV. - LAZER 05</t>
  </si>
  <si>
    <t>141º PAV. - LAZER 06</t>
  </si>
  <si>
    <t>CLIMATIZAÇÃO E EXAUSTÃO</t>
  </si>
  <si>
    <t>Controlador com sensor de monóxido de carbono. Interligado por wifi integrado ao sistema de ventilação do subsolo.</t>
  </si>
  <si>
    <t>Ventilador de indução direcionador de ar compacto com motor eletrônico, com drive STG02-DRV, comunicação por wifi integrado.</t>
  </si>
  <si>
    <t>Ventilador tubo axial com motor eletrônico, vazão máxima de 11.000 m³/h, ruído máximo 76 dB(A) livre, com drive STG02-DRV, comunicação por wifi integrado.</t>
  </si>
  <si>
    <t>Ventilador tubo axial com motor eletrônico, vazão máxima de 19.300 m³/h, ruído máximo 81 dB(A) livre, com drive STG02-DRV, comunicação por wifi integrado.</t>
  </si>
  <si>
    <t>Modelo</t>
  </si>
  <si>
    <t>STG02-MINI</t>
  </si>
  <si>
    <t>STG-SJF
3000EC</t>
  </si>
  <si>
    <t>STG-AFSW500
EC</t>
  </si>
  <si>
    <t>STG-AFSW800
EC</t>
  </si>
  <si>
    <t>TIPO 01</t>
  </si>
  <si>
    <t>Referência</t>
  </si>
  <si>
    <t>Ventilador helicocentrífugo, baixo nível de ruído, com elementos acústicos, junta de borracha na sucção e descarga.</t>
  </si>
  <si>
    <t>Ventilador helicocentrífugo com caixa de bornes externa, motor regulável, duas velocidades.</t>
  </si>
  <si>
    <t>Unidade evaporadora tipo Hi-wall, capacidade 12.300 Btu/h, linha VRV, ciclo Q/F.</t>
  </si>
  <si>
    <t>Unidade evaporadora tipo Hi-wall, capacidade 24.200 Btu/h, linha VRV, ciclo Q/F.</t>
  </si>
  <si>
    <t>Daikin</t>
  </si>
  <si>
    <t>Soler &amp; Palau</t>
  </si>
  <si>
    <t>TD-160/100 N
SILENT</t>
  </si>
  <si>
    <t xml:space="preserve">TD-250/100 </t>
  </si>
  <si>
    <t>FXAQ32AVM</t>
  </si>
  <si>
    <t>FXAQ63AVM</t>
  </si>
  <si>
    <t>Grelha redonda fixa com colarinho de DN Ø100 mm.</t>
  </si>
  <si>
    <t>Grelha redonda fixa com colarinho de DN Ø200 mm.</t>
  </si>
  <si>
    <t>Boca com regulador de vazão, em plástico ABS, diâmetro nominal de Ø100mm.</t>
  </si>
  <si>
    <t>Sicflux</t>
  </si>
  <si>
    <t>S 100</t>
  </si>
  <si>
    <t>S 200</t>
  </si>
  <si>
    <t>RVA 100</t>
  </si>
  <si>
    <t>Storge</t>
  </si>
  <si>
    <t>Unidade condensadora linha VRV 6, Série R, Quente e Frio.</t>
  </si>
  <si>
    <t>REYQ26BYM</t>
  </si>
  <si>
    <t>REYQ20BYM</t>
  </si>
  <si>
    <t>Unidade evaporadora tipo Teto, capacidade 12.300 Btu/h, linha VRV, ciclo Q/F.</t>
  </si>
  <si>
    <t>Unidade evaporadora tipo Teto, capacidade 24.200 Btu/h, linha VRV, ciclo Q/F.</t>
  </si>
  <si>
    <t xml:space="preserve">FXHQ63MAVE </t>
  </si>
  <si>
    <t>FXHQ32MAVE</t>
  </si>
  <si>
    <t>Unidade evaporadora tipo Teto, capacidade 38.200 Btu/h, linha VRV, ciclo Q/F.</t>
  </si>
  <si>
    <t>FXHQ100MAVE</t>
  </si>
  <si>
    <t>Unidade evaporadora tipo cassete Round Flow, capacidade 38.200 Btu/h, linha VRV, ciclo Q/F.</t>
  </si>
  <si>
    <t>FXFQ100AVM</t>
  </si>
  <si>
    <t>Unidade evaporadora tipo cassete Round Flow, capacidade 47.800 Btu/h, linha VRV, ciclo Q/F.</t>
  </si>
  <si>
    <t>FXFQ125AVM</t>
  </si>
  <si>
    <t>BBT 250</t>
  </si>
  <si>
    <t>Gabinete de ventilação, com filtro G4+M5, paineis isolados</t>
  </si>
  <si>
    <t>Grelha redonda fixa com colarinho, em plástico ABS, colarinho de Ø100m.</t>
  </si>
  <si>
    <t>Grelha metálica retangular, com registro de lâminas convergentes.</t>
  </si>
  <si>
    <t>TROX</t>
  </si>
  <si>
    <t>AT-AG/225x125</t>
  </si>
  <si>
    <t>AT-AG/225x165</t>
  </si>
  <si>
    <t>BERLINERLUFT</t>
  </si>
  <si>
    <t>XHQ32MAVE</t>
  </si>
  <si>
    <t>XHQ63MAVE</t>
  </si>
  <si>
    <t>FXHQ63MAVE</t>
  </si>
  <si>
    <t>Arquivo</t>
  </si>
  <si>
    <t>SEN-AP-CLI-BLA-004-R01.pdf</t>
  </si>
  <si>
    <t>SEN-AP-CLI-BLA-005-R01.pdf</t>
  </si>
  <si>
    <t>SEN-AP-CLI-BLA-003-R01.pdf</t>
  </si>
  <si>
    <t>SEN-AP-CLI-BLA-002-R01.pdf</t>
  </si>
  <si>
    <t>SEN-AP-CLI-BLA-001-R01.pdf</t>
  </si>
  <si>
    <t>SEN-AP-EXT-001-SUB-R00.pdf</t>
  </si>
  <si>
    <t>SEN-AP-CLI-101-SUB-R01.pdf</t>
  </si>
  <si>
    <t>SEN-AP-EXT-003-G01-R00.pdf</t>
  </si>
  <si>
    <t>SEN-AP-EXT-002-TER-R00.pdf</t>
  </si>
  <si>
    <t>SEN-AP-EXT-004-G02-R00.pdf</t>
  </si>
  <si>
    <t>SEN-AP-EXT-005-G03-R00.pdf</t>
  </si>
  <si>
    <t>SEN-AP-EXT-006-G04-R00.pdf</t>
  </si>
  <si>
    <t>SEN-AP-EXT-007-G05-R00.pdf</t>
  </si>
  <si>
    <t>SEN-AP-EXT-008-G06-R00.pdf</t>
  </si>
  <si>
    <t>Gabinete de ventilação, com filtro G4+M5, paineis isolados.</t>
  </si>
  <si>
    <t>Coifa Lavadora tipo Ilha com 5 Estágios de Filtragem. Vazão de 5.760 m³/h.</t>
  </si>
  <si>
    <t>Unidade condensadora VRF de 4 HP, Só Frio, retangular de descarga horizontal.</t>
  </si>
  <si>
    <t>Unidade Condensadora Linha VRV 6, Série R, Quente e Frio Simultaneo 10 HP, 231 kg</t>
  </si>
  <si>
    <t>Unidade evaporadora tipo Hi-wall, capacidade 7.500 Btu/h, linha VRV, ciclo Q/F.</t>
  </si>
  <si>
    <t>Unidade evaporadora tipo Hi-wall, capacidade 15.400 Btu/h, linha VRV, ciclo Q/F.</t>
  </si>
  <si>
    <t>Unidade evaporadora tipo Hi-wall, capacidade 19.100 Btu/h, linha VRV, ciclo Q/F.</t>
  </si>
  <si>
    <t>Unidade evaporadora tipo cassete Round Flow, capacidade 54.600Btu/h, linha VRV, ciclo Q/F.</t>
  </si>
  <si>
    <t>Unidade de processamento de ar externo, capacitade de 76.400 Btu/h, vazão de 1.680 m³/h.</t>
  </si>
  <si>
    <t>Unidade evaporadora inverter Hi-Wall, capacidade de 12.000 BTU/h, linha split, ciclo Q/F. Alimentação elétrica pela condensadora.</t>
  </si>
  <si>
    <t>Gabinete de ventilação com filtro G4, para reposição de ar do sistema de exaustão de cozinha, vazão de 2.920 m³/h.</t>
  </si>
  <si>
    <t>Melting</t>
  </si>
  <si>
    <t>Berlinerluft</t>
  </si>
  <si>
    <t>Multi Vortex</t>
  </si>
  <si>
    <t>TD-350/125</t>
  </si>
  <si>
    <t>TD-500/150</t>
  </si>
  <si>
    <t>TD-800/200</t>
  </si>
  <si>
    <t>RXMQ4AVE</t>
  </si>
  <si>
    <t>REYQ10BYM9</t>
  </si>
  <si>
    <t>FXAQ20AVM</t>
  </si>
  <si>
    <t>FXAQ40AVM</t>
  </si>
  <si>
    <t>FXAQ50AVM</t>
  </si>
  <si>
    <t>FXFQ140AVM</t>
  </si>
  <si>
    <t>FXMQ72MFJVU</t>
  </si>
  <si>
    <t>BBT 250 LG 90º</t>
  </si>
  <si>
    <t>BBT 160</t>
  </si>
  <si>
    <t>BBT 180 LG 90º</t>
  </si>
  <si>
    <t>Grelha redonda fixa com colarinho de DN Ø150 mm.</t>
  </si>
  <si>
    <t>Boca com regulador de vazão, em plástico ABS, diâmetro nominal de Ø150mm.</t>
  </si>
  <si>
    <t>Difusor de uma via de alumínio.</t>
  </si>
  <si>
    <t>Difusor de uma via de alumínio, com registro de lâminas convergentes.</t>
  </si>
  <si>
    <t>Veneziana externa de alumínio com tela de insetos</t>
  </si>
  <si>
    <t>Grelha autofechante em plástico ABS com anti-UV, com colarinho de Ø100mm.</t>
  </si>
  <si>
    <t>Grelha autofechante em plástico ABS com anti-UV, com colarinho de Ø150mm.</t>
  </si>
  <si>
    <t>S 150</t>
  </si>
  <si>
    <t>RVA 150</t>
  </si>
  <si>
    <t>ADQ-1-A/1071x264</t>
  </si>
  <si>
    <t>ADQ-1-AG/371x208</t>
  </si>
  <si>
    <t>AH-0/AG/225x75</t>
  </si>
  <si>
    <t>AH-0/AG/225x125</t>
  </si>
  <si>
    <t>AR-AG/325x165</t>
  </si>
  <si>
    <t>AWK-AL/497x297</t>
  </si>
  <si>
    <t>AWK-AL/997x297</t>
  </si>
  <si>
    <t>AWK-AL/797x297</t>
  </si>
  <si>
    <t>GVAF 100</t>
  </si>
  <si>
    <t>GVAF 150</t>
  </si>
  <si>
    <t>un</t>
  </si>
  <si>
    <t xml:space="preserve">un </t>
  </si>
  <si>
    <t>SEN-AP-CLI-102-TER-R01.pdf</t>
  </si>
  <si>
    <t>Unidade condensadora inverter Hi Wall 12.000 BTU/h, ciclo Q/F, peso 26kg.</t>
  </si>
  <si>
    <t>Gabinete de ventilação centrífugo com pás curvadas para trás iltro G4+M5.</t>
  </si>
  <si>
    <t>Ventilador axial com motor fora do eixo, rotor de 450 mm, vazão de 8.000 m³/h e pressão estática disponível de 15 mmca, 1150 RPM.</t>
  </si>
  <si>
    <t>BBL 225
LG180º</t>
  </si>
  <si>
    <t>VHF-9-630</t>
  </si>
  <si>
    <t>AWG/985x825</t>
  </si>
  <si>
    <t>SEN-AP-CLI-103-G1-R01.pdf</t>
  </si>
  <si>
    <t>Unidade condensadora de 24 HP, Quente e Frio, 409kg.</t>
  </si>
  <si>
    <t xml:space="preserve">TROX </t>
  </si>
  <si>
    <t>REYQ24BRYM</t>
  </si>
  <si>
    <t>SEN-AP-CLI-104-G2-R00.pdf</t>
  </si>
  <si>
    <t>Unidade Condensadora Linha VRV 6, Série R, Quente e Frio Simultaneo 16 H, 323 kg</t>
  </si>
  <si>
    <t>Unidade condensadora VRF de 20 HP, Quente e Frio, 357 kg.</t>
  </si>
  <si>
    <t>Ventilador centrífugo de simples aspiração e pás curvadas para trás, vazão de 5.760 m³/h, arranjo 4K.</t>
  </si>
  <si>
    <t>REYQ16BYM9</t>
  </si>
  <si>
    <t>REYQ20BYM9</t>
  </si>
  <si>
    <t>GTS-1-450-LG
0º-BUZ</t>
  </si>
  <si>
    <t>SEN-AP-CLI-105-G3-R01.pdf</t>
  </si>
  <si>
    <t>SEN-AP-CLI-106-G5-R00.pdf</t>
  </si>
  <si>
    <t>Coifa lavadora metálica em aço INOX, construção sob medida 200x115 cm, com módulo para reposição de ar, ponto de drenagem, reservatório de detergente, iluminação, sistema preventivo contra incêndios. Instalação à no máximo 1,2 metros do bloco de cocção</t>
  </si>
  <si>
    <t>Exaustor MAXX Super Silence, 220V, 50/60Hz, 1f</t>
  </si>
  <si>
    <t>Gabinete de ventilação, com filtro G4+M5, paineis isolado</t>
  </si>
  <si>
    <t>Unidade condensadora de 10 HP, linha VRV, Quente e Frio, 191 kg.</t>
  </si>
  <si>
    <t>Unidade condensadora de 12 HP, linha VRV, Quente e Frio, 213 kg.</t>
  </si>
  <si>
    <t>Unidade condensadora de 16 HP, linha VRV, Quente e Frio, 285 kg.</t>
  </si>
  <si>
    <t>Unidade condensadora de 22 HP, linha VRV, Quente e Frio, 317 kg.</t>
  </si>
  <si>
    <t>Unidade condensadora de 16 HP, linha VRV 6, quente e frio, 380V, 50/60 Hz</t>
  </si>
  <si>
    <t>Unidade condensadora de 20 HP, linha VRV 6, quente e frio, 380V, 50/60 Hz</t>
  </si>
  <si>
    <t>Unidade evaporadora tipo cassete Round Flow, capacidade 9.600 Btu/h, linha VRV, ciclo Q/F</t>
  </si>
  <si>
    <t>Unidade evaporadora tipo cassete Round Flow, capacidade 12.300 Btu/h, linha VRV.</t>
  </si>
  <si>
    <t>Unidade evaporadora tipo cassete Round Flow, capacidade 19.100 Btu/h, linha VRV.</t>
  </si>
  <si>
    <t>Unidade evaporadora tipo cassete Round Flow, capacidade 24.200 Btu/h, linha VRV.</t>
  </si>
  <si>
    <t>Unidade evaporadora tipo Teto, capacidade 38.200 Btu/h, linha VRV, cicloQ/F.</t>
  </si>
  <si>
    <t>FXFQ25AVM</t>
  </si>
  <si>
    <t>FXFQ32AVM</t>
  </si>
  <si>
    <t>FXFQ50AVM</t>
  </si>
  <si>
    <t>FXFQ63AVM</t>
  </si>
  <si>
    <t xml:space="preserve">FXHQ100MAVE </t>
  </si>
  <si>
    <t>Maxx Super Silence</t>
  </si>
  <si>
    <t>BBT/BLT MOD 225 LG 90º</t>
  </si>
  <si>
    <t>RHXYQ10AYL</t>
  </si>
  <si>
    <t>RHXYQ12AYL</t>
  </si>
  <si>
    <t>RHXYQ16AYL</t>
  </si>
  <si>
    <t>RHXYQ22AYL</t>
  </si>
  <si>
    <t>RXYQ16BRYM</t>
  </si>
  <si>
    <t>RXYQ20BRYM</t>
  </si>
  <si>
    <t>Grelha de porta</t>
  </si>
  <si>
    <t>AGS-T/625x425/0/P3</t>
  </si>
  <si>
    <t>Espuma elastomérica D:6,4 mm E:13 mm</t>
  </si>
  <si>
    <t>Espuma elastomérica D:9,5 mm E:14 mm</t>
  </si>
  <si>
    <t>Espuma elastomérica D:12,7 mm E:14 mm</t>
  </si>
  <si>
    <t>Espuma elastomérica D:12,7 mm E:20 mm</t>
  </si>
  <si>
    <t>Espuma elastomérica D:15,9 mm E:15 mm</t>
  </si>
  <si>
    <t>Espuma elastomérica D:15,9 mm E:22 mm</t>
  </si>
  <si>
    <t>Espuma elastomérica D:19,1 mm E:16 mm</t>
  </si>
  <si>
    <t>Espuma elastomérica D:19,1 mm E:23 mm</t>
  </si>
  <si>
    <t>Espuma elastomérica D:22,2 mm E:25 mm</t>
  </si>
  <si>
    <t>Espuma elastomérica D:25,4 mm E:25 mm</t>
  </si>
  <si>
    <t>Espuma elastomérica D:28,6 mm E:26 mm</t>
  </si>
  <si>
    <t>Espuma elastomérica D:31,8 mm E:26 mm</t>
  </si>
  <si>
    <t>Espuma elastomérica D:38,1 mm E:27 mm</t>
  </si>
  <si>
    <t>SEN-CLI-AP-001-LZ 01-R00.pdf</t>
  </si>
  <si>
    <t>Coifa lavadora metálica em aço INOX, construção sob medida 200x115 cm, com módulo para reposição de ar, ponto de drenagem, reservatório de detergente, iluminação, sistema preventivo contra incêndios. Instalação à no máximo 1,2 metros do bloco de cocção.</t>
  </si>
  <si>
    <t>Unidade evaporadora tipo cassete Round Flow, capacidade 9.600 Btu/h, linha VRV, ciclo Q/F.</t>
  </si>
  <si>
    <t>Maxx Super
Silence</t>
  </si>
  <si>
    <t>BBT/BLT MOD
225 LG 90º</t>
  </si>
  <si>
    <t>Unidade condensadora de 22HP, linha VRV, Quente e Frio, descarga vertical com defletor para descarga horizontal. 409kg</t>
  </si>
  <si>
    <t>Unidade evaporadora tipo cassete 1 via, capacidade 15.400 Btu/h, linha VRV, ciclo Q/F.</t>
  </si>
  <si>
    <t>Unidade evaporadora tipo cassete 1 via, capacidade 24.200 Btu/h, linha VRV, ciclo Q/F.</t>
  </si>
  <si>
    <t>Unidade de tratamento de ar externo. Capacidade 30.700 Btu/h. Vazão 348 m³/h.</t>
  </si>
  <si>
    <t>RXYQ22BRYM</t>
  </si>
  <si>
    <t>FXEQ40AVE</t>
  </si>
  <si>
    <t>FXEQ63AVE</t>
  </si>
  <si>
    <t>FXMQ80BFVM</t>
  </si>
  <si>
    <t>TD-250/100 SILENT</t>
  </si>
  <si>
    <t>Unidade condensadora de 26HP, linha VRV, Quente e Frio, descarga vertical com defletor para descarga horizontal. 385kg</t>
  </si>
  <si>
    <t>Unidade evaporadora tipo cassete 1 via, capacidade 12.300Btu/h, linha VRV, ciclo Q/F.</t>
  </si>
  <si>
    <t>RXYQ26BRYM</t>
  </si>
  <si>
    <t>FXEQ32AVE</t>
  </si>
  <si>
    <t>Unidade evaporadora tipo cassete 1 via, capacidade 19.100 Btu/h, linha VRV, ciclo Q/F.</t>
  </si>
  <si>
    <t>FXEQ50AVE</t>
  </si>
  <si>
    <t>23º PAV. - TIPO 03</t>
  </si>
  <si>
    <t>29º PAV. - TIPO 03</t>
  </si>
  <si>
    <t>41º PAV. - TIPO 03</t>
  </si>
  <si>
    <t>SEN-AP-CLI-13-01-TP1-R00.pdf</t>
  </si>
  <si>
    <t>SEN-AP-CLI-19-01-TP2-R00.pdf</t>
  </si>
  <si>
    <t>SEN-AP-CLI-23-01-TP3-R00.pdf</t>
  </si>
  <si>
    <t>SEN-AP-CLI-29-01-TP3-R00.pdf</t>
  </si>
  <si>
    <t>SEN-AP-CLI-41-01-TP3-R00.pdf</t>
  </si>
  <si>
    <t>SEN-AP-CLI-52-01-TP4-R00.pdf</t>
  </si>
  <si>
    <t>Unidade condensadora, Desumidificador</t>
  </si>
  <si>
    <t>Desumidificador com controle de temperatura, purificador e renovação de ar</t>
  </si>
  <si>
    <t>Ventilador helicocentrífugo, baixo nível de ruído, com elementos acústicos, junta de borracha na sucção e descarga. Alimentação elétrica 0,065kW/220V/1F/60Hz.</t>
  </si>
  <si>
    <t>Ventilador helicocentrífugo, baixo nível de ruído, com elementos acústicos, junta de borracha na sucção e descarga. Alimentação elétrica 0,121kW/220V/1F/60Hz.</t>
  </si>
  <si>
    <t>Unidade Condensadora Linha VRV 6, Série R, Quente e Frio Simultaneo, 380V, 60Hz, 3F+N+T</t>
  </si>
  <si>
    <t>Unidade condensadora de 24HP, linha VRV, Quente e Frio, descarga vertical com defletor para descarga horizontal. 409kg</t>
  </si>
  <si>
    <t>Unidade condensadora de 26HP, linha VRV, Quente e Frio, descarga vertical com defletor para descarga horizontal. 409kg</t>
  </si>
  <si>
    <t>Unidade evaporadora tipo cassete Round Flow, capacidade 30.700 Btu/h, linha VRV.</t>
  </si>
  <si>
    <t>4 Pool</t>
  </si>
  <si>
    <t>4 PA 480 AIO</t>
  </si>
  <si>
    <t>4P -WD12P</t>
  </si>
  <si>
    <t>RXYQ24BRYM</t>
  </si>
  <si>
    <t>FXFQ80AVM</t>
  </si>
  <si>
    <t>TD-500/150 SILENT</t>
  </si>
  <si>
    <t>TD-800/200 SILENT</t>
  </si>
  <si>
    <t>BBT 160 RD 90º</t>
  </si>
  <si>
    <t>Unidade condensadora de 18 HP, linha VRV, Quente e Frio, 317 kg.</t>
  </si>
  <si>
    <t>Unidade condensadora de 20 HP, linha VRV, Quente e Frio, 317 kg.</t>
  </si>
  <si>
    <t>RHXYQ18AYL</t>
  </si>
  <si>
    <t>RHXYQ20AYL</t>
  </si>
  <si>
    <t>SEN-AP-CLI-63-LZ3-R00.pdf</t>
  </si>
  <si>
    <t>SEN-AP-CLI-64-LZ4-R00.pdf</t>
  </si>
  <si>
    <t>SEN-AP-CLI-140-LZ5-R00.pdf</t>
  </si>
  <si>
    <t>SEN-AP-CLI-141-LZ6-R00.pdf</t>
  </si>
  <si>
    <t>SEN-CLI-AP-002-LZ2-R00.pdf</t>
  </si>
  <si>
    <t>SEN-CLI-AP-003-LR1-R00.pdf</t>
  </si>
  <si>
    <t>SEN-CLI-AP-004-LR2-R00.pdf</t>
  </si>
  <si>
    <t>TIPO 04</t>
  </si>
  <si>
    <t>19º PAV. - TIPO 02</t>
  </si>
  <si>
    <t>Infraestrutura de climatização área comum (material)</t>
  </si>
  <si>
    <t>Exaustão forçada e renovação de ar (material)</t>
  </si>
  <si>
    <t>Ventilação garagem (material)</t>
  </si>
  <si>
    <t>Infraestrutura de climatização embasamento (material)</t>
  </si>
  <si>
    <t>Exaustor para coifa</t>
  </si>
  <si>
    <t>Infraestrutura de climatização torre (material)</t>
  </si>
  <si>
    <t>Exaustão forçada - Ventokit apartamentos (material)</t>
  </si>
  <si>
    <t>Desumidificador (material</t>
  </si>
  <si>
    <t>SEN-AP-CLI-107-OUT-R00.pdf</t>
  </si>
  <si>
    <t>unidade evaporadora tipo Hi-wall, capacidade 12.300 Btu/h, linha VRV, ciclo Q/F</t>
  </si>
  <si>
    <t>Ventilador helicocentrífugo com caixa de bornes externa, motor regulável, duas velocidades</t>
  </si>
  <si>
    <t>Caixa de filtro classe G4+M5</t>
  </si>
  <si>
    <t>TD-250/100</t>
  </si>
  <si>
    <t xml:space="preserve">11º PAV 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</si>
</sst>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dd/mm/yy;@"/>
  </numFmts>
  <fonts count="2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Arial"/>
      <family val="2"/>
    </font>
    <font>
      <sz val="10"/>
      <color theme="8" tint="-0.49998474074526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9.5"/>
      <name val="Calibri"/>
      <family val="2"/>
      <scheme val="minor"/>
    </font>
    <font>
      <sz val="9"/>
      <name val="Calibri"/>
      <family val="2"/>
      <scheme val="minor"/>
    </font>
    <font>
      <sz val="8"/>
      <name val="Trebuchet MS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Poppins"/>
    </font>
    <font>
      <sz val="1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2">
    <xf numFmtId="0" fontId="0" fillId="0" borderId="0" applyNumberFormat="0" applyFont="0" applyFill="0" applyBorder="0" applyAlignment="0" applyProtection="0"/>
    <xf numFmtId="164" fontId="17" fillId="0" borderId="0" applyNumberFormat="0" applyFont="0" applyFill="0" applyBorder="0" applyAlignment="0" applyProtection="0"/>
    <xf numFmtId="0" fontId="13" fillId="0" borderId="0"/>
    <xf numFmtId="164" fontId="17" fillId="0" borderId="0" applyFont="0" applyFill="0" applyBorder="0" applyAlignment="0" applyProtection="0"/>
    <xf numFmtId="0" fontId="20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24" fillId="0" borderId="0"/>
    <xf numFmtId="0" fontId="25" fillId="0" borderId="0"/>
    <xf numFmtId="0" fontId="5" fillId="0" borderId="0"/>
  </cellStyleXfs>
  <cellXfs count="161">
    <xf numFmtId="0" fontId="0" fillId="0" borderId="0" xfId="0"/>
    <xf numFmtId="0" fontId="14" fillId="0" borderId="1" xfId="2" applyFont="1" applyBorder="1" applyAlignment="1">
      <alignment vertical="center"/>
    </xf>
    <xf numFmtId="0" fontId="14" fillId="0" borderId="2" xfId="2" applyFont="1" applyBorder="1" applyAlignment="1">
      <alignment vertical="center"/>
    </xf>
    <xf numFmtId="0" fontId="15" fillId="0" borderId="3" xfId="2" applyFont="1" applyBorder="1" applyAlignment="1">
      <alignment vertical="center"/>
    </xf>
    <xf numFmtId="0" fontId="16" fillId="0" borderId="4" xfId="2" applyFont="1" applyBorder="1" applyAlignment="1">
      <alignment vertical="center"/>
    </xf>
    <xf numFmtId="0" fontId="14" fillId="0" borderId="4" xfId="2" applyFont="1" applyBorder="1" applyAlignment="1">
      <alignment vertical="center"/>
    </xf>
    <xf numFmtId="0" fontId="14" fillId="0" borderId="5" xfId="2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2" applyFont="1" applyBorder="1" applyAlignment="1">
      <alignment vertical="center"/>
    </xf>
    <xf numFmtId="165" fontId="18" fillId="0" borderId="7" xfId="3" quotePrefix="1" applyNumberFormat="1" applyFont="1" applyFill="1" applyBorder="1" applyAlignment="1">
      <alignment horizontal="left" vertical="center"/>
    </xf>
    <xf numFmtId="0" fontId="16" fillId="0" borderId="5" xfId="2" applyFont="1" applyBorder="1" applyAlignment="1">
      <alignment vertical="center"/>
    </xf>
    <xf numFmtId="0" fontId="19" fillId="0" borderId="0" xfId="2" applyFont="1" applyAlignment="1">
      <alignment vertical="center"/>
    </xf>
    <xf numFmtId="17" fontId="16" fillId="0" borderId="9" xfId="2" applyNumberFormat="1" applyFont="1" applyBorder="1" applyAlignment="1">
      <alignment horizontal="left" vertical="center"/>
    </xf>
    <xf numFmtId="17" fontId="16" fillId="0" borderId="8" xfId="2" applyNumberFormat="1" applyFont="1" applyBorder="1" applyAlignment="1">
      <alignment horizontal="left" vertical="center"/>
    </xf>
    <xf numFmtId="17" fontId="16" fillId="0" borderId="10" xfId="2" applyNumberFormat="1" applyFont="1" applyBorder="1" applyAlignment="1">
      <alignment horizontal="left" vertical="center"/>
    </xf>
    <xf numFmtId="0" fontId="16" fillId="0" borderId="0" xfId="2" applyFont="1"/>
    <xf numFmtId="0" fontId="22" fillId="3" borderId="14" xfId="5" applyFont="1" applyFill="1" applyBorder="1" applyAlignment="1">
      <alignment horizontal="center" vertical="center"/>
    </xf>
    <xf numFmtId="0" fontId="11" fillId="0" borderId="0" xfId="5"/>
    <xf numFmtId="43" fontId="0" fillId="0" borderId="15" xfId="6" applyFont="1" applyFill="1" applyBorder="1" applyAlignment="1"/>
    <xf numFmtId="43" fontId="0" fillId="0" borderId="16" xfId="6" applyFont="1" applyFill="1" applyBorder="1" applyAlignment="1"/>
    <xf numFmtId="0" fontId="11" fillId="0" borderId="0" xfId="5" applyAlignment="1">
      <alignment vertical="center"/>
    </xf>
    <xf numFmtId="0" fontId="11" fillId="4" borderId="15" xfId="5" applyFill="1" applyBorder="1" applyAlignment="1">
      <alignment vertical="center"/>
    </xf>
    <xf numFmtId="43" fontId="0" fillId="4" borderId="17" xfId="6" applyFont="1" applyFill="1" applyBorder="1" applyAlignment="1">
      <alignment vertical="center"/>
    </xf>
    <xf numFmtId="0" fontId="11" fillId="0" borderId="15" xfId="5" applyBorder="1" applyAlignment="1">
      <alignment vertical="center"/>
    </xf>
    <xf numFmtId="43" fontId="0" fillId="0" borderId="15" xfId="6" applyFont="1" applyFill="1" applyBorder="1" applyAlignment="1">
      <alignment vertical="center"/>
    </xf>
    <xf numFmtId="44" fontId="0" fillId="0" borderId="15" xfId="7" applyFont="1" applyFill="1" applyBorder="1" applyAlignment="1">
      <alignment vertical="center"/>
    </xf>
    <xf numFmtId="43" fontId="23" fillId="0" borderId="15" xfId="6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43" fontId="0" fillId="0" borderId="18" xfId="6" applyFont="1" applyFill="1" applyBorder="1" applyAlignment="1">
      <alignment vertical="center"/>
    </xf>
    <xf numFmtId="0" fontId="11" fillId="0" borderId="15" xfId="5" applyBorder="1" applyAlignment="1">
      <alignment vertical="center" wrapText="1"/>
    </xf>
    <xf numFmtId="0" fontId="11" fillId="3" borderId="0" xfId="5" applyFill="1" applyAlignment="1">
      <alignment vertical="center"/>
    </xf>
    <xf numFmtId="0" fontId="12" fillId="3" borderId="0" xfId="5" applyFont="1" applyFill="1" applyAlignment="1">
      <alignment horizontal="right" vertical="center"/>
    </xf>
    <xf numFmtId="43" fontId="12" fillId="3" borderId="0" xfId="6" applyFont="1" applyFill="1" applyAlignment="1">
      <alignment vertical="center"/>
    </xf>
    <xf numFmtId="0" fontId="11" fillId="4" borderId="20" xfId="5" applyFill="1" applyBorder="1" applyAlignment="1">
      <alignment vertical="center"/>
    </xf>
    <xf numFmtId="0" fontId="11" fillId="4" borderId="21" xfId="5" applyFill="1" applyBorder="1" applyAlignment="1">
      <alignment vertical="center"/>
    </xf>
    <xf numFmtId="43" fontId="0" fillId="4" borderId="21" xfId="6" applyFont="1" applyFill="1" applyBorder="1" applyAlignment="1">
      <alignment vertical="center"/>
    </xf>
    <xf numFmtId="43" fontId="23" fillId="4" borderId="21" xfId="6" applyFont="1" applyFill="1" applyBorder="1" applyAlignment="1">
      <alignment vertical="center"/>
    </xf>
    <xf numFmtId="44" fontId="0" fillId="4" borderId="22" xfId="7" applyFont="1" applyFill="1" applyBorder="1" applyAlignment="1">
      <alignment vertical="center"/>
    </xf>
    <xf numFmtId="43" fontId="0" fillId="0" borderId="19" xfId="6" applyFont="1" applyFill="1" applyBorder="1" applyAlignment="1">
      <alignment vertical="center"/>
    </xf>
    <xf numFmtId="44" fontId="11" fillId="0" borderId="0" xfId="8" applyFont="1" applyAlignment="1">
      <alignment vertical="center"/>
    </xf>
    <xf numFmtId="0" fontId="11" fillId="0" borderId="19" xfId="5" applyBorder="1" applyAlignment="1">
      <alignment vertical="center" wrapText="1"/>
    </xf>
    <xf numFmtId="0" fontId="11" fillId="4" borderId="24" xfId="5" applyFill="1" applyBorder="1" applyAlignment="1">
      <alignment vertical="center"/>
    </xf>
    <xf numFmtId="0" fontId="11" fillId="4" borderId="25" xfId="5" applyFill="1" applyBorder="1" applyAlignment="1">
      <alignment vertical="center"/>
    </xf>
    <xf numFmtId="0" fontId="11" fillId="4" borderId="26" xfId="5" applyFill="1" applyBorder="1" applyAlignment="1">
      <alignment vertical="center"/>
    </xf>
    <xf numFmtId="43" fontId="0" fillId="4" borderId="26" xfId="6" applyFont="1" applyFill="1" applyBorder="1" applyAlignment="1">
      <alignment vertical="center"/>
    </xf>
    <xf numFmtId="43" fontId="23" fillId="4" borderId="26" xfId="6" applyFont="1" applyFill="1" applyBorder="1" applyAlignment="1">
      <alignment vertical="center"/>
    </xf>
    <xf numFmtId="44" fontId="0" fillId="4" borderId="27" xfId="7" applyFont="1" applyFill="1" applyBorder="1" applyAlignment="1">
      <alignment vertical="center"/>
    </xf>
    <xf numFmtId="43" fontId="0" fillId="4" borderId="23" xfId="6" applyFont="1" applyFill="1" applyBorder="1" applyAlignment="1">
      <alignment vertical="center"/>
    </xf>
    <xf numFmtId="0" fontId="22" fillId="3" borderId="28" xfId="5" applyFont="1" applyFill="1" applyBorder="1" applyAlignment="1">
      <alignment horizontal="center" vertical="center"/>
    </xf>
    <xf numFmtId="0" fontId="22" fillId="3" borderId="29" xfId="5" applyFont="1" applyFill="1" applyBorder="1" applyAlignment="1">
      <alignment horizontal="center" vertical="center"/>
    </xf>
    <xf numFmtId="44" fontId="0" fillId="0" borderId="17" xfId="7" applyFont="1" applyFill="1" applyBorder="1" applyAlignment="1"/>
    <xf numFmtId="43" fontId="0" fillId="0" borderId="32" xfId="6" applyFont="1" applyFill="1" applyBorder="1" applyAlignment="1"/>
    <xf numFmtId="44" fontId="0" fillId="0" borderId="33" xfId="7" applyFont="1" applyFill="1" applyBorder="1" applyAlignment="1"/>
    <xf numFmtId="0" fontId="22" fillId="3" borderId="34" xfId="1" applyNumberFormat="1" applyFont="1" applyFill="1" applyBorder="1" applyAlignment="1">
      <alignment horizontal="center" vertical="center"/>
    </xf>
    <xf numFmtId="0" fontId="22" fillId="3" borderId="35" xfId="1" applyNumberFormat="1" applyFont="1" applyFill="1" applyBorder="1" applyAlignment="1">
      <alignment horizontal="center" vertical="center" wrapText="1"/>
    </xf>
    <xf numFmtId="0" fontId="22" fillId="3" borderId="36" xfId="1" applyNumberFormat="1" applyFont="1" applyFill="1" applyBorder="1" applyAlignment="1">
      <alignment horizontal="center" vertical="center"/>
    </xf>
    <xf numFmtId="43" fontId="23" fillId="0" borderId="30" xfId="6" applyFont="1" applyFill="1" applyBorder="1" applyAlignment="1">
      <alignment vertical="center"/>
    </xf>
    <xf numFmtId="43" fontId="23" fillId="6" borderId="15" xfId="6" applyFont="1" applyFill="1" applyBorder="1" applyAlignment="1">
      <alignment vertical="center"/>
    </xf>
    <xf numFmtId="43" fontId="23" fillId="6" borderId="17" xfId="6" applyFont="1" applyFill="1" applyBorder="1" applyAlignment="1">
      <alignment vertical="center"/>
    </xf>
    <xf numFmtId="43" fontId="0" fillId="5" borderId="17" xfId="6" applyFont="1" applyFill="1" applyBorder="1" applyAlignment="1">
      <alignment vertical="center"/>
    </xf>
    <xf numFmtId="0" fontId="10" fillId="4" borderId="15" xfId="5" applyFont="1" applyFill="1" applyBorder="1" applyAlignment="1">
      <alignment vertical="center"/>
    </xf>
    <xf numFmtId="0" fontId="10" fillId="4" borderId="24" xfId="5" applyFont="1" applyFill="1" applyBorder="1" applyAlignment="1">
      <alignment vertical="center"/>
    </xf>
    <xf numFmtId="0" fontId="10" fillId="0" borderId="15" xfId="5" applyFont="1" applyBorder="1" applyAlignment="1">
      <alignment vertical="center" wrapText="1"/>
    </xf>
    <xf numFmtId="0" fontId="9" fillId="4" borderId="24" xfId="5" applyFont="1" applyFill="1" applyBorder="1" applyAlignment="1">
      <alignment vertical="center"/>
    </xf>
    <xf numFmtId="0" fontId="8" fillId="4" borderId="24" xfId="5" applyFont="1" applyFill="1" applyBorder="1" applyAlignment="1">
      <alignment vertical="center"/>
    </xf>
    <xf numFmtId="0" fontId="7" fillId="0" borderId="15" xfId="5" applyFont="1" applyBorder="1" applyAlignment="1">
      <alignment vertical="center"/>
    </xf>
    <xf numFmtId="0" fontId="11" fillId="0" borderId="0" xfId="5" applyAlignment="1">
      <alignment wrapText="1"/>
    </xf>
    <xf numFmtId="43" fontId="0" fillId="0" borderId="0" xfId="6" applyFont="1" applyFill="1" applyBorder="1" applyAlignment="1"/>
    <xf numFmtId="44" fontId="0" fillId="0" borderId="0" xfId="7" applyFont="1" applyFill="1" applyBorder="1" applyAlignment="1"/>
    <xf numFmtId="0" fontId="22" fillId="3" borderId="14" xfId="1" applyNumberFormat="1" applyFont="1" applyFill="1" applyBorder="1" applyAlignment="1">
      <alignment horizontal="center" vertical="center"/>
    </xf>
    <xf numFmtId="43" fontId="23" fillId="0" borderId="16" xfId="6" applyFont="1" applyFill="1" applyBorder="1" applyAlignment="1">
      <alignment vertical="center"/>
    </xf>
    <xf numFmtId="43" fontId="23" fillId="0" borderId="18" xfId="6" applyFont="1" applyFill="1" applyBorder="1" applyAlignment="1">
      <alignment vertical="center"/>
    </xf>
    <xf numFmtId="43" fontId="23" fillId="0" borderId="37" xfId="6" applyFont="1" applyFill="1" applyBorder="1" applyAlignment="1">
      <alignment vertical="center"/>
    </xf>
    <xf numFmtId="43" fontId="23" fillId="0" borderId="19" xfId="6" applyFont="1" applyFill="1" applyBorder="1" applyAlignment="1">
      <alignment vertical="center"/>
    </xf>
    <xf numFmtId="0" fontId="5" fillId="0" borderId="15" xfId="5" applyFont="1" applyBorder="1" applyAlignment="1">
      <alignment vertical="center" wrapText="1"/>
    </xf>
    <xf numFmtId="0" fontId="5" fillId="0" borderId="15" xfId="5" applyFont="1" applyBorder="1" applyAlignment="1">
      <alignment vertical="center"/>
    </xf>
    <xf numFmtId="0" fontId="5" fillId="0" borderId="15" xfId="5" applyFont="1" applyBorder="1" applyAlignment="1">
      <alignment horizontal="center" vertical="center" wrapText="1"/>
    </xf>
    <xf numFmtId="0" fontId="5" fillId="0" borderId="15" xfId="5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65" fontId="18" fillId="0" borderId="2" xfId="3" quotePrefix="1" applyNumberFormat="1" applyFont="1" applyFill="1" applyBorder="1" applyAlignment="1">
      <alignment horizontal="center" vertical="center"/>
    </xf>
    <xf numFmtId="0" fontId="11" fillId="4" borderId="21" xfId="5" applyFill="1" applyBorder="1" applyAlignment="1">
      <alignment horizontal="center" vertical="center"/>
    </xf>
    <xf numFmtId="0" fontId="11" fillId="0" borderId="15" xfId="5" applyBorder="1" applyAlignment="1">
      <alignment horizontal="center" vertical="center"/>
    </xf>
    <xf numFmtId="0" fontId="11" fillId="4" borderId="26" xfId="5" applyFill="1" applyBorder="1" applyAlignment="1">
      <alignment horizontal="center" vertical="center"/>
    </xf>
    <xf numFmtId="0" fontId="11" fillId="0" borderId="15" xfId="5" applyBorder="1" applyAlignment="1">
      <alignment horizontal="center" vertical="center" wrapText="1"/>
    </xf>
    <xf numFmtId="0" fontId="11" fillId="3" borderId="0" xfId="5" applyFill="1" applyAlignment="1">
      <alignment horizontal="center" vertical="center"/>
    </xf>
    <xf numFmtId="0" fontId="11" fillId="0" borderId="0" xfId="5" applyAlignment="1">
      <alignment horizontal="center" vertical="center"/>
    </xf>
    <xf numFmtId="0" fontId="11" fillId="0" borderId="18" xfId="5" applyBorder="1" applyAlignment="1">
      <alignment vertical="center"/>
    </xf>
    <xf numFmtId="43" fontId="0" fillId="5" borderId="39" xfId="6" applyFont="1" applyFill="1" applyBorder="1" applyAlignment="1">
      <alignment vertical="center"/>
    </xf>
    <xf numFmtId="0" fontId="5" fillId="0" borderId="18" xfId="5" applyFont="1" applyBorder="1" applyAlignment="1">
      <alignment vertical="center" wrapText="1"/>
    </xf>
    <xf numFmtId="0" fontId="11" fillId="0" borderId="18" xfId="5" applyBorder="1" applyAlignment="1">
      <alignment vertical="center" wrapText="1"/>
    </xf>
    <xf numFmtId="0" fontId="11" fillId="0" borderId="18" xfId="5" applyBorder="1" applyAlignment="1">
      <alignment horizontal="center" vertical="center" wrapText="1"/>
    </xf>
    <xf numFmtId="0" fontId="5" fillId="0" borderId="18" xfId="5" applyFont="1" applyBorder="1" applyAlignment="1">
      <alignment horizontal="center" vertical="center" wrapText="1"/>
    </xf>
    <xf numFmtId="44" fontId="0" fillId="0" borderId="18" xfId="7" applyFont="1" applyFill="1" applyBorder="1" applyAlignment="1">
      <alignment vertical="center"/>
    </xf>
    <xf numFmtId="0" fontId="11" fillId="0" borderId="40" xfId="5" applyBorder="1" applyAlignment="1">
      <alignment vertical="center"/>
    </xf>
    <xf numFmtId="0" fontId="5" fillId="0" borderId="40" xfId="5" applyFont="1" applyBorder="1" applyAlignment="1">
      <alignment vertical="center" wrapText="1"/>
    </xf>
    <xf numFmtId="0" fontId="11" fillId="0" borderId="40" xfId="5" applyBorder="1" applyAlignment="1">
      <alignment vertical="center" wrapText="1"/>
    </xf>
    <xf numFmtId="0" fontId="11" fillId="0" borderId="40" xfId="5" applyBorder="1" applyAlignment="1">
      <alignment horizontal="center" vertical="center" wrapText="1"/>
    </xf>
    <xf numFmtId="0" fontId="5" fillId="0" borderId="40" xfId="5" applyFont="1" applyBorder="1" applyAlignment="1">
      <alignment horizontal="center" vertical="center" wrapText="1"/>
    </xf>
    <xf numFmtId="43" fontId="0" fillId="0" borderId="40" xfId="6" applyFont="1" applyFill="1" applyBorder="1" applyAlignment="1">
      <alignment vertical="center"/>
    </xf>
    <xf numFmtId="44" fontId="0" fillId="0" borderId="40" xfId="7" applyFont="1" applyFill="1" applyBorder="1" applyAlignment="1">
      <alignment vertical="center"/>
    </xf>
    <xf numFmtId="43" fontId="0" fillId="5" borderId="41" xfId="6" applyFont="1" applyFill="1" applyBorder="1" applyAlignment="1">
      <alignment vertical="center"/>
    </xf>
    <xf numFmtId="0" fontId="11" fillId="0" borderId="42" xfId="5" applyBorder="1" applyAlignment="1">
      <alignment vertical="center"/>
    </xf>
    <xf numFmtId="0" fontId="11" fillId="0" borderId="19" xfId="5" applyBorder="1" applyAlignment="1">
      <alignment vertical="center"/>
    </xf>
    <xf numFmtId="0" fontId="10" fillId="0" borderId="19" xfId="5" applyFont="1" applyBorder="1" applyAlignment="1">
      <alignment vertical="center" wrapText="1"/>
    </xf>
    <xf numFmtId="0" fontId="5" fillId="0" borderId="19" xfId="5" applyFont="1" applyBorder="1" applyAlignment="1">
      <alignment vertical="center" wrapText="1"/>
    </xf>
    <xf numFmtId="0" fontId="5" fillId="0" borderId="19" xfId="5" applyFont="1" applyBorder="1" applyAlignment="1">
      <alignment horizontal="center" vertical="center" wrapText="1"/>
    </xf>
    <xf numFmtId="44" fontId="0" fillId="0" borderId="19" xfId="7" applyFont="1" applyFill="1" applyBorder="1" applyAlignment="1">
      <alignment vertical="center"/>
    </xf>
    <xf numFmtId="43" fontId="0" fillId="5" borderId="44" xfId="6" applyFont="1" applyFill="1" applyBorder="1" applyAlignment="1">
      <alignment vertical="center"/>
    </xf>
    <xf numFmtId="0" fontId="11" fillId="0" borderId="16" xfId="5" applyBorder="1" applyAlignment="1">
      <alignment vertical="center"/>
    </xf>
    <xf numFmtId="0" fontId="5" fillId="0" borderId="16" xfId="5" applyFont="1" applyBorder="1" applyAlignment="1">
      <alignment vertical="center" wrapText="1"/>
    </xf>
    <xf numFmtId="0" fontId="5" fillId="0" borderId="16" xfId="5" applyFont="1" applyBorder="1" applyAlignment="1">
      <alignment horizontal="center" vertical="center" wrapText="1"/>
    </xf>
    <xf numFmtId="43" fontId="0" fillId="0" borderId="16" xfId="6" applyFont="1" applyFill="1" applyBorder="1" applyAlignment="1">
      <alignment vertical="center"/>
    </xf>
    <xf numFmtId="44" fontId="0" fillId="0" borderId="16" xfId="7" applyFont="1" applyFill="1" applyBorder="1" applyAlignment="1">
      <alignment vertical="center"/>
    </xf>
    <xf numFmtId="43" fontId="0" fillId="5" borderId="43" xfId="6" applyFont="1" applyFill="1" applyBorder="1" applyAlignment="1">
      <alignment vertical="center"/>
    </xf>
    <xf numFmtId="0" fontId="11" fillId="0" borderId="19" xfId="5" applyBorder="1" applyAlignment="1">
      <alignment horizontal="center" vertical="center" wrapText="1"/>
    </xf>
    <xf numFmtId="0" fontId="11" fillId="0" borderId="16" xfId="5" applyBorder="1" applyAlignment="1">
      <alignment vertical="center" wrapText="1"/>
    </xf>
    <xf numFmtId="0" fontId="11" fillId="0" borderId="16" xfId="5" applyBorder="1" applyAlignment="1">
      <alignment horizontal="center" vertical="center" wrapText="1"/>
    </xf>
    <xf numFmtId="0" fontId="7" fillId="0" borderId="18" xfId="5" applyFont="1" applyBorder="1" applyAlignment="1">
      <alignment vertical="center"/>
    </xf>
    <xf numFmtId="0" fontId="5" fillId="0" borderId="18" xfId="5" applyFont="1" applyBorder="1" applyAlignment="1">
      <alignment vertical="center"/>
    </xf>
    <xf numFmtId="0" fontId="11" fillId="0" borderId="18" xfId="5" applyBorder="1" applyAlignment="1">
      <alignment horizontal="center" vertical="center"/>
    </xf>
    <xf numFmtId="0" fontId="7" fillId="0" borderId="40" xfId="5" applyFont="1" applyBorder="1" applyAlignment="1">
      <alignment vertical="center"/>
    </xf>
    <xf numFmtId="0" fontId="5" fillId="0" borderId="40" xfId="5" applyFont="1" applyBorder="1" applyAlignment="1">
      <alignment vertical="center"/>
    </xf>
    <xf numFmtId="0" fontId="11" fillId="0" borderId="45" xfId="5" applyBorder="1" applyAlignment="1">
      <alignment vertical="center"/>
    </xf>
    <xf numFmtId="0" fontId="11" fillId="0" borderId="40" xfId="5" applyBorder="1" applyAlignment="1">
      <alignment horizontal="center" vertical="center"/>
    </xf>
    <xf numFmtId="0" fontId="5" fillId="0" borderId="40" xfId="5" applyFont="1" applyBorder="1" applyAlignment="1">
      <alignment horizontal="center" vertical="center"/>
    </xf>
    <xf numFmtId="0" fontId="5" fillId="0" borderId="0" xfId="5" applyFont="1" applyAlignment="1">
      <alignment vertical="center"/>
    </xf>
    <xf numFmtId="0" fontId="4" fillId="4" borderId="24" xfId="5" applyFont="1" applyFill="1" applyBorder="1" applyAlignment="1">
      <alignment vertical="center"/>
    </xf>
    <xf numFmtId="0" fontId="4" fillId="0" borderId="15" xfId="5" applyFont="1" applyBorder="1" applyAlignment="1">
      <alignment vertical="center" wrapText="1"/>
    </xf>
    <xf numFmtId="0" fontId="4" fillId="0" borderId="15" xfId="5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/>
    </xf>
    <xf numFmtId="43" fontId="0" fillId="4" borderId="21" xfId="6" applyFont="1" applyFill="1" applyBorder="1" applyAlignment="1">
      <alignment horizontal="center" vertical="center"/>
    </xf>
    <xf numFmtId="43" fontId="0" fillId="0" borderId="15" xfId="6" applyFont="1" applyFill="1" applyBorder="1" applyAlignment="1">
      <alignment horizontal="center" vertical="center"/>
    </xf>
    <xf numFmtId="43" fontId="0" fillId="4" borderId="26" xfId="6" applyFont="1" applyFill="1" applyBorder="1" applyAlignment="1">
      <alignment horizontal="center" vertical="center"/>
    </xf>
    <xf numFmtId="43" fontId="0" fillId="0" borderId="19" xfId="6" applyFont="1" applyFill="1" applyBorder="1" applyAlignment="1">
      <alignment horizontal="center" vertical="center"/>
    </xf>
    <xf numFmtId="43" fontId="0" fillId="0" borderId="16" xfId="6" applyFont="1" applyFill="1" applyBorder="1" applyAlignment="1">
      <alignment horizontal="center" vertical="center"/>
    </xf>
    <xf numFmtId="43" fontId="0" fillId="0" borderId="40" xfId="6" applyFont="1" applyFill="1" applyBorder="1" applyAlignment="1">
      <alignment horizontal="center" vertical="center"/>
    </xf>
    <xf numFmtId="43" fontId="0" fillId="0" borderId="18" xfId="6" applyFont="1" applyFill="1" applyBorder="1" applyAlignment="1">
      <alignment horizontal="center" vertical="center"/>
    </xf>
    <xf numFmtId="0" fontId="3" fillId="0" borderId="15" xfId="5" applyFont="1" applyBorder="1" applyAlignment="1">
      <alignment vertical="center" wrapText="1"/>
    </xf>
    <xf numFmtId="0" fontId="3" fillId="4" borderId="24" xfId="5" applyFont="1" applyFill="1" applyBorder="1" applyAlignment="1">
      <alignment vertical="center"/>
    </xf>
    <xf numFmtId="0" fontId="3" fillId="0" borderId="15" xfId="5" applyFont="1" applyBorder="1" applyAlignment="1">
      <alignment horizontal="center" vertical="center" wrapText="1"/>
    </xf>
    <xf numFmtId="0" fontId="3" fillId="4" borderId="26" xfId="5" applyFont="1" applyFill="1" applyBorder="1" applyAlignment="1">
      <alignment vertical="center"/>
    </xf>
    <xf numFmtId="0" fontId="3" fillId="0" borderId="0" xfId="5" applyFont="1" applyAlignment="1">
      <alignment vertical="center"/>
    </xf>
    <xf numFmtId="0" fontId="2" fillId="0" borderId="15" xfId="5" applyFont="1" applyBorder="1" applyAlignment="1">
      <alignment vertical="center"/>
    </xf>
    <xf numFmtId="0" fontId="2" fillId="0" borderId="15" xfId="5" applyFont="1" applyBorder="1" applyAlignment="1">
      <alignment horizontal="center" vertical="center"/>
    </xf>
    <xf numFmtId="0" fontId="7" fillId="0" borderId="30" xfId="5" applyFont="1" applyBorder="1"/>
    <xf numFmtId="0" fontId="11" fillId="0" borderId="30" xfId="5" applyBorder="1" applyAlignment="1">
      <alignment wrapText="1"/>
    </xf>
    <xf numFmtId="0" fontId="6" fillId="0" borderId="30" xfId="5" applyFont="1" applyBorder="1"/>
    <xf numFmtId="0" fontId="11" fillId="0" borderId="30" xfId="5" applyBorder="1"/>
    <xf numFmtId="0" fontId="7" fillId="0" borderId="30" xfId="5" applyFont="1" applyBorder="1" applyAlignment="1">
      <alignment wrapText="1"/>
    </xf>
    <xf numFmtId="0" fontId="6" fillId="0" borderId="30" xfId="5" applyFont="1" applyBorder="1" applyAlignment="1">
      <alignment wrapText="1"/>
    </xf>
    <xf numFmtId="0" fontId="11" fillId="0" borderId="31" xfId="5" applyBorder="1"/>
    <xf numFmtId="0" fontId="21" fillId="2" borderId="11" xfId="4" applyFont="1" applyFill="1" applyBorder="1" applyAlignment="1">
      <alignment horizontal="center" vertical="center"/>
    </xf>
    <xf numFmtId="0" fontId="21" fillId="2" borderId="12" xfId="4" applyFont="1" applyFill="1" applyBorder="1" applyAlignment="1">
      <alignment horizontal="center" vertical="center"/>
    </xf>
    <xf numFmtId="0" fontId="21" fillId="2" borderId="13" xfId="4" applyFont="1" applyFill="1" applyBorder="1" applyAlignment="1">
      <alignment horizontal="center" vertical="center"/>
    </xf>
    <xf numFmtId="0" fontId="21" fillId="2" borderId="38" xfId="4" applyFont="1" applyFill="1" applyBorder="1" applyAlignment="1">
      <alignment horizontal="center" vertical="center"/>
    </xf>
    <xf numFmtId="0" fontId="21" fillId="2" borderId="0" xfId="4" applyFont="1" applyFill="1" applyAlignment="1">
      <alignment horizontal="center" vertical="center"/>
    </xf>
    <xf numFmtId="0" fontId="1" fillId="0" borderId="15" xfId="5" applyFont="1" applyBorder="1" applyAlignment="1">
      <alignment vertical="center"/>
    </xf>
    <xf numFmtId="0" fontId="1" fillId="0" borderId="15" xfId="5" applyFont="1" applyBorder="1" applyAlignment="1">
      <alignment vertical="center" wrapText="1"/>
    </xf>
    <xf numFmtId="0" fontId="1" fillId="4" borderId="24" xfId="5" applyFont="1" applyFill="1" applyBorder="1" applyAlignment="1">
      <alignment vertical="center"/>
    </xf>
    <xf numFmtId="43" fontId="11" fillId="0" borderId="0" xfId="5" applyNumberFormat="1" applyAlignment="1">
      <alignment vertical="center"/>
    </xf>
    <xf numFmtId="0" fontId="7" fillId="0" borderId="20" xfId="5" applyFont="1" applyBorder="1" applyAlignment="1">
      <alignment vertical="center"/>
    </xf>
  </cellXfs>
  <cellStyles count="12">
    <cellStyle name="Moeda" xfId="8" builtinId="4"/>
    <cellStyle name="Moeda 16" xfId="7" xr:uid="{C7E50AE7-01A7-471F-B980-7DFA25E27F66}"/>
    <cellStyle name="Normal" xfId="0" builtinId="0"/>
    <cellStyle name="Normal 10" xfId="2" xr:uid="{0AD3C864-FEC6-4409-8EA4-1EF8CD2BEE86}"/>
    <cellStyle name="Normal 2" xfId="9" xr:uid="{4EB770EA-B682-4DDE-952D-77ACEAF05AA3}"/>
    <cellStyle name="Normal 2 2" xfId="10" xr:uid="{C702EC19-5246-486F-A74D-E458A495179F}"/>
    <cellStyle name="Normal 34 2" xfId="5" xr:uid="{D8B67873-D88F-4C87-8497-CE52E6C0F603}"/>
    <cellStyle name="Normal 39 2" xfId="11" xr:uid="{024E8DC6-619C-4DF7-A06D-34ED37CDC359}"/>
    <cellStyle name="Normal 8" xfId="4" xr:uid="{096E863C-6BBA-442B-98F0-B9BA0D9EF8B0}"/>
    <cellStyle name="Vírgula" xfId="1" builtinId="3"/>
    <cellStyle name="Vírgula 3 2" xfId="3" xr:uid="{95F229EF-0DF5-46E5-AEE9-212A7EF6E1BA}"/>
    <cellStyle name="Vírgula 31" xfId="6" xr:uid="{F94C10EF-9B2D-4AAF-BFCE-923AF2B394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103991</xdr:colOff>
      <xdr:row>0</xdr:row>
      <xdr:rowOff>149679</xdr:rowOff>
    </xdr:from>
    <xdr:to>
      <xdr:col>0</xdr:col>
      <xdr:colOff>1906892</xdr:colOff>
      <xdr:row>2</xdr:row>
      <xdr:rowOff>156883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D60311E8-9A18-4AD0-8024-0F23BDE231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3991" y="149679"/>
          <a:ext cx="1810694" cy="388204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103991</xdr:colOff>
      <xdr:row>0</xdr:row>
      <xdr:rowOff>149679</xdr:rowOff>
    </xdr:from>
    <xdr:to>
      <xdr:col>1</xdr:col>
      <xdr:colOff>849246</xdr:colOff>
      <xdr:row>2</xdr:row>
      <xdr:rowOff>156883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24AD60CF-3C9E-43CC-8550-B24B934D57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3991" y="149679"/>
          <a:ext cx="1810694" cy="388204"/>
        </a:xfrm>
        <a:prstGeom prst="rect">
          <a:avLst/>
        </a:prstGeom>
        <a:ln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65EB-405B-47B8-9ACF-F668B376CE33}">
  <sheetPr>
    <tabColor rgb="FF00B050"/>
  </sheetPr>
  <dimension ref="A1:G59"/>
  <sheetViews>
    <sheetView showGridLines="0" view="pageBreakPreview" zoomScaleNormal="85" zoomScaleSheetLayoutView="100" workbookViewId="0">
      <pane ySplit="5" topLeftCell="A6" activePane="bottomLeft" state="frozen"/>
      <selection activeCell="N7" sqref="N7:N11"/>
      <selection pane="bottomLeft" activeCell="A4" sqref="A4:G4"/>
    </sheetView>
  </sheetViews>
  <sheetFormatPr defaultRowHeight="15"/>
  <cols>
    <col min="1" max="1" width="30" style="17" customWidth="1"/>
    <col min="2" max="2" width="11.140625" style="17" customWidth="1"/>
    <col min="3" max="3" width="64" style="17" customWidth="1"/>
    <col min="4" max="4" width="14" style="17" bestFit="1" customWidth="1"/>
    <col min="5" max="5" width="30.28515625" style="17" customWidth="1"/>
    <col min="6" max="6" width="30" style="17" customWidth="1"/>
    <col min="7" max="7" width="11.140625" style="17" customWidth="1"/>
    <col min="8" max="16384" width="9.140625" style="17"/>
  </cols>
  <sheetData>
    <row r="1" spans="1:7" s="7" customFormat="1" ht="15" customHeight="1">
      <c r="A1" s="1"/>
      <c r="B1" s="3" t="s">
        <v>0</v>
      </c>
      <c r="C1" s="4" t="str">
        <f>'CLIMATIZAÇÃO E EXAUSTÃO'!D1</f>
        <v>Senna Tower</v>
      </c>
      <c r="D1" s="4"/>
      <c r="E1" s="4"/>
      <c r="F1" s="4"/>
      <c r="G1" s="6"/>
    </row>
    <row r="2" spans="1:7" s="11" customFormat="1" ht="15" customHeight="1">
      <c r="A2" s="8"/>
      <c r="B2" s="3" t="s">
        <v>1</v>
      </c>
      <c r="C2" s="4" t="str">
        <f>'CLIMATIZAÇÃO E EXAUSTÃO'!D2</f>
        <v>FG</v>
      </c>
      <c r="D2" s="9"/>
      <c r="E2" s="9"/>
      <c r="F2" s="9"/>
      <c r="G2" s="10"/>
    </row>
    <row r="3" spans="1:7" s="11" customFormat="1" ht="15" customHeight="1">
      <c r="A3" s="12"/>
      <c r="B3" s="3" t="s">
        <v>2</v>
      </c>
      <c r="C3" s="4" t="str">
        <f>'CLIMATIZAÇÃO E EXAUSTÃO'!D3</f>
        <v>R00 - Letícia</v>
      </c>
      <c r="D3" s="4"/>
      <c r="E3" s="4"/>
      <c r="F3" s="4"/>
      <c r="G3" s="14"/>
    </row>
    <row r="4" spans="1:7" s="15" customFormat="1" ht="16.5" thickBot="1">
      <c r="A4" s="151" t="str">
        <f>'CLIMATIZAÇÃO E EXAUSTÃO'!A4</f>
        <v>CLIMATIZAÇÃO E EXAUSTÃO</v>
      </c>
      <c r="B4" s="152"/>
      <c r="C4" s="152"/>
      <c r="D4" s="152"/>
      <c r="E4" s="152"/>
      <c r="F4" s="152"/>
      <c r="G4" s="153"/>
    </row>
    <row r="5" spans="1:7" ht="19.5">
      <c r="C5" s="48" t="s">
        <v>5</v>
      </c>
      <c r="D5" s="16" t="s">
        <v>9</v>
      </c>
      <c r="E5" s="49" t="s">
        <v>10</v>
      </c>
    </row>
    <row r="6" spans="1:7">
      <c r="C6" s="144"/>
      <c r="D6" s="19"/>
      <c r="E6" s="50"/>
    </row>
    <row r="7" spans="1:7">
      <c r="C7" s="144"/>
      <c r="D7" s="18"/>
      <c r="E7" s="50"/>
    </row>
    <row r="8" spans="1:7">
      <c r="B8"/>
      <c r="C8" s="145"/>
      <c r="D8" s="18"/>
      <c r="E8" s="50"/>
    </row>
    <row r="9" spans="1:7">
      <c r="C9" s="146"/>
      <c r="D9" s="18"/>
      <c r="E9" s="50"/>
    </row>
    <row r="10" spans="1:7">
      <c r="C10" s="144"/>
      <c r="D10" s="18"/>
      <c r="E10" s="50"/>
    </row>
    <row r="11" spans="1:7">
      <c r="C11" s="147"/>
      <c r="D11" s="18"/>
      <c r="E11" s="50"/>
    </row>
    <row r="12" spans="1:7">
      <c r="C12" s="146"/>
      <c r="D12" s="18"/>
      <c r="E12" s="50"/>
    </row>
    <row r="13" spans="1:7">
      <c r="C13" s="147"/>
      <c r="D13" s="18"/>
      <c r="E13" s="50"/>
    </row>
    <row r="14" spans="1:7">
      <c r="C14" s="144"/>
      <c r="D14" s="18"/>
      <c r="E14" s="50"/>
    </row>
    <row r="15" spans="1:7">
      <c r="C15" s="148"/>
      <c r="D15" s="18"/>
      <c r="E15" s="50"/>
    </row>
    <row r="16" spans="1:7">
      <c r="C16" s="148"/>
      <c r="D16" s="18"/>
      <c r="E16" s="50"/>
    </row>
    <row r="17" spans="3:5">
      <c r="C17" s="145"/>
      <c r="D17" s="18"/>
      <c r="E17" s="50"/>
    </row>
    <row r="18" spans="3:5">
      <c r="C18" s="144"/>
      <c r="D18" s="18"/>
      <c r="E18" s="50"/>
    </row>
    <row r="19" spans="3:5">
      <c r="C19" s="148"/>
      <c r="D19" s="18"/>
      <c r="E19" s="50"/>
    </row>
    <row r="20" spans="3:5">
      <c r="C20" s="149"/>
      <c r="D20" s="18"/>
      <c r="E20" s="50"/>
    </row>
    <row r="21" spans="3:5">
      <c r="C21" s="149"/>
      <c r="D21" s="18"/>
      <c r="E21" s="50"/>
    </row>
    <row r="22" spans="3:5">
      <c r="C22" s="147"/>
      <c r="D22" s="18"/>
      <c r="E22" s="50"/>
    </row>
    <row r="23" spans="3:5">
      <c r="C23" s="145"/>
      <c r="D23" s="18"/>
      <c r="E23" s="50"/>
    </row>
    <row r="24" spans="3:5">
      <c r="C24" s="145"/>
      <c r="D24" s="18"/>
      <c r="E24" s="50"/>
    </row>
    <row r="25" spans="3:5">
      <c r="C25" s="147"/>
      <c r="D25" s="18"/>
      <c r="E25" s="50"/>
    </row>
    <row r="26" spans="3:5">
      <c r="C26" s="147"/>
      <c r="D26" s="18"/>
      <c r="E26" s="50"/>
    </row>
    <row r="27" spans="3:5">
      <c r="C27" s="147"/>
      <c r="D27" s="18"/>
      <c r="E27" s="50"/>
    </row>
    <row r="28" spans="3:5">
      <c r="C28" s="145"/>
      <c r="D28" s="18"/>
      <c r="E28" s="50"/>
    </row>
    <row r="29" spans="3:5">
      <c r="C29" s="145"/>
      <c r="D29" s="18"/>
      <c r="E29" s="50"/>
    </row>
    <row r="30" spans="3:5">
      <c r="C30" s="145"/>
      <c r="D30" s="18"/>
      <c r="E30" s="50"/>
    </row>
    <row r="31" spans="3:5">
      <c r="C31" s="145"/>
      <c r="D31" s="18"/>
      <c r="E31" s="50"/>
    </row>
    <row r="32" spans="3:5">
      <c r="C32" s="145"/>
      <c r="D32" s="18"/>
      <c r="E32" s="50"/>
    </row>
    <row r="33" spans="2:5">
      <c r="C33" s="144"/>
      <c r="D33" s="18"/>
      <c r="E33" s="50"/>
    </row>
    <row r="34" spans="2:5">
      <c r="C34" s="147"/>
      <c r="D34" s="18"/>
      <c r="E34" s="50"/>
    </row>
    <row r="35" spans="2:5">
      <c r="C35" s="147"/>
      <c r="D35" s="18"/>
      <c r="E35" s="50"/>
    </row>
    <row r="36" spans="2:5">
      <c r="C36" s="148"/>
      <c r="D36" s="18"/>
      <c r="E36" s="50"/>
    </row>
    <row r="37" spans="2:5">
      <c r="C37" s="146"/>
      <c r="D37" s="18"/>
      <c r="E37" s="50"/>
    </row>
    <row r="38" spans="2:5">
      <c r="C38" s="147"/>
      <c r="D38" s="18"/>
      <c r="E38" s="50"/>
    </row>
    <row r="39" spans="2:5">
      <c r="C39" s="147"/>
      <c r="D39" s="18"/>
      <c r="E39" s="50"/>
    </row>
    <row r="40" spans="2:5">
      <c r="C40" s="146"/>
      <c r="D40" s="18"/>
      <c r="E40" s="50"/>
    </row>
    <row r="41" spans="2:5">
      <c r="C41" s="146"/>
      <c r="D41" s="18"/>
      <c r="E41" s="50"/>
    </row>
    <row r="42" spans="2:5">
      <c r="C42" s="147"/>
      <c r="D42" s="18"/>
      <c r="E42" s="50"/>
    </row>
    <row r="43" spans="2:5">
      <c r="C43" s="149"/>
      <c r="D43" s="18"/>
      <c r="E43" s="50"/>
    </row>
    <row r="44" spans="2:5">
      <c r="C44" s="144"/>
      <c r="D44" s="18"/>
      <c r="E44" s="50"/>
    </row>
    <row r="45" spans="2:5">
      <c r="C45" s="148"/>
      <c r="D45" s="18"/>
      <c r="E45" s="50"/>
    </row>
    <row r="46" spans="2:5">
      <c r="C46" s="144"/>
      <c r="D46" s="18"/>
      <c r="E46" s="50"/>
    </row>
    <row r="47" spans="2:5">
      <c r="C47" s="149"/>
      <c r="D47" s="18"/>
      <c r="E47" s="50"/>
    </row>
    <row r="48" spans="2:5">
      <c r="B48"/>
      <c r="C48" s="145"/>
      <c r="D48" s="18"/>
      <c r="E48" s="50"/>
    </row>
    <row r="49" spans="1:7">
      <c r="A49"/>
      <c r="C49" s="146"/>
      <c r="D49" s="18"/>
      <c r="E49" s="50"/>
      <c r="F49"/>
      <c r="G49"/>
    </row>
    <row r="50" spans="1:7">
      <c r="A50"/>
      <c r="C50" s="147"/>
      <c r="D50" s="18"/>
      <c r="E50" s="50"/>
      <c r="F50"/>
      <c r="G50"/>
    </row>
    <row r="51" spans="1:7">
      <c r="A51"/>
      <c r="C51" s="149"/>
      <c r="D51" s="18"/>
      <c r="E51" s="50"/>
      <c r="F51"/>
      <c r="G51"/>
    </row>
    <row r="52" spans="1:7">
      <c r="C52" s="149"/>
      <c r="D52" s="18"/>
      <c r="E52" s="50"/>
    </row>
    <row r="53" spans="1:7">
      <c r="C53" s="146"/>
      <c r="D53" s="18"/>
      <c r="E53" s="50"/>
    </row>
    <row r="54" spans="1:7">
      <c r="C54" s="147"/>
      <c r="D54" s="18"/>
      <c r="E54" s="50"/>
    </row>
    <row r="55" spans="1:7">
      <c r="C55" s="144"/>
      <c r="D55" s="18"/>
      <c r="E55" s="50"/>
    </row>
    <row r="56" spans="1:7">
      <c r="C56" s="144"/>
      <c r="D56" s="18"/>
      <c r="E56" s="50"/>
    </row>
    <row r="57" spans="1:7">
      <c r="C57" s="144"/>
      <c r="D57" s="18"/>
      <c r="E57" s="50"/>
    </row>
    <row r="58" spans="1:7" ht="15.75" thickBot="1">
      <c r="C58" s="150"/>
      <c r="D58" s="51"/>
      <c r="E58" s="52"/>
    </row>
    <row r="59" spans="1:7">
      <c r="C59" s="66"/>
      <c r="D59" s="67"/>
      <c r="E59" s="68"/>
    </row>
  </sheetData>
  <autoFilter ref="B5:E58" xr:uid="{C1CB23AC-E1EC-4E62-80B1-DF5421E7F0F4}">
    <sortState xmlns:xlrd2="http://schemas.microsoft.com/office/spreadsheetml/2017/richdata2" ref="B6:E58">
      <sortCondition ref="C5:C51"/>
    </sortState>
  </autoFilter>
  <mergeCells count="1">
    <mergeCell ref="A4:G4"/>
  </mergeCells>
  <pageMargins left="0.511811024" right="0.511811024" top="0.78740157499999996" bottom="0.78740157499999996" header="0.31496062000000002" footer="0.31496062000000002"/>
  <pageSetup paperSize="9" scale="2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D081-CA21-4FEA-B6B1-689E06981BD4}">
  <sheetPr>
    <tabColor rgb="FF00B050"/>
  </sheetPr>
  <dimension ref="A1:Z455"/>
  <sheetViews>
    <sheetView showGridLines="0" tabSelected="1" view="pageBreakPreview" topLeftCell="G1" zoomScale="80" zoomScaleNormal="85" zoomScaleSheetLayoutView="80" workbookViewId="0">
      <pane ySplit="5" topLeftCell="A6" activePane="bottomLeft" state="frozen"/>
      <selection activeCell="N7" sqref="N7:N11"/>
      <selection pane="bottomLeft" activeCell="U103" sqref="U103"/>
    </sheetView>
  </sheetViews>
  <sheetFormatPr defaultRowHeight="15" outlineLevelRow="1"/>
  <cols>
    <col min="1" max="1" width="16" style="20" bestFit="1" customWidth="1"/>
    <col min="2" max="2" width="17.28515625" style="20" customWidth="1"/>
    <col min="3" max="3" width="64.42578125" style="20" customWidth="1"/>
    <col min="4" max="4" width="29.7109375" style="20" customWidth="1"/>
    <col min="5" max="5" width="128.140625" style="20" customWidth="1"/>
    <col min="6" max="6" width="14.5703125" style="85" customWidth="1"/>
    <col min="7" max="7" width="15" style="85" customWidth="1"/>
    <col min="8" max="8" width="25.7109375" style="85" bestFit="1" customWidth="1"/>
    <col min="9" max="9" width="18.7109375" style="20" bestFit="1" customWidth="1"/>
    <col min="10" max="10" width="15.7109375" style="20" customWidth="1"/>
    <col min="11" max="11" width="23.85546875" style="20" customWidth="1"/>
    <col min="12" max="12" width="13.28515625" style="20" bestFit="1" customWidth="1"/>
    <col min="13" max="13" width="15.140625" style="20" hidden="1" customWidth="1"/>
    <col min="14" max="14" width="17" style="20" hidden="1" customWidth="1"/>
    <col min="15" max="15" width="6.28515625" style="20" customWidth="1"/>
    <col min="16" max="16" width="11.28515625" style="20" bestFit="1" customWidth="1"/>
    <col min="17" max="17" width="160.85546875" style="20" customWidth="1"/>
    <col min="18" max="25" width="17.85546875" style="20" customWidth="1"/>
    <col min="26" max="26" width="13.85546875" style="20" bestFit="1" customWidth="1"/>
    <col min="27" max="16384" width="9.140625" style="20"/>
  </cols>
  <sheetData>
    <row r="1" spans="1:26" s="7" customFormat="1" ht="15" customHeight="1">
      <c r="A1" s="1"/>
      <c r="B1" s="2"/>
      <c r="C1" s="3" t="s">
        <v>0</v>
      </c>
      <c r="D1" s="4" t="s">
        <v>21</v>
      </c>
      <c r="E1" s="4"/>
      <c r="F1" s="78"/>
      <c r="G1" s="78"/>
      <c r="H1" s="12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spans="1:26" s="11" customFormat="1" ht="15" customHeight="1">
      <c r="A2" s="8"/>
      <c r="B2" s="7"/>
      <c r="C2" s="3" t="s">
        <v>1</v>
      </c>
      <c r="D2" s="9" t="s">
        <v>22</v>
      </c>
      <c r="E2" s="9"/>
      <c r="F2" s="79"/>
      <c r="G2" s="79"/>
      <c r="H2" s="7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10"/>
    </row>
    <row r="3" spans="1:26" s="11" customFormat="1" ht="15" customHeight="1">
      <c r="A3" s="12"/>
      <c r="B3" s="13"/>
      <c r="C3" s="3" t="s">
        <v>2</v>
      </c>
      <c r="D3" s="4" t="s">
        <v>23</v>
      </c>
      <c r="E3" s="4"/>
      <c r="F3" s="78"/>
      <c r="G3" s="78"/>
      <c r="H3" s="7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4"/>
    </row>
    <row r="4" spans="1:26" s="7" customFormat="1" ht="22.15" customHeight="1" thickBot="1">
      <c r="A4" s="154" t="s">
        <v>39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 spans="1:26" ht="97.5">
      <c r="A5" s="16" t="s">
        <v>3</v>
      </c>
      <c r="B5" s="16" t="s">
        <v>4</v>
      </c>
      <c r="C5" s="16" t="s">
        <v>17</v>
      </c>
      <c r="D5" s="16" t="s">
        <v>93</v>
      </c>
      <c r="E5" s="16" t="s">
        <v>5</v>
      </c>
      <c r="F5" s="16" t="s">
        <v>50</v>
      </c>
      <c r="G5" s="16" t="s">
        <v>44</v>
      </c>
      <c r="H5" s="16" t="s">
        <v>6</v>
      </c>
      <c r="I5" s="16" t="s">
        <v>19</v>
      </c>
      <c r="J5" s="16" t="s">
        <v>7</v>
      </c>
      <c r="K5" s="16" t="s">
        <v>8</v>
      </c>
      <c r="L5" s="16" t="s">
        <v>9</v>
      </c>
      <c r="M5" s="16" t="s">
        <v>10</v>
      </c>
      <c r="N5" s="16" t="s">
        <v>11</v>
      </c>
      <c r="P5" s="53" t="s">
        <v>18</v>
      </c>
      <c r="Q5" s="69" t="s">
        <v>20</v>
      </c>
      <c r="R5" s="54" t="s">
        <v>277</v>
      </c>
      <c r="S5" s="54" t="s">
        <v>282</v>
      </c>
      <c r="T5" s="54" t="s">
        <v>283</v>
      </c>
      <c r="U5" s="54" t="s">
        <v>278</v>
      </c>
      <c r="V5" s="54" t="s">
        <v>280</v>
      </c>
      <c r="W5" s="54" t="s">
        <v>276</v>
      </c>
      <c r="X5" s="54" t="s">
        <v>279</v>
      </c>
      <c r="Y5" s="54" t="s">
        <v>281</v>
      </c>
      <c r="Z5" s="55" t="s">
        <v>12</v>
      </c>
    </row>
    <row r="6" spans="1:26">
      <c r="A6" s="60" t="s">
        <v>15</v>
      </c>
      <c r="B6" s="21" t="s">
        <v>13</v>
      </c>
      <c r="C6" s="33"/>
      <c r="D6" s="34"/>
      <c r="E6" s="34"/>
      <c r="F6" s="80"/>
      <c r="G6" s="80"/>
      <c r="H6" s="130"/>
      <c r="I6" s="35"/>
      <c r="J6" s="35"/>
      <c r="K6" s="36"/>
      <c r="L6" s="35"/>
      <c r="M6" s="37"/>
      <c r="N6" s="22" t="e">
        <f>IF(SUM(H6:M6)=0,SUMIFS($N7:$N$759,$B7:$B$759,$B6,$A7:$A$759,$A6),K6*M6)</f>
        <v>#N/A</v>
      </c>
      <c r="P6" s="56" t="s">
        <v>15</v>
      </c>
      <c r="Q6" s="70" t="str" cm="1">
        <f t="array" ref="Q6:Q100">_xlfn.UNIQUE(_xlfn._xlws.FILTER($E$6:$E$1048576,$E$6:$E$1048576&lt;&gt;""))</f>
        <v>Controlador com sensor de monóxido de carbono. Interligado por wifi integrado ao sistema de ventilação do subsolo.</v>
      </c>
      <c r="R6" s="57">
        <f>SUMIFS($K$6:$K$426,$E$6:$E$426,$Q6,$C$6:$C$426,R$5,$A$6:$A$426,$P6)</f>
        <v>0</v>
      </c>
      <c r="S6" s="57">
        <f>SUMIFS($K$6:$K$426,$E$6:$E$426,$Q6,$C$6:$C$426,S$5,$A$6:$A$426,$P6)</f>
        <v>0</v>
      </c>
      <c r="T6" s="57">
        <f>SUMIFS($K$6:$K$426,$E$6:$E$426,$Q6,$C$6:$C$426,T$5,$A$6:$A$426,$P6)</f>
        <v>0</v>
      </c>
      <c r="U6" s="57">
        <f>SUMIFS($K$6:$K$426,$E$6:$E$426,$Q6,$C$6:$C$426,U$5,$A$6:$A$426,$P6)</f>
        <v>384</v>
      </c>
      <c r="V6" s="57">
        <f t="shared" ref="V6:Y21" si="0">SUMIFS($K$6:$K$426,$E$6:$E$426,$Q6,$C$6:$C$426,V$5,$A$6:$A$426,$P6)</f>
        <v>0</v>
      </c>
      <c r="W6" s="57">
        <f t="shared" si="0"/>
        <v>0</v>
      </c>
      <c r="X6" s="57">
        <f t="shared" si="0"/>
        <v>0</v>
      </c>
      <c r="Y6" s="57">
        <f t="shared" si="0"/>
        <v>0</v>
      </c>
      <c r="Z6" s="58">
        <f>SUM(R6:Y6)</f>
        <v>384</v>
      </c>
    </row>
    <row r="7" spans="1:26" outlineLevel="1">
      <c r="A7" s="23" t="str">
        <f>A6</f>
        <v>GERAL</v>
      </c>
      <c r="B7" s="23" t="str">
        <f>B6</f>
        <v>SUBSOLO</v>
      </c>
      <c r="C7" s="65" t="s">
        <v>278</v>
      </c>
      <c r="D7" s="75" t="s">
        <v>99</v>
      </c>
      <c r="E7" s="157" t="s">
        <v>40</v>
      </c>
      <c r="F7" s="76" t="s">
        <v>68</v>
      </c>
      <c r="G7" s="76" t="s">
        <v>45</v>
      </c>
      <c r="H7" s="131">
        <v>48</v>
      </c>
      <c r="I7" s="24">
        <v>1</v>
      </c>
      <c r="J7" s="28">
        <v>0</v>
      </c>
      <c r="K7" s="24">
        <f>(H7+J7*H7)*I7</f>
        <v>48</v>
      </c>
      <c r="L7" s="24" t="s">
        <v>154</v>
      </c>
      <c r="M7" s="25" t="e">
        <f>_xlfn.XLOOKUP($E7,PREÇO!$C$6:$C$89,PREÇO!$E$6:$E$89)</f>
        <v>#N/A</v>
      </c>
      <c r="N7" s="59" t="e">
        <f>IF(SUM(H7:M7)=0,SUMIFS($N8:$N$759,$B8:$B$759,$B7,$A8:$A$759,$A7),K7*M7)</f>
        <v>#N/A</v>
      </c>
      <c r="P7" s="56" t="s">
        <v>15</v>
      </c>
      <c r="Q7" s="26" t="str">
        <v>Ventilador de indução direcionador de ar compacto com motor eletrônico, com drive STG02-DRV, comunicação por wifi integrado.</v>
      </c>
      <c r="R7" s="57">
        <f t="shared" ref="R7:T70" si="1">SUMIFS($K$6:$K$426,$E$6:$E$426,$Q7,$C$6:$C$426,R$5,$A$6:$A$426,$P7)</f>
        <v>0</v>
      </c>
      <c r="S7" s="57">
        <f t="shared" si="1"/>
        <v>0</v>
      </c>
      <c r="T7" s="57">
        <f t="shared" si="1"/>
        <v>0</v>
      </c>
      <c r="U7" s="57">
        <f t="shared" ref="U7:Y70" si="2">SUMIFS($K$6:$K$426,$E$6:$E$426,$Q7,$C$6:$C$426,U$5,$A$6:$A$426,$P7)</f>
        <v>920</v>
      </c>
      <c r="V7" s="57">
        <f t="shared" si="0"/>
        <v>0</v>
      </c>
      <c r="W7" s="57">
        <f t="shared" si="0"/>
        <v>0</v>
      </c>
      <c r="X7" s="57">
        <f t="shared" si="0"/>
        <v>0</v>
      </c>
      <c r="Y7" s="57">
        <f t="shared" si="0"/>
        <v>0</v>
      </c>
      <c r="Z7" s="58">
        <f t="shared" ref="Z7:Z70" si="3">SUM(R7:Y7)</f>
        <v>920</v>
      </c>
    </row>
    <row r="8" spans="1:26" ht="30" outlineLevel="1">
      <c r="A8" s="23" t="str">
        <f t="shared" ref="A8:A17" si="4">A7</f>
        <v>GERAL</v>
      </c>
      <c r="B8" s="23" t="str">
        <f t="shared" ref="B8:B17" si="5">B7</f>
        <v>SUBSOLO</v>
      </c>
      <c r="C8" s="65" t="s">
        <v>278</v>
      </c>
      <c r="D8" s="75" t="s">
        <v>99</v>
      </c>
      <c r="E8" s="74" t="s">
        <v>41</v>
      </c>
      <c r="F8" s="76" t="s">
        <v>68</v>
      </c>
      <c r="G8" s="76" t="s">
        <v>46</v>
      </c>
      <c r="H8" s="131">
        <v>115</v>
      </c>
      <c r="I8" s="24">
        <v>1</v>
      </c>
      <c r="J8" s="28">
        <v>0</v>
      </c>
      <c r="K8" s="24">
        <f t="shared" ref="K8:K17" si="6">(H8+J8*H8)*I8</f>
        <v>115</v>
      </c>
      <c r="L8" s="24" t="s">
        <v>154</v>
      </c>
      <c r="M8" s="25" t="e">
        <f>_xlfn.XLOOKUP($E8,PREÇO!$C$6:$C$89,PREÇO!$E$6:$E$89)</f>
        <v>#N/A</v>
      </c>
      <c r="N8" s="59" t="e">
        <f>IF(SUM(H8:M8)=0,SUMIFS($N9:$N$759,$B9:$B$759,$B8,$A9:$A$759,$A8),K8*M8)</f>
        <v>#N/A</v>
      </c>
      <c r="P8" s="56" t="s">
        <v>15</v>
      </c>
      <c r="Q8" s="72" t="str">
        <v>Ventilador tubo axial com motor eletrônico, vazão máxima de 11.000 m³/h, ruído máximo 76 dB(A) livre, com drive STG02-DRV, comunicação por wifi integrado.</v>
      </c>
      <c r="R8" s="57">
        <f t="shared" si="1"/>
        <v>0</v>
      </c>
      <c r="S8" s="57">
        <f t="shared" si="1"/>
        <v>0</v>
      </c>
      <c r="T8" s="57">
        <f t="shared" si="1"/>
        <v>0</v>
      </c>
      <c r="U8" s="57">
        <f t="shared" si="2"/>
        <v>80</v>
      </c>
      <c r="V8" s="57">
        <f t="shared" si="0"/>
        <v>0</v>
      </c>
      <c r="W8" s="57">
        <f t="shared" si="0"/>
        <v>0</v>
      </c>
      <c r="X8" s="57">
        <f t="shared" si="0"/>
        <v>0</v>
      </c>
      <c r="Y8" s="57">
        <f t="shared" si="0"/>
        <v>0</v>
      </c>
      <c r="Z8" s="58">
        <f t="shared" si="3"/>
        <v>80</v>
      </c>
    </row>
    <row r="9" spans="1:26" ht="30" outlineLevel="1">
      <c r="A9" s="23" t="str">
        <f t="shared" si="4"/>
        <v>GERAL</v>
      </c>
      <c r="B9" s="23" t="str">
        <f t="shared" si="5"/>
        <v>SUBSOLO</v>
      </c>
      <c r="C9" s="65" t="s">
        <v>278</v>
      </c>
      <c r="D9" s="75" t="s">
        <v>99</v>
      </c>
      <c r="E9" s="74" t="s">
        <v>42</v>
      </c>
      <c r="F9" s="76" t="s">
        <v>68</v>
      </c>
      <c r="G9" s="76" t="s">
        <v>47</v>
      </c>
      <c r="H9" s="131">
        <v>10</v>
      </c>
      <c r="I9" s="24">
        <v>1</v>
      </c>
      <c r="J9" s="28">
        <v>0</v>
      </c>
      <c r="K9" s="24">
        <f t="shared" si="6"/>
        <v>10</v>
      </c>
      <c r="L9" s="24" t="s">
        <v>154</v>
      </c>
      <c r="M9" s="25" t="e">
        <f>_xlfn.XLOOKUP($E9,PREÇO!$C$6:$C$89,PREÇO!$E$6:$E$89)</f>
        <v>#N/A</v>
      </c>
      <c r="N9" s="59" t="e">
        <f>IF(SUM(H9:M9)=0,SUMIFS($N10:$N$759,$B10:$B$759,$B9,$A10:$A$759,$A9),K9*M9)</f>
        <v>#N/A</v>
      </c>
      <c r="P9" s="56" t="s">
        <v>15</v>
      </c>
      <c r="Q9" s="26" t="str">
        <v>Ventilador tubo axial com motor eletrônico, vazão máxima de 19.300 m³/h, ruído máximo 81 dB(A) livre, com drive STG02-DRV, comunicação por wifi integrado.</v>
      </c>
      <c r="R9" s="57">
        <f t="shared" si="1"/>
        <v>0</v>
      </c>
      <c r="S9" s="57">
        <f t="shared" si="1"/>
        <v>0</v>
      </c>
      <c r="T9" s="57">
        <f t="shared" si="1"/>
        <v>0</v>
      </c>
      <c r="U9" s="57">
        <f t="shared" si="2"/>
        <v>96</v>
      </c>
      <c r="V9" s="57">
        <f t="shared" si="0"/>
        <v>0</v>
      </c>
      <c r="W9" s="57">
        <f t="shared" si="0"/>
        <v>0</v>
      </c>
      <c r="X9" s="57">
        <f t="shared" si="0"/>
        <v>0</v>
      </c>
      <c r="Y9" s="57">
        <f t="shared" si="0"/>
        <v>0</v>
      </c>
      <c r="Z9" s="58">
        <f t="shared" si="3"/>
        <v>96</v>
      </c>
    </row>
    <row r="10" spans="1:26" ht="30" outlineLevel="1">
      <c r="A10" s="23" t="str">
        <f t="shared" si="4"/>
        <v>GERAL</v>
      </c>
      <c r="B10" s="23" t="str">
        <f t="shared" si="5"/>
        <v>SUBSOLO</v>
      </c>
      <c r="C10" s="65" t="s">
        <v>278</v>
      </c>
      <c r="D10" s="75" t="s">
        <v>99</v>
      </c>
      <c r="E10" s="74" t="s">
        <v>43</v>
      </c>
      <c r="F10" s="76" t="s">
        <v>68</v>
      </c>
      <c r="G10" s="76" t="s">
        <v>48</v>
      </c>
      <c r="H10" s="131">
        <v>12</v>
      </c>
      <c r="I10" s="24">
        <v>1</v>
      </c>
      <c r="J10" s="28">
        <v>0</v>
      </c>
      <c r="K10" s="24">
        <f t="shared" si="6"/>
        <v>12</v>
      </c>
      <c r="L10" s="24" t="s">
        <v>154</v>
      </c>
      <c r="M10" s="25" t="e">
        <f>_xlfn.XLOOKUP($E10,PREÇO!$C$6:$C$89,PREÇO!$E$6:$E$89)</f>
        <v>#N/A</v>
      </c>
      <c r="N10" s="59" t="e">
        <f>IF(SUM(H10:M10)=0,SUMIFS($N11:$N$759,$B11:$B$759,$B10,$A11:$A$759,$A10),K10*M10)</f>
        <v>#N/A</v>
      </c>
      <c r="P10" s="56" t="s">
        <v>15</v>
      </c>
      <c r="Q10" s="71" t="str">
        <v>Ventilador helicocentrífugo, baixo nível de ruído, com elementos acústicos, junta de borracha na sucção e descarga.</v>
      </c>
      <c r="R10" s="57">
        <f t="shared" si="1"/>
        <v>45</v>
      </c>
      <c r="S10" s="57">
        <f t="shared" si="1"/>
        <v>2226</v>
      </c>
      <c r="T10" s="57">
        <f t="shared" si="1"/>
        <v>0</v>
      </c>
      <c r="U10" s="57">
        <f t="shared" si="2"/>
        <v>16</v>
      </c>
      <c r="V10" s="57">
        <f t="shared" si="0"/>
        <v>0</v>
      </c>
      <c r="W10" s="57">
        <f t="shared" si="0"/>
        <v>0</v>
      </c>
      <c r="X10" s="57">
        <f t="shared" si="0"/>
        <v>0</v>
      </c>
      <c r="Y10" s="57">
        <f t="shared" si="0"/>
        <v>0</v>
      </c>
      <c r="Z10" s="58">
        <f t="shared" si="3"/>
        <v>2287</v>
      </c>
    </row>
    <row r="11" spans="1:26" ht="30" outlineLevel="1">
      <c r="A11" s="23" t="str">
        <f t="shared" si="4"/>
        <v>GERAL</v>
      </c>
      <c r="B11" s="23" t="str">
        <f t="shared" si="5"/>
        <v>SUBSOLO</v>
      </c>
      <c r="C11" s="23" t="s">
        <v>277</v>
      </c>
      <c r="D11" s="75" t="s">
        <v>100</v>
      </c>
      <c r="E11" s="74" t="s">
        <v>51</v>
      </c>
      <c r="F11" s="77" t="s">
        <v>56</v>
      </c>
      <c r="G11" s="76" t="s">
        <v>57</v>
      </c>
      <c r="H11" s="131">
        <v>1</v>
      </c>
      <c r="I11" s="24">
        <v>1</v>
      </c>
      <c r="J11" s="28">
        <v>0</v>
      </c>
      <c r="K11" s="24">
        <f t="shared" si="6"/>
        <v>1</v>
      </c>
      <c r="L11" s="24" t="s">
        <v>154</v>
      </c>
      <c r="M11" s="25" t="e">
        <f>_xlfn.XLOOKUP($E11,PREÇO!$C$6:$C$89,PREÇO!$E$6:$E$89)</f>
        <v>#N/A</v>
      </c>
      <c r="N11" s="59" t="e">
        <f>IF(SUM(H11:M11)=0,SUMIFS($N12:$N$759,$B12:$B$759,$B11,$A12:$A$759,$A11),K11*M11)</f>
        <v>#N/A</v>
      </c>
      <c r="P11" s="56" t="s">
        <v>15</v>
      </c>
      <c r="Q11" s="72" t="str">
        <v>Ventilador helicocentrífugo com caixa de bornes externa, motor regulável, duas velocidades.</v>
      </c>
      <c r="R11" s="57">
        <f t="shared" si="1"/>
        <v>10</v>
      </c>
      <c r="S11" s="57">
        <f t="shared" si="1"/>
        <v>0</v>
      </c>
      <c r="T11" s="57">
        <f t="shared" si="1"/>
        <v>0</v>
      </c>
      <c r="U11" s="57">
        <f t="shared" si="2"/>
        <v>0</v>
      </c>
      <c r="V11" s="57">
        <f t="shared" si="0"/>
        <v>0</v>
      </c>
      <c r="W11" s="57">
        <f t="shared" si="0"/>
        <v>0</v>
      </c>
      <c r="X11" s="57">
        <f t="shared" si="0"/>
        <v>0</v>
      </c>
      <c r="Y11" s="57">
        <f t="shared" si="0"/>
        <v>0</v>
      </c>
      <c r="Z11" s="58">
        <f t="shared" si="3"/>
        <v>10</v>
      </c>
    </row>
    <row r="12" spans="1:26" outlineLevel="1">
      <c r="A12" s="23" t="str">
        <f t="shared" si="4"/>
        <v>GERAL</v>
      </c>
      <c r="B12" s="23" t="str">
        <f t="shared" si="5"/>
        <v>SUBSOLO</v>
      </c>
      <c r="C12" s="23" t="s">
        <v>277</v>
      </c>
      <c r="D12" s="75" t="s">
        <v>100</v>
      </c>
      <c r="E12" s="142" t="s">
        <v>52</v>
      </c>
      <c r="F12" s="77" t="s">
        <v>56</v>
      </c>
      <c r="G12" s="143" t="s">
        <v>58</v>
      </c>
      <c r="H12" s="131">
        <v>1</v>
      </c>
      <c r="I12" s="24">
        <v>1</v>
      </c>
      <c r="J12" s="28">
        <v>0</v>
      </c>
      <c r="K12" s="24">
        <f t="shared" si="6"/>
        <v>1</v>
      </c>
      <c r="L12" s="24" t="s">
        <v>154</v>
      </c>
      <c r="M12" s="25" t="e">
        <f>_xlfn.XLOOKUP($E12,PREÇO!$C$6:$C$89,PREÇO!$E$6:$E$89)</f>
        <v>#N/A</v>
      </c>
      <c r="N12" s="59" t="e">
        <f>IF(SUM(H12:M12)=0,SUMIFS($N13:$N$759,$B13:$B$759,$B12,$A13:$A$759,$A12),K12*M12)</f>
        <v>#N/A</v>
      </c>
      <c r="P12" s="56" t="s">
        <v>15</v>
      </c>
      <c r="Q12" s="73" t="str">
        <v>Unidade evaporadora tipo Hi-wall, capacidade 12.300 Btu/h, linha VRV, ciclo Q/F.</v>
      </c>
      <c r="R12" s="57">
        <f t="shared" si="1"/>
        <v>0</v>
      </c>
      <c r="S12" s="57">
        <f t="shared" si="1"/>
        <v>0</v>
      </c>
      <c r="T12" s="57">
        <f t="shared" si="1"/>
        <v>0</v>
      </c>
      <c r="U12" s="57">
        <f t="shared" si="2"/>
        <v>0</v>
      </c>
      <c r="V12" s="57">
        <f t="shared" si="0"/>
        <v>0</v>
      </c>
      <c r="W12" s="57">
        <f t="shared" si="0"/>
        <v>9</v>
      </c>
      <c r="X12" s="57">
        <f t="shared" si="0"/>
        <v>2</v>
      </c>
      <c r="Y12" s="57">
        <f t="shared" si="0"/>
        <v>0</v>
      </c>
      <c r="Z12" s="58">
        <f t="shared" si="3"/>
        <v>11</v>
      </c>
    </row>
    <row r="13" spans="1:26" outlineLevel="1">
      <c r="A13" s="23" t="str">
        <f t="shared" si="4"/>
        <v>GERAL</v>
      </c>
      <c r="B13" s="23" t="str">
        <f t="shared" si="5"/>
        <v>SUBSOLO</v>
      </c>
      <c r="C13" s="156" t="s">
        <v>279</v>
      </c>
      <c r="D13" s="75" t="s">
        <v>100</v>
      </c>
      <c r="E13" s="75" t="s">
        <v>53</v>
      </c>
      <c r="F13" s="77" t="s">
        <v>55</v>
      </c>
      <c r="G13" s="77" t="s">
        <v>59</v>
      </c>
      <c r="H13" s="131">
        <v>2</v>
      </c>
      <c r="I13" s="24">
        <v>1</v>
      </c>
      <c r="J13" s="28">
        <v>0</v>
      </c>
      <c r="K13" s="24">
        <f t="shared" si="6"/>
        <v>2</v>
      </c>
      <c r="L13" s="24" t="s">
        <v>154</v>
      </c>
      <c r="M13" s="25" t="e">
        <f>_xlfn.XLOOKUP($E13,PREÇO!$C$6:$C$89,PREÇO!$E$6:$E$89)</f>
        <v>#N/A</v>
      </c>
      <c r="N13" s="59" t="e">
        <f>IF(SUM(H13:M13)=0,SUMIFS($N14:$N$759,$B14:$B$759,$B13,$A14:$A$759,$A13),K13*M13)</f>
        <v>#N/A</v>
      </c>
      <c r="P13" s="56" t="s">
        <v>15</v>
      </c>
      <c r="Q13" s="26" t="str">
        <v>Unidade evaporadora tipo Hi-wall, capacidade 24.200 Btu/h, linha VRV, ciclo Q/F.</v>
      </c>
      <c r="R13" s="57">
        <f t="shared" si="1"/>
        <v>0</v>
      </c>
      <c r="S13" s="57">
        <f t="shared" si="1"/>
        <v>0</v>
      </c>
      <c r="T13" s="57">
        <f t="shared" si="1"/>
        <v>0</v>
      </c>
      <c r="U13" s="57">
        <f t="shared" si="2"/>
        <v>0</v>
      </c>
      <c r="V13" s="57">
        <f t="shared" si="0"/>
        <v>0</v>
      </c>
      <c r="W13" s="57">
        <f t="shared" si="0"/>
        <v>1</v>
      </c>
      <c r="X13" s="57">
        <f t="shared" si="0"/>
        <v>2</v>
      </c>
      <c r="Y13" s="57">
        <f t="shared" si="0"/>
        <v>0</v>
      </c>
      <c r="Z13" s="58">
        <f t="shared" si="3"/>
        <v>3</v>
      </c>
    </row>
    <row r="14" spans="1:26" outlineLevel="1">
      <c r="A14" s="23" t="str">
        <f t="shared" si="4"/>
        <v>GERAL</v>
      </c>
      <c r="B14" s="23" t="str">
        <f t="shared" si="5"/>
        <v>SUBSOLO</v>
      </c>
      <c r="C14" s="156" t="s">
        <v>279</v>
      </c>
      <c r="D14" s="75" t="s">
        <v>100</v>
      </c>
      <c r="E14" s="75" t="s">
        <v>54</v>
      </c>
      <c r="F14" s="77" t="s">
        <v>55</v>
      </c>
      <c r="G14" s="77" t="s">
        <v>60</v>
      </c>
      <c r="H14" s="131">
        <v>2</v>
      </c>
      <c r="I14" s="24">
        <v>1</v>
      </c>
      <c r="J14" s="28">
        <v>0</v>
      </c>
      <c r="K14" s="24">
        <f t="shared" si="6"/>
        <v>2</v>
      </c>
      <c r="L14" s="24" t="s">
        <v>154</v>
      </c>
      <c r="M14" s="25" t="e">
        <f>_xlfn.XLOOKUP($E14,PREÇO!$C$6:$C$89,PREÇO!$E$6:$E$89)</f>
        <v>#N/A</v>
      </c>
      <c r="N14" s="59" t="e">
        <f>IF(SUM(H14:M14)=0,SUMIFS($N15:$N$759,$B15:$B$759,$B14,$A15:$A$759,$A14),K14*M14)</f>
        <v>#N/A</v>
      </c>
      <c r="P14" s="56" t="s">
        <v>15</v>
      </c>
      <c r="Q14" s="26" t="str">
        <v>Grelha redonda fixa com colarinho de DN Ø100 mm.</v>
      </c>
      <c r="R14" s="57">
        <f t="shared" si="1"/>
        <v>3</v>
      </c>
      <c r="S14" s="57">
        <f t="shared" si="1"/>
        <v>0</v>
      </c>
      <c r="T14" s="57">
        <f t="shared" si="1"/>
        <v>0</v>
      </c>
      <c r="U14" s="57">
        <f t="shared" si="2"/>
        <v>0</v>
      </c>
      <c r="V14" s="57">
        <f t="shared" si="0"/>
        <v>0</v>
      </c>
      <c r="W14" s="57">
        <f t="shared" si="0"/>
        <v>0</v>
      </c>
      <c r="X14" s="57">
        <f t="shared" si="0"/>
        <v>0</v>
      </c>
      <c r="Y14" s="57">
        <f t="shared" si="0"/>
        <v>0</v>
      </c>
      <c r="Z14" s="58">
        <f t="shared" si="3"/>
        <v>3</v>
      </c>
    </row>
    <row r="15" spans="1:26" outlineLevel="1">
      <c r="A15" s="23" t="str">
        <f t="shared" si="4"/>
        <v>GERAL</v>
      </c>
      <c r="B15" s="23" t="str">
        <f t="shared" si="5"/>
        <v>SUBSOLO</v>
      </c>
      <c r="C15" s="23" t="s">
        <v>277</v>
      </c>
      <c r="D15" s="75" t="s">
        <v>100</v>
      </c>
      <c r="E15" s="23" t="s">
        <v>61</v>
      </c>
      <c r="F15" s="81" t="s">
        <v>64</v>
      </c>
      <c r="G15" s="81" t="s">
        <v>65</v>
      </c>
      <c r="H15" s="131">
        <v>2</v>
      </c>
      <c r="I15" s="24">
        <v>1</v>
      </c>
      <c r="J15" s="28">
        <v>0</v>
      </c>
      <c r="K15" s="24">
        <f t="shared" si="6"/>
        <v>2</v>
      </c>
      <c r="L15" s="24" t="s">
        <v>154</v>
      </c>
      <c r="M15" s="25" t="e">
        <f>_xlfn.XLOOKUP($E15,PREÇO!$C$6:$C$89,PREÇO!$E$6:$E$89)</f>
        <v>#N/A</v>
      </c>
      <c r="N15" s="59" t="e">
        <f>IF(SUM(H15:M15)=0,SUMIFS($N16:$N$759,$B16:$B$759,$B15,$A16:$A$759,$A15),K15*M15)</f>
        <v>#N/A</v>
      </c>
      <c r="P15" s="56" t="s">
        <v>15</v>
      </c>
      <c r="Q15" s="26" t="str">
        <v>Grelha redonda fixa com colarinho de DN Ø200 mm.</v>
      </c>
      <c r="R15" s="57">
        <f t="shared" si="1"/>
        <v>4</v>
      </c>
      <c r="S15" s="57">
        <f t="shared" si="1"/>
        <v>0</v>
      </c>
      <c r="T15" s="57">
        <f t="shared" si="1"/>
        <v>0</v>
      </c>
      <c r="U15" s="57">
        <f t="shared" si="2"/>
        <v>0</v>
      </c>
      <c r="V15" s="57">
        <f t="shared" si="0"/>
        <v>0</v>
      </c>
      <c r="W15" s="57">
        <f t="shared" si="0"/>
        <v>0</v>
      </c>
      <c r="X15" s="57">
        <f t="shared" si="0"/>
        <v>0</v>
      </c>
      <c r="Y15" s="57">
        <f t="shared" si="0"/>
        <v>0</v>
      </c>
      <c r="Z15" s="58">
        <f t="shared" si="3"/>
        <v>4</v>
      </c>
    </row>
    <row r="16" spans="1:26" outlineLevel="1">
      <c r="A16" s="23" t="str">
        <f t="shared" si="4"/>
        <v>GERAL</v>
      </c>
      <c r="B16" s="23" t="str">
        <f t="shared" si="5"/>
        <v>SUBSOLO</v>
      </c>
      <c r="C16" s="23" t="s">
        <v>277</v>
      </c>
      <c r="D16" s="75" t="s">
        <v>100</v>
      </c>
      <c r="E16" s="23" t="s">
        <v>62</v>
      </c>
      <c r="F16" s="81" t="s">
        <v>64</v>
      </c>
      <c r="G16" s="81" t="s">
        <v>66</v>
      </c>
      <c r="H16" s="131">
        <v>4</v>
      </c>
      <c r="I16" s="24">
        <v>1</v>
      </c>
      <c r="J16" s="28">
        <v>0</v>
      </c>
      <c r="K16" s="24">
        <f t="shared" si="6"/>
        <v>4</v>
      </c>
      <c r="L16" s="24" t="s">
        <v>154</v>
      </c>
      <c r="M16" s="25" t="e">
        <f>_xlfn.XLOOKUP($E16,PREÇO!$C$6:$C$89,PREÇO!$E$6:$E$89)</f>
        <v>#N/A</v>
      </c>
      <c r="N16" s="59" t="e">
        <f>IF(SUM(H16:M16)=0,SUMIFS($N17:$N$759,$B17:$B$759,$B16,$A17:$A$759,$A16),K16*M16)</f>
        <v>#N/A</v>
      </c>
      <c r="P16" s="56" t="s">
        <v>15</v>
      </c>
      <c r="Q16" s="26" t="str">
        <v>Boca com regulador de vazão, em plástico ABS, diâmetro nominal de Ø100mm.</v>
      </c>
      <c r="R16" s="57">
        <f t="shared" si="1"/>
        <v>332</v>
      </c>
      <c r="S16" s="57">
        <f t="shared" si="1"/>
        <v>0</v>
      </c>
      <c r="T16" s="57">
        <f t="shared" si="1"/>
        <v>0</v>
      </c>
      <c r="U16" s="57">
        <f t="shared" si="2"/>
        <v>9</v>
      </c>
      <c r="V16" s="57">
        <f t="shared" si="0"/>
        <v>0</v>
      </c>
      <c r="W16" s="57">
        <f t="shared" si="0"/>
        <v>0</v>
      </c>
      <c r="X16" s="57">
        <f t="shared" si="0"/>
        <v>0</v>
      </c>
      <c r="Y16" s="57">
        <f t="shared" si="0"/>
        <v>2</v>
      </c>
      <c r="Z16" s="58">
        <f t="shared" si="3"/>
        <v>343</v>
      </c>
    </row>
    <row r="17" spans="1:26" ht="15.75" outlineLevel="1" thickBot="1">
      <c r="A17" s="23" t="str">
        <f t="shared" si="4"/>
        <v>GERAL</v>
      </c>
      <c r="B17" s="23" t="str">
        <f t="shared" si="5"/>
        <v>SUBSOLO</v>
      </c>
      <c r="C17" s="23" t="s">
        <v>277</v>
      </c>
      <c r="D17" s="75" t="s">
        <v>100</v>
      </c>
      <c r="E17" s="23" t="s">
        <v>63</v>
      </c>
      <c r="F17" s="81" t="s">
        <v>64</v>
      </c>
      <c r="G17" s="81" t="s">
        <v>67</v>
      </c>
      <c r="H17" s="131">
        <v>3</v>
      </c>
      <c r="I17" s="24">
        <v>1</v>
      </c>
      <c r="J17" s="28">
        <v>0</v>
      </c>
      <c r="K17" s="24">
        <f t="shared" si="6"/>
        <v>3</v>
      </c>
      <c r="L17" s="24" t="s">
        <v>154</v>
      </c>
      <c r="M17" s="25" t="e">
        <f>_xlfn.XLOOKUP($E17,PREÇO!$C$6:$C$89,PREÇO!$E$6:$E$89)</f>
        <v>#N/A</v>
      </c>
      <c r="N17" s="59" t="e">
        <f>IF(SUM(H17:M17)=0,SUMIFS($N18:$N$759,$B18:$B$759,$B17,$A18:$A$759,$A17),K17*M17)</f>
        <v>#N/A</v>
      </c>
      <c r="P17" s="56" t="s">
        <v>15</v>
      </c>
      <c r="Q17" s="26" t="str">
        <v>Unidade condensadora linha VRV 6, Série R, Quente e Frio.</v>
      </c>
      <c r="R17" s="57">
        <f t="shared" si="1"/>
        <v>0</v>
      </c>
      <c r="S17" s="57">
        <f t="shared" si="1"/>
        <v>0</v>
      </c>
      <c r="T17" s="57">
        <f t="shared" si="1"/>
        <v>0</v>
      </c>
      <c r="U17" s="57">
        <f t="shared" si="2"/>
        <v>0</v>
      </c>
      <c r="V17" s="57">
        <f t="shared" si="0"/>
        <v>0</v>
      </c>
      <c r="W17" s="57">
        <f t="shared" si="0"/>
        <v>10</v>
      </c>
      <c r="X17" s="57">
        <f t="shared" si="0"/>
        <v>0</v>
      </c>
      <c r="Y17" s="57">
        <f t="shared" si="0"/>
        <v>0</v>
      </c>
      <c r="Z17" s="58">
        <f t="shared" si="3"/>
        <v>10</v>
      </c>
    </row>
    <row r="18" spans="1:26" ht="15.75" thickTop="1">
      <c r="A18" s="61" t="s">
        <v>15</v>
      </c>
      <c r="B18" s="61" t="s">
        <v>24</v>
      </c>
      <c r="C18" s="42"/>
      <c r="D18" s="43"/>
      <c r="E18" s="43"/>
      <c r="F18" s="82"/>
      <c r="G18" s="82"/>
      <c r="H18" s="132"/>
      <c r="I18" s="44"/>
      <c r="J18" s="44"/>
      <c r="K18" s="45"/>
      <c r="L18" s="44"/>
      <c r="M18" s="46"/>
      <c r="N18" s="47" t="e">
        <f>IF(SUM(H18:M18)=0,SUMIFS($N19:$N$759,$B19:$B$759,$B18,$A19:$A$759,$A18),K18*M18)</f>
        <v>#N/A</v>
      </c>
      <c r="P18" s="56" t="s">
        <v>15</v>
      </c>
      <c r="Q18" s="26" t="str">
        <v>Unidade evaporadora tipo Teto, capacidade 12.300 Btu/h, linha VRV, ciclo Q/F.</v>
      </c>
      <c r="R18" s="57">
        <f t="shared" si="1"/>
        <v>0</v>
      </c>
      <c r="S18" s="57">
        <f t="shared" si="1"/>
        <v>0</v>
      </c>
      <c r="T18" s="57">
        <f t="shared" si="1"/>
        <v>0</v>
      </c>
      <c r="U18" s="57">
        <f t="shared" si="2"/>
        <v>0</v>
      </c>
      <c r="V18" s="57">
        <f t="shared" si="0"/>
        <v>0</v>
      </c>
      <c r="W18" s="57">
        <f t="shared" si="0"/>
        <v>5</v>
      </c>
      <c r="X18" s="57">
        <f t="shared" si="0"/>
        <v>0</v>
      </c>
      <c r="Y18" s="57">
        <f t="shared" si="0"/>
        <v>0</v>
      </c>
      <c r="Z18" s="58">
        <f t="shared" si="3"/>
        <v>5</v>
      </c>
    </row>
    <row r="19" spans="1:26" outlineLevel="1">
      <c r="A19" s="23" t="str">
        <f t="shared" ref="A19:B21" si="7">A18</f>
        <v>GERAL</v>
      </c>
      <c r="B19" s="23" t="str">
        <f t="shared" si="7"/>
        <v>1° PAV. TÉRREO</v>
      </c>
      <c r="C19" s="65" t="s">
        <v>278</v>
      </c>
      <c r="D19" s="62" t="s">
        <v>102</v>
      </c>
      <c r="E19" s="74" t="s">
        <v>40</v>
      </c>
      <c r="F19" s="76" t="s">
        <v>68</v>
      </c>
      <c r="G19" s="76" t="s">
        <v>45</v>
      </c>
      <c r="H19" s="131">
        <v>48</v>
      </c>
      <c r="I19" s="24">
        <v>1</v>
      </c>
      <c r="J19" s="24">
        <v>0</v>
      </c>
      <c r="K19" s="24">
        <f>(H19+J19*H19)*I19</f>
        <v>48</v>
      </c>
      <c r="L19" s="24" t="s">
        <v>155</v>
      </c>
      <c r="M19" s="25" t="e">
        <f>_xlfn.XLOOKUP($E19,PREÇO!$C$6:$C$89,PREÇO!$E$6:$E$89)</f>
        <v>#N/A</v>
      </c>
      <c r="N19" s="59" t="e">
        <f>IF(SUM(H19:M19)=0,SUMIFS($N20:$N$759,$B20:$B$759,$B19,$A20:$A$759,$A19),K19*M19)</f>
        <v>#N/A</v>
      </c>
      <c r="P19" s="56" t="s">
        <v>15</v>
      </c>
      <c r="Q19" s="26" t="str">
        <v>Unidade evaporadora tipo Teto, capacidade 24.200 Btu/h, linha VRV, ciclo Q/F.</v>
      </c>
      <c r="R19" s="57">
        <f t="shared" si="1"/>
        <v>0</v>
      </c>
      <c r="S19" s="57">
        <f t="shared" si="1"/>
        <v>0</v>
      </c>
      <c r="T19" s="57">
        <f t="shared" si="1"/>
        <v>0</v>
      </c>
      <c r="U19" s="57">
        <f t="shared" si="2"/>
        <v>0</v>
      </c>
      <c r="V19" s="57">
        <f t="shared" si="0"/>
        <v>0</v>
      </c>
      <c r="W19" s="57">
        <f t="shared" si="0"/>
        <v>5</v>
      </c>
      <c r="X19" s="57">
        <f t="shared" si="0"/>
        <v>0</v>
      </c>
      <c r="Y19" s="57">
        <f t="shared" si="0"/>
        <v>0</v>
      </c>
      <c r="Z19" s="58">
        <f t="shared" si="3"/>
        <v>5</v>
      </c>
    </row>
    <row r="20" spans="1:26" ht="30" outlineLevel="1">
      <c r="A20" s="23" t="str">
        <f t="shared" si="7"/>
        <v>GERAL</v>
      </c>
      <c r="B20" s="23" t="str">
        <f t="shared" si="7"/>
        <v>1° PAV. TÉRREO</v>
      </c>
      <c r="C20" s="65" t="s">
        <v>278</v>
      </c>
      <c r="D20" s="62" t="s">
        <v>102</v>
      </c>
      <c r="E20" s="74" t="s">
        <v>41</v>
      </c>
      <c r="F20" s="76" t="s">
        <v>68</v>
      </c>
      <c r="G20" s="76" t="s">
        <v>46</v>
      </c>
      <c r="H20" s="131">
        <v>115</v>
      </c>
      <c r="I20" s="24">
        <v>1</v>
      </c>
      <c r="J20" s="24">
        <v>0</v>
      </c>
      <c r="K20" s="24">
        <f t="shared" ref="K20:K21" si="8">(H20+J20*H20)*I20</f>
        <v>115</v>
      </c>
      <c r="L20" s="24" t="s">
        <v>155</v>
      </c>
      <c r="M20" s="25" t="e">
        <f>_xlfn.XLOOKUP($E20,PREÇO!$C$6:$C$89,PREÇO!$E$6:$E$89)</f>
        <v>#N/A</v>
      </c>
      <c r="N20" s="59" t="e">
        <f>IF(SUM(H20:M20)=0,SUMIFS($N21:$N$759,$B21:$B$759,$B20,$A21:$A$759,$A20),K20*M20)</f>
        <v>#N/A</v>
      </c>
      <c r="P20" s="56" t="s">
        <v>15</v>
      </c>
      <c r="Q20" s="26" t="str">
        <v>Unidade evaporadora tipo Teto, capacidade 38.200 Btu/h, linha VRV, ciclo Q/F.</v>
      </c>
      <c r="R20" s="57">
        <f t="shared" si="1"/>
        <v>0</v>
      </c>
      <c r="S20" s="57">
        <f t="shared" si="1"/>
        <v>0</v>
      </c>
      <c r="T20" s="57">
        <f t="shared" si="1"/>
        <v>0</v>
      </c>
      <c r="U20" s="57">
        <f t="shared" si="2"/>
        <v>0</v>
      </c>
      <c r="V20" s="57">
        <f t="shared" si="0"/>
        <v>0</v>
      </c>
      <c r="W20" s="57">
        <f t="shared" si="0"/>
        <v>11</v>
      </c>
      <c r="X20" s="57">
        <f t="shared" si="0"/>
        <v>0</v>
      </c>
      <c r="Y20" s="57">
        <f>SUMIFS($K$6:$K$426,$E$6:$E$426,$Q20,$C$6:$C$426,Y$5,$A$6:$A$426,$P20)</f>
        <v>0</v>
      </c>
      <c r="Z20" s="58">
        <f t="shared" si="3"/>
        <v>11</v>
      </c>
    </row>
    <row r="21" spans="1:26" ht="30" outlineLevel="1">
      <c r="A21" s="23" t="str">
        <f t="shared" si="7"/>
        <v>GERAL</v>
      </c>
      <c r="B21" s="23" t="str">
        <f t="shared" si="7"/>
        <v>1° PAV. TÉRREO</v>
      </c>
      <c r="C21" s="65" t="s">
        <v>278</v>
      </c>
      <c r="D21" s="62" t="s">
        <v>102</v>
      </c>
      <c r="E21" s="74" t="s">
        <v>42</v>
      </c>
      <c r="F21" s="76" t="s">
        <v>68</v>
      </c>
      <c r="G21" s="76" t="s">
        <v>47</v>
      </c>
      <c r="H21" s="131">
        <v>10</v>
      </c>
      <c r="I21" s="24">
        <v>1</v>
      </c>
      <c r="J21" s="24">
        <v>0</v>
      </c>
      <c r="K21" s="24">
        <f t="shared" si="8"/>
        <v>10</v>
      </c>
      <c r="L21" s="24" t="s">
        <v>155</v>
      </c>
      <c r="M21" s="25" t="e">
        <f>_xlfn.XLOOKUP($E21,PREÇO!$C$6:$C$89,PREÇO!$E$6:$E$89)</f>
        <v>#N/A</v>
      </c>
      <c r="N21" s="59" t="e">
        <f>IF(SUM(H21:M21)=0,SUMIFS($N22:$N$759,$B22:$B$759,$B21,$A22:$A$759,$A21),K21*M21)</f>
        <v>#N/A</v>
      </c>
      <c r="P21" s="56" t="s">
        <v>15</v>
      </c>
      <c r="Q21" s="26" t="str">
        <v>Unidade evaporadora tipo cassete Round Flow, capacidade 38.200 Btu/h, linha VRV, ciclo Q/F.</v>
      </c>
      <c r="R21" s="57">
        <f t="shared" si="1"/>
        <v>0</v>
      </c>
      <c r="S21" s="57">
        <f t="shared" si="1"/>
        <v>0</v>
      </c>
      <c r="T21" s="57">
        <f t="shared" si="1"/>
        <v>0</v>
      </c>
      <c r="U21" s="57">
        <f t="shared" si="2"/>
        <v>0</v>
      </c>
      <c r="V21" s="57">
        <f t="shared" si="0"/>
        <v>0</v>
      </c>
      <c r="W21" s="57">
        <f t="shared" si="0"/>
        <v>114</v>
      </c>
      <c r="X21" s="57">
        <f t="shared" si="0"/>
        <v>0</v>
      </c>
      <c r="Y21" s="57">
        <f t="shared" si="0"/>
        <v>0</v>
      </c>
      <c r="Z21" s="58">
        <f t="shared" si="3"/>
        <v>114</v>
      </c>
    </row>
    <row r="22" spans="1:26" ht="30" outlineLevel="1">
      <c r="A22" s="102" t="str">
        <f t="shared" ref="A22:B22" si="9">A21</f>
        <v>GERAL</v>
      </c>
      <c r="B22" s="102" t="str">
        <f t="shared" si="9"/>
        <v>1° PAV. TÉRREO</v>
      </c>
      <c r="C22" s="65" t="s">
        <v>278</v>
      </c>
      <c r="D22" s="103" t="s">
        <v>102</v>
      </c>
      <c r="E22" s="104" t="s">
        <v>43</v>
      </c>
      <c r="F22" s="105" t="s">
        <v>68</v>
      </c>
      <c r="G22" s="105" t="s">
        <v>48</v>
      </c>
      <c r="H22" s="133">
        <v>12</v>
      </c>
      <c r="I22" s="38">
        <v>1</v>
      </c>
      <c r="J22" s="38">
        <v>0</v>
      </c>
      <c r="K22" s="38">
        <f t="shared" ref="K22:K69" si="10">(H22+J22*H22)*I22</f>
        <v>12</v>
      </c>
      <c r="L22" s="38" t="s">
        <v>155</v>
      </c>
      <c r="M22" s="106" t="e">
        <f>_xlfn.XLOOKUP($E22,PREÇO!$C$6:$C$89,PREÇO!$E$6:$E$89)</f>
        <v>#N/A</v>
      </c>
      <c r="N22" s="107" t="e">
        <f>IF(SUM(H22:M22)=0,SUMIFS($N23:$N$759,$B23:$B$759,$B22,$A23:$A$759,$A22),K22*M22)</f>
        <v>#N/A</v>
      </c>
      <c r="P22" s="56" t="s">
        <v>15</v>
      </c>
      <c r="Q22" s="26" t="str">
        <v>Unidade evaporadora tipo cassete Round Flow, capacidade 47.800 Btu/h, linha VRV, ciclo Q/F.</v>
      </c>
      <c r="R22" s="57">
        <f t="shared" si="1"/>
        <v>0</v>
      </c>
      <c r="S22" s="57">
        <f t="shared" si="1"/>
        <v>0</v>
      </c>
      <c r="T22" s="57">
        <f t="shared" si="1"/>
        <v>0</v>
      </c>
      <c r="U22" s="57">
        <f t="shared" si="2"/>
        <v>0</v>
      </c>
      <c r="V22" s="57">
        <f t="shared" si="2"/>
        <v>0</v>
      </c>
      <c r="W22" s="57">
        <f t="shared" si="2"/>
        <v>129</v>
      </c>
      <c r="X22" s="57">
        <f t="shared" si="2"/>
        <v>0</v>
      </c>
      <c r="Y22" s="57">
        <f t="shared" si="2"/>
        <v>0</v>
      </c>
      <c r="Z22" s="58">
        <f t="shared" si="3"/>
        <v>129</v>
      </c>
    </row>
    <row r="23" spans="1:26" ht="30" outlineLevel="1">
      <c r="A23" s="108" t="str">
        <f t="shared" ref="A23:B23" si="11">A22</f>
        <v>GERAL</v>
      </c>
      <c r="B23" s="108" t="str">
        <f t="shared" si="11"/>
        <v>1° PAV. TÉRREO</v>
      </c>
      <c r="C23" s="108" t="s">
        <v>277</v>
      </c>
      <c r="D23" s="109" t="s">
        <v>98</v>
      </c>
      <c r="E23" s="109" t="s">
        <v>51</v>
      </c>
      <c r="F23" s="110" t="s">
        <v>56</v>
      </c>
      <c r="G23" s="110" t="s">
        <v>57</v>
      </c>
      <c r="H23" s="134">
        <v>4</v>
      </c>
      <c r="I23" s="111">
        <v>1</v>
      </c>
      <c r="J23" s="111">
        <v>0</v>
      </c>
      <c r="K23" s="111">
        <f t="shared" si="10"/>
        <v>4</v>
      </c>
      <c r="L23" s="111" t="s">
        <v>155</v>
      </c>
      <c r="M23" s="112" t="e">
        <f>_xlfn.XLOOKUP($E23,PREÇO!$C$6:$C$89,PREÇO!$E$6:$E$89)</f>
        <v>#N/A</v>
      </c>
      <c r="N23" s="113" t="e">
        <f>IF(SUM(H23:M23)=0,SUMIFS($N24:$N$759,$B24:$B$759,$B23,$A24:$A$759,$A23),K23*M23)</f>
        <v>#N/A</v>
      </c>
      <c r="P23" s="56" t="s">
        <v>15</v>
      </c>
      <c r="Q23" s="26" t="str">
        <v>Gabinete de ventilação, com filtro G4+M5, paineis isolados</v>
      </c>
      <c r="R23" s="57">
        <f t="shared" si="1"/>
        <v>2</v>
      </c>
      <c r="S23" s="57">
        <f t="shared" si="1"/>
        <v>0</v>
      </c>
      <c r="T23" s="57">
        <f t="shared" si="1"/>
        <v>0</v>
      </c>
      <c r="U23" s="57">
        <f t="shared" si="2"/>
        <v>8</v>
      </c>
      <c r="V23" s="57">
        <f t="shared" si="2"/>
        <v>0</v>
      </c>
      <c r="W23" s="57">
        <f t="shared" si="2"/>
        <v>0</v>
      </c>
      <c r="X23" s="57">
        <f t="shared" si="2"/>
        <v>0</v>
      </c>
      <c r="Y23" s="57">
        <f t="shared" si="2"/>
        <v>0</v>
      </c>
      <c r="Z23" s="58">
        <f t="shared" si="3"/>
        <v>10</v>
      </c>
    </row>
    <row r="24" spans="1:26" outlineLevel="1">
      <c r="A24" s="23" t="str">
        <f t="shared" ref="A24:B24" si="12">A23</f>
        <v>GERAL</v>
      </c>
      <c r="B24" s="23" t="str">
        <f t="shared" si="12"/>
        <v>1° PAV. TÉRREO</v>
      </c>
      <c r="C24" s="23" t="s">
        <v>276</v>
      </c>
      <c r="D24" s="74" t="s">
        <v>98</v>
      </c>
      <c r="E24" s="29" t="s">
        <v>69</v>
      </c>
      <c r="F24" s="76" t="s">
        <v>55</v>
      </c>
      <c r="G24" s="83" t="s">
        <v>70</v>
      </c>
      <c r="H24" s="131">
        <v>1</v>
      </c>
      <c r="I24" s="24">
        <v>1</v>
      </c>
      <c r="J24" s="24">
        <v>0</v>
      </c>
      <c r="K24" s="24">
        <f t="shared" si="10"/>
        <v>1</v>
      </c>
      <c r="L24" s="24" t="s">
        <v>155</v>
      </c>
      <c r="M24" s="25" t="e">
        <f>_xlfn.XLOOKUP($E24,PREÇO!$C$6:$C$89,PREÇO!$E$6:$E$89)</f>
        <v>#N/A</v>
      </c>
      <c r="N24" s="59" t="e">
        <f>IF(SUM(H24:M24)=0,SUMIFS($N25:$N$759,$B25:$B$759,$B24,$A25:$A$759,$A24),K24*M24)</f>
        <v>#N/A</v>
      </c>
      <c r="P24" s="56" t="s">
        <v>15</v>
      </c>
      <c r="Q24" s="26" t="str">
        <v>Grelha redonda fixa com colarinho, em plástico ABS, colarinho de Ø100m.</v>
      </c>
      <c r="R24" s="57">
        <f t="shared" si="1"/>
        <v>8</v>
      </c>
      <c r="S24" s="57">
        <f t="shared" si="1"/>
        <v>0</v>
      </c>
      <c r="T24" s="57">
        <f t="shared" si="1"/>
        <v>0</v>
      </c>
      <c r="U24" s="57">
        <f t="shared" si="2"/>
        <v>12</v>
      </c>
      <c r="V24" s="57">
        <f t="shared" si="2"/>
        <v>0</v>
      </c>
      <c r="W24" s="57">
        <f t="shared" si="2"/>
        <v>0</v>
      </c>
      <c r="X24" s="57">
        <f t="shared" si="2"/>
        <v>0</v>
      </c>
      <c r="Y24" s="57">
        <f t="shared" si="2"/>
        <v>0</v>
      </c>
      <c r="Z24" s="58">
        <f t="shared" si="3"/>
        <v>20</v>
      </c>
    </row>
    <row r="25" spans="1:26" outlineLevel="1">
      <c r="A25" s="23" t="str">
        <f t="shared" ref="A25:B25" si="13">A24</f>
        <v>GERAL</v>
      </c>
      <c r="B25" s="23" t="str">
        <f t="shared" si="13"/>
        <v>1° PAV. TÉRREO</v>
      </c>
      <c r="C25" s="23" t="s">
        <v>276</v>
      </c>
      <c r="D25" s="74" t="s">
        <v>98</v>
      </c>
      <c r="E25" s="29" t="s">
        <v>69</v>
      </c>
      <c r="F25" s="76" t="s">
        <v>55</v>
      </c>
      <c r="G25" s="83" t="s">
        <v>71</v>
      </c>
      <c r="H25" s="131">
        <v>1</v>
      </c>
      <c r="I25" s="24">
        <v>1</v>
      </c>
      <c r="J25" s="24">
        <v>0</v>
      </c>
      <c r="K25" s="24">
        <f t="shared" si="10"/>
        <v>1</v>
      </c>
      <c r="L25" s="24" t="s">
        <v>155</v>
      </c>
      <c r="M25" s="25" t="e">
        <f>_xlfn.XLOOKUP($E25,PREÇO!$C$6:$C$89,PREÇO!$E$6:$E$89)</f>
        <v>#N/A</v>
      </c>
      <c r="N25" s="59" t="e">
        <f>IF(SUM(H25:M25)=0,SUMIFS($N26:$N$759,$B26:$B$759,$B25,$A26:$A$759,$A25),K25*M25)</f>
        <v>#N/A</v>
      </c>
      <c r="P25" s="56" t="s">
        <v>15</v>
      </c>
      <c r="Q25" s="26" t="str">
        <v>Grelha metálica retangular, com registro de lâminas convergentes.</v>
      </c>
      <c r="R25" s="57">
        <f t="shared" si="1"/>
        <v>169</v>
      </c>
      <c r="S25" s="57">
        <f t="shared" si="1"/>
        <v>0</v>
      </c>
      <c r="T25" s="57">
        <f t="shared" si="1"/>
        <v>0</v>
      </c>
      <c r="U25" s="57">
        <f t="shared" si="2"/>
        <v>29</v>
      </c>
      <c r="V25" s="57">
        <f t="shared" si="2"/>
        <v>0</v>
      </c>
      <c r="W25" s="57">
        <f t="shared" si="2"/>
        <v>0</v>
      </c>
      <c r="X25" s="57">
        <f t="shared" si="2"/>
        <v>0</v>
      </c>
      <c r="Y25" s="57">
        <f t="shared" si="2"/>
        <v>0</v>
      </c>
      <c r="Z25" s="58">
        <f t="shared" si="3"/>
        <v>198</v>
      </c>
    </row>
    <row r="26" spans="1:26" outlineLevel="1">
      <c r="A26" s="23" t="str">
        <f t="shared" ref="A26" si="14">A25</f>
        <v>GERAL</v>
      </c>
      <c r="B26" s="23" t="str">
        <f t="shared" ref="B26" si="15">B25</f>
        <v>1° PAV. TÉRREO</v>
      </c>
      <c r="C26" s="23" t="s">
        <v>276</v>
      </c>
      <c r="D26" s="74" t="s">
        <v>98</v>
      </c>
      <c r="E26" s="74" t="s">
        <v>72</v>
      </c>
      <c r="F26" s="76" t="s">
        <v>55</v>
      </c>
      <c r="G26" s="76" t="s">
        <v>75</v>
      </c>
      <c r="H26" s="131">
        <v>1</v>
      </c>
      <c r="I26" s="24">
        <v>1</v>
      </c>
      <c r="J26" s="24">
        <v>0</v>
      </c>
      <c r="K26" s="24">
        <f t="shared" si="10"/>
        <v>1</v>
      </c>
      <c r="L26" s="24" t="s">
        <v>155</v>
      </c>
      <c r="M26" s="25" t="e">
        <f>_xlfn.XLOOKUP($E26,PREÇO!$C$6:$C$89,PREÇO!$E$6:$E$89)</f>
        <v>#N/A</v>
      </c>
      <c r="N26" s="59" t="e">
        <f>IF(SUM(H26:M26)=0,SUMIFS($N27:$N$759,$B27:$B$759,$B26,$A27:$A$759,$A26),K26*M26)</f>
        <v>#N/A</v>
      </c>
      <c r="P26" s="56" t="s">
        <v>15</v>
      </c>
      <c r="Q26" s="26" t="str">
        <v>Coifa Lavadora tipo Ilha com 5 Estágios de Filtragem. Vazão de 5.760 m³/h.</v>
      </c>
      <c r="R26" s="57">
        <f t="shared" si="1"/>
        <v>0</v>
      </c>
      <c r="S26" s="57">
        <f t="shared" si="1"/>
        <v>0</v>
      </c>
      <c r="T26" s="57">
        <f t="shared" si="1"/>
        <v>0</v>
      </c>
      <c r="U26" s="57">
        <f t="shared" si="2"/>
        <v>0</v>
      </c>
      <c r="V26" s="57">
        <f t="shared" si="2"/>
        <v>1</v>
      </c>
      <c r="W26" s="57">
        <f t="shared" si="2"/>
        <v>0</v>
      </c>
      <c r="X26" s="57">
        <f t="shared" si="2"/>
        <v>0</v>
      </c>
      <c r="Y26" s="57">
        <f t="shared" si="2"/>
        <v>0</v>
      </c>
      <c r="Z26" s="58">
        <f t="shared" si="3"/>
        <v>1</v>
      </c>
    </row>
    <row r="27" spans="1:26" outlineLevel="1">
      <c r="A27" s="23" t="str">
        <f t="shared" ref="A27" si="16">A26</f>
        <v>GERAL</v>
      </c>
      <c r="B27" s="23" t="str">
        <f t="shared" ref="B27" si="17">B26</f>
        <v>1° PAV. TÉRREO</v>
      </c>
      <c r="C27" s="23" t="s">
        <v>276</v>
      </c>
      <c r="D27" s="74" t="s">
        <v>98</v>
      </c>
      <c r="E27" s="74" t="s">
        <v>73</v>
      </c>
      <c r="F27" s="76" t="s">
        <v>55</v>
      </c>
      <c r="G27" s="76" t="s">
        <v>74</v>
      </c>
      <c r="H27" s="131">
        <v>1</v>
      </c>
      <c r="I27" s="24">
        <v>1</v>
      </c>
      <c r="J27" s="24">
        <v>0</v>
      </c>
      <c r="K27" s="24">
        <f t="shared" si="10"/>
        <v>1</v>
      </c>
      <c r="L27" s="24" t="s">
        <v>155</v>
      </c>
      <c r="M27" s="25" t="e">
        <f>_xlfn.XLOOKUP($E27,PREÇO!$C$6:$C$89,PREÇO!$E$6:$E$89)</f>
        <v>#N/A</v>
      </c>
      <c r="N27" s="59" t="e">
        <f>IF(SUM(H27:M27)=0,SUMIFS($N28:$N$759,$B28:$B$759,$B27,$A28:$A$759,$A27),K27*M27)</f>
        <v>#N/A</v>
      </c>
      <c r="P27" s="56" t="s">
        <v>15</v>
      </c>
      <c r="Q27" s="26" t="str">
        <v>Unidade condensadora VRF de 4 HP, Só Frio, retangular de descarga horizontal.</v>
      </c>
      <c r="R27" s="57">
        <f t="shared" si="1"/>
        <v>0</v>
      </c>
      <c r="S27" s="57">
        <f t="shared" si="1"/>
        <v>0</v>
      </c>
      <c r="T27" s="57">
        <f t="shared" si="1"/>
        <v>0</v>
      </c>
      <c r="U27" s="57">
        <f t="shared" si="2"/>
        <v>0</v>
      </c>
      <c r="V27" s="57">
        <f t="shared" si="2"/>
        <v>0</v>
      </c>
      <c r="W27" s="57">
        <f t="shared" si="2"/>
        <v>2</v>
      </c>
      <c r="X27" s="57">
        <f t="shared" si="2"/>
        <v>0</v>
      </c>
      <c r="Y27" s="57">
        <f t="shared" si="2"/>
        <v>0</v>
      </c>
      <c r="Z27" s="58">
        <f t="shared" si="3"/>
        <v>2</v>
      </c>
    </row>
    <row r="28" spans="1:26" outlineLevel="1">
      <c r="A28" s="23" t="str">
        <f t="shared" ref="A28" si="18">A27</f>
        <v>GERAL</v>
      </c>
      <c r="B28" s="23" t="str">
        <f t="shared" ref="B28" si="19">B27</f>
        <v>1° PAV. TÉRREO</v>
      </c>
      <c r="C28" s="23" t="s">
        <v>276</v>
      </c>
      <c r="D28" s="74" t="s">
        <v>98</v>
      </c>
      <c r="E28" s="74" t="s">
        <v>76</v>
      </c>
      <c r="F28" s="76" t="s">
        <v>55</v>
      </c>
      <c r="G28" s="76" t="s">
        <v>77</v>
      </c>
      <c r="H28" s="131">
        <v>1</v>
      </c>
      <c r="I28" s="24">
        <v>1</v>
      </c>
      <c r="J28" s="24">
        <v>0</v>
      </c>
      <c r="K28" s="24">
        <f t="shared" si="10"/>
        <v>1</v>
      </c>
      <c r="L28" s="24" t="s">
        <v>155</v>
      </c>
      <c r="M28" s="25" t="e">
        <f>_xlfn.XLOOKUP($E28,PREÇO!$C$6:$C$89,PREÇO!$E$6:$E$89)</f>
        <v>#N/A</v>
      </c>
      <c r="N28" s="59" t="e">
        <f>IF(SUM(H28:M28)=0,SUMIFS($N29:$N$759,$B29:$B$759,$B28,$A29:$A$759,$A28),K28*M28)</f>
        <v>#N/A</v>
      </c>
      <c r="P28" s="56" t="s">
        <v>15</v>
      </c>
      <c r="Q28" s="26" t="str">
        <v>Unidade Condensadora Linha VRV 6, Série R, Quente e Frio Simultaneo 10 HP, 231 kg</v>
      </c>
      <c r="R28" s="57">
        <f t="shared" si="1"/>
        <v>0</v>
      </c>
      <c r="S28" s="57">
        <f t="shared" si="1"/>
        <v>0</v>
      </c>
      <c r="T28" s="57">
        <f t="shared" si="1"/>
        <v>0</v>
      </c>
      <c r="U28" s="57">
        <f t="shared" si="2"/>
        <v>0</v>
      </c>
      <c r="V28" s="57">
        <f t="shared" si="2"/>
        <v>0</v>
      </c>
      <c r="W28" s="57">
        <f t="shared" si="2"/>
        <v>1</v>
      </c>
      <c r="X28" s="57">
        <f t="shared" si="2"/>
        <v>0</v>
      </c>
      <c r="Y28" s="57">
        <f t="shared" si="2"/>
        <v>0</v>
      </c>
      <c r="Z28" s="58">
        <f t="shared" si="3"/>
        <v>1</v>
      </c>
    </row>
    <row r="29" spans="1:26" outlineLevel="1">
      <c r="A29" s="23" t="str">
        <f t="shared" ref="A29" si="20">A28</f>
        <v>GERAL</v>
      </c>
      <c r="B29" s="23" t="str">
        <f t="shared" ref="B29" si="21">B28</f>
        <v>1° PAV. TÉRREO</v>
      </c>
      <c r="C29" s="23" t="s">
        <v>276</v>
      </c>
      <c r="D29" s="74" t="s">
        <v>98</v>
      </c>
      <c r="E29" s="74" t="s">
        <v>78</v>
      </c>
      <c r="F29" s="76" t="s">
        <v>55</v>
      </c>
      <c r="G29" s="76" t="s">
        <v>79</v>
      </c>
      <c r="H29" s="131">
        <v>3</v>
      </c>
      <c r="I29" s="24">
        <v>1</v>
      </c>
      <c r="J29" s="24">
        <v>0</v>
      </c>
      <c r="K29" s="24">
        <f t="shared" si="10"/>
        <v>3</v>
      </c>
      <c r="L29" s="24" t="s">
        <v>155</v>
      </c>
      <c r="M29" s="25" t="e">
        <f>_xlfn.XLOOKUP($E29,PREÇO!$C$6:$C$89,PREÇO!$E$6:$E$89)</f>
        <v>#N/A</v>
      </c>
      <c r="N29" s="59" t="e">
        <f>IF(SUM(H29:M29)=0,SUMIFS($N30:$N$759,$B30:$B$759,$B29,$A30:$A$759,$A29),K29*M29)</f>
        <v>#N/A</v>
      </c>
      <c r="P29" s="56" t="s">
        <v>15</v>
      </c>
      <c r="Q29" s="26" t="str">
        <v>Unidade evaporadora tipo Hi-wall, capacidade 7.500 Btu/h, linha VRV, ciclo Q/F.</v>
      </c>
      <c r="R29" s="57">
        <f t="shared" si="1"/>
        <v>0</v>
      </c>
      <c r="S29" s="57">
        <f t="shared" si="1"/>
        <v>0</v>
      </c>
      <c r="T29" s="57">
        <f t="shared" si="1"/>
        <v>0</v>
      </c>
      <c r="U29" s="57">
        <f t="shared" si="2"/>
        <v>0</v>
      </c>
      <c r="V29" s="57">
        <f t="shared" si="2"/>
        <v>0</v>
      </c>
      <c r="W29" s="57">
        <f t="shared" si="2"/>
        <v>2</v>
      </c>
      <c r="X29" s="57">
        <f t="shared" si="2"/>
        <v>0</v>
      </c>
      <c r="Y29" s="57">
        <f t="shared" si="2"/>
        <v>0</v>
      </c>
      <c r="Z29" s="58">
        <f t="shared" si="3"/>
        <v>2</v>
      </c>
    </row>
    <row r="30" spans="1:26" outlineLevel="1">
      <c r="A30" s="23" t="str">
        <f t="shared" ref="A30" si="22">A29</f>
        <v>GERAL</v>
      </c>
      <c r="B30" s="23" t="str">
        <f t="shared" ref="B30" si="23">B29</f>
        <v>1° PAV. TÉRREO</v>
      </c>
      <c r="C30" s="23" t="s">
        <v>276</v>
      </c>
      <c r="D30" s="74" t="s">
        <v>98</v>
      </c>
      <c r="E30" s="74" t="s">
        <v>80</v>
      </c>
      <c r="F30" s="76" t="s">
        <v>55</v>
      </c>
      <c r="G30" s="76" t="s">
        <v>81</v>
      </c>
      <c r="H30" s="131">
        <v>6</v>
      </c>
      <c r="I30" s="24">
        <v>1</v>
      </c>
      <c r="J30" s="24">
        <v>0</v>
      </c>
      <c r="K30" s="24">
        <f t="shared" si="10"/>
        <v>6</v>
      </c>
      <c r="L30" s="24" t="s">
        <v>155</v>
      </c>
      <c r="M30" s="25" t="e">
        <f>_xlfn.XLOOKUP($E30,PREÇO!$C$6:$C$89,PREÇO!$E$6:$E$89)</f>
        <v>#N/A</v>
      </c>
      <c r="N30" s="59" t="e">
        <f>IF(SUM(H30:M30)=0,SUMIFS($N31:$N$759,$B31:$B$759,$B30,$A31:$A$759,$A30),K30*M30)</f>
        <v>#N/A</v>
      </c>
      <c r="P30" s="56" t="s">
        <v>15</v>
      </c>
      <c r="Q30" s="26" t="str">
        <v>Unidade evaporadora tipo Hi-wall, capacidade 15.400 Btu/h, linha VRV, ciclo Q/F.</v>
      </c>
      <c r="R30" s="57">
        <f t="shared" si="1"/>
        <v>0</v>
      </c>
      <c r="S30" s="57">
        <f t="shared" si="1"/>
        <v>0</v>
      </c>
      <c r="T30" s="57">
        <f t="shared" si="1"/>
        <v>0</v>
      </c>
      <c r="U30" s="57">
        <f t="shared" si="2"/>
        <v>0</v>
      </c>
      <c r="V30" s="57">
        <f t="shared" si="2"/>
        <v>0</v>
      </c>
      <c r="W30" s="57">
        <f t="shared" si="2"/>
        <v>1</v>
      </c>
      <c r="X30" s="57">
        <f t="shared" si="2"/>
        <v>0</v>
      </c>
      <c r="Y30" s="57">
        <f t="shared" si="2"/>
        <v>0</v>
      </c>
      <c r="Z30" s="58">
        <f t="shared" si="3"/>
        <v>1</v>
      </c>
    </row>
    <row r="31" spans="1:26" outlineLevel="1">
      <c r="A31" s="23" t="str">
        <f t="shared" ref="A31" si="24">A30</f>
        <v>GERAL</v>
      </c>
      <c r="B31" s="23" t="str">
        <f t="shared" ref="B31" si="25">B30</f>
        <v>1° PAV. TÉRREO</v>
      </c>
      <c r="C31" s="23" t="s">
        <v>277</v>
      </c>
      <c r="D31" s="74" t="s">
        <v>98</v>
      </c>
      <c r="E31" s="74" t="s">
        <v>83</v>
      </c>
      <c r="F31" s="76" t="s">
        <v>89</v>
      </c>
      <c r="G31" s="76" t="s">
        <v>82</v>
      </c>
      <c r="H31" s="131">
        <v>1</v>
      </c>
      <c r="I31" s="24">
        <v>1</v>
      </c>
      <c r="J31" s="24">
        <v>0</v>
      </c>
      <c r="K31" s="24">
        <f t="shared" si="10"/>
        <v>1</v>
      </c>
      <c r="L31" s="24" t="s">
        <v>155</v>
      </c>
      <c r="M31" s="25" t="e">
        <f>_xlfn.XLOOKUP($E31,PREÇO!$C$6:$C$89,PREÇO!$E$6:$E$89)</f>
        <v>#N/A</v>
      </c>
      <c r="N31" s="59" t="e">
        <f>IF(SUM(H31:M31)=0,SUMIFS($N32:$N$759,$B32:$B$759,$B31,$A32:$A$759,$A31),K31*M31)</f>
        <v>#N/A</v>
      </c>
      <c r="P31" s="56" t="s">
        <v>15</v>
      </c>
      <c r="Q31" s="26" t="str">
        <v>Unidade evaporadora tipo Hi-wall, capacidade 19.100 Btu/h, linha VRV, ciclo Q/F.</v>
      </c>
      <c r="R31" s="57">
        <f t="shared" si="1"/>
        <v>0</v>
      </c>
      <c r="S31" s="57">
        <f t="shared" si="1"/>
        <v>0</v>
      </c>
      <c r="T31" s="57">
        <f t="shared" si="1"/>
        <v>0</v>
      </c>
      <c r="U31" s="57">
        <f t="shared" si="2"/>
        <v>0</v>
      </c>
      <c r="V31" s="57">
        <f t="shared" si="2"/>
        <v>0</v>
      </c>
      <c r="W31" s="57">
        <f t="shared" si="2"/>
        <v>5</v>
      </c>
      <c r="X31" s="57">
        <f t="shared" si="2"/>
        <v>0</v>
      </c>
      <c r="Y31" s="57">
        <f t="shared" si="2"/>
        <v>2</v>
      </c>
      <c r="Z31" s="58">
        <f t="shared" si="3"/>
        <v>7</v>
      </c>
    </row>
    <row r="32" spans="1:26" outlineLevel="1">
      <c r="A32" s="23" t="str">
        <f t="shared" ref="A32" si="26">A31</f>
        <v>GERAL</v>
      </c>
      <c r="B32" s="23" t="str">
        <f t="shared" ref="B32" si="27">B31</f>
        <v>1° PAV. TÉRREO</v>
      </c>
      <c r="C32" s="23" t="s">
        <v>277</v>
      </c>
      <c r="D32" s="74" t="s">
        <v>98</v>
      </c>
      <c r="E32" s="29" t="s">
        <v>63</v>
      </c>
      <c r="F32" s="83" t="s">
        <v>64</v>
      </c>
      <c r="G32" s="83" t="s">
        <v>67</v>
      </c>
      <c r="H32" s="131">
        <v>4</v>
      </c>
      <c r="I32" s="24">
        <v>1</v>
      </c>
      <c r="J32" s="24">
        <v>0</v>
      </c>
      <c r="K32" s="24">
        <f t="shared" si="10"/>
        <v>4</v>
      </c>
      <c r="L32" s="24" t="s">
        <v>155</v>
      </c>
      <c r="M32" s="25" t="e">
        <f>_xlfn.XLOOKUP($E32,PREÇO!$C$6:$C$89,PREÇO!$E$6:$E$89)</f>
        <v>#N/A</v>
      </c>
      <c r="N32" s="59" t="e">
        <f>IF(SUM(H32:M32)=0,SUMIFS($N33:$N$759,$B33:$B$759,$B32,$A33:$A$759,$A32),K32*M32)</f>
        <v>#N/A</v>
      </c>
      <c r="P32" s="56" t="s">
        <v>15</v>
      </c>
      <c r="Q32" s="26" t="str">
        <v>Unidade evaporadora tipo cassete Round Flow, capacidade 54.600Btu/h, linha VRV, ciclo Q/F.</v>
      </c>
      <c r="R32" s="57">
        <f t="shared" si="1"/>
        <v>0</v>
      </c>
      <c r="S32" s="57">
        <f t="shared" si="1"/>
        <v>0</v>
      </c>
      <c r="T32" s="57">
        <f t="shared" si="1"/>
        <v>0</v>
      </c>
      <c r="U32" s="57">
        <f t="shared" si="2"/>
        <v>0</v>
      </c>
      <c r="V32" s="57">
        <f t="shared" si="2"/>
        <v>0</v>
      </c>
      <c r="W32" s="57">
        <f t="shared" si="2"/>
        <v>19</v>
      </c>
      <c r="X32" s="57">
        <f t="shared" si="2"/>
        <v>0</v>
      </c>
      <c r="Y32" s="57">
        <f t="shared" si="2"/>
        <v>0</v>
      </c>
      <c r="Z32" s="58">
        <f t="shared" si="3"/>
        <v>19</v>
      </c>
    </row>
    <row r="33" spans="1:26" outlineLevel="1">
      <c r="A33" s="23" t="str">
        <f t="shared" ref="A33" si="28">A32</f>
        <v>GERAL</v>
      </c>
      <c r="B33" s="23" t="str">
        <f t="shared" ref="B33" si="29">B32</f>
        <v>1° PAV. TÉRREO</v>
      </c>
      <c r="C33" s="23" t="s">
        <v>277</v>
      </c>
      <c r="D33" s="74" t="s">
        <v>98</v>
      </c>
      <c r="E33" s="29" t="s">
        <v>84</v>
      </c>
      <c r="F33" s="83" t="s">
        <v>64</v>
      </c>
      <c r="G33" s="83" t="s">
        <v>65</v>
      </c>
      <c r="H33" s="131">
        <v>4</v>
      </c>
      <c r="I33" s="24">
        <v>1</v>
      </c>
      <c r="J33" s="24">
        <v>0</v>
      </c>
      <c r="K33" s="24">
        <f t="shared" si="10"/>
        <v>4</v>
      </c>
      <c r="L33" s="24" t="s">
        <v>155</v>
      </c>
      <c r="M33" s="25" t="e">
        <f>_xlfn.XLOOKUP($E33,PREÇO!$C$6:$C$89,PREÇO!$E$6:$E$89)</f>
        <v>#N/A</v>
      </c>
      <c r="N33" s="59" t="e">
        <f>IF(SUM(H33:M33)=0,SUMIFS($N34:$N$759,$B34:$B$759,$B33,$A34:$A$759,$A33),K33*M33)</f>
        <v>#N/A</v>
      </c>
      <c r="P33" s="56" t="s">
        <v>15</v>
      </c>
      <c r="Q33" s="26" t="str">
        <v>Unidade de processamento de ar externo, capacitade de 76.400 Btu/h, vazão de 1.680 m³/h.</v>
      </c>
      <c r="R33" s="57">
        <f t="shared" si="1"/>
        <v>0</v>
      </c>
      <c r="S33" s="57">
        <f t="shared" si="1"/>
        <v>0</v>
      </c>
      <c r="T33" s="57">
        <f t="shared" si="1"/>
        <v>0</v>
      </c>
      <c r="U33" s="57">
        <f t="shared" si="2"/>
        <v>0</v>
      </c>
      <c r="V33" s="57">
        <f t="shared" si="2"/>
        <v>0</v>
      </c>
      <c r="W33" s="57">
        <f t="shared" si="2"/>
        <v>2</v>
      </c>
      <c r="X33" s="57">
        <f t="shared" si="2"/>
        <v>0</v>
      </c>
      <c r="Y33" s="57">
        <f t="shared" si="2"/>
        <v>0</v>
      </c>
      <c r="Z33" s="58">
        <f t="shared" si="3"/>
        <v>2</v>
      </c>
    </row>
    <row r="34" spans="1:26" outlineLevel="1">
      <c r="A34" s="23" t="str">
        <f t="shared" ref="A34" si="30">A33</f>
        <v>GERAL</v>
      </c>
      <c r="B34" s="23" t="str">
        <f t="shared" ref="B34" si="31">B33</f>
        <v>1° PAV. TÉRREO</v>
      </c>
      <c r="C34" s="23" t="s">
        <v>277</v>
      </c>
      <c r="D34" s="74" t="s">
        <v>98</v>
      </c>
      <c r="E34" s="29" t="s">
        <v>85</v>
      </c>
      <c r="F34" s="83" t="s">
        <v>86</v>
      </c>
      <c r="G34" s="83" t="s">
        <v>87</v>
      </c>
      <c r="H34" s="131">
        <v>5</v>
      </c>
      <c r="I34" s="24">
        <v>1</v>
      </c>
      <c r="J34" s="24">
        <v>0</v>
      </c>
      <c r="K34" s="24">
        <f t="shared" si="10"/>
        <v>5</v>
      </c>
      <c r="L34" s="24" t="s">
        <v>155</v>
      </c>
      <c r="M34" s="25" t="e">
        <f>_xlfn.XLOOKUP($E34,PREÇO!$C$6:$C$89,PREÇO!$E$6:$E$89)</f>
        <v>#N/A</v>
      </c>
      <c r="N34" s="59" t="e">
        <f>IF(SUM(H34:M34)=0,SUMIFS($N35:$N$759,$B35:$B$759,$B34,$A35:$A$759,$A34),K34*M34)</f>
        <v>#N/A</v>
      </c>
      <c r="P34" s="56" t="s">
        <v>15</v>
      </c>
      <c r="Q34" s="26" t="str">
        <v>Unidade evaporadora inverter Hi-Wall, capacidade de 12.000 BTU/h, linha split, ciclo Q/F. Alimentação elétrica pela condensadora.</v>
      </c>
      <c r="R34" s="57">
        <f t="shared" si="1"/>
        <v>0</v>
      </c>
      <c r="S34" s="57">
        <f t="shared" si="1"/>
        <v>0</v>
      </c>
      <c r="T34" s="57">
        <f t="shared" si="1"/>
        <v>0</v>
      </c>
      <c r="U34" s="57">
        <f t="shared" si="2"/>
        <v>0</v>
      </c>
      <c r="V34" s="57">
        <f t="shared" si="2"/>
        <v>0</v>
      </c>
      <c r="W34" s="57">
        <f t="shared" si="2"/>
        <v>2</v>
      </c>
      <c r="X34" s="57">
        <f t="shared" si="2"/>
        <v>0</v>
      </c>
      <c r="Y34" s="57">
        <f t="shared" si="2"/>
        <v>0</v>
      </c>
      <c r="Z34" s="58">
        <f t="shared" si="3"/>
        <v>2</v>
      </c>
    </row>
    <row r="35" spans="1:26" outlineLevel="1">
      <c r="A35" s="102" t="str">
        <f t="shared" ref="A35" si="32">A34</f>
        <v>GERAL</v>
      </c>
      <c r="B35" s="102" t="str">
        <f t="shared" ref="B35" si="33">B34</f>
        <v>1° PAV. TÉRREO</v>
      </c>
      <c r="C35" s="102" t="s">
        <v>277</v>
      </c>
      <c r="D35" s="104" t="s">
        <v>98</v>
      </c>
      <c r="E35" s="40" t="s">
        <v>85</v>
      </c>
      <c r="F35" s="114" t="s">
        <v>86</v>
      </c>
      <c r="G35" s="114" t="s">
        <v>88</v>
      </c>
      <c r="H35" s="133">
        <v>4</v>
      </c>
      <c r="I35" s="38">
        <v>1</v>
      </c>
      <c r="J35" s="38">
        <v>0</v>
      </c>
      <c r="K35" s="38">
        <f t="shared" si="10"/>
        <v>4</v>
      </c>
      <c r="L35" s="38" t="s">
        <v>155</v>
      </c>
      <c r="M35" s="106" t="e">
        <f>_xlfn.XLOOKUP($E35,PREÇO!$C$6:$C$89,PREÇO!$E$6:$E$89)</f>
        <v>#N/A</v>
      </c>
      <c r="N35" s="107" t="e">
        <f>IF(SUM(H35:M35)=0,SUMIFS($N70:$N$759,$B70:$B$759,$B35,$A70:$A$759,$A35),K35*M35)</f>
        <v>#N/A</v>
      </c>
      <c r="P35" s="56" t="s">
        <v>15</v>
      </c>
      <c r="Q35" s="26" t="str">
        <v>Gabinete de ventilação com filtro G4, para reposição de ar do sistema de exaustão de cozinha, vazão de 2.920 m³/h.</v>
      </c>
      <c r="R35" s="57">
        <f t="shared" si="1"/>
        <v>0</v>
      </c>
      <c r="S35" s="57">
        <f t="shared" si="1"/>
        <v>0</v>
      </c>
      <c r="T35" s="57">
        <f t="shared" si="1"/>
        <v>0</v>
      </c>
      <c r="U35" s="57">
        <f t="shared" si="2"/>
        <v>0</v>
      </c>
      <c r="V35" s="57">
        <f t="shared" si="2"/>
        <v>1</v>
      </c>
      <c r="W35" s="57">
        <f t="shared" si="2"/>
        <v>0</v>
      </c>
      <c r="X35" s="57">
        <f t="shared" si="2"/>
        <v>0</v>
      </c>
      <c r="Y35" s="57">
        <f t="shared" si="2"/>
        <v>0</v>
      </c>
      <c r="Z35" s="58">
        <f t="shared" si="3"/>
        <v>1</v>
      </c>
    </row>
    <row r="36" spans="1:26" outlineLevel="1">
      <c r="A36" s="108" t="str">
        <f>A35</f>
        <v>GERAL</v>
      </c>
      <c r="B36" s="108" t="str">
        <f>B35</f>
        <v>1° PAV. TÉRREO</v>
      </c>
      <c r="C36" s="108" t="s">
        <v>280</v>
      </c>
      <c r="D36" s="109" t="s">
        <v>156</v>
      </c>
      <c r="E36" s="115" t="s">
        <v>109</v>
      </c>
      <c r="F36" s="116" t="s">
        <v>119</v>
      </c>
      <c r="G36" s="110" t="s">
        <v>121</v>
      </c>
      <c r="H36" s="134">
        <v>1</v>
      </c>
      <c r="I36" s="111">
        <v>1</v>
      </c>
      <c r="J36" s="111">
        <v>0</v>
      </c>
      <c r="K36" s="111">
        <f t="shared" si="10"/>
        <v>1</v>
      </c>
      <c r="L36" s="111" t="s">
        <v>155</v>
      </c>
      <c r="M36" s="112"/>
      <c r="N36" s="113"/>
      <c r="P36" s="56" t="s">
        <v>15</v>
      </c>
      <c r="Q36" s="26" t="str">
        <v>Gabinete de ventilação, com filtro G4+M5, paineis isolados.</v>
      </c>
      <c r="R36" s="57">
        <f t="shared" si="1"/>
        <v>0</v>
      </c>
      <c r="S36" s="57">
        <f t="shared" si="1"/>
        <v>0</v>
      </c>
      <c r="T36" s="57">
        <f t="shared" si="1"/>
        <v>0</v>
      </c>
      <c r="U36" s="57">
        <f t="shared" si="2"/>
        <v>0</v>
      </c>
      <c r="V36" s="57">
        <f t="shared" si="2"/>
        <v>2</v>
      </c>
      <c r="W36" s="57">
        <f t="shared" si="2"/>
        <v>0</v>
      </c>
      <c r="X36" s="57">
        <f t="shared" si="2"/>
        <v>0</v>
      </c>
      <c r="Y36" s="57">
        <f t="shared" si="2"/>
        <v>0</v>
      </c>
      <c r="Z36" s="58">
        <f t="shared" si="3"/>
        <v>2</v>
      </c>
    </row>
    <row r="37" spans="1:26" ht="30" outlineLevel="1">
      <c r="A37" s="23" t="str">
        <f>A36</f>
        <v>GERAL</v>
      </c>
      <c r="B37" s="23" t="str">
        <f>B36</f>
        <v>1° PAV. TÉRREO</v>
      </c>
      <c r="C37" s="23" t="s">
        <v>277</v>
      </c>
      <c r="D37" s="74" t="s">
        <v>156</v>
      </c>
      <c r="E37" s="29" t="s">
        <v>51</v>
      </c>
      <c r="F37" s="83" t="s">
        <v>56</v>
      </c>
      <c r="G37" s="76" t="s">
        <v>57</v>
      </c>
      <c r="H37" s="131">
        <v>4</v>
      </c>
      <c r="I37" s="24">
        <v>1</v>
      </c>
      <c r="J37" s="24">
        <v>0</v>
      </c>
      <c r="K37" s="24">
        <f t="shared" si="10"/>
        <v>4</v>
      </c>
      <c r="L37" s="24" t="s">
        <v>155</v>
      </c>
      <c r="M37" s="25"/>
      <c r="N37" s="59"/>
      <c r="P37" s="56" t="s">
        <v>15</v>
      </c>
      <c r="Q37" s="26" t="str">
        <v>Grelha redonda fixa com colarinho de DN Ø150 mm.</v>
      </c>
      <c r="R37" s="57">
        <f t="shared" si="1"/>
        <v>1</v>
      </c>
      <c r="S37" s="57">
        <f t="shared" si="1"/>
        <v>0</v>
      </c>
      <c r="T37" s="57">
        <f t="shared" si="1"/>
        <v>0</v>
      </c>
      <c r="U37" s="57">
        <f t="shared" si="2"/>
        <v>0</v>
      </c>
      <c r="V37" s="57">
        <f t="shared" si="2"/>
        <v>0</v>
      </c>
      <c r="W37" s="57">
        <f t="shared" si="2"/>
        <v>0</v>
      </c>
      <c r="X37" s="57">
        <f t="shared" si="2"/>
        <v>0</v>
      </c>
      <c r="Y37" s="57">
        <f t="shared" si="2"/>
        <v>0</v>
      </c>
      <c r="Z37" s="58">
        <f t="shared" si="3"/>
        <v>1</v>
      </c>
    </row>
    <row r="38" spans="1:26" outlineLevel="1">
      <c r="A38" s="23" t="str">
        <f t="shared" ref="A38:A55" si="34">A37</f>
        <v>GERAL</v>
      </c>
      <c r="B38" s="23" t="str">
        <f t="shared" ref="B38:B55" si="35">B37</f>
        <v>1° PAV. TÉRREO</v>
      </c>
      <c r="C38" s="23" t="s">
        <v>277</v>
      </c>
      <c r="D38" s="74" t="s">
        <v>156</v>
      </c>
      <c r="E38" s="29" t="s">
        <v>52</v>
      </c>
      <c r="F38" s="83" t="s">
        <v>56</v>
      </c>
      <c r="G38" s="76" t="s">
        <v>122</v>
      </c>
      <c r="H38" s="131">
        <v>2</v>
      </c>
      <c r="I38" s="24">
        <v>1</v>
      </c>
      <c r="J38" s="24">
        <v>0</v>
      </c>
      <c r="K38" s="24">
        <f t="shared" si="10"/>
        <v>2</v>
      </c>
      <c r="L38" s="24" t="s">
        <v>155</v>
      </c>
      <c r="M38" s="25"/>
      <c r="N38" s="59"/>
      <c r="P38" s="56" t="s">
        <v>15</v>
      </c>
      <c r="Q38" s="26" t="str">
        <v>Boca com regulador de vazão, em plástico ABS, diâmetro nominal de Ø150mm.</v>
      </c>
      <c r="R38" s="57">
        <f t="shared" si="1"/>
        <v>2</v>
      </c>
      <c r="S38" s="57">
        <f t="shared" si="1"/>
        <v>0</v>
      </c>
      <c r="T38" s="57">
        <f t="shared" si="1"/>
        <v>0</v>
      </c>
      <c r="U38" s="57">
        <f t="shared" si="2"/>
        <v>0</v>
      </c>
      <c r="V38" s="57">
        <f t="shared" si="2"/>
        <v>0</v>
      </c>
      <c r="W38" s="57">
        <f t="shared" si="2"/>
        <v>0</v>
      </c>
      <c r="X38" s="57">
        <f t="shared" si="2"/>
        <v>0</v>
      </c>
      <c r="Y38" s="57">
        <f t="shared" si="2"/>
        <v>0</v>
      </c>
      <c r="Z38" s="58">
        <f t="shared" si="3"/>
        <v>2</v>
      </c>
    </row>
    <row r="39" spans="1:26" outlineLevel="1">
      <c r="A39" s="23" t="str">
        <f t="shared" si="34"/>
        <v>GERAL</v>
      </c>
      <c r="B39" s="23" t="str">
        <f t="shared" si="35"/>
        <v>1° PAV. TÉRREO</v>
      </c>
      <c r="C39" s="23" t="s">
        <v>277</v>
      </c>
      <c r="D39" s="74" t="s">
        <v>156</v>
      </c>
      <c r="E39" s="29" t="s">
        <v>52</v>
      </c>
      <c r="F39" s="83" t="s">
        <v>56</v>
      </c>
      <c r="G39" s="76" t="s">
        <v>123</v>
      </c>
      <c r="H39" s="131">
        <v>3</v>
      </c>
      <c r="I39" s="24">
        <v>1</v>
      </c>
      <c r="J39" s="24">
        <v>0</v>
      </c>
      <c r="K39" s="24">
        <f t="shared" si="10"/>
        <v>3</v>
      </c>
      <c r="L39" s="24" t="s">
        <v>155</v>
      </c>
      <c r="M39" s="25"/>
      <c r="N39" s="59"/>
      <c r="P39" s="56" t="s">
        <v>15</v>
      </c>
      <c r="Q39" s="26" t="str">
        <v>Difusor de uma via de alumínio.</v>
      </c>
      <c r="R39" s="57">
        <f t="shared" si="1"/>
        <v>2</v>
      </c>
      <c r="S39" s="57">
        <f t="shared" si="1"/>
        <v>0</v>
      </c>
      <c r="T39" s="57">
        <f t="shared" si="1"/>
        <v>0</v>
      </c>
      <c r="U39" s="57">
        <f t="shared" si="2"/>
        <v>0</v>
      </c>
      <c r="V39" s="57">
        <f t="shared" si="2"/>
        <v>0</v>
      </c>
      <c r="W39" s="57">
        <f t="shared" si="2"/>
        <v>0</v>
      </c>
      <c r="X39" s="57">
        <f t="shared" si="2"/>
        <v>0</v>
      </c>
      <c r="Y39" s="57">
        <f t="shared" si="2"/>
        <v>0</v>
      </c>
      <c r="Z39" s="58">
        <f t="shared" si="3"/>
        <v>2</v>
      </c>
    </row>
    <row r="40" spans="1:26" outlineLevel="1">
      <c r="A40" s="23" t="str">
        <f t="shared" si="34"/>
        <v>GERAL</v>
      </c>
      <c r="B40" s="23" t="str">
        <f t="shared" si="35"/>
        <v>1° PAV. TÉRREO</v>
      </c>
      <c r="C40" s="23" t="s">
        <v>277</v>
      </c>
      <c r="D40" s="74" t="s">
        <v>156</v>
      </c>
      <c r="E40" s="29" t="s">
        <v>52</v>
      </c>
      <c r="F40" s="83" t="s">
        <v>56</v>
      </c>
      <c r="G40" s="76" t="s">
        <v>124</v>
      </c>
      <c r="H40" s="131">
        <v>4</v>
      </c>
      <c r="I40" s="24">
        <v>1</v>
      </c>
      <c r="J40" s="24">
        <v>0</v>
      </c>
      <c r="K40" s="24">
        <f t="shared" si="10"/>
        <v>4</v>
      </c>
      <c r="L40" s="24" t="s">
        <v>155</v>
      </c>
      <c r="M40" s="25"/>
      <c r="N40" s="59"/>
      <c r="P40" s="56" t="s">
        <v>15</v>
      </c>
      <c r="Q40" s="26" t="str">
        <v>Difusor de uma via de alumínio, com registro de lâminas convergentes.</v>
      </c>
      <c r="R40" s="57">
        <f t="shared" si="1"/>
        <v>4</v>
      </c>
      <c r="S40" s="57">
        <f t="shared" si="1"/>
        <v>0</v>
      </c>
      <c r="T40" s="57">
        <f t="shared" si="1"/>
        <v>0</v>
      </c>
      <c r="U40" s="57">
        <f t="shared" si="2"/>
        <v>0</v>
      </c>
      <c r="V40" s="57">
        <f t="shared" si="2"/>
        <v>0</v>
      </c>
      <c r="W40" s="57">
        <f t="shared" si="2"/>
        <v>0</v>
      </c>
      <c r="X40" s="57">
        <f t="shared" si="2"/>
        <v>0</v>
      </c>
      <c r="Y40" s="57">
        <f t="shared" si="2"/>
        <v>0</v>
      </c>
      <c r="Z40" s="58">
        <f t="shared" si="3"/>
        <v>4</v>
      </c>
    </row>
    <row r="41" spans="1:26" outlineLevel="1">
      <c r="A41" s="23" t="str">
        <f t="shared" si="34"/>
        <v>GERAL</v>
      </c>
      <c r="B41" s="23" t="str">
        <f t="shared" si="35"/>
        <v>1° PAV. TÉRREO</v>
      </c>
      <c r="C41" s="23" t="s">
        <v>276</v>
      </c>
      <c r="D41" s="74" t="s">
        <v>156</v>
      </c>
      <c r="E41" s="29" t="s">
        <v>110</v>
      </c>
      <c r="F41" s="83" t="s">
        <v>55</v>
      </c>
      <c r="G41" s="76" t="s">
        <v>125</v>
      </c>
      <c r="H41" s="131">
        <v>1</v>
      </c>
      <c r="I41" s="24">
        <v>1</v>
      </c>
      <c r="J41" s="24">
        <v>0</v>
      </c>
      <c r="K41" s="24">
        <f t="shared" si="10"/>
        <v>1</v>
      </c>
      <c r="L41" s="24" t="s">
        <v>155</v>
      </c>
      <c r="M41" s="25"/>
      <c r="N41" s="59"/>
      <c r="P41" s="56" t="s">
        <v>15</v>
      </c>
      <c r="Q41" s="26" t="str">
        <v>Veneziana externa de alumínio com tela de insetos</v>
      </c>
      <c r="R41" s="57">
        <f t="shared" si="1"/>
        <v>3</v>
      </c>
      <c r="S41" s="57">
        <f t="shared" si="1"/>
        <v>0</v>
      </c>
      <c r="T41" s="57">
        <f t="shared" si="1"/>
        <v>0</v>
      </c>
      <c r="U41" s="57">
        <f t="shared" si="2"/>
        <v>1</v>
      </c>
      <c r="V41" s="57">
        <f t="shared" si="2"/>
        <v>1</v>
      </c>
      <c r="W41" s="57">
        <f t="shared" si="2"/>
        <v>0</v>
      </c>
      <c r="X41" s="57">
        <f t="shared" si="2"/>
        <v>0</v>
      </c>
      <c r="Y41" s="57">
        <f t="shared" si="2"/>
        <v>0</v>
      </c>
      <c r="Z41" s="58">
        <f t="shared" si="3"/>
        <v>5</v>
      </c>
    </row>
    <row r="42" spans="1:26" outlineLevel="1">
      <c r="A42" s="23" t="str">
        <f t="shared" si="34"/>
        <v>GERAL</v>
      </c>
      <c r="B42" s="23" t="str">
        <f t="shared" si="35"/>
        <v>1° PAV. TÉRREO</v>
      </c>
      <c r="C42" s="23" t="s">
        <v>276</v>
      </c>
      <c r="D42" s="74" t="s">
        <v>156</v>
      </c>
      <c r="E42" s="29" t="s">
        <v>111</v>
      </c>
      <c r="F42" s="83" t="s">
        <v>55</v>
      </c>
      <c r="G42" s="76" t="s">
        <v>126</v>
      </c>
      <c r="H42" s="131">
        <v>1</v>
      </c>
      <c r="I42" s="24">
        <v>1</v>
      </c>
      <c r="J42" s="24">
        <v>0</v>
      </c>
      <c r="K42" s="24">
        <f t="shared" si="10"/>
        <v>1</v>
      </c>
      <c r="L42" s="24" t="s">
        <v>155</v>
      </c>
      <c r="M42" s="25"/>
      <c r="N42" s="59"/>
      <c r="P42" s="56" t="s">
        <v>15</v>
      </c>
      <c r="Q42" s="26" t="str">
        <v>Grelha autofechante em plástico ABS com anti-UV, com colarinho de Ø100mm.</v>
      </c>
      <c r="R42" s="57">
        <f t="shared" si="1"/>
        <v>3</v>
      </c>
      <c r="S42" s="57">
        <f t="shared" si="1"/>
        <v>0</v>
      </c>
      <c r="T42" s="57">
        <f t="shared" si="1"/>
        <v>0</v>
      </c>
      <c r="U42" s="57">
        <f t="shared" si="2"/>
        <v>0</v>
      </c>
      <c r="V42" s="57">
        <f t="shared" si="2"/>
        <v>0</v>
      </c>
      <c r="W42" s="57">
        <f t="shared" si="2"/>
        <v>0</v>
      </c>
      <c r="X42" s="57">
        <f t="shared" si="2"/>
        <v>0</v>
      </c>
      <c r="Y42" s="57">
        <f t="shared" si="2"/>
        <v>0</v>
      </c>
      <c r="Z42" s="58">
        <f t="shared" si="3"/>
        <v>3</v>
      </c>
    </row>
    <row r="43" spans="1:26" outlineLevel="1">
      <c r="A43" s="23" t="str">
        <f t="shared" si="34"/>
        <v>GERAL</v>
      </c>
      <c r="B43" s="23" t="str">
        <f t="shared" si="35"/>
        <v>1° PAV. TÉRREO</v>
      </c>
      <c r="C43" s="23" t="s">
        <v>276</v>
      </c>
      <c r="D43" s="74" t="s">
        <v>156</v>
      </c>
      <c r="E43" s="29" t="s">
        <v>112</v>
      </c>
      <c r="F43" s="83" t="s">
        <v>55</v>
      </c>
      <c r="G43" s="76" t="s">
        <v>127</v>
      </c>
      <c r="H43" s="131">
        <v>2</v>
      </c>
      <c r="I43" s="24">
        <v>1</v>
      </c>
      <c r="J43" s="24">
        <v>0</v>
      </c>
      <c r="K43" s="24">
        <f t="shared" si="10"/>
        <v>2</v>
      </c>
      <c r="L43" s="24" t="s">
        <v>155</v>
      </c>
      <c r="M43" s="25"/>
      <c r="N43" s="59"/>
      <c r="P43" s="56" t="s">
        <v>15</v>
      </c>
      <c r="Q43" s="26" t="str">
        <v>Grelha autofechante em plástico ABS com anti-UV, com colarinho de Ø150mm.</v>
      </c>
      <c r="R43" s="57">
        <f t="shared" si="1"/>
        <v>1</v>
      </c>
      <c r="S43" s="57">
        <f t="shared" si="1"/>
        <v>0</v>
      </c>
      <c r="T43" s="57">
        <f t="shared" si="1"/>
        <v>0</v>
      </c>
      <c r="U43" s="57">
        <f t="shared" si="2"/>
        <v>1</v>
      </c>
      <c r="V43" s="57">
        <f t="shared" si="2"/>
        <v>0</v>
      </c>
      <c r="W43" s="57">
        <f t="shared" si="2"/>
        <v>0</v>
      </c>
      <c r="X43" s="57">
        <f t="shared" si="2"/>
        <v>0</v>
      </c>
      <c r="Y43" s="57">
        <f t="shared" si="2"/>
        <v>0</v>
      </c>
      <c r="Z43" s="58">
        <f t="shared" si="3"/>
        <v>2</v>
      </c>
    </row>
    <row r="44" spans="1:26" outlineLevel="1">
      <c r="A44" s="23" t="str">
        <f t="shared" si="34"/>
        <v>GERAL</v>
      </c>
      <c r="B44" s="23" t="str">
        <f t="shared" si="35"/>
        <v>1° PAV. TÉRREO</v>
      </c>
      <c r="C44" s="23" t="s">
        <v>276</v>
      </c>
      <c r="D44" s="74" t="s">
        <v>156</v>
      </c>
      <c r="E44" s="29" t="s">
        <v>53</v>
      </c>
      <c r="F44" s="83" t="s">
        <v>55</v>
      </c>
      <c r="G44" s="76" t="s">
        <v>59</v>
      </c>
      <c r="H44" s="131">
        <v>5</v>
      </c>
      <c r="I44" s="24">
        <v>1</v>
      </c>
      <c r="J44" s="24">
        <v>0</v>
      </c>
      <c r="K44" s="24">
        <f t="shared" si="10"/>
        <v>5</v>
      </c>
      <c r="L44" s="24" t="s">
        <v>155</v>
      </c>
      <c r="M44" s="25"/>
      <c r="N44" s="59"/>
      <c r="P44" s="56" t="s">
        <v>15</v>
      </c>
      <c r="Q44" s="26" t="str">
        <v>Unidade condensadora inverter Hi Wall 12.000 BTU/h, ciclo Q/F, peso 26kg.</v>
      </c>
      <c r="R44" s="57">
        <f t="shared" si="1"/>
        <v>0</v>
      </c>
      <c r="S44" s="57">
        <f t="shared" si="1"/>
        <v>0</v>
      </c>
      <c r="T44" s="57">
        <f t="shared" si="1"/>
        <v>0</v>
      </c>
      <c r="U44" s="57">
        <f t="shared" si="2"/>
        <v>0</v>
      </c>
      <c r="V44" s="57">
        <f t="shared" si="2"/>
        <v>0</v>
      </c>
      <c r="W44" s="57">
        <f t="shared" si="2"/>
        <v>6</v>
      </c>
      <c r="X44" s="57">
        <f t="shared" si="2"/>
        <v>0</v>
      </c>
      <c r="Y44" s="57">
        <f t="shared" si="2"/>
        <v>0</v>
      </c>
      <c r="Z44" s="58">
        <f t="shared" si="3"/>
        <v>6</v>
      </c>
    </row>
    <row r="45" spans="1:26" outlineLevel="1">
      <c r="A45" s="23" t="str">
        <f t="shared" si="34"/>
        <v>GERAL</v>
      </c>
      <c r="B45" s="23" t="str">
        <f t="shared" si="35"/>
        <v>1° PAV. TÉRREO</v>
      </c>
      <c r="C45" s="23" t="s">
        <v>276</v>
      </c>
      <c r="D45" s="74" t="s">
        <v>156</v>
      </c>
      <c r="E45" s="29" t="s">
        <v>113</v>
      </c>
      <c r="F45" s="83" t="s">
        <v>55</v>
      </c>
      <c r="G45" s="76" t="s">
        <v>128</v>
      </c>
      <c r="H45" s="131">
        <v>1</v>
      </c>
      <c r="I45" s="24">
        <v>1</v>
      </c>
      <c r="J45" s="24">
        <v>0</v>
      </c>
      <c r="K45" s="24">
        <f t="shared" si="10"/>
        <v>1</v>
      </c>
      <c r="L45" s="24" t="s">
        <v>155</v>
      </c>
      <c r="M45" s="25"/>
      <c r="N45" s="59"/>
      <c r="P45" s="56" t="s">
        <v>15</v>
      </c>
      <c r="Q45" s="26" t="str">
        <v>Gabinete de ventilação centrífugo com pás curvadas para trás iltro G4+M5.</v>
      </c>
      <c r="R45" s="57">
        <f t="shared" si="1"/>
        <v>0</v>
      </c>
      <c r="S45" s="57">
        <f t="shared" si="1"/>
        <v>0</v>
      </c>
      <c r="T45" s="57">
        <f t="shared" si="1"/>
        <v>0</v>
      </c>
      <c r="U45" s="57">
        <f t="shared" si="2"/>
        <v>0</v>
      </c>
      <c r="V45" s="57">
        <f t="shared" si="2"/>
        <v>0</v>
      </c>
      <c r="W45" s="57">
        <f t="shared" si="2"/>
        <v>1</v>
      </c>
      <c r="X45" s="57">
        <f t="shared" si="2"/>
        <v>0</v>
      </c>
      <c r="Y45" s="57">
        <f t="shared" si="2"/>
        <v>0</v>
      </c>
      <c r="Z45" s="58">
        <f t="shared" si="3"/>
        <v>1</v>
      </c>
    </row>
    <row r="46" spans="1:26" outlineLevel="1">
      <c r="A46" s="23" t="str">
        <f t="shared" si="34"/>
        <v>GERAL</v>
      </c>
      <c r="B46" s="23" t="str">
        <f t="shared" si="35"/>
        <v>1° PAV. TÉRREO</v>
      </c>
      <c r="C46" s="23" t="s">
        <v>276</v>
      </c>
      <c r="D46" s="74" t="s">
        <v>156</v>
      </c>
      <c r="E46" s="29" t="s">
        <v>114</v>
      </c>
      <c r="F46" s="83" t="s">
        <v>55</v>
      </c>
      <c r="G46" s="76" t="s">
        <v>129</v>
      </c>
      <c r="H46" s="131">
        <v>3</v>
      </c>
      <c r="I46" s="24">
        <v>1</v>
      </c>
      <c r="J46" s="24">
        <v>0</v>
      </c>
      <c r="K46" s="24">
        <f t="shared" si="10"/>
        <v>3</v>
      </c>
      <c r="L46" s="24" t="s">
        <v>155</v>
      </c>
      <c r="M46" s="25"/>
      <c r="N46" s="59"/>
      <c r="P46" s="56" t="s">
        <v>15</v>
      </c>
      <c r="Q46" s="26" t="str">
        <v>Ventilador axial com motor fora do eixo, rotor de 450 mm, vazão de 8.000 m³/h e pressão estática disponível de 15 mmca, 1150 RPM.</v>
      </c>
      <c r="R46" s="57">
        <f t="shared" si="1"/>
        <v>0</v>
      </c>
      <c r="S46" s="57">
        <f t="shared" si="1"/>
        <v>0</v>
      </c>
      <c r="T46" s="57">
        <f t="shared" si="1"/>
        <v>0</v>
      </c>
      <c r="U46" s="57">
        <f t="shared" si="2"/>
        <v>1</v>
      </c>
      <c r="V46" s="57">
        <f t="shared" si="2"/>
        <v>0</v>
      </c>
      <c r="W46" s="57">
        <f t="shared" si="2"/>
        <v>0</v>
      </c>
      <c r="X46" s="57">
        <f t="shared" si="2"/>
        <v>0</v>
      </c>
      <c r="Y46" s="57">
        <f t="shared" si="2"/>
        <v>0</v>
      </c>
      <c r="Z46" s="58">
        <f t="shared" si="3"/>
        <v>1</v>
      </c>
    </row>
    <row r="47" spans="1:26" outlineLevel="1">
      <c r="A47" s="23" t="str">
        <f t="shared" si="34"/>
        <v>GERAL</v>
      </c>
      <c r="B47" s="23" t="str">
        <f t="shared" si="35"/>
        <v>1° PAV. TÉRREO</v>
      </c>
      <c r="C47" s="23" t="s">
        <v>276</v>
      </c>
      <c r="D47" s="74" t="s">
        <v>156</v>
      </c>
      <c r="E47" s="29" t="s">
        <v>54</v>
      </c>
      <c r="F47" s="83" t="s">
        <v>55</v>
      </c>
      <c r="G47" s="76" t="s">
        <v>60</v>
      </c>
      <c r="H47" s="131">
        <v>1</v>
      </c>
      <c r="I47" s="24">
        <v>1</v>
      </c>
      <c r="J47" s="24">
        <v>0</v>
      </c>
      <c r="K47" s="24">
        <f t="shared" si="10"/>
        <v>1</v>
      </c>
      <c r="L47" s="24" t="s">
        <v>155</v>
      </c>
      <c r="M47" s="25"/>
      <c r="N47" s="59"/>
      <c r="P47" s="56" t="s">
        <v>15</v>
      </c>
      <c r="Q47" s="26" t="str">
        <v>Unidade condensadora de 24 HP, Quente e Frio, 409kg.</v>
      </c>
      <c r="R47" s="57">
        <f t="shared" si="1"/>
        <v>0</v>
      </c>
      <c r="S47" s="57">
        <f t="shared" si="1"/>
        <v>0</v>
      </c>
      <c r="T47" s="57">
        <f t="shared" si="1"/>
        <v>0</v>
      </c>
      <c r="U47" s="57">
        <f t="shared" si="2"/>
        <v>0</v>
      </c>
      <c r="V47" s="57">
        <f t="shared" si="2"/>
        <v>0</v>
      </c>
      <c r="W47" s="57">
        <f t="shared" si="2"/>
        <v>1</v>
      </c>
      <c r="X47" s="57">
        <f t="shared" si="2"/>
        <v>0</v>
      </c>
      <c r="Y47" s="57">
        <f t="shared" si="2"/>
        <v>0</v>
      </c>
      <c r="Z47" s="58">
        <f t="shared" si="3"/>
        <v>1</v>
      </c>
    </row>
    <row r="48" spans="1:26" outlineLevel="1">
      <c r="A48" s="23" t="str">
        <f t="shared" si="34"/>
        <v>GERAL</v>
      </c>
      <c r="B48" s="23" t="str">
        <f t="shared" si="35"/>
        <v>1° PAV. TÉRREO</v>
      </c>
      <c r="C48" s="23" t="s">
        <v>276</v>
      </c>
      <c r="D48" s="74" t="s">
        <v>156</v>
      </c>
      <c r="E48" s="29" t="s">
        <v>78</v>
      </c>
      <c r="F48" s="83" t="s">
        <v>55</v>
      </c>
      <c r="G48" s="76" t="s">
        <v>79</v>
      </c>
      <c r="H48" s="131">
        <v>5</v>
      </c>
      <c r="I48" s="24">
        <v>1</v>
      </c>
      <c r="J48" s="24">
        <v>0</v>
      </c>
      <c r="K48" s="24">
        <f t="shared" si="10"/>
        <v>5</v>
      </c>
      <c r="L48" s="24" t="s">
        <v>155</v>
      </c>
      <c r="M48" s="25"/>
      <c r="N48" s="59"/>
      <c r="P48" s="56" t="s">
        <v>15</v>
      </c>
      <c r="Q48" s="26" t="str">
        <v>Unidade Condensadora Linha VRV 6, Série R, Quente e Frio Simultaneo 16 H, 323 kg</v>
      </c>
      <c r="R48" s="57">
        <f t="shared" si="1"/>
        <v>0</v>
      </c>
      <c r="S48" s="57">
        <f t="shared" si="1"/>
        <v>0</v>
      </c>
      <c r="T48" s="57">
        <f t="shared" si="1"/>
        <v>0</v>
      </c>
      <c r="U48" s="57">
        <f t="shared" si="2"/>
        <v>0</v>
      </c>
      <c r="V48" s="57">
        <f t="shared" si="2"/>
        <v>0</v>
      </c>
      <c r="W48" s="57">
        <f t="shared" si="2"/>
        <v>1</v>
      </c>
      <c r="X48" s="57">
        <f t="shared" si="2"/>
        <v>0</v>
      </c>
      <c r="Y48" s="57">
        <f t="shared" si="2"/>
        <v>0</v>
      </c>
      <c r="Z48" s="58">
        <f t="shared" si="3"/>
        <v>1</v>
      </c>
    </row>
    <row r="49" spans="1:26" outlineLevel="1">
      <c r="A49" s="23" t="str">
        <f t="shared" si="34"/>
        <v>GERAL</v>
      </c>
      <c r="B49" s="23" t="str">
        <f t="shared" si="35"/>
        <v>1° PAV. TÉRREO</v>
      </c>
      <c r="C49" s="23" t="s">
        <v>276</v>
      </c>
      <c r="D49" s="74" t="s">
        <v>156</v>
      </c>
      <c r="E49" s="29" t="s">
        <v>80</v>
      </c>
      <c r="F49" s="83" t="s">
        <v>55</v>
      </c>
      <c r="G49" s="76" t="s">
        <v>81</v>
      </c>
      <c r="H49" s="131">
        <v>3</v>
      </c>
      <c r="I49" s="24">
        <v>1</v>
      </c>
      <c r="J49" s="24">
        <v>0</v>
      </c>
      <c r="K49" s="24">
        <f t="shared" si="10"/>
        <v>3</v>
      </c>
      <c r="L49" s="24" t="s">
        <v>155</v>
      </c>
      <c r="M49" s="25"/>
      <c r="N49" s="59"/>
      <c r="P49" s="56" t="s">
        <v>15</v>
      </c>
      <c r="Q49" s="26" t="str">
        <v>Unidade condensadora VRF de 20 HP, Quente e Frio, 357 kg.</v>
      </c>
      <c r="R49" s="57">
        <f t="shared" si="1"/>
        <v>0</v>
      </c>
      <c r="S49" s="57">
        <f t="shared" si="1"/>
        <v>0</v>
      </c>
      <c r="T49" s="57">
        <f t="shared" si="1"/>
        <v>0</v>
      </c>
      <c r="U49" s="57">
        <f t="shared" si="2"/>
        <v>0</v>
      </c>
      <c r="V49" s="57">
        <f t="shared" si="2"/>
        <v>0</v>
      </c>
      <c r="W49" s="57">
        <f t="shared" si="2"/>
        <v>5</v>
      </c>
      <c r="X49" s="57">
        <f t="shared" si="2"/>
        <v>0</v>
      </c>
      <c r="Y49" s="57">
        <f t="shared" si="2"/>
        <v>0</v>
      </c>
      <c r="Z49" s="58">
        <f t="shared" si="3"/>
        <v>5</v>
      </c>
    </row>
    <row r="50" spans="1:26" outlineLevel="1">
      <c r="A50" s="23" t="str">
        <f t="shared" si="34"/>
        <v>GERAL</v>
      </c>
      <c r="B50" s="23" t="str">
        <f t="shared" si="35"/>
        <v>1° PAV. TÉRREO</v>
      </c>
      <c r="C50" s="23" t="s">
        <v>276</v>
      </c>
      <c r="D50" s="74" t="s">
        <v>156</v>
      </c>
      <c r="E50" s="29" t="s">
        <v>115</v>
      </c>
      <c r="F50" s="83" t="s">
        <v>55</v>
      </c>
      <c r="G50" s="76" t="s">
        <v>130</v>
      </c>
      <c r="H50" s="131">
        <v>3</v>
      </c>
      <c r="I50" s="24">
        <v>1</v>
      </c>
      <c r="J50" s="24">
        <v>0</v>
      </c>
      <c r="K50" s="24">
        <f t="shared" si="10"/>
        <v>3</v>
      </c>
      <c r="L50" s="24" t="s">
        <v>155</v>
      </c>
      <c r="M50" s="25"/>
      <c r="N50" s="59"/>
      <c r="P50" s="56" t="s">
        <v>15</v>
      </c>
      <c r="Q50" s="26" t="str">
        <v>Ventilador centrífugo de simples aspiração e pás curvadas para trás, vazão de 5.760 m³/h, arranjo 4K.</v>
      </c>
      <c r="R50" s="57">
        <f t="shared" si="1"/>
        <v>0</v>
      </c>
      <c r="S50" s="57">
        <f t="shared" si="1"/>
        <v>0</v>
      </c>
      <c r="T50" s="57">
        <f t="shared" si="1"/>
        <v>0</v>
      </c>
      <c r="U50" s="57">
        <f t="shared" si="2"/>
        <v>1</v>
      </c>
      <c r="V50" s="57">
        <f t="shared" si="2"/>
        <v>0</v>
      </c>
      <c r="W50" s="57">
        <f t="shared" si="2"/>
        <v>0</v>
      </c>
      <c r="X50" s="57">
        <f t="shared" si="2"/>
        <v>0</v>
      </c>
      <c r="Y50" s="57">
        <f t="shared" si="2"/>
        <v>0</v>
      </c>
      <c r="Z50" s="58">
        <f t="shared" si="3"/>
        <v>1</v>
      </c>
    </row>
    <row r="51" spans="1:26" outlineLevel="1">
      <c r="A51" s="23" t="str">
        <f t="shared" si="34"/>
        <v>GERAL</v>
      </c>
      <c r="B51" s="23" t="str">
        <f t="shared" si="35"/>
        <v>1° PAV. TÉRREO</v>
      </c>
      <c r="C51" s="23" t="s">
        <v>276</v>
      </c>
      <c r="D51" s="74" t="s">
        <v>156</v>
      </c>
      <c r="E51" s="29" t="s">
        <v>116</v>
      </c>
      <c r="F51" s="83" t="s">
        <v>55</v>
      </c>
      <c r="G51" s="76" t="s">
        <v>131</v>
      </c>
      <c r="H51" s="131">
        <v>1</v>
      </c>
      <c r="I51" s="24">
        <v>1</v>
      </c>
      <c r="J51" s="24">
        <v>0</v>
      </c>
      <c r="K51" s="24">
        <f t="shared" si="10"/>
        <v>1</v>
      </c>
      <c r="L51" s="24" t="s">
        <v>155</v>
      </c>
      <c r="M51" s="25"/>
      <c r="N51" s="59"/>
      <c r="P51" s="56" t="s">
        <v>15</v>
      </c>
      <c r="Q51" s="26" t="str">
        <v>Coifa lavadora metálica em aço INOX, construção sob medida 200x115 cm, com módulo para reposição de ar, ponto de drenagem, reservatório de detergente, iluminação, sistema preventivo contra incêndios. Instalação à no máximo 1,2 metros do bloco de cocção</v>
      </c>
      <c r="R51" s="57">
        <f t="shared" si="1"/>
        <v>0</v>
      </c>
      <c r="S51" s="57">
        <f t="shared" si="1"/>
        <v>0</v>
      </c>
      <c r="T51" s="57">
        <f t="shared" si="1"/>
        <v>0</v>
      </c>
      <c r="U51" s="57">
        <f t="shared" si="2"/>
        <v>0</v>
      </c>
      <c r="V51" s="57">
        <f t="shared" si="2"/>
        <v>8</v>
      </c>
      <c r="W51" s="57">
        <f t="shared" si="2"/>
        <v>0</v>
      </c>
      <c r="X51" s="57">
        <f t="shared" si="2"/>
        <v>0</v>
      </c>
      <c r="Y51" s="57">
        <f t="shared" si="2"/>
        <v>0</v>
      </c>
      <c r="Z51" s="58">
        <f t="shared" si="3"/>
        <v>8</v>
      </c>
    </row>
    <row r="52" spans="1:26" outlineLevel="1">
      <c r="A52" s="23" t="str">
        <f t="shared" si="34"/>
        <v>GERAL</v>
      </c>
      <c r="B52" s="23" t="str">
        <f t="shared" si="35"/>
        <v>1° PAV. TÉRREO</v>
      </c>
      <c r="C52" s="23" t="s">
        <v>276</v>
      </c>
      <c r="D52" s="74" t="s">
        <v>156</v>
      </c>
      <c r="E52" s="29" t="s">
        <v>117</v>
      </c>
      <c r="F52" s="83"/>
      <c r="G52" s="76"/>
      <c r="H52" s="131">
        <v>2</v>
      </c>
      <c r="I52" s="24">
        <v>1</v>
      </c>
      <c r="J52" s="24">
        <v>0</v>
      </c>
      <c r="K52" s="24">
        <f t="shared" si="10"/>
        <v>2</v>
      </c>
      <c r="L52" s="24" t="s">
        <v>155</v>
      </c>
      <c r="M52" s="25"/>
      <c r="N52" s="59"/>
      <c r="P52" s="56" t="s">
        <v>15</v>
      </c>
      <c r="Q52" s="26" t="str">
        <v>Exaustor MAXX Super Silence, 220V, 50/60Hz, 1f</v>
      </c>
      <c r="R52" s="57">
        <f t="shared" si="1"/>
        <v>84</v>
      </c>
      <c r="S52" s="57">
        <f t="shared" si="1"/>
        <v>0</v>
      </c>
      <c r="T52" s="57">
        <f t="shared" si="1"/>
        <v>0</v>
      </c>
      <c r="U52" s="57">
        <f t="shared" si="2"/>
        <v>0</v>
      </c>
      <c r="V52" s="57">
        <f t="shared" si="2"/>
        <v>0</v>
      </c>
      <c r="W52" s="57">
        <f t="shared" si="2"/>
        <v>0</v>
      </c>
      <c r="X52" s="57">
        <f t="shared" si="2"/>
        <v>0</v>
      </c>
      <c r="Y52" s="57">
        <f t="shared" si="2"/>
        <v>0</v>
      </c>
      <c r="Z52" s="58">
        <f t="shared" si="3"/>
        <v>84</v>
      </c>
    </row>
    <row r="53" spans="1:26" outlineLevel="1">
      <c r="A53" s="23" t="str">
        <f t="shared" si="34"/>
        <v>GERAL</v>
      </c>
      <c r="B53" s="23" t="str">
        <f t="shared" si="35"/>
        <v>1° PAV. TÉRREO</v>
      </c>
      <c r="C53" s="23" t="s">
        <v>280</v>
      </c>
      <c r="D53" s="74" t="s">
        <v>156</v>
      </c>
      <c r="E53" s="29" t="s">
        <v>118</v>
      </c>
      <c r="F53" s="83" t="s">
        <v>120</v>
      </c>
      <c r="G53" s="76" t="s">
        <v>132</v>
      </c>
      <c r="H53" s="131">
        <v>1</v>
      </c>
      <c r="I53" s="24">
        <v>1</v>
      </c>
      <c r="J53" s="24">
        <v>0</v>
      </c>
      <c r="K53" s="24">
        <f t="shared" si="10"/>
        <v>1</v>
      </c>
      <c r="L53" s="24" t="s">
        <v>155</v>
      </c>
      <c r="M53" s="25"/>
      <c r="N53" s="59"/>
      <c r="P53" s="56" t="s">
        <v>15</v>
      </c>
      <c r="Q53" s="26" t="str">
        <v>Gabinete de ventilação, com filtro G4+M5, paineis isolado</v>
      </c>
      <c r="R53" s="57">
        <f t="shared" si="1"/>
        <v>40</v>
      </c>
      <c r="S53" s="57">
        <f t="shared" si="1"/>
        <v>0</v>
      </c>
      <c r="T53" s="57">
        <f t="shared" si="1"/>
        <v>0</v>
      </c>
      <c r="U53" s="57">
        <f t="shared" si="2"/>
        <v>0</v>
      </c>
      <c r="V53" s="57">
        <f t="shared" si="2"/>
        <v>0</v>
      </c>
      <c r="W53" s="57">
        <f t="shared" si="2"/>
        <v>0</v>
      </c>
      <c r="X53" s="57">
        <f t="shared" si="2"/>
        <v>0</v>
      </c>
      <c r="Y53" s="57">
        <f t="shared" si="2"/>
        <v>0</v>
      </c>
      <c r="Z53" s="58">
        <f t="shared" si="3"/>
        <v>40</v>
      </c>
    </row>
    <row r="54" spans="1:26" outlineLevel="1">
      <c r="A54" s="23" t="str">
        <f t="shared" si="34"/>
        <v>GERAL</v>
      </c>
      <c r="B54" s="23" t="str">
        <f t="shared" si="35"/>
        <v>1° PAV. TÉRREO</v>
      </c>
      <c r="C54" s="23" t="s">
        <v>280</v>
      </c>
      <c r="D54" s="74" t="s">
        <v>156</v>
      </c>
      <c r="E54" s="29" t="s">
        <v>108</v>
      </c>
      <c r="F54" s="83" t="s">
        <v>120</v>
      </c>
      <c r="G54" s="76" t="s">
        <v>133</v>
      </c>
      <c r="H54" s="131">
        <v>1</v>
      </c>
      <c r="I54" s="24">
        <v>1</v>
      </c>
      <c r="J54" s="24">
        <v>0</v>
      </c>
      <c r="K54" s="24">
        <f t="shared" si="10"/>
        <v>1</v>
      </c>
      <c r="L54" s="24" t="s">
        <v>155</v>
      </c>
      <c r="M54" s="25"/>
      <c r="N54" s="59"/>
      <c r="P54" s="56" t="s">
        <v>15</v>
      </c>
      <c r="Q54" s="26" t="str">
        <v>Unidade condensadora de 10 HP, linha VRV, Quente e Frio, 191 kg.</v>
      </c>
      <c r="R54" s="57">
        <f t="shared" si="1"/>
        <v>0</v>
      </c>
      <c r="S54" s="57">
        <f t="shared" si="1"/>
        <v>0</v>
      </c>
      <c r="T54" s="57">
        <f t="shared" si="1"/>
        <v>0</v>
      </c>
      <c r="U54" s="57">
        <f t="shared" si="2"/>
        <v>0</v>
      </c>
      <c r="V54" s="57">
        <f t="shared" si="2"/>
        <v>0</v>
      </c>
      <c r="W54" s="57">
        <f t="shared" si="2"/>
        <v>4</v>
      </c>
      <c r="X54" s="57">
        <f t="shared" si="2"/>
        <v>0</v>
      </c>
      <c r="Y54" s="57">
        <f t="shared" si="2"/>
        <v>0</v>
      </c>
      <c r="Z54" s="58">
        <f t="shared" si="3"/>
        <v>4</v>
      </c>
    </row>
    <row r="55" spans="1:26" outlineLevel="1">
      <c r="A55" s="23" t="str">
        <f t="shared" si="34"/>
        <v>GERAL</v>
      </c>
      <c r="B55" s="23" t="str">
        <f t="shared" si="35"/>
        <v>1° PAV. TÉRREO</v>
      </c>
      <c r="C55" s="23" t="s">
        <v>280</v>
      </c>
      <c r="D55" s="74" t="s">
        <v>156</v>
      </c>
      <c r="E55" s="29" t="s">
        <v>108</v>
      </c>
      <c r="F55" s="83" t="s">
        <v>120</v>
      </c>
      <c r="G55" s="76" t="s">
        <v>134</v>
      </c>
      <c r="H55" s="131">
        <v>1</v>
      </c>
      <c r="I55" s="24">
        <v>1</v>
      </c>
      <c r="J55" s="24">
        <v>0</v>
      </c>
      <c r="K55" s="24">
        <f t="shared" si="10"/>
        <v>1</v>
      </c>
      <c r="L55" s="24" t="s">
        <v>155</v>
      </c>
      <c r="M55" s="25"/>
      <c r="N55" s="59"/>
      <c r="P55" s="56" t="s">
        <v>15</v>
      </c>
      <c r="Q55" s="26" t="str">
        <v>Unidade condensadora de 12 HP, linha VRV, Quente e Frio, 213 kg.</v>
      </c>
      <c r="R55" s="57">
        <f t="shared" si="1"/>
        <v>0</v>
      </c>
      <c r="S55" s="57">
        <f t="shared" si="1"/>
        <v>0</v>
      </c>
      <c r="T55" s="57">
        <f t="shared" si="1"/>
        <v>0</v>
      </c>
      <c r="U55" s="57">
        <f t="shared" si="2"/>
        <v>0</v>
      </c>
      <c r="V55" s="57">
        <f t="shared" si="2"/>
        <v>0</v>
      </c>
      <c r="W55" s="57">
        <f t="shared" si="2"/>
        <v>24</v>
      </c>
      <c r="X55" s="57">
        <f t="shared" si="2"/>
        <v>0</v>
      </c>
      <c r="Y55" s="57">
        <f t="shared" si="2"/>
        <v>0</v>
      </c>
      <c r="Z55" s="58">
        <f t="shared" si="3"/>
        <v>24</v>
      </c>
    </row>
    <row r="56" spans="1:26" outlineLevel="1">
      <c r="A56" s="23" t="str">
        <f t="shared" ref="A56:A69" si="36">A55</f>
        <v>GERAL</v>
      </c>
      <c r="B56" s="23" t="str">
        <f t="shared" ref="B56:B69" si="37">B55</f>
        <v>1° PAV. TÉRREO</v>
      </c>
      <c r="C56" s="23" t="s">
        <v>277</v>
      </c>
      <c r="D56" s="74" t="s">
        <v>156</v>
      </c>
      <c r="E56" s="29" t="s">
        <v>61</v>
      </c>
      <c r="F56" s="83" t="s">
        <v>64</v>
      </c>
      <c r="G56" s="76" t="s">
        <v>65</v>
      </c>
      <c r="H56" s="131">
        <v>1</v>
      </c>
      <c r="I56" s="24">
        <v>1</v>
      </c>
      <c r="J56" s="24">
        <v>0</v>
      </c>
      <c r="K56" s="24">
        <f t="shared" si="10"/>
        <v>1</v>
      </c>
      <c r="L56" s="24" t="s">
        <v>155</v>
      </c>
      <c r="M56" s="25"/>
      <c r="N56" s="59"/>
      <c r="P56" s="56" t="s">
        <v>15</v>
      </c>
      <c r="Q56" s="26" t="str">
        <v>Unidade condensadora de 16 HP, linha VRV, Quente e Frio, 285 kg.</v>
      </c>
      <c r="R56" s="57">
        <f t="shared" si="1"/>
        <v>0</v>
      </c>
      <c r="S56" s="57">
        <f t="shared" si="1"/>
        <v>0</v>
      </c>
      <c r="T56" s="57">
        <f t="shared" si="1"/>
        <v>0</v>
      </c>
      <c r="U56" s="57">
        <f t="shared" si="2"/>
        <v>0</v>
      </c>
      <c r="V56" s="57">
        <f t="shared" si="2"/>
        <v>0</v>
      </c>
      <c r="W56" s="57">
        <f t="shared" si="2"/>
        <v>22</v>
      </c>
      <c r="X56" s="57">
        <f t="shared" si="2"/>
        <v>0</v>
      </c>
      <c r="Y56" s="57">
        <f t="shared" si="2"/>
        <v>0</v>
      </c>
      <c r="Z56" s="58">
        <f t="shared" si="3"/>
        <v>22</v>
      </c>
    </row>
    <row r="57" spans="1:26" outlineLevel="1">
      <c r="A57" s="23" t="str">
        <f t="shared" si="36"/>
        <v>GERAL</v>
      </c>
      <c r="B57" s="23" t="str">
        <f t="shared" si="37"/>
        <v>1° PAV. TÉRREO</v>
      </c>
      <c r="C57" s="23" t="s">
        <v>277</v>
      </c>
      <c r="D57" s="74" t="s">
        <v>156</v>
      </c>
      <c r="E57" s="29" t="s">
        <v>135</v>
      </c>
      <c r="F57" s="83" t="s">
        <v>64</v>
      </c>
      <c r="G57" s="76" t="s">
        <v>142</v>
      </c>
      <c r="H57" s="131">
        <v>1</v>
      </c>
      <c r="I57" s="24">
        <v>1</v>
      </c>
      <c r="J57" s="24">
        <v>0</v>
      </c>
      <c r="K57" s="24">
        <f t="shared" si="10"/>
        <v>1</v>
      </c>
      <c r="L57" s="24" t="s">
        <v>155</v>
      </c>
      <c r="M57" s="25"/>
      <c r="N57" s="59"/>
      <c r="P57" s="56" t="s">
        <v>15</v>
      </c>
      <c r="Q57" s="26" t="str">
        <v>Unidade condensadora de 22 HP, linha VRV, Quente e Frio, 317 kg.</v>
      </c>
      <c r="R57" s="57">
        <f t="shared" si="1"/>
        <v>0</v>
      </c>
      <c r="S57" s="57">
        <f t="shared" si="1"/>
        <v>0</v>
      </c>
      <c r="T57" s="57">
        <f t="shared" si="1"/>
        <v>0</v>
      </c>
      <c r="U57" s="57">
        <f t="shared" si="2"/>
        <v>0</v>
      </c>
      <c r="V57" s="57">
        <f t="shared" si="2"/>
        <v>0</v>
      </c>
      <c r="W57" s="57">
        <f t="shared" si="2"/>
        <v>8</v>
      </c>
      <c r="X57" s="57">
        <f t="shared" si="2"/>
        <v>0</v>
      </c>
      <c r="Y57" s="57">
        <f t="shared" si="2"/>
        <v>0</v>
      </c>
      <c r="Z57" s="58">
        <f t="shared" si="3"/>
        <v>8</v>
      </c>
    </row>
    <row r="58" spans="1:26" outlineLevel="1">
      <c r="A58" s="23" t="str">
        <f t="shared" si="36"/>
        <v>GERAL</v>
      </c>
      <c r="B58" s="23" t="str">
        <f t="shared" si="37"/>
        <v>1° PAV. TÉRREO</v>
      </c>
      <c r="C58" s="23" t="s">
        <v>277</v>
      </c>
      <c r="D58" s="74" t="s">
        <v>156</v>
      </c>
      <c r="E58" s="29" t="s">
        <v>63</v>
      </c>
      <c r="F58" s="83" t="s">
        <v>64</v>
      </c>
      <c r="G58" s="76" t="s">
        <v>67</v>
      </c>
      <c r="H58" s="131">
        <v>37</v>
      </c>
      <c r="I58" s="24">
        <v>1</v>
      </c>
      <c r="J58" s="24">
        <v>0</v>
      </c>
      <c r="K58" s="24">
        <f t="shared" si="10"/>
        <v>37</v>
      </c>
      <c r="L58" s="24" t="s">
        <v>155</v>
      </c>
      <c r="M58" s="25"/>
      <c r="N58" s="59"/>
      <c r="P58" s="56" t="s">
        <v>15</v>
      </c>
      <c r="Q58" s="26" t="str">
        <v>Unidade condensadora de 16 HP, linha VRV 6, quente e frio, 380V, 50/60 Hz</v>
      </c>
      <c r="R58" s="57">
        <f t="shared" si="1"/>
        <v>0</v>
      </c>
      <c r="S58" s="57">
        <f t="shared" si="1"/>
        <v>0</v>
      </c>
      <c r="T58" s="57">
        <f t="shared" si="1"/>
        <v>0</v>
      </c>
      <c r="U58" s="57">
        <f t="shared" si="2"/>
        <v>0</v>
      </c>
      <c r="V58" s="57">
        <f t="shared" si="2"/>
        <v>0</v>
      </c>
      <c r="W58" s="57">
        <f t="shared" si="2"/>
        <v>4</v>
      </c>
      <c r="X58" s="57">
        <f t="shared" si="2"/>
        <v>0</v>
      </c>
      <c r="Y58" s="57">
        <f t="shared" si="2"/>
        <v>0</v>
      </c>
      <c r="Z58" s="58">
        <f t="shared" si="3"/>
        <v>4</v>
      </c>
    </row>
    <row r="59" spans="1:26" outlineLevel="1">
      <c r="A59" s="23" t="str">
        <f t="shared" si="36"/>
        <v>GERAL</v>
      </c>
      <c r="B59" s="23" t="str">
        <f t="shared" si="37"/>
        <v>1° PAV. TÉRREO</v>
      </c>
      <c r="C59" s="23" t="s">
        <v>277</v>
      </c>
      <c r="D59" s="74" t="s">
        <v>156</v>
      </c>
      <c r="E59" s="29" t="s">
        <v>136</v>
      </c>
      <c r="F59" s="83" t="s">
        <v>64</v>
      </c>
      <c r="G59" s="76" t="s">
        <v>143</v>
      </c>
      <c r="H59" s="131">
        <v>2</v>
      </c>
      <c r="I59" s="24">
        <v>1</v>
      </c>
      <c r="J59" s="24">
        <v>0</v>
      </c>
      <c r="K59" s="24">
        <f t="shared" si="10"/>
        <v>2</v>
      </c>
      <c r="L59" s="24" t="s">
        <v>155</v>
      </c>
      <c r="M59" s="25"/>
      <c r="N59" s="59"/>
      <c r="P59" s="56" t="s">
        <v>15</v>
      </c>
      <c r="Q59" s="26" t="str">
        <v>Unidade condensadora de 20 HP, linha VRV 6, quente e frio, 380V, 50/60 Hz</v>
      </c>
      <c r="R59" s="57">
        <f t="shared" si="1"/>
        <v>0</v>
      </c>
      <c r="S59" s="57">
        <f t="shared" si="1"/>
        <v>0</v>
      </c>
      <c r="T59" s="57">
        <f t="shared" si="1"/>
        <v>0</v>
      </c>
      <c r="U59" s="57">
        <f t="shared" si="2"/>
        <v>0</v>
      </c>
      <c r="V59" s="57">
        <f t="shared" si="2"/>
        <v>0</v>
      </c>
      <c r="W59" s="57">
        <f t="shared" si="2"/>
        <v>4</v>
      </c>
      <c r="X59" s="57">
        <f t="shared" si="2"/>
        <v>0</v>
      </c>
      <c r="Y59" s="57">
        <f t="shared" ref="Y59:Y101" si="38">SUMIFS($K$6:$K$426,$E$6:$E$426,$Q59,$C$6:$C$426,Y$5,$A$6:$A$426,$P59)</f>
        <v>0</v>
      </c>
      <c r="Z59" s="58">
        <f t="shared" si="3"/>
        <v>4</v>
      </c>
    </row>
    <row r="60" spans="1:26" ht="30" outlineLevel="1">
      <c r="A60" s="23" t="str">
        <f t="shared" si="36"/>
        <v>GERAL</v>
      </c>
      <c r="B60" s="23" t="str">
        <f t="shared" si="37"/>
        <v>1° PAV. TÉRREO</v>
      </c>
      <c r="C60" s="23" t="s">
        <v>277</v>
      </c>
      <c r="D60" s="74" t="s">
        <v>156</v>
      </c>
      <c r="E60" s="29" t="s">
        <v>137</v>
      </c>
      <c r="F60" s="83" t="s">
        <v>86</v>
      </c>
      <c r="G60" s="76" t="s">
        <v>144</v>
      </c>
      <c r="H60" s="131">
        <v>2</v>
      </c>
      <c r="I60" s="24">
        <v>1</v>
      </c>
      <c r="J60" s="24">
        <v>0</v>
      </c>
      <c r="K60" s="24">
        <f t="shared" si="10"/>
        <v>2</v>
      </c>
      <c r="L60" s="24" t="s">
        <v>155</v>
      </c>
      <c r="M60" s="25"/>
      <c r="N60" s="59"/>
      <c r="P60" s="56" t="s">
        <v>15</v>
      </c>
      <c r="Q60" s="26" t="str">
        <v>Unidade evaporadora tipo cassete Round Flow, capacidade 9.600 Btu/h, linha VRV, ciclo Q/F</v>
      </c>
      <c r="R60" s="57">
        <f t="shared" si="1"/>
        <v>0</v>
      </c>
      <c r="S60" s="57">
        <f t="shared" si="1"/>
        <v>0</v>
      </c>
      <c r="T60" s="57">
        <f t="shared" si="1"/>
        <v>0</v>
      </c>
      <c r="U60" s="57">
        <f t="shared" si="2"/>
        <v>0</v>
      </c>
      <c r="V60" s="57">
        <f t="shared" si="2"/>
        <v>0</v>
      </c>
      <c r="W60" s="57">
        <f t="shared" si="2"/>
        <v>3</v>
      </c>
      <c r="X60" s="57">
        <f t="shared" si="2"/>
        <v>0</v>
      </c>
      <c r="Y60" s="57">
        <f t="shared" si="38"/>
        <v>0</v>
      </c>
      <c r="Z60" s="58">
        <f t="shared" si="3"/>
        <v>3</v>
      </c>
    </row>
    <row r="61" spans="1:26" ht="30" outlineLevel="1">
      <c r="A61" s="23" t="str">
        <f t="shared" si="36"/>
        <v>GERAL</v>
      </c>
      <c r="B61" s="23" t="str">
        <f t="shared" si="37"/>
        <v>1° PAV. TÉRREO</v>
      </c>
      <c r="C61" s="23" t="s">
        <v>277</v>
      </c>
      <c r="D61" s="74" t="s">
        <v>156</v>
      </c>
      <c r="E61" s="29" t="s">
        <v>138</v>
      </c>
      <c r="F61" s="83" t="s">
        <v>86</v>
      </c>
      <c r="G61" s="76" t="s">
        <v>145</v>
      </c>
      <c r="H61" s="131">
        <v>4</v>
      </c>
      <c r="I61" s="24">
        <v>1</v>
      </c>
      <c r="J61" s="24">
        <v>0</v>
      </c>
      <c r="K61" s="24">
        <f t="shared" si="10"/>
        <v>4</v>
      </c>
      <c r="L61" s="24" t="s">
        <v>155</v>
      </c>
      <c r="M61" s="25"/>
      <c r="N61" s="59"/>
      <c r="P61" s="56" t="s">
        <v>15</v>
      </c>
      <c r="Q61" s="26" t="str">
        <v>Unidade evaporadora tipo cassete Round Flow, capacidade 12.300 Btu/h, linha VRV.</v>
      </c>
      <c r="R61" s="57">
        <f t="shared" si="1"/>
        <v>0</v>
      </c>
      <c r="S61" s="57">
        <f t="shared" si="1"/>
        <v>0</v>
      </c>
      <c r="T61" s="57">
        <f t="shared" si="1"/>
        <v>0</v>
      </c>
      <c r="U61" s="57">
        <f t="shared" si="2"/>
        <v>0</v>
      </c>
      <c r="V61" s="57">
        <f t="shared" si="2"/>
        <v>0</v>
      </c>
      <c r="W61" s="57">
        <f t="shared" si="2"/>
        <v>24</v>
      </c>
      <c r="X61" s="57">
        <f t="shared" si="2"/>
        <v>0</v>
      </c>
      <c r="Y61" s="57">
        <f t="shared" si="38"/>
        <v>0</v>
      </c>
      <c r="Z61" s="58">
        <f t="shared" si="3"/>
        <v>24</v>
      </c>
    </row>
    <row r="62" spans="1:26" ht="30" outlineLevel="1">
      <c r="A62" s="23" t="str">
        <f t="shared" si="36"/>
        <v>GERAL</v>
      </c>
      <c r="B62" s="23" t="str">
        <f t="shared" si="37"/>
        <v>1° PAV. TÉRREO</v>
      </c>
      <c r="C62" s="23" t="s">
        <v>277</v>
      </c>
      <c r="D62" s="74" t="s">
        <v>156</v>
      </c>
      <c r="E62" s="29" t="s">
        <v>85</v>
      </c>
      <c r="F62" s="83" t="s">
        <v>86</v>
      </c>
      <c r="G62" s="76" t="s">
        <v>146</v>
      </c>
      <c r="H62" s="131">
        <v>5</v>
      </c>
      <c r="I62" s="24">
        <v>1</v>
      </c>
      <c r="J62" s="24">
        <v>0</v>
      </c>
      <c r="K62" s="24">
        <f t="shared" si="10"/>
        <v>5</v>
      </c>
      <c r="L62" s="24" t="s">
        <v>155</v>
      </c>
      <c r="M62" s="25"/>
      <c r="N62" s="59"/>
      <c r="P62" s="56" t="s">
        <v>15</v>
      </c>
      <c r="Q62" s="26" t="str">
        <v>Unidade evaporadora tipo cassete Round Flow, capacidade 19.100 Btu/h, linha VRV.</v>
      </c>
      <c r="R62" s="57">
        <f t="shared" si="1"/>
        <v>0</v>
      </c>
      <c r="S62" s="57">
        <f t="shared" si="1"/>
        <v>0</v>
      </c>
      <c r="T62" s="57">
        <f t="shared" si="1"/>
        <v>0</v>
      </c>
      <c r="U62" s="57">
        <f t="shared" si="2"/>
        <v>0</v>
      </c>
      <c r="V62" s="57">
        <f t="shared" si="2"/>
        <v>0</v>
      </c>
      <c r="W62" s="57">
        <f t="shared" si="2"/>
        <v>4</v>
      </c>
      <c r="X62" s="57">
        <f t="shared" si="2"/>
        <v>0</v>
      </c>
      <c r="Y62" s="57">
        <f t="shared" si="38"/>
        <v>0</v>
      </c>
      <c r="Z62" s="58">
        <f t="shared" si="3"/>
        <v>4</v>
      </c>
    </row>
    <row r="63" spans="1:26" ht="30" outlineLevel="1">
      <c r="A63" s="23" t="str">
        <f t="shared" si="36"/>
        <v>GERAL</v>
      </c>
      <c r="B63" s="23" t="str">
        <f t="shared" si="37"/>
        <v>1° PAV. TÉRREO</v>
      </c>
      <c r="C63" s="23" t="s">
        <v>277</v>
      </c>
      <c r="D63" s="74" t="s">
        <v>156</v>
      </c>
      <c r="E63" s="29" t="s">
        <v>85</v>
      </c>
      <c r="F63" s="83" t="s">
        <v>86</v>
      </c>
      <c r="G63" s="76" t="s">
        <v>147</v>
      </c>
      <c r="H63" s="131">
        <v>2</v>
      </c>
      <c r="I63" s="24">
        <v>1</v>
      </c>
      <c r="J63" s="24">
        <v>0</v>
      </c>
      <c r="K63" s="24">
        <f t="shared" si="10"/>
        <v>2</v>
      </c>
      <c r="L63" s="24" t="s">
        <v>155</v>
      </c>
      <c r="M63" s="25"/>
      <c r="N63" s="59"/>
      <c r="P63" s="56" t="s">
        <v>15</v>
      </c>
      <c r="Q63" s="26" t="str">
        <v>Unidade evaporadora tipo cassete Round Flow, capacidade 24.200 Btu/h, linha VRV.</v>
      </c>
      <c r="R63" s="57">
        <f t="shared" si="1"/>
        <v>0</v>
      </c>
      <c r="S63" s="57">
        <f t="shared" si="1"/>
        <v>0</v>
      </c>
      <c r="T63" s="57">
        <f t="shared" si="1"/>
        <v>0</v>
      </c>
      <c r="U63" s="57">
        <f t="shared" si="2"/>
        <v>0</v>
      </c>
      <c r="V63" s="57">
        <f t="shared" si="2"/>
        <v>0</v>
      </c>
      <c r="W63" s="57">
        <f t="shared" si="2"/>
        <v>22</v>
      </c>
      <c r="X63" s="57">
        <f t="shared" si="2"/>
        <v>0</v>
      </c>
      <c r="Y63" s="57">
        <f t="shared" si="38"/>
        <v>0</v>
      </c>
      <c r="Z63" s="58">
        <f t="shared" si="3"/>
        <v>22</v>
      </c>
    </row>
    <row r="64" spans="1:26" outlineLevel="1">
      <c r="A64" s="23" t="str">
        <f t="shared" si="36"/>
        <v>GERAL</v>
      </c>
      <c r="B64" s="23" t="str">
        <f t="shared" si="37"/>
        <v>1° PAV. TÉRREO</v>
      </c>
      <c r="C64" s="23" t="s">
        <v>277</v>
      </c>
      <c r="D64" s="74" t="s">
        <v>156</v>
      </c>
      <c r="E64" s="29" t="s">
        <v>85</v>
      </c>
      <c r="F64" s="83" t="s">
        <v>86</v>
      </c>
      <c r="G64" s="76" t="s">
        <v>148</v>
      </c>
      <c r="H64" s="131">
        <v>4</v>
      </c>
      <c r="I64" s="24">
        <v>1</v>
      </c>
      <c r="J64" s="24">
        <v>0</v>
      </c>
      <c r="K64" s="24">
        <f t="shared" si="10"/>
        <v>4</v>
      </c>
      <c r="L64" s="24" t="s">
        <v>155</v>
      </c>
      <c r="M64" s="25"/>
      <c r="N64" s="59"/>
      <c r="P64" s="56" t="s">
        <v>15</v>
      </c>
      <c r="Q64" s="26" t="str">
        <v>Unidade evaporadora tipo Teto, capacidade 38.200 Btu/h, linha VRV, cicloQ/F.</v>
      </c>
      <c r="R64" s="57">
        <f t="shared" si="1"/>
        <v>0</v>
      </c>
      <c r="S64" s="57">
        <f t="shared" si="1"/>
        <v>0</v>
      </c>
      <c r="T64" s="57">
        <f t="shared" si="1"/>
        <v>0</v>
      </c>
      <c r="U64" s="57">
        <f t="shared" si="2"/>
        <v>0</v>
      </c>
      <c r="V64" s="57">
        <f t="shared" si="2"/>
        <v>0</v>
      </c>
      <c r="W64" s="57">
        <f t="shared" si="2"/>
        <v>2</v>
      </c>
      <c r="X64" s="57">
        <f t="shared" si="2"/>
        <v>0</v>
      </c>
      <c r="Y64" s="57">
        <f t="shared" si="38"/>
        <v>0</v>
      </c>
      <c r="Z64" s="58">
        <f t="shared" si="3"/>
        <v>2</v>
      </c>
    </row>
    <row r="65" spans="1:26" ht="30" outlineLevel="1">
      <c r="A65" s="23" t="str">
        <f t="shared" si="36"/>
        <v>GERAL</v>
      </c>
      <c r="B65" s="23" t="str">
        <f t="shared" si="37"/>
        <v>1° PAV. TÉRREO</v>
      </c>
      <c r="C65" s="23" t="s">
        <v>277</v>
      </c>
      <c r="D65" s="74" t="s">
        <v>156</v>
      </c>
      <c r="E65" s="29" t="s">
        <v>139</v>
      </c>
      <c r="F65" s="83" t="s">
        <v>86</v>
      </c>
      <c r="G65" s="76" t="s">
        <v>149</v>
      </c>
      <c r="H65" s="131">
        <v>2</v>
      </c>
      <c r="I65" s="24">
        <v>1</v>
      </c>
      <c r="J65" s="24">
        <v>0</v>
      </c>
      <c r="K65" s="24">
        <f t="shared" si="10"/>
        <v>2</v>
      </c>
      <c r="L65" s="24" t="s">
        <v>155</v>
      </c>
      <c r="M65" s="25"/>
      <c r="N65" s="59"/>
      <c r="P65" s="56" t="s">
        <v>15</v>
      </c>
      <c r="Q65" s="26" t="str">
        <v>Grelha de porta</v>
      </c>
      <c r="R65" s="57">
        <f t="shared" si="1"/>
        <v>4</v>
      </c>
      <c r="S65" s="57">
        <f t="shared" si="1"/>
        <v>0</v>
      </c>
      <c r="T65" s="57">
        <f t="shared" si="1"/>
        <v>0</v>
      </c>
      <c r="U65" s="57">
        <f t="shared" si="2"/>
        <v>0</v>
      </c>
      <c r="V65" s="57">
        <f t="shared" si="2"/>
        <v>0</v>
      </c>
      <c r="W65" s="57">
        <f t="shared" si="2"/>
        <v>0</v>
      </c>
      <c r="X65" s="57">
        <f t="shared" si="2"/>
        <v>0</v>
      </c>
      <c r="Y65" s="57">
        <f t="shared" si="38"/>
        <v>0</v>
      </c>
      <c r="Z65" s="58">
        <f t="shared" si="3"/>
        <v>4</v>
      </c>
    </row>
    <row r="66" spans="1:26" ht="30" outlineLevel="1">
      <c r="A66" s="23" t="str">
        <f t="shared" si="36"/>
        <v>GERAL</v>
      </c>
      <c r="B66" s="23" t="str">
        <f t="shared" si="37"/>
        <v>1° PAV. TÉRREO</v>
      </c>
      <c r="C66" s="23" t="s">
        <v>280</v>
      </c>
      <c r="D66" s="74" t="s">
        <v>156</v>
      </c>
      <c r="E66" s="29" t="s">
        <v>139</v>
      </c>
      <c r="F66" s="83" t="s">
        <v>86</v>
      </c>
      <c r="G66" s="76" t="s">
        <v>150</v>
      </c>
      <c r="H66" s="131">
        <v>1</v>
      </c>
      <c r="I66" s="24">
        <v>1</v>
      </c>
      <c r="J66" s="24">
        <v>0</v>
      </c>
      <c r="K66" s="24">
        <f t="shared" si="10"/>
        <v>1</v>
      </c>
      <c r="L66" s="24" t="s">
        <v>155</v>
      </c>
      <c r="M66" s="25"/>
      <c r="N66" s="59"/>
      <c r="P66" s="56" t="s">
        <v>15</v>
      </c>
      <c r="Q66" s="26" t="str">
        <v>Espuma elastomérica D:6,4 mm E:13 mm</v>
      </c>
      <c r="R66" s="57">
        <f t="shared" si="1"/>
        <v>0</v>
      </c>
      <c r="S66" s="57">
        <f t="shared" si="1"/>
        <v>0</v>
      </c>
      <c r="T66" s="57">
        <f t="shared" si="1"/>
        <v>0</v>
      </c>
      <c r="U66" s="57">
        <f t="shared" si="2"/>
        <v>0</v>
      </c>
      <c r="V66" s="57">
        <f t="shared" si="2"/>
        <v>0</v>
      </c>
      <c r="W66" s="57">
        <f t="shared" si="2"/>
        <v>204.8</v>
      </c>
      <c r="X66" s="57">
        <f t="shared" si="2"/>
        <v>0</v>
      </c>
      <c r="Y66" s="57">
        <f t="shared" si="38"/>
        <v>0</v>
      </c>
      <c r="Z66" s="58">
        <f t="shared" si="3"/>
        <v>204.8</v>
      </c>
    </row>
    <row r="67" spans="1:26" ht="30" outlineLevel="1">
      <c r="A67" s="23" t="str">
        <f t="shared" si="36"/>
        <v>GERAL</v>
      </c>
      <c r="B67" s="23" t="str">
        <f t="shared" si="37"/>
        <v>1° PAV. TÉRREO</v>
      </c>
      <c r="C67" s="23" t="s">
        <v>277</v>
      </c>
      <c r="D67" s="74" t="s">
        <v>156</v>
      </c>
      <c r="E67" s="29" t="s">
        <v>139</v>
      </c>
      <c r="F67" s="83" t="s">
        <v>86</v>
      </c>
      <c r="G67" s="76" t="s">
        <v>151</v>
      </c>
      <c r="H67" s="131">
        <v>1</v>
      </c>
      <c r="I67" s="24">
        <v>1</v>
      </c>
      <c r="J67" s="24">
        <v>0</v>
      </c>
      <c r="K67" s="24">
        <f t="shared" si="10"/>
        <v>1</v>
      </c>
      <c r="L67" s="24" t="s">
        <v>155</v>
      </c>
      <c r="M67" s="25"/>
      <c r="N67" s="59"/>
      <c r="P67" s="56" t="s">
        <v>15</v>
      </c>
      <c r="Q67" s="26" t="str">
        <v>Espuma elastomérica D:9,5 mm E:14 mm</v>
      </c>
      <c r="R67" s="57">
        <f t="shared" si="1"/>
        <v>0</v>
      </c>
      <c r="S67" s="57">
        <f t="shared" si="1"/>
        <v>0</v>
      </c>
      <c r="T67" s="57">
        <f t="shared" si="1"/>
        <v>0</v>
      </c>
      <c r="U67" s="57">
        <f t="shared" si="2"/>
        <v>0</v>
      </c>
      <c r="V67" s="57">
        <f t="shared" si="2"/>
        <v>0</v>
      </c>
      <c r="W67" s="57">
        <f t="shared" si="2"/>
        <v>812</v>
      </c>
      <c r="X67" s="57">
        <f t="shared" si="2"/>
        <v>0</v>
      </c>
      <c r="Y67" s="57">
        <f t="shared" si="38"/>
        <v>0</v>
      </c>
      <c r="Z67" s="58">
        <f t="shared" si="3"/>
        <v>812</v>
      </c>
    </row>
    <row r="68" spans="1:26" outlineLevel="1">
      <c r="A68" s="23" t="str">
        <f t="shared" si="36"/>
        <v>GERAL</v>
      </c>
      <c r="B68" s="23" t="str">
        <f t="shared" si="37"/>
        <v>1° PAV. TÉRREO</v>
      </c>
      <c r="C68" s="23" t="s">
        <v>277</v>
      </c>
      <c r="D68" s="74" t="s">
        <v>156</v>
      </c>
      <c r="E68" s="29" t="s">
        <v>140</v>
      </c>
      <c r="F68" s="83" t="s">
        <v>64</v>
      </c>
      <c r="G68" s="76" t="s">
        <v>152</v>
      </c>
      <c r="H68" s="131">
        <v>3</v>
      </c>
      <c r="I68" s="24">
        <v>1</v>
      </c>
      <c r="J68" s="24">
        <v>0</v>
      </c>
      <c r="K68" s="24">
        <f t="shared" si="10"/>
        <v>3</v>
      </c>
      <c r="L68" s="24" t="s">
        <v>155</v>
      </c>
      <c r="M68" s="25"/>
      <c r="N68" s="59"/>
      <c r="P68" s="56" t="s">
        <v>15</v>
      </c>
      <c r="Q68" s="26" t="str">
        <v>Espuma elastomérica D:12,7 mm E:14 mm</v>
      </c>
      <c r="R68" s="57">
        <f t="shared" si="1"/>
        <v>0</v>
      </c>
      <c r="S68" s="57">
        <f t="shared" si="1"/>
        <v>0</v>
      </c>
      <c r="T68" s="57">
        <f t="shared" si="1"/>
        <v>0</v>
      </c>
      <c r="U68" s="57">
        <f t="shared" si="2"/>
        <v>0</v>
      </c>
      <c r="V68" s="57">
        <f t="shared" si="2"/>
        <v>0</v>
      </c>
      <c r="W68" s="57">
        <f t="shared" si="2"/>
        <v>263.2</v>
      </c>
      <c r="X68" s="57">
        <f t="shared" si="2"/>
        <v>0</v>
      </c>
      <c r="Y68" s="57">
        <f t="shared" si="38"/>
        <v>0</v>
      </c>
      <c r="Z68" s="58">
        <f t="shared" si="3"/>
        <v>263.2</v>
      </c>
    </row>
    <row r="69" spans="1:26" ht="15.75" outlineLevel="1" thickBot="1">
      <c r="A69" s="23" t="str">
        <f t="shared" si="36"/>
        <v>GERAL</v>
      </c>
      <c r="B69" s="23" t="str">
        <f t="shared" si="37"/>
        <v>1° PAV. TÉRREO</v>
      </c>
      <c r="C69" s="23" t="s">
        <v>277</v>
      </c>
      <c r="D69" s="74" t="s">
        <v>156</v>
      </c>
      <c r="E69" s="29" t="s">
        <v>141</v>
      </c>
      <c r="F69" s="83" t="s">
        <v>64</v>
      </c>
      <c r="G69" s="76" t="s">
        <v>153</v>
      </c>
      <c r="H69" s="131">
        <v>1</v>
      </c>
      <c r="I69" s="24">
        <v>1</v>
      </c>
      <c r="J69" s="24">
        <v>0</v>
      </c>
      <c r="K69" s="24">
        <f t="shared" si="10"/>
        <v>1</v>
      </c>
      <c r="L69" s="24" t="s">
        <v>155</v>
      </c>
      <c r="M69" s="25"/>
      <c r="N69" s="59"/>
      <c r="P69" s="56" t="s">
        <v>15</v>
      </c>
      <c r="Q69" s="26" t="str">
        <v>Espuma elastomérica D:12,7 mm E:20 mm</v>
      </c>
      <c r="R69" s="57">
        <f t="shared" si="1"/>
        <v>0</v>
      </c>
      <c r="S69" s="57">
        <f t="shared" si="1"/>
        <v>0</v>
      </c>
      <c r="T69" s="57">
        <f t="shared" si="1"/>
        <v>0</v>
      </c>
      <c r="U69" s="57">
        <f t="shared" si="2"/>
        <v>0</v>
      </c>
      <c r="V69" s="57">
        <f t="shared" si="2"/>
        <v>0</v>
      </c>
      <c r="W69" s="57">
        <f t="shared" si="2"/>
        <v>186.4</v>
      </c>
      <c r="X69" s="57">
        <f t="shared" si="2"/>
        <v>0</v>
      </c>
      <c r="Y69" s="57">
        <f t="shared" si="38"/>
        <v>0</v>
      </c>
      <c r="Z69" s="58">
        <f t="shared" si="3"/>
        <v>186.4</v>
      </c>
    </row>
    <row r="70" spans="1:26" ht="15.75" thickTop="1">
      <c r="A70" s="61" t="s">
        <v>15</v>
      </c>
      <c r="B70" s="61" t="s">
        <v>25</v>
      </c>
      <c r="C70" s="42"/>
      <c r="D70" s="43"/>
      <c r="E70" s="43"/>
      <c r="F70" s="82"/>
      <c r="G70" s="82"/>
      <c r="H70" s="132"/>
      <c r="I70" s="44"/>
      <c r="J70" s="44"/>
      <c r="K70" s="45"/>
      <c r="L70" s="44"/>
      <c r="M70" s="46"/>
      <c r="N70" s="47" t="e">
        <f>IF(SUM(H70:M70)=0,SUMIFS($N71:$N$759,$B71:$B$759,$B70,$A71:$A$759,$A70),K70*M70)</f>
        <v>#N/A</v>
      </c>
      <c r="P70" s="56" t="s">
        <v>15</v>
      </c>
      <c r="Q70" s="26" t="str">
        <v>Espuma elastomérica D:15,9 mm E:15 mm</v>
      </c>
      <c r="R70" s="57">
        <f t="shared" si="1"/>
        <v>0</v>
      </c>
      <c r="S70" s="57">
        <f t="shared" si="1"/>
        <v>0</v>
      </c>
      <c r="T70" s="57">
        <f t="shared" si="1"/>
        <v>0</v>
      </c>
      <c r="U70" s="57">
        <f t="shared" si="2"/>
        <v>0</v>
      </c>
      <c r="V70" s="57">
        <f t="shared" si="2"/>
        <v>0</v>
      </c>
      <c r="W70" s="57">
        <f t="shared" si="2"/>
        <v>148.80000000000001</v>
      </c>
      <c r="X70" s="57">
        <f t="shared" si="2"/>
        <v>0</v>
      </c>
      <c r="Y70" s="57">
        <f t="shared" si="38"/>
        <v>0</v>
      </c>
      <c r="Z70" s="58">
        <f t="shared" si="3"/>
        <v>148.80000000000001</v>
      </c>
    </row>
    <row r="71" spans="1:26" outlineLevel="1">
      <c r="A71" s="23" t="str">
        <f t="shared" ref="A71:A87" si="39">A70</f>
        <v>GERAL</v>
      </c>
      <c r="B71" s="23" t="str">
        <f t="shared" ref="B71:B87" si="40">B70</f>
        <v>2° PAV. - ESTAC. 01</v>
      </c>
      <c r="C71" s="65" t="s">
        <v>278</v>
      </c>
      <c r="D71" s="75" t="s">
        <v>101</v>
      </c>
      <c r="E71" s="74" t="s">
        <v>40</v>
      </c>
      <c r="F71" s="76" t="s">
        <v>68</v>
      </c>
      <c r="G71" s="77" t="s">
        <v>45</v>
      </c>
      <c r="H71" s="131">
        <v>48</v>
      </c>
      <c r="I71" s="24">
        <v>1</v>
      </c>
      <c r="J71" s="24">
        <v>0</v>
      </c>
      <c r="K71" s="24">
        <f t="shared" ref="K71:K135" si="41">(H71+J71*H71)*I71</f>
        <v>48</v>
      </c>
      <c r="L71" s="24" t="s">
        <v>154</v>
      </c>
      <c r="M71" s="25" t="e">
        <f>_xlfn.XLOOKUP($E71,PREÇO!$C$6:$C$89,PREÇO!$E$6:$E$89)</f>
        <v>#N/A</v>
      </c>
      <c r="N71" s="59" t="e">
        <f>IF(SUM(H71:M71)=0,SUMIFS($N72:$N$759,$B72:$B$759,$B71,$A72:$A$759,$A71),K71*M71)</f>
        <v>#N/A</v>
      </c>
      <c r="P71" s="56" t="s">
        <v>15</v>
      </c>
      <c r="Q71" s="26" t="str">
        <v>Espuma elastomérica D:15,9 mm E:22 mm</v>
      </c>
      <c r="R71" s="57">
        <f t="shared" ref="R71:T100" si="42">SUMIFS($K$6:$K$426,$E$6:$E$426,$Q71,$C$6:$C$426,R$5,$A$6:$A$426,$P71)</f>
        <v>0</v>
      </c>
      <c r="S71" s="57">
        <f t="shared" si="42"/>
        <v>0</v>
      </c>
      <c r="T71" s="57">
        <f t="shared" si="42"/>
        <v>0</v>
      </c>
      <c r="U71" s="57">
        <f t="shared" ref="U71:X101" si="43">SUMIFS($K$6:$K$426,$E$6:$E$426,$Q71,$C$6:$C$426,U$5,$A$6:$A$426,$P71)</f>
        <v>0</v>
      </c>
      <c r="V71" s="57">
        <f t="shared" si="43"/>
        <v>0</v>
      </c>
      <c r="W71" s="57">
        <f t="shared" si="43"/>
        <v>647.20000000000005</v>
      </c>
      <c r="X71" s="57">
        <f t="shared" si="43"/>
        <v>0</v>
      </c>
      <c r="Y71" s="57">
        <f t="shared" si="38"/>
        <v>0</v>
      </c>
      <c r="Z71" s="58">
        <f t="shared" ref="Z71:Z100" si="44">SUM(R71:Y71)</f>
        <v>647.20000000000005</v>
      </c>
    </row>
    <row r="72" spans="1:26" ht="30" outlineLevel="1">
      <c r="A72" s="23" t="str">
        <f t="shared" si="39"/>
        <v>GERAL</v>
      </c>
      <c r="B72" s="23" t="str">
        <f t="shared" si="40"/>
        <v>2° PAV. - ESTAC. 01</v>
      </c>
      <c r="C72" s="65" t="s">
        <v>278</v>
      </c>
      <c r="D72" s="75" t="s">
        <v>101</v>
      </c>
      <c r="E72" s="74" t="s">
        <v>41</v>
      </c>
      <c r="F72" s="76" t="s">
        <v>68</v>
      </c>
      <c r="G72" s="76" t="s">
        <v>46</v>
      </c>
      <c r="H72" s="131">
        <v>115</v>
      </c>
      <c r="I72" s="24">
        <v>1</v>
      </c>
      <c r="J72" s="24">
        <v>0</v>
      </c>
      <c r="K72" s="24">
        <f t="shared" si="41"/>
        <v>115</v>
      </c>
      <c r="L72" s="24" t="s">
        <v>154</v>
      </c>
      <c r="M72" s="25" t="e">
        <f>_xlfn.XLOOKUP($E72,PREÇO!$C$6:$C$89,PREÇO!$E$6:$E$89)</f>
        <v>#N/A</v>
      </c>
      <c r="N72" s="59" t="e">
        <f>IF(SUM(H72:M72)=0,SUMIFS($N73:$N$759,$B73:$B$759,$B72,$A73:$A$759,$A72),K72*M72)</f>
        <v>#N/A</v>
      </c>
      <c r="P72" s="56" t="s">
        <v>15</v>
      </c>
      <c r="Q72" s="26" t="str">
        <v>Espuma elastomérica D:19,1 mm E:16 mm</v>
      </c>
      <c r="R72" s="57">
        <f t="shared" si="42"/>
        <v>0</v>
      </c>
      <c r="S72" s="57">
        <f t="shared" si="42"/>
        <v>0</v>
      </c>
      <c r="T72" s="57">
        <f t="shared" si="42"/>
        <v>0</v>
      </c>
      <c r="U72" s="57">
        <f t="shared" si="43"/>
        <v>0</v>
      </c>
      <c r="V72" s="57">
        <f t="shared" si="43"/>
        <v>0</v>
      </c>
      <c r="W72" s="57">
        <f t="shared" si="43"/>
        <v>240.8</v>
      </c>
      <c r="X72" s="57">
        <f t="shared" si="43"/>
        <v>0</v>
      </c>
      <c r="Y72" s="57">
        <f t="shared" si="38"/>
        <v>0</v>
      </c>
      <c r="Z72" s="58">
        <f t="shared" si="44"/>
        <v>240.8</v>
      </c>
    </row>
    <row r="73" spans="1:26" ht="30" outlineLevel="1">
      <c r="A73" s="23" t="str">
        <f t="shared" si="39"/>
        <v>GERAL</v>
      </c>
      <c r="B73" s="23" t="str">
        <f t="shared" si="40"/>
        <v>2° PAV. - ESTAC. 01</v>
      </c>
      <c r="C73" s="65" t="s">
        <v>278</v>
      </c>
      <c r="D73" s="75" t="s">
        <v>101</v>
      </c>
      <c r="E73" s="74" t="s">
        <v>42</v>
      </c>
      <c r="F73" s="76" t="s">
        <v>68</v>
      </c>
      <c r="G73" s="76" t="s">
        <v>47</v>
      </c>
      <c r="H73" s="131">
        <v>10</v>
      </c>
      <c r="I73" s="24">
        <v>1</v>
      </c>
      <c r="J73" s="24">
        <v>0</v>
      </c>
      <c r="K73" s="24">
        <f t="shared" si="41"/>
        <v>10</v>
      </c>
      <c r="L73" s="24" t="s">
        <v>154</v>
      </c>
      <c r="M73" s="25" t="e">
        <f>_xlfn.XLOOKUP($E73,PREÇO!$C$6:$C$89,PREÇO!$E$6:$E$89)</f>
        <v>#N/A</v>
      </c>
      <c r="N73" s="59" t="e">
        <f>IF(SUM(H73:M73)=0,SUMIFS($N74:$N$759,$B74:$B$759,$B73,$A74:$A$759,$A73),K73*M73)</f>
        <v>#N/A</v>
      </c>
      <c r="P73" s="56" t="s">
        <v>15</v>
      </c>
      <c r="Q73" s="26" t="str">
        <v>Espuma elastomérica D:19,1 mm E:23 mm</v>
      </c>
      <c r="R73" s="57">
        <f t="shared" si="42"/>
        <v>0</v>
      </c>
      <c r="S73" s="57">
        <f t="shared" si="42"/>
        <v>0</v>
      </c>
      <c r="T73" s="57">
        <f t="shared" si="42"/>
        <v>0</v>
      </c>
      <c r="U73" s="57">
        <f t="shared" si="43"/>
        <v>0</v>
      </c>
      <c r="V73" s="57">
        <f t="shared" si="43"/>
        <v>0</v>
      </c>
      <c r="W73" s="57">
        <f t="shared" si="43"/>
        <v>14</v>
      </c>
      <c r="X73" s="57">
        <f t="shared" si="43"/>
        <v>0</v>
      </c>
      <c r="Y73" s="57">
        <f t="shared" si="38"/>
        <v>0</v>
      </c>
      <c r="Z73" s="58">
        <f t="shared" si="44"/>
        <v>14</v>
      </c>
    </row>
    <row r="74" spans="1:26" s="101" customFormat="1" ht="30" outlineLevel="1">
      <c r="A74" s="93" t="str">
        <f t="shared" si="39"/>
        <v>GERAL</v>
      </c>
      <c r="B74" s="93" t="str">
        <f t="shared" si="40"/>
        <v>2° PAV. - ESTAC. 01</v>
      </c>
      <c r="C74" s="120" t="s">
        <v>278</v>
      </c>
      <c r="D74" s="121" t="s">
        <v>101</v>
      </c>
      <c r="E74" s="94" t="s">
        <v>43</v>
      </c>
      <c r="F74" s="97" t="s">
        <v>68</v>
      </c>
      <c r="G74" s="97" t="s">
        <v>48</v>
      </c>
      <c r="H74" s="135">
        <v>12</v>
      </c>
      <c r="I74" s="98">
        <v>1</v>
      </c>
      <c r="J74" s="98">
        <v>0</v>
      </c>
      <c r="K74" s="98">
        <f t="shared" si="41"/>
        <v>12</v>
      </c>
      <c r="L74" s="98" t="s">
        <v>154</v>
      </c>
      <c r="M74" s="99" t="e">
        <f>_xlfn.XLOOKUP($E74,PREÇO!$C$6:$C$89,PREÇO!$E$6:$E$89)</f>
        <v>#N/A</v>
      </c>
      <c r="N74" s="100" t="e">
        <f>IF(SUM(H74:M74)=0,SUMIFS($N75:$N$759,$B75:$B$759,$B74,$A75:$A$759,$A74),K74*M74)</f>
        <v>#N/A</v>
      </c>
      <c r="P74" s="56" t="s">
        <v>15</v>
      </c>
      <c r="Q74" s="26" t="str">
        <v>Espuma elastomérica D:22,2 mm E:25 mm</v>
      </c>
      <c r="R74" s="57">
        <f t="shared" si="42"/>
        <v>0</v>
      </c>
      <c r="S74" s="57">
        <f t="shared" si="42"/>
        <v>0</v>
      </c>
      <c r="T74" s="57">
        <f t="shared" si="42"/>
        <v>0</v>
      </c>
      <c r="U74" s="57">
        <f t="shared" si="43"/>
        <v>0</v>
      </c>
      <c r="V74" s="57">
        <f t="shared" si="43"/>
        <v>0</v>
      </c>
      <c r="W74" s="57">
        <f t="shared" si="43"/>
        <v>185.6</v>
      </c>
      <c r="X74" s="57">
        <f t="shared" si="43"/>
        <v>0</v>
      </c>
      <c r="Y74" s="57">
        <f t="shared" si="38"/>
        <v>0</v>
      </c>
      <c r="Z74" s="58">
        <f t="shared" si="44"/>
        <v>185.6</v>
      </c>
    </row>
    <row r="75" spans="1:26" ht="30" outlineLevel="1">
      <c r="A75" s="86" t="str">
        <f t="shared" si="39"/>
        <v>GERAL</v>
      </c>
      <c r="B75" s="86" t="str">
        <f t="shared" si="40"/>
        <v>2° PAV. - ESTAC. 01</v>
      </c>
      <c r="C75" s="117" t="s">
        <v>278</v>
      </c>
      <c r="D75" s="118" t="s">
        <v>97</v>
      </c>
      <c r="E75" s="118" t="s">
        <v>51</v>
      </c>
      <c r="F75" s="119" t="s">
        <v>56</v>
      </c>
      <c r="G75" s="91" t="s">
        <v>57</v>
      </c>
      <c r="H75" s="136">
        <v>4</v>
      </c>
      <c r="I75" s="28">
        <v>1</v>
      </c>
      <c r="J75" s="28">
        <v>0</v>
      </c>
      <c r="K75" s="28">
        <f t="shared" si="41"/>
        <v>4</v>
      </c>
      <c r="L75" s="28" t="s">
        <v>154</v>
      </c>
      <c r="M75" s="92" t="e">
        <f>_xlfn.XLOOKUP($E75,PREÇO!$C$6:$C$89,PREÇO!$E$6:$E$89)</f>
        <v>#N/A</v>
      </c>
      <c r="N75" s="87" t="e">
        <f>IF(SUM(H75:M75)=0,SUMIFS($N76:$N$759,$B76:$B$759,$B75,$A76:$A$759,$A75),K75*M75)</f>
        <v>#N/A</v>
      </c>
      <c r="P75" s="56" t="s">
        <v>15</v>
      </c>
      <c r="Q75" s="26" t="str">
        <v>Espuma elastomérica D:25,4 mm E:25 mm</v>
      </c>
      <c r="R75" s="57">
        <f t="shared" si="42"/>
        <v>0</v>
      </c>
      <c r="S75" s="57">
        <f t="shared" si="42"/>
        <v>0</v>
      </c>
      <c r="T75" s="57">
        <f t="shared" si="42"/>
        <v>0</v>
      </c>
      <c r="U75" s="57">
        <f t="shared" si="43"/>
        <v>0</v>
      </c>
      <c r="V75" s="57">
        <f t="shared" si="43"/>
        <v>0</v>
      </c>
      <c r="W75" s="57">
        <f t="shared" si="43"/>
        <v>169.2</v>
      </c>
      <c r="X75" s="57">
        <f t="shared" si="43"/>
        <v>0</v>
      </c>
      <c r="Y75" s="57">
        <f t="shared" si="38"/>
        <v>0</v>
      </c>
      <c r="Z75" s="58">
        <f t="shared" si="44"/>
        <v>169.2</v>
      </c>
    </row>
    <row r="76" spans="1:26" outlineLevel="1">
      <c r="A76" s="23" t="str">
        <f t="shared" si="39"/>
        <v>GERAL</v>
      </c>
      <c r="B76" s="23" t="str">
        <f t="shared" si="40"/>
        <v>2° PAV. - ESTAC. 01</v>
      </c>
      <c r="C76" s="23" t="s">
        <v>276</v>
      </c>
      <c r="D76" s="75" t="s">
        <v>97</v>
      </c>
      <c r="E76" s="23" t="s">
        <v>69</v>
      </c>
      <c r="F76" s="81" t="s">
        <v>55</v>
      </c>
      <c r="G76" s="81" t="s">
        <v>70</v>
      </c>
      <c r="H76" s="131">
        <v>1</v>
      </c>
      <c r="I76" s="24">
        <v>1</v>
      </c>
      <c r="J76" s="24">
        <v>0</v>
      </c>
      <c r="K76" s="24">
        <f t="shared" si="41"/>
        <v>1</v>
      </c>
      <c r="L76" s="24" t="s">
        <v>154</v>
      </c>
      <c r="M76" s="25" t="e">
        <f>_xlfn.XLOOKUP(#REF!,PREÇO!$C$6:$C$89,PREÇO!$E$6:$E$89)</f>
        <v>#REF!</v>
      </c>
      <c r="N76" s="59" t="e">
        <f>IF(SUM(H76:M76)=0,SUMIFS($N77:$N$759,$B77:$B$759,$B76,$A77:$A$759,$A76),K76*M76)</f>
        <v>#REF!</v>
      </c>
      <c r="P76" s="56" t="s">
        <v>15</v>
      </c>
      <c r="Q76" s="26" t="str">
        <v>Espuma elastomérica D:28,6 mm E:26 mm</v>
      </c>
      <c r="R76" s="57">
        <f t="shared" si="42"/>
        <v>0</v>
      </c>
      <c r="S76" s="57">
        <f t="shared" si="42"/>
        <v>0</v>
      </c>
      <c r="T76" s="57">
        <f t="shared" si="42"/>
        <v>0</v>
      </c>
      <c r="U76" s="57">
        <f t="shared" si="43"/>
        <v>0</v>
      </c>
      <c r="V76" s="57">
        <f t="shared" si="43"/>
        <v>0</v>
      </c>
      <c r="W76" s="57">
        <f t="shared" si="43"/>
        <v>214.4</v>
      </c>
      <c r="X76" s="57">
        <f t="shared" si="43"/>
        <v>0</v>
      </c>
      <c r="Y76" s="57">
        <f t="shared" si="38"/>
        <v>0</v>
      </c>
      <c r="Z76" s="58">
        <f t="shared" si="44"/>
        <v>214.4</v>
      </c>
    </row>
    <row r="77" spans="1:26" outlineLevel="1">
      <c r="A77" s="23" t="str">
        <f t="shared" si="39"/>
        <v>GERAL</v>
      </c>
      <c r="B77" s="23" t="str">
        <f t="shared" si="40"/>
        <v>2° PAV. - ESTAC. 01</v>
      </c>
      <c r="C77" s="23" t="s">
        <v>276</v>
      </c>
      <c r="D77" s="75" t="s">
        <v>97</v>
      </c>
      <c r="E77" s="23" t="s">
        <v>69</v>
      </c>
      <c r="F77" s="81" t="s">
        <v>55</v>
      </c>
      <c r="G77" s="81" t="s">
        <v>71</v>
      </c>
      <c r="H77" s="131">
        <v>1</v>
      </c>
      <c r="I77" s="24">
        <v>1</v>
      </c>
      <c r="J77" s="24">
        <v>0</v>
      </c>
      <c r="K77" s="24">
        <f t="shared" si="41"/>
        <v>1</v>
      </c>
      <c r="L77" s="24" t="s">
        <v>154</v>
      </c>
      <c r="M77" s="25" t="e">
        <f>_xlfn.XLOOKUP($E76,PREÇO!$C$6:$C$89,PREÇO!$E$6:$E$89)</f>
        <v>#N/A</v>
      </c>
      <c r="N77" s="59" t="e">
        <f>IF(SUM(H77:M77)=0,SUMIFS($N78:$N$759,$B78:$B$759,$B77,$A78:$A$759,$A77),K77*M77)</f>
        <v>#N/A</v>
      </c>
      <c r="P77" s="56" t="s">
        <v>15</v>
      </c>
      <c r="Q77" s="26" t="str">
        <v>Espuma elastomérica D:31,8 mm E:26 mm</v>
      </c>
      <c r="R77" s="57">
        <f t="shared" si="42"/>
        <v>0</v>
      </c>
      <c r="S77" s="57">
        <f t="shared" si="42"/>
        <v>0</v>
      </c>
      <c r="T77" s="57">
        <f t="shared" si="42"/>
        <v>0</v>
      </c>
      <c r="U77" s="57">
        <f t="shared" si="43"/>
        <v>0</v>
      </c>
      <c r="V77" s="57">
        <f t="shared" si="43"/>
        <v>0</v>
      </c>
      <c r="W77" s="57">
        <f t="shared" si="43"/>
        <v>194.8</v>
      </c>
      <c r="X77" s="57">
        <f t="shared" si="43"/>
        <v>0</v>
      </c>
      <c r="Y77" s="57">
        <f t="shared" si="38"/>
        <v>0</v>
      </c>
      <c r="Z77" s="58">
        <f t="shared" si="44"/>
        <v>194.8</v>
      </c>
    </row>
    <row r="78" spans="1:26" outlineLevel="1">
      <c r="A78" s="23" t="str">
        <f t="shared" si="39"/>
        <v>GERAL</v>
      </c>
      <c r="B78" s="23" t="str">
        <f t="shared" si="40"/>
        <v>2° PAV. - ESTAC. 01</v>
      </c>
      <c r="C78" s="23" t="s">
        <v>276</v>
      </c>
      <c r="D78" s="75" t="s">
        <v>97</v>
      </c>
      <c r="E78" s="75" t="s">
        <v>72</v>
      </c>
      <c r="F78" s="81" t="s">
        <v>55</v>
      </c>
      <c r="G78" s="81" t="s">
        <v>90</v>
      </c>
      <c r="H78" s="131">
        <v>1</v>
      </c>
      <c r="I78" s="24">
        <v>1</v>
      </c>
      <c r="J78" s="24">
        <v>0</v>
      </c>
      <c r="K78" s="24">
        <f t="shared" si="41"/>
        <v>1</v>
      </c>
      <c r="L78" s="24" t="s">
        <v>154</v>
      </c>
      <c r="M78" s="25" t="e">
        <f>_xlfn.XLOOKUP($E77,PREÇO!$C$6:$C$89,PREÇO!$E$6:$E$89)</f>
        <v>#N/A</v>
      </c>
      <c r="N78" s="59" t="e">
        <f>IF(SUM(H78:M78)=0,SUMIFS($N79:$N$759,$B79:$B$759,$B78,$A79:$A$759,$A78),K78*M78)</f>
        <v>#N/A</v>
      </c>
      <c r="P78" s="56" t="s">
        <v>15</v>
      </c>
      <c r="Q78" s="26" t="str">
        <v>Espuma elastomérica D:38,1 mm E:27 mm</v>
      </c>
      <c r="R78" s="57">
        <f t="shared" si="42"/>
        <v>0</v>
      </c>
      <c r="S78" s="57">
        <f t="shared" si="42"/>
        <v>0</v>
      </c>
      <c r="T78" s="57">
        <f t="shared" si="42"/>
        <v>0</v>
      </c>
      <c r="U78" s="57">
        <f t="shared" si="43"/>
        <v>0</v>
      </c>
      <c r="V78" s="57">
        <f t="shared" si="43"/>
        <v>0</v>
      </c>
      <c r="W78" s="57">
        <f t="shared" si="43"/>
        <v>42</v>
      </c>
      <c r="X78" s="57">
        <f t="shared" si="43"/>
        <v>0</v>
      </c>
      <c r="Y78" s="57">
        <f t="shared" si="38"/>
        <v>0</v>
      </c>
      <c r="Z78" s="58">
        <f t="shared" si="44"/>
        <v>42</v>
      </c>
    </row>
    <row r="79" spans="1:26" outlineLevel="1">
      <c r="A79" s="23" t="str">
        <f t="shared" si="39"/>
        <v>GERAL</v>
      </c>
      <c r="B79" s="23" t="str">
        <f t="shared" si="40"/>
        <v>2° PAV. - ESTAC. 01</v>
      </c>
      <c r="C79" s="23" t="s">
        <v>276</v>
      </c>
      <c r="D79" s="75" t="s">
        <v>97</v>
      </c>
      <c r="E79" s="75" t="s">
        <v>73</v>
      </c>
      <c r="F79" s="81" t="s">
        <v>55</v>
      </c>
      <c r="G79" s="81" t="s">
        <v>91</v>
      </c>
      <c r="H79" s="131">
        <v>1</v>
      </c>
      <c r="I79" s="24">
        <v>1</v>
      </c>
      <c r="J79" s="24">
        <v>0</v>
      </c>
      <c r="K79" s="24">
        <f t="shared" si="41"/>
        <v>1</v>
      </c>
      <c r="L79" s="24" t="s">
        <v>154</v>
      </c>
      <c r="M79" s="25" t="e">
        <f>_xlfn.XLOOKUP($E78,PREÇO!$C$6:$C$89,PREÇO!$E$6:$E$89)</f>
        <v>#N/A</v>
      </c>
      <c r="N79" s="59" t="e">
        <f>IF(SUM(H79:M79)=0,SUMIFS($N80:$N$759,$B80:$B$759,$B79,$A80:$A$759,$A79),K79*M79)</f>
        <v>#N/A</v>
      </c>
      <c r="P79" s="56" t="s">
        <v>15</v>
      </c>
      <c r="Q79" s="26" t="str">
        <v>Coifa lavadora metálica em aço INOX, construção sob medida 200x115 cm, com módulo para reposição de ar, ponto de drenagem, reservatório de detergente, iluminação, sistema preventivo contra incêndios. Instalação à no máximo 1,2 metros do bloco de cocção.</v>
      </c>
      <c r="R79" s="57">
        <f t="shared" si="42"/>
        <v>0</v>
      </c>
      <c r="S79" s="57">
        <f t="shared" si="42"/>
        <v>0</v>
      </c>
      <c r="T79" s="57">
        <f t="shared" si="42"/>
        <v>0</v>
      </c>
      <c r="U79" s="57">
        <f t="shared" si="43"/>
        <v>0</v>
      </c>
      <c r="V79" s="57">
        <f t="shared" si="43"/>
        <v>24</v>
      </c>
      <c r="W79" s="57">
        <f t="shared" si="43"/>
        <v>0</v>
      </c>
      <c r="X79" s="57">
        <f t="shared" si="43"/>
        <v>0</v>
      </c>
      <c r="Y79" s="57">
        <f t="shared" si="38"/>
        <v>0</v>
      </c>
      <c r="Z79" s="58">
        <f t="shared" si="44"/>
        <v>24</v>
      </c>
    </row>
    <row r="80" spans="1:26" outlineLevel="1">
      <c r="A80" s="23" t="str">
        <f t="shared" si="39"/>
        <v>GERAL</v>
      </c>
      <c r="B80" s="23" t="str">
        <f t="shared" si="40"/>
        <v>2° PAV. - ESTAC. 01</v>
      </c>
      <c r="C80" s="23" t="s">
        <v>276</v>
      </c>
      <c r="D80" s="75" t="s">
        <v>97</v>
      </c>
      <c r="E80" s="75" t="s">
        <v>76</v>
      </c>
      <c r="F80" s="81" t="s">
        <v>55</v>
      </c>
      <c r="G80" s="77" t="s">
        <v>77</v>
      </c>
      <c r="H80" s="131">
        <v>1</v>
      </c>
      <c r="I80" s="24">
        <v>1</v>
      </c>
      <c r="J80" s="24">
        <v>0</v>
      </c>
      <c r="K80" s="24">
        <f t="shared" si="41"/>
        <v>1</v>
      </c>
      <c r="L80" s="24" t="s">
        <v>154</v>
      </c>
      <c r="M80" s="25" t="e">
        <f>_xlfn.XLOOKUP(#REF!,PREÇO!$C$6:$C$89,PREÇO!$E$6:$E$89)</f>
        <v>#REF!</v>
      </c>
      <c r="N80" s="59" t="e">
        <f>IF(SUM(H80:M80)=0,SUMIFS($N81:$N$759,$B81:$B$759,$B80,$A81:$A$759,$A80),K80*M80)</f>
        <v>#REF!</v>
      </c>
      <c r="P80" s="56" t="s">
        <v>15</v>
      </c>
      <c r="Q80" s="26" t="str">
        <v>Unidade evaporadora tipo cassete Round Flow, capacidade 9.600 Btu/h, linha VRV, ciclo Q/F.</v>
      </c>
      <c r="R80" s="57">
        <f t="shared" si="42"/>
        <v>0</v>
      </c>
      <c r="S80" s="57">
        <f t="shared" si="42"/>
        <v>0</v>
      </c>
      <c r="T80" s="57">
        <f t="shared" si="42"/>
        <v>0</v>
      </c>
      <c r="U80" s="57">
        <f t="shared" si="43"/>
        <v>0</v>
      </c>
      <c r="V80" s="57">
        <f t="shared" si="43"/>
        <v>0</v>
      </c>
      <c r="W80" s="57">
        <f t="shared" si="43"/>
        <v>9</v>
      </c>
      <c r="X80" s="57">
        <f t="shared" si="43"/>
        <v>0</v>
      </c>
      <c r="Y80" s="57">
        <f t="shared" si="38"/>
        <v>0</v>
      </c>
      <c r="Z80" s="58">
        <f t="shared" si="44"/>
        <v>9</v>
      </c>
    </row>
    <row r="81" spans="1:26" outlineLevel="1">
      <c r="A81" s="23" t="str">
        <f t="shared" si="39"/>
        <v>GERAL</v>
      </c>
      <c r="B81" s="23" t="str">
        <f t="shared" si="40"/>
        <v>2° PAV. - ESTAC. 01</v>
      </c>
      <c r="C81" s="23" t="s">
        <v>276</v>
      </c>
      <c r="D81" s="75" t="s">
        <v>97</v>
      </c>
      <c r="E81" s="75" t="s">
        <v>78</v>
      </c>
      <c r="F81" s="81" t="s">
        <v>55</v>
      </c>
      <c r="G81" s="81" t="s">
        <v>79</v>
      </c>
      <c r="H81" s="131">
        <v>3</v>
      </c>
      <c r="I81" s="24">
        <v>1</v>
      </c>
      <c r="J81" s="24">
        <v>0</v>
      </c>
      <c r="K81" s="24">
        <f t="shared" si="41"/>
        <v>3</v>
      </c>
      <c r="L81" s="24" t="s">
        <v>154</v>
      </c>
      <c r="M81" s="25" t="e">
        <f>_xlfn.XLOOKUP($E79,PREÇO!$C$6:$C$89,PREÇO!$E$6:$E$89)</f>
        <v>#N/A</v>
      </c>
      <c r="N81" s="59" t="e">
        <f>IF(SUM(H81:M81)=0,SUMIFS($N82:$N$759,$B82:$B$759,$B81,$A82:$A$759,$A81),K81*M81)</f>
        <v>#N/A</v>
      </c>
      <c r="P81" s="56" t="s">
        <v>15</v>
      </c>
      <c r="Q81" s="26" t="str">
        <v>Ventilador helicocentrífugo com caixa de bornes externa, motor regulável, duas velocidades</v>
      </c>
      <c r="R81" s="57">
        <f t="shared" si="42"/>
        <v>0</v>
      </c>
      <c r="S81" s="57">
        <f t="shared" si="42"/>
        <v>1</v>
      </c>
      <c r="T81" s="57">
        <f t="shared" si="42"/>
        <v>0</v>
      </c>
      <c r="U81" s="57">
        <f t="shared" si="43"/>
        <v>0</v>
      </c>
      <c r="V81" s="57">
        <f t="shared" si="43"/>
        <v>0</v>
      </c>
      <c r="W81" s="57">
        <f t="shared" si="43"/>
        <v>0</v>
      </c>
      <c r="X81" s="57">
        <f t="shared" si="43"/>
        <v>0</v>
      </c>
      <c r="Y81" s="57">
        <f t="shared" si="38"/>
        <v>0</v>
      </c>
      <c r="Z81" s="58">
        <f t="shared" si="44"/>
        <v>1</v>
      </c>
    </row>
    <row r="82" spans="1:26" outlineLevel="1">
      <c r="A82" s="23" t="str">
        <f t="shared" si="39"/>
        <v>GERAL</v>
      </c>
      <c r="B82" s="23" t="str">
        <f t="shared" si="40"/>
        <v>2° PAV. - ESTAC. 01</v>
      </c>
      <c r="C82" s="23" t="s">
        <v>276</v>
      </c>
      <c r="D82" s="75" t="s">
        <v>97</v>
      </c>
      <c r="E82" s="75" t="s">
        <v>80</v>
      </c>
      <c r="F82" s="81" t="s">
        <v>55</v>
      </c>
      <c r="G82" s="81" t="s">
        <v>81</v>
      </c>
      <c r="H82" s="131">
        <v>6</v>
      </c>
      <c r="I82" s="24">
        <v>1</v>
      </c>
      <c r="J82" s="24">
        <v>0</v>
      </c>
      <c r="K82" s="24">
        <f t="shared" si="41"/>
        <v>6</v>
      </c>
      <c r="L82" s="24" t="s">
        <v>154</v>
      </c>
      <c r="M82" s="25" t="e">
        <f>_xlfn.XLOOKUP(#REF!,PREÇO!$C$6:$C$89,PREÇO!$E$6:$E$89)</f>
        <v>#REF!</v>
      </c>
      <c r="N82" s="59" t="e">
        <f>IF(SUM(H82:M82)=0,SUMIFS($N83:$N$759,$B83:$B$759,$B82,$A83:$A$759,$A82),K82*M82)</f>
        <v>#REF!</v>
      </c>
      <c r="P82" s="56" t="s">
        <v>15</v>
      </c>
      <c r="Q82" s="26" t="str">
        <v>unidade evaporadora tipo Hi-wall, capacidade 12.300 Btu/h, linha VRV, ciclo Q/F</v>
      </c>
      <c r="R82" s="57">
        <f t="shared" si="42"/>
        <v>0</v>
      </c>
      <c r="S82" s="57">
        <f t="shared" si="42"/>
        <v>0</v>
      </c>
      <c r="T82" s="57">
        <f t="shared" si="42"/>
        <v>0</v>
      </c>
      <c r="U82" s="57">
        <f t="shared" si="43"/>
        <v>0</v>
      </c>
      <c r="V82" s="57">
        <f t="shared" si="43"/>
        <v>0</v>
      </c>
      <c r="W82" s="57">
        <f t="shared" si="43"/>
        <v>0</v>
      </c>
      <c r="X82" s="57">
        <f t="shared" si="43"/>
        <v>0</v>
      </c>
      <c r="Y82" s="57">
        <f t="shared" si="38"/>
        <v>2</v>
      </c>
      <c r="Z82" s="58">
        <f t="shared" si="44"/>
        <v>2</v>
      </c>
    </row>
    <row r="83" spans="1:26" outlineLevel="1">
      <c r="A83" s="23" t="str">
        <f t="shared" si="39"/>
        <v>GERAL</v>
      </c>
      <c r="B83" s="23" t="str">
        <f t="shared" si="40"/>
        <v>2° PAV. - ESTAC. 01</v>
      </c>
      <c r="C83" s="65" t="s">
        <v>277</v>
      </c>
      <c r="D83" s="75" t="s">
        <v>97</v>
      </c>
      <c r="E83" s="75" t="s">
        <v>83</v>
      </c>
      <c r="F83" s="77" t="s">
        <v>89</v>
      </c>
      <c r="G83" s="81" t="s">
        <v>82</v>
      </c>
      <c r="H83" s="131">
        <v>1</v>
      </c>
      <c r="I83" s="24">
        <v>1</v>
      </c>
      <c r="J83" s="24">
        <v>0</v>
      </c>
      <c r="K83" s="24">
        <f t="shared" si="41"/>
        <v>1</v>
      </c>
      <c r="L83" s="24" t="s">
        <v>154</v>
      </c>
      <c r="M83" s="25" t="e">
        <f>_xlfn.XLOOKUP($E80,PREÇO!$C$6:$C$89,PREÇO!$E$6:$E$89)</f>
        <v>#N/A</v>
      </c>
      <c r="N83" s="59" t="e">
        <f>IF(SUM(H83:M83)=0,SUMIFS($N84:$N$759,$B84:$B$759,$B83,$A84:$A$759,$A83),K83*M83)</f>
        <v>#N/A</v>
      </c>
      <c r="P83" s="56" t="s">
        <v>15</v>
      </c>
      <c r="Q83" s="26" t="str">
        <v>Caixa de filtro classe G4+M5</v>
      </c>
      <c r="R83" s="57">
        <f t="shared" si="42"/>
        <v>0</v>
      </c>
      <c r="S83" s="57">
        <f t="shared" si="42"/>
        <v>0</v>
      </c>
      <c r="T83" s="57">
        <f t="shared" si="42"/>
        <v>0</v>
      </c>
      <c r="U83" s="57">
        <f t="shared" si="43"/>
        <v>0</v>
      </c>
      <c r="V83" s="57">
        <f t="shared" si="43"/>
        <v>0</v>
      </c>
      <c r="W83" s="57">
        <f t="shared" si="43"/>
        <v>0</v>
      </c>
      <c r="X83" s="57">
        <f t="shared" si="43"/>
        <v>0</v>
      </c>
      <c r="Y83" s="57">
        <f t="shared" si="38"/>
        <v>1</v>
      </c>
      <c r="Z83" s="58">
        <f t="shared" si="44"/>
        <v>1</v>
      </c>
    </row>
    <row r="84" spans="1:26" outlineLevel="1">
      <c r="A84" s="23" t="str">
        <f t="shared" si="39"/>
        <v>GERAL</v>
      </c>
      <c r="B84" s="23" t="str">
        <f t="shared" si="40"/>
        <v>2° PAV. - ESTAC. 01</v>
      </c>
      <c r="C84" s="65" t="s">
        <v>277</v>
      </c>
      <c r="D84" s="75" t="s">
        <v>97</v>
      </c>
      <c r="E84" s="23" t="s">
        <v>63</v>
      </c>
      <c r="F84" s="81" t="s">
        <v>64</v>
      </c>
      <c r="G84" s="81" t="s">
        <v>67</v>
      </c>
      <c r="H84" s="131">
        <v>4</v>
      </c>
      <c r="I84" s="24">
        <v>1</v>
      </c>
      <c r="J84" s="24">
        <v>0</v>
      </c>
      <c r="K84" s="24">
        <f t="shared" si="41"/>
        <v>4</v>
      </c>
      <c r="L84" s="24" t="s">
        <v>154</v>
      </c>
      <c r="M84" s="25" t="e">
        <f>_xlfn.XLOOKUP($E84,PREÇO!$C$6:$C$89,PREÇO!$E$6:$E$89)</f>
        <v>#N/A</v>
      </c>
      <c r="N84" s="59" t="e">
        <f>IF(SUM(H84:M84)=0,SUMIFS($N85:$N$759,$B85:$B$759,$B84,$A85:$A$759,$A84),K84*M84)</f>
        <v>#N/A</v>
      </c>
      <c r="P84" s="56" t="s">
        <v>15</v>
      </c>
      <c r="Q84" s="26" t="str">
        <v>Unidade condensadora de 22HP, linha VRV, Quente e Frio, descarga vertical com defletor para descarga horizontal. 409kg</v>
      </c>
      <c r="R84" s="57">
        <f t="shared" si="42"/>
        <v>0</v>
      </c>
      <c r="S84" s="57">
        <f t="shared" si="42"/>
        <v>0</v>
      </c>
      <c r="T84" s="57">
        <f t="shared" si="42"/>
        <v>0</v>
      </c>
      <c r="U84" s="57">
        <f t="shared" si="43"/>
        <v>0</v>
      </c>
      <c r="V84" s="57">
        <f t="shared" si="43"/>
        <v>0</v>
      </c>
      <c r="W84" s="57">
        <f t="shared" si="43"/>
        <v>0</v>
      </c>
      <c r="X84" s="57">
        <f t="shared" si="43"/>
        <v>0</v>
      </c>
      <c r="Y84" s="57">
        <f t="shared" si="38"/>
        <v>216</v>
      </c>
      <c r="Z84" s="58">
        <f t="shared" si="44"/>
        <v>216</v>
      </c>
    </row>
    <row r="85" spans="1:26" outlineLevel="1">
      <c r="A85" s="23" t="str">
        <f t="shared" si="39"/>
        <v>GERAL</v>
      </c>
      <c r="B85" s="23" t="str">
        <f t="shared" si="40"/>
        <v>2° PAV. - ESTAC. 01</v>
      </c>
      <c r="C85" s="65" t="s">
        <v>277</v>
      </c>
      <c r="D85" s="75" t="s">
        <v>97</v>
      </c>
      <c r="E85" s="20" t="s">
        <v>84</v>
      </c>
      <c r="F85" s="81" t="s">
        <v>64</v>
      </c>
      <c r="G85" s="81" t="s">
        <v>65</v>
      </c>
      <c r="H85" s="131">
        <v>4</v>
      </c>
      <c r="I85" s="24">
        <v>1</v>
      </c>
      <c r="J85" s="24">
        <v>0</v>
      </c>
      <c r="K85" s="24">
        <f t="shared" si="41"/>
        <v>4</v>
      </c>
      <c r="L85" s="24" t="s">
        <v>154</v>
      </c>
      <c r="M85" s="25" t="e">
        <f>_xlfn.XLOOKUP($E81,PREÇO!$C$6:$C$89,PREÇO!$E$6:$E$89)</f>
        <v>#N/A</v>
      </c>
      <c r="N85" s="59" t="e">
        <f>IF(SUM(H85:M85)=0,SUMIFS($N86:$N$759,$B86:$B$759,$B85,$A86:$A$759,$A85),K85*M85)</f>
        <v>#N/A</v>
      </c>
      <c r="P85" s="56" t="s">
        <v>15</v>
      </c>
      <c r="Q85" s="26" t="str">
        <v>Unidade evaporadora tipo cassete 1 via, capacidade 15.400 Btu/h, linha VRV, ciclo Q/F.</v>
      </c>
      <c r="R85" s="57">
        <f t="shared" si="42"/>
        <v>0</v>
      </c>
      <c r="S85" s="57">
        <f t="shared" si="42"/>
        <v>0</v>
      </c>
      <c r="T85" s="57">
        <f t="shared" si="42"/>
        <v>0</v>
      </c>
      <c r="U85" s="57">
        <f t="shared" si="43"/>
        <v>0</v>
      </c>
      <c r="V85" s="57">
        <f t="shared" si="43"/>
        <v>0</v>
      </c>
      <c r="W85" s="57">
        <f t="shared" si="43"/>
        <v>0</v>
      </c>
      <c r="X85" s="57">
        <f t="shared" si="43"/>
        <v>0</v>
      </c>
      <c r="Y85" s="57">
        <f t="shared" si="38"/>
        <v>1904</v>
      </c>
      <c r="Z85" s="58">
        <f t="shared" si="44"/>
        <v>1904</v>
      </c>
    </row>
    <row r="86" spans="1:26" outlineLevel="1">
      <c r="A86" s="23" t="str">
        <f t="shared" si="39"/>
        <v>GERAL</v>
      </c>
      <c r="B86" s="23" t="str">
        <f t="shared" si="40"/>
        <v>2° PAV. - ESTAC. 01</v>
      </c>
      <c r="C86" s="65" t="s">
        <v>277</v>
      </c>
      <c r="D86" s="75" t="s">
        <v>97</v>
      </c>
      <c r="E86" s="23" t="s">
        <v>85</v>
      </c>
      <c r="F86" s="81" t="s">
        <v>86</v>
      </c>
      <c r="G86" s="76" t="s">
        <v>87</v>
      </c>
      <c r="H86" s="131">
        <v>5</v>
      </c>
      <c r="I86" s="24">
        <v>1</v>
      </c>
      <c r="J86" s="24">
        <v>0</v>
      </c>
      <c r="K86" s="24">
        <f t="shared" si="41"/>
        <v>5</v>
      </c>
      <c r="L86" s="24" t="s">
        <v>154</v>
      </c>
      <c r="M86" s="25" t="e">
        <f>_xlfn.XLOOKUP($E86,PREÇO!$C$6:$C$89,PREÇO!$E$6:$E$89)</f>
        <v>#N/A</v>
      </c>
      <c r="N86" s="59" t="e">
        <f>IF(SUM(H86:M86)=0,SUMIFS($N87:$N$759,$B87:$B$759,$B86,$A87:$A$759,$A86),K86*M86)</f>
        <v>#N/A</v>
      </c>
      <c r="P86" s="56" t="s">
        <v>15</v>
      </c>
      <c r="Q86" s="26" t="str">
        <v>Unidade evaporadora tipo cassete 1 via, capacidade 24.200 Btu/h, linha VRV, ciclo Q/F.</v>
      </c>
      <c r="R86" s="57">
        <f t="shared" si="42"/>
        <v>0</v>
      </c>
      <c r="S86" s="57">
        <f t="shared" si="42"/>
        <v>0</v>
      </c>
      <c r="T86" s="57">
        <f t="shared" si="42"/>
        <v>0</v>
      </c>
      <c r="U86" s="57">
        <f t="shared" si="43"/>
        <v>0</v>
      </c>
      <c r="V86" s="57">
        <f t="shared" si="43"/>
        <v>0</v>
      </c>
      <c r="W86" s="57">
        <f t="shared" si="43"/>
        <v>0</v>
      </c>
      <c r="X86" s="57">
        <f t="shared" si="43"/>
        <v>0</v>
      </c>
      <c r="Y86" s="57">
        <f t="shared" si="38"/>
        <v>1652</v>
      </c>
      <c r="Z86" s="58">
        <f t="shared" si="44"/>
        <v>1652</v>
      </c>
    </row>
    <row r="87" spans="1:26" outlineLevel="1">
      <c r="A87" s="93" t="str">
        <f t="shared" si="39"/>
        <v>GERAL</v>
      </c>
      <c r="B87" s="93" t="str">
        <f t="shared" si="40"/>
        <v>2° PAV. - ESTAC. 01</v>
      </c>
      <c r="C87" s="120" t="s">
        <v>277</v>
      </c>
      <c r="D87" s="121" t="s">
        <v>97</v>
      </c>
      <c r="E87" s="122" t="s">
        <v>85</v>
      </c>
      <c r="F87" s="123" t="s">
        <v>86</v>
      </c>
      <c r="G87" s="124" t="s">
        <v>88</v>
      </c>
      <c r="H87" s="135">
        <v>4</v>
      </c>
      <c r="I87" s="98">
        <v>1</v>
      </c>
      <c r="J87" s="98">
        <v>0</v>
      </c>
      <c r="K87" s="98">
        <f t="shared" si="41"/>
        <v>4</v>
      </c>
      <c r="L87" s="98" t="s">
        <v>154</v>
      </c>
      <c r="M87" s="99" t="e">
        <f>_xlfn.XLOOKUP($E82,PREÇO!$C$6:$C$89,PREÇO!$E$6:$E$89)</f>
        <v>#N/A</v>
      </c>
      <c r="N87" s="100" t="e">
        <f>IF(SUM(H87:M87)=0,SUMIFS($N98:$N$759,$B98:$B$759,$B87,$A98:$A$759,$A87),K87*M87)</f>
        <v>#N/A</v>
      </c>
      <c r="P87" s="56" t="s">
        <v>15</v>
      </c>
      <c r="Q87" s="26" t="str">
        <v>Unidade de tratamento de ar externo. Capacidade 30.700 Btu/h. Vazão 348 m³/h.</v>
      </c>
      <c r="R87" s="57">
        <f t="shared" si="42"/>
        <v>0</v>
      </c>
      <c r="S87" s="57">
        <f t="shared" si="42"/>
        <v>0</v>
      </c>
      <c r="T87" s="57">
        <f t="shared" si="42"/>
        <v>0</v>
      </c>
      <c r="U87" s="57">
        <f t="shared" si="43"/>
        <v>0</v>
      </c>
      <c r="V87" s="57">
        <f t="shared" si="43"/>
        <v>0</v>
      </c>
      <c r="W87" s="57">
        <f t="shared" si="43"/>
        <v>0</v>
      </c>
      <c r="X87" s="57">
        <f t="shared" si="43"/>
        <v>0</v>
      </c>
      <c r="Y87" s="57">
        <f t="shared" si="38"/>
        <v>334</v>
      </c>
      <c r="Z87" s="58">
        <f t="shared" si="44"/>
        <v>334</v>
      </c>
    </row>
    <row r="88" spans="1:26" outlineLevel="1">
      <c r="A88" s="86" t="str">
        <f>A87</f>
        <v>GERAL</v>
      </c>
      <c r="B88" s="86" t="str">
        <f>B87</f>
        <v>2° PAV. - ESTAC. 01</v>
      </c>
      <c r="C88" s="23" t="s">
        <v>276</v>
      </c>
      <c r="D88" s="118" t="s">
        <v>163</v>
      </c>
      <c r="E88" s="118" t="s">
        <v>110</v>
      </c>
      <c r="F88" s="119" t="s">
        <v>55</v>
      </c>
      <c r="G88" s="91" t="s">
        <v>125</v>
      </c>
      <c r="H88" s="136">
        <v>1</v>
      </c>
      <c r="I88" s="28">
        <v>1</v>
      </c>
      <c r="J88" s="28">
        <v>0</v>
      </c>
      <c r="K88" s="28">
        <f t="shared" si="41"/>
        <v>1</v>
      </c>
      <c r="L88" s="28" t="s">
        <v>154</v>
      </c>
      <c r="M88" s="92"/>
      <c r="N88" s="87"/>
      <c r="P88" s="56" t="s">
        <v>15</v>
      </c>
      <c r="Q88" s="26" t="str">
        <v>Unidade condensadora de 26HP, linha VRV, Quente e Frio, descarga vertical com defletor para descarga horizontal. 385kg</v>
      </c>
      <c r="R88" s="57">
        <f t="shared" si="42"/>
        <v>0</v>
      </c>
      <c r="S88" s="57">
        <f t="shared" si="42"/>
        <v>0</v>
      </c>
      <c r="T88" s="57">
        <f t="shared" si="42"/>
        <v>0</v>
      </c>
      <c r="U88" s="57">
        <f t="shared" si="43"/>
        <v>0</v>
      </c>
      <c r="V88" s="57">
        <f t="shared" si="43"/>
        <v>0</v>
      </c>
      <c r="W88" s="57">
        <f t="shared" si="43"/>
        <v>0</v>
      </c>
      <c r="X88" s="57">
        <f t="shared" si="43"/>
        <v>0</v>
      </c>
      <c r="Y88" s="57">
        <f t="shared" si="38"/>
        <v>118</v>
      </c>
      <c r="Z88" s="58">
        <f t="shared" si="44"/>
        <v>118</v>
      </c>
    </row>
    <row r="89" spans="1:26" outlineLevel="1">
      <c r="A89" s="23" t="str">
        <f>A88</f>
        <v>GERAL</v>
      </c>
      <c r="B89" s="23" t="str">
        <f>B88</f>
        <v>2° PAV. - ESTAC. 01</v>
      </c>
      <c r="C89" s="23" t="s">
        <v>276</v>
      </c>
      <c r="D89" s="75" t="s">
        <v>163</v>
      </c>
      <c r="E89" s="23" t="s">
        <v>157</v>
      </c>
      <c r="F89" s="81"/>
      <c r="G89" s="81"/>
      <c r="H89" s="131">
        <v>1</v>
      </c>
      <c r="I89" s="24">
        <v>1</v>
      </c>
      <c r="J89" s="24">
        <v>0</v>
      </c>
      <c r="K89" s="24">
        <f t="shared" si="41"/>
        <v>1</v>
      </c>
      <c r="L89" s="24" t="s">
        <v>154</v>
      </c>
      <c r="M89" s="25"/>
      <c r="N89" s="59"/>
      <c r="P89" s="56" t="s">
        <v>15</v>
      </c>
      <c r="Q89" s="26" t="str">
        <v>Unidade evaporadora tipo cassete 1 via, capacidade 12.300Btu/h, linha VRV, ciclo Q/F.</v>
      </c>
      <c r="R89" s="57">
        <f t="shared" si="42"/>
        <v>0</v>
      </c>
      <c r="S89" s="57">
        <f t="shared" si="42"/>
        <v>0</v>
      </c>
      <c r="T89" s="57">
        <f t="shared" si="42"/>
        <v>0</v>
      </c>
      <c r="U89" s="57">
        <f t="shared" si="43"/>
        <v>0</v>
      </c>
      <c r="V89" s="57">
        <f t="shared" si="43"/>
        <v>0</v>
      </c>
      <c r="W89" s="57">
        <f t="shared" si="43"/>
        <v>0</v>
      </c>
      <c r="X89" s="57">
        <f t="shared" si="43"/>
        <v>0</v>
      </c>
      <c r="Y89" s="57">
        <f t="shared" si="38"/>
        <v>90</v>
      </c>
      <c r="Z89" s="58">
        <f t="shared" si="44"/>
        <v>90</v>
      </c>
    </row>
    <row r="90" spans="1:26" outlineLevel="1">
      <c r="A90" s="23" t="str">
        <f t="shared" ref="A90:A97" si="45">A89</f>
        <v>GERAL</v>
      </c>
      <c r="B90" s="23" t="str">
        <f t="shared" ref="B90:B97" si="46">B89</f>
        <v>2° PAV. - ESTAC. 01</v>
      </c>
      <c r="C90" s="23" t="s">
        <v>276</v>
      </c>
      <c r="D90" s="75" t="s">
        <v>163</v>
      </c>
      <c r="E90" s="23" t="s">
        <v>78</v>
      </c>
      <c r="F90" s="81" t="s">
        <v>55</v>
      </c>
      <c r="G90" s="81" t="s">
        <v>79</v>
      </c>
      <c r="H90" s="131">
        <v>9</v>
      </c>
      <c r="I90" s="24">
        <v>1</v>
      </c>
      <c r="J90" s="24">
        <v>0</v>
      </c>
      <c r="K90" s="24">
        <f t="shared" si="41"/>
        <v>9</v>
      </c>
      <c r="L90" s="24" t="s">
        <v>154</v>
      </c>
      <c r="M90" s="25"/>
      <c r="N90" s="59"/>
      <c r="P90" s="56" t="s">
        <v>15</v>
      </c>
      <c r="Q90" s="26" t="str">
        <v>Unidade evaporadora tipo cassete 1 via, capacidade 19.100 Btu/h, linha VRV, ciclo Q/F.</v>
      </c>
      <c r="R90" s="57">
        <f t="shared" si="42"/>
        <v>0</v>
      </c>
      <c r="S90" s="57">
        <f t="shared" si="42"/>
        <v>0</v>
      </c>
      <c r="T90" s="57">
        <f t="shared" si="42"/>
        <v>0</v>
      </c>
      <c r="U90" s="57">
        <f t="shared" si="43"/>
        <v>0</v>
      </c>
      <c r="V90" s="57">
        <f t="shared" si="43"/>
        <v>0</v>
      </c>
      <c r="W90" s="57">
        <f t="shared" si="43"/>
        <v>0</v>
      </c>
      <c r="X90" s="57">
        <f t="shared" si="43"/>
        <v>0</v>
      </c>
      <c r="Y90" s="57">
        <f t="shared" si="38"/>
        <v>616</v>
      </c>
      <c r="Z90" s="58">
        <f t="shared" si="44"/>
        <v>616</v>
      </c>
    </row>
    <row r="91" spans="1:26" outlineLevel="1">
      <c r="A91" s="23" t="str">
        <f t="shared" si="45"/>
        <v>GERAL</v>
      </c>
      <c r="B91" s="23" t="str">
        <f t="shared" si="46"/>
        <v>2° PAV. - ESTAC. 01</v>
      </c>
      <c r="C91" s="23" t="s">
        <v>276</v>
      </c>
      <c r="D91" s="75" t="s">
        <v>163</v>
      </c>
      <c r="E91" s="23" t="s">
        <v>80</v>
      </c>
      <c r="F91" s="81" t="s">
        <v>55</v>
      </c>
      <c r="G91" s="81" t="s">
        <v>81</v>
      </c>
      <c r="H91" s="131">
        <v>3</v>
      </c>
      <c r="I91" s="24">
        <v>1</v>
      </c>
      <c r="J91" s="24">
        <v>0</v>
      </c>
      <c r="K91" s="24">
        <f t="shared" si="41"/>
        <v>3</v>
      </c>
      <c r="L91" s="24" t="s">
        <v>154</v>
      </c>
      <c r="M91" s="25"/>
      <c r="N91" s="59"/>
      <c r="P91" s="56" t="s">
        <v>15</v>
      </c>
      <c r="Q91" s="26" t="str">
        <v>Desumidificador com controle de temperatura, purificador e renovação de ar</v>
      </c>
      <c r="R91" s="57">
        <f t="shared" si="42"/>
        <v>0</v>
      </c>
      <c r="S91" s="57">
        <f t="shared" si="42"/>
        <v>0</v>
      </c>
      <c r="T91" s="57">
        <f t="shared" si="42"/>
        <v>3</v>
      </c>
      <c r="U91" s="57">
        <f t="shared" si="43"/>
        <v>0</v>
      </c>
      <c r="V91" s="57">
        <f t="shared" si="43"/>
        <v>0</v>
      </c>
      <c r="W91" s="57">
        <f t="shared" si="43"/>
        <v>3</v>
      </c>
      <c r="X91" s="57">
        <f t="shared" si="43"/>
        <v>0</v>
      </c>
      <c r="Y91" s="57">
        <f t="shared" si="38"/>
        <v>0</v>
      </c>
      <c r="Z91" s="58">
        <f t="shared" si="44"/>
        <v>6</v>
      </c>
    </row>
    <row r="92" spans="1:26" outlineLevel="1">
      <c r="A92" s="23" t="str">
        <f t="shared" si="45"/>
        <v>GERAL</v>
      </c>
      <c r="B92" s="23" t="str">
        <f t="shared" si="46"/>
        <v>2° PAV. - ESTAC. 01</v>
      </c>
      <c r="C92" s="23" t="s">
        <v>276</v>
      </c>
      <c r="D92" s="75" t="s">
        <v>163</v>
      </c>
      <c r="E92" s="23" t="s">
        <v>116</v>
      </c>
      <c r="F92" s="81" t="s">
        <v>55</v>
      </c>
      <c r="G92" s="81" t="s">
        <v>131</v>
      </c>
      <c r="H92" s="131">
        <v>1</v>
      </c>
      <c r="I92" s="24">
        <v>1</v>
      </c>
      <c r="J92" s="24">
        <v>0</v>
      </c>
      <c r="K92" s="24">
        <f t="shared" si="41"/>
        <v>1</v>
      </c>
      <c r="L92" s="24" t="s">
        <v>154</v>
      </c>
      <c r="M92" s="25"/>
      <c r="N92" s="59"/>
      <c r="P92" s="56" t="s">
        <v>15</v>
      </c>
      <c r="Q92" s="26" t="str">
        <v>Ventilador helicocentrífugo, baixo nível de ruído, com elementos acústicos, junta de borracha na sucção e descarga. Alimentação elétrica 0,065kW/220V/1F/60Hz.</v>
      </c>
      <c r="R92" s="57">
        <f t="shared" si="42"/>
        <v>2</v>
      </c>
      <c r="S92" s="57">
        <f t="shared" si="42"/>
        <v>0</v>
      </c>
      <c r="T92" s="57">
        <f t="shared" si="42"/>
        <v>0</v>
      </c>
      <c r="U92" s="57">
        <f t="shared" si="43"/>
        <v>0</v>
      </c>
      <c r="V92" s="57">
        <f t="shared" si="43"/>
        <v>0</v>
      </c>
      <c r="W92" s="57">
        <f t="shared" si="43"/>
        <v>0</v>
      </c>
      <c r="X92" s="57">
        <f t="shared" si="43"/>
        <v>0</v>
      </c>
      <c r="Y92" s="57">
        <f t="shared" si="38"/>
        <v>0</v>
      </c>
      <c r="Z92" s="58">
        <f t="shared" si="44"/>
        <v>2</v>
      </c>
    </row>
    <row r="93" spans="1:26" outlineLevel="1">
      <c r="A93" s="23" t="str">
        <f t="shared" si="45"/>
        <v>GERAL</v>
      </c>
      <c r="B93" s="23" t="str">
        <f t="shared" si="46"/>
        <v>2° PAV. - ESTAC. 01</v>
      </c>
      <c r="C93" s="23" t="s">
        <v>276</v>
      </c>
      <c r="D93" s="75" t="s">
        <v>163</v>
      </c>
      <c r="E93" s="23" t="s">
        <v>158</v>
      </c>
      <c r="F93" s="81" t="s">
        <v>120</v>
      </c>
      <c r="G93" s="81" t="s">
        <v>160</v>
      </c>
      <c r="H93" s="131">
        <v>1</v>
      </c>
      <c r="I93" s="24">
        <v>1</v>
      </c>
      <c r="J93" s="24">
        <v>0</v>
      </c>
      <c r="K93" s="24">
        <f t="shared" si="41"/>
        <v>1</v>
      </c>
      <c r="L93" s="24" t="s">
        <v>154</v>
      </c>
      <c r="M93" s="25"/>
      <c r="N93" s="59"/>
      <c r="P93" s="56" t="s">
        <v>15</v>
      </c>
      <c r="Q93" s="26" t="str">
        <v>Ventilador helicocentrífugo, baixo nível de ruído, com elementos acústicos, junta de borracha na sucção e descarga. Alimentação elétrica 0,121kW/220V/1F/60Hz.</v>
      </c>
      <c r="R93" s="57">
        <f t="shared" si="42"/>
        <v>6</v>
      </c>
      <c r="S93" s="57">
        <f t="shared" si="42"/>
        <v>0</v>
      </c>
      <c r="T93" s="57">
        <f t="shared" si="42"/>
        <v>0</v>
      </c>
      <c r="U93" s="57">
        <f t="shared" si="43"/>
        <v>0</v>
      </c>
      <c r="V93" s="57">
        <f t="shared" si="43"/>
        <v>0</v>
      </c>
      <c r="W93" s="57">
        <f t="shared" si="43"/>
        <v>0</v>
      </c>
      <c r="X93" s="57">
        <f t="shared" si="43"/>
        <v>0</v>
      </c>
      <c r="Y93" s="57">
        <f t="shared" si="38"/>
        <v>0</v>
      </c>
      <c r="Z93" s="58">
        <f t="shared" si="44"/>
        <v>6</v>
      </c>
    </row>
    <row r="94" spans="1:26" outlineLevel="1">
      <c r="A94" s="23" t="str">
        <f t="shared" si="45"/>
        <v>GERAL</v>
      </c>
      <c r="B94" s="23" t="str">
        <f t="shared" si="46"/>
        <v>2° PAV. - ESTAC. 01</v>
      </c>
      <c r="C94" s="65" t="s">
        <v>278</v>
      </c>
      <c r="D94" s="75" t="s">
        <v>163</v>
      </c>
      <c r="E94" s="29" t="s">
        <v>159</v>
      </c>
      <c r="F94" s="81" t="s">
        <v>120</v>
      </c>
      <c r="G94" s="81" t="s">
        <v>161</v>
      </c>
      <c r="H94" s="131">
        <v>1</v>
      </c>
      <c r="I94" s="24">
        <v>1</v>
      </c>
      <c r="J94" s="24">
        <v>0</v>
      </c>
      <c r="K94" s="24">
        <f t="shared" si="41"/>
        <v>1</v>
      </c>
      <c r="L94" s="24" t="s">
        <v>154</v>
      </c>
      <c r="M94" s="25"/>
      <c r="N94" s="59"/>
      <c r="P94" s="56" t="s">
        <v>15</v>
      </c>
      <c r="Q94" s="26" t="str">
        <v>Unidade condensadora, Desumidificador</v>
      </c>
      <c r="R94" s="57">
        <f t="shared" si="42"/>
        <v>0</v>
      </c>
      <c r="S94" s="57">
        <f t="shared" si="42"/>
        <v>0</v>
      </c>
      <c r="T94" s="57">
        <f t="shared" si="42"/>
        <v>3</v>
      </c>
      <c r="U94" s="57">
        <f t="shared" si="43"/>
        <v>0</v>
      </c>
      <c r="V94" s="57">
        <f t="shared" si="43"/>
        <v>0</v>
      </c>
      <c r="W94" s="57">
        <f t="shared" si="43"/>
        <v>3</v>
      </c>
      <c r="X94" s="57">
        <f t="shared" si="43"/>
        <v>0</v>
      </c>
      <c r="Y94" s="57">
        <f t="shared" si="38"/>
        <v>0</v>
      </c>
      <c r="Z94" s="58">
        <f t="shared" si="44"/>
        <v>6</v>
      </c>
    </row>
    <row r="95" spans="1:26" outlineLevel="1">
      <c r="A95" s="23" t="str">
        <f t="shared" si="45"/>
        <v>GERAL</v>
      </c>
      <c r="B95" s="23" t="str">
        <f t="shared" si="46"/>
        <v>2° PAV. - ESTAC. 01</v>
      </c>
      <c r="C95" s="65" t="s">
        <v>278</v>
      </c>
      <c r="D95" s="75" t="s">
        <v>163</v>
      </c>
      <c r="E95" s="23" t="s">
        <v>85</v>
      </c>
      <c r="F95" s="77" t="s">
        <v>86</v>
      </c>
      <c r="G95" s="77" t="s">
        <v>147</v>
      </c>
      <c r="H95" s="131">
        <v>1</v>
      </c>
      <c r="I95" s="24">
        <v>1</v>
      </c>
      <c r="J95" s="24">
        <v>0</v>
      </c>
      <c r="K95" s="24">
        <f t="shared" si="41"/>
        <v>1</v>
      </c>
      <c r="L95" s="24" t="s">
        <v>154</v>
      </c>
      <c r="M95" s="25"/>
      <c r="N95" s="59"/>
      <c r="P95" s="56" t="s">
        <v>15</v>
      </c>
      <c r="Q95" s="26" t="str">
        <v>Unidade Condensadora Linha VRV 6, Série R, Quente e Frio Simultaneo, 380V, 60Hz, 3F+N+T</v>
      </c>
      <c r="R95" s="57">
        <f t="shared" si="42"/>
        <v>0</v>
      </c>
      <c r="S95" s="57">
        <f t="shared" si="42"/>
        <v>0</v>
      </c>
      <c r="T95" s="57">
        <f t="shared" si="42"/>
        <v>0</v>
      </c>
      <c r="U95" s="57">
        <f t="shared" si="43"/>
        <v>0</v>
      </c>
      <c r="V95" s="57">
        <f t="shared" si="43"/>
        <v>0</v>
      </c>
      <c r="W95" s="57">
        <f t="shared" si="43"/>
        <v>4</v>
      </c>
      <c r="X95" s="57">
        <f t="shared" si="43"/>
        <v>0</v>
      </c>
      <c r="Y95" s="57">
        <f t="shared" si="38"/>
        <v>0</v>
      </c>
      <c r="Z95" s="58">
        <f t="shared" si="44"/>
        <v>4</v>
      </c>
    </row>
    <row r="96" spans="1:26" outlineLevel="1">
      <c r="A96" s="23" t="str">
        <f t="shared" si="45"/>
        <v>GERAL</v>
      </c>
      <c r="B96" s="23" t="str">
        <f t="shared" si="46"/>
        <v>2° PAV. - ESTAC. 01</v>
      </c>
      <c r="C96" s="65" t="s">
        <v>278</v>
      </c>
      <c r="D96" s="75" t="s">
        <v>163</v>
      </c>
      <c r="E96" s="23" t="s">
        <v>139</v>
      </c>
      <c r="F96" s="77" t="s">
        <v>86</v>
      </c>
      <c r="G96" s="81" t="s">
        <v>162</v>
      </c>
      <c r="H96" s="131">
        <v>1</v>
      </c>
      <c r="I96" s="24">
        <v>1</v>
      </c>
      <c r="J96" s="24">
        <v>0</v>
      </c>
      <c r="K96" s="24">
        <f t="shared" si="41"/>
        <v>1</v>
      </c>
      <c r="L96" s="24" t="s">
        <v>154</v>
      </c>
      <c r="M96" s="25"/>
      <c r="N96" s="59"/>
      <c r="P96" s="56" t="s">
        <v>15</v>
      </c>
      <c r="Q96" s="26" t="str">
        <v>Unidade condensadora de 24HP, linha VRV, Quente e Frio, descarga vertical com defletor para descarga horizontal. 409kg</v>
      </c>
      <c r="R96" s="57">
        <f t="shared" si="42"/>
        <v>0</v>
      </c>
      <c r="S96" s="57">
        <f t="shared" si="42"/>
        <v>0</v>
      </c>
      <c r="T96" s="57">
        <f t="shared" si="42"/>
        <v>0</v>
      </c>
      <c r="U96" s="57">
        <f t="shared" si="43"/>
        <v>0</v>
      </c>
      <c r="V96" s="57">
        <f t="shared" si="43"/>
        <v>0</v>
      </c>
      <c r="W96" s="57">
        <f t="shared" si="43"/>
        <v>4</v>
      </c>
      <c r="X96" s="57">
        <f t="shared" si="43"/>
        <v>0</v>
      </c>
      <c r="Y96" s="57">
        <f t="shared" si="38"/>
        <v>0</v>
      </c>
      <c r="Z96" s="58">
        <f t="shared" si="44"/>
        <v>4</v>
      </c>
    </row>
    <row r="97" spans="1:26" ht="15.75" outlineLevel="1" thickBot="1">
      <c r="A97" s="23" t="str">
        <f t="shared" si="45"/>
        <v>GERAL</v>
      </c>
      <c r="B97" s="23" t="str">
        <f t="shared" si="46"/>
        <v>2° PAV. - ESTAC. 01</v>
      </c>
      <c r="C97" s="65" t="s">
        <v>278</v>
      </c>
      <c r="D97" s="75" t="s">
        <v>163</v>
      </c>
      <c r="E97" s="23" t="s">
        <v>141</v>
      </c>
      <c r="F97" s="77" t="s">
        <v>64</v>
      </c>
      <c r="G97" s="81" t="s">
        <v>153</v>
      </c>
      <c r="H97" s="131">
        <v>1</v>
      </c>
      <c r="I97" s="24">
        <v>1</v>
      </c>
      <c r="J97" s="24">
        <v>0</v>
      </c>
      <c r="K97" s="24">
        <f t="shared" si="41"/>
        <v>1</v>
      </c>
      <c r="L97" s="24" t="s">
        <v>154</v>
      </c>
      <c r="M97" s="25"/>
      <c r="N97" s="59"/>
      <c r="P97" s="56" t="s">
        <v>15</v>
      </c>
      <c r="Q97" s="26" t="str">
        <v>Unidade condensadora de 26HP, linha VRV, Quente e Frio, descarga vertical com defletor para descarga horizontal. 409kg</v>
      </c>
      <c r="R97" s="57">
        <f t="shared" si="42"/>
        <v>0</v>
      </c>
      <c r="S97" s="57">
        <f t="shared" si="42"/>
        <v>0</v>
      </c>
      <c r="T97" s="57">
        <f t="shared" si="42"/>
        <v>0</v>
      </c>
      <c r="U97" s="57">
        <f t="shared" si="43"/>
        <v>0</v>
      </c>
      <c r="V97" s="57">
        <f t="shared" si="43"/>
        <v>0</v>
      </c>
      <c r="W97" s="57">
        <f t="shared" si="43"/>
        <v>2</v>
      </c>
      <c r="X97" s="57">
        <f t="shared" si="43"/>
        <v>0</v>
      </c>
      <c r="Y97" s="57">
        <f t="shared" si="38"/>
        <v>0</v>
      </c>
      <c r="Z97" s="58">
        <f t="shared" si="44"/>
        <v>2</v>
      </c>
    </row>
    <row r="98" spans="1:26" ht="15.75" thickTop="1">
      <c r="A98" s="61" t="s">
        <v>15</v>
      </c>
      <c r="B98" s="61" t="s">
        <v>26</v>
      </c>
      <c r="C98" s="42"/>
      <c r="D98" s="43"/>
      <c r="E98" s="43"/>
      <c r="F98" s="82"/>
      <c r="G98" s="82"/>
      <c r="H98" s="132"/>
      <c r="I98" s="44"/>
      <c r="J98" s="44"/>
      <c r="K98" s="44"/>
      <c r="L98" s="44"/>
      <c r="M98" s="46"/>
      <c r="N98" s="47" t="e">
        <f>IF(SUM(H98:M98)=0,SUMIFS($N99:$N$759,$B99:$B$759,$B98,$A99:$A$759,$A98),K98*M98)</f>
        <v>#N/A</v>
      </c>
      <c r="P98" s="56" t="s">
        <v>15</v>
      </c>
      <c r="Q98" s="26" t="str">
        <v>Unidade evaporadora tipo cassete Round Flow, capacidade 30.700 Btu/h, linha VRV.</v>
      </c>
      <c r="R98" s="57">
        <f t="shared" si="42"/>
        <v>0</v>
      </c>
      <c r="S98" s="57">
        <f t="shared" si="42"/>
        <v>0</v>
      </c>
      <c r="T98" s="57">
        <f t="shared" si="42"/>
        <v>0</v>
      </c>
      <c r="U98" s="57">
        <f t="shared" si="43"/>
        <v>0</v>
      </c>
      <c r="V98" s="57">
        <f t="shared" si="43"/>
        <v>0</v>
      </c>
      <c r="W98" s="57">
        <f t="shared" si="43"/>
        <v>22</v>
      </c>
      <c r="X98" s="57">
        <f t="shared" si="43"/>
        <v>0</v>
      </c>
      <c r="Y98" s="57">
        <f t="shared" si="38"/>
        <v>0</v>
      </c>
      <c r="Z98" s="58">
        <f t="shared" si="44"/>
        <v>22</v>
      </c>
    </row>
    <row r="99" spans="1:26" outlineLevel="1">
      <c r="A99" s="23" t="str">
        <f t="shared" ref="A99:B103" si="47">A98</f>
        <v>GERAL</v>
      </c>
      <c r="B99" s="23" t="str">
        <f t="shared" si="47"/>
        <v>3° PAV. - ESTAC. 02</v>
      </c>
      <c r="C99" s="65" t="s">
        <v>278</v>
      </c>
      <c r="D99" s="29" t="s">
        <v>103</v>
      </c>
      <c r="E99" s="74" t="s">
        <v>40</v>
      </c>
      <c r="F99" s="76" t="s">
        <v>68</v>
      </c>
      <c r="G99" s="76" t="s">
        <v>45</v>
      </c>
      <c r="H99" s="131">
        <v>48</v>
      </c>
      <c r="I99" s="24">
        <v>1</v>
      </c>
      <c r="J99" s="24">
        <v>0</v>
      </c>
      <c r="K99" s="24">
        <f t="shared" ref="K99:K104" si="48">(H99+J99*H99)*I99</f>
        <v>48</v>
      </c>
      <c r="L99" s="24" t="s">
        <v>154</v>
      </c>
      <c r="M99" s="25" t="e">
        <f>_xlfn.XLOOKUP($E99,PREÇO!$C$6:$C$89,PREÇO!$E$6:$E$89)</f>
        <v>#N/A</v>
      </c>
      <c r="N99" s="59" t="e">
        <f>IF(SUM(H99:M99)=0,SUMIFS($N100:$N$759,$B100:$B$759,$B99,$A100:$A$759,$A99),K99*M99)</f>
        <v>#N/A</v>
      </c>
      <c r="P99" s="56" t="s">
        <v>15</v>
      </c>
      <c r="Q99" s="26" t="str">
        <v>Unidade condensadora de 18 HP, linha VRV, Quente e Frio, 317 kg.</v>
      </c>
      <c r="R99" s="57">
        <f t="shared" si="42"/>
        <v>0</v>
      </c>
      <c r="S99" s="57">
        <f t="shared" si="42"/>
        <v>0</v>
      </c>
      <c r="T99" s="57">
        <f t="shared" si="42"/>
        <v>0</v>
      </c>
      <c r="U99" s="57">
        <f t="shared" si="43"/>
        <v>0</v>
      </c>
      <c r="V99" s="57">
        <f t="shared" si="43"/>
        <v>0</v>
      </c>
      <c r="W99" s="57">
        <f t="shared" si="43"/>
        <v>4</v>
      </c>
      <c r="X99" s="57">
        <f t="shared" si="43"/>
        <v>0</v>
      </c>
      <c r="Y99" s="57">
        <f t="shared" si="38"/>
        <v>0</v>
      </c>
      <c r="Z99" s="58">
        <f t="shared" si="44"/>
        <v>4</v>
      </c>
    </row>
    <row r="100" spans="1:26" ht="30" outlineLevel="1">
      <c r="A100" s="23" t="str">
        <f t="shared" ref="A100" si="49">A99</f>
        <v>GERAL</v>
      </c>
      <c r="B100" s="23" t="str">
        <f t="shared" si="47"/>
        <v>3° PAV. - ESTAC. 02</v>
      </c>
      <c r="C100" s="65" t="s">
        <v>278</v>
      </c>
      <c r="D100" s="29" t="s">
        <v>103</v>
      </c>
      <c r="E100" s="74" t="s">
        <v>41</v>
      </c>
      <c r="F100" s="76" t="s">
        <v>68</v>
      </c>
      <c r="G100" s="76" t="s">
        <v>46</v>
      </c>
      <c r="H100" s="131">
        <v>115</v>
      </c>
      <c r="I100" s="24">
        <v>1</v>
      </c>
      <c r="J100" s="24">
        <v>0</v>
      </c>
      <c r="K100" s="24">
        <f t="shared" si="48"/>
        <v>115</v>
      </c>
      <c r="L100" s="24" t="s">
        <v>154</v>
      </c>
      <c r="M100" s="25" t="e">
        <f>_xlfn.XLOOKUP($E100,PREÇO!$C$6:$C$89,PREÇO!$E$6:$E$89)</f>
        <v>#N/A</v>
      </c>
      <c r="N100" s="59" t="e">
        <f>IF(SUM(H100:M100)=0,SUMIFS($N101:$N$759,$B101:$B$759,$B100,$A101:$A$759,$A100),K100*M100)</f>
        <v>#N/A</v>
      </c>
      <c r="P100" s="56" t="s">
        <v>15</v>
      </c>
      <c r="Q100" s="26" t="str">
        <v>Unidade condensadora de 20 HP, linha VRV, Quente e Frio, 317 kg.</v>
      </c>
      <c r="R100" s="57">
        <f t="shared" si="42"/>
        <v>0</v>
      </c>
      <c r="S100" s="57">
        <f t="shared" si="42"/>
        <v>0</v>
      </c>
      <c r="T100" s="57">
        <f t="shared" si="42"/>
        <v>0</v>
      </c>
      <c r="U100" s="57">
        <f t="shared" si="43"/>
        <v>0</v>
      </c>
      <c r="V100" s="57">
        <f t="shared" si="43"/>
        <v>0</v>
      </c>
      <c r="W100" s="57">
        <f t="shared" si="43"/>
        <v>4</v>
      </c>
      <c r="X100" s="57">
        <f t="shared" si="43"/>
        <v>0</v>
      </c>
      <c r="Y100" s="57">
        <f t="shared" si="38"/>
        <v>0</v>
      </c>
      <c r="Z100" s="58">
        <f t="shared" si="44"/>
        <v>4</v>
      </c>
    </row>
    <row r="101" spans="1:26" ht="30" outlineLevel="1">
      <c r="A101" s="23" t="str">
        <f t="shared" ref="A101" si="50">A100</f>
        <v>GERAL</v>
      </c>
      <c r="B101" s="23" t="str">
        <f t="shared" si="47"/>
        <v>3° PAV. - ESTAC. 02</v>
      </c>
      <c r="C101" s="65" t="s">
        <v>278</v>
      </c>
      <c r="D101" s="29" t="s">
        <v>103</v>
      </c>
      <c r="E101" s="74" t="s">
        <v>42</v>
      </c>
      <c r="F101" s="76" t="s">
        <v>68</v>
      </c>
      <c r="G101" s="76" t="s">
        <v>47</v>
      </c>
      <c r="H101" s="131">
        <v>10</v>
      </c>
      <c r="I101" s="24">
        <v>1</v>
      </c>
      <c r="J101" s="24">
        <v>0</v>
      </c>
      <c r="K101" s="24">
        <f t="shared" si="48"/>
        <v>10</v>
      </c>
      <c r="L101" s="24" t="s">
        <v>154</v>
      </c>
      <c r="M101" s="25" t="e">
        <f>_xlfn.XLOOKUP($E101,PREÇO!$C$6:$C$89,PREÇO!$E$6:$E$89)</f>
        <v>#N/A</v>
      </c>
      <c r="N101" s="59" t="e">
        <f>IF(SUM(H101:M101)=0,SUMIFS($N102:$N$759,$B102:$B$759,$B101,$A102:$A$759,$A101),K101*M101)</f>
        <v>#N/A</v>
      </c>
      <c r="P101" s="56"/>
      <c r="Q101" s="26"/>
      <c r="R101" s="57"/>
      <c r="S101" s="57"/>
      <c r="T101" s="57"/>
      <c r="U101" s="57">
        <f t="shared" si="43"/>
        <v>0</v>
      </c>
      <c r="V101" s="57">
        <f t="shared" si="43"/>
        <v>0</v>
      </c>
      <c r="W101" s="57">
        <f t="shared" si="43"/>
        <v>0</v>
      </c>
      <c r="X101" s="57">
        <f t="shared" si="43"/>
        <v>0</v>
      </c>
      <c r="Y101" s="57">
        <f t="shared" si="38"/>
        <v>0</v>
      </c>
      <c r="Z101" s="58"/>
    </row>
    <row r="102" spans="1:26" ht="30" outlineLevel="1">
      <c r="A102" s="93" t="str">
        <f t="shared" ref="A102" si="51">A101</f>
        <v>GERAL</v>
      </c>
      <c r="B102" s="93" t="str">
        <f t="shared" si="47"/>
        <v>3° PAV. - ESTAC. 02</v>
      </c>
      <c r="C102" s="65" t="s">
        <v>278</v>
      </c>
      <c r="D102" s="95" t="s">
        <v>103</v>
      </c>
      <c r="E102" s="94" t="s">
        <v>43</v>
      </c>
      <c r="F102" s="97" t="s">
        <v>68</v>
      </c>
      <c r="G102" s="97" t="s">
        <v>48</v>
      </c>
      <c r="H102" s="135">
        <v>12</v>
      </c>
      <c r="I102" s="98">
        <v>1</v>
      </c>
      <c r="J102" s="98">
        <v>0</v>
      </c>
      <c r="K102" s="98">
        <f t="shared" si="48"/>
        <v>12</v>
      </c>
      <c r="L102" s="98" t="s">
        <v>154</v>
      </c>
      <c r="M102" s="99" t="e">
        <f>_xlfn.XLOOKUP($E102,PREÇO!$C$6:$C$89,PREÇO!$E$6:$E$89)</f>
        <v>#N/A</v>
      </c>
      <c r="N102" s="100" t="e">
        <f>IF(SUM(H102:M102)=0,SUMIFS($N103:$N$759,$B103:$B$759,$B102,$A103:$A$759,$A102),K102*M102)</f>
        <v>#N/A</v>
      </c>
      <c r="P102"/>
      <c r="Q102"/>
      <c r="R102" s="159">
        <f t="shared" ref="R102:Y102" si="52">SUM(R6:R101)</f>
        <v>725</v>
      </c>
      <c r="S102" s="159">
        <f t="shared" si="52"/>
        <v>2227</v>
      </c>
      <c r="T102" s="159">
        <f t="shared" si="52"/>
        <v>6</v>
      </c>
      <c r="U102" s="159">
        <f t="shared" si="52"/>
        <v>1558</v>
      </c>
      <c r="V102" s="159">
        <f t="shared" si="52"/>
        <v>37</v>
      </c>
      <c r="W102" s="159">
        <f t="shared" si="52"/>
        <v>3831.2000000000007</v>
      </c>
      <c r="X102" s="159">
        <f t="shared" si="52"/>
        <v>4</v>
      </c>
      <c r="Y102" s="159">
        <f t="shared" si="52"/>
        <v>4937</v>
      </c>
      <c r="Z102" s="159">
        <f>SUM(Z6:Z101)</f>
        <v>13325.199999999999</v>
      </c>
    </row>
    <row r="103" spans="1:26" ht="30" outlineLevel="1">
      <c r="A103" s="86" t="str">
        <f t="shared" ref="A103:B106" si="53">A102</f>
        <v>GERAL</v>
      </c>
      <c r="B103" s="86" t="str">
        <f t="shared" si="47"/>
        <v>3° PAV. - ESTAC. 02</v>
      </c>
      <c r="C103" s="117" t="s">
        <v>278</v>
      </c>
      <c r="D103" s="89" t="s">
        <v>96</v>
      </c>
      <c r="E103" s="88" t="s">
        <v>51</v>
      </c>
      <c r="F103" s="90" t="s">
        <v>56</v>
      </c>
      <c r="G103" s="91" t="s">
        <v>57</v>
      </c>
      <c r="H103" s="136">
        <v>4</v>
      </c>
      <c r="I103" s="28">
        <v>1</v>
      </c>
      <c r="J103" s="28">
        <v>0</v>
      </c>
      <c r="K103" s="28">
        <f t="shared" si="48"/>
        <v>4</v>
      </c>
      <c r="L103" s="28" t="s">
        <v>154</v>
      </c>
      <c r="M103" s="92" t="e">
        <f>_xlfn.XLOOKUP($E103,PREÇO!$C$6:$C$89,PREÇO!$E$6:$E$89)</f>
        <v>#N/A</v>
      </c>
      <c r="N103" s="87" t="e">
        <f>IF(SUM(H103:M103)=0,SUMIFS($N104:$N$759,$B104:$B$759,$B103,$A104:$A$759,$A103),K103*M103)</f>
        <v>#N/A</v>
      </c>
      <c r="P103"/>
      <c r="Q103"/>
      <c r="R103" s="27"/>
      <c r="S103" s="27"/>
      <c r="T103" s="27"/>
      <c r="U103" s="27"/>
      <c r="V103" s="27"/>
      <c r="W103" s="27"/>
      <c r="X103" s="27"/>
      <c r="Y103" s="27"/>
    </row>
    <row r="104" spans="1:26" outlineLevel="1">
      <c r="A104" s="23" t="str">
        <f t="shared" si="53"/>
        <v>GERAL</v>
      </c>
      <c r="B104" s="23" t="str">
        <f t="shared" si="53"/>
        <v>3° PAV. - ESTAC. 02</v>
      </c>
      <c r="C104" s="65" t="s">
        <v>276</v>
      </c>
      <c r="D104" s="29" t="s">
        <v>96</v>
      </c>
      <c r="E104" s="29" t="s">
        <v>69</v>
      </c>
      <c r="F104" s="83" t="s">
        <v>55</v>
      </c>
      <c r="G104" s="83" t="s">
        <v>70</v>
      </c>
      <c r="H104" s="131">
        <v>1</v>
      </c>
      <c r="I104" s="24">
        <v>1</v>
      </c>
      <c r="J104" s="24">
        <v>0</v>
      </c>
      <c r="K104" s="24">
        <f t="shared" si="48"/>
        <v>1</v>
      </c>
      <c r="L104" s="24" t="s">
        <v>154</v>
      </c>
      <c r="M104" s="25" t="e">
        <f>_xlfn.XLOOKUP($E104,PREÇO!$C$6:$C$89,PREÇO!$E$6:$E$89)</f>
        <v>#N/A</v>
      </c>
      <c r="N104" s="59" t="e">
        <f>IF(SUM(H104:M104)=0,SUMIFS($N105:$N$759,$B105:$B$759,$B104,$A105:$A$759,$A104),K104*M104)</f>
        <v>#N/A</v>
      </c>
      <c r="P104"/>
      <c r="Q104"/>
      <c r="R104" s="27"/>
      <c r="S104" s="27"/>
      <c r="T104" s="27"/>
      <c r="U104" s="27"/>
      <c r="V104" s="27"/>
      <c r="W104" s="27"/>
      <c r="X104" s="27"/>
      <c r="Y104" s="27"/>
    </row>
    <row r="105" spans="1:26" outlineLevel="1">
      <c r="A105" s="23" t="str">
        <f t="shared" si="53"/>
        <v>GERAL</v>
      </c>
      <c r="B105" s="23" t="str">
        <f t="shared" si="53"/>
        <v>3° PAV. - ESTAC. 02</v>
      </c>
      <c r="C105" s="65" t="s">
        <v>276</v>
      </c>
      <c r="D105" s="29" t="s">
        <v>96</v>
      </c>
      <c r="E105" s="29" t="s">
        <v>69</v>
      </c>
      <c r="F105" s="83" t="s">
        <v>55</v>
      </c>
      <c r="G105" s="83" t="s">
        <v>71</v>
      </c>
      <c r="H105" s="131">
        <v>1</v>
      </c>
      <c r="I105" s="24">
        <v>1</v>
      </c>
      <c r="J105" s="24">
        <v>0</v>
      </c>
      <c r="K105" s="24">
        <f t="shared" ref="K105:K119" si="54">(H105+J105*H105)*I105</f>
        <v>1</v>
      </c>
      <c r="L105" s="24" t="s">
        <v>154</v>
      </c>
      <c r="M105" s="25" t="e">
        <f>_xlfn.XLOOKUP($E105,PREÇO!$C$6:$C$89,PREÇO!$E$6:$E$89)</f>
        <v>#N/A</v>
      </c>
      <c r="N105" s="59" t="e">
        <f>IF(SUM(H105:M105)=0,SUMIFS($N106:$N$759,$B106:$B$759,$B105,$A106:$A$759,$A105),K105*M105)</f>
        <v>#N/A</v>
      </c>
      <c r="P105"/>
      <c r="Q105"/>
      <c r="R105" s="27"/>
      <c r="S105" s="27"/>
      <c r="T105" s="27"/>
      <c r="U105" s="27"/>
      <c r="V105" s="27"/>
      <c r="W105" s="27"/>
      <c r="X105" s="27"/>
      <c r="Y105" s="27"/>
    </row>
    <row r="106" spans="1:26" outlineLevel="1">
      <c r="A106" s="23" t="str">
        <f t="shared" si="53"/>
        <v>GERAL</v>
      </c>
      <c r="B106" s="23" t="str">
        <f t="shared" si="53"/>
        <v>3° PAV. - ESTAC. 02</v>
      </c>
      <c r="C106" s="65" t="s">
        <v>276</v>
      </c>
      <c r="D106" s="29" t="s">
        <v>96</v>
      </c>
      <c r="E106" s="74" t="s">
        <v>72</v>
      </c>
      <c r="F106" s="83" t="s">
        <v>55</v>
      </c>
      <c r="G106" s="83" t="s">
        <v>75</v>
      </c>
      <c r="H106" s="131">
        <v>1</v>
      </c>
      <c r="I106" s="24">
        <v>1</v>
      </c>
      <c r="J106" s="24">
        <v>0</v>
      </c>
      <c r="K106" s="24">
        <f t="shared" si="54"/>
        <v>1</v>
      </c>
      <c r="L106" s="24" t="s">
        <v>154</v>
      </c>
      <c r="M106" s="25" t="e">
        <f>_xlfn.XLOOKUP($E106,PREÇO!$C$6:$C$89,PREÇO!$E$6:$E$89)</f>
        <v>#N/A</v>
      </c>
      <c r="N106" s="59" t="e">
        <f>IF(SUM(H106:M106)=0,SUMIFS($N107:$N$759,$B107:$B$759,$B106,$A107:$A$759,$A106),K106*M106)</f>
        <v>#N/A</v>
      </c>
      <c r="P106"/>
      <c r="Q106"/>
      <c r="Y106" s="27"/>
    </row>
    <row r="107" spans="1:26" outlineLevel="1">
      <c r="A107" s="23" t="str">
        <f t="shared" ref="A107" si="55">A106</f>
        <v>GERAL</v>
      </c>
      <c r="B107" s="23" t="str">
        <f t="shared" ref="B107" si="56">B106</f>
        <v>3° PAV. - ESTAC. 02</v>
      </c>
      <c r="C107" s="65" t="s">
        <v>276</v>
      </c>
      <c r="D107" s="29" t="s">
        <v>96</v>
      </c>
      <c r="E107" s="74" t="s">
        <v>73</v>
      </c>
      <c r="F107" s="83" t="s">
        <v>55</v>
      </c>
      <c r="G107" s="83" t="s">
        <v>92</v>
      </c>
      <c r="H107" s="131">
        <v>1</v>
      </c>
      <c r="I107" s="24">
        <v>1</v>
      </c>
      <c r="J107" s="24">
        <v>0</v>
      </c>
      <c r="K107" s="24">
        <f t="shared" si="54"/>
        <v>1</v>
      </c>
      <c r="L107" s="24" t="s">
        <v>154</v>
      </c>
      <c r="M107" s="25" t="e">
        <f>_xlfn.XLOOKUP($E107,PREÇO!$C$6:$C$89,PREÇO!$E$6:$E$89)</f>
        <v>#N/A</v>
      </c>
      <c r="N107" s="59" t="e">
        <f>IF(SUM(H107:M107)=0,SUMIFS($N108:$N$759,$B108:$B$759,$B107,$A108:$A$759,$A107),K107*M107)</f>
        <v>#N/A</v>
      </c>
      <c r="P107"/>
      <c r="Q107" s="27"/>
      <c r="R107" s="27"/>
      <c r="S107" s="27"/>
      <c r="T107" s="27"/>
      <c r="U107" s="27"/>
      <c r="V107" s="27"/>
      <c r="W107" s="27"/>
      <c r="X107" s="27"/>
      <c r="Y107" s="27"/>
    </row>
    <row r="108" spans="1:26" outlineLevel="1">
      <c r="A108" s="23" t="str">
        <f t="shared" ref="A108" si="57">A107</f>
        <v>GERAL</v>
      </c>
      <c r="B108" s="23" t="str">
        <f t="shared" ref="B108" si="58">B107</f>
        <v>3° PAV. - ESTAC. 02</v>
      </c>
      <c r="C108" s="65" t="s">
        <v>276</v>
      </c>
      <c r="D108" s="29" t="s">
        <v>96</v>
      </c>
      <c r="E108" s="74" t="s">
        <v>76</v>
      </c>
      <c r="F108" s="83" t="s">
        <v>55</v>
      </c>
      <c r="G108" s="76" t="s">
        <v>77</v>
      </c>
      <c r="H108" s="131">
        <v>1</v>
      </c>
      <c r="I108" s="24">
        <v>1</v>
      </c>
      <c r="J108" s="24">
        <v>0</v>
      </c>
      <c r="K108" s="24">
        <f t="shared" si="54"/>
        <v>1</v>
      </c>
      <c r="L108" s="24" t="s">
        <v>154</v>
      </c>
      <c r="M108" s="25" t="e">
        <f>_xlfn.XLOOKUP($E108,PREÇO!$C$6:$C$89,PREÇO!$E$6:$E$89)</f>
        <v>#N/A</v>
      </c>
      <c r="N108" s="59" t="e">
        <f>IF(SUM(H108:M108)=0,SUMIFS($N109:$N$759,$B109:$B$759,$B108,$A109:$A$759,$A108),K108*M108)</f>
        <v>#N/A</v>
      </c>
      <c r="P108"/>
      <c r="Q108" s="27"/>
      <c r="R108" s="27"/>
      <c r="S108" s="27"/>
      <c r="T108" s="27"/>
      <c r="U108" s="27"/>
      <c r="V108" s="27"/>
      <c r="W108" s="27"/>
      <c r="X108" s="27"/>
      <c r="Y108" s="27"/>
    </row>
    <row r="109" spans="1:26" outlineLevel="1">
      <c r="A109" s="23" t="str">
        <f t="shared" ref="A109" si="59">A108</f>
        <v>GERAL</v>
      </c>
      <c r="B109" s="23" t="str">
        <f t="shared" ref="B109" si="60">B108</f>
        <v>3° PAV. - ESTAC. 02</v>
      </c>
      <c r="C109" s="65" t="s">
        <v>276</v>
      </c>
      <c r="D109" s="29" t="s">
        <v>96</v>
      </c>
      <c r="E109" s="74" t="s">
        <v>78</v>
      </c>
      <c r="F109" s="83" t="s">
        <v>55</v>
      </c>
      <c r="G109" s="83" t="s">
        <v>79</v>
      </c>
      <c r="H109" s="131">
        <v>3</v>
      </c>
      <c r="I109" s="24">
        <v>1</v>
      </c>
      <c r="J109" s="24">
        <v>0</v>
      </c>
      <c r="K109" s="24">
        <f t="shared" si="54"/>
        <v>3</v>
      </c>
      <c r="L109" s="24" t="s">
        <v>154</v>
      </c>
      <c r="M109" s="25" t="e">
        <f>_xlfn.XLOOKUP($E109,PREÇO!$C$6:$C$89,PREÇO!$E$6:$E$89)</f>
        <v>#N/A</v>
      </c>
      <c r="N109" s="59" t="e">
        <f>IF(SUM(H109:M109)=0,SUMIFS($N110:$N$759,$B110:$B$759,$B109,$A110:$A$759,$A109),K109*M109)</f>
        <v>#N/A</v>
      </c>
      <c r="P109"/>
      <c r="Q109" s="27"/>
      <c r="R109" s="27"/>
      <c r="S109" s="27"/>
      <c r="T109" s="27"/>
      <c r="U109" s="27"/>
      <c r="V109" s="27"/>
      <c r="W109" s="27"/>
      <c r="X109" s="27"/>
      <c r="Y109" s="27"/>
    </row>
    <row r="110" spans="1:26" outlineLevel="1">
      <c r="A110" s="23" t="str">
        <f t="shared" ref="A110" si="61">A109</f>
        <v>GERAL</v>
      </c>
      <c r="B110" s="23" t="str">
        <f t="shared" ref="B110" si="62">B109</f>
        <v>3° PAV. - ESTAC. 02</v>
      </c>
      <c r="C110" s="65" t="s">
        <v>276</v>
      </c>
      <c r="D110" s="29" t="s">
        <v>96</v>
      </c>
      <c r="E110" s="74" t="s">
        <v>80</v>
      </c>
      <c r="F110" s="83" t="s">
        <v>55</v>
      </c>
      <c r="G110" s="83" t="s">
        <v>81</v>
      </c>
      <c r="H110" s="131">
        <v>6</v>
      </c>
      <c r="I110" s="24">
        <v>1</v>
      </c>
      <c r="J110" s="24">
        <v>0</v>
      </c>
      <c r="K110" s="24">
        <f t="shared" si="54"/>
        <v>6</v>
      </c>
      <c r="L110" s="24" t="s">
        <v>154</v>
      </c>
      <c r="M110" s="25" t="e">
        <f>_xlfn.XLOOKUP($E110,PREÇO!$C$6:$C$89,PREÇO!$E$6:$E$89)</f>
        <v>#N/A</v>
      </c>
      <c r="N110" s="59" t="e">
        <f>IF(SUM(H110:M110)=0,SUMIFS($N111:$N$759,$B111:$B$759,$B110,$A111:$A$759,$A110),K110*M110)</f>
        <v>#N/A</v>
      </c>
      <c r="P110"/>
      <c r="Q110" s="27"/>
      <c r="R110" s="27"/>
      <c r="S110" s="27"/>
      <c r="T110" s="27"/>
      <c r="U110" s="27"/>
      <c r="V110" s="27"/>
      <c r="W110" s="27"/>
      <c r="X110" s="27"/>
      <c r="Y110" s="27"/>
    </row>
    <row r="111" spans="1:26" outlineLevel="1">
      <c r="A111" s="23" t="str">
        <f t="shared" ref="A111" si="63">A110</f>
        <v>GERAL</v>
      </c>
      <c r="B111" s="23" t="str">
        <f t="shared" ref="B111" si="64">B110</f>
        <v>3° PAV. - ESTAC. 02</v>
      </c>
      <c r="C111" s="65" t="s">
        <v>278</v>
      </c>
      <c r="D111" s="29" t="s">
        <v>96</v>
      </c>
      <c r="E111" s="74" t="s">
        <v>83</v>
      </c>
      <c r="F111" s="76" t="s">
        <v>89</v>
      </c>
      <c r="G111" s="83" t="s">
        <v>82</v>
      </c>
      <c r="H111" s="131">
        <v>1</v>
      </c>
      <c r="I111" s="24">
        <v>1</v>
      </c>
      <c r="J111" s="24">
        <v>0</v>
      </c>
      <c r="K111" s="24">
        <f t="shared" si="54"/>
        <v>1</v>
      </c>
      <c r="L111" s="24" t="s">
        <v>154</v>
      </c>
      <c r="M111" s="25" t="e">
        <f>_xlfn.XLOOKUP($E111,PREÇO!$C$6:$C$89,PREÇO!$E$6:$E$89)</f>
        <v>#N/A</v>
      </c>
      <c r="N111" s="59" t="e">
        <f>IF(SUM(H111:M111)=0,SUMIFS($N112:$N$759,$B112:$B$759,$B111,$A112:$A$759,$A111),K111*M111)</f>
        <v>#N/A</v>
      </c>
      <c r="P111"/>
      <c r="Q111" s="27"/>
      <c r="R111" s="27"/>
      <c r="S111" s="27"/>
      <c r="T111" s="27"/>
      <c r="U111" s="27"/>
      <c r="V111" s="27"/>
      <c r="W111" s="27"/>
      <c r="X111" s="27"/>
      <c r="Y111" s="27"/>
    </row>
    <row r="112" spans="1:26" outlineLevel="1">
      <c r="A112" s="23" t="str">
        <f t="shared" ref="A112" si="65">A111</f>
        <v>GERAL</v>
      </c>
      <c r="B112" s="23" t="str">
        <f t="shared" ref="B112" si="66">B111</f>
        <v>3° PAV. - ESTAC. 02</v>
      </c>
      <c r="C112" s="65" t="s">
        <v>278</v>
      </c>
      <c r="D112" s="29" t="s">
        <v>96</v>
      </c>
      <c r="E112" s="29" t="s">
        <v>63</v>
      </c>
      <c r="F112" s="83" t="s">
        <v>64</v>
      </c>
      <c r="G112" s="83" t="s">
        <v>67</v>
      </c>
      <c r="H112" s="131">
        <v>4</v>
      </c>
      <c r="I112" s="24">
        <v>1</v>
      </c>
      <c r="J112" s="24">
        <v>0</v>
      </c>
      <c r="K112" s="24">
        <f t="shared" si="54"/>
        <v>4</v>
      </c>
      <c r="L112" s="24" t="s">
        <v>154</v>
      </c>
      <c r="M112" s="25" t="e">
        <f>_xlfn.XLOOKUP($E112,PREÇO!$C$6:$C$89,PREÇO!$E$6:$E$89)</f>
        <v>#N/A</v>
      </c>
      <c r="N112" s="59" t="e">
        <f>IF(SUM(H112:M112)=0,SUMIFS($N113:$N$759,$B113:$B$759,$B112,$A113:$A$759,$A112),K112*M112)</f>
        <v>#N/A</v>
      </c>
      <c r="P112"/>
      <c r="Q112"/>
      <c r="R112" s="27"/>
      <c r="S112" s="27"/>
      <c r="T112" s="27"/>
      <c r="U112" s="27"/>
      <c r="V112" s="27"/>
      <c r="W112" s="27"/>
      <c r="X112" s="27"/>
      <c r="Y112" s="27"/>
    </row>
    <row r="113" spans="1:25" outlineLevel="1">
      <c r="A113" s="23" t="str">
        <f t="shared" ref="A113" si="67">A112</f>
        <v>GERAL</v>
      </c>
      <c r="B113" s="23" t="str">
        <f t="shared" ref="B113" si="68">B112</f>
        <v>3° PAV. - ESTAC. 02</v>
      </c>
      <c r="C113" s="65" t="s">
        <v>278</v>
      </c>
      <c r="D113" s="29" t="s">
        <v>96</v>
      </c>
      <c r="E113" s="29" t="s">
        <v>84</v>
      </c>
      <c r="F113" s="83" t="s">
        <v>64</v>
      </c>
      <c r="G113" s="83" t="s">
        <v>65</v>
      </c>
      <c r="H113" s="131">
        <v>4</v>
      </c>
      <c r="I113" s="24">
        <v>1</v>
      </c>
      <c r="J113" s="24">
        <v>0</v>
      </c>
      <c r="K113" s="24">
        <f t="shared" si="54"/>
        <v>4</v>
      </c>
      <c r="L113" s="24" t="s">
        <v>154</v>
      </c>
      <c r="M113" s="25" t="e">
        <f>_xlfn.XLOOKUP($E113,PREÇO!$C$6:$C$89,PREÇO!$E$6:$E$89)</f>
        <v>#N/A</v>
      </c>
      <c r="N113" s="59" t="e">
        <f>IF(SUM(H113:M113)=0,SUMIFS($N114:$N$759,$B114:$B$759,$B113,$A114:$A$759,$A113),K113*M113)</f>
        <v>#N/A</v>
      </c>
      <c r="P113"/>
      <c r="Q113"/>
      <c r="R113" s="27"/>
      <c r="S113" s="27"/>
      <c r="T113" s="27"/>
      <c r="U113" s="27"/>
      <c r="V113" s="27"/>
      <c r="W113" s="27"/>
      <c r="X113" s="27"/>
      <c r="Y113" s="27"/>
    </row>
    <row r="114" spans="1:25" outlineLevel="1">
      <c r="A114" s="23" t="str">
        <f t="shared" ref="A114" si="69">A113</f>
        <v>GERAL</v>
      </c>
      <c r="B114" s="23" t="str">
        <f t="shared" ref="B114:B115" si="70">B113</f>
        <v>3° PAV. - ESTAC. 02</v>
      </c>
      <c r="C114" s="65" t="s">
        <v>278</v>
      </c>
      <c r="D114" s="29" t="s">
        <v>96</v>
      </c>
      <c r="E114" s="29" t="s">
        <v>85</v>
      </c>
      <c r="F114" s="83" t="s">
        <v>86</v>
      </c>
      <c r="G114" s="83" t="s">
        <v>87</v>
      </c>
      <c r="H114" s="131">
        <v>5</v>
      </c>
      <c r="I114" s="24">
        <v>1</v>
      </c>
      <c r="J114" s="24">
        <v>0</v>
      </c>
      <c r="K114" s="24">
        <f t="shared" si="54"/>
        <v>5</v>
      </c>
      <c r="L114" s="24" t="s">
        <v>154</v>
      </c>
      <c r="M114" s="25" t="e">
        <f>_xlfn.XLOOKUP($E114,PREÇO!$C$6:$C$89,PREÇO!$E$6:$E$89)</f>
        <v>#N/A</v>
      </c>
      <c r="N114" s="59" t="e">
        <f>IF(SUM(H114:M114)=0,SUMIFS($N115:$N$759,$B115:$B$759,$B114,$A115:$A$759,$A114),K114*M114)</f>
        <v>#N/A</v>
      </c>
      <c r="P114"/>
      <c r="Q114"/>
      <c r="R114" s="27"/>
      <c r="S114" s="27"/>
      <c r="T114" s="27"/>
      <c r="U114" s="27"/>
      <c r="V114" s="27"/>
      <c r="W114" s="27"/>
      <c r="X114" s="27"/>
      <c r="Y114" s="27"/>
    </row>
    <row r="115" spans="1:25" outlineLevel="1">
      <c r="A115" s="93" t="str">
        <f t="shared" ref="A115" si="71">A114</f>
        <v>GERAL</v>
      </c>
      <c r="B115" s="93" t="str">
        <f t="shared" si="70"/>
        <v>3° PAV. - ESTAC. 02</v>
      </c>
      <c r="C115" s="120" t="s">
        <v>278</v>
      </c>
      <c r="D115" s="95" t="s">
        <v>96</v>
      </c>
      <c r="E115" s="95" t="s">
        <v>85</v>
      </c>
      <c r="F115" s="96" t="s">
        <v>86</v>
      </c>
      <c r="G115" s="96" t="s">
        <v>88</v>
      </c>
      <c r="H115" s="135">
        <v>4</v>
      </c>
      <c r="I115" s="98">
        <v>1</v>
      </c>
      <c r="J115" s="98">
        <v>0</v>
      </c>
      <c r="K115" s="98">
        <f t="shared" si="54"/>
        <v>4</v>
      </c>
      <c r="L115" s="98" t="s">
        <v>154</v>
      </c>
      <c r="M115" s="99" t="e">
        <f>_xlfn.XLOOKUP($E115,PREÇO!$C$6:$C$89,PREÇO!$E$6:$E$89)</f>
        <v>#N/A</v>
      </c>
      <c r="N115" s="100" t="e">
        <f>IF(SUM(H115:M115)=0,SUMIFS($N120:$N$759,$B120:$B$759,$B115,$A120:$A$759,$A115),K115*M115)</f>
        <v>#N/A</v>
      </c>
      <c r="P115"/>
      <c r="Q115"/>
      <c r="R115" s="27"/>
      <c r="S115" s="27"/>
      <c r="T115" s="27"/>
      <c r="U115" s="27"/>
      <c r="V115" s="27"/>
      <c r="W115" s="27"/>
      <c r="X115" s="27"/>
      <c r="Y115" s="27"/>
    </row>
    <row r="116" spans="1:25" outlineLevel="1">
      <c r="A116" s="86" t="str">
        <f>A115</f>
        <v>GERAL</v>
      </c>
      <c r="B116" s="86" t="str">
        <f>B115</f>
        <v>3° PAV. - ESTAC. 02</v>
      </c>
      <c r="C116" s="117" t="s">
        <v>276</v>
      </c>
      <c r="D116" s="88" t="s">
        <v>167</v>
      </c>
      <c r="E116" s="88" t="s">
        <v>164</v>
      </c>
      <c r="F116" s="90" t="s">
        <v>55</v>
      </c>
      <c r="G116" s="91" t="s">
        <v>166</v>
      </c>
      <c r="H116" s="136">
        <v>1</v>
      </c>
      <c r="I116" s="28">
        <v>1</v>
      </c>
      <c r="J116" s="28">
        <v>0</v>
      </c>
      <c r="K116" s="28">
        <f t="shared" si="54"/>
        <v>1</v>
      </c>
      <c r="L116" s="28" t="s">
        <v>154</v>
      </c>
      <c r="M116" s="92"/>
      <c r="N116" s="87"/>
      <c r="P116"/>
      <c r="Q116"/>
      <c r="R116" s="27"/>
      <c r="S116" s="27"/>
      <c r="T116" s="27"/>
      <c r="U116" s="27"/>
      <c r="V116" s="27"/>
      <c r="W116" s="27"/>
      <c r="X116" s="27"/>
      <c r="Y116" s="27"/>
    </row>
    <row r="117" spans="1:25" outlineLevel="1">
      <c r="A117" s="23" t="str">
        <f>A116</f>
        <v>GERAL</v>
      </c>
      <c r="B117" s="23" t="str">
        <f>B116</f>
        <v>3° PAV. - ESTAC. 02</v>
      </c>
      <c r="C117" s="65" t="s">
        <v>276</v>
      </c>
      <c r="D117" s="29" t="s">
        <v>167</v>
      </c>
      <c r="E117" s="74" t="s">
        <v>114</v>
      </c>
      <c r="F117" s="90" t="s">
        <v>55</v>
      </c>
      <c r="G117" s="83" t="s">
        <v>129</v>
      </c>
      <c r="H117" s="131">
        <v>1</v>
      </c>
      <c r="I117" s="24">
        <v>1</v>
      </c>
      <c r="J117" s="24">
        <v>0</v>
      </c>
      <c r="K117" s="24">
        <f t="shared" si="54"/>
        <v>1</v>
      </c>
      <c r="L117" s="24" t="s">
        <v>154</v>
      </c>
      <c r="M117" s="25"/>
      <c r="N117" s="59"/>
      <c r="P117"/>
      <c r="Q117"/>
      <c r="R117" s="27"/>
      <c r="S117" s="27"/>
      <c r="T117" s="27"/>
      <c r="U117" s="27"/>
      <c r="V117" s="27"/>
      <c r="W117" s="27"/>
      <c r="X117" s="27"/>
      <c r="Y117" s="27"/>
    </row>
    <row r="118" spans="1:25" outlineLevel="1">
      <c r="A118" s="23" t="str">
        <f t="shared" ref="A118:B119" si="72">A117</f>
        <v>GERAL</v>
      </c>
      <c r="B118" s="23" t="str">
        <f t="shared" si="72"/>
        <v>3° PAV. - ESTAC. 02</v>
      </c>
      <c r="C118" s="65" t="s">
        <v>276</v>
      </c>
      <c r="D118" s="29" t="s">
        <v>167</v>
      </c>
      <c r="E118" s="74" t="s">
        <v>78</v>
      </c>
      <c r="F118" s="90" t="s">
        <v>55</v>
      </c>
      <c r="G118" s="83" t="s">
        <v>79</v>
      </c>
      <c r="H118" s="131">
        <v>3</v>
      </c>
      <c r="I118" s="24">
        <v>1</v>
      </c>
      <c r="J118" s="24">
        <v>0</v>
      </c>
      <c r="K118" s="24">
        <f t="shared" si="54"/>
        <v>3</v>
      </c>
      <c r="L118" s="24" t="s">
        <v>154</v>
      </c>
      <c r="M118" s="25"/>
      <c r="N118" s="59"/>
      <c r="P118"/>
      <c r="Q118"/>
      <c r="R118" s="27"/>
      <c r="S118" s="27"/>
      <c r="T118" s="27"/>
      <c r="U118" s="27"/>
      <c r="V118" s="27"/>
      <c r="W118" s="27"/>
      <c r="X118" s="27"/>
      <c r="Y118" s="27"/>
    </row>
    <row r="119" spans="1:25" ht="30.75" outlineLevel="1" thickBot="1">
      <c r="A119" s="23" t="str">
        <f t="shared" si="72"/>
        <v>GERAL</v>
      </c>
      <c r="B119" s="23" t="str">
        <f t="shared" si="72"/>
        <v>3° PAV. - ESTAC. 02</v>
      </c>
      <c r="C119" s="117" t="s">
        <v>278</v>
      </c>
      <c r="D119" s="29" t="s">
        <v>167</v>
      </c>
      <c r="E119" s="88" t="s">
        <v>85</v>
      </c>
      <c r="F119" s="91" t="s">
        <v>165</v>
      </c>
      <c r="G119" s="91" t="s">
        <v>147</v>
      </c>
      <c r="H119" s="136">
        <v>1</v>
      </c>
      <c r="I119" s="28">
        <v>1</v>
      </c>
      <c r="J119" s="28">
        <v>0</v>
      </c>
      <c r="K119" s="28">
        <f t="shared" si="54"/>
        <v>1</v>
      </c>
      <c r="L119" s="28" t="s">
        <v>154</v>
      </c>
      <c r="M119" s="92"/>
      <c r="N119" s="87"/>
      <c r="P119"/>
      <c r="Q119"/>
      <c r="R119" s="27"/>
      <c r="S119" s="27"/>
      <c r="T119" s="27"/>
      <c r="U119" s="27"/>
      <c r="V119" s="27"/>
      <c r="W119" s="27"/>
      <c r="X119" s="27"/>
      <c r="Y119" s="27"/>
    </row>
    <row r="120" spans="1:25" ht="15.75" thickTop="1">
      <c r="A120" s="61" t="s">
        <v>15</v>
      </c>
      <c r="B120" s="61" t="s">
        <v>27</v>
      </c>
      <c r="C120" s="42"/>
      <c r="D120" s="43"/>
      <c r="E120" s="43"/>
      <c r="F120" s="82"/>
      <c r="G120" s="82"/>
      <c r="H120" s="132"/>
      <c r="I120" s="44"/>
      <c r="J120" s="44"/>
      <c r="K120" s="44"/>
      <c r="L120" s="44"/>
      <c r="M120" s="46"/>
      <c r="N120" s="47" t="e">
        <f>IF(SUM(H120:M120)=0,SUMIFS($N121:$N$759,$B121:$B$759,$B120,$A121:$A$759,$A120),K120*M120)</f>
        <v>#N/A</v>
      </c>
      <c r="P120"/>
      <c r="Q120"/>
      <c r="R120" s="27"/>
      <c r="S120" s="27"/>
      <c r="T120" s="27"/>
      <c r="U120" s="27"/>
      <c r="V120" s="27"/>
      <c r="W120" s="27"/>
      <c r="X120" s="27"/>
      <c r="Y120" s="27"/>
    </row>
    <row r="121" spans="1:25" outlineLevel="1">
      <c r="A121" s="23" t="str">
        <f t="shared" ref="A121:B125" si="73">A120</f>
        <v>GERAL</v>
      </c>
      <c r="B121" s="23" t="str">
        <f t="shared" si="73"/>
        <v>4º PAV. - ESTAC. 03</v>
      </c>
      <c r="C121" s="65" t="s">
        <v>278</v>
      </c>
      <c r="D121" s="29" t="s">
        <v>104</v>
      </c>
      <c r="E121" s="74" t="s">
        <v>40</v>
      </c>
      <c r="F121" s="76" t="s">
        <v>68</v>
      </c>
      <c r="G121" s="76" t="s">
        <v>45</v>
      </c>
      <c r="H121" s="131">
        <v>48</v>
      </c>
      <c r="I121" s="24">
        <v>1</v>
      </c>
      <c r="J121" s="24">
        <v>0</v>
      </c>
      <c r="K121" s="24">
        <f t="shared" ref="K121:K127" si="74">(H121+J121*H121)*I121</f>
        <v>48</v>
      </c>
      <c r="L121" s="24" t="s">
        <v>154</v>
      </c>
      <c r="M121" s="25" t="e">
        <f>_xlfn.XLOOKUP($E121,PREÇO!$C$6:$C$89,PREÇO!$E$6:$E$89)</f>
        <v>#N/A</v>
      </c>
      <c r="N121" s="59" t="e">
        <f>IF(SUM(H121:M121)=0,SUMIFS($N122:$N$759,$B122:$B$759,$B121,$A122:$A$759,$A121),K121*M121)</f>
        <v>#N/A</v>
      </c>
      <c r="P121"/>
      <c r="Q121"/>
      <c r="R121" s="27"/>
      <c r="S121" s="27"/>
      <c r="T121" s="27"/>
      <c r="U121" s="27"/>
      <c r="V121" s="27"/>
      <c r="W121" s="27"/>
      <c r="X121" s="27"/>
      <c r="Y121" s="27"/>
    </row>
    <row r="122" spans="1:25" ht="30" outlineLevel="1">
      <c r="A122" s="23" t="str">
        <f t="shared" ref="A122" si="75">A121</f>
        <v>GERAL</v>
      </c>
      <c r="B122" s="23" t="str">
        <f t="shared" si="73"/>
        <v>4º PAV. - ESTAC. 03</v>
      </c>
      <c r="C122" s="29" t="s">
        <v>278</v>
      </c>
      <c r="D122" s="29" t="s">
        <v>104</v>
      </c>
      <c r="E122" s="74" t="s">
        <v>41</v>
      </c>
      <c r="F122" s="76" t="s">
        <v>68</v>
      </c>
      <c r="G122" s="76" t="s">
        <v>46</v>
      </c>
      <c r="H122" s="131">
        <v>115</v>
      </c>
      <c r="I122" s="24">
        <v>1</v>
      </c>
      <c r="J122" s="24">
        <v>0</v>
      </c>
      <c r="K122" s="24">
        <f t="shared" si="74"/>
        <v>115</v>
      </c>
      <c r="L122" s="24" t="s">
        <v>154</v>
      </c>
      <c r="M122" s="25" t="e">
        <f>_xlfn.XLOOKUP($E122,PREÇO!$C$6:$C$89,PREÇO!$E$6:$E$89)</f>
        <v>#N/A</v>
      </c>
      <c r="N122" s="59" t="e">
        <f>IF(SUM(H122:M122)=0,SUMIFS($N123:$N$759,$B123:$B$759,$B122,$A123:$A$759,$A122),K122*M122)</f>
        <v>#N/A</v>
      </c>
      <c r="P122"/>
      <c r="Q122"/>
      <c r="R122" s="27"/>
      <c r="S122" s="27"/>
      <c r="T122" s="27"/>
      <c r="U122" s="27"/>
      <c r="V122" s="27"/>
      <c r="W122" s="27"/>
      <c r="X122" s="27"/>
      <c r="Y122" s="27"/>
    </row>
    <row r="123" spans="1:25" ht="30" outlineLevel="1">
      <c r="A123" s="23" t="str">
        <f t="shared" ref="A123" si="76">A122</f>
        <v>GERAL</v>
      </c>
      <c r="B123" s="23" t="str">
        <f t="shared" si="73"/>
        <v>4º PAV. - ESTAC. 03</v>
      </c>
      <c r="C123" s="29" t="s">
        <v>278</v>
      </c>
      <c r="D123" s="29" t="s">
        <v>104</v>
      </c>
      <c r="E123" s="74" t="s">
        <v>42</v>
      </c>
      <c r="F123" s="76" t="s">
        <v>68</v>
      </c>
      <c r="G123" s="76" t="s">
        <v>47</v>
      </c>
      <c r="H123" s="131">
        <v>10</v>
      </c>
      <c r="I123" s="24">
        <v>1</v>
      </c>
      <c r="J123" s="24">
        <v>0</v>
      </c>
      <c r="K123" s="24">
        <f t="shared" si="74"/>
        <v>10</v>
      </c>
      <c r="L123" s="24" t="s">
        <v>154</v>
      </c>
      <c r="M123" s="25" t="e">
        <f>_xlfn.XLOOKUP($E123,PREÇO!$C$6:$C$89,PREÇO!$E$6:$E$89)</f>
        <v>#N/A</v>
      </c>
      <c r="N123" s="59" t="e">
        <f>IF(SUM(H123:M123)=0,SUMIFS($N124:$N$759,$B124:$B$759,$B123,$A124:$A$759,$A123),K123*M123)</f>
        <v>#N/A</v>
      </c>
      <c r="P123"/>
      <c r="Q123"/>
      <c r="R123" s="27"/>
      <c r="S123" s="27"/>
      <c r="T123" s="27"/>
      <c r="U123" s="27"/>
      <c r="V123" s="27"/>
      <c r="W123" s="27"/>
      <c r="X123" s="27"/>
      <c r="Y123" s="27"/>
    </row>
    <row r="124" spans="1:25" ht="30" outlineLevel="1">
      <c r="A124" s="93" t="str">
        <f t="shared" ref="A124" si="77">A123</f>
        <v>GERAL</v>
      </c>
      <c r="B124" s="93" t="str">
        <f t="shared" si="73"/>
        <v>4º PAV. - ESTAC. 03</v>
      </c>
      <c r="C124" s="95" t="s">
        <v>278</v>
      </c>
      <c r="D124" s="95" t="s">
        <v>104</v>
      </c>
      <c r="E124" s="94" t="s">
        <v>43</v>
      </c>
      <c r="F124" s="97" t="s">
        <v>68</v>
      </c>
      <c r="G124" s="97" t="s">
        <v>48</v>
      </c>
      <c r="H124" s="135">
        <v>12</v>
      </c>
      <c r="I124" s="98">
        <v>1</v>
      </c>
      <c r="J124" s="98">
        <v>0</v>
      </c>
      <c r="K124" s="98">
        <f t="shared" si="74"/>
        <v>12</v>
      </c>
      <c r="L124" s="98" t="s">
        <v>154</v>
      </c>
      <c r="M124" s="99" t="e">
        <f>_xlfn.XLOOKUP($E124,PREÇO!$C$6:$C$89,PREÇO!$E$6:$E$89)</f>
        <v>#N/A</v>
      </c>
      <c r="N124" s="100" t="e">
        <f>IF(SUM(H124:M124)=0,SUMIFS($N125:$N$759,$B125:$B$759,$B124,$A125:$A$759,$A124),K124*M124)</f>
        <v>#N/A</v>
      </c>
      <c r="P124"/>
      <c r="Q124"/>
      <c r="R124" s="27"/>
      <c r="S124" s="27"/>
      <c r="T124" s="27"/>
      <c r="U124" s="27"/>
      <c r="V124" s="27"/>
      <c r="W124" s="27"/>
      <c r="X124" s="27"/>
      <c r="Y124" s="27"/>
    </row>
    <row r="125" spans="1:25" ht="30" outlineLevel="1">
      <c r="A125" s="86" t="str">
        <f t="shared" ref="A125:B136" si="78">A124</f>
        <v>GERAL</v>
      </c>
      <c r="B125" s="86" t="str">
        <f t="shared" si="73"/>
        <v>4º PAV. - ESTAC. 03</v>
      </c>
      <c r="C125" s="89" t="s">
        <v>278</v>
      </c>
      <c r="D125" s="88" t="s">
        <v>94</v>
      </c>
      <c r="E125" s="88" t="s">
        <v>51</v>
      </c>
      <c r="F125" s="90" t="s">
        <v>56</v>
      </c>
      <c r="G125" s="91" t="s">
        <v>57</v>
      </c>
      <c r="H125" s="136">
        <v>4</v>
      </c>
      <c r="I125" s="28">
        <v>1</v>
      </c>
      <c r="J125" s="28">
        <v>0</v>
      </c>
      <c r="K125" s="28">
        <f t="shared" si="74"/>
        <v>4</v>
      </c>
      <c r="L125" s="28" t="s">
        <v>154</v>
      </c>
      <c r="M125" s="92" t="e">
        <f>_xlfn.XLOOKUP($E125,PREÇO!$C$6:$C$89,PREÇO!$E$6:$E$89)</f>
        <v>#N/A</v>
      </c>
      <c r="N125" s="87" t="e">
        <f>IF(SUM(H125:M125)=0,SUMIFS($N126:$N$759,$B126:$B$759,$B125,$A126:$A$759,$A125),K125*M125)</f>
        <v>#N/A</v>
      </c>
      <c r="P125"/>
      <c r="Q125"/>
      <c r="R125" s="27"/>
      <c r="S125" s="27"/>
      <c r="T125" s="27"/>
      <c r="U125" s="27"/>
      <c r="V125" s="27"/>
      <c r="W125" s="27"/>
      <c r="X125" s="27"/>
      <c r="Y125" s="27"/>
    </row>
    <row r="126" spans="1:25" outlineLevel="1">
      <c r="A126" s="23" t="str">
        <f t="shared" si="78"/>
        <v>GERAL</v>
      </c>
      <c r="B126" s="23" t="str">
        <f t="shared" si="78"/>
        <v>4º PAV. - ESTAC. 03</v>
      </c>
      <c r="C126" s="29" t="s">
        <v>276</v>
      </c>
      <c r="D126" s="74" t="s">
        <v>94</v>
      </c>
      <c r="E126" s="29" t="s">
        <v>69</v>
      </c>
      <c r="F126" s="83" t="s">
        <v>55</v>
      </c>
      <c r="G126" s="83" t="s">
        <v>70</v>
      </c>
      <c r="H126" s="131">
        <v>1</v>
      </c>
      <c r="I126" s="24">
        <v>1</v>
      </c>
      <c r="J126" s="24">
        <v>0</v>
      </c>
      <c r="K126" s="24">
        <f t="shared" si="74"/>
        <v>1</v>
      </c>
      <c r="L126" s="24" t="s">
        <v>154</v>
      </c>
      <c r="M126" s="25" t="e">
        <f>_xlfn.XLOOKUP(#REF!,PREÇO!$C$6:$C$89,PREÇO!$E$6:$E$89)</f>
        <v>#REF!</v>
      </c>
      <c r="N126" s="59" t="e">
        <f>IF(SUM(H126:M126)=0,SUMIFS($N127:$N$759,$B127:$B$759,$B126,$A127:$A$759,$A126),K126*M126)</f>
        <v>#REF!</v>
      </c>
      <c r="P126"/>
      <c r="Q126"/>
      <c r="R126" s="27"/>
      <c r="S126" s="27"/>
      <c r="T126" s="27"/>
      <c r="U126" s="27"/>
      <c r="V126" s="27"/>
      <c r="W126" s="27"/>
      <c r="X126" s="27"/>
      <c r="Y126" s="27"/>
    </row>
    <row r="127" spans="1:25" outlineLevel="1">
      <c r="A127" s="23" t="str">
        <f t="shared" si="78"/>
        <v>GERAL</v>
      </c>
      <c r="B127" s="23" t="str">
        <f t="shared" si="78"/>
        <v>4º PAV. - ESTAC. 03</v>
      </c>
      <c r="C127" s="29" t="s">
        <v>276</v>
      </c>
      <c r="D127" s="74" t="s">
        <v>94</v>
      </c>
      <c r="E127" s="29" t="s">
        <v>69</v>
      </c>
      <c r="F127" s="83" t="s">
        <v>55</v>
      </c>
      <c r="G127" s="83" t="s">
        <v>71</v>
      </c>
      <c r="H127" s="131">
        <v>1</v>
      </c>
      <c r="I127" s="24">
        <v>1</v>
      </c>
      <c r="J127" s="24">
        <v>0</v>
      </c>
      <c r="K127" s="24">
        <f t="shared" si="74"/>
        <v>1</v>
      </c>
      <c r="L127" s="24" t="s">
        <v>154</v>
      </c>
      <c r="M127" s="25" t="e">
        <f>_xlfn.XLOOKUP($E126,PREÇO!$C$6:$C$89,PREÇO!$E$6:$E$89)</f>
        <v>#N/A</v>
      </c>
      <c r="N127" s="59" t="e">
        <f>IF(SUM(H127:M127)=0,SUMIFS($N128:$N$759,$B128:$B$759,$B127,$A128:$A$759,$A127),K127*M127)</f>
        <v>#N/A</v>
      </c>
      <c r="P127"/>
      <c r="Q127"/>
      <c r="R127" s="27"/>
      <c r="S127" s="27"/>
      <c r="T127" s="27"/>
      <c r="U127" s="27"/>
      <c r="V127" s="27"/>
      <c r="W127" s="27"/>
      <c r="X127" s="27"/>
      <c r="Y127" s="27"/>
    </row>
    <row r="128" spans="1:25" outlineLevel="1">
      <c r="A128" s="23" t="str">
        <f t="shared" si="78"/>
        <v>GERAL</v>
      </c>
      <c r="B128" s="23" t="str">
        <f t="shared" si="78"/>
        <v>4º PAV. - ESTAC. 03</v>
      </c>
      <c r="C128" s="29" t="s">
        <v>276</v>
      </c>
      <c r="D128" s="74" t="s">
        <v>94</v>
      </c>
      <c r="E128" s="74" t="s">
        <v>72</v>
      </c>
      <c r="F128" s="83" t="s">
        <v>55</v>
      </c>
      <c r="G128" s="83" t="s">
        <v>75</v>
      </c>
      <c r="H128" s="131">
        <v>1</v>
      </c>
      <c r="I128" s="24">
        <v>1</v>
      </c>
      <c r="J128" s="24">
        <v>0</v>
      </c>
      <c r="K128" s="24">
        <f t="shared" ref="K128:K131" si="79">(H128+J128*H128)*I128</f>
        <v>1</v>
      </c>
      <c r="L128" s="24" t="s">
        <v>154</v>
      </c>
      <c r="M128" s="25" t="e">
        <f>_xlfn.XLOOKUP($E127,PREÇO!$C$6:$C$89,PREÇO!$E$6:$E$89)</f>
        <v>#N/A</v>
      </c>
      <c r="N128" s="59" t="e">
        <f>IF(SUM(H128:M128)=0,SUMIFS($N129:$N$759,$B129:$B$759,$B128,$A129:$A$759,$A128),K128*M128)</f>
        <v>#N/A</v>
      </c>
      <c r="P128"/>
      <c r="Q128"/>
      <c r="R128" s="27"/>
      <c r="S128" s="27"/>
      <c r="T128" s="27"/>
      <c r="U128" s="27"/>
      <c r="V128" s="27"/>
      <c r="W128" s="27"/>
      <c r="X128" s="27"/>
      <c r="Y128" s="27"/>
    </row>
    <row r="129" spans="1:25" outlineLevel="1">
      <c r="A129" s="23" t="str">
        <f t="shared" si="78"/>
        <v>GERAL</v>
      </c>
      <c r="B129" s="23" t="str">
        <f t="shared" si="78"/>
        <v>4º PAV. - ESTAC. 03</v>
      </c>
      <c r="C129" s="29" t="s">
        <v>276</v>
      </c>
      <c r="D129" s="74" t="s">
        <v>94</v>
      </c>
      <c r="E129" s="74" t="s">
        <v>73</v>
      </c>
      <c r="F129" s="83" t="s">
        <v>55</v>
      </c>
      <c r="G129" s="83" t="s">
        <v>92</v>
      </c>
      <c r="H129" s="131">
        <v>1</v>
      </c>
      <c r="I129" s="24">
        <v>1</v>
      </c>
      <c r="J129" s="24">
        <v>0</v>
      </c>
      <c r="K129" s="24">
        <f t="shared" si="79"/>
        <v>1</v>
      </c>
      <c r="L129" s="24" t="s">
        <v>154</v>
      </c>
      <c r="M129" s="25" t="e">
        <f>_xlfn.XLOOKUP($E128,PREÇO!$C$6:$C$89,PREÇO!$E$6:$E$89)</f>
        <v>#N/A</v>
      </c>
      <c r="N129" s="59" t="e">
        <f>IF(SUM(H129:M129)=0,SUMIFS($N130:$N$759,$B130:$B$759,$B129,$A130:$A$759,$A129),K129*M129)</f>
        <v>#N/A</v>
      </c>
      <c r="P129"/>
      <c r="Q129"/>
      <c r="R129" s="27"/>
      <c r="S129" s="27"/>
      <c r="T129" s="27"/>
      <c r="U129" s="27"/>
      <c r="V129" s="27"/>
      <c r="W129" s="27"/>
      <c r="X129" s="27"/>
      <c r="Y129" s="27"/>
    </row>
    <row r="130" spans="1:25" outlineLevel="1">
      <c r="A130" s="23" t="str">
        <f t="shared" si="78"/>
        <v>GERAL</v>
      </c>
      <c r="B130" s="23" t="str">
        <f t="shared" si="78"/>
        <v>4º PAV. - ESTAC. 03</v>
      </c>
      <c r="C130" s="29" t="s">
        <v>276</v>
      </c>
      <c r="D130" s="74" t="s">
        <v>94</v>
      </c>
      <c r="E130" s="74" t="s">
        <v>76</v>
      </c>
      <c r="F130" s="83" t="s">
        <v>55</v>
      </c>
      <c r="G130" s="76" t="s">
        <v>77</v>
      </c>
      <c r="H130" s="131">
        <v>1</v>
      </c>
      <c r="I130" s="24">
        <v>1</v>
      </c>
      <c r="J130" s="24">
        <v>0</v>
      </c>
      <c r="K130" s="24">
        <f t="shared" si="79"/>
        <v>1</v>
      </c>
      <c r="L130" s="24" t="s">
        <v>154</v>
      </c>
      <c r="M130" s="25" t="e">
        <f>_xlfn.XLOOKUP(#REF!,PREÇO!$C$6:$C$89,PREÇO!$E$6:$E$89)</f>
        <v>#REF!</v>
      </c>
      <c r="N130" s="59" t="e">
        <f>IF(SUM(H130:M130)=0,SUMIFS($N131:$N$759,$B131:$B$759,$B130,$A131:$A$759,$A130),K130*M130)</f>
        <v>#REF!</v>
      </c>
      <c r="P130"/>
      <c r="Q130"/>
      <c r="R130" s="27"/>
      <c r="S130" s="27"/>
      <c r="T130" s="27"/>
      <c r="U130" s="27"/>
      <c r="V130" s="27"/>
      <c r="W130" s="27"/>
      <c r="X130" s="27"/>
      <c r="Y130" s="27"/>
    </row>
    <row r="131" spans="1:25" outlineLevel="1">
      <c r="A131" s="23" t="str">
        <f t="shared" si="78"/>
        <v>GERAL</v>
      </c>
      <c r="B131" s="23" t="str">
        <f t="shared" si="78"/>
        <v>4º PAV. - ESTAC. 03</v>
      </c>
      <c r="C131" s="29" t="s">
        <v>276</v>
      </c>
      <c r="D131" s="74" t="s">
        <v>94</v>
      </c>
      <c r="E131" s="74" t="s">
        <v>78</v>
      </c>
      <c r="F131" s="83" t="s">
        <v>55</v>
      </c>
      <c r="G131" s="83" t="s">
        <v>79</v>
      </c>
      <c r="H131" s="131">
        <v>3</v>
      </c>
      <c r="I131" s="24">
        <v>1</v>
      </c>
      <c r="J131" s="24">
        <v>0</v>
      </c>
      <c r="K131" s="24">
        <f t="shared" si="79"/>
        <v>3</v>
      </c>
      <c r="L131" s="24" t="s">
        <v>154</v>
      </c>
      <c r="M131" s="25" t="e">
        <f>_xlfn.XLOOKUP($E129,PREÇO!$C$6:$C$89,PREÇO!$E$6:$E$89)</f>
        <v>#N/A</v>
      </c>
      <c r="N131" s="59" t="e">
        <f>IF(SUM(H131:M131)=0,SUMIFS($N132:$N$759,$B132:$B$759,$B131,$A132:$A$759,$A131),K131*M131)</f>
        <v>#N/A</v>
      </c>
      <c r="P131"/>
      <c r="Q131"/>
      <c r="R131" s="27"/>
      <c r="S131" s="27"/>
      <c r="T131" s="27"/>
      <c r="U131" s="27"/>
      <c r="V131" s="27"/>
      <c r="W131" s="27"/>
      <c r="X131" s="27"/>
      <c r="Y131" s="27"/>
    </row>
    <row r="132" spans="1:25" outlineLevel="1">
      <c r="A132" s="23" t="str">
        <f t="shared" si="78"/>
        <v>GERAL</v>
      </c>
      <c r="B132" s="23" t="str">
        <f t="shared" si="78"/>
        <v>4º PAV. - ESTAC. 03</v>
      </c>
      <c r="C132" s="23" t="s">
        <v>276</v>
      </c>
      <c r="D132" s="74" t="s">
        <v>94</v>
      </c>
      <c r="E132" s="74" t="s">
        <v>80</v>
      </c>
      <c r="F132" s="83" t="s">
        <v>55</v>
      </c>
      <c r="G132" s="83" t="s">
        <v>81</v>
      </c>
      <c r="H132" s="131">
        <v>6</v>
      </c>
      <c r="I132" s="24">
        <v>1</v>
      </c>
      <c r="J132" s="24">
        <v>0</v>
      </c>
      <c r="K132" s="24">
        <f>(H131+J132*H131)*I132</f>
        <v>3</v>
      </c>
      <c r="L132" s="24" t="s">
        <v>154</v>
      </c>
      <c r="M132" s="25" t="e">
        <f>_xlfn.XLOOKUP(#REF!,PREÇO!$C$6:$C$89,PREÇO!$E$6:$E$89)</f>
        <v>#REF!</v>
      </c>
      <c r="N132" s="59" t="e">
        <f>IF(SUM(H132:M132)=0,SUMIFS($N133:$N$759,$B133:$B$759,$B132,$A133:$A$759,$A132),K132*M132)</f>
        <v>#REF!</v>
      </c>
      <c r="P132"/>
      <c r="Q132"/>
      <c r="R132" s="27"/>
      <c r="S132" s="27"/>
      <c r="T132" s="27"/>
      <c r="U132" s="27"/>
      <c r="V132" s="27"/>
      <c r="W132" s="27"/>
      <c r="X132" s="27"/>
      <c r="Y132" s="27"/>
    </row>
    <row r="133" spans="1:25" outlineLevel="1">
      <c r="A133" s="23" t="str">
        <f t="shared" si="78"/>
        <v>GERAL</v>
      </c>
      <c r="B133" s="23" t="str">
        <f t="shared" si="78"/>
        <v>4º PAV. - ESTAC. 03</v>
      </c>
      <c r="C133" s="23" t="s">
        <v>278</v>
      </c>
      <c r="D133" s="74" t="s">
        <v>94</v>
      </c>
      <c r="E133" s="74" t="s">
        <v>83</v>
      </c>
      <c r="F133" s="76" t="s">
        <v>89</v>
      </c>
      <c r="G133" s="74" t="s">
        <v>82</v>
      </c>
      <c r="H133" s="131">
        <v>1</v>
      </c>
      <c r="I133" s="24">
        <v>1</v>
      </c>
      <c r="J133" s="24">
        <v>0</v>
      </c>
      <c r="K133" s="24">
        <f>(H132+J133*H132)*I133</f>
        <v>6</v>
      </c>
      <c r="L133" s="24" t="s">
        <v>154</v>
      </c>
      <c r="M133" s="25" t="e">
        <f>_xlfn.XLOOKUP($E130,PREÇO!$C$6:$C$89,PREÇO!$E$6:$E$89)</f>
        <v>#N/A</v>
      </c>
      <c r="N133" s="59" t="e">
        <f>IF(SUM(H133:M133)=0,SUMIFS($N134:$N$759,$B134:$B$759,$B133,$A134:$A$759,$A133),K133*M133)</f>
        <v>#N/A</v>
      </c>
      <c r="P133"/>
      <c r="Q133"/>
      <c r="R133" s="27"/>
      <c r="S133" s="27"/>
      <c r="T133" s="27"/>
      <c r="U133" s="27"/>
      <c r="V133" s="27"/>
      <c r="W133" s="27"/>
      <c r="X133" s="27"/>
      <c r="Y133" s="27"/>
    </row>
    <row r="134" spans="1:25" outlineLevel="1">
      <c r="A134" s="23" t="str">
        <f t="shared" si="78"/>
        <v>GERAL</v>
      </c>
      <c r="B134" s="23" t="str">
        <f t="shared" si="78"/>
        <v>4º PAV. - ESTAC. 03</v>
      </c>
      <c r="C134" s="23" t="s">
        <v>278</v>
      </c>
      <c r="D134" s="74" t="s">
        <v>94</v>
      </c>
      <c r="E134" s="74" t="s">
        <v>63</v>
      </c>
      <c r="F134" s="76" t="s">
        <v>64</v>
      </c>
      <c r="G134" s="74" t="s">
        <v>67</v>
      </c>
      <c r="H134" s="131">
        <v>4</v>
      </c>
      <c r="I134" s="24">
        <v>1</v>
      </c>
      <c r="J134" s="24">
        <v>0</v>
      </c>
      <c r="K134" s="24">
        <f>(H133+J134*H133)*I134</f>
        <v>1</v>
      </c>
      <c r="L134" s="24" t="s">
        <v>154</v>
      </c>
      <c r="M134" s="25" t="e">
        <f>_xlfn.XLOOKUP($E134,PREÇO!$C$6:$C$89,PREÇO!$E$6:$E$89)</f>
        <v>#N/A</v>
      </c>
      <c r="N134" s="59" t="e">
        <f>IF(SUM(H134:M134)=0,SUMIFS($N135:$N$759,$B135:$B$759,$B134,$A135:$A$759,$A134),K134*M134)</f>
        <v>#N/A</v>
      </c>
      <c r="P134"/>
      <c r="Q134"/>
      <c r="R134" s="27"/>
      <c r="S134" s="27"/>
      <c r="T134" s="27"/>
      <c r="U134" s="27"/>
      <c r="V134" s="27"/>
      <c r="W134" s="27"/>
      <c r="X134" s="27"/>
      <c r="Y134" s="27"/>
    </row>
    <row r="135" spans="1:25" outlineLevel="1">
      <c r="A135" s="23" t="str">
        <f t="shared" si="78"/>
        <v>GERAL</v>
      </c>
      <c r="B135" s="23" t="str">
        <f t="shared" si="78"/>
        <v>4º PAV. - ESTAC. 03</v>
      </c>
      <c r="C135" s="23" t="s">
        <v>278</v>
      </c>
      <c r="D135" s="74" t="s">
        <v>94</v>
      </c>
      <c r="E135" s="74" t="s">
        <v>84</v>
      </c>
      <c r="F135" s="76" t="s">
        <v>64</v>
      </c>
      <c r="G135" s="74" t="s">
        <v>65</v>
      </c>
      <c r="H135" s="131">
        <v>4</v>
      </c>
      <c r="I135" s="24">
        <v>1</v>
      </c>
      <c r="J135" s="24">
        <v>0</v>
      </c>
      <c r="K135" s="24">
        <f t="shared" si="41"/>
        <v>4</v>
      </c>
      <c r="L135" s="24" t="s">
        <v>154</v>
      </c>
      <c r="M135" s="25" t="e">
        <f>_xlfn.XLOOKUP($E131,PREÇO!$C$6:$C$89,PREÇO!$E$6:$E$89)</f>
        <v>#N/A</v>
      </c>
      <c r="N135" s="59" t="e">
        <f>IF(SUM(H135:M135)=0,SUMIFS($N136:$N$759,$B136:$B$759,$B135,$A136:$A$759,$A135),K135*M135)</f>
        <v>#N/A</v>
      </c>
      <c r="P135"/>
      <c r="Q135"/>
      <c r="R135" s="27"/>
      <c r="S135" s="27"/>
      <c r="T135" s="27"/>
      <c r="U135" s="27"/>
      <c r="V135" s="27"/>
      <c r="W135" s="27"/>
      <c r="X135" s="27"/>
      <c r="Y135" s="27"/>
    </row>
    <row r="136" spans="1:25" outlineLevel="1">
      <c r="A136" s="23" t="str">
        <f t="shared" si="78"/>
        <v>GERAL</v>
      </c>
      <c r="B136" s="23" t="str">
        <f t="shared" si="78"/>
        <v>4º PAV. - ESTAC. 03</v>
      </c>
      <c r="C136" s="23" t="s">
        <v>278</v>
      </c>
      <c r="D136" s="74" t="s">
        <v>94</v>
      </c>
      <c r="E136" s="74" t="s">
        <v>85</v>
      </c>
      <c r="F136" s="76" t="s">
        <v>86</v>
      </c>
      <c r="G136" s="74" t="s">
        <v>87</v>
      </c>
      <c r="H136" s="131">
        <v>5</v>
      </c>
      <c r="I136" s="24">
        <v>1</v>
      </c>
      <c r="J136" s="24">
        <v>0</v>
      </c>
      <c r="K136" s="24">
        <f t="shared" ref="K136:K141" si="80">(H136+J136*H136)*I136</f>
        <v>5</v>
      </c>
      <c r="L136" s="24" t="s">
        <v>154</v>
      </c>
      <c r="M136" s="25" t="e">
        <f>_xlfn.XLOOKUP($E136,PREÇO!$C$6:$C$89,PREÇO!$E$6:$E$89)</f>
        <v>#N/A</v>
      </c>
      <c r="N136" s="59" t="e">
        <f>IF(SUM(H136:M136)=0,SUMIFS($N137:$N$759,$B137:$B$759,$B136,$A137:$A$759,$A136),K136*M136)</f>
        <v>#N/A</v>
      </c>
      <c r="P136"/>
      <c r="Q136"/>
      <c r="R136" s="27"/>
      <c r="S136" s="27"/>
      <c r="T136" s="27"/>
      <c r="U136" s="27"/>
      <c r="V136" s="27"/>
      <c r="W136" s="27"/>
      <c r="X136" s="27"/>
      <c r="Y136" s="27"/>
    </row>
    <row r="137" spans="1:25" outlineLevel="1">
      <c r="A137" s="93" t="str">
        <f t="shared" ref="A137" si="81">A136</f>
        <v>GERAL</v>
      </c>
      <c r="B137" s="93" t="str">
        <f t="shared" ref="B137" si="82">B136</f>
        <v>4º PAV. - ESTAC. 03</v>
      </c>
      <c r="C137" s="95" t="s">
        <v>278</v>
      </c>
      <c r="D137" s="94" t="s">
        <v>94</v>
      </c>
      <c r="E137" s="94" t="s">
        <v>85</v>
      </c>
      <c r="F137" s="97" t="s">
        <v>86</v>
      </c>
      <c r="G137" s="94" t="s">
        <v>88</v>
      </c>
      <c r="H137" s="135">
        <v>4</v>
      </c>
      <c r="I137" s="98">
        <v>1</v>
      </c>
      <c r="J137" s="98">
        <v>0</v>
      </c>
      <c r="K137" s="98">
        <f t="shared" si="80"/>
        <v>4</v>
      </c>
      <c r="L137" s="98" t="s">
        <v>154</v>
      </c>
      <c r="M137" s="99" t="e">
        <f>_xlfn.XLOOKUP($E132,PREÇO!$C$6:$C$89,PREÇO!$E$6:$E$89)</f>
        <v>#N/A</v>
      </c>
      <c r="N137" s="100" t="e">
        <f>IF(SUM(H137:M137)=0,SUMIFS($N142:$N$759,$B142:$B$759,$B137,$A142:$A$759,$A137),K137*M137)</f>
        <v>#N/A</v>
      </c>
      <c r="P137"/>
      <c r="Q137"/>
      <c r="R137" s="27"/>
      <c r="S137" s="27"/>
      <c r="T137" s="27"/>
      <c r="U137" s="27"/>
      <c r="V137" s="27"/>
      <c r="W137" s="27"/>
      <c r="X137" s="27"/>
      <c r="Y137" s="27"/>
    </row>
    <row r="138" spans="1:25" outlineLevel="1">
      <c r="A138" s="86" t="str">
        <f t="shared" ref="A138" si="83">A137</f>
        <v>GERAL</v>
      </c>
      <c r="B138" s="86" t="str">
        <f t="shared" ref="B138" si="84">B137</f>
        <v>4º PAV. - ESTAC. 03</v>
      </c>
      <c r="C138" s="89" t="s">
        <v>276</v>
      </c>
      <c r="D138" s="88" t="s">
        <v>174</v>
      </c>
      <c r="E138" s="88" t="s">
        <v>168</v>
      </c>
      <c r="F138" s="91" t="s">
        <v>55</v>
      </c>
      <c r="G138" s="91" t="s">
        <v>171</v>
      </c>
      <c r="H138" s="136">
        <v>1</v>
      </c>
      <c r="I138" s="28">
        <v>1</v>
      </c>
      <c r="J138" s="28">
        <v>0</v>
      </c>
      <c r="K138" s="28">
        <f t="shared" si="80"/>
        <v>1</v>
      </c>
      <c r="L138" s="28" t="s">
        <v>154</v>
      </c>
      <c r="M138" s="92"/>
      <c r="N138" s="87"/>
      <c r="P138"/>
      <c r="Q138"/>
      <c r="R138" s="27"/>
      <c r="S138" s="27"/>
      <c r="T138" s="27"/>
      <c r="U138" s="27"/>
      <c r="V138" s="27"/>
      <c r="W138" s="27"/>
      <c r="X138" s="27"/>
      <c r="Y138" s="27"/>
    </row>
    <row r="139" spans="1:25" outlineLevel="1">
      <c r="A139" s="23" t="str">
        <f t="shared" ref="A139" si="85">A138</f>
        <v>GERAL</v>
      </c>
      <c r="B139" s="23" t="str">
        <f t="shared" ref="B139" si="86">B138</f>
        <v>4º PAV. - ESTAC. 03</v>
      </c>
      <c r="C139" s="29" t="s">
        <v>276</v>
      </c>
      <c r="D139" s="74" t="s">
        <v>174</v>
      </c>
      <c r="E139" s="74" t="s">
        <v>169</v>
      </c>
      <c r="F139" s="91" t="s">
        <v>55</v>
      </c>
      <c r="G139" s="76" t="s">
        <v>172</v>
      </c>
      <c r="H139" s="131">
        <v>5</v>
      </c>
      <c r="I139" s="24">
        <v>1</v>
      </c>
      <c r="J139" s="24">
        <v>0</v>
      </c>
      <c r="K139" s="24">
        <f t="shared" si="80"/>
        <v>5</v>
      </c>
      <c r="L139" s="24" t="s">
        <v>154</v>
      </c>
      <c r="M139" s="25"/>
      <c r="N139" s="59"/>
      <c r="P139"/>
      <c r="Q139"/>
      <c r="R139" s="27"/>
      <c r="S139" s="27"/>
      <c r="T139" s="27"/>
      <c r="U139" s="27"/>
      <c r="V139" s="27"/>
      <c r="W139" s="27"/>
      <c r="X139" s="27"/>
      <c r="Y139" s="27"/>
    </row>
    <row r="140" spans="1:25" outlineLevel="1">
      <c r="A140" s="23" t="str">
        <f t="shared" ref="A140" si="87">A139</f>
        <v>GERAL</v>
      </c>
      <c r="B140" s="23" t="str">
        <f t="shared" ref="B140" si="88">B139</f>
        <v>4º PAV. - ESTAC. 03</v>
      </c>
      <c r="C140" s="29" t="s">
        <v>276</v>
      </c>
      <c r="D140" s="74" t="s">
        <v>174</v>
      </c>
      <c r="E140" s="74" t="s">
        <v>157</v>
      </c>
      <c r="F140" s="91"/>
      <c r="G140" s="76"/>
      <c r="H140" s="131">
        <v>1</v>
      </c>
      <c r="I140" s="24">
        <v>1</v>
      </c>
      <c r="J140" s="24">
        <v>0</v>
      </c>
      <c r="K140" s="24">
        <f t="shared" si="80"/>
        <v>1</v>
      </c>
      <c r="L140" s="24" t="s">
        <v>154</v>
      </c>
      <c r="M140" s="25"/>
      <c r="N140" s="59"/>
      <c r="P140"/>
      <c r="Q140"/>
      <c r="R140" s="27"/>
      <c r="S140" s="27"/>
      <c r="T140" s="27"/>
      <c r="U140" s="27"/>
      <c r="V140" s="27"/>
      <c r="W140" s="27"/>
      <c r="X140" s="27"/>
      <c r="Y140" s="27"/>
    </row>
    <row r="141" spans="1:25" ht="30.75" outlineLevel="1" thickBot="1">
      <c r="A141" s="23" t="str">
        <f t="shared" ref="A141" si="89">A140</f>
        <v>GERAL</v>
      </c>
      <c r="B141" s="23" t="str">
        <f t="shared" ref="B141" si="90">B140</f>
        <v>4º PAV. - ESTAC. 03</v>
      </c>
      <c r="C141" s="29" t="s">
        <v>278</v>
      </c>
      <c r="D141" s="74" t="s">
        <v>174</v>
      </c>
      <c r="E141" s="74" t="s">
        <v>170</v>
      </c>
      <c r="F141" s="91" t="s">
        <v>55</v>
      </c>
      <c r="G141" s="76" t="s">
        <v>173</v>
      </c>
      <c r="H141" s="131">
        <v>1</v>
      </c>
      <c r="I141" s="24">
        <v>1</v>
      </c>
      <c r="J141" s="24">
        <v>0</v>
      </c>
      <c r="K141" s="24">
        <f t="shared" si="80"/>
        <v>1</v>
      </c>
      <c r="L141" s="24" t="s">
        <v>154</v>
      </c>
      <c r="M141" s="25"/>
      <c r="N141" s="59"/>
      <c r="P141"/>
      <c r="Q141"/>
      <c r="R141" s="27"/>
      <c r="S141" s="27"/>
      <c r="T141" s="27"/>
      <c r="U141" s="27"/>
      <c r="V141" s="27"/>
      <c r="W141" s="27"/>
      <c r="X141" s="27"/>
      <c r="Y141" s="27"/>
    </row>
    <row r="142" spans="1:25" ht="15.75" thickTop="1">
      <c r="A142" s="41" t="s">
        <v>15</v>
      </c>
      <c r="B142" s="63" t="s">
        <v>28</v>
      </c>
      <c r="C142" s="42"/>
      <c r="D142" s="43"/>
      <c r="E142" s="43"/>
      <c r="F142" s="82"/>
      <c r="G142" s="82"/>
      <c r="H142" s="132"/>
      <c r="I142" s="44"/>
      <c r="J142" s="44"/>
      <c r="K142" s="44"/>
      <c r="L142" s="44"/>
      <c r="M142" s="46"/>
      <c r="N142" s="47" t="e">
        <f>IF(SUM(H142:M142)=0,SUMIFS($N143:$N$759,$B143:$B$759,$B142,$A143:$A$759,$A142),K142*M142)</f>
        <v>#N/A</v>
      </c>
      <c r="P142"/>
      <c r="Q142"/>
      <c r="R142" s="27"/>
      <c r="S142" s="27"/>
      <c r="T142" s="27"/>
      <c r="U142" s="27"/>
      <c r="V142" s="27"/>
      <c r="W142" s="27"/>
      <c r="X142" s="27"/>
      <c r="Y142" s="27"/>
    </row>
    <row r="143" spans="1:25" outlineLevel="1">
      <c r="A143" s="23" t="str">
        <f t="shared" ref="A143:A146" si="91">A142</f>
        <v>GERAL</v>
      </c>
      <c r="B143" s="23" t="str">
        <f t="shared" ref="B143:B146" si="92">B142</f>
        <v>5º PAV. - ESTAC. 04</v>
      </c>
      <c r="C143" s="65" t="s">
        <v>278</v>
      </c>
      <c r="D143" s="74" t="s">
        <v>105</v>
      </c>
      <c r="E143" s="74" t="s">
        <v>40</v>
      </c>
      <c r="F143" s="76" t="s">
        <v>68</v>
      </c>
      <c r="G143" s="76" t="s">
        <v>45</v>
      </c>
      <c r="H143" s="131">
        <v>48</v>
      </c>
      <c r="I143" s="24">
        <v>1</v>
      </c>
      <c r="J143" s="24">
        <v>0</v>
      </c>
      <c r="K143" s="24">
        <f t="shared" ref="K143:K146" si="93">(H143+J143*H143)*I143</f>
        <v>48</v>
      </c>
      <c r="L143" s="24" t="s">
        <v>154</v>
      </c>
      <c r="M143" s="25" t="e">
        <f>_xlfn.XLOOKUP($E143,PREÇO!$C$6:$C$89,PREÇO!$E$6:$E$89)</f>
        <v>#N/A</v>
      </c>
      <c r="N143" s="59" t="e">
        <f>IF(SUM(H143:M143)=0,SUMIFS($N144:$N$759,$B144:$B$759,$B143,$A144:$A$759,$A143),K143*M143)</f>
        <v>#N/A</v>
      </c>
      <c r="P143"/>
      <c r="Q143"/>
      <c r="R143" s="27"/>
      <c r="S143" s="27"/>
      <c r="T143" s="27"/>
      <c r="U143" s="27"/>
      <c r="V143" s="27"/>
      <c r="W143" s="27"/>
      <c r="X143" s="27"/>
      <c r="Y143" s="27"/>
    </row>
    <row r="144" spans="1:25" ht="30" outlineLevel="1">
      <c r="A144" s="23" t="str">
        <f t="shared" si="91"/>
        <v>GERAL</v>
      </c>
      <c r="B144" s="23" t="str">
        <f t="shared" si="92"/>
        <v>5º PAV. - ESTAC. 04</v>
      </c>
      <c r="C144" s="29" t="s">
        <v>278</v>
      </c>
      <c r="D144" s="74" t="s">
        <v>105</v>
      </c>
      <c r="E144" s="74" t="s">
        <v>41</v>
      </c>
      <c r="F144" s="76" t="s">
        <v>68</v>
      </c>
      <c r="G144" s="76" t="s">
        <v>46</v>
      </c>
      <c r="H144" s="131">
        <v>115</v>
      </c>
      <c r="I144" s="24">
        <v>1</v>
      </c>
      <c r="J144" s="24">
        <v>0</v>
      </c>
      <c r="K144" s="24">
        <f t="shared" si="93"/>
        <v>115</v>
      </c>
      <c r="L144" s="24" t="s">
        <v>154</v>
      </c>
      <c r="M144" s="25" t="e">
        <f>_xlfn.XLOOKUP($E144,PREÇO!$C$6:$C$89,PREÇO!$E$6:$E$89)</f>
        <v>#N/A</v>
      </c>
      <c r="N144" s="59" t="e">
        <f>IF(SUM(H144:M144)=0,SUMIFS($N145:$N$759,$B145:$B$759,$B144,$A145:$A$759,$A144),K144*M144)</f>
        <v>#N/A</v>
      </c>
      <c r="P144"/>
      <c r="Q144"/>
      <c r="R144" s="27"/>
      <c r="S144" s="27"/>
      <c r="T144" s="27"/>
      <c r="U144" s="27"/>
      <c r="V144" s="27"/>
      <c r="W144" s="27"/>
      <c r="X144" s="27"/>
      <c r="Y144" s="27"/>
    </row>
    <row r="145" spans="1:25" ht="30" outlineLevel="1">
      <c r="A145" s="23" t="str">
        <f t="shared" si="91"/>
        <v>GERAL</v>
      </c>
      <c r="B145" s="23" t="str">
        <f t="shared" si="92"/>
        <v>5º PAV. - ESTAC. 04</v>
      </c>
      <c r="C145" s="29" t="s">
        <v>278</v>
      </c>
      <c r="D145" s="74" t="s">
        <v>105</v>
      </c>
      <c r="E145" s="74" t="s">
        <v>42</v>
      </c>
      <c r="F145" s="76" t="s">
        <v>68</v>
      </c>
      <c r="G145" s="76" t="s">
        <v>47</v>
      </c>
      <c r="H145" s="131">
        <v>10</v>
      </c>
      <c r="I145" s="24">
        <v>1</v>
      </c>
      <c r="J145" s="24">
        <v>0</v>
      </c>
      <c r="K145" s="24">
        <f t="shared" si="93"/>
        <v>10</v>
      </c>
      <c r="L145" s="24" t="s">
        <v>154</v>
      </c>
      <c r="M145" s="25" t="e">
        <f>_xlfn.XLOOKUP($E145,PREÇO!$C$6:$C$89,PREÇO!$E$6:$E$89)</f>
        <v>#N/A</v>
      </c>
      <c r="N145" s="59" t="e">
        <f>IF(SUM(H145:M145)=0,SUMIFS($N146:$N$759,$B146:$B$759,$B145,$A146:$A$759,$A145),K145*M145)</f>
        <v>#N/A</v>
      </c>
      <c r="P145"/>
      <c r="Q145"/>
      <c r="R145" s="27"/>
      <c r="S145" s="27"/>
      <c r="T145" s="27"/>
      <c r="U145" s="27"/>
      <c r="V145" s="27"/>
      <c r="W145" s="27"/>
      <c r="X145" s="27"/>
      <c r="Y145" s="27"/>
    </row>
    <row r="146" spans="1:25" ht="30.75" outlineLevel="1" thickBot="1">
      <c r="A146" s="23" t="str">
        <f t="shared" si="91"/>
        <v>GERAL</v>
      </c>
      <c r="B146" s="23" t="str">
        <f t="shared" si="92"/>
        <v>5º PAV. - ESTAC. 04</v>
      </c>
      <c r="C146" s="29" t="s">
        <v>278</v>
      </c>
      <c r="D146" s="74" t="s">
        <v>105</v>
      </c>
      <c r="E146" s="74" t="s">
        <v>43</v>
      </c>
      <c r="F146" s="76" t="s">
        <v>68</v>
      </c>
      <c r="G146" s="76" t="s">
        <v>48</v>
      </c>
      <c r="H146" s="131">
        <v>12</v>
      </c>
      <c r="I146" s="24">
        <v>1</v>
      </c>
      <c r="J146" s="24">
        <v>0</v>
      </c>
      <c r="K146" s="24">
        <f t="shared" si="93"/>
        <v>12</v>
      </c>
      <c r="L146" s="24" t="s">
        <v>154</v>
      </c>
      <c r="M146" s="25" t="e">
        <f>_xlfn.XLOOKUP($E146,PREÇO!$C$6:$C$89,PREÇO!$E$6:$E$89)</f>
        <v>#N/A</v>
      </c>
      <c r="N146" s="59" t="e">
        <f>IF(SUM(H146:M146)=0,SUMIFS($N147:$N$759,$B147:$B$759,$B146,$A147:$A$759,$A146),K146*M146)</f>
        <v>#N/A</v>
      </c>
      <c r="P146"/>
      <c r="Q146"/>
      <c r="R146" s="27"/>
      <c r="S146" s="27"/>
      <c r="T146" s="27"/>
      <c r="U146" s="27"/>
      <c r="V146" s="27"/>
      <c r="W146" s="27"/>
      <c r="X146" s="27"/>
      <c r="Y146" s="27"/>
    </row>
    <row r="147" spans="1:25" ht="15.75" thickTop="1">
      <c r="A147" s="63" t="s">
        <v>15</v>
      </c>
      <c r="B147" s="63" t="s">
        <v>29</v>
      </c>
      <c r="C147" s="42"/>
      <c r="D147" s="43"/>
      <c r="E147" s="43"/>
      <c r="F147" s="82"/>
      <c r="G147" s="82"/>
      <c r="H147" s="132"/>
      <c r="I147" s="44"/>
      <c r="J147" s="44"/>
      <c r="K147" s="44"/>
      <c r="L147" s="44"/>
      <c r="M147" s="46"/>
      <c r="N147" s="47" t="e">
        <f>IF(SUM(H147:M147)=0,SUMIFS($N148:$N$759,$B148:$B$759,$B147,$A148:$A$759,$A147),K147*M147)</f>
        <v>#N/A</v>
      </c>
      <c r="P147"/>
      <c r="Q147"/>
      <c r="R147" s="27"/>
      <c r="S147" s="27"/>
      <c r="T147" s="27"/>
      <c r="U147" s="27"/>
      <c r="V147" s="27"/>
      <c r="W147" s="27"/>
      <c r="X147" s="27"/>
      <c r="Y147" s="27"/>
    </row>
    <row r="148" spans="1:25" outlineLevel="1">
      <c r="A148" s="23" t="str">
        <f t="shared" ref="A148:A165" si="94">A147</f>
        <v>GERAL</v>
      </c>
      <c r="B148" s="23" t="str">
        <f t="shared" ref="B148:B165" si="95">B147</f>
        <v>6º PAV. - ESTAC. 05</v>
      </c>
      <c r="C148" s="65" t="s">
        <v>278</v>
      </c>
      <c r="D148" s="74" t="s">
        <v>106</v>
      </c>
      <c r="E148" s="74" t="s">
        <v>40</v>
      </c>
      <c r="F148" s="76" t="s">
        <v>68</v>
      </c>
      <c r="G148" s="76" t="s">
        <v>45</v>
      </c>
      <c r="H148" s="131">
        <v>48</v>
      </c>
      <c r="I148" s="24">
        <v>1</v>
      </c>
      <c r="J148" s="24">
        <v>0</v>
      </c>
      <c r="K148" s="24">
        <f>(H148+J148*H148)*I148</f>
        <v>48</v>
      </c>
      <c r="L148" s="24" t="s">
        <v>154</v>
      </c>
      <c r="M148" s="25" t="e">
        <f>_xlfn.XLOOKUP($E148,PREÇO!$C$6:$C$89,PREÇO!$E$6:$E$89)</f>
        <v>#N/A</v>
      </c>
      <c r="N148" s="59" t="e">
        <f>IF(SUM(H148:M148)=0,SUMIFS($N149:$N$759,$B149:$B$759,$B148,$A149:$A$759,$A148),K148*M148)</f>
        <v>#N/A</v>
      </c>
      <c r="P148"/>
      <c r="Q148"/>
      <c r="R148" s="27"/>
      <c r="S148" s="27"/>
      <c r="T148" s="27"/>
      <c r="U148" s="27"/>
      <c r="V148" s="27"/>
      <c r="W148" s="27"/>
      <c r="X148" s="27"/>
      <c r="Y148" s="27"/>
    </row>
    <row r="149" spans="1:25" ht="30" outlineLevel="1">
      <c r="A149" s="23" t="str">
        <f t="shared" si="94"/>
        <v>GERAL</v>
      </c>
      <c r="B149" s="23" t="str">
        <f t="shared" si="95"/>
        <v>6º PAV. - ESTAC. 05</v>
      </c>
      <c r="C149" s="29" t="s">
        <v>278</v>
      </c>
      <c r="D149" s="74" t="s">
        <v>106</v>
      </c>
      <c r="E149" s="74" t="s">
        <v>41</v>
      </c>
      <c r="F149" s="76" t="s">
        <v>68</v>
      </c>
      <c r="G149" s="76" t="s">
        <v>46</v>
      </c>
      <c r="H149" s="131">
        <v>115</v>
      </c>
      <c r="I149" s="24">
        <v>1</v>
      </c>
      <c r="J149" s="24">
        <v>0</v>
      </c>
      <c r="K149" s="24">
        <f t="shared" ref="K149:K154" si="96">(H149+J149*H149)*I149</f>
        <v>115</v>
      </c>
      <c r="L149" s="24" t="s">
        <v>154</v>
      </c>
      <c r="M149" s="25" t="e">
        <f>_xlfn.XLOOKUP($E149,PREÇO!$C$6:$C$89,PREÇO!$E$6:$E$89)</f>
        <v>#N/A</v>
      </c>
      <c r="N149" s="59" t="e">
        <f>IF(SUM(H149:M149)=0,SUMIFS($N150:$N$759,$B150:$B$759,$B149,$A150:$A$759,$A149),K149*M149)</f>
        <v>#N/A</v>
      </c>
      <c r="P149"/>
      <c r="Q149"/>
      <c r="R149" s="27"/>
      <c r="S149" s="27"/>
      <c r="T149" s="27"/>
      <c r="U149" s="27"/>
      <c r="V149" s="27"/>
      <c r="W149" s="27"/>
      <c r="X149" s="27"/>
      <c r="Y149" s="27"/>
    </row>
    <row r="150" spans="1:25" ht="30" outlineLevel="1">
      <c r="A150" s="23" t="str">
        <f t="shared" si="94"/>
        <v>GERAL</v>
      </c>
      <c r="B150" s="23" t="str">
        <f t="shared" si="95"/>
        <v>6º PAV. - ESTAC. 05</v>
      </c>
      <c r="C150" s="29" t="s">
        <v>278</v>
      </c>
      <c r="D150" s="74" t="s">
        <v>106</v>
      </c>
      <c r="E150" s="74" t="s">
        <v>42</v>
      </c>
      <c r="F150" s="76" t="s">
        <v>68</v>
      </c>
      <c r="G150" s="76" t="s">
        <v>47</v>
      </c>
      <c r="H150" s="131">
        <v>10</v>
      </c>
      <c r="I150" s="24">
        <v>1</v>
      </c>
      <c r="J150" s="24">
        <v>0</v>
      </c>
      <c r="K150" s="24">
        <f t="shared" si="96"/>
        <v>10</v>
      </c>
      <c r="L150" s="24" t="s">
        <v>154</v>
      </c>
      <c r="M150" s="25" t="e">
        <f>_xlfn.XLOOKUP($E150,PREÇO!$C$6:$C$89,PREÇO!$E$6:$E$89)</f>
        <v>#N/A</v>
      </c>
      <c r="N150" s="59" t="e">
        <f>IF(SUM(H150:M150)=0,SUMIFS($N151:$N$759,$B151:$B$759,$B150,$A151:$A$759,$A150),K150*M150)</f>
        <v>#N/A</v>
      </c>
      <c r="P150"/>
      <c r="Q150"/>
      <c r="R150" s="27"/>
      <c r="S150" s="27"/>
      <c r="T150" s="27"/>
      <c r="U150" s="27"/>
      <c r="V150" s="27"/>
      <c r="W150" s="27"/>
      <c r="X150" s="27"/>
      <c r="Y150" s="27"/>
    </row>
    <row r="151" spans="1:25" ht="30" outlineLevel="1">
      <c r="A151" s="102" t="str">
        <f t="shared" si="94"/>
        <v>GERAL</v>
      </c>
      <c r="B151" s="102" t="str">
        <f t="shared" si="95"/>
        <v>6º PAV. - ESTAC. 05</v>
      </c>
      <c r="C151" s="40" t="s">
        <v>278</v>
      </c>
      <c r="D151" s="104" t="s">
        <v>106</v>
      </c>
      <c r="E151" s="104" t="s">
        <v>43</v>
      </c>
      <c r="F151" s="105" t="s">
        <v>68</v>
      </c>
      <c r="G151" s="105" t="s">
        <v>48</v>
      </c>
      <c r="H151" s="133">
        <v>12</v>
      </c>
      <c r="I151" s="38">
        <v>1</v>
      </c>
      <c r="J151" s="38">
        <v>0</v>
      </c>
      <c r="K151" s="38">
        <f t="shared" si="96"/>
        <v>12</v>
      </c>
      <c r="L151" s="38" t="s">
        <v>154</v>
      </c>
      <c r="M151" s="106" t="e">
        <f>_xlfn.XLOOKUP($E151,PREÇO!$C$6:$C$89,PREÇO!$E$6:$E$89)</f>
        <v>#N/A</v>
      </c>
      <c r="N151" s="107" t="e">
        <f>IF(SUM(H151:M151)=0,SUMIFS($N152:$N$759,$B152:$B$759,$B151,$A152:$A$759,$A151),K151*M151)</f>
        <v>#N/A</v>
      </c>
      <c r="P151"/>
      <c r="Q151"/>
      <c r="R151" s="27"/>
      <c r="S151" s="27"/>
      <c r="T151" s="27"/>
      <c r="U151" s="27"/>
      <c r="V151" s="27"/>
      <c r="W151" s="27"/>
      <c r="X151" s="27"/>
      <c r="Y151" s="27"/>
    </row>
    <row r="152" spans="1:25" ht="30" outlineLevel="1">
      <c r="A152" s="108" t="str">
        <f t="shared" si="94"/>
        <v>GERAL</v>
      </c>
      <c r="B152" s="108" t="str">
        <f t="shared" si="95"/>
        <v>6º PAV. - ESTAC. 05</v>
      </c>
      <c r="C152" s="115" t="s">
        <v>278</v>
      </c>
      <c r="D152" s="109" t="s">
        <v>95</v>
      </c>
      <c r="E152" s="109" t="s">
        <v>51</v>
      </c>
      <c r="F152" s="116" t="s">
        <v>56</v>
      </c>
      <c r="G152" s="110" t="s">
        <v>57</v>
      </c>
      <c r="H152" s="134">
        <v>4</v>
      </c>
      <c r="I152" s="111">
        <v>1</v>
      </c>
      <c r="J152" s="111">
        <v>0</v>
      </c>
      <c r="K152" s="111">
        <f t="shared" si="96"/>
        <v>4</v>
      </c>
      <c r="L152" s="111" t="s">
        <v>154</v>
      </c>
      <c r="M152" s="112" t="e">
        <f>_xlfn.XLOOKUP($E152,PREÇO!$C$6:$C$89,PREÇO!$E$6:$E$89)</f>
        <v>#N/A</v>
      </c>
      <c r="N152" s="113" t="e">
        <f>IF(SUM(H152:M152)=0,SUMIFS($N153:$N$759,$B153:$B$759,$B152,$A153:$A$759,$A152),K152*M152)</f>
        <v>#N/A</v>
      </c>
      <c r="P152"/>
      <c r="Q152"/>
      <c r="R152" s="27"/>
      <c r="S152" s="27"/>
      <c r="T152" s="27"/>
      <c r="U152" s="27"/>
      <c r="V152" s="27"/>
      <c r="W152" s="27"/>
      <c r="X152" s="27"/>
      <c r="Y152" s="27"/>
    </row>
    <row r="153" spans="1:25" outlineLevel="1">
      <c r="A153" s="23" t="str">
        <f t="shared" si="94"/>
        <v>GERAL</v>
      </c>
      <c r="B153" s="23" t="str">
        <f t="shared" si="95"/>
        <v>6º PAV. - ESTAC. 05</v>
      </c>
      <c r="C153" s="29" t="s">
        <v>276</v>
      </c>
      <c r="D153" s="74" t="s">
        <v>95</v>
      </c>
      <c r="E153" s="29" t="s">
        <v>69</v>
      </c>
      <c r="F153" s="83" t="s">
        <v>55</v>
      </c>
      <c r="G153" s="83" t="s">
        <v>70</v>
      </c>
      <c r="H153" s="131">
        <v>1</v>
      </c>
      <c r="I153" s="24">
        <v>1</v>
      </c>
      <c r="J153" s="24">
        <v>0</v>
      </c>
      <c r="K153" s="24">
        <f t="shared" si="96"/>
        <v>1</v>
      </c>
      <c r="L153" s="24" t="s">
        <v>154</v>
      </c>
      <c r="M153" s="25" t="e">
        <f>_xlfn.XLOOKUP(#REF!,PREÇO!$C$6:$C$89,PREÇO!$E$6:$E$89)</f>
        <v>#REF!</v>
      </c>
      <c r="N153" s="59" t="e">
        <f>IF(SUM(H153:M153)=0,SUMIFS($N154:$N$759,$B154:$B$759,$B153,$A154:$A$759,$A153),K153*M153)</f>
        <v>#REF!</v>
      </c>
      <c r="P153"/>
      <c r="Q153"/>
      <c r="R153" s="27"/>
      <c r="S153" s="27"/>
      <c r="T153" s="27"/>
      <c r="U153" s="27"/>
      <c r="V153" s="27"/>
      <c r="W153" s="27"/>
      <c r="X153" s="27"/>
      <c r="Y153" s="27"/>
    </row>
    <row r="154" spans="1:25" outlineLevel="1">
      <c r="A154" s="23" t="str">
        <f t="shared" si="94"/>
        <v>GERAL</v>
      </c>
      <c r="B154" s="23" t="str">
        <f t="shared" si="95"/>
        <v>6º PAV. - ESTAC. 05</v>
      </c>
      <c r="C154" s="29" t="s">
        <v>276</v>
      </c>
      <c r="D154" s="74" t="s">
        <v>95</v>
      </c>
      <c r="E154" s="29" t="s">
        <v>69</v>
      </c>
      <c r="F154" s="83" t="s">
        <v>55</v>
      </c>
      <c r="G154" s="83" t="s">
        <v>71</v>
      </c>
      <c r="H154" s="131">
        <v>1</v>
      </c>
      <c r="I154" s="24">
        <v>1</v>
      </c>
      <c r="J154" s="24">
        <v>0</v>
      </c>
      <c r="K154" s="24">
        <f t="shared" si="96"/>
        <v>1</v>
      </c>
      <c r="L154" s="24" t="s">
        <v>154</v>
      </c>
      <c r="M154" s="25" t="e">
        <f>_xlfn.XLOOKUP($E153,PREÇO!$C$6:$C$89,PREÇO!$E$6:$E$89)</f>
        <v>#N/A</v>
      </c>
      <c r="N154" s="59" t="e">
        <f>IF(SUM(H154:M154)=0,SUMIFS($N155:$N$759,$B155:$B$759,$B154,$A155:$A$759,$A154),K154*M154)</f>
        <v>#N/A</v>
      </c>
      <c r="P154"/>
      <c r="Q154"/>
      <c r="R154" s="27"/>
      <c r="S154" s="27"/>
      <c r="T154" s="27"/>
      <c r="U154" s="27"/>
      <c r="V154" s="27"/>
      <c r="W154" s="27"/>
      <c r="X154" s="27"/>
      <c r="Y154" s="27"/>
    </row>
    <row r="155" spans="1:25" outlineLevel="1">
      <c r="A155" s="23" t="str">
        <f t="shared" si="94"/>
        <v>GERAL</v>
      </c>
      <c r="B155" s="23" t="str">
        <f t="shared" si="95"/>
        <v>6º PAV. - ESTAC. 05</v>
      </c>
      <c r="C155" s="23" t="s">
        <v>276</v>
      </c>
      <c r="D155" s="74" t="s">
        <v>95</v>
      </c>
      <c r="E155" s="74" t="s">
        <v>72</v>
      </c>
      <c r="F155" s="83" t="s">
        <v>55</v>
      </c>
      <c r="G155" s="83" t="s">
        <v>75</v>
      </c>
      <c r="H155" s="131">
        <v>1</v>
      </c>
      <c r="I155" s="24">
        <v>1</v>
      </c>
      <c r="J155" s="24">
        <v>0</v>
      </c>
      <c r="K155" s="24">
        <f t="shared" ref="K155:K162" si="97">(H155+J155*H155)*I155</f>
        <v>1</v>
      </c>
      <c r="L155" s="24" t="s">
        <v>154</v>
      </c>
      <c r="M155" s="25" t="e">
        <f>_xlfn.XLOOKUP($E154,PREÇO!$C$6:$C$89,PREÇO!$E$6:$E$89)</f>
        <v>#N/A</v>
      </c>
      <c r="N155" s="59" t="e">
        <f>IF(SUM(H155:M155)=0,SUMIFS($N156:$N$759,$B156:$B$759,$B155,$A156:$A$759,$A155),K155*M155)</f>
        <v>#N/A</v>
      </c>
      <c r="P155"/>
      <c r="Q155"/>
      <c r="R155" s="27"/>
      <c r="S155" s="27"/>
      <c r="T155" s="27"/>
      <c r="U155" s="27"/>
      <c r="V155" s="27"/>
      <c r="W155" s="27"/>
      <c r="X155" s="27"/>
      <c r="Y155" s="27"/>
    </row>
    <row r="156" spans="1:25" outlineLevel="1">
      <c r="A156" s="23" t="str">
        <f t="shared" si="94"/>
        <v>GERAL</v>
      </c>
      <c r="B156" s="23" t="str">
        <f t="shared" si="95"/>
        <v>6º PAV. - ESTAC. 05</v>
      </c>
      <c r="C156" s="29" t="s">
        <v>276</v>
      </c>
      <c r="D156" s="74" t="s">
        <v>95</v>
      </c>
      <c r="E156" s="74" t="s">
        <v>73</v>
      </c>
      <c r="F156" s="83" t="s">
        <v>55</v>
      </c>
      <c r="G156" s="83" t="s">
        <v>92</v>
      </c>
      <c r="H156" s="131">
        <v>1</v>
      </c>
      <c r="I156" s="24">
        <v>1</v>
      </c>
      <c r="J156" s="24">
        <v>0</v>
      </c>
      <c r="K156" s="24">
        <f t="shared" si="97"/>
        <v>1</v>
      </c>
      <c r="L156" s="24" t="s">
        <v>154</v>
      </c>
      <c r="M156" s="25" t="e">
        <f>_xlfn.XLOOKUP($E155,PREÇO!$C$6:$C$89,PREÇO!$E$6:$E$89)</f>
        <v>#N/A</v>
      </c>
      <c r="N156" s="59" t="e">
        <f>IF(SUM(H156:M156)=0,SUMIFS($N157:$N$759,$B157:$B$759,$B156,$A157:$A$759,$A156),K156*M156)</f>
        <v>#N/A</v>
      </c>
      <c r="P156"/>
      <c r="Q156"/>
      <c r="R156" s="27"/>
      <c r="S156" s="27"/>
      <c r="T156" s="27"/>
      <c r="U156" s="27"/>
      <c r="V156" s="27"/>
      <c r="W156" s="27"/>
      <c r="X156" s="27"/>
      <c r="Y156" s="27"/>
    </row>
    <row r="157" spans="1:25" outlineLevel="1">
      <c r="A157" s="23" t="str">
        <f t="shared" si="94"/>
        <v>GERAL</v>
      </c>
      <c r="B157" s="23" t="str">
        <f t="shared" si="95"/>
        <v>6º PAV. - ESTAC. 05</v>
      </c>
      <c r="C157" s="29" t="s">
        <v>276</v>
      </c>
      <c r="D157" s="74" t="s">
        <v>95</v>
      </c>
      <c r="E157" s="74" t="s">
        <v>76</v>
      </c>
      <c r="F157" s="83" t="s">
        <v>55</v>
      </c>
      <c r="G157" s="76" t="s">
        <v>77</v>
      </c>
      <c r="H157" s="131">
        <v>1</v>
      </c>
      <c r="I157" s="24">
        <v>1</v>
      </c>
      <c r="J157" s="24">
        <v>0</v>
      </c>
      <c r="K157" s="24">
        <f t="shared" si="97"/>
        <v>1</v>
      </c>
      <c r="L157" s="24" t="s">
        <v>154</v>
      </c>
      <c r="M157" s="25" t="e">
        <f>_xlfn.XLOOKUP(#REF!,PREÇO!$C$6:$C$89,PREÇO!$E$6:$E$89)</f>
        <v>#REF!</v>
      </c>
      <c r="N157" s="59" t="e">
        <f>IF(SUM(H157:M157)=0,SUMIFS($N158:$N$759,$B158:$B$759,$B157,$A158:$A$759,$A157),K157*M157)</f>
        <v>#REF!</v>
      </c>
      <c r="P157"/>
      <c r="Q157"/>
      <c r="R157" s="27"/>
      <c r="S157" s="27"/>
      <c r="T157" s="27"/>
      <c r="U157" s="27"/>
      <c r="V157" s="27"/>
      <c r="W157" s="27"/>
      <c r="X157" s="27"/>
      <c r="Y157" s="27"/>
    </row>
    <row r="158" spans="1:25" outlineLevel="1">
      <c r="A158" s="23" t="str">
        <f t="shared" si="94"/>
        <v>GERAL</v>
      </c>
      <c r="B158" s="23" t="str">
        <f t="shared" si="95"/>
        <v>6º PAV. - ESTAC. 05</v>
      </c>
      <c r="C158" s="29" t="s">
        <v>276</v>
      </c>
      <c r="D158" s="74" t="s">
        <v>95</v>
      </c>
      <c r="E158" s="74" t="s">
        <v>78</v>
      </c>
      <c r="F158" s="83" t="s">
        <v>55</v>
      </c>
      <c r="G158" s="83" t="s">
        <v>79</v>
      </c>
      <c r="H158" s="131">
        <v>3</v>
      </c>
      <c r="I158" s="24">
        <v>1</v>
      </c>
      <c r="J158" s="24">
        <v>0</v>
      </c>
      <c r="K158" s="24">
        <f t="shared" si="97"/>
        <v>3</v>
      </c>
      <c r="L158" s="24" t="s">
        <v>154</v>
      </c>
      <c r="M158" s="25" t="e">
        <f>_xlfn.XLOOKUP($E156,PREÇO!$C$6:$C$89,PREÇO!$E$6:$E$89)</f>
        <v>#N/A</v>
      </c>
      <c r="N158" s="59" t="e">
        <f>IF(SUM(H158:M158)=0,SUMIFS($N159:$N$759,$B159:$B$759,$B158,$A159:$A$759,$A158),K158*M158)</f>
        <v>#N/A</v>
      </c>
      <c r="P158"/>
      <c r="Q158"/>
      <c r="R158" s="27"/>
      <c r="S158" s="27"/>
      <c r="T158" s="27"/>
      <c r="U158" s="27"/>
      <c r="V158" s="27"/>
      <c r="W158" s="27"/>
      <c r="X158" s="27"/>
      <c r="Y158" s="27"/>
    </row>
    <row r="159" spans="1:25" outlineLevel="1">
      <c r="A159" s="23" t="str">
        <f t="shared" si="94"/>
        <v>GERAL</v>
      </c>
      <c r="B159" s="23" t="str">
        <f t="shared" si="95"/>
        <v>6º PAV. - ESTAC. 05</v>
      </c>
      <c r="C159" s="29" t="s">
        <v>276</v>
      </c>
      <c r="D159" s="74" t="s">
        <v>95</v>
      </c>
      <c r="E159" s="74" t="s">
        <v>80</v>
      </c>
      <c r="F159" s="83" t="s">
        <v>55</v>
      </c>
      <c r="G159" s="83" t="s">
        <v>81</v>
      </c>
      <c r="H159" s="131">
        <v>6</v>
      </c>
      <c r="I159" s="24">
        <v>1</v>
      </c>
      <c r="J159" s="24">
        <v>0</v>
      </c>
      <c r="K159" s="24">
        <f t="shared" si="97"/>
        <v>6</v>
      </c>
      <c r="L159" s="24" t="s">
        <v>154</v>
      </c>
      <c r="M159" s="25" t="e">
        <f>_xlfn.XLOOKUP(#REF!,PREÇO!$C$6:$C$89,PREÇO!$E$6:$E$89)</f>
        <v>#REF!</v>
      </c>
      <c r="N159" s="59" t="e">
        <f>IF(SUM(H159:M159)=0,SUMIFS($N160:$N$759,$B160:$B$759,$B159,$A160:$A$759,$A159),K159*M159)</f>
        <v>#REF!</v>
      </c>
      <c r="P159"/>
      <c r="Q159"/>
      <c r="R159" s="27"/>
      <c r="S159" s="27"/>
      <c r="T159" s="27"/>
      <c r="U159" s="27"/>
      <c r="V159" s="27"/>
      <c r="W159" s="27"/>
      <c r="X159" s="27"/>
      <c r="Y159" s="27"/>
    </row>
    <row r="160" spans="1:25" outlineLevel="1">
      <c r="A160" s="23" t="str">
        <f t="shared" si="94"/>
        <v>GERAL</v>
      </c>
      <c r="B160" s="23" t="str">
        <f t="shared" si="95"/>
        <v>6º PAV. - ESTAC. 05</v>
      </c>
      <c r="C160" s="29" t="s">
        <v>278</v>
      </c>
      <c r="D160" s="74" t="s">
        <v>95</v>
      </c>
      <c r="E160" s="74" t="s">
        <v>83</v>
      </c>
      <c r="F160" s="76" t="s">
        <v>89</v>
      </c>
      <c r="G160" s="83" t="s">
        <v>82</v>
      </c>
      <c r="H160" s="131">
        <v>1</v>
      </c>
      <c r="I160" s="24">
        <v>1</v>
      </c>
      <c r="J160" s="24">
        <v>0</v>
      </c>
      <c r="K160" s="24">
        <f t="shared" si="97"/>
        <v>1</v>
      </c>
      <c r="L160" s="24" t="s">
        <v>154</v>
      </c>
      <c r="M160" s="25" t="e">
        <f>_xlfn.XLOOKUP($E157,PREÇO!$C$6:$C$89,PREÇO!$E$6:$E$89)</f>
        <v>#N/A</v>
      </c>
      <c r="N160" s="59" t="e">
        <f>IF(SUM(H160:M160)=0,SUMIFS($N161:$N$759,$B161:$B$759,$B160,$A161:$A$759,$A160),K160*M160)</f>
        <v>#N/A</v>
      </c>
      <c r="P160"/>
      <c r="Q160"/>
      <c r="R160" s="27"/>
      <c r="S160" s="27"/>
      <c r="T160" s="27"/>
      <c r="U160" s="27"/>
      <c r="V160" s="27"/>
      <c r="W160" s="27"/>
      <c r="X160" s="27"/>
      <c r="Y160" s="27"/>
    </row>
    <row r="161" spans="1:25" outlineLevel="1">
      <c r="A161" s="23" t="str">
        <f t="shared" si="94"/>
        <v>GERAL</v>
      </c>
      <c r="B161" s="23" t="str">
        <f t="shared" si="95"/>
        <v>6º PAV. - ESTAC. 05</v>
      </c>
      <c r="C161" s="29" t="s">
        <v>278</v>
      </c>
      <c r="D161" s="74" t="s">
        <v>95</v>
      </c>
      <c r="E161" s="29" t="s">
        <v>63</v>
      </c>
      <c r="F161" s="83" t="s">
        <v>64</v>
      </c>
      <c r="G161" s="83" t="s">
        <v>67</v>
      </c>
      <c r="H161" s="131">
        <v>4</v>
      </c>
      <c r="I161" s="24">
        <v>1</v>
      </c>
      <c r="J161" s="24">
        <v>0</v>
      </c>
      <c r="K161" s="24">
        <f t="shared" si="97"/>
        <v>4</v>
      </c>
      <c r="L161" s="24" t="s">
        <v>154</v>
      </c>
      <c r="M161" s="25" t="e">
        <f>_xlfn.XLOOKUP($E161,PREÇO!$C$6:$C$89,PREÇO!$E$6:$E$89)</f>
        <v>#N/A</v>
      </c>
      <c r="N161" s="59" t="e">
        <f>IF(SUM(H161:M161)=0,SUMIFS($N162:$N$759,$B162:$B$759,$B161,$A162:$A$759,$A161),K161*M161)</f>
        <v>#N/A</v>
      </c>
      <c r="P161"/>
      <c r="Q161"/>
      <c r="R161" s="27"/>
      <c r="S161" s="27"/>
      <c r="T161" s="27"/>
      <c r="U161" s="27"/>
      <c r="V161" s="27"/>
      <c r="W161" s="27"/>
      <c r="X161" s="27"/>
      <c r="Y161" s="27"/>
    </row>
    <row r="162" spans="1:25" outlineLevel="1">
      <c r="A162" s="23" t="str">
        <f t="shared" si="94"/>
        <v>GERAL</v>
      </c>
      <c r="B162" s="23" t="str">
        <f t="shared" si="95"/>
        <v>6º PAV. - ESTAC. 05</v>
      </c>
      <c r="C162" s="40" t="s">
        <v>278</v>
      </c>
      <c r="D162" s="74" t="s">
        <v>95</v>
      </c>
      <c r="E162" s="20" t="s">
        <v>84</v>
      </c>
      <c r="F162" s="83" t="s">
        <v>64</v>
      </c>
      <c r="G162" s="83" t="s">
        <v>65</v>
      </c>
      <c r="H162" s="131">
        <v>4</v>
      </c>
      <c r="I162" s="24">
        <v>1</v>
      </c>
      <c r="J162" s="38">
        <v>0</v>
      </c>
      <c r="K162" s="24">
        <f t="shared" si="97"/>
        <v>4</v>
      </c>
      <c r="L162" s="24" t="s">
        <v>154</v>
      </c>
      <c r="M162" s="25" t="e">
        <f>_xlfn.XLOOKUP($E158,PREÇO!$C$6:$C$89,PREÇO!$E$6:$E$89)</f>
        <v>#N/A</v>
      </c>
      <c r="N162" s="59" t="e">
        <f>IF(SUM(H162:M162)=0,SUMIFS($N163:$N$759,$B163:$B$759,$B162,$A163:$A$759,$A162),K162*M162)</f>
        <v>#N/A</v>
      </c>
      <c r="P162"/>
      <c r="Q162"/>
      <c r="R162" s="27"/>
      <c r="S162" s="27"/>
      <c r="T162" s="27"/>
      <c r="U162" s="27"/>
      <c r="V162" s="27"/>
      <c r="W162" s="27"/>
      <c r="X162" s="27"/>
      <c r="Y162" s="27"/>
    </row>
    <row r="163" spans="1:25" outlineLevel="1">
      <c r="A163" s="23" t="str">
        <f t="shared" si="94"/>
        <v>GERAL</v>
      </c>
      <c r="B163" s="23" t="str">
        <f t="shared" si="95"/>
        <v>6º PAV. - ESTAC. 05</v>
      </c>
      <c r="C163" s="29" t="s">
        <v>278</v>
      </c>
      <c r="D163" s="74" t="s">
        <v>95</v>
      </c>
      <c r="E163" s="29" t="s">
        <v>85</v>
      </c>
      <c r="F163" s="83" t="s">
        <v>86</v>
      </c>
      <c r="G163" s="76" t="s">
        <v>87</v>
      </c>
      <c r="H163" s="131">
        <v>5</v>
      </c>
      <c r="I163" s="24">
        <v>1</v>
      </c>
      <c r="J163" s="24">
        <v>0</v>
      </c>
      <c r="K163" s="24">
        <f t="shared" ref="K163:K165" si="98">(H163+J163*H163)*I163</f>
        <v>5</v>
      </c>
      <c r="L163" s="24" t="s">
        <v>154</v>
      </c>
      <c r="M163" s="25" t="e">
        <f>_xlfn.XLOOKUP($E163,PREÇO!$C$6:$C$89,PREÇO!$E$6:$E$89)</f>
        <v>#N/A</v>
      </c>
      <c r="N163" s="59" t="e">
        <f>IF(SUM(H163:M163)=0,SUMIFS($N164:$N$759,$B164:$B$759,$B163,$A164:$A$759,$A163),K163*M163)</f>
        <v>#N/A</v>
      </c>
      <c r="P163"/>
      <c r="Q163"/>
      <c r="R163" s="27"/>
      <c r="S163" s="27"/>
      <c r="T163" s="27"/>
      <c r="U163" s="27"/>
      <c r="V163" s="27"/>
      <c r="W163" s="27"/>
      <c r="X163" s="27"/>
      <c r="Y163" s="27"/>
    </row>
    <row r="164" spans="1:25" outlineLevel="1">
      <c r="A164" s="93" t="str">
        <f t="shared" si="94"/>
        <v>GERAL</v>
      </c>
      <c r="B164" s="93" t="str">
        <f t="shared" si="95"/>
        <v>6º PAV. - ESTAC. 05</v>
      </c>
      <c r="C164" s="95" t="s">
        <v>278</v>
      </c>
      <c r="D164" s="94" t="s">
        <v>95</v>
      </c>
      <c r="E164" s="122" t="s">
        <v>85</v>
      </c>
      <c r="F164" s="96" t="s">
        <v>86</v>
      </c>
      <c r="G164" s="97" t="s">
        <v>88</v>
      </c>
      <c r="H164" s="135">
        <v>4</v>
      </c>
      <c r="I164" s="98">
        <v>1</v>
      </c>
      <c r="J164" s="98">
        <v>0</v>
      </c>
      <c r="K164" s="98">
        <f t="shared" si="98"/>
        <v>4</v>
      </c>
      <c r="L164" s="98" t="s">
        <v>154</v>
      </c>
      <c r="M164" s="99" t="e">
        <f>_xlfn.XLOOKUP($E159,PREÇO!$C$6:$C$89,PREÇO!$E$6:$E$89)</f>
        <v>#N/A</v>
      </c>
      <c r="N164" s="100" t="e">
        <f>IF(SUM(H164:M164)=0,SUMIFS($N166:$N$759,$B166:$B$759,$B164,$A166:$A$759,$A164),K164*M164)</f>
        <v>#N/A</v>
      </c>
      <c r="P164"/>
      <c r="Q164"/>
      <c r="R164" s="27"/>
      <c r="S164" s="27"/>
      <c r="T164" s="27"/>
      <c r="U164" s="27"/>
      <c r="V164" s="27"/>
      <c r="W164" s="27"/>
      <c r="X164" s="27"/>
      <c r="Y164" s="27"/>
    </row>
    <row r="165" spans="1:25" ht="15.75" outlineLevel="1" thickBot="1">
      <c r="A165" s="86" t="str">
        <f t="shared" si="94"/>
        <v>GERAL</v>
      </c>
      <c r="B165" s="86" t="str">
        <f t="shared" si="95"/>
        <v>6º PAV. - ESTAC. 05</v>
      </c>
      <c r="C165" s="89" t="s">
        <v>276</v>
      </c>
      <c r="D165" s="88" t="s">
        <v>175</v>
      </c>
      <c r="E165" s="125" t="s">
        <v>114</v>
      </c>
      <c r="F165" s="91" t="s">
        <v>55</v>
      </c>
      <c r="G165" s="91" t="s">
        <v>129</v>
      </c>
      <c r="H165" s="136">
        <v>1</v>
      </c>
      <c r="I165" s="28">
        <v>1</v>
      </c>
      <c r="J165" s="28">
        <v>0</v>
      </c>
      <c r="K165" s="28">
        <f t="shared" si="98"/>
        <v>1</v>
      </c>
      <c r="L165" s="28" t="s">
        <v>154</v>
      </c>
      <c r="M165" s="92"/>
      <c r="N165" s="87"/>
      <c r="P165"/>
      <c r="Q165"/>
      <c r="R165" s="27"/>
      <c r="S165" s="27"/>
      <c r="T165" s="27"/>
      <c r="U165" s="27"/>
      <c r="V165" s="27"/>
      <c r="W165" s="27"/>
      <c r="X165" s="27"/>
      <c r="Y165" s="27"/>
    </row>
    <row r="166" spans="1:25" ht="15.75" thickTop="1">
      <c r="A166" s="63" t="s">
        <v>15</v>
      </c>
      <c r="B166" s="63" t="s">
        <v>31</v>
      </c>
      <c r="C166" s="42"/>
      <c r="D166" s="43"/>
      <c r="E166" s="43"/>
      <c r="F166" s="82"/>
      <c r="G166" s="82"/>
      <c r="H166" s="132"/>
      <c r="I166" s="44"/>
      <c r="J166" s="44"/>
      <c r="K166" s="44"/>
      <c r="L166" s="44"/>
      <c r="M166" s="46"/>
      <c r="N166" s="47" t="e">
        <f>IF(SUM(H166:M166)=0,SUMIFS($N167:$N$759,$B167:$B$759,$B166,$A167:$A$759,$A166),K166*M166)</f>
        <v>#N/A</v>
      </c>
      <c r="P166"/>
      <c r="Q166"/>
      <c r="R166" s="27"/>
      <c r="S166" s="27"/>
      <c r="T166" s="27"/>
      <c r="U166" s="27"/>
      <c r="V166" s="27"/>
      <c r="W166" s="27"/>
      <c r="X166" s="27"/>
      <c r="Y166" s="27"/>
    </row>
    <row r="167" spans="1:25" outlineLevel="1">
      <c r="A167" s="23" t="str">
        <f t="shared" ref="A167:A257" si="99">A166</f>
        <v>GERAL</v>
      </c>
      <c r="B167" s="23" t="str">
        <f t="shared" ref="B167:B257" si="100">B166</f>
        <v>7º PAV. - ESTAC. 06</v>
      </c>
      <c r="C167" s="29" t="s">
        <v>278</v>
      </c>
      <c r="D167" s="29" t="s">
        <v>107</v>
      </c>
      <c r="E167" s="74" t="s">
        <v>40</v>
      </c>
      <c r="F167" s="128" t="s">
        <v>68</v>
      </c>
      <c r="G167" s="76" t="s">
        <v>45</v>
      </c>
      <c r="H167" s="131">
        <v>48</v>
      </c>
      <c r="I167" s="24">
        <v>1</v>
      </c>
      <c r="J167" s="24">
        <v>0</v>
      </c>
      <c r="K167" s="24">
        <f t="shared" ref="K167" si="101">(H167+J167*H167)*I167</f>
        <v>48</v>
      </c>
      <c r="L167" s="24" t="s">
        <v>154</v>
      </c>
      <c r="M167" s="25" t="e">
        <f>_xlfn.XLOOKUP($E167,PREÇO!$C$6:$C$89,PREÇO!$E$6:$E$89)</f>
        <v>#N/A</v>
      </c>
      <c r="N167" s="59" t="e">
        <f>IF(SUM(H167:M167)=0,SUMIFS($N168:$N$759,$B168:$B$759,$B167,$A168:$A$759,$A167),K167*M167)</f>
        <v>#N/A</v>
      </c>
      <c r="P167"/>
      <c r="Q167"/>
      <c r="R167" s="27"/>
      <c r="S167" s="27"/>
      <c r="T167" s="27"/>
      <c r="U167" s="27"/>
      <c r="V167" s="27"/>
      <c r="W167" s="27"/>
      <c r="X167" s="27"/>
      <c r="Y167" s="27"/>
    </row>
    <row r="168" spans="1:25" ht="30" outlineLevel="1">
      <c r="A168" s="23" t="str">
        <f t="shared" si="99"/>
        <v>GERAL</v>
      </c>
      <c r="B168" s="23" t="str">
        <f t="shared" si="100"/>
        <v>7º PAV. - ESTAC. 06</v>
      </c>
      <c r="C168" s="29" t="s">
        <v>278</v>
      </c>
      <c r="D168" s="29" t="s">
        <v>107</v>
      </c>
      <c r="E168" s="74" t="s">
        <v>41</v>
      </c>
      <c r="F168" s="128" t="s">
        <v>68</v>
      </c>
      <c r="G168" s="76" t="s">
        <v>46</v>
      </c>
      <c r="H168" s="131">
        <v>115</v>
      </c>
      <c r="I168" s="24">
        <v>1</v>
      </c>
      <c r="J168" s="24">
        <v>0</v>
      </c>
      <c r="K168" s="24">
        <f t="shared" ref="K168:K170" si="102">(H168+J168*H168)*I168</f>
        <v>115</v>
      </c>
      <c r="L168" s="24" t="s">
        <v>154</v>
      </c>
      <c r="M168" s="25" t="e">
        <f>_xlfn.XLOOKUP($E168,PREÇO!$C$6:$C$89,PREÇO!$E$6:$E$89)</f>
        <v>#N/A</v>
      </c>
      <c r="N168" s="59" t="e">
        <f>IF(SUM(H168:M168)=0,SUMIFS($N169:$N$759,$B169:$B$759,$B168,$A169:$A$759,$A168),K168*M168)</f>
        <v>#N/A</v>
      </c>
      <c r="P168"/>
      <c r="Q168"/>
      <c r="R168" s="27"/>
      <c r="S168" s="27"/>
      <c r="T168" s="27"/>
      <c r="U168" s="27"/>
      <c r="V168" s="27"/>
      <c r="W168" s="27"/>
      <c r="X168" s="27"/>
      <c r="Y168" s="27"/>
    </row>
    <row r="169" spans="1:25" ht="30" outlineLevel="1">
      <c r="A169" s="23" t="str">
        <f t="shared" si="99"/>
        <v>GERAL</v>
      </c>
      <c r="B169" s="23" t="str">
        <f t="shared" si="100"/>
        <v>7º PAV. - ESTAC. 06</v>
      </c>
      <c r="C169" s="29" t="s">
        <v>278</v>
      </c>
      <c r="D169" s="29" t="s">
        <v>107</v>
      </c>
      <c r="E169" s="74" t="s">
        <v>42</v>
      </c>
      <c r="F169" s="128" t="s">
        <v>68</v>
      </c>
      <c r="G169" s="76" t="s">
        <v>47</v>
      </c>
      <c r="H169" s="131">
        <v>10</v>
      </c>
      <c r="I169" s="24">
        <v>1</v>
      </c>
      <c r="J169" s="24">
        <v>0</v>
      </c>
      <c r="K169" s="24">
        <f t="shared" si="102"/>
        <v>10</v>
      </c>
      <c r="L169" s="24" t="s">
        <v>154</v>
      </c>
      <c r="M169" s="25" t="e">
        <f>_xlfn.XLOOKUP($E169,PREÇO!$C$6:$C$89,PREÇO!$E$6:$E$89)</f>
        <v>#N/A</v>
      </c>
      <c r="N169" s="59" t="e">
        <f>IF(SUM(H169:M169)=0,SUMIFS($N170:$N$759,$B170:$B$759,$B169,$A170:$A$759,$A169),K169*M169)</f>
        <v>#N/A</v>
      </c>
      <c r="P169"/>
      <c r="Q169"/>
      <c r="R169" s="27"/>
      <c r="S169" s="27"/>
      <c r="T169" s="27"/>
      <c r="U169" s="27"/>
      <c r="V169" s="27"/>
      <c r="W169" s="27"/>
      <c r="X169" s="27"/>
      <c r="Y169" s="27"/>
    </row>
    <row r="170" spans="1:25" ht="30.75" outlineLevel="1" thickBot="1">
      <c r="A170" s="23" t="str">
        <f t="shared" si="99"/>
        <v>GERAL</v>
      </c>
      <c r="B170" s="23" t="str">
        <f t="shared" si="100"/>
        <v>7º PAV. - ESTAC. 06</v>
      </c>
      <c r="C170" s="29" t="s">
        <v>278</v>
      </c>
      <c r="D170" s="29" t="s">
        <v>107</v>
      </c>
      <c r="E170" s="74" t="s">
        <v>43</v>
      </c>
      <c r="F170" s="128" t="s">
        <v>68</v>
      </c>
      <c r="G170" s="76" t="s">
        <v>48</v>
      </c>
      <c r="H170" s="131">
        <v>12</v>
      </c>
      <c r="I170" s="24">
        <v>1</v>
      </c>
      <c r="J170" s="24">
        <v>0</v>
      </c>
      <c r="K170" s="24">
        <f t="shared" si="102"/>
        <v>12</v>
      </c>
      <c r="L170" s="24" t="s">
        <v>154</v>
      </c>
      <c r="M170" s="25" t="e">
        <f>_xlfn.XLOOKUP($E170,PREÇO!$C$6:$C$89,PREÇO!$E$6:$E$89)</f>
        <v>#N/A</v>
      </c>
      <c r="N170" s="59" t="e">
        <f>IF(SUM(H170:M170)=0,SUMIFS($N171:$N$759,$B171:$B$759,$B170,$A171:$A$759,$A170),K170*M170)</f>
        <v>#N/A</v>
      </c>
      <c r="P170"/>
      <c r="Q170"/>
      <c r="R170" s="27"/>
      <c r="S170" s="27"/>
      <c r="T170" s="27"/>
      <c r="U170" s="27"/>
      <c r="V170" s="27"/>
      <c r="W170" s="27"/>
      <c r="X170" s="27"/>
      <c r="Y170" s="27"/>
    </row>
    <row r="171" spans="1:25" ht="15.75" thickTop="1">
      <c r="A171" s="126" t="s">
        <v>15</v>
      </c>
      <c r="B171" s="63" t="s">
        <v>30</v>
      </c>
      <c r="C171" s="42"/>
      <c r="D171" s="43"/>
      <c r="E171" s="43"/>
      <c r="F171" s="82"/>
      <c r="G171" s="82"/>
      <c r="H171" s="132"/>
      <c r="I171" s="44"/>
      <c r="J171" s="44"/>
      <c r="K171" s="44"/>
      <c r="L171" s="44"/>
      <c r="M171" s="46"/>
      <c r="N171" s="47" t="e">
        <f>IF(SUM(H171:M171)=0,SUMIFS($N172:$N$759,$B172:$B$759,$B171,$A172:$A$759,$A171),K171*M171)</f>
        <v>#N/A</v>
      </c>
      <c r="P171"/>
      <c r="Q171"/>
      <c r="R171" s="27"/>
      <c r="S171" s="27"/>
      <c r="T171" s="27"/>
      <c r="U171" s="27"/>
      <c r="V171" s="27"/>
      <c r="W171" s="27"/>
      <c r="X171" s="27"/>
      <c r="Y171" s="27"/>
    </row>
    <row r="172" spans="1:25" ht="30" outlineLevel="1">
      <c r="A172" s="23" t="str">
        <f t="shared" si="99"/>
        <v>GERAL</v>
      </c>
      <c r="B172" s="23" t="str">
        <f t="shared" si="100"/>
        <v>8º PAV. - LAZER PÚBLICO 01</v>
      </c>
      <c r="C172" s="29" t="s">
        <v>280</v>
      </c>
      <c r="D172" s="127" t="s">
        <v>218</v>
      </c>
      <c r="E172" s="127" t="s">
        <v>176</v>
      </c>
      <c r="F172" s="83"/>
      <c r="G172" s="83"/>
      <c r="H172" s="131">
        <v>8</v>
      </c>
      <c r="I172" s="24">
        <v>1</v>
      </c>
      <c r="J172" s="24">
        <v>0</v>
      </c>
      <c r="K172" s="24">
        <f t="shared" ref="K172:K190" si="103">(H172+J172*H172)*I172</f>
        <v>8</v>
      </c>
      <c r="L172" s="24" t="s">
        <v>154</v>
      </c>
      <c r="M172" s="25" t="e">
        <f>_xlfn.XLOOKUP($E172,PREÇO!$C$6:$C$89,PREÇO!$E$6:$E$89)</f>
        <v>#N/A</v>
      </c>
      <c r="N172" s="59" t="e">
        <f>IF(SUM(H172:M172)=0,SUMIFS($N173:$N$759,$B173:$B$759,$B172,$A173:$A$759,$A172),K172*M172)</f>
        <v>#N/A</v>
      </c>
      <c r="P172"/>
      <c r="Q172"/>
      <c r="R172" s="27"/>
      <c r="S172" s="27"/>
      <c r="T172" s="27"/>
      <c r="U172" s="27"/>
      <c r="V172" s="27"/>
      <c r="W172" s="27"/>
      <c r="X172" s="27"/>
      <c r="Y172" s="27"/>
    </row>
    <row r="173" spans="1:25" outlineLevel="1">
      <c r="A173" s="23" t="str">
        <f t="shared" si="99"/>
        <v>GERAL</v>
      </c>
      <c r="B173" s="23" t="str">
        <f t="shared" si="100"/>
        <v>8º PAV. - LAZER PÚBLICO 01</v>
      </c>
      <c r="C173" s="29" t="s">
        <v>277</v>
      </c>
      <c r="D173" s="127" t="s">
        <v>218</v>
      </c>
      <c r="E173" s="29" t="s">
        <v>177</v>
      </c>
      <c r="F173" s="83" t="s">
        <v>64</v>
      </c>
      <c r="G173" s="131" t="s">
        <v>195</v>
      </c>
      <c r="H173" s="131">
        <v>21</v>
      </c>
      <c r="I173" s="24">
        <v>1</v>
      </c>
      <c r="J173" s="24">
        <v>0</v>
      </c>
      <c r="K173" s="24">
        <f t="shared" si="103"/>
        <v>21</v>
      </c>
      <c r="L173" s="24" t="s">
        <v>154</v>
      </c>
      <c r="M173" s="25" t="e">
        <f>_xlfn.XLOOKUP($E173,PREÇO!$C$6:$C$89,PREÇO!$E$6:$E$89)</f>
        <v>#N/A</v>
      </c>
      <c r="N173" s="59" t="e">
        <f>IF(SUM(G173:M173)=0,SUMIFS($N174:$N$759,$B174:$B$759,$B173,$A174:$A$759,$A173),K173*M173)</f>
        <v>#N/A</v>
      </c>
      <c r="P173"/>
      <c r="Q173"/>
      <c r="R173" s="27"/>
      <c r="S173" s="27"/>
      <c r="T173" s="27"/>
      <c r="U173" s="27"/>
      <c r="V173" s="27"/>
      <c r="W173" s="27"/>
      <c r="X173" s="27"/>
      <c r="Y173" s="27"/>
    </row>
    <row r="174" spans="1:25" outlineLevel="1">
      <c r="A174" s="23" t="str">
        <f t="shared" si="99"/>
        <v>GERAL</v>
      </c>
      <c r="B174" s="23" t="str">
        <f t="shared" si="100"/>
        <v>8º PAV. - LAZER PÚBLICO 01</v>
      </c>
      <c r="C174" s="29" t="s">
        <v>277</v>
      </c>
      <c r="D174" s="127" t="s">
        <v>218</v>
      </c>
      <c r="E174" s="29" t="s">
        <v>178</v>
      </c>
      <c r="F174" s="128" t="s">
        <v>89</v>
      </c>
      <c r="G174" s="131" t="s">
        <v>196</v>
      </c>
      <c r="H174" s="131">
        <v>6</v>
      </c>
      <c r="I174" s="24">
        <v>1</v>
      </c>
      <c r="J174" s="24">
        <v>0</v>
      </c>
      <c r="K174" s="24">
        <f t="shared" si="103"/>
        <v>6</v>
      </c>
      <c r="L174" s="24" t="s">
        <v>154</v>
      </c>
      <c r="M174" s="25" t="e">
        <f>_xlfn.XLOOKUP($E174,PREÇO!$C$6:$C$89,PREÇO!$E$6:$E$89)</f>
        <v>#N/A</v>
      </c>
      <c r="N174" s="59" t="e">
        <f>IF(SUM(G174:M174)=0,SUMIFS($N175:$N$759,$B175:$B$759,$B174,$A175:$A$759,$A174),K174*M174)</f>
        <v>#N/A</v>
      </c>
      <c r="P174"/>
      <c r="Q174"/>
      <c r="R174" s="27"/>
      <c r="S174" s="27"/>
      <c r="T174" s="27"/>
      <c r="U174" s="27"/>
      <c r="V174" s="27"/>
      <c r="W174" s="27"/>
      <c r="X174" s="27"/>
      <c r="Y174" s="27"/>
    </row>
    <row r="175" spans="1:25" outlineLevel="1">
      <c r="A175" s="23" t="str">
        <f t="shared" si="99"/>
        <v>GERAL</v>
      </c>
      <c r="B175" s="23" t="str">
        <f t="shared" si="100"/>
        <v>8º PAV. - LAZER PÚBLICO 01</v>
      </c>
      <c r="C175" s="29" t="s">
        <v>276</v>
      </c>
      <c r="D175" s="127" t="s">
        <v>218</v>
      </c>
      <c r="E175" s="29" t="s">
        <v>179</v>
      </c>
      <c r="F175" s="83" t="s">
        <v>55</v>
      </c>
      <c r="G175" s="131" t="s">
        <v>197</v>
      </c>
      <c r="H175" s="131">
        <v>1</v>
      </c>
      <c r="I175" s="24">
        <v>1</v>
      </c>
      <c r="J175" s="24">
        <v>0</v>
      </c>
      <c r="K175" s="24">
        <f t="shared" si="103"/>
        <v>1</v>
      </c>
      <c r="L175" s="24" t="s">
        <v>154</v>
      </c>
      <c r="M175" s="25" t="e">
        <f>_xlfn.XLOOKUP($E175,PREÇO!$C$6:$C$89,PREÇO!$E$6:$E$89)</f>
        <v>#N/A</v>
      </c>
      <c r="N175" s="59" t="e">
        <f>IF(SUM(G175:M175)=0,SUMIFS($N176:$N$759,$B176:$B$759,$B175,$A176:$A$759,$A175),K175*M175)</f>
        <v>#N/A</v>
      </c>
      <c r="P175"/>
      <c r="Q175"/>
      <c r="R175" s="27"/>
      <c r="S175" s="27"/>
      <c r="T175" s="27"/>
      <c r="U175" s="27"/>
      <c r="V175" s="27"/>
      <c r="W175" s="27"/>
      <c r="X175" s="27"/>
      <c r="Y175" s="27"/>
    </row>
    <row r="176" spans="1:25" outlineLevel="1">
      <c r="A176" s="23" t="str">
        <f t="shared" si="99"/>
        <v>GERAL</v>
      </c>
      <c r="B176" s="23" t="str">
        <f t="shared" si="100"/>
        <v>8º PAV. - LAZER PÚBLICO 01</v>
      </c>
      <c r="C176" s="29" t="s">
        <v>276</v>
      </c>
      <c r="D176" s="127" t="s">
        <v>218</v>
      </c>
      <c r="E176" s="29" t="s">
        <v>180</v>
      </c>
      <c r="F176" s="83" t="s">
        <v>55</v>
      </c>
      <c r="G176" s="131" t="s">
        <v>198</v>
      </c>
      <c r="H176" s="131">
        <v>6</v>
      </c>
      <c r="I176" s="24">
        <v>1</v>
      </c>
      <c r="J176" s="24">
        <v>0</v>
      </c>
      <c r="K176" s="24">
        <f t="shared" si="103"/>
        <v>6</v>
      </c>
      <c r="L176" s="24" t="s">
        <v>154</v>
      </c>
      <c r="M176" s="25" t="e">
        <f>_xlfn.XLOOKUP($E176,PREÇO!$C$6:$C$89,PREÇO!$E$6:$E$89)</f>
        <v>#N/A</v>
      </c>
      <c r="N176" s="59" t="e">
        <f>IF(SUM(G176:M176)=0,SUMIFS($N177:$N$759,$B177:$B$759,$B176,$A177:$A$759,$A176),K176*M176)</f>
        <v>#N/A</v>
      </c>
      <c r="P176"/>
      <c r="Q176"/>
      <c r="R176" s="27"/>
      <c r="S176" s="27"/>
      <c r="T176" s="27"/>
      <c r="U176" s="27"/>
      <c r="V176" s="27"/>
      <c r="W176" s="27"/>
      <c r="X176" s="27"/>
      <c r="Y176" s="27"/>
    </row>
    <row r="177" spans="1:25" outlineLevel="1">
      <c r="A177" s="23" t="str">
        <f t="shared" si="99"/>
        <v>GERAL</v>
      </c>
      <c r="B177" s="23" t="str">
        <f t="shared" si="100"/>
        <v>8º PAV. - LAZER PÚBLICO 01</v>
      </c>
      <c r="C177" s="29" t="s">
        <v>276</v>
      </c>
      <c r="D177" s="127" t="s">
        <v>218</v>
      </c>
      <c r="E177" s="29" t="s">
        <v>181</v>
      </c>
      <c r="F177" s="83" t="s">
        <v>55</v>
      </c>
      <c r="G177" s="131" t="s">
        <v>199</v>
      </c>
      <c r="H177" s="131">
        <v>5</v>
      </c>
      <c r="I177" s="24">
        <v>1</v>
      </c>
      <c r="J177" s="24">
        <v>0</v>
      </c>
      <c r="K177" s="24">
        <f t="shared" si="103"/>
        <v>5</v>
      </c>
      <c r="L177" s="24" t="s">
        <v>154</v>
      </c>
      <c r="M177" s="25" t="e">
        <f>_xlfn.XLOOKUP($E177,PREÇO!$C$6:$C$89,PREÇO!$E$6:$E$89)</f>
        <v>#N/A</v>
      </c>
      <c r="N177" s="59" t="e">
        <f>IF(SUM(G177:M177)=0,SUMIFS($N178:$N$759,$B178:$B$759,$B177,$A178:$A$759,$A177),K177*M177)</f>
        <v>#N/A</v>
      </c>
      <c r="P177"/>
      <c r="Q177"/>
      <c r="R177" s="27"/>
      <c r="S177" s="27"/>
      <c r="T177" s="27"/>
      <c r="U177" s="27"/>
      <c r="V177" s="27"/>
      <c r="W177" s="27"/>
      <c r="X177" s="27"/>
      <c r="Y177" s="27"/>
    </row>
    <row r="178" spans="1:25" outlineLevel="1">
      <c r="A178" s="23" t="str">
        <f t="shared" si="99"/>
        <v>GERAL</v>
      </c>
      <c r="B178" s="23" t="str">
        <f t="shared" si="100"/>
        <v>8º PAV. - LAZER PÚBLICO 01</v>
      </c>
      <c r="C178" s="29" t="s">
        <v>276</v>
      </c>
      <c r="D178" s="127" t="s">
        <v>218</v>
      </c>
      <c r="E178" s="29" t="s">
        <v>182</v>
      </c>
      <c r="F178" s="83" t="s">
        <v>55</v>
      </c>
      <c r="G178" s="131" t="s">
        <v>200</v>
      </c>
      <c r="H178" s="131">
        <v>2</v>
      </c>
      <c r="I178" s="24">
        <v>1</v>
      </c>
      <c r="J178" s="24">
        <v>0</v>
      </c>
      <c r="K178" s="24">
        <f t="shared" si="103"/>
        <v>2</v>
      </c>
      <c r="L178" s="24" t="s">
        <v>154</v>
      </c>
      <c r="M178" s="25" t="e">
        <f>_xlfn.XLOOKUP($E178,PREÇO!$C$6:$C$89,PREÇO!$E$6:$E$89)</f>
        <v>#N/A</v>
      </c>
      <c r="N178" s="59" t="e">
        <f>IF(SUM(G178:M178)=0,SUMIFS($N179:$N$759,$B179:$B$759,$B178,$A179:$A$759,$A178),K178*M178)</f>
        <v>#N/A</v>
      </c>
      <c r="P178"/>
      <c r="Q178"/>
      <c r="R178" s="27"/>
      <c r="S178" s="27"/>
      <c r="T178" s="27"/>
      <c r="U178" s="27"/>
      <c r="V178" s="27"/>
      <c r="W178" s="27"/>
      <c r="X178" s="27"/>
      <c r="Y178" s="27"/>
    </row>
    <row r="179" spans="1:25" outlineLevel="1">
      <c r="A179" s="23" t="str">
        <f t="shared" si="99"/>
        <v>GERAL</v>
      </c>
      <c r="B179" s="23" t="str">
        <f t="shared" si="100"/>
        <v>8º PAV. - LAZER PÚBLICO 01</v>
      </c>
      <c r="C179" s="29" t="s">
        <v>276</v>
      </c>
      <c r="D179" s="127" t="s">
        <v>218</v>
      </c>
      <c r="E179" s="29" t="s">
        <v>157</v>
      </c>
      <c r="F179" s="83" t="s">
        <v>55</v>
      </c>
      <c r="G179" s="131"/>
      <c r="H179" s="131">
        <v>1</v>
      </c>
      <c r="I179" s="24">
        <v>1</v>
      </c>
      <c r="J179" s="24">
        <v>0</v>
      </c>
      <c r="K179" s="24">
        <f t="shared" si="103"/>
        <v>1</v>
      </c>
      <c r="L179" s="24" t="s">
        <v>154</v>
      </c>
      <c r="M179" s="25" t="e">
        <f>_xlfn.XLOOKUP($E179,PREÇO!$C$6:$C$89,PREÇO!$E$6:$E$89)</f>
        <v>#N/A</v>
      </c>
      <c r="N179" s="59" t="e">
        <f>IF(SUM(G179:M179)=0,SUMIFS($N180:$N$759,$B180:$B$759,$B179,$A180:$A$759,$A179),K179*M179)</f>
        <v>#N/A</v>
      </c>
      <c r="P179"/>
      <c r="Q179"/>
      <c r="R179" s="27"/>
      <c r="S179" s="27"/>
      <c r="T179" s="27"/>
      <c r="U179" s="27"/>
      <c r="V179" s="27"/>
      <c r="W179" s="27"/>
      <c r="X179" s="27"/>
      <c r="Y179" s="27"/>
    </row>
    <row r="180" spans="1:25" outlineLevel="1">
      <c r="A180" s="23" t="str">
        <f t="shared" si="99"/>
        <v>GERAL</v>
      </c>
      <c r="B180" s="23" t="str">
        <f t="shared" si="100"/>
        <v>8º PAV. - LAZER PÚBLICO 01</v>
      </c>
      <c r="C180" s="29" t="s">
        <v>276</v>
      </c>
      <c r="D180" s="127" t="s">
        <v>218</v>
      </c>
      <c r="E180" s="29" t="s">
        <v>183</v>
      </c>
      <c r="F180" s="83" t="s">
        <v>55</v>
      </c>
      <c r="G180" s="131" t="s">
        <v>201</v>
      </c>
      <c r="H180" s="131">
        <v>1</v>
      </c>
      <c r="I180" s="24">
        <v>1</v>
      </c>
      <c r="J180" s="24">
        <v>0</v>
      </c>
      <c r="K180" s="24">
        <f t="shared" si="103"/>
        <v>1</v>
      </c>
      <c r="L180" s="24" t="s">
        <v>154</v>
      </c>
      <c r="M180" s="25" t="e">
        <f>_xlfn.XLOOKUP($E180,PREÇO!$C$6:$C$89,PREÇO!$E$6:$E$89)</f>
        <v>#N/A</v>
      </c>
      <c r="N180" s="59" t="e">
        <f>IF(SUM(G180:M180)=0,SUMIFS($N181:$N$759,$B181:$B$759,$B180,$A181:$A$759,$A180),K180*M180)</f>
        <v>#N/A</v>
      </c>
      <c r="P180"/>
      <c r="Q180"/>
      <c r="R180" s="27"/>
      <c r="S180" s="27"/>
      <c r="T180" s="27"/>
      <c r="U180" s="27"/>
      <c r="V180" s="27"/>
      <c r="W180" s="27"/>
      <c r="X180" s="27"/>
      <c r="Y180" s="27"/>
    </row>
    <row r="181" spans="1:25" outlineLevel="1">
      <c r="A181" s="23" t="str">
        <f t="shared" si="99"/>
        <v>GERAL</v>
      </c>
      <c r="B181" s="23" t="str">
        <f t="shared" si="100"/>
        <v>8º PAV. - LAZER PÚBLICO 01</v>
      </c>
      <c r="C181" s="29" t="s">
        <v>276</v>
      </c>
      <c r="D181" s="127" t="s">
        <v>218</v>
      </c>
      <c r="E181" s="29" t="s">
        <v>184</v>
      </c>
      <c r="F181" s="83" t="s">
        <v>55</v>
      </c>
      <c r="G181" s="131" t="s">
        <v>202</v>
      </c>
      <c r="H181" s="131">
        <v>1</v>
      </c>
      <c r="I181" s="24">
        <v>1</v>
      </c>
      <c r="J181" s="24">
        <v>0</v>
      </c>
      <c r="K181" s="24">
        <f t="shared" si="103"/>
        <v>1</v>
      </c>
      <c r="L181" s="24" t="s">
        <v>154</v>
      </c>
      <c r="M181" s="25" t="e">
        <f>_xlfn.XLOOKUP($E181,PREÇO!$C$6:$C$89,PREÇO!$E$6:$E$89)</f>
        <v>#N/A</v>
      </c>
      <c r="N181" s="59" t="e">
        <f>IF(SUM(G181:M181)=0,SUMIFS($N182:$N$759,$B182:$B$759,$B181,$A182:$A$759,$A181),K181*M181)</f>
        <v>#N/A</v>
      </c>
      <c r="P181"/>
      <c r="Q181"/>
      <c r="R181" s="27"/>
      <c r="S181" s="27"/>
      <c r="T181" s="27"/>
      <c r="U181" s="27"/>
      <c r="V181" s="27"/>
      <c r="W181" s="27"/>
      <c r="X181" s="27"/>
      <c r="Y181" s="27"/>
    </row>
    <row r="182" spans="1:25" outlineLevel="1">
      <c r="A182" s="23" t="str">
        <f t="shared" si="99"/>
        <v>GERAL</v>
      </c>
      <c r="B182" s="23" t="str">
        <f t="shared" si="100"/>
        <v>8º PAV. - LAZER PÚBLICO 01</v>
      </c>
      <c r="C182" s="29" t="s">
        <v>276</v>
      </c>
      <c r="D182" s="127" t="s">
        <v>218</v>
      </c>
      <c r="E182" s="127" t="s">
        <v>53</v>
      </c>
      <c r="F182" s="83" t="s">
        <v>55</v>
      </c>
      <c r="G182" s="131" t="s">
        <v>59</v>
      </c>
      <c r="H182" s="131">
        <v>1</v>
      </c>
      <c r="I182" s="24">
        <v>1</v>
      </c>
      <c r="J182" s="24">
        <v>0</v>
      </c>
      <c r="K182" s="24">
        <f t="shared" si="103"/>
        <v>1</v>
      </c>
      <c r="L182" s="24" t="s">
        <v>154</v>
      </c>
      <c r="M182" s="25" t="e">
        <f>_xlfn.XLOOKUP($E182,PREÇO!$C$6:$C$89,PREÇO!$E$6:$E$89)</f>
        <v>#N/A</v>
      </c>
      <c r="N182" s="59" t="e">
        <f>IF(SUM(G182:M182)=0,SUMIFS($N183:$N$759,$B183:$B$759,$B182,$A183:$A$759,$A182),K182*M182)</f>
        <v>#N/A</v>
      </c>
      <c r="P182"/>
      <c r="Q182"/>
      <c r="R182" s="27"/>
      <c r="S182" s="27"/>
      <c r="T182" s="27"/>
      <c r="U182" s="27"/>
      <c r="V182" s="27"/>
      <c r="W182" s="27"/>
      <c r="X182" s="27"/>
      <c r="Y182" s="27"/>
    </row>
    <row r="183" spans="1:25" outlineLevel="1">
      <c r="A183" s="23" t="str">
        <f t="shared" si="99"/>
        <v>GERAL</v>
      </c>
      <c r="B183" s="23" t="str">
        <f t="shared" si="100"/>
        <v>8º PAV. - LAZER PÚBLICO 01</v>
      </c>
      <c r="C183" s="29" t="s">
        <v>276</v>
      </c>
      <c r="D183" s="127" t="s">
        <v>218</v>
      </c>
      <c r="E183" s="127" t="s">
        <v>185</v>
      </c>
      <c r="F183" s="83" t="s">
        <v>55</v>
      </c>
      <c r="G183" s="131" t="s">
        <v>190</v>
      </c>
      <c r="H183" s="131">
        <v>3</v>
      </c>
      <c r="I183" s="24">
        <v>1</v>
      </c>
      <c r="J183" s="24">
        <v>0</v>
      </c>
      <c r="K183" s="24">
        <f t="shared" si="103"/>
        <v>3</v>
      </c>
      <c r="L183" s="24" t="s">
        <v>154</v>
      </c>
      <c r="M183" s="25" t="e">
        <f>_xlfn.XLOOKUP($E183,PREÇO!$C$6:$C$89,PREÇO!$E$6:$E$89)</f>
        <v>#N/A</v>
      </c>
      <c r="N183" s="59" t="e">
        <f>IF(SUM(G183:M183)=0,SUMIFS($N184:$N$759,$B184:$B$759,$B183,$A184:$A$759,$A183),K183*M183)</f>
        <v>#N/A</v>
      </c>
      <c r="P183"/>
      <c r="Q183"/>
      <c r="R183" s="27"/>
      <c r="S183" s="27"/>
      <c r="T183" s="27"/>
      <c r="U183" s="27"/>
      <c r="V183" s="27"/>
      <c r="W183" s="27"/>
      <c r="X183" s="27"/>
      <c r="Y183" s="27"/>
    </row>
    <row r="184" spans="1:25" outlineLevel="1">
      <c r="A184" s="23" t="str">
        <f t="shared" si="99"/>
        <v>GERAL</v>
      </c>
      <c r="B184" s="23" t="str">
        <f t="shared" si="100"/>
        <v>8º PAV. - LAZER PÚBLICO 01</v>
      </c>
      <c r="C184" s="29" t="s">
        <v>276</v>
      </c>
      <c r="D184" s="127" t="s">
        <v>218</v>
      </c>
      <c r="E184" s="127" t="s">
        <v>186</v>
      </c>
      <c r="F184" s="83" t="s">
        <v>55</v>
      </c>
      <c r="G184" s="131" t="s">
        <v>191</v>
      </c>
      <c r="H184" s="131">
        <v>5</v>
      </c>
      <c r="I184" s="24">
        <v>1</v>
      </c>
      <c r="J184" s="24">
        <v>0</v>
      </c>
      <c r="K184" s="24">
        <f t="shared" si="103"/>
        <v>5</v>
      </c>
      <c r="L184" s="24" t="s">
        <v>154</v>
      </c>
      <c r="M184" s="25" t="e">
        <f>_xlfn.XLOOKUP($E184,PREÇO!$C$6:$C$89,PREÇO!$E$6:$E$89)</f>
        <v>#N/A</v>
      </c>
      <c r="N184" s="59" t="e">
        <f>IF(SUM(G184:M184)=0,SUMIFS($N185:$N$759,$B185:$B$759,$B184,$A185:$A$759,$A184),K184*M184)</f>
        <v>#N/A</v>
      </c>
      <c r="P184"/>
      <c r="Q184"/>
      <c r="R184" s="27"/>
      <c r="S184" s="27"/>
      <c r="T184" s="27"/>
      <c r="U184" s="27"/>
      <c r="V184" s="27"/>
      <c r="W184" s="27"/>
      <c r="X184" s="27"/>
      <c r="Y184" s="27"/>
    </row>
    <row r="185" spans="1:25" outlineLevel="1">
      <c r="A185" s="23" t="str">
        <f t="shared" si="99"/>
        <v>GERAL</v>
      </c>
      <c r="B185" s="23" t="str">
        <f t="shared" si="100"/>
        <v>8º PAV. - LAZER PÚBLICO 01</v>
      </c>
      <c r="C185" s="29" t="s">
        <v>276</v>
      </c>
      <c r="D185" s="127" t="s">
        <v>218</v>
      </c>
      <c r="E185" s="127" t="s">
        <v>187</v>
      </c>
      <c r="F185" s="83" t="s">
        <v>55</v>
      </c>
      <c r="G185" s="131" t="s">
        <v>192</v>
      </c>
      <c r="H185" s="131">
        <v>1</v>
      </c>
      <c r="I185" s="24">
        <v>1</v>
      </c>
      <c r="J185" s="24">
        <v>0</v>
      </c>
      <c r="K185" s="24">
        <f t="shared" si="103"/>
        <v>1</v>
      </c>
      <c r="L185" s="24" t="s">
        <v>154</v>
      </c>
      <c r="M185" s="25" t="e">
        <f>_xlfn.XLOOKUP($E185,PREÇO!$C$6:$C$89,PREÇO!$E$6:$E$89)</f>
        <v>#N/A</v>
      </c>
      <c r="N185" s="59" t="e">
        <f>IF(SUM(G185:M185)=0,SUMIFS($N186:$N$759,$B186:$B$759,$B185,$A186:$A$759,$A185),K185*M185)</f>
        <v>#N/A</v>
      </c>
      <c r="P185"/>
      <c r="Q185"/>
      <c r="R185" s="27"/>
      <c r="S185" s="27"/>
      <c r="T185" s="27"/>
      <c r="U185" s="27"/>
      <c r="V185" s="27"/>
      <c r="W185" s="27"/>
      <c r="X185" s="27"/>
      <c r="Y185" s="27"/>
    </row>
    <row r="186" spans="1:25" outlineLevel="1">
      <c r="A186" s="23" t="str">
        <f t="shared" si="99"/>
        <v>GERAL</v>
      </c>
      <c r="B186" s="23" t="str">
        <f t="shared" si="100"/>
        <v>8º PAV. - LAZER PÚBLICO 01</v>
      </c>
      <c r="C186" s="29" t="s">
        <v>276</v>
      </c>
      <c r="D186" s="127" t="s">
        <v>218</v>
      </c>
      <c r="E186" s="127" t="s">
        <v>188</v>
      </c>
      <c r="F186" s="83" t="s">
        <v>55</v>
      </c>
      <c r="G186" s="131" t="s">
        <v>193</v>
      </c>
      <c r="H186" s="131">
        <v>2</v>
      </c>
      <c r="I186" s="24">
        <v>1</v>
      </c>
      <c r="J186" s="24">
        <v>0</v>
      </c>
      <c r="K186" s="24">
        <f t="shared" si="103"/>
        <v>2</v>
      </c>
      <c r="L186" s="24" t="s">
        <v>154</v>
      </c>
      <c r="M186" s="25" t="e">
        <f>_xlfn.XLOOKUP($E186,PREÇO!$C$6:$C$89,PREÇO!$E$6:$E$89)</f>
        <v>#N/A</v>
      </c>
      <c r="N186" s="59" t="e">
        <f>IF(SUM(G186:M186)=0,SUMIFS($N187:$N$759,$B187:$B$759,$B186,$A187:$A$759,$A186),K186*M186)</f>
        <v>#N/A</v>
      </c>
      <c r="P186"/>
      <c r="Q186"/>
      <c r="R186" s="27"/>
      <c r="S186" s="27"/>
      <c r="T186" s="27"/>
      <c r="U186" s="27"/>
      <c r="V186" s="27"/>
      <c r="W186" s="27"/>
      <c r="X186" s="27"/>
      <c r="Y186" s="27"/>
    </row>
    <row r="187" spans="1:25" outlineLevel="1">
      <c r="A187" s="23" t="str">
        <f t="shared" si="99"/>
        <v>GERAL</v>
      </c>
      <c r="B187" s="23" t="str">
        <f t="shared" si="100"/>
        <v>8º PAV. - LAZER PÚBLICO 01</v>
      </c>
      <c r="C187" s="29" t="s">
        <v>276</v>
      </c>
      <c r="D187" s="127" t="s">
        <v>218</v>
      </c>
      <c r="E187" s="127" t="s">
        <v>78</v>
      </c>
      <c r="F187" s="83" t="s">
        <v>55</v>
      </c>
      <c r="G187" s="131" t="s">
        <v>79</v>
      </c>
      <c r="H187" s="131">
        <v>13</v>
      </c>
      <c r="I187" s="24">
        <v>1</v>
      </c>
      <c r="J187" s="24">
        <v>0</v>
      </c>
      <c r="K187" s="24">
        <f t="shared" si="103"/>
        <v>13</v>
      </c>
      <c r="L187" s="24" t="s">
        <v>154</v>
      </c>
      <c r="M187" s="25" t="e">
        <f>_xlfn.XLOOKUP($E187,PREÇO!$C$6:$C$89,PREÇO!$E$6:$E$89)</f>
        <v>#N/A</v>
      </c>
      <c r="N187" s="59" t="e">
        <f>IF(SUM(G187:M187)=0,SUMIFS($N188:$N$759,$B188:$B$759,$B187,$A188:$A$759,$A187),K187*M187)</f>
        <v>#N/A</v>
      </c>
      <c r="P187"/>
      <c r="Q187"/>
      <c r="R187" s="27"/>
      <c r="S187" s="27"/>
      <c r="T187" s="27"/>
      <c r="U187" s="27"/>
      <c r="V187" s="27"/>
      <c r="W187" s="27"/>
      <c r="X187" s="27"/>
      <c r="Y187" s="27"/>
    </row>
    <row r="188" spans="1:25" outlineLevel="1">
      <c r="A188" s="23" t="str">
        <f t="shared" si="99"/>
        <v>GERAL</v>
      </c>
      <c r="B188" s="23" t="str">
        <f t="shared" si="100"/>
        <v>8º PAV. - LAZER PÚBLICO 01</v>
      </c>
      <c r="C188" s="29" t="s">
        <v>276</v>
      </c>
      <c r="D188" s="127" t="s">
        <v>218</v>
      </c>
      <c r="E188" s="127" t="s">
        <v>80</v>
      </c>
      <c r="F188" s="83" t="s">
        <v>55</v>
      </c>
      <c r="G188" s="131" t="s">
        <v>81</v>
      </c>
      <c r="H188" s="131">
        <v>16</v>
      </c>
      <c r="I188" s="24">
        <v>1</v>
      </c>
      <c r="J188" s="24">
        <v>0</v>
      </c>
      <c r="K188" s="24">
        <f t="shared" si="103"/>
        <v>16</v>
      </c>
      <c r="L188" s="24" t="s">
        <v>154</v>
      </c>
      <c r="M188" s="25" t="e">
        <f>_xlfn.XLOOKUP($E188,PREÇO!$C$6:$C$89,PREÇO!$E$6:$E$89)</f>
        <v>#N/A</v>
      </c>
      <c r="N188" s="59" t="e">
        <f>IF(SUM(G188:M188)=0,SUMIFS($N189:$N$759,$B189:$B$759,$B188,$A189:$A$759,$A188),K188*M188)</f>
        <v>#N/A</v>
      </c>
      <c r="P188"/>
      <c r="Q188"/>
      <c r="R188" s="27"/>
      <c r="S188" s="27"/>
      <c r="T188" s="27"/>
      <c r="U188" s="27"/>
      <c r="V188" s="27"/>
      <c r="W188" s="27"/>
      <c r="X188" s="27"/>
      <c r="Y188" s="27"/>
    </row>
    <row r="189" spans="1:25" outlineLevel="1">
      <c r="A189" s="23" t="str">
        <f t="shared" si="99"/>
        <v>GERAL</v>
      </c>
      <c r="B189" s="23" t="str">
        <f t="shared" si="100"/>
        <v>8º PAV. - LAZER PÚBLICO 01</v>
      </c>
      <c r="C189" s="29" t="s">
        <v>276</v>
      </c>
      <c r="D189" s="127" t="s">
        <v>218</v>
      </c>
      <c r="E189" s="127" t="s">
        <v>115</v>
      </c>
      <c r="F189" s="83" t="s">
        <v>55</v>
      </c>
      <c r="G189" s="131" t="s">
        <v>130</v>
      </c>
      <c r="H189" s="131">
        <v>4</v>
      </c>
      <c r="I189" s="24">
        <v>1</v>
      </c>
      <c r="J189" s="24">
        <v>0</v>
      </c>
      <c r="K189" s="24">
        <f t="shared" si="103"/>
        <v>4</v>
      </c>
      <c r="L189" s="24" t="s">
        <v>154</v>
      </c>
      <c r="M189" s="25" t="e">
        <f>_xlfn.XLOOKUP($E189,PREÇO!$C$6:$C$89,PREÇO!$E$6:$E$89)</f>
        <v>#N/A</v>
      </c>
      <c r="N189" s="59" t="e">
        <f>IF(SUM(G189:M189)=0,SUMIFS($N190:$N$759,$B190:$B$759,$B189,$A190:$A$759,$A189),K189*M189)</f>
        <v>#N/A</v>
      </c>
      <c r="P189"/>
      <c r="Q189"/>
      <c r="R189" s="27"/>
      <c r="S189" s="27"/>
      <c r="T189" s="27"/>
      <c r="U189" s="27"/>
      <c r="V189" s="27"/>
      <c r="W189" s="27"/>
      <c r="X189" s="27"/>
      <c r="Y189" s="27"/>
    </row>
    <row r="190" spans="1:25" outlineLevel="1">
      <c r="A190" s="23" t="str">
        <f t="shared" si="99"/>
        <v>GERAL</v>
      </c>
      <c r="B190" s="23" t="str">
        <f t="shared" si="100"/>
        <v>8º PAV. - LAZER PÚBLICO 01</v>
      </c>
      <c r="C190" s="29" t="s">
        <v>276</v>
      </c>
      <c r="D190" s="127" t="s">
        <v>218</v>
      </c>
      <c r="E190" s="127" t="s">
        <v>189</v>
      </c>
      <c r="F190" s="83" t="s">
        <v>55</v>
      </c>
      <c r="G190" s="131" t="s">
        <v>194</v>
      </c>
      <c r="H190" s="131">
        <v>2</v>
      </c>
      <c r="I190" s="24">
        <v>1</v>
      </c>
      <c r="J190" s="24">
        <v>0</v>
      </c>
      <c r="K190" s="24">
        <f t="shared" si="103"/>
        <v>2</v>
      </c>
      <c r="L190" s="24" t="s">
        <v>154</v>
      </c>
      <c r="M190" s="25" t="e">
        <f>_xlfn.XLOOKUP($E190,PREÇO!$C$6:$C$89,PREÇO!$E$6:$E$89)</f>
        <v>#N/A</v>
      </c>
      <c r="N190" s="59" t="e">
        <f>IF(SUM(G190:M190)=0,SUMIFS($N208:$N$759,$B208:$B$759,$B190,$A208:$A$759,$A190),K190*M190)</f>
        <v>#N/A</v>
      </c>
      <c r="P190"/>
      <c r="Q190"/>
      <c r="R190" s="27"/>
      <c r="S190" s="27"/>
      <c r="T190" s="27"/>
      <c r="U190" s="27"/>
      <c r="V190" s="27"/>
      <c r="W190" s="27"/>
      <c r="X190" s="27"/>
      <c r="Y190" s="27"/>
    </row>
    <row r="191" spans="1:25" outlineLevel="1">
      <c r="A191" s="23" t="str">
        <f t="shared" si="99"/>
        <v>GERAL</v>
      </c>
      <c r="B191" s="23" t="str">
        <f t="shared" si="100"/>
        <v>8º PAV. - LAZER PÚBLICO 01</v>
      </c>
      <c r="C191" s="29" t="s">
        <v>277</v>
      </c>
      <c r="D191" s="127" t="s">
        <v>218</v>
      </c>
      <c r="E191" s="127" t="s">
        <v>63</v>
      </c>
      <c r="F191" s="83" t="s">
        <v>64</v>
      </c>
      <c r="G191" s="131" t="s">
        <v>67</v>
      </c>
      <c r="H191" s="131">
        <v>71</v>
      </c>
      <c r="I191" s="24">
        <v>1</v>
      </c>
      <c r="J191" s="24">
        <v>0</v>
      </c>
      <c r="K191" s="24">
        <f t="shared" ref="K191:K194" si="104">(H191+J191*H191)*I191</f>
        <v>71</v>
      </c>
      <c r="L191" s="24" t="s">
        <v>154</v>
      </c>
      <c r="M191" s="25" t="e">
        <f>_xlfn.XLOOKUP($E191,PREÇO!$C$6:$C$89,PREÇO!$E$6:$E$89)</f>
        <v>#N/A</v>
      </c>
      <c r="N191" s="59" t="e">
        <f>IF(SUM(G191:M191)=0,SUMIFS($N209:$N$759,$B209:$B$759,$B191,$A209:$A$759,$A191),K191*M191)</f>
        <v>#N/A</v>
      </c>
      <c r="P191"/>
      <c r="Q191"/>
      <c r="R191" s="27"/>
      <c r="S191" s="27"/>
      <c r="T191" s="27"/>
      <c r="U191" s="27"/>
      <c r="V191" s="27"/>
      <c r="W191" s="27"/>
      <c r="X191" s="27"/>
      <c r="Y191" s="27"/>
    </row>
    <row r="192" spans="1:25" outlineLevel="1">
      <c r="A192" s="23" t="str">
        <f t="shared" si="99"/>
        <v>GERAL</v>
      </c>
      <c r="B192" s="23" t="str">
        <f t="shared" si="100"/>
        <v>8º PAV. - LAZER PÚBLICO 01</v>
      </c>
      <c r="C192" s="29" t="s">
        <v>277</v>
      </c>
      <c r="D192" s="127" t="s">
        <v>218</v>
      </c>
      <c r="E192" s="127" t="s">
        <v>85</v>
      </c>
      <c r="F192" s="83" t="s">
        <v>86</v>
      </c>
      <c r="G192" s="131" t="s">
        <v>88</v>
      </c>
      <c r="H192" s="131">
        <v>35</v>
      </c>
      <c r="I192" s="24">
        <v>1</v>
      </c>
      <c r="J192" s="24">
        <v>0</v>
      </c>
      <c r="K192" s="24">
        <f t="shared" si="104"/>
        <v>35</v>
      </c>
      <c r="L192" s="24" t="s">
        <v>154</v>
      </c>
      <c r="M192" s="25" t="e">
        <f>_xlfn.XLOOKUP($E192,PREÇO!$C$6:$C$89,PREÇO!$E$6:$E$89)</f>
        <v>#N/A</v>
      </c>
      <c r="N192" s="59" t="e">
        <f>IF(SUM(G192:M192)=0,SUMIFS($N210:$N$759,$B210:$B$759,$B192,$A210:$A$759,$A192),K192*M192)</f>
        <v>#N/A</v>
      </c>
      <c r="P192"/>
      <c r="Q192"/>
      <c r="R192" s="27"/>
      <c r="S192" s="27"/>
      <c r="T192" s="27"/>
      <c r="U192" s="27"/>
      <c r="V192" s="27"/>
      <c r="W192" s="27"/>
      <c r="X192" s="27"/>
      <c r="Y192" s="27"/>
    </row>
    <row r="193" spans="1:25" outlineLevel="1">
      <c r="A193" s="23" t="str">
        <f t="shared" si="99"/>
        <v>GERAL</v>
      </c>
      <c r="B193" s="23" t="str">
        <f t="shared" si="100"/>
        <v>8º PAV. - LAZER PÚBLICO 01</v>
      </c>
      <c r="C193" s="29" t="s">
        <v>277</v>
      </c>
      <c r="D193" s="127" t="s">
        <v>218</v>
      </c>
      <c r="E193" s="127" t="s">
        <v>203</v>
      </c>
      <c r="F193" s="83" t="s">
        <v>86</v>
      </c>
      <c r="G193" s="131" t="s">
        <v>204</v>
      </c>
      <c r="H193" s="131">
        <v>1</v>
      </c>
      <c r="I193" s="24">
        <v>1</v>
      </c>
      <c r="J193" s="24">
        <v>0</v>
      </c>
      <c r="K193" s="24">
        <f t="shared" si="104"/>
        <v>1</v>
      </c>
      <c r="L193" s="24" t="s">
        <v>154</v>
      </c>
      <c r="M193" s="25" t="e">
        <f>_xlfn.XLOOKUP($E193,PREÇO!$C$6:$C$89,PREÇO!$E$6:$E$89)</f>
        <v>#N/A</v>
      </c>
      <c r="N193" s="59" t="e">
        <f>IF(SUM(G193:M193)=0,SUMIFS($N211:$N$759,$B211:$B$759,$B193,$A211:$A$759,$A193),K193*M193)</f>
        <v>#N/A</v>
      </c>
      <c r="P193"/>
      <c r="Q193"/>
      <c r="R193" s="27"/>
      <c r="S193" s="27"/>
      <c r="T193" s="27"/>
      <c r="U193" s="27"/>
      <c r="V193" s="27"/>
      <c r="W193" s="27"/>
      <c r="X193" s="27"/>
      <c r="Y193" s="27"/>
    </row>
    <row r="194" spans="1:25" outlineLevel="1">
      <c r="A194" s="23" t="str">
        <f t="shared" si="99"/>
        <v>GERAL</v>
      </c>
      <c r="B194" s="23" t="str">
        <f t="shared" si="100"/>
        <v>8º PAV. - LAZER PÚBLICO 01</v>
      </c>
      <c r="C194" s="29" t="s">
        <v>276</v>
      </c>
      <c r="D194" s="127" t="s">
        <v>218</v>
      </c>
      <c r="E194" s="127" t="s">
        <v>205</v>
      </c>
      <c r="F194" s="83"/>
      <c r="G194" s="131"/>
      <c r="H194" s="131">
        <v>51.2</v>
      </c>
      <c r="I194" s="24">
        <v>1</v>
      </c>
      <c r="J194" s="24">
        <v>0</v>
      </c>
      <c r="K194" s="24">
        <f t="shared" si="104"/>
        <v>51.2</v>
      </c>
      <c r="L194" s="24" t="s">
        <v>14</v>
      </c>
      <c r="M194" s="25" t="e">
        <f>_xlfn.XLOOKUP($E194,PREÇO!$C$6:$C$89,PREÇO!$E$6:$E$89)</f>
        <v>#N/A</v>
      </c>
      <c r="N194" s="59" t="e">
        <f>IF(SUM(G194:M194)=0,SUMIFS($N212:$N$759,$B212:$B$759,$B194,$A212:$A$759,$A194),K194*M194)</f>
        <v>#N/A</v>
      </c>
      <c r="P194"/>
      <c r="Q194"/>
      <c r="R194" s="27"/>
      <c r="S194" s="27"/>
      <c r="T194" s="27"/>
      <c r="U194" s="27"/>
      <c r="V194" s="27"/>
      <c r="W194" s="27"/>
      <c r="X194" s="27"/>
      <c r="Y194" s="27"/>
    </row>
    <row r="195" spans="1:25" outlineLevel="1">
      <c r="A195" s="23" t="str">
        <f t="shared" si="99"/>
        <v>GERAL</v>
      </c>
      <c r="B195" s="23" t="str">
        <f t="shared" si="100"/>
        <v>8º PAV. - LAZER PÚBLICO 01</v>
      </c>
      <c r="C195" s="29" t="s">
        <v>276</v>
      </c>
      <c r="D195" s="127" t="s">
        <v>218</v>
      </c>
      <c r="E195" s="127" t="s">
        <v>206</v>
      </c>
      <c r="F195" s="83"/>
      <c r="G195" s="131"/>
      <c r="H195" s="131">
        <v>203</v>
      </c>
      <c r="I195" s="24">
        <v>1</v>
      </c>
      <c r="J195" s="24">
        <v>0</v>
      </c>
      <c r="K195" s="24">
        <f t="shared" ref="K195:K207" si="105">(H195+J195*H195)*I195</f>
        <v>203</v>
      </c>
      <c r="L195" s="24" t="s">
        <v>14</v>
      </c>
      <c r="M195" s="25" t="e">
        <f>_xlfn.XLOOKUP($E195,PREÇO!$C$6:$C$89,PREÇO!$E$6:$E$89)</f>
        <v>#N/A</v>
      </c>
      <c r="N195" s="59" t="e">
        <f>IF(SUM(G195:M195)=0,SUMIFS($N213:$N$759,$B213:$B$759,$B195,$A213:$A$759,$A195),K195*M195)</f>
        <v>#N/A</v>
      </c>
      <c r="P195"/>
      <c r="Q195"/>
      <c r="R195" s="27"/>
      <c r="S195" s="27"/>
      <c r="T195" s="27"/>
      <c r="U195" s="27"/>
      <c r="V195" s="27"/>
      <c r="W195" s="27"/>
      <c r="X195" s="27"/>
      <c r="Y195" s="27"/>
    </row>
    <row r="196" spans="1:25" outlineLevel="1">
      <c r="A196" s="23" t="str">
        <f t="shared" si="99"/>
        <v>GERAL</v>
      </c>
      <c r="B196" s="23" t="str">
        <f t="shared" si="100"/>
        <v>8º PAV. - LAZER PÚBLICO 01</v>
      </c>
      <c r="C196" s="29" t="s">
        <v>276</v>
      </c>
      <c r="D196" s="127" t="s">
        <v>218</v>
      </c>
      <c r="E196" s="127" t="s">
        <v>207</v>
      </c>
      <c r="F196" s="83"/>
      <c r="G196" s="131"/>
      <c r="H196" s="131">
        <v>65.8</v>
      </c>
      <c r="I196" s="24">
        <v>1</v>
      </c>
      <c r="J196" s="24">
        <v>0</v>
      </c>
      <c r="K196" s="24">
        <f t="shared" si="105"/>
        <v>65.8</v>
      </c>
      <c r="L196" s="24" t="s">
        <v>14</v>
      </c>
      <c r="M196" s="25" t="e">
        <f>_xlfn.XLOOKUP($E196,PREÇO!$C$6:$C$89,PREÇO!$E$6:$E$89)</f>
        <v>#N/A</v>
      </c>
      <c r="N196" s="59" t="e">
        <f>IF(SUM(G196:M196)=0,SUMIFS($N214:$N$759,$B214:$B$759,$B196,$A214:$A$759,$A196),K196*M196)</f>
        <v>#N/A</v>
      </c>
      <c r="P196"/>
      <c r="Q196"/>
      <c r="R196" s="27"/>
      <c r="S196" s="27"/>
      <c r="T196" s="27"/>
      <c r="U196" s="27"/>
      <c r="V196" s="27"/>
      <c r="W196" s="27"/>
      <c r="X196" s="27"/>
      <c r="Y196" s="27"/>
    </row>
    <row r="197" spans="1:25" outlineLevel="1">
      <c r="A197" s="23" t="str">
        <f t="shared" si="99"/>
        <v>GERAL</v>
      </c>
      <c r="B197" s="23" t="str">
        <f t="shared" si="100"/>
        <v>8º PAV. - LAZER PÚBLICO 01</v>
      </c>
      <c r="C197" s="29" t="s">
        <v>276</v>
      </c>
      <c r="D197" s="127" t="s">
        <v>218</v>
      </c>
      <c r="E197" s="127" t="s">
        <v>208</v>
      </c>
      <c r="F197" s="83"/>
      <c r="G197" s="131"/>
      <c r="H197" s="131">
        <v>46.6</v>
      </c>
      <c r="I197" s="24">
        <v>1</v>
      </c>
      <c r="J197" s="24">
        <v>0</v>
      </c>
      <c r="K197" s="24">
        <f t="shared" si="105"/>
        <v>46.6</v>
      </c>
      <c r="L197" s="24" t="s">
        <v>14</v>
      </c>
      <c r="M197" s="25" t="e">
        <f>_xlfn.XLOOKUP($E197,PREÇO!$C$6:$C$89,PREÇO!$E$6:$E$89)</f>
        <v>#N/A</v>
      </c>
      <c r="N197" s="59" t="e">
        <f>IF(SUM(G197:M197)=0,SUMIFS($N215:$N$759,$B215:$B$759,$B197,$A215:$A$759,$A197),K197*M197)</f>
        <v>#N/A</v>
      </c>
      <c r="P197"/>
      <c r="Q197"/>
      <c r="R197" s="27"/>
      <c r="S197" s="27"/>
      <c r="T197" s="27"/>
      <c r="U197" s="27"/>
      <c r="V197" s="27"/>
      <c r="W197" s="27"/>
      <c r="X197" s="27"/>
      <c r="Y197" s="27"/>
    </row>
    <row r="198" spans="1:25" outlineLevel="1">
      <c r="A198" s="23" t="str">
        <f t="shared" si="99"/>
        <v>GERAL</v>
      </c>
      <c r="B198" s="23" t="str">
        <f t="shared" si="100"/>
        <v>8º PAV. - LAZER PÚBLICO 01</v>
      </c>
      <c r="C198" s="29" t="s">
        <v>276</v>
      </c>
      <c r="D198" s="127" t="s">
        <v>218</v>
      </c>
      <c r="E198" s="127" t="s">
        <v>209</v>
      </c>
      <c r="F198" s="83"/>
      <c r="G198" s="131"/>
      <c r="H198" s="131">
        <v>37.200000000000003</v>
      </c>
      <c r="I198" s="24">
        <v>1</v>
      </c>
      <c r="J198" s="24">
        <v>0</v>
      </c>
      <c r="K198" s="24">
        <f t="shared" si="105"/>
        <v>37.200000000000003</v>
      </c>
      <c r="L198" s="24" t="s">
        <v>14</v>
      </c>
      <c r="M198" s="25" t="e">
        <f>_xlfn.XLOOKUP($E198,PREÇO!$C$6:$C$89,PREÇO!$E$6:$E$89)</f>
        <v>#N/A</v>
      </c>
      <c r="N198" s="59" t="e">
        <f>IF(SUM(G198:M198)=0,SUMIFS($N216:$N$759,$B216:$B$759,$B198,$A216:$A$759,$A198),K198*M198)</f>
        <v>#N/A</v>
      </c>
      <c r="P198"/>
      <c r="Q198"/>
      <c r="R198" s="27"/>
      <c r="S198" s="27"/>
      <c r="T198" s="27"/>
      <c r="U198" s="27"/>
      <c r="V198" s="27"/>
      <c r="W198" s="27"/>
      <c r="X198" s="27"/>
      <c r="Y198" s="27"/>
    </row>
    <row r="199" spans="1:25" outlineLevel="1">
      <c r="A199" s="23" t="str">
        <f t="shared" si="99"/>
        <v>GERAL</v>
      </c>
      <c r="B199" s="23" t="str">
        <f t="shared" si="100"/>
        <v>8º PAV. - LAZER PÚBLICO 01</v>
      </c>
      <c r="C199" s="29" t="s">
        <v>276</v>
      </c>
      <c r="D199" s="127" t="s">
        <v>218</v>
      </c>
      <c r="E199" s="127" t="s">
        <v>210</v>
      </c>
      <c r="F199" s="83"/>
      <c r="G199" s="131"/>
      <c r="H199" s="131">
        <v>161.80000000000001</v>
      </c>
      <c r="I199" s="24">
        <v>1</v>
      </c>
      <c r="J199" s="24">
        <v>0</v>
      </c>
      <c r="K199" s="24">
        <f t="shared" si="105"/>
        <v>161.80000000000001</v>
      </c>
      <c r="L199" s="24" t="s">
        <v>14</v>
      </c>
      <c r="M199" s="25" t="e">
        <f>_xlfn.XLOOKUP($E199,PREÇO!$C$6:$C$89,PREÇO!$E$6:$E$89)</f>
        <v>#N/A</v>
      </c>
      <c r="N199" s="59" t="e">
        <f>IF(SUM(G199:M199)=0,SUMIFS($N217:$N$759,$B217:$B$759,$B199,$A217:$A$759,$A199),K199*M199)</f>
        <v>#N/A</v>
      </c>
      <c r="P199"/>
      <c r="Q199"/>
      <c r="R199" s="27"/>
      <c r="S199" s="27"/>
      <c r="T199" s="27"/>
      <c r="U199" s="27"/>
      <c r="V199" s="27"/>
      <c r="W199" s="27"/>
      <c r="X199" s="27"/>
      <c r="Y199" s="27"/>
    </row>
    <row r="200" spans="1:25" outlineLevel="1">
      <c r="A200" s="23" t="str">
        <f t="shared" si="99"/>
        <v>GERAL</v>
      </c>
      <c r="B200" s="23" t="str">
        <f t="shared" si="100"/>
        <v>8º PAV. - LAZER PÚBLICO 01</v>
      </c>
      <c r="C200" s="29" t="s">
        <v>276</v>
      </c>
      <c r="D200" s="127" t="s">
        <v>218</v>
      </c>
      <c r="E200" s="127" t="s">
        <v>211</v>
      </c>
      <c r="F200" s="83"/>
      <c r="G200" s="131"/>
      <c r="H200" s="131">
        <v>60.2</v>
      </c>
      <c r="I200" s="24">
        <v>1</v>
      </c>
      <c r="J200" s="24">
        <v>0</v>
      </c>
      <c r="K200" s="24">
        <f t="shared" si="105"/>
        <v>60.2</v>
      </c>
      <c r="L200" s="24" t="s">
        <v>14</v>
      </c>
      <c r="M200" s="25" t="e">
        <f>_xlfn.XLOOKUP($E200,PREÇO!$C$6:$C$89,PREÇO!$E$6:$E$89)</f>
        <v>#N/A</v>
      </c>
      <c r="N200" s="59" t="e">
        <f>IF(SUM(G200:M200)=0,SUMIFS($N218:$N$759,$B218:$B$759,$B200,$A218:$A$759,$A200),K200*M200)</f>
        <v>#N/A</v>
      </c>
      <c r="P200"/>
      <c r="Q200"/>
      <c r="R200" s="27"/>
      <c r="S200" s="27"/>
      <c r="T200" s="27"/>
      <c r="U200" s="27"/>
      <c r="V200" s="27"/>
      <c r="W200" s="27"/>
      <c r="X200" s="27"/>
      <c r="Y200" s="27"/>
    </row>
    <row r="201" spans="1:25" outlineLevel="1">
      <c r="A201" s="23" t="str">
        <f t="shared" si="99"/>
        <v>GERAL</v>
      </c>
      <c r="B201" s="23" t="str">
        <f t="shared" si="100"/>
        <v>8º PAV. - LAZER PÚBLICO 01</v>
      </c>
      <c r="C201" s="29" t="s">
        <v>276</v>
      </c>
      <c r="D201" s="127" t="s">
        <v>218</v>
      </c>
      <c r="E201" s="127" t="s">
        <v>212</v>
      </c>
      <c r="F201" s="83"/>
      <c r="G201" s="131"/>
      <c r="H201" s="131">
        <v>3.5</v>
      </c>
      <c r="I201" s="24">
        <v>1</v>
      </c>
      <c r="J201" s="24">
        <v>0</v>
      </c>
      <c r="K201" s="24">
        <f t="shared" si="105"/>
        <v>3.5</v>
      </c>
      <c r="L201" s="24" t="s">
        <v>14</v>
      </c>
      <c r="M201" s="25" t="e">
        <f>_xlfn.XLOOKUP($E201,PREÇO!$C$6:$C$89,PREÇO!$E$6:$E$89)</f>
        <v>#N/A</v>
      </c>
      <c r="N201" s="59" t="e">
        <f>IF(SUM(G201:M201)=0,SUMIFS($N219:$N$759,$B219:$B$759,$B201,$A219:$A$759,$A201),K201*M201)</f>
        <v>#N/A</v>
      </c>
      <c r="P201"/>
      <c r="Q201"/>
      <c r="R201" s="27"/>
      <c r="S201" s="27"/>
      <c r="T201" s="27"/>
      <c r="U201" s="27"/>
      <c r="V201" s="27"/>
      <c r="W201" s="27"/>
      <c r="X201" s="27"/>
      <c r="Y201" s="27"/>
    </row>
    <row r="202" spans="1:25" outlineLevel="1">
      <c r="A202" s="23" t="str">
        <f t="shared" si="99"/>
        <v>GERAL</v>
      </c>
      <c r="B202" s="23" t="str">
        <f t="shared" si="100"/>
        <v>8º PAV. - LAZER PÚBLICO 01</v>
      </c>
      <c r="C202" s="29" t="s">
        <v>276</v>
      </c>
      <c r="D202" s="127" t="s">
        <v>218</v>
      </c>
      <c r="E202" s="127" t="s">
        <v>213</v>
      </c>
      <c r="F202" s="83"/>
      <c r="G202" s="131"/>
      <c r="H202" s="131">
        <v>46.4</v>
      </c>
      <c r="I202" s="24">
        <v>1</v>
      </c>
      <c r="J202" s="24">
        <v>0</v>
      </c>
      <c r="K202" s="24">
        <f t="shared" si="105"/>
        <v>46.4</v>
      </c>
      <c r="L202" s="24" t="s">
        <v>14</v>
      </c>
      <c r="M202" s="25" t="e">
        <f>_xlfn.XLOOKUP($E202,PREÇO!$C$6:$C$89,PREÇO!$E$6:$E$89)</f>
        <v>#N/A</v>
      </c>
      <c r="N202" s="59" t="e">
        <f>IF(SUM(G202:M202)=0,SUMIFS($N220:$N$759,$B220:$B$759,$B202,$A220:$A$759,$A202),K202*M202)</f>
        <v>#N/A</v>
      </c>
      <c r="P202"/>
      <c r="Q202"/>
      <c r="R202" s="27"/>
      <c r="S202" s="27"/>
      <c r="T202" s="27"/>
      <c r="U202" s="27"/>
      <c r="V202" s="27"/>
      <c r="W202" s="27"/>
      <c r="X202" s="27"/>
      <c r="Y202" s="27"/>
    </row>
    <row r="203" spans="1:25" outlineLevel="1">
      <c r="A203" s="23" t="str">
        <f t="shared" si="99"/>
        <v>GERAL</v>
      </c>
      <c r="B203" s="23" t="str">
        <f t="shared" si="100"/>
        <v>8º PAV. - LAZER PÚBLICO 01</v>
      </c>
      <c r="C203" s="29" t="s">
        <v>276</v>
      </c>
      <c r="D203" s="127" t="s">
        <v>218</v>
      </c>
      <c r="E203" s="127" t="s">
        <v>214</v>
      </c>
      <c r="F203" s="83"/>
      <c r="G203" s="131"/>
      <c r="H203" s="131">
        <v>3.7</v>
      </c>
      <c r="I203" s="24">
        <v>1</v>
      </c>
      <c r="J203" s="24">
        <v>0</v>
      </c>
      <c r="K203" s="24">
        <f t="shared" si="105"/>
        <v>3.7</v>
      </c>
      <c r="L203" s="24" t="s">
        <v>14</v>
      </c>
      <c r="M203" s="25" t="e">
        <f>_xlfn.XLOOKUP($E203,PREÇO!$C$6:$C$89,PREÇO!$E$6:$E$89)</f>
        <v>#N/A</v>
      </c>
      <c r="N203" s="59" t="e">
        <f>IF(SUM(G203:M203)=0,SUMIFS($N220:$N$759,$B220:$B$759,$B203,$A220:$A$759,$A203),K203*M203)</f>
        <v>#N/A</v>
      </c>
      <c r="P203"/>
      <c r="Q203"/>
      <c r="R203" s="27"/>
      <c r="S203" s="27"/>
      <c r="T203" s="27"/>
      <c r="U203" s="27"/>
      <c r="V203" s="27"/>
      <c r="W203" s="27"/>
      <c r="X203" s="27"/>
      <c r="Y203" s="27"/>
    </row>
    <row r="204" spans="1:25" outlineLevel="1">
      <c r="A204" s="23" t="str">
        <f t="shared" si="99"/>
        <v>GERAL</v>
      </c>
      <c r="B204" s="23" t="str">
        <f t="shared" si="100"/>
        <v>8º PAV. - LAZER PÚBLICO 01</v>
      </c>
      <c r="C204" s="29" t="s">
        <v>276</v>
      </c>
      <c r="D204" s="127" t="s">
        <v>218</v>
      </c>
      <c r="E204" s="127" t="s">
        <v>214</v>
      </c>
      <c r="F204" s="83"/>
      <c r="G204" s="131"/>
      <c r="H204" s="131">
        <v>38.6</v>
      </c>
      <c r="I204" s="24">
        <v>1</v>
      </c>
      <c r="J204" s="24">
        <v>0</v>
      </c>
      <c r="K204" s="24">
        <f t="shared" si="105"/>
        <v>38.6</v>
      </c>
      <c r="L204" s="24" t="s">
        <v>14</v>
      </c>
      <c r="M204" s="25" t="e">
        <f>_xlfn.XLOOKUP($E204,PREÇO!$C$6:$C$89,PREÇO!$E$6:$E$89)</f>
        <v>#N/A</v>
      </c>
      <c r="N204" s="59" t="e">
        <f>IF(SUM(G204:M204)=0,SUMIFS($N221:$N$759,$B221:$B$759,$B204,$A221:$A$759,$A204),K204*M204)</f>
        <v>#N/A</v>
      </c>
      <c r="P204"/>
      <c r="Q204"/>
      <c r="R204" s="27"/>
      <c r="S204" s="27"/>
      <c r="T204" s="27"/>
      <c r="U204" s="27"/>
      <c r="V204" s="27"/>
      <c r="W204" s="27"/>
      <c r="X204" s="27"/>
      <c r="Y204" s="27"/>
    </row>
    <row r="205" spans="1:25" outlineLevel="1">
      <c r="A205" s="23" t="str">
        <f t="shared" si="99"/>
        <v>GERAL</v>
      </c>
      <c r="B205" s="23" t="str">
        <f t="shared" si="100"/>
        <v>8º PAV. - LAZER PÚBLICO 01</v>
      </c>
      <c r="C205" s="29" t="s">
        <v>276</v>
      </c>
      <c r="D205" s="127" t="s">
        <v>218</v>
      </c>
      <c r="E205" s="127" t="s">
        <v>215</v>
      </c>
      <c r="F205" s="83"/>
      <c r="G205" s="131"/>
      <c r="H205" s="131">
        <v>53.6</v>
      </c>
      <c r="I205" s="24">
        <v>1</v>
      </c>
      <c r="J205" s="24">
        <v>0</v>
      </c>
      <c r="K205" s="24">
        <f t="shared" si="105"/>
        <v>53.6</v>
      </c>
      <c r="L205" s="24" t="s">
        <v>14</v>
      </c>
      <c r="M205" s="25" t="e">
        <f>_xlfn.XLOOKUP($E205,PREÇO!$C$6:$C$89,PREÇO!$E$6:$E$89)</f>
        <v>#N/A</v>
      </c>
      <c r="N205" s="59" t="e">
        <f>IF(SUM(G205:M205)=0,SUMIFS($N221:$N$759,$B221:$B$759,$B205,$A221:$A$759,$A205),K205*M205)</f>
        <v>#N/A</v>
      </c>
      <c r="P205"/>
      <c r="Q205"/>
      <c r="R205" s="27"/>
      <c r="S205" s="27"/>
      <c r="T205" s="27"/>
      <c r="U205" s="27"/>
      <c r="V205" s="27"/>
      <c r="W205" s="27"/>
      <c r="X205" s="27"/>
      <c r="Y205" s="27"/>
    </row>
    <row r="206" spans="1:25" outlineLevel="1">
      <c r="A206" s="23" t="str">
        <f t="shared" si="99"/>
        <v>GERAL</v>
      </c>
      <c r="B206" s="23" t="str">
        <f t="shared" si="100"/>
        <v>8º PAV. - LAZER PÚBLICO 01</v>
      </c>
      <c r="C206" s="29" t="s">
        <v>276</v>
      </c>
      <c r="D206" s="127" t="s">
        <v>218</v>
      </c>
      <c r="E206" s="127" t="s">
        <v>216</v>
      </c>
      <c r="F206" s="83"/>
      <c r="G206" s="131"/>
      <c r="H206" s="131">
        <v>48.7</v>
      </c>
      <c r="I206" s="24">
        <v>1</v>
      </c>
      <c r="J206" s="24">
        <v>0</v>
      </c>
      <c r="K206" s="24">
        <f t="shared" si="105"/>
        <v>48.7</v>
      </c>
      <c r="L206" s="24" t="s">
        <v>14</v>
      </c>
      <c r="M206" s="25" t="e">
        <f>_xlfn.XLOOKUP($E206,PREÇO!$C$6:$C$89,PREÇO!$E$6:$E$89)</f>
        <v>#N/A</v>
      </c>
      <c r="N206" s="59" t="e">
        <f>IF(SUM(G206:M206)=0,SUMIFS($N222:$N$759,$B222:$B$759,$B206,$A222:$A$759,$A206),K206*M206)</f>
        <v>#N/A</v>
      </c>
      <c r="P206"/>
      <c r="Q206"/>
      <c r="R206" s="27"/>
      <c r="S206" s="27"/>
      <c r="T206" s="27"/>
      <c r="U206" s="27"/>
      <c r="V206" s="27"/>
      <c r="W206" s="27"/>
      <c r="X206" s="27"/>
      <c r="Y206" s="27"/>
    </row>
    <row r="207" spans="1:25" ht="15.75" outlineLevel="1" thickBot="1">
      <c r="A207" s="23" t="str">
        <f t="shared" si="99"/>
        <v>GERAL</v>
      </c>
      <c r="B207" s="23" t="str">
        <f t="shared" si="100"/>
        <v>8º PAV. - LAZER PÚBLICO 01</v>
      </c>
      <c r="C207" s="29" t="s">
        <v>276</v>
      </c>
      <c r="D207" s="127" t="s">
        <v>218</v>
      </c>
      <c r="E207" s="127" t="s">
        <v>217</v>
      </c>
      <c r="F207" s="83"/>
      <c r="G207" s="131"/>
      <c r="H207" s="131">
        <v>10.5</v>
      </c>
      <c r="I207" s="24">
        <v>1</v>
      </c>
      <c r="J207" s="24">
        <v>0</v>
      </c>
      <c r="K207" s="24">
        <f t="shared" si="105"/>
        <v>10.5</v>
      </c>
      <c r="L207" s="24" t="s">
        <v>14</v>
      </c>
      <c r="M207" s="25" t="e">
        <f>_xlfn.XLOOKUP($E207,PREÇO!$C$6:$C$89,PREÇO!$E$6:$E$89)</f>
        <v>#N/A</v>
      </c>
      <c r="N207" s="59" t="e">
        <f>IF(SUM(G207:M207)=0,SUMIFS($N222:$N$759,$B222:$B$759,$B207,$A222:$A$759,$A207),K207*M207)</f>
        <v>#N/A</v>
      </c>
      <c r="P207"/>
      <c r="Q207"/>
      <c r="R207" s="27"/>
      <c r="S207" s="27"/>
      <c r="T207" s="27"/>
      <c r="U207" s="27"/>
      <c r="V207" s="27"/>
      <c r="W207" s="27"/>
      <c r="X207" s="27"/>
      <c r="Y207" s="27"/>
    </row>
    <row r="208" spans="1:25" ht="15.75" thickTop="1">
      <c r="A208" s="138" t="s">
        <v>15</v>
      </c>
      <c r="B208" s="63" t="s">
        <v>32</v>
      </c>
      <c r="C208" s="42"/>
      <c r="D208" s="43"/>
      <c r="E208" s="43"/>
      <c r="F208" s="82"/>
      <c r="G208" s="82"/>
      <c r="H208" s="132"/>
      <c r="I208" s="44"/>
      <c r="J208" s="44"/>
      <c r="K208" s="44"/>
      <c r="L208" s="44"/>
      <c r="M208" s="46"/>
      <c r="N208" s="47" t="e">
        <f>IF(SUM(H208:M208)=0,SUMIFS($N209:$N$759,$B209:$B$759,$B208,$A209:$A$759,$A208),K208*M208)</f>
        <v>#N/A</v>
      </c>
      <c r="P208"/>
      <c r="Q208"/>
      <c r="R208" s="27"/>
      <c r="S208" s="27"/>
      <c r="T208" s="27"/>
      <c r="U208" s="27"/>
      <c r="V208" s="27"/>
      <c r="W208" s="27"/>
      <c r="X208" s="27"/>
      <c r="Y208" s="27"/>
    </row>
    <row r="209" spans="1:25" ht="30" outlineLevel="1">
      <c r="A209" s="23" t="str">
        <f t="shared" si="99"/>
        <v>GERAL</v>
      </c>
      <c r="B209" s="23" t="str">
        <f t="shared" si="100"/>
        <v>9º PAV. - LAZER PÚBLICO 02</v>
      </c>
      <c r="C209" s="29" t="s">
        <v>280</v>
      </c>
      <c r="D209" s="137" t="s">
        <v>271</v>
      </c>
      <c r="E209" s="137" t="s">
        <v>219</v>
      </c>
      <c r="F209" s="83"/>
      <c r="G209" s="83"/>
      <c r="H209" s="83">
        <v>8</v>
      </c>
      <c r="I209" s="24">
        <v>1</v>
      </c>
      <c r="J209" s="24">
        <v>0</v>
      </c>
      <c r="K209" s="24">
        <f t="shared" ref="K209" si="106">(H209+J209*H209)*I209</f>
        <v>8</v>
      </c>
      <c r="L209" s="24" t="s">
        <v>154</v>
      </c>
      <c r="M209" s="25" t="e">
        <f>_xlfn.XLOOKUP($E209,PREÇO!$C$6:$C$89,PREÇO!$E$6:$E$89)</f>
        <v>#N/A</v>
      </c>
      <c r="N209" s="59" t="e">
        <f>IF(SUM(H209:M209)=0,SUMIFS($N210:$N$759,$B210:$B$759,$B209,$A210:$A$759,$A209),K209*M209)</f>
        <v>#N/A</v>
      </c>
      <c r="P209"/>
      <c r="Q209"/>
      <c r="R209" s="27"/>
      <c r="S209" s="27"/>
      <c r="T209" s="27"/>
      <c r="U209" s="27"/>
      <c r="V209" s="27"/>
      <c r="W209" s="27"/>
      <c r="X209" s="27"/>
      <c r="Y209" s="27"/>
    </row>
    <row r="210" spans="1:25" outlineLevel="1">
      <c r="A210" s="23" t="str">
        <f t="shared" si="99"/>
        <v>GERAL</v>
      </c>
      <c r="B210" s="23" t="str">
        <f t="shared" si="100"/>
        <v>9º PAV. - LAZER PÚBLICO 02</v>
      </c>
      <c r="C210" s="29" t="s">
        <v>277</v>
      </c>
      <c r="D210" s="137" t="s">
        <v>271</v>
      </c>
      <c r="E210" s="29" t="s">
        <v>177</v>
      </c>
      <c r="F210" s="139" t="s">
        <v>64</v>
      </c>
      <c r="G210" s="83"/>
      <c r="H210" s="83">
        <v>21</v>
      </c>
      <c r="I210" s="24">
        <v>1</v>
      </c>
      <c r="J210" s="24">
        <v>0</v>
      </c>
      <c r="K210" s="24">
        <f t="shared" ref="K210:K246" si="107">(H210+J210*H210)*I210</f>
        <v>21</v>
      </c>
      <c r="L210" s="24" t="s">
        <v>154</v>
      </c>
      <c r="M210" s="25" t="e">
        <f>_xlfn.XLOOKUP($E210,PREÇO!$C$6:$C$89,PREÇO!$E$6:$E$89)</f>
        <v>#N/A</v>
      </c>
      <c r="N210" s="59" t="e">
        <f>IF(SUM(H210:M210)=0,SUMIFS($N211:$N$759,$B211:$B$759,$B210,$A211:$A$759,$A210),K210*M210)</f>
        <v>#N/A</v>
      </c>
      <c r="P210"/>
      <c r="Q210"/>
      <c r="R210" s="27"/>
      <c r="S210" s="27"/>
      <c r="T210" s="27"/>
      <c r="U210" s="27"/>
      <c r="V210" s="27"/>
      <c r="W210" s="27"/>
      <c r="X210" s="27"/>
      <c r="Y210" s="27"/>
    </row>
    <row r="211" spans="1:25" outlineLevel="1">
      <c r="A211" s="23" t="str">
        <f t="shared" si="99"/>
        <v>GERAL</v>
      </c>
      <c r="B211" s="23" t="str">
        <f t="shared" si="100"/>
        <v>9º PAV. - LAZER PÚBLICO 02</v>
      </c>
      <c r="C211" s="29" t="s">
        <v>277</v>
      </c>
      <c r="D211" s="137" t="s">
        <v>271</v>
      </c>
      <c r="E211" s="29" t="s">
        <v>178</v>
      </c>
      <c r="F211" s="139" t="s">
        <v>89</v>
      </c>
      <c r="G211" s="83"/>
      <c r="H211" s="83">
        <v>6</v>
      </c>
      <c r="I211" s="24">
        <v>1</v>
      </c>
      <c r="J211" s="24">
        <v>0</v>
      </c>
      <c r="K211" s="24">
        <f t="shared" si="107"/>
        <v>6</v>
      </c>
      <c r="L211" s="24" t="s">
        <v>154</v>
      </c>
      <c r="M211" s="25" t="e">
        <f>_xlfn.XLOOKUP($E211,PREÇO!$C$6:$C$89,PREÇO!$E$6:$E$89)</f>
        <v>#N/A</v>
      </c>
      <c r="N211" s="59" t="e">
        <f>IF(SUM(H211:M211)=0,SUMIFS($N212:$N$759,$B212:$B$759,$B211,$A212:$A$759,$A211),K211*M211)</f>
        <v>#N/A</v>
      </c>
      <c r="P211"/>
      <c r="Q211"/>
      <c r="R211" s="27"/>
      <c r="S211" s="27"/>
      <c r="T211" s="27"/>
      <c r="U211" s="27"/>
      <c r="V211" s="27"/>
      <c r="W211" s="27"/>
      <c r="X211" s="27"/>
      <c r="Y211" s="27"/>
    </row>
    <row r="212" spans="1:25" outlineLevel="1">
      <c r="A212" s="23" t="str">
        <f t="shared" si="99"/>
        <v>GERAL</v>
      </c>
      <c r="B212" s="23" t="str">
        <f t="shared" si="100"/>
        <v>9º PAV. - LAZER PÚBLICO 02</v>
      </c>
      <c r="C212" s="29" t="s">
        <v>276</v>
      </c>
      <c r="D212" s="137" t="s">
        <v>271</v>
      </c>
      <c r="E212" s="29" t="s">
        <v>179</v>
      </c>
      <c r="F212" s="83" t="s">
        <v>55</v>
      </c>
      <c r="G212" s="83"/>
      <c r="H212" s="83">
        <v>1</v>
      </c>
      <c r="I212" s="24">
        <v>1</v>
      </c>
      <c r="J212" s="24">
        <v>0</v>
      </c>
      <c r="K212" s="24">
        <f t="shared" si="107"/>
        <v>1</v>
      </c>
      <c r="L212" s="24" t="s">
        <v>154</v>
      </c>
      <c r="M212" s="25" t="e">
        <f>_xlfn.XLOOKUP($E212,PREÇO!$C$6:$C$89,PREÇO!$E$6:$E$89)</f>
        <v>#N/A</v>
      </c>
      <c r="N212" s="59" t="e">
        <f>IF(SUM(H212:M212)=0,SUMIFS($N213:$N$759,$B213:$B$759,$B212,$A213:$A$759,$A212),K212*M212)</f>
        <v>#N/A</v>
      </c>
      <c r="P212"/>
      <c r="Q212"/>
      <c r="R212" s="27"/>
      <c r="S212" s="27"/>
      <c r="T212" s="27"/>
      <c r="U212" s="27"/>
      <c r="V212" s="27"/>
      <c r="W212" s="27"/>
      <c r="X212" s="27"/>
      <c r="Y212" s="27"/>
    </row>
    <row r="213" spans="1:25" outlineLevel="1">
      <c r="A213" s="23" t="str">
        <f t="shared" si="99"/>
        <v>GERAL</v>
      </c>
      <c r="B213" s="23" t="str">
        <f t="shared" si="100"/>
        <v>9º PAV. - LAZER PÚBLICO 02</v>
      </c>
      <c r="C213" s="29" t="s">
        <v>276</v>
      </c>
      <c r="D213" s="137" t="s">
        <v>271</v>
      </c>
      <c r="E213" s="29" t="s">
        <v>180</v>
      </c>
      <c r="F213" s="83" t="s">
        <v>55</v>
      </c>
      <c r="G213" s="83"/>
      <c r="H213" s="83">
        <v>6</v>
      </c>
      <c r="I213" s="24">
        <v>1</v>
      </c>
      <c r="J213" s="24">
        <v>0</v>
      </c>
      <c r="K213" s="24">
        <f t="shared" si="107"/>
        <v>6</v>
      </c>
      <c r="L213" s="24" t="s">
        <v>154</v>
      </c>
      <c r="M213" s="25" t="e">
        <f>_xlfn.XLOOKUP($E213,PREÇO!$C$6:$C$89,PREÇO!$E$6:$E$89)</f>
        <v>#N/A</v>
      </c>
      <c r="N213" s="59" t="e">
        <f>IF(SUM(H213:M213)=0,SUMIFS($N214:$N$759,$B214:$B$759,$B213,$A214:$A$759,$A213),K213*M213)</f>
        <v>#N/A</v>
      </c>
      <c r="P213"/>
      <c r="Q213"/>
      <c r="R213" s="27"/>
      <c r="S213" s="27"/>
      <c r="T213" s="27"/>
      <c r="U213" s="27"/>
      <c r="V213" s="27"/>
      <c r="W213" s="27"/>
      <c r="X213" s="27"/>
      <c r="Y213" s="27"/>
    </row>
    <row r="214" spans="1:25" outlineLevel="1">
      <c r="A214" s="23" t="str">
        <f t="shared" si="99"/>
        <v>GERAL</v>
      </c>
      <c r="B214" s="23" t="str">
        <f t="shared" si="100"/>
        <v>9º PAV. - LAZER PÚBLICO 02</v>
      </c>
      <c r="C214" s="29" t="s">
        <v>276</v>
      </c>
      <c r="D214" s="137" t="s">
        <v>271</v>
      </c>
      <c r="E214" s="29" t="s">
        <v>181</v>
      </c>
      <c r="F214" s="83" t="s">
        <v>55</v>
      </c>
      <c r="G214" s="83"/>
      <c r="H214" s="83">
        <v>5</v>
      </c>
      <c r="I214" s="24">
        <v>1</v>
      </c>
      <c r="J214" s="24">
        <v>0</v>
      </c>
      <c r="K214" s="24">
        <f t="shared" si="107"/>
        <v>5</v>
      </c>
      <c r="L214" s="24" t="s">
        <v>154</v>
      </c>
      <c r="M214" s="25" t="e">
        <f>_xlfn.XLOOKUP($E214,PREÇO!$C$6:$C$89,PREÇO!$E$6:$E$89)</f>
        <v>#N/A</v>
      </c>
      <c r="N214" s="59" t="e">
        <f>IF(SUM(H214:M214)=0,SUMIFS($N215:$N$759,$B215:$B$759,$B214,$A215:$A$759,$A214),K214*M214)</f>
        <v>#N/A</v>
      </c>
      <c r="P214"/>
      <c r="Q214"/>
      <c r="R214" s="27"/>
      <c r="S214" s="27"/>
      <c r="T214" s="27"/>
      <c r="U214" s="27"/>
      <c r="V214" s="27"/>
      <c r="W214" s="27"/>
      <c r="X214" s="27"/>
      <c r="Y214" s="27"/>
    </row>
    <row r="215" spans="1:25" outlineLevel="1">
      <c r="A215" s="23" t="str">
        <f t="shared" si="99"/>
        <v>GERAL</v>
      </c>
      <c r="B215" s="23" t="str">
        <f t="shared" si="100"/>
        <v>9º PAV. - LAZER PÚBLICO 02</v>
      </c>
      <c r="C215" s="29" t="s">
        <v>276</v>
      </c>
      <c r="D215" s="137" t="s">
        <v>271</v>
      </c>
      <c r="E215" s="29" t="s">
        <v>182</v>
      </c>
      <c r="F215" s="83" t="s">
        <v>55</v>
      </c>
      <c r="G215" s="83"/>
      <c r="H215" s="83">
        <v>2</v>
      </c>
      <c r="I215" s="24">
        <v>1</v>
      </c>
      <c r="J215" s="24">
        <v>0</v>
      </c>
      <c r="K215" s="24">
        <f t="shared" si="107"/>
        <v>2</v>
      </c>
      <c r="L215" s="24" t="s">
        <v>154</v>
      </c>
      <c r="M215" s="25" t="e">
        <f>_xlfn.XLOOKUP($E215,PREÇO!$C$6:$C$89,PREÇO!$E$6:$E$89)</f>
        <v>#N/A</v>
      </c>
      <c r="N215" s="59" t="e">
        <f>IF(SUM(H215:M215)=0,SUMIFS($N216:$N$759,$B216:$B$759,$B215,$A216:$A$759,$A215),K215*M215)</f>
        <v>#N/A</v>
      </c>
      <c r="P215"/>
      <c r="Q215"/>
      <c r="R215" s="27"/>
      <c r="S215" s="27"/>
      <c r="T215" s="27"/>
      <c r="U215" s="27"/>
      <c r="V215" s="27"/>
      <c r="W215" s="27"/>
      <c r="X215" s="27"/>
      <c r="Y215" s="27"/>
    </row>
    <row r="216" spans="1:25" outlineLevel="1">
      <c r="A216" s="23" t="str">
        <f t="shared" si="99"/>
        <v>GERAL</v>
      </c>
      <c r="B216" s="23" t="str">
        <f t="shared" si="100"/>
        <v>9º PAV. - LAZER PÚBLICO 02</v>
      </c>
      <c r="C216" s="29" t="s">
        <v>276</v>
      </c>
      <c r="D216" s="137" t="s">
        <v>271</v>
      </c>
      <c r="E216" s="29" t="s">
        <v>157</v>
      </c>
      <c r="F216" s="83" t="s">
        <v>55</v>
      </c>
      <c r="G216" s="83"/>
      <c r="H216" s="83">
        <v>1</v>
      </c>
      <c r="I216" s="24">
        <v>1</v>
      </c>
      <c r="J216" s="24">
        <v>0</v>
      </c>
      <c r="K216" s="24">
        <f t="shared" si="107"/>
        <v>1</v>
      </c>
      <c r="L216" s="24" t="s">
        <v>154</v>
      </c>
      <c r="M216" s="25" t="e">
        <f>_xlfn.XLOOKUP($E216,PREÇO!$C$6:$C$89,PREÇO!$E$6:$E$89)</f>
        <v>#N/A</v>
      </c>
      <c r="N216" s="59" t="e">
        <f>IF(SUM(H216:M216)=0,SUMIFS($N217:$N$759,$B217:$B$759,$B216,$A217:$A$759,$A216),K216*M216)</f>
        <v>#N/A</v>
      </c>
      <c r="P216"/>
      <c r="Q216"/>
      <c r="R216" s="27"/>
      <c r="S216" s="27"/>
      <c r="T216" s="27"/>
      <c r="U216" s="27"/>
      <c r="V216" s="27"/>
      <c r="W216" s="27"/>
      <c r="X216" s="27"/>
      <c r="Y216" s="27"/>
    </row>
    <row r="217" spans="1:25" outlineLevel="1">
      <c r="A217" s="23" t="str">
        <f t="shared" si="99"/>
        <v>GERAL</v>
      </c>
      <c r="B217" s="23" t="str">
        <f t="shared" si="100"/>
        <v>9º PAV. - LAZER PÚBLICO 02</v>
      </c>
      <c r="C217" s="29" t="s">
        <v>276</v>
      </c>
      <c r="D217" s="137" t="s">
        <v>271</v>
      </c>
      <c r="E217" s="29" t="s">
        <v>183</v>
      </c>
      <c r="F217" s="83" t="s">
        <v>55</v>
      </c>
      <c r="G217" s="83"/>
      <c r="H217" s="83">
        <v>1</v>
      </c>
      <c r="I217" s="24">
        <v>1</v>
      </c>
      <c r="J217" s="24">
        <v>0</v>
      </c>
      <c r="K217" s="24">
        <f t="shared" si="107"/>
        <v>1</v>
      </c>
      <c r="L217" s="24" t="s">
        <v>154</v>
      </c>
      <c r="M217" s="25" t="e">
        <f>_xlfn.XLOOKUP($E217,PREÇO!$C$6:$C$89,PREÇO!$E$6:$E$89)</f>
        <v>#N/A</v>
      </c>
      <c r="N217" s="59" t="e">
        <f>IF(SUM(H217:M217)=0,SUMIFS($N218:$N$759,$B218:$B$759,$B217,$A218:$A$759,$A217),K217*M217)</f>
        <v>#N/A</v>
      </c>
      <c r="P217"/>
      <c r="Q217"/>
      <c r="R217" s="27"/>
      <c r="S217" s="27"/>
      <c r="T217" s="27"/>
      <c r="U217" s="27"/>
      <c r="V217" s="27"/>
      <c r="W217" s="27"/>
      <c r="X217" s="27"/>
      <c r="Y217" s="27"/>
    </row>
    <row r="218" spans="1:25" outlineLevel="1">
      <c r="A218" s="23" t="str">
        <f t="shared" si="99"/>
        <v>GERAL</v>
      </c>
      <c r="B218" s="23" t="str">
        <f t="shared" si="100"/>
        <v>9º PAV. - LAZER PÚBLICO 02</v>
      </c>
      <c r="C218" s="29" t="s">
        <v>276</v>
      </c>
      <c r="D218" s="137" t="s">
        <v>271</v>
      </c>
      <c r="E218" s="29" t="s">
        <v>184</v>
      </c>
      <c r="F218" s="83" t="s">
        <v>55</v>
      </c>
      <c r="G218" s="83"/>
      <c r="H218" s="83">
        <v>1</v>
      </c>
      <c r="I218" s="24">
        <v>1</v>
      </c>
      <c r="J218" s="24">
        <v>0</v>
      </c>
      <c r="K218" s="24">
        <f t="shared" si="107"/>
        <v>1</v>
      </c>
      <c r="L218" s="24" t="s">
        <v>154</v>
      </c>
      <c r="M218" s="25" t="e">
        <f>_xlfn.XLOOKUP($E218,PREÇO!$C$6:$C$89,PREÇO!$E$6:$E$89)</f>
        <v>#N/A</v>
      </c>
      <c r="N218" s="59" t="e">
        <f>IF(SUM(H218:M218)=0,SUMIFS($N219:$N$759,$B219:$B$759,$B218,$A219:$A$759,$A218),K218*M218)</f>
        <v>#N/A</v>
      </c>
      <c r="P218"/>
      <c r="Q218"/>
      <c r="R218" s="27"/>
      <c r="S218" s="27"/>
      <c r="T218" s="27"/>
      <c r="U218" s="27"/>
      <c r="V218" s="27"/>
      <c r="W218" s="27"/>
      <c r="X218" s="27"/>
      <c r="Y218" s="27"/>
    </row>
    <row r="219" spans="1:25" outlineLevel="1">
      <c r="A219" s="23" t="str">
        <f t="shared" si="99"/>
        <v>GERAL</v>
      </c>
      <c r="B219" s="23" t="str">
        <f t="shared" si="100"/>
        <v>9º PAV. - LAZER PÚBLICO 02</v>
      </c>
      <c r="C219" s="29" t="s">
        <v>276</v>
      </c>
      <c r="D219" s="137" t="s">
        <v>271</v>
      </c>
      <c r="E219" s="137" t="s">
        <v>53</v>
      </c>
      <c r="F219" s="83" t="s">
        <v>55</v>
      </c>
      <c r="G219" s="83"/>
      <c r="H219" s="83">
        <v>1</v>
      </c>
      <c r="I219" s="24">
        <v>1</v>
      </c>
      <c r="J219" s="24">
        <v>0</v>
      </c>
      <c r="K219" s="24">
        <f t="shared" si="107"/>
        <v>1</v>
      </c>
      <c r="L219" s="24" t="s">
        <v>154</v>
      </c>
      <c r="M219" s="25" t="e">
        <f>_xlfn.XLOOKUP($E219,PREÇO!$C$6:$C$89,PREÇO!$E$6:$E$89)</f>
        <v>#N/A</v>
      </c>
      <c r="N219" s="59" t="e">
        <f>IF(SUM(H219:M219)=0,SUMIFS($N220:$N$759,$B220:$B$759,$B219,$A220:$A$759,$A219),K219*M219)</f>
        <v>#N/A</v>
      </c>
      <c r="P219"/>
      <c r="Q219"/>
      <c r="R219" s="27"/>
      <c r="S219" s="27"/>
      <c r="T219" s="27"/>
      <c r="U219" s="27"/>
      <c r="V219" s="27"/>
      <c r="W219" s="27"/>
      <c r="X219" s="27"/>
      <c r="Y219" s="27"/>
    </row>
    <row r="220" spans="1:25" outlineLevel="1">
      <c r="A220" s="23" t="str">
        <f t="shared" si="99"/>
        <v>GERAL</v>
      </c>
      <c r="B220" s="23" t="str">
        <f t="shared" si="100"/>
        <v>9º PAV. - LAZER PÚBLICO 02</v>
      </c>
      <c r="C220" s="29" t="s">
        <v>276</v>
      </c>
      <c r="D220" s="137" t="s">
        <v>271</v>
      </c>
      <c r="E220" s="137" t="s">
        <v>220</v>
      </c>
      <c r="F220" s="83" t="s">
        <v>55</v>
      </c>
      <c r="G220" s="83"/>
      <c r="H220" s="83">
        <v>3</v>
      </c>
      <c r="I220" s="24">
        <v>1</v>
      </c>
      <c r="J220" s="24">
        <v>0</v>
      </c>
      <c r="K220" s="24">
        <f t="shared" si="107"/>
        <v>3</v>
      </c>
      <c r="L220" s="24" t="s">
        <v>154</v>
      </c>
      <c r="M220" s="25" t="e">
        <f>_xlfn.XLOOKUP($E220,PREÇO!$C$6:$C$89,PREÇO!$E$6:$E$89)</f>
        <v>#N/A</v>
      </c>
      <c r="N220" s="59" t="e">
        <f>IF(SUM(H220:M220)=0,SUMIFS($N221:$N$759,$B221:$B$759,$B220,$A221:$A$759,$A220),K220*M220)</f>
        <v>#N/A</v>
      </c>
      <c r="P220"/>
      <c r="Q220"/>
      <c r="R220" s="27"/>
      <c r="S220" s="27"/>
      <c r="T220" s="27"/>
      <c r="U220" s="27"/>
      <c r="V220" s="27"/>
      <c r="W220" s="27"/>
      <c r="X220" s="27"/>
      <c r="Y220" s="27"/>
    </row>
    <row r="221" spans="1:25" outlineLevel="1">
      <c r="A221" s="23" t="str">
        <f t="shared" si="99"/>
        <v>GERAL</v>
      </c>
      <c r="B221" s="23" t="str">
        <f t="shared" si="100"/>
        <v>9º PAV. - LAZER PÚBLICO 02</v>
      </c>
      <c r="C221" s="29" t="s">
        <v>276</v>
      </c>
      <c r="D221" s="137" t="s">
        <v>271</v>
      </c>
      <c r="E221" s="137" t="s">
        <v>186</v>
      </c>
      <c r="F221" s="83" t="s">
        <v>55</v>
      </c>
      <c r="G221" s="83"/>
      <c r="H221" s="83">
        <v>5</v>
      </c>
      <c r="I221" s="24">
        <v>1</v>
      </c>
      <c r="J221" s="24">
        <v>0</v>
      </c>
      <c r="K221" s="24">
        <f t="shared" si="107"/>
        <v>5</v>
      </c>
      <c r="L221" s="24" t="s">
        <v>154</v>
      </c>
      <c r="M221" s="25" t="e">
        <f>_xlfn.XLOOKUP($E221,PREÇO!$C$6:$C$89,PREÇO!$E$6:$E$89)</f>
        <v>#N/A</v>
      </c>
      <c r="N221" s="59" t="e">
        <f>IF(SUM(H221:M221)=0,SUMIFS($N222:$N$759,$B222:$B$759,$B221,$A222:$A$759,$A221),K221*M221)</f>
        <v>#N/A</v>
      </c>
      <c r="P221"/>
      <c r="Q221"/>
      <c r="R221" s="27"/>
      <c r="S221" s="27"/>
      <c r="T221" s="27"/>
      <c r="U221" s="27"/>
      <c r="V221" s="27"/>
      <c r="W221" s="27"/>
      <c r="X221" s="27"/>
      <c r="Y221" s="27"/>
    </row>
    <row r="222" spans="1:25" outlineLevel="1">
      <c r="A222" s="23" t="str">
        <f t="shared" si="99"/>
        <v>GERAL</v>
      </c>
      <c r="B222" s="23" t="str">
        <f t="shared" si="100"/>
        <v>9º PAV. - LAZER PÚBLICO 02</v>
      </c>
      <c r="C222" s="29" t="s">
        <v>276</v>
      </c>
      <c r="D222" s="137" t="s">
        <v>271</v>
      </c>
      <c r="E222" s="137" t="s">
        <v>187</v>
      </c>
      <c r="F222" s="83" t="s">
        <v>55</v>
      </c>
      <c r="G222" s="83"/>
      <c r="H222" s="83">
        <v>1</v>
      </c>
      <c r="I222" s="24">
        <v>1</v>
      </c>
      <c r="J222" s="24">
        <v>0</v>
      </c>
      <c r="K222" s="24">
        <f t="shared" si="107"/>
        <v>1</v>
      </c>
      <c r="L222" s="24" t="s">
        <v>154</v>
      </c>
      <c r="M222" s="25" t="e">
        <f>_xlfn.XLOOKUP($E222,PREÇO!$C$6:$C$89,PREÇO!$E$6:$E$89)</f>
        <v>#N/A</v>
      </c>
      <c r="N222" s="59" t="e">
        <f>IF(SUM(H222:M222)=0,SUMIFS($N223:$N$759,$B223:$B$759,$B222,$A223:$A$759,$A222),K222*M222)</f>
        <v>#N/A</v>
      </c>
      <c r="P222"/>
      <c r="Q222"/>
      <c r="R222" s="27"/>
      <c r="S222" s="27"/>
      <c r="T222" s="27"/>
      <c r="U222" s="27"/>
      <c r="V222" s="27"/>
      <c r="W222" s="27"/>
      <c r="X222" s="27"/>
      <c r="Y222" s="27"/>
    </row>
    <row r="223" spans="1:25" outlineLevel="1">
      <c r="A223" s="23" t="str">
        <f t="shared" si="99"/>
        <v>GERAL</v>
      </c>
      <c r="B223" s="23" t="str">
        <f t="shared" si="100"/>
        <v>9º PAV. - LAZER PÚBLICO 02</v>
      </c>
      <c r="C223" s="29" t="s">
        <v>276</v>
      </c>
      <c r="D223" s="137" t="s">
        <v>271</v>
      </c>
      <c r="E223" s="137" t="s">
        <v>188</v>
      </c>
      <c r="F223" s="83" t="s">
        <v>55</v>
      </c>
      <c r="G223" s="83"/>
      <c r="H223" s="83">
        <v>2</v>
      </c>
      <c r="I223" s="24">
        <v>1</v>
      </c>
      <c r="J223" s="24">
        <v>0</v>
      </c>
      <c r="K223" s="24">
        <f t="shared" si="107"/>
        <v>2</v>
      </c>
      <c r="L223" s="24" t="s">
        <v>154</v>
      </c>
      <c r="M223" s="25" t="e">
        <f>_xlfn.XLOOKUP($E223,PREÇO!$C$6:$C$89,PREÇO!$E$6:$E$89)</f>
        <v>#N/A</v>
      </c>
      <c r="N223" s="59" t="e">
        <f>IF(SUM(H223:M223)=0,SUMIFS($N224:$N$759,$B224:$B$759,$B223,$A224:$A$759,$A223),K223*M223)</f>
        <v>#N/A</v>
      </c>
      <c r="P223"/>
      <c r="Q223"/>
      <c r="R223" s="27"/>
      <c r="S223" s="27"/>
      <c r="T223" s="27"/>
      <c r="U223" s="27"/>
      <c r="V223" s="27"/>
      <c r="W223" s="27"/>
      <c r="X223" s="27"/>
      <c r="Y223" s="27"/>
    </row>
    <row r="224" spans="1:25" outlineLevel="1">
      <c r="A224" s="23" t="str">
        <f t="shared" si="99"/>
        <v>GERAL</v>
      </c>
      <c r="B224" s="23" t="str">
        <f t="shared" si="100"/>
        <v>9º PAV. - LAZER PÚBLICO 02</v>
      </c>
      <c r="C224" s="29" t="s">
        <v>276</v>
      </c>
      <c r="D224" s="137" t="s">
        <v>271</v>
      </c>
      <c r="E224" s="137" t="s">
        <v>78</v>
      </c>
      <c r="F224" s="83" t="s">
        <v>55</v>
      </c>
      <c r="G224" s="83"/>
      <c r="H224" s="83">
        <v>13</v>
      </c>
      <c r="I224" s="24">
        <v>1</v>
      </c>
      <c r="J224" s="24">
        <v>0</v>
      </c>
      <c r="K224" s="24">
        <f t="shared" si="107"/>
        <v>13</v>
      </c>
      <c r="L224" s="24" t="s">
        <v>154</v>
      </c>
      <c r="M224" s="25" t="e">
        <f>_xlfn.XLOOKUP($E224,PREÇO!$C$6:$C$89,PREÇO!$E$6:$E$89)</f>
        <v>#N/A</v>
      </c>
      <c r="N224" s="59" t="e">
        <f>IF(SUM(H224:M224)=0,SUMIFS($N225:$N$759,$B225:$B$759,$B224,$A225:$A$759,$A224),K224*M224)</f>
        <v>#N/A</v>
      </c>
      <c r="P224"/>
      <c r="Q224"/>
      <c r="R224" s="27"/>
      <c r="S224" s="27"/>
      <c r="T224" s="27"/>
      <c r="U224" s="27"/>
      <c r="V224" s="27"/>
      <c r="W224" s="27"/>
      <c r="X224" s="27"/>
      <c r="Y224" s="27"/>
    </row>
    <row r="225" spans="1:25" outlineLevel="1">
      <c r="A225" s="23" t="str">
        <f t="shared" si="99"/>
        <v>GERAL</v>
      </c>
      <c r="B225" s="23" t="str">
        <f t="shared" si="100"/>
        <v>9º PAV. - LAZER PÚBLICO 02</v>
      </c>
      <c r="C225" s="29" t="s">
        <v>276</v>
      </c>
      <c r="D225" s="137" t="s">
        <v>271</v>
      </c>
      <c r="E225" s="137" t="s">
        <v>80</v>
      </c>
      <c r="F225" s="83" t="s">
        <v>55</v>
      </c>
      <c r="G225" s="83"/>
      <c r="H225" s="83">
        <v>16</v>
      </c>
      <c r="I225" s="24">
        <v>1</v>
      </c>
      <c r="J225" s="24">
        <v>0</v>
      </c>
      <c r="K225" s="24">
        <f t="shared" si="107"/>
        <v>16</v>
      </c>
      <c r="L225" s="24" t="s">
        <v>154</v>
      </c>
      <c r="M225" s="25" t="e">
        <f>_xlfn.XLOOKUP($E225,PREÇO!$C$6:$C$89,PREÇO!$E$6:$E$89)</f>
        <v>#N/A</v>
      </c>
      <c r="N225" s="59" t="e">
        <f>IF(SUM(H225:M225)=0,SUMIFS($N226:$N$759,$B226:$B$759,$B225,$A226:$A$759,$A225),K225*M225)</f>
        <v>#N/A</v>
      </c>
      <c r="P225"/>
      <c r="Q225"/>
      <c r="R225" s="27"/>
      <c r="S225" s="27"/>
      <c r="T225" s="27"/>
      <c r="U225" s="27"/>
      <c r="V225" s="27"/>
      <c r="W225" s="27"/>
      <c r="X225" s="27"/>
      <c r="Y225" s="27"/>
    </row>
    <row r="226" spans="1:25" outlineLevel="1">
      <c r="A226" s="23" t="str">
        <f t="shared" si="99"/>
        <v>GERAL</v>
      </c>
      <c r="B226" s="23" t="str">
        <f t="shared" si="100"/>
        <v>9º PAV. - LAZER PÚBLICO 02</v>
      </c>
      <c r="C226" s="29" t="s">
        <v>276</v>
      </c>
      <c r="D226" s="137" t="s">
        <v>271</v>
      </c>
      <c r="E226" s="137" t="s">
        <v>115</v>
      </c>
      <c r="F226" s="83" t="s">
        <v>55</v>
      </c>
      <c r="G226" s="83"/>
      <c r="H226" s="83">
        <v>4</v>
      </c>
      <c r="I226" s="24">
        <v>1</v>
      </c>
      <c r="J226" s="24">
        <v>0</v>
      </c>
      <c r="K226" s="24">
        <f t="shared" si="107"/>
        <v>4</v>
      </c>
      <c r="L226" s="24" t="s">
        <v>154</v>
      </c>
      <c r="M226" s="25" t="e">
        <f>_xlfn.XLOOKUP($E226,PREÇO!$C$6:$C$89,PREÇO!$E$6:$E$89)</f>
        <v>#N/A</v>
      </c>
      <c r="N226" s="59" t="e">
        <f>IF(SUM(H226:M226)=0,SUMIFS($N227:$N$759,$B227:$B$759,$B226,$A227:$A$759,$A226),K226*M226)</f>
        <v>#N/A</v>
      </c>
      <c r="P226"/>
      <c r="Q226"/>
      <c r="R226" s="27"/>
      <c r="S226" s="27"/>
      <c r="T226" s="27"/>
      <c r="U226" s="27"/>
      <c r="V226" s="27"/>
      <c r="W226" s="27"/>
      <c r="X226" s="27"/>
      <c r="Y226" s="27"/>
    </row>
    <row r="227" spans="1:25" outlineLevel="1">
      <c r="A227" s="23" t="str">
        <f t="shared" si="99"/>
        <v>GERAL</v>
      </c>
      <c r="B227" s="23" t="str">
        <f t="shared" si="100"/>
        <v>9º PAV. - LAZER PÚBLICO 02</v>
      </c>
      <c r="C227" s="29" t="s">
        <v>276</v>
      </c>
      <c r="D227" s="137" t="s">
        <v>271</v>
      </c>
      <c r="E227" s="137" t="s">
        <v>76</v>
      </c>
      <c r="F227" s="83" t="s">
        <v>55</v>
      </c>
      <c r="G227" s="83"/>
      <c r="H227" s="83">
        <v>2</v>
      </c>
      <c r="I227" s="24">
        <v>1</v>
      </c>
      <c r="J227" s="24">
        <v>0</v>
      </c>
      <c r="K227" s="24">
        <f t="shared" si="107"/>
        <v>2</v>
      </c>
      <c r="L227" s="24" t="s">
        <v>154</v>
      </c>
      <c r="M227" s="25" t="e">
        <f>_xlfn.XLOOKUP($E227,PREÇO!$C$6:$C$89,PREÇO!$E$6:$E$89)</f>
        <v>#N/A</v>
      </c>
      <c r="N227" s="59" t="e">
        <f>IF(SUM(H227:M227)=0,SUMIFS($N228:$N$759,$B228:$B$759,$B227,$A228:$A$759,$A227),K227*M227)</f>
        <v>#N/A</v>
      </c>
      <c r="P227"/>
      <c r="Q227"/>
      <c r="R227" s="27"/>
      <c r="S227" s="27"/>
      <c r="T227" s="27"/>
      <c r="U227" s="27"/>
      <c r="V227" s="27"/>
      <c r="W227" s="27"/>
      <c r="X227" s="27"/>
      <c r="Y227" s="27"/>
    </row>
    <row r="228" spans="1:25" outlineLevel="1">
      <c r="A228" s="23" t="str">
        <f t="shared" si="99"/>
        <v>GERAL</v>
      </c>
      <c r="B228" s="23" t="str">
        <f t="shared" si="100"/>
        <v>9º PAV. - LAZER PÚBLICO 02</v>
      </c>
      <c r="C228" s="29" t="s">
        <v>277</v>
      </c>
      <c r="D228" s="137" t="s">
        <v>271</v>
      </c>
      <c r="E228" s="29" t="s">
        <v>63</v>
      </c>
      <c r="F228" s="83" t="s">
        <v>64</v>
      </c>
      <c r="G228" s="83"/>
      <c r="H228" s="83">
        <v>71</v>
      </c>
      <c r="I228" s="24">
        <v>1</v>
      </c>
      <c r="J228" s="24">
        <v>0</v>
      </c>
      <c r="K228" s="24">
        <f t="shared" si="107"/>
        <v>71</v>
      </c>
      <c r="L228" s="24" t="s">
        <v>154</v>
      </c>
      <c r="M228" s="25" t="e">
        <f>_xlfn.XLOOKUP($E228,PREÇO!$C$6:$C$89,PREÇO!$E$6:$E$89)</f>
        <v>#N/A</v>
      </c>
      <c r="N228" s="59" t="e">
        <f>IF(SUM(H228:M228)=0,SUMIFS($N229:$N$759,$B229:$B$759,$B228,$A229:$A$759,$A228),K228*M228)</f>
        <v>#N/A</v>
      </c>
      <c r="P228"/>
      <c r="Q228"/>
      <c r="R228" s="27"/>
      <c r="S228" s="27"/>
      <c r="T228" s="27"/>
      <c r="U228" s="27"/>
      <c r="V228" s="27"/>
      <c r="W228" s="27"/>
      <c r="X228" s="27"/>
      <c r="Y228" s="27"/>
    </row>
    <row r="229" spans="1:25" outlineLevel="1">
      <c r="A229" s="23" t="str">
        <f t="shared" si="99"/>
        <v>GERAL</v>
      </c>
      <c r="B229" s="23" t="str">
        <f t="shared" si="100"/>
        <v>9º PAV. - LAZER PÚBLICO 02</v>
      </c>
      <c r="C229" s="29" t="s">
        <v>277</v>
      </c>
      <c r="D229" s="137" t="s">
        <v>271</v>
      </c>
      <c r="E229" s="29" t="s">
        <v>85</v>
      </c>
      <c r="F229" s="83" t="s">
        <v>86</v>
      </c>
      <c r="G229" s="83"/>
      <c r="H229" s="83">
        <v>35</v>
      </c>
      <c r="I229" s="24">
        <v>1</v>
      </c>
      <c r="J229" s="24">
        <v>0</v>
      </c>
      <c r="K229" s="24">
        <f t="shared" si="107"/>
        <v>35</v>
      </c>
      <c r="L229" s="24" t="s">
        <v>154</v>
      </c>
      <c r="M229" s="25" t="e">
        <f>_xlfn.XLOOKUP($E229,PREÇO!$C$6:$C$89,PREÇO!$E$6:$E$89)</f>
        <v>#N/A</v>
      </c>
      <c r="N229" s="59" t="e">
        <f>IF(SUM(H229:M229)=0,SUMIFS($N230:$N$759,$B230:$B$759,$B229,$A230:$A$759,$A229),K229*M229)</f>
        <v>#N/A</v>
      </c>
      <c r="P229"/>
      <c r="Q229"/>
      <c r="R229" s="27"/>
      <c r="S229" s="27"/>
      <c r="T229" s="27"/>
      <c r="U229" s="27"/>
      <c r="V229" s="27"/>
      <c r="W229" s="27"/>
      <c r="X229" s="27"/>
      <c r="Y229" s="27"/>
    </row>
    <row r="230" spans="1:25" outlineLevel="1">
      <c r="A230" s="23" t="str">
        <f t="shared" si="99"/>
        <v>GERAL</v>
      </c>
      <c r="B230" s="23" t="str">
        <f t="shared" si="100"/>
        <v>9º PAV. - LAZER PÚBLICO 02</v>
      </c>
      <c r="C230" s="29" t="s">
        <v>277</v>
      </c>
      <c r="D230" s="137" t="s">
        <v>271</v>
      </c>
      <c r="E230" s="29" t="s">
        <v>203</v>
      </c>
      <c r="F230" s="83" t="s">
        <v>86</v>
      </c>
      <c r="G230" s="83"/>
      <c r="H230" s="83">
        <v>1</v>
      </c>
      <c r="I230" s="24">
        <v>1</v>
      </c>
      <c r="J230" s="24">
        <v>0</v>
      </c>
      <c r="K230" s="24">
        <f t="shared" si="107"/>
        <v>1</v>
      </c>
      <c r="L230" s="24" t="s">
        <v>154</v>
      </c>
      <c r="M230" s="25" t="e">
        <f>_xlfn.XLOOKUP($E230,PREÇO!$C$6:$C$89,PREÇO!$E$6:$E$89)</f>
        <v>#N/A</v>
      </c>
      <c r="N230" s="59" t="e">
        <f>IF(SUM(H230:M230)=0,SUMIFS($N231:$N$759,$B231:$B$759,$B230,$A231:$A$759,$A230),K230*M230)</f>
        <v>#N/A</v>
      </c>
      <c r="P230"/>
      <c r="Q230"/>
      <c r="R230" s="27"/>
      <c r="S230" s="27"/>
      <c r="T230" s="27"/>
      <c r="U230" s="27"/>
      <c r="V230" s="27"/>
      <c r="W230" s="27"/>
      <c r="X230" s="27"/>
      <c r="Y230" s="27"/>
    </row>
    <row r="231" spans="1:25" outlineLevel="1">
      <c r="A231" s="23" t="str">
        <f t="shared" si="99"/>
        <v>GERAL</v>
      </c>
      <c r="B231" s="23" t="str">
        <f t="shared" si="100"/>
        <v>9º PAV. - LAZER PÚBLICO 02</v>
      </c>
      <c r="C231" s="29" t="s">
        <v>276</v>
      </c>
      <c r="D231" s="137" t="s">
        <v>271</v>
      </c>
      <c r="E231" s="29" t="s">
        <v>205</v>
      </c>
      <c r="F231" s="83"/>
      <c r="G231" s="83"/>
      <c r="H231" s="83">
        <v>51.2</v>
      </c>
      <c r="I231" s="24">
        <v>1</v>
      </c>
      <c r="J231" s="24">
        <v>0</v>
      </c>
      <c r="K231" s="24">
        <f t="shared" si="107"/>
        <v>51.2</v>
      </c>
      <c r="L231" s="24" t="s">
        <v>14</v>
      </c>
      <c r="M231" s="25" t="e">
        <f>_xlfn.XLOOKUP($E231,PREÇO!$C$6:$C$89,PREÇO!$E$6:$E$89)</f>
        <v>#N/A</v>
      </c>
      <c r="N231" s="59" t="e">
        <f>IF(SUM(H231:M231)=0,SUMIFS($N245:$N$759,$B245:$B$759,$B231,$A245:$A$759,$A231),K231*M231)</f>
        <v>#N/A</v>
      </c>
      <c r="P231"/>
      <c r="Q231"/>
      <c r="R231" s="27"/>
      <c r="S231" s="27"/>
      <c r="T231" s="27"/>
      <c r="U231" s="27"/>
      <c r="V231" s="27"/>
      <c r="W231" s="27"/>
      <c r="X231" s="27"/>
      <c r="Y231" s="27"/>
    </row>
    <row r="232" spans="1:25" outlineLevel="1">
      <c r="A232" s="23" t="str">
        <f t="shared" si="99"/>
        <v>GERAL</v>
      </c>
      <c r="B232" s="23" t="str">
        <f t="shared" si="100"/>
        <v>9º PAV. - LAZER PÚBLICO 02</v>
      </c>
      <c r="C232" s="29" t="s">
        <v>276</v>
      </c>
      <c r="D232" s="137" t="s">
        <v>271</v>
      </c>
      <c r="E232" s="29" t="s">
        <v>206</v>
      </c>
      <c r="F232" s="83"/>
      <c r="G232" s="83"/>
      <c r="H232" s="83">
        <v>203</v>
      </c>
      <c r="I232" s="24">
        <v>1</v>
      </c>
      <c r="J232" s="24">
        <v>0</v>
      </c>
      <c r="K232" s="24">
        <f t="shared" ref="K232:K244" si="108">(H232+J232*H232)*I232</f>
        <v>203</v>
      </c>
      <c r="L232" s="24" t="s">
        <v>14</v>
      </c>
      <c r="M232" s="25"/>
      <c r="N232" s="59"/>
      <c r="P232"/>
      <c r="Q232"/>
      <c r="R232" s="27"/>
      <c r="S232" s="27"/>
      <c r="T232" s="27"/>
      <c r="U232" s="27"/>
      <c r="V232" s="27"/>
      <c r="W232" s="27"/>
      <c r="X232" s="27"/>
      <c r="Y232" s="27"/>
    </row>
    <row r="233" spans="1:25" outlineLevel="1">
      <c r="A233" s="23" t="str">
        <f t="shared" si="99"/>
        <v>GERAL</v>
      </c>
      <c r="B233" s="23" t="str">
        <f t="shared" si="100"/>
        <v>9º PAV. - LAZER PÚBLICO 02</v>
      </c>
      <c r="C233" s="29" t="s">
        <v>276</v>
      </c>
      <c r="D233" s="137" t="s">
        <v>271</v>
      </c>
      <c r="E233" s="29" t="s">
        <v>207</v>
      </c>
      <c r="F233" s="83"/>
      <c r="G233" s="83"/>
      <c r="H233" s="83">
        <v>65.8</v>
      </c>
      <c r="I233" s="24">
        <v>1</v>
      </c>
      <c r="J233" s="24">
        <v>0</v>
      </c>
      <c r="K233" s="24">
        <f t="shared" si="108"/>
        <v>65.8</v>
      </c>
      <c r="L233" s="24" t="s">
        <v>14</v>
      </c>
      <c r="M233" s="25"/>
      <c r="N233" s="59"/>
      <c r="P233"/>
      <c r="Q233"/>
      <c r="R233" s="27"/>
      <c r="S233" s="27"/>
      <c r="T233" s="27"/>
      <c r="U233" s="27"/>
      <c r="V233" s="27"/>
      <c r="W233" s="27"/>
      <c r="X233" s="27"/>
      <c r="Y233" s="27"/>
    </row>
    <row r="234" spans="1:25" outlineLevel="1">
      <c r="A234" s="23" t="str">
        <f t="shared" si="99"/>
        <v>GERAL</v>
      </c>
      <c r="B234" s="23" t="str">
        <f t="shared" si="100"/>
        <v>9º PAV. - LAZER PÚBLICO 02</v>
      </c>
      <c r="C234" s="29" t="s">
        <v>276</v>
      </c>
      <c r="D234" s="137" t="s">
        <v>271</v>
      </c>
      <c r="E234" s="29" t="s">
        <v>208</v>
      </c>
      <c r="F234" s="83"/>
      <c r="G234" s="83"/>
      <c r="H234" s="83">
        <v>46.6</v>
      </c>
      <c r="I234" s="24">
        <v>1</v>
      </c>
      <c r="J234" s="24">
        <v>0</v>
      </c>
      <c r="K234" s="24">
        <f t="shared" si="108"/>
        <v>46.6</v>
      </c>
      <c r="L234" s="24" t="s">
        <v>14</v>
      </c>
      <c r="M234" s="25"/>
      <c r="N234" s="59"/>
      <c r="P234"/>
      <c r="Q234"/>
      <c r="R234" s="27"/>
      <c r="S234" s="27"/>
      <c r="T234" s="27"/>
      <c r="U234" s="27"/>
      <c r="V234" s="27"/>
      <c r="W234" s="27"/>
      <c r="X234" s="27"/>
      <c r="Y234" s="27"/>
    </row>
    <row r="235" spans="1:25" outlineLevel="1">
      <c r="A235" s="23" t="str">
        <f t="shared" si="99"/>
        <v>GERAL</v>
      </c>
      <c r="B235" s="23" t="str">
        <f t="shared" si="100"/>
        <v>9º PAV. - LAZER PÚBLICO 02</v>
      </c>
      <c r="C235" s="29" t="s">
        <v>276</v>
      </c>
      <c r="D235" s="137" t="s">
        <v>271</v>
      </c>
      <c r="E235" s="29" t="s">
        <v>209</v>
      </c>
      <c r="F235" s="83"/>
      <c r="G235" s="83"/>
      <c r="H235" s="83">
        <v>37.200000000000003</v>
      </c>
      <c r="I235" s="24">
        <v>1</v>
      </c>
      <c r="J235" s="24">
        <v>0</v>
      </c>
      <c r="K235" s="24">
        <f t="shared" si="108"/>
        <v>37.200000000000003</v>
      </c>
      <c r="L235" s="24" t="s">
        <v>14</v>
      </c>
      <c r="M235" s="25"/>
      <c r="N235" s="59"/>
      <c r="P235"/>
      <c r="Q235"/>
      <c r="R235" s="27"/>
      <c r="S235" s="27"/>
      <c r="T235" s="27"/>
      <c r="U235" s="27"/>
      <c r="V235" s="27"/>
      <c r="W235" s="27"/>
      <c r="X235" s="27"/>
      <c r="Y235" s="27"/>
    </row>
    <row r="236" spans="1:25" outlineLevel="1">
      <c r="A236" s="23" t="str">
        <f t="shared" si="99"/>
        <v>GERAL</v>
      </c>
      <c r="B236" s="23" t="str">
        <f t="shared" si="100"/>
        <v>9º PAV. - LAZER PÚBLICO 02</v>
      </c>
      <c r="C236" s="29" t="s">
        <v>276</v>
      </c>
      <c r="D236" s="137" t="s">
        <v>271</v>
      </c>
      <c r="E236" s="29" t="s">
        <v>210</v>
      </c>
      <c r="F236" s="83"/>
      <c r="G236" s="83"/>
      <c r="H236" s="83">
        <v>161.80000000000001</v>
      </c>
      <c r="I236" s="24">
        <v>1</v>
      </c>
      <c r="J236" s="24">
        <v>0</v>
      </c>
      <c r="K236" s="24">
        <f t="shared" si="108"/>
        <v>161.80000000000001</v>
      </c>
      <c r="L236" s="24" t="s">
        <v>14</v>
      </c>
      <c r="M236" s="25"/>
      <c r="N236" s="59"/>
      <c r="P236"/>
      <c r="Q236"/>
      <c r="R236" s="27"/>
      <c r="S236" s="27"/>
      <c r="T236" s="27"/>
      <c r="U236" s="27"/>
      <c r="V236" s="27"/>
      <c r="W236" s="27"/>
      <c r="X236" s="27"/>
      <c r="Y236" s="27"/>
    </row>
    <row r="237" spans="1:25" outlineLevel="1">
      <c r="A237" s="23" t="str">
        <f t="shared" si="99"/>
        <v>GERAL</v>
      </c>
      <c r="B237" s="23" t="str">
        <f t="shared" si="100"/>
        <v>9º PAV. - LAZER PÚBLICO 02</v>
      </c>
      <c r="C237" s="29" t="s">
        <v>276</v>
      </c>
      <c r="D237" s="137" t="s">
        <v>271</v>
      </c>
      <c r="E237" s="29" t="s">
        <v>211</v>
      </c>
      <c r="F237" s="83"/>
      <c r="G237" s="83"/>
      <c r="H237" s="83">
        <v>60.2</v>
      </c>
      <c r="I237" s="24">
        <v>1</v>
      </c>
      <c r="J237" s="24">
        <v>0</v>
      </c>
      <c r="K237" s="24">
        <f t="shared" si="108"/>
        <v>60.2</v>
      </c>
      <c r="L237" s="24" t="s">
        <v>14</v>
      </c>
      <c r="M237" s="25"/>
      <c r="N237" s="59"/>
      <c r="P237"/>
      <c r="Q237"/>
      <c r="R237" s="27"/>
      <c r="S237" s="27"/>
      <c r="T237" s="27"/>
      <c r="U237" s="27"/>
      <c r="V237" s="27"/>
      <c r="W237" s="27"/>
      <c r="X237" s="27"/>
      <c r="Y237" s="27"/>
    </row>
    <row r="238" spans="1:25" outlineLevel="1">
      <c r="A238" s="23" t="str">
        <f t="shared" si="99"/>
        <v>GERAL</v>
      </c>
      <c r="B238" s="23" t="str">
        <f t="shared" si="100"/>
        <v>9º PAV. - LAZER PÚBLICO 02</v>
      </c>
      <c r="C238" s="29" t="s">
        <v>276</v>
      </c>
      <c r="D238" s="137" t="s">
        <v>271</v>
      </c>
      <c r="E238" s="29" t="s">
        <v>212</v>
      </c>
      <c r="F238" s="83"/>
      <c r="G238" s="83"/>
      <c r="H238" s="83">
        <v>3.5</v>
      </c>
      <c r="I238" s="24">
        <v>1</v>
      </c>
      <c r="J238" s="24">
        <v>0</v>
      </c>
      <c r="K238" s="24">
        <f t="shared" si="108"/>
        <v>3.5</v>
      </c>
      <c r="L238" s="24" t="s">
        <v>14</v>
      </c>
      <c r="M238" s="25"/>
      <c r="N238" s="59"/>
      <c r="P238"/>
      <c r="Q238"/>
      <c r="R238" s="27"/>
      <c r="S238" s="27"/>
      <c r="T238" s="27"/>
      <c r="U238" s="27"/>
      <c r="V238" s="27"/>
      <c r="W238" s="27"/>
      <c r="X238" s="27"/>
      <c r="Y238" s="27"/>
    </row>
    <row r="239" spans="1:25" outlineLevel="1">
      <c r="A239" s="23" t="str">
        <f t="shared" si="99"/>
        <v>GERAL</v>
      </c>
      <c r="B239" s="23" t="str">
        <f t="shared" si="100"/>
        <v>9º PAV. - LAZER PÚBLICO 02</v>
      </c>
      <c r="C239" s="29" t="s">
        <v>276</v>
      </c>
      <c r="D239" s="137" t="s">
        <v>271</v>
      </c>
      <c r="E239" s="29" t="s">
        <v>213</v>
      </c>
      <c r="F239" s="83"/>
      <c r="G239" s="83"/>
      <c r="H239" s="83">
        <v>46.4</v>
      </c>
      <c r="I239" s="24">
        <v>1</v>
      </c>
      <c r="J239" s="24">
        <v>0</v>
      </c>
      <c r="K239" s="24">
        <f t="shared" si="108"/>
        <v>46.4</v>
      </c>
      <c r="L239" s="24" t="s">
        <v>14</v>
      </c>
      <c r="M239" s="25"/>
      <c r="N239" s="59"/>
      <c r="P239"/>
      <c r="Q239"/>
      <c r="R239" s="27"/>
      <c r="S239" s="27"/>
      <c r="T239" s="27"/>
      <c r="U239" s="27"/>
      <c r="V239" s="27"/>
      <c r="W239" s="27"/>
      <c r="X239" s="27"/>
      <c r="Y239" s="27"/>
    </row>
    <row r="240" spans="1:25" outlineLevel="1">
      <c r="A240" s="23" t="str">
        <f t="shared" si="99"/>
        <v>GERAL</v>
      </c>
      <c r="B240" s="23" t="str">
        <f t="shared" si="100"/>
        <v>9º PAV. - LAZER PÚBLICO 02</v>
      </c>
      <c r="C240" s="29" t="s">
        <v>276</v>
      </c>
      <c r="D240" s="137" t="s">
        <v>271</v>
      </c>
      <c r="E240" s="29" t="s">
        <v>214</v>
      </c>
      <c r="F240" s="83"/>
      <c r="G240" s="83"/>
      <c r="H240" s="83">
        <v>3.7</v>
      </c>
      <c r="I240" s="24">
        <v>1</v>
      </c>
      <c r="J240" s="24">
        <v>0</v>
      </c>
      <c r="K240" s="24">
        <f t="shared" si="108"/>
        <v>3.7</v>
      </c>
      <c r="L240" s="24" t="s">
        <v>14</v>
      </c>
      <c r="M240" s="25"/>
      <c r="N240" s="59"/>
      <c r="P240"/>
      <c r="Q240"/>
      <c r="R240" s="27"/>
      <c r="S240" s="27"/>
      <c r="T240" s="27"/>
      <c r="U240" s="27"/>
      <c r="V240" s="27"/>
      <c r="W240" s="27"/>
      <c r="X240" s="27"/>
      <c r="Y240" s="27"/>
    </row>
    <row r="241" spans="1:25" outlineLevel="1">
      <c r="A241" s="23" t="str">
        <f t="shared" si="99"/>
        <v>GERAL</v>
      </c>
      <c r="B241" s="23" t="str">
        <f t="shared" si="100"/>
        <v>9º PAV. - LAZER PÚBLICO 02</v>
      </c>
      <c r="C241" s="29" t="s">
        <v>276</v>
      </c>
      <c r="D241" s="137" t="s">
        <v>271</v>
      </c>
      <c r="E241" s="29" t="s">
        <v>214</v>
      </c>
      <c r="F241" s="83"/>
      <c r="G241" s="83"/>
      <c r="H241" s="83">
        <v>38.6</v>
      </c>
      <c r="I241" s="24">
        <v>1</v>
      </c>
      <c r="J241" s="24">
        <v>0</v>
      </c>
      <c r="K241" s="24">
        <f t="shared" si="108"/>
        <v>38.6</v>
      </c>
      <c r="L241" s="24" t="s">
        <v>14</v>
      </c>
      <c r="M241" s="25"/>
      <c r="N241" s="59"/>
      <c r="P241"/>
      <c r="Q241"/>
      <c r="R241" s="27"/>
      <c r="S241" s="27"/>
      <c r="T241" s="27"/>
      <c r="U241" s="27"/>
      <c r="V241" s="27"/>
      <c r="W241" s="27"/>
      <c r="X241" s="27"/>
      <c r="Y241" s="27"/>
    </row>
    <row r="242" spans="1:25" outlineLevel="1">
      <c r="A242" s="23" t="str">
        <f t="shared" si="99"/>
        <v>GERAL</v>
      </c>
      <c r="B242" s="23" t="str">
        <f t="shared" si="100"/>
        <v>9º PAV. - LAZER PÚBLICO 02</v>
      </c>
      <c r="C242" s="29" t="s">
        <v>276</v>
      </c>
      <c r="D242" s="137" t="s">
        <v>271</v>
      </c>
      <c r="E242" s="29" t="s">
        <v>215</v>
      </c>
      <c r="F242" s="83"/>
      <c r="G242" s="83"/>
      <c r="H242" s="83">
        <v>53.6</v>
      </c>
      <c r="I242" s="24">
        <v>1</v>
      </c>
      <c r="J242" s="24">
        <v>0</v>
      </c>
      <c r="K242" s="24">
        <f t="shared" si="108"/>
        <v>53.6</v>
      </c>
      <c r="L242" s="24" t="s">
        <v>14</v>
      </c>
      <c r="M242" s="25"/>
      <c r="N242" s="59"/>
      <c r="P242"/>
      <c r="Q242"/>
      <c r="R242" s="27"/>
      <c r="S242" s="27"/>
      <c r="T242" s="27"/>
      <c r="U242" s="27"/>
      <c r="V242" s="27"/>
      <c r="W242" s="27"/>
      <c r="X242" s="27"/>
      <c r="Y242" s="27"/>
    </row>
    <row r="243" spans="1:25" outlineLevel="1">
      <c r="A243" s="23" t="str">
        <f t="shared" si="99"/>
        <v>GERAL</v>
      </c>
      <c r="B243" s="23" t="str">
        <f t="shared" si="100"/>
        <v>9º PAV. - LAZER PÚBLICO 02</v>
      </c>
      <c r="C243" s="29" t="s">
        <v>276</v>
      </c>
      <c r="D243" s="137" t="s">
        <v>271</v>
      </c>
      <c r="E243" s="29" t="s">
        <v>216</v>
      </c>
      <c r="F243" s="83"/>
      <c r="G243" s="83"/>
      <c r="H243" s="83">
        <v>48.7</v>
      </c>
      <c r="I243" s="24">
        <v>1</v>
      </c>
      <c r="J243" s="24">
        <v>0</v>
      </c>
      <c r="K243" s="24">
        <f t="shared" si="108"/>
        <v>48.7</v>
      </c>
      <c r="L243" s="24" t="s">
        <v>14</v>
      </c>
      <c r="M243" s="25"/>
      <c r="N243" s="59"/>
      <c r="P243"/>
      <c r="Q243"/>
      <c r="R243" s="27"/>
      <c r="S243" s="27"/>
      <c r="T243" s="27"/>
      <c r="U243" s="27"/>
      <c r="V243" s="27"/>
      <c r="W243" s="27"/>
      <c r="X243" s="27"/>
      <c r="Y243" s="27"/>
    </row>
    <row r="244" spans="1:25" ht="15.75" outlineLevel="1" thickBot="1">
      <c r="A244" s="23" t="str">
        <f t="shared" si="99"/>
        <v>GERAL</v>
      </c>
      <c r="B244" s="23" t="str">
        <f t="shared" si="100"/>
        <v>9º PAV. - LAZER PÚBLICO 02</v>
      </c>
      <c r="C244" s="29" t="s">
        <v>276</v>
      </c>
      <c r="D244" s="137" t="s">
        <v>271</v>
      </c>
      <c r="E244" s="29" t="s">
        <v>217</v>
      </c>
      <c r="F244" s="83"/>
      <c r="G244" s="83"/>
      <c r="H244" s="83">
        <v>10.5</v>
      </c>
      <c r="I244" s="24">
        <v>1</v>
      </c>
      <c r="J244" s="24">
        <v>0</v>
      </c>
      <c r="K244" s="24">
        <f t="shared" si="108"/>
        <v>10.5</v>
      </c>
      <c r="L244" s="24" t="s">
        <v>14</v>
      </c>
      <c r="M244" s="25"/>
      <c r="N244" s="59"/>
      <c r="P244"/>
      <c r="Q244"/>
      <c r="R244" s="27"/>
      <c r="S244" s="27"/>
      <c r="T244" s="27"/>
      <c r="U244" s="27"/>
      <c r="V244" s="27"/>
      <c r="W244" s="27"/>
      <c r="X244" s="27"/>
      <c r="Y244" s="27"/>
    </row>
    <row r="245" spans="1:25" ht="15.75" thickTop="1">
      <c r="A245" s="138" t="s">
        <v>15</v>
      </c>
      <c r="B245" s="63" t="s">
        <v>33</v>
      </c>
      <c r="C245" s="42"/>
      <c r="D245" s="43"/>
      <c r="E245" s="43"/>
      <c r="F245" s="82"/>
      <c r="G245" s="82"/>
      <c r="H245" s="132"/>
      <c r="I245" s="44"/>
      <c r="J245" s="44"/>
      <c r="K245" s="44"/>
      <c r="L245" s="44" t="e">
        <f>#REF!</f>
        <v>#REF!</v>
      </c>
      <c r="M245" s="46"/>
      <c r="N245" s="47" t="e">
        <f>IF(SUM(H245:M245)=0,SUMIFS($N246:$N$759,$B246:$B$759,$B245,$A246:$A$759,$A245),K245*M245)</f>
        <v>#REF!</v>
      </c>
      <c r="P245"/>
      <c r="Q245"/>
      <c r="R245" s="27"/>
      <c r="S245" s="27"/>
      <c r="T245" s="27"/>
      <c r="U245" s="27"/>
      <c r="V245" s="27"/>
      <c r="W245" s="27"/>
      <c r="X245" s="27"/>
      <c r="Y245" s="27"/>
    </row>
    <row r="246" spans="1:25" ht="30" outlineLevel="1">
      <c r="A246" s="23" t="str">
        <f t="shared" si="99"/>
        <v>GERAL</v>
      </c>
      <c r="B246" s="23" t="str">
        <f t="shared" si="100"/>
        <v>10º PAV. - LAZER 01</v>
      </c>
      <c r="C246" s="29" t="s">
        <v>280</v>
      </c>
      <c r="D246" s="137" t="s">
        <v>272</v>
      </c>
      <c r="E246" s="137" t="s">
        <v>219</v>
      </c>
      <c r="F246" s="83"/>
      <c r="G246" s="83"/>
      <c r="H246" s="83">
        <v>8</v>
      </c>
      <c r="I246" s="24">
        <v>1</v>
      </c>
      <c r="J246" s="24">
        <v>0</v>
      </c>
      <c r="K246" s="24">
        <f t="shared" si="107"/>
        <v>8</v>
      </c>
      <c r="L246" s="24" t="s">
        <v>154</v>
      </c>
      <c r="M246" s="25" t="e">
        <f>_xlfn.XLOOKUP($E246,PREÇO!$C$6:$C$89,PREÇO!$E$6:$E$89)</f>
        <v>#N/A</v>
      </c>
      <c r="N246" s="59" t="e">
        <f>IF(SUM(H246:M246)=0,SUMIFS($N247:$N$759,$B247:$B$759,$B246,$A247:$A$759,$A246),K246*M246)</f>
        <v>#N/A</v>
      </c>
      <c r="P246"/>
      <c r="Q246"/>
      <c r="R246" s="27"/>
      <c r="S246" s="27"/>
      <c r="T246" s="27"/>
      <c r="U246" s="27"/>
      <c r="V246" s="27"/>
      <c r="W246" s="27"/>
      <c r="X246" s="27"/>
      <c r="Y246" s="27"/>
    </row>
    <row r="247" spans="1:25" ht="30" outlineLevel="1">
      <c r="A247" s="23" t="str">
        <f t="shared" si="99"/>
        <v>GERAL</v>
      </c>
      <c r="B247" s="23" t="str">
        <f t="shared" si="100"/>
        <v>10º PAV. - LAZER 01</v>
      </c>
      <c r="C247" s="29" t="s">
        <v>277</v>
      </c>
      <c r="D247" s="137" t="s">
        <v>272</v>
      </c>
      <c r="E247" s="29" t="s">
        <v>177</v>
      </c>
      <c r="F247" s="83" t="s">
        <v>64</v>
      </c>
      <c r="G247" s="139" t="s">
        <v>221</v>
      </c>
      <c r="H247" s="83">
        <v>21</v>
      </c>
      <c r="I247" s="24">
        <v>1</v>
      </c>
      <c r="J247" s="24">
        <v>0</v>
      </c>
      <c r="K247" s="24">
        <f t="shared" ref="K247:K264" si="109">(H247+J247*H247)*I247</f>
        <v>21</v>
      </c>
      <c r="L247" s="24" t="s">
        <v>154</v>
      </c>
      <c r="M247" s="25" t="e">
        <f>_xlfn.XLOOKUP($E247,PREÇO!$C$6:$C$89,PREÇO!$E$6:$E$89)</f>
        <v>#N/A</v>
      </c>
      <c r="N247" s="59" t="e">
        <f>IF(SUM(H247:M247)=0,SUMIFS($N248:$N$759,$B248:$B$759,$B247,$A248:$A$759,$A247),K247*M247)</f>
        <v>#N/A</v>
      </c>
      <c r="P247"/>
      <c r="Q247"/>
      <c r="R247" s="27"/>
      <c r="S247" s="27"/>
      <c r="T247" s="27"/>
      <c r="U247" s="27"/>
      <c r="V247" s="27"/>
      <c r="W247" s="27"/>
      <c r="X247" s="27"/>
      <c r="Y247" s="27"/>
    </row>
    <row r="248" spans="1:25" ht="30" outlineLevel="1">
      <c r="A248" s="23" t="str">
        <f t="shared" si="99"/>
        <v>GERAL</v>
      </c>
      <c r="B248" s="23" t="str">
        <f t="shared" si="100"/>
        <v>10º PAV. - LAZER 01</v>
      </c>
      <c r="C248" s="29" t="s">
        <v>277</v>
      </c>
      <c r="D248" s="137" t="s">
        <v>272</v>
      </c>
      <c r="E248" s="29" t="s">
        <v>178</v>
      </c>
      <c r="F248" s="139" t="s">
        <v>89</v>
      </c>
      <c r="G248" s="139" t="s">
        <v>222</v>
      </c>
      <c r="H248" s="83">
        <v>6</v>
      </c>
      <c r="I248" s="24">
        <v>1</v>
      </c>
      <c r="J248" s="24">
        <v>0</v>
      </c>
      <c r="K248" s="24">
        <f t="shared" si="109"/>
        <v>6</v>
      </c>
      <c r="L248" s="24" t="s">
        <v>154</v>
      </c>
      <c r="M248" s="25" t="e">
        <f>_xlfn.XLOOKUP($E248,PREÇO!$C$6:$C$89,PREÇO!$E$6:$E$89)</f>
        <v>#N/A</v>
      </c>
      <c r="N248" s="59" t="e">
        <f>IF(SUM(H248:M248)=0,SUMIFS($N249:$N$759,$B249:$B$759,$B248,$A249:$A$759,$A248),K248*M248)</f>
        <v>#N/A</v>
      </c>
      <c r="P248"/>
      <c r="Q248"/>
      <c r="R248" s="27"/>
      <c r="S248" s="27"/>
      <c r="T248" s="27"/>
      <c r="U248" s="27"/>
      <c r="V248" s="27"/>
      <c r="W248" s="27"/>
      <c r="X248" s="27"/>
      <c r="Y248" s="27"/>
    </row>
    <row r="249" spans="1:25" outlineLevel="1">
      <c r="A249" s="23" t="str">
        <f t="shared" si="99"/>
        <v>GERAL</v>
      </c>
      <c r="B249" s="23" t="str">
        <f t="shared" si="100"/>
        <v>10º PAV. - LAZER 01</v>
      </c>
      <c r="C249" s="29" t="s">
        <v>276</v>
      </c>
      <c r="D249" s="137" t="s">
        <v>272</v>
      </c>
      <c r="E249" s="29" t="s">
        <v>179</v>
      </c>
      <c r="F249" s="83" t="s">
        <v>55</v>
      </c>
      <c r="G249" s="83" t="s">
        <v>197</v>
      </c>
      <c r="H249" s="83">
        <v>1</v>
      </c>
      <c r="I249" s="24">
        <v>1</v>
      </c>
      <c r="J249" s="24">
        <v>0</v>
      </c>
      <c r="K249" s="24">
        <f t="shared" si="109"/>
        <v>1</v>
      </c>
      <c r="L249" s="24" t="s">
        <v>154</v>
      </c>
      <c r="M249" s="25" t="e">
        <f>_xlfn.XLOOKUP($E249,PREÇO!$C$6:$C$89,PREÇO!$E$6:$E$89)</f>
        <v>#N/A</v>
      </c>
      <c r="N249" s="59" t="e">
        <f>IF(SUM(H249:M249)=0,SUMIFS($N250:$N$759,$B250:$B$759,$B249,$A250:$A$759,$A249),K249*M249)</f>
        <v>#N/A</v>
      </c>
      <c r="P249"/>
      <c r="Q249"/>
      <c r="R249" s="27"/>
      <c r="S249" s="27"/>
      <c r="T249" s="27"/>
      <c r="U249" s="27"/>
      <c r="V249" s="27"/>
      <c r="W249" s="27"/>
      <c r="X249" s="27"/>
      <c r="Y249" s="27"/>
    </row>
    <row r="250" spans="1:25" outlineLevel="1">
      <c r="A250" s="23" t="str">
        <f t="shared" si="99"/>
        <v>GERAL</v>
      </c>
      <c r="B250" s="23" t="str">
        <f t="shared" si="100"/>
        <v>10º PAV. - LAZER 01</v>
      </c>
      <c r="C250" s="29" t="s">
        <v>276</v>
      </c>
      <c r="D250" s="137" t="s">
        <v>272</v>
      </c>
      <c r="E250" s="29" t="s">
        <v>180</v>
      </c>
      <c r="F250" s="83" t="s">
        <v>55</v>
      </c>
      <c r="G250" s="83" t="s">
        <v>198</v>
      </c>
      <c r="H250" s="83">
        <v>6</v>
      </c>
      <c r="I250" s="24">
        <v>1</v>
      </c>
      <c r="J250" s="24">
        <v>0</v>
      </c>
      <c r="K250" s="24">
        <f t="shared" si="109"/>
        <v>6</v>
      </c>
      <c r="L250" s="24" t="s">
        <v>154</v>
      </c>
      <c r="M250" s="25" t="e">
        <f>_xlfn.XLOOKUP($E250,PREÇO!$C$6:$C$89,PREÇO!$E$6:$E$89)</f>
        <v>#N/A</v>
      </c>
      <c r="N250" s="59" t="e">
        <f>IF(SUM(H250:M250)=0,SUMIFS($N251:$N$759,$B251:$B$759,$B250,$A251:$A$759,$A250),K250*M250)</f>
        <v>#N/A</v>
      </c>
      <c r="P250"/>
      <c r="Q250"/>
      <c r="R250" s="27"/>
      <c r="S250" s="27"/>
      <c r="T250" s="27"/>
      <c r="U250" s="27"/>
      <c r="V250" s="27"/>
      <c r="W250" s="27"/>
      <c r="X250" s="27"/>
      <c r="Y250" s="27"/>
    </row>
    <row r="251" spans="1:25" outlineLevel="1">
      <c r="A251" s="23" t="str">
        <f t="shared" si="99"/>
        <v>GERAL</v>
      </c>
      <c r="B251" s="23" t="str">
        <f t="shared" si="100"/>
        <v>10º PAV. - LAZER 01</v>
      </c>
      <c r="C251" s="29" t="s">
        <v>276</v>
      </c>
      <c r="D251" s="137" t="s">
        <v>272</v>
      </c>
      <c r="E251" s="29" t="s">
        <v>181</v>
      </c>
      <c r="F251" s="83" t="s">
        <v>55</v>
      </c>
      <c r="G251" s="83" t="s">
        <v>199</v>
      </c>
      <c r="H251" s="83">
        <v>5</v>
      </c>
      <c r="I251" s="24">
        <v>1</v>
      </c>
      <c r="J251" s="24">
        <v>0</v>
      </c>
      <c r="K251" s="24">
        <f t="shared" si="109"/>
        <v>5</v>
      </c>
      <c r="L251" s="24" t="s">
        <v>154</v>
      </c>
      <c r="M251" s="25" t="e">
        <f>_xlfn.XLOOKUP($E251,PREÇO!$C$6:$C$89,PREÇO!$E$6:$E$89)</f>
        <v>#N/A</v>
      </c>
      <c r="N251" s="59" t="e">
        <f>IF(SUM(H251:M251)=0,SUMIFS($N252:$N$759,$B252:$B$759,$B251,$A252:$A$759,$A251),K251*M251)</f>
        <v>#N/A</v>
      </c>
      <c r="P251"/>
      <c r="Q251"/>
      <c r="R251" s="27"/>
      <c r="S251" s="27"/>
      <c r="T251" s="27"/>
      <c r="U251" s="27"/>
      <c r="V251" s="27"/>
      <c r="W251" s="27"/>
      <c r="X251" s="27"/>
      <c r="Y251" s="27"/>
    </row>
    <row r="252" spans="1:25" outlineLevel="1">
      <c r="A252" s="23" t="str">
        <f t="shared" si="99"/>
        <v>GERAL</v>
      </c>
      <c r="B252" s="23" t="str">
        <f t="shared" si="100"/>
        <v>10º PAV. - LAZER 01</v>
      </c>
      <c r="C252" s="29" t="s">
        <v>276</v>
      </c>
      <c r="D252" s="137" t="s">
        <v>272</v>
      </c>
      <c r="E252" s="29" t="s">
        <v>182</v>
      </c>
      <c r="F252" s="83" t="s">
        <v>55</v>
      </c>
      <c r="G252" s="83" t="s">
        <v>200</v>
      </c>
      <c r="H252" s="83">
        <v>2</v>
      </c>
      <c r="I252" s="24">
        <v>1</v>
      </c>
      <c r="J252" s="24">
        <v>0</v>
      </c>
      <c r="K252" s="24">
        <f t="shared" si="109"/>
        <v>2</v>
      </c>
      <c r="L252" s="24" t="s">
        <v>154</v>
      </c>
      <c r="M252" s="25" t="e">
        <f>_xlfn.XLOOKUP($E252,PREÇO!$C$6:$C$89,PREÇO!$E$6:$E$89)</f>
        <v>#N/A</v>
      </c>
      <c r="N252" s="59" t="e">
        <f>IF(SUM(H252:M252)=0,SUMIFS($N253:$N$759,$B253:$B$759,$B252,$A253:$A$759,$A252),K252*M252)</f>
        <v>#N/A</v>
      </c>
      <c r="P252"/>
      <c r="Q252"/>
      <c r="R252" s="27"/>
      <c r="S252" s="27"/>
      <c r="T252" s="27"/>
      <c r="U252" s="27"/>
      <c r="V252" s="27"/>
      <c r="W252" s="27"/>
      <c r="X252" s="27"/>
      <c r="Y252" s="27"/>
    </row>
    <row r="253" spans="1:25" outlineLevel="1">
      <c r="A253" s="23" t="str">
        <f t="shared" si="99"/>
        <v>GERAL</v>
      </c>
      <c r="B253" s="23" t="str">
        <f t="shared" si="100"/>
        <v>10º PAV. - LAZER 01</v>
      </c>
      <c r="C253" s="29" t="s">
        <v>276</v>
      </c>
      <c r="D253" s="137" t="s">
        <v>272</v>
      </c>
      <c r="E253" s="29" t="s">
        <v>157</v>
      </c>
      <c r="F253" s="83" t="s">
        <v>55</v>
      </c>
      <c r="H253" s="83">
        <v>1</v>
      </c>
      <c r="I253" s="24">
        <v>1</v>
      </c>
      <c r="J253" s="24">
        <v>0</v>
      </c>
      <c r="K253" s="24">
        <f t="shared" si="109"/>
        <v>1</v>
      </c>
      <c r="L253" s="24" t="s">
        <v>154</v>
      </c>
      <c r="M253" s="25" t="e">
        <f>_xlfn.XLOOKUP($E253,PREÇO!$C$6:$C$89,PREÇO!$E$6:$E$89)</f>
        <v>#N/A</v>
      </c>
      <c r="N253" s="59" t="e">
        <f>IF(SUM(H253:M253)=0,SUMIFS($N254:$N$759,$B254:$B$759,$B253,$A254:$A$759,$A253),K253*M253)</f>
        <v>#N/A</v>
      </c>
      <c r="P253"/>
      <c r="Q253"/>
      <c r="R253" s="27"/>
      <c r="S253" s="27"/>
      <c r="T253" s="27"/>
      <c r="U253" s="27"/>
      <c r="V253" s="27"/>
      <c r="W253" s="27"/>
      <c r="X253" s="27"/>
      <c r="Y253" s="27"/>
    </row>
    <row r="254" spans="1:25" outlineLevel="1">
      <c r="A254" s="23" t="str">
        <f t="shared" si="99"/>
        <v>GERAL</v>
      </c>
      <c r="B254" s="23" t="str">
        <f t="shared" si="100"/>
        <v>10º PAV. - LAZER 01</v>
      </c>
      <c r="C254" s="29" t="s">
        <v>276</v>
      </c>
      <c r="D254" s="137" t="s">
        <v>272</v>
      </c>
      <c r="E254" s="29" t="s">
        <v>183</v>
      </c>
      <c r="F254" s="83" t="s">
        <v>55</v>
      </c>
      <c r="G254" s="83" t="s">
        <v>201</v>
      </c>
      <c r="H254" s="83">
        <v>1</v>
      </c>
      <c r="I254" s="24">
        <v>1</v>
      </c>
      <c r="J254" s="24">
        <v>0</v>
      </c>
      <c r="K254" s="24">
        <f t="shared" si="109"/>
        <v>1</v>
      </c>
      <c r="L254" s="24" t="s">
        <v>154</v>
      </c>
      <c r="M254" s="25" t="e">
        <f>_xlfn.XLOOKUP($E254,PREÇO!$C$6:$C$89,PREÇO!$E$6:$E$89)</f>
        <v>#N/A</v>
      </c>
      <c r="N254" s="59" t="e">
        <f>IF(SUM(H254:M254)=0,SUMIFS($N255:$N$759,$B255:$B$759,$B254,$A255:$A$759,$A254),K254*M254)</f>
        <v>#N/A</v>
      </c>
      <c r="P254"/>
      <c r="Q254"/>
      <c r="R254" s="27"/>
      <c r="S254" s="27"/>
      <c r="T254" s="27"/>
      <c r="U254" s="27"/>
      <c r="V254" s="27"/>
      <c r="W254" s="27"/>
      <c r="X254" s="27"/>
      <c r="Y254" s="27"/>
    </row>
    <row r="255" spans="1:25" outlineLevel="1">
      <c r="A255" s="23" t="str">
        <f t="shared" si="99"/>
        <v>GERAL</v>
      </c>
      <c r="B255" s="23" t="str">
        <f t="shared" si="100"/>
        <v>10º PAV. - LAZER 01</v>
      </c>
      <c r="C255" s="29" t="s">
        <v>276</v>
      </c>
      <c r="D255" s="137" t="s">
        <v>272</v>
      </c>
      <c r="E255" s="29" t="s">
        <v>184</v>
      </c>
      <c r="F255" s="83" t="s">
        <v>55</v>
      </c>
      <c r="G255" s="83" t="s">
        <v>202</v>
      </c>
      <c r="H255" s="83">
        <v>1</v>
      </c>
      <c r="I255" s="24">
        <v>1</v>
      </c>
      <c r="J255" s="24">
        <v>0</v>
      </c>
      <c r="K255" s="24">
        <f t="shared" si="109"/>
        <v>1</v>
      </c>
      <c r="L255" s="24" t="s">
        <v>154</v>
      </c>
      <c r="M255" s="25" t="e">
        <f>_xlfn.XLOOKUP($E255,PREÇO!$C$6:$C$89,PREÇO!$E$6:$E$89)</f>
        <v>#N/A</v>
      </c>
      <c r="N255" s="59" t="e">
        <f>IF(SUM(H255:M255)=0,SUMIFS($N256:$N$759,$B256:$B$759,$B255,$A256:$A$759,$A255),K255*M255)</f>
        <v>#N/A</v>
      </c>
      <c r="P255"/>
      <c r="Q255"/>
      <c r="R255" s="27"/>
      <c r="S255" s="27"/>
      <c r="T255" s="27"/>
      <c r="U255" s="27"/>
      <c r="V255" s="27"/>
      <c r="W255" s="27"/>
      <c r="X255" s="27"/>
      <c r="Y255" s="27"/>
    </row>
    <row r="256" spans="1:25" outlineLevel="1">
      <c r="A256" s="23" t="str">
        <f t="shared" si="99"/>
        <v>GERAL</v>
      </c>
      <c r="B256" s="23" t="str">
        <f t="shared" si="100"/>
        <v>10º PAV. - LAZER 01</v>
      </c>
      <c r="C256" s="29" t="s">
        <v>276</v>
      </c>
      <c r="D256" s="137" t="s">
        <v>272</v>
      </c>
      <c r="E256" s="137" t="s">
        <v>53</v>
      </c>
      <c r="F256" s="83" t="s">
        <v>55</v>
      </c>
      <c r="G256" s="83" t="s">
        <v>59</v>
      </c>
      <c r="H256" s="83">
        <v>1</v>
      </c>
      <c r="I256" s="24">
        <v>1</v>
      </c>
      <c r="J256" s="24">
        <v>0</v>
      </c>
      <c r="K256" s="24">
        <f t="shared" si="109"/>
        <v>1</v>
      </c>
      <c r="L256" s="24" t="s">
        <v>154</v>
      </c>
      <c r="M256" s="25" t="e">
        <f>_xlfn.XLOOKUP($E256,PREÇO!$C$6:$C$89,PREÇO!$E$6:$E$89)</f>
        <v>#N/A</v>
      </c>
      <c r="N256" s="59" t="e">
        <f>IF(SUM(H256:M256)=0,SUMIFS($N257:$N$759,$B257:$B$759,$B256,$A257:$A$759,$A256),K256*M256)</f>
        <v>#N/A</v>
      </c>
      <c r="P256"/>
      <c r="Q256"/>
      <c r="R256" s="27"/>
      <c r="S256" s="27"/>
      <c r="T256" s="27"/>
      <c r="U256" s="27"/>
      <c r="V256" s="27"/>
      <c r="W256" s="27"/>
      <c r="X256" s="27"/>
      <c r="Y256" s="27"/>
    </row>
    <row r="257" spans="1:25" outlineLevel="1">
      <c r="A257" s="23" t="str">
        <f t="shared" si="99"/>
        <v>GERAL</v>
      </c>
      <c r="B257" s="23" t="str">
        <f t="shared" si="100"/>
        <v>10º PAV. - LAZER 01</v>
      </c>
      <c r="C257" s="29" t="s">
        <v>276</v>
      </c>
      <c r="D257" s="137" t="s">
        <v>272</v>
      </c>
      <c r="E257" s="137" t="s">
        <v>220</v>
      </c>
      <c r="F257" s="83" t="s">
        <v>55</v>
      </c>
      <c r="G257" s="83" t="s">
        <v>190</v>
      </c>
      <c r="H257" s="83">
        <v>3</v>
      </c>
      <c r="I257" s="24">
        <v>1</v>
      </c>
      <c r="J257" s="24">
        <v>0</v>
      </c>
      <c r="K257" s="24">
        <f t="shared" si="109"/>
        <v>3</v>
      </c>
      <c r="L257" s="24" t="s">
        <v>154</v>
      </c>
      <c r="M257" s="25" t="e">
        <f>_xlfn.XLOOKUP($E257,PREÇO!$C$6:$C$89,PREÇO!$E$6:$E$89)</f>
        <v>#N/A</v>
      </c>
      <c r="N257" s="59" t="e">
        <f>IF(SUM(H257:M257)=0,SUMIFS($N258:$N$759,$B258:$B$759,$B257,$A258:$A$759,$A257),K257*M257)</f>
        <v>#N/A</v>
      </c>
      <c r="P257"/>
      <c r="Q257"/>
      <c r="R257" s="27"/>
      <c r="S257" s="27"/>
      <c r="T257" s="27"/>
      <c r="U257" s="27"/>
      <c r="V257" s="27"/>
      <c r="W257" s="27"/>
      <c r="X257" s="27"/>
      <c r="Y257" s="27"/>
    </row>
    <row r="258" spans="1:25" outlineLevel="1">
      <c r="A258" s="23" t="str">
        <f t="shared" ref="A258:B273" si="110">A257</f>
        <v>GERAL</v>
      </c>
      <c r="B258" s="23" t="str">
        <f t="shared" si="110"/>
        <v>10º PAV. - LAZER 01</v>
      </c>
      <c r="C258" s="29" t="s">
        <v>276</v>
      </c>
      <c r="D258" s="137" t="s">
        <v>272</v>
      </c>
      <c r="E258" s="137" t="s">
        <v>186</v>
      </c>
      <c r="F258" s="83" t="s">
        <v>55</v>
      </c>
      <c r="G258" s="83" t="s">
        <v>191</v>
      </c>
      <c r="H258" s="83">
        <v>5</v>
      </c>
      <c r="I258" s="24">
        <v>1</v>
      </c>
      <c r="J258" s="24">
        <v>0</v>
      </c>
      <c r="K258" s="24">
        <f t="shared" si="109"/>
        <v>5</v>
      </c>
      <c r="L258" s="24" t="s">
        <v>154</v>
      </c>
      <c r="M258" s="25" t="e">
        <f>_xlfn.XLOOKUP($E258,PREÇO!$C$6:$C$89,PREÇO!$E$6:$E$89)</f>
        <v>#N/A</v>
      </c>
      <c r="N258" s="59" t="e">
        <f>IF(SUM(H258:M258)=0,SUMIFS($N259:$N$759,$B259:$B$759,$B258,$A259:$A$759,$A258),K258*M258)</f>
        <v>#N/A</v>
      </c>
      <c r="P258"/>
      <c r="Q258"/>
      <c r="R258" s="27"/>
      <c r="S258" s="27"/>
      <c r="T258" s="27"/>
      <c r="U258" s="27"/>
      <c r="V258" s="27"/>
      <c r="W258" s="27"/>
      <c r="X258" s="27"/>
      <c r="Y258" s="27"/>
    </row>
    <row r="259" spans="1:25" outlineLevel="1">
      <c r="A259" s="23" t="str">
        <f t="shared" si="110"/>
        <v>GERAL</v>
      </c>
      <c r="B259" s="23" t="str">
        <f t="shared" si="110"/>
        <v>10º PAV. - LAZER 01</v>
      </c>
      <c r="C259" s="29" t="s">
        <v>276</v>
      </c>
      <c r="D259" s="137" t="s">
        <v>272</v>
      </c>
      <c r="E259" s="137" t="s">
        <v>187</v>
      </c>
      <c r="F259" s="83" t="s">
        <v>55</v>
      </c>
      <c r="G259" s="83" t="s">
        <v>192</v>
      </c>
      <c r="H259" s="83">
        <v>1</v>
      </c>
      <c r="I259" s="24">
        <v>1</v>
      </c>
      <c r="J259" s="24">
        <v>0</v>
      </c>
      <c r="K259" s="24">
        <f t="shared" si="109"/>
        <v>1</v>
      </c>
      <c r="L259" s="24" t="s">
        <v>154</v>
      </c>
      <c r="M259" s="25" t="e">
        <f>_xlfn.XLOOKUP($E259,PREÇO!$C$6:$C$89,PREÇO!$E$6:$E$89)</f>
        <v>#N/A</v>
      </c>
      <c r="N259" s="59" t="e">
        <f>IF(SUM(H259:M259)=0,SUMIFS($N260:$N$759,$B260:$B$759,$B259,$A260:$A$759,$A259),K259*M259)</f>
        <v>#N/A</v>
      </c>
      <c r="P259"/>
      <c r="Q259"/>
      <c r="R259" s="27"/>
      <c r="S259" s="27"/>
      <c r="T259" s="27"/>
      <c r="U259" s="27"/>
      <c r="V259" s="27"/>
      <c r="W259" s="27"/>
      <c r="X259" s="27"/>
      <c r="Y259" s="27"/>
    </row>
    <row r="260" spans="1:25" outlineLevel="1">
      <c r="A260" s="23" t="str">
        <f t="shared" si="110"/>
        <v>GERAL</v>
      </c>
      <c r="B260" s="23" t="str">
        <f t="shared" si="110"/>
        <v>10º PAV. - LAZER 01</v>
      </c>
      <c r="C260" s="29" t="s">
        <v>276</v>
      </c>
      <c r="D260" s="137" t="s">
        <v>272</v>
      </c>
      <c r="E260" s="137" t="s">
        <v>188</v>
      </c>
      <c r="F260" s="83" t="s">
        <v>55</v>
      </c>
      <c r="G260" s="83" t="s">
        <v>193</v>
      </c>
      <c r="H260" s="83">
        <v>2</v>
      </c>
      <c r="I260" s="24">
        <v>1</v>
      </c>
      <c r="J260" s="24">
        <v>0</v>
      </c>
      <c r="K260" s="24">
        <f t="shared" si="109"/>
        <v>2</v>
      </c>
      <c r="L260" s="24" t="s">
        <v>154</v>
      </c>
      <c r="M260" s="25" t="e">
        <f>_xlfn.XLOOKUP($E260,PREÇO!$C$6:$C$89,PREÇO!$E$6:$E$89)</f>
        <v>#N/A</v>
      </c>
      <c r="N260" s="59" t="e">
        <f>IF(SUM(H260:M260)=0,SUMIFS($N261:$N$759,$B261:$B$759,$B260,$A261:$A$759,$A260),K260*M260)</f>
        <v>#N/A</v>
      </c>
      <c r="P260"/>
      <c r="Q260"/>
      <c r="R260" s="27"/>
      <c r="S260" s="27"/>
      <c r="T260" s="27"/>
      <c r="U260" s="27"/>
      <c r="V260" s="27"/>
      <c r="W260" s="27"/>
      <c r="X260" s="27"/>
      <c r="Y260" s="27"/>
    </row>
    <row r="261" spans="1:25" outlineLevel="1">
      <c r="A261" s="23" t="str">
        <f t="shared" si="110"/>
        <v>GERAL</v>
      </c>
      <c r="B261" s="23" t="str">
        <f t="shared" si="110"/>
        <v>10º PAV. - LAZER 01</v>
      </c>
      <c r="C261" s="29" t="s">
        <v>276</v>
      </c>
      <c r="D261" s="137" t="s">
        <v>272</v>
      </c>
      <c r="E261" s="137" t="s">
        <v>78</v>
      </c>
      <c r="F261" s="83" t="s">
        <v>55</v>
      </c>
      <c r="G261" s="83" t="s">
        <v>79</v>
      </c>
      <c r="H261" s="83">
        <v>13</v>
      </c>
      <c r="I261" s="24">
        <v>1</v>
      </c>
      <c r="J261" s="24">
        <v>0</v>
      </c>
      <c r="K261" s="24">
        <f t="shared" si="109"/>
        <v>13</v>
      </c>
      <c r="L261" s="24" t="s">
        <v>154</v>
      </c>
      <c r="M261" s="25" t="e">
        <f>_xlfn.XLOOKUP($E261,PREÇO!$C$6:$C$89,PREÇO!$E$6:$E$89)</f>
        <v>#N/A</v>
      </c>
      <c r="N261" s="59" t="e">
        <f>IF(SUM(H261:M261)=0,SUMIFS($N262:$N$759,$B262:$B$759,$B261,$A262:$A$759,$A261),K261*M261)</f>
        <v>#N/A</v>
      </c>
      <c r="P261"/>
      <c r="Q261"/>
      <c r="R261" s="27"/>
      <c r="S261" s="27"/>
      <c r="T261" s="27"/>
      <c r="U261" s="27"/>
      <c r="V261" s="27"/>
      <c r="W261" s="27"/>
      <c r="X261" s="27"/>
      <c r="Y261" s="27"/>
    </row>
    <row r="262" spans="1:25" outlineLevel="1">
      <c r="A262" s="23" t="str">
        <f t="shared" si="110"/>
        <v>GERAL</v>
      </c>
      <c r="B262" s="23" t="str">
        <f t="shared" si="110"/>
        <v>10º PAV. - LAZER 01</v>
      </c>
      <c r="C262" s="29" t="s">
        <v>276</v>
      </c>
      <c r="D262" s="137" t="s">
        <v>272</v>
      </c>
      <c r="E262" s="137" t="s">
        <v>80</v>
      </c>
      <c r="F262" s="83" t="s">
        <v>55</v>
      </c>
      <c r="G262" s="83" t="s">
        <v>81</v>
      </c>
      <c r="H262" s="83">
        <v>16</v>
      </c>
      <c r="I262" s="24">
        <v>1</v>
      </c>
      <c r="J262" s="24">
        <v>0</v>
      </c>
      <c r="K262" s="24">
        <f t="shared" si="109"/>
        <v>16</v>
      </c>
      <c r="L262" s="24" t="s">
        <v>154</v>
      </c>
      <c r="M262" s="25" t="e">
        <f>_xlfn.XLOOKUP($E262,PREÇO!$C$6:$C$89,PREÇO!$E$6:$E$89)</f>
        <v>#N/A</v>
      </c>
      <c r="N262" s="59" t="e">
        <f>IF(SUM(H262:M262)=0,SUMIFS($N263:$N$759,$B263:$B$759,$B262,$A263:$A$759,$A262),K262*M262)</f>
        <v>#N/A</v>
      </c>
      <c r="P262"/>
      <c r="Q262"/>
      <c r="R262" s="27"/>
      <c r="S262" s="27"/>
      <c r="T262" s="27"/>
      <c r="U262" s="27"/>
      <c r="V262" s="27"/>
      <c r="W262" s="27"/>
      <c r="X262" s="27"/>
      <c r="Y262" s="27"/>
    </row>
    <row r="263" spans="1:25" outlineLevel="1">
      <c r="A263" s="23" t="str">
        <f t="shared" si="110"/>
        <v>GERAL</v>
      </c>
      <c r="B263" s="23" t="str">
        <f t="shared" si="110"/>
        <v>10º PAV. - LAZER 01</v>
      </c>
      <c r="C263" s="29" t="s">
        <v>276</v>
      </c>
      <c r="D263" s="137" t="s">
        <v>272</v>
      </c>
      <c r="E263" s="137" t="s">
        <v>115</v>
      </c>
      <c r="F263" s="83" t="s">
        <v>55</v>
      </c>
      <c r="G263" s="83" t="s">
        <v>130</v>
      </c>
      <c r="H263" s="83">
        <v>4</v>
      </c>
      <c r="I263" s="24">
        <v>1</v>
      </c>
      <c r="J263" s="24">
        <v>0</v>
      </c>
      <c r="K263" s="24">
        <f t="shared" si="109"/>
        <v>4</v>
      </c>
      <c r="L263" s="24" t="s">
        <v>154</v>
      </c>
      <c r="M263" s="25" t="e">
        <f>_xlfn.XLOOKUP($E263,PREÇO!$C$6:$C$89,PREÇO!$E$6:$E$89)</f>
        <v>#N/A</v>
      </c>
      <c r="N263" s="59" t="e">
        <f>IF(SUM(H263:M263)=0,SUMIFS($N264:$N$759,$B264:$B$759,$B263,$A264:$A$759,$A263),K263*M263)</f>
        <v>#N/A</v>
      </c>
      <c r="P263"/>
      <c r="Q263"/>
      <c r="R263" s="27"/>
      <c r="S263" s="27"/>
      <c r="T263" s="27"/>
      <c r="U263" s="27"/>
      <c r="V263" s="27"/>
      <c r="W263" s="27"/>
      <c r="X263" s="27"/>
      <c r="Y263" s="27"/>
    </row>
    <row r="264" spans="1:25" outlineLevel="1">
      <c r="A264" s="23" t="str">
        <f t="shared" si="110"/>
        <v>GERAL</v>
      </c>
      <c r="B264" s="23" t="str">
        <f t="shared" si="110"/>
        <v>10º PAV. - LAZER 01</v>
      </c>
      <c r="C264" s="29" t="s">
        <v>276</v>
      </c>
      <c r="D264" s="137" t="s">
        <v>272</v>
      </c>
      <c r="E264" s="137" t="s">
        <v>76</v>
      </c>
      <c r="F264" s="83" t="s">
        <v>55</v>
      </c>
      <c r="G264" s="139" t="s">
        <v>194</v>
      </c>
      <c r="H264" s="83">
        <v>2</v>
      </c>
      <c r="I264" s="24">
        <v>1</v>
      </c>
      <c r="J264" s="24">
        <v>0</v>
      </c>
      <c r="K264" s="24">
        <f t="shared" si="109"/>
        <v>2</v>
      </c>
      <c r="L264" s="24" t="s">
        <v>154</v>
      </c>
      <c r="M264" s="25" t="e">
        <f>_xlfn.XLOOKUP($E264,PREÇO!$C$6:$C$89,PREÇO!$E$6:$E$89)</f>
        <v>#N/A</v>
      </c>
      <c r="N264" s="59" t="e">
        <f>IF(SUM(H264:M264)=0,SUMIFS($N265:$N$759,$B265:$B$759,$B264,$A265:$A$759,$A264),K264*M264)</f>
        <v>#N/A</v>
      </c>
      <c r="P264"/>
      <c r="Q264"/>
      <c r="R264" s="27"/>
      <c r="S264" s="27"/>
      <c r="T264" s="27"/>
      <c r="U264" s="27"/>
      <c r="V264" s="27"/>
      <c r="W264" s="27"/>
      <c r="X264" s="27"/>
      <c r="Y264" s="27"/>
    </row>
    <row r="265" spans="1:25" outlineLevel="1">
      <c r="A265" s="23" t="str">
        <f t="shared" si="110"/>
        <v>GERAL</v>
      </c>
      <c r="B265" s="23" t="str">
        <f t="shared" si="110"/>
        <v>10º PAV. - LAZER 01</v>
      </c>
      <c r="C265" s="29" t="s">
        <v>277</v>
      </c>
      <c r="D265" s="137" t="s">
        <v>272</v>
      </c>
      <c r="E265" s="29" t="s">
        <v>63</v>
      </c>
      <c r="F265" s="85" t="s">
        <v>64</v>
      </c>
      <c r="G265" s="83" t="s">
        <v>67</v>
      </c>
      <c r="H265" s="83">
        <v>71</v>
      </c>
      <c r="I265" s="24">
        <v>1</v>
      </c>
      <c r="J265" s="24">
        <v>0</v>
      </c>
      <c r="K265" s="24">
        <f t="shared" ref="K265:K283" si="111">(H265+J265*H265)*I265</f>
        <v>71</v>
      </c>
      <c r="L265" s="24" t="s">
        <v>154</v>
      </c>
      <c r="M265" s="25" t="e">
        <f>_xlfn.XLOOKUP($E265,PREÇO!$C$6:$C$89,PREÇO!$E$6:$E$89)</f>
        <v>#N/A</v>
      </c>
      <c r="N265" s="59" t="e">
        <f>IF(SUM(H265:M265)=0,SUMIFS($N266:$N$759,$B266:$B$759,$B265,$A266:$A$759,$A265),K265*M265)</f>
        <v>#N/A</v>
      </c>
      <c r="P265"/>
      <c r="Q265"/>
      <c r="R265" s="27"/>
      <c r="S265" s="27"/>
      <c r="T265" s="27"/>
      <c r="U265" s="27"/>
      <c r="V265" s="27"/>
      <c r="W265" s="27"/>
      <c r="X265" s="27"/>
      <c r="Y265" s="27"/>
    </row>
    <row r="266" spans="1:25" outlineLevel="1">
      <c r="A266" s="23" t="str">
        <f t="shared" si="110"/>
        <v>GERAL</v>
      </c>
      <c r="B266" s="23" t="str">
        <f t="shared" si="110"/>
        <v>10º PAV. - LAZER 01</v>
      </c>
      <c r="C266" s="29" t="s">
        <v>277</v>
      </c>
      <c r="D266" s="137" t="s">
        <v>272</v>
      </c>
      <c r="E266" s="29" t="s">
        <v>85</v>
      </c>
      <c r="F266" s="83" t="s">
        <v>86</v>
      </c>
      <c r="G266" s="83" t="s">
        <v>88</v>
      </c>
      <c r="H266" s="83">
        <v>35</v>
      </c>
      <c r="I266" s="24">
        <v>1</v>
      </c>
      <c r="J266" s="24">
        <v>0</v>
      </c>
      <c r="K266" s="24">
        <f t="shared" si="111"/>
        <v>35</v>
      </c>
      <c r="L266" s="24" t="s">
        <v>154</v>
      </c>
      <c r="M266" s="25" t="e">
        <f>_xlfn.XLOOKUP($E266,PREÇO!$C$6:$C$89,PREÇO!$E$6:$E$89)</f>
        <v>#N/A</v>
      </c>
      <c r="N266" s="59" t="e">
        <f>IF(SUM(H266:M266)=0,SUMIFS($N267:$N$759,$B267:$B$759,$B266,$A267:$A$759,$A266),K266*M266)</f>
        <v>#N/A</v>
      </c>
      <c r="P266"/>
      <c r="Q266"/>
      <c r="R266" s="27"/>
      <c r="S266" s="27"/>
      <c r="T266" s="27"/>
      <c r="U266" s="27"/>
      <c r="V266" s="27"/>
      <c r="W266" s="27"/>
      <c r="X266" s="27"/>
      <c r="Y266" s="27"/>
    </row>
    <row r="267" spans="1:25" ht="30" outlineLevel="1">
      <c r="A267" s="23" t="str">
        <f t="shared" si="110"/>
        <v>GERAL</v>
      </c>
      <c r="B267" s="23" t="str">
        <f t="shared" si="110"/>
        <v>10º PAV. - LAZER 01</v>
      </c>
      <c r="C267" s="29" t="s">
        <v>277</v>
      </c>
      <c r="D267" s="137" t="s">
        <v>272</v>
      </c>
      <c r="E267" s="29" t="s">
        <v>203</v>
      </c>
      <c r="F267" s="83" t="s">
        <v>86</v>
      </c>
      <c r="G267" s="139" t="s">
        <v>204</v>
      </c>
      <c r="H267" s="83">
        <v>1</v>
      </c>
      <c r="I267" s="24">
        <v>1</v>
      </c>
      <c r="J267" s="24">
        <v>0</v>
      </c>
      <c r="K267" s="24">
        <f t="shared" si="111"/>
        <v>1</v>
      </c>
      <c r="L267" s="24" t="s">
        <v>154</v>
      </c>
      <c r="M267" s="25" t="e">
        <f>_xlfn.XLOOKUP($E267,PREÇO!$C$6:$C$89,PREÇO!$E$6:$E$89)</f>
        <v>#N/A</v>
      </c>
      <c r="N267" s="59" t="e">
        <f>IF(SUM(H267:M267)=0,SUMIFS($N281:$N$759,$B281:$B$759,$B267,$A281:$A$759,$A267),K267*M267)</f>
        <v>#N/A</v>
      </c>
      <c r="P267"/>
      <c r="Q267"/>
      <c r="R267" s="27"/>
      <c r="S267" s="27"/>
      <c r="T267" s="27"/>
      <c r="U267" s="27"/>
      <c r="V267" s="27"/>
      <c r="W267" s="27"/>
      <c r="X267" s="27"/>
      <c r="Y267" s="27"/>
    </row>
    <row r="268" spans="1:25" outlineLevel="1">
      <c r="A268" s="23" t="str">
        <f t="shared" si="110"/>
        <v>GERAL</v>
      </c>
      <c r="B268" s="23" t="str">
        <f t="shared" si="110"/>
        <v>10º PAV. - LAZER 01</v>
      </c>
      <c r="C268" s="29" t="s">
        <v>276</v>
      </c>
      <c r="D268" s="137" t="s">
        <v>272</v>
      </c>
      <c r="E268" s="29" t="s">
        <v>205</v>
      </c>
      <c r="F268" s="83"/>
      <c r="G268" s="83"/>
      <c r="H268" s="83">
        <v>51.2</v>
      </c>
      <c r="I268" s="24">
        <v>1</v>
      </c>
      <c r="J268" s="24">
        <v>0</v>
      </c>
      <c r="K268" s="24">
        <f t="shared" si="111"/>
        <v>51.2</v>
      </c>
      <c r="L268" s="24" t="s">
        <v>14</v>
      </c>
      <c r="M268" s="25"/>
      <c r="N268" s="59"/>
      <c r="P268"/>
      <c r="Q268"/>
      <c r="R268" s="27"/>
      <c r="S268" s="27"/>
      <c r="T268" s="27"/>
      <c r="U268" s="27"/>
      <c r="V268" s="27"/>
      <c r="W268" s="27"/>
      <c r="X268" s="27"/>
      <c r="Y268" s="27"/>
    </row>
    <row r="269" spans="1:25" outlineLevel="1">
      <c r="A269" s="23" t="str">
        <f t="shared" si="110"/>
        <v>GERAL</v>
      </c>
      <c r="B269" s="23" t="str">
        <f t="shared" si="110"/>
        <v>10º PAV. - LAZER 01</v>
      </c>
      <c r="C269" s="29" t="s">
        <v>276</v>
      </c>
      <c r="D269" s="137" t="s">
        <v>272</v>
      </c>
      <c r="E269" s="29" t="s">
        <v>206</v>
      </c>
      <c r="F269" s="83"/>
      <c r="G269" s="83"/>
      <c r="H269" s="83">
        <v>203</v>
      </c>
      <c r="I269" s="24">
        <v>1</v>
      </c>
      <c r="J269" s="24">
        <v>0</v>
      </c>
      <c r="K269" s="24">
        <f t="shared" si="111"/>
        <v>203</v>
      </c>
      <c r="L269" s="24" t="s">
        <v>14</v>
      </c>
      <c r="M269" s="25"/>
      <c r="N269" s="59"/>
      <c r="P269"/>
      <c r="Q269"/>
      <c r="R269" s="27"/>
      <c r="S269" s="27"/>
      <c r="T269" s="27"/>
      <c r="U269" s="27"/>
      <c r="V269" s="27"/>
      <c r="W269" s="27"/>
      <c r="X269" s="27"/>
      <c r="Y269" s="27"/>
    </row>
    <row r="270" spans="1:25" outlineLevel="1">
      <c r="A270" s="23" t="str">
        <f t="shared" si="110"/>
        <v>GERAL</v>
      </c>
      <c r="B270" s="23" t="str">
        <f t="shared" si="110"/>
        <v>10º PAV. - LAZER 01</v>
      </c>
      <c r="C270" s="29" t="s">
        <v>276</v>
      </c>
      <c r="D270" s="137" t="s">
        <v>272</v>
      </c>
      <c r="E270" s="29" t="s">
        <v>207</v>
      </c>
      <c r="F270" s="83"/>
      <c r="G270" s="83"/>
      <c r="H270" s="83">
        <v>65.8</v>
      </c>
      <c r="I270" s="24">
        <v>1</v>
      </c>
      <c r="J270" s="24">
        <v>0</v>
      </c>
      <c r="K270" s="24">
        <f t="shared" si="111"/>
        <v>65.8</v>
      </c>
      <c r="L270" s="24" t="s">
        <v>14</v>
      </c>
      <c r="M270" s="25"/>
      <c r="N270" s="59"/>
      <c r="P270"/>
      <c r="Q270"/>
      <c r="R270" s="27"/>
      <c r="S270" s="27"/>
      <c r="T270" s="27"/>
      <c r="U270" s="27"/>
      <c r="V270" s="27"/>
      <c r="W270" s="27"/>
      <c r="X270" s="27"/>
      <c r="Y270" s="27"/>
    </row>
    <row r="271" spans="1:25" outlineLevel="1">
      <c r="A271" s="23" t="str">
        <f t="shared" si="110"/>
        <v>GERAL</v>
      </c>
      <c r="B271" s="23" t="str">
        <f t="shared" si="110"/>
        <v>10º PAV. - LAZER 01</v>
      </c>
      <c r="C271" s="29" t="s">
        <v>276</v>
      </c>
      <c r="D271" s="137" t="s">
        <v>272</v>
      </c>
      <c r="E271" s="29" t="s">
        <v>208</v>
      </c>
      <c r="F271" s="83"/>
      <c r="G271" s="83"/>
      <c r="H271" s="83">
        <v>46.6</v>
      </c>
      <c r="I271" s="24">
        <v>1</v>
      </c>
      <c r="J271" s="24">
        <v>0</v>
      </c>
      <c r="K271" s="24">
        <f t="shared" si="111"/>
        <v>46.6</v>
      </c>
      <c r="L271" s="24" t="s">
        <v>14</v>
      </c>
      <c r="M271" s="25"/>
      <c r="N271" s="59"/>
      <c r="P271"/>
      <c r="Q271"/>
      <c r="R271" s="27"/>
      <c r="S271" s="27"/>
      <c r="T271" s="27"/>
      <c r="U271" s="27"/>
      <c r="V271" s="27"/>
      <c r="W271" s="27"/>
      <c r="X271" s="27"/>
      <c r="Y271" s="27"/>
    </row>
    <row r="272" spans="1:25" outlineLevel="1">
      <c r="A272" s="23" t="str">
        <f t="shared" si="110"/>
        <v>GERAL</v>
      </c>
      <c r="B272" s="23" t="str">
        <f t="shared" si="110"/>
        <v>10º PAV. - LAZER 01</v>
      </c>
      <c r="C272" s="29" t="s">
        <v>276</v>
      </c>
      <c r="D272" s="137" t="s">
        <v>272</v>
      </c>
      <c r="E272" s="29" t="s">
        <v>209</v>
      </c>
      <c r="F272" s="83"/>
      <c r="G272" s="83"/>
      <c r="H272" s="83">
        <v>37.200000000000003</v>
      </c>
      <c r="I272" s="24">
        <v>1</v>
      </c>
      <c r="J272" s="24">
        <v>0</v>
      </c>
      <c r="K272" s="24">
        <f t="shared" si="111"/>
        <v>37.200000000000003</v>
      </c>
      <c r="L272" s="24" t="s">
        <v>14</v>
      </c>
      <c r="M272" s="25"/>
      <c r="N272" s="59"/>
      <c r="P272"/>
      <c r="Q272"/>
      <c r="R272" s="27"/>
      <c r="S272" s="27"/>
      <c r="T272" s="27"/>
      <c r="U272" s="27"/>
      <c r="V272" s="27"/>
      <c r="W272" s="27"/>
      <c r="X272" s="27"/>
      <c r="Y272" s="27"/>
    </row>
    <row r="273" spans="1:25" outlineLevel="1">
      <c r="A273" s="23" t="str">
        <f t="shared" si="110"/>
        <v>GERAL</v>
      </c>
      <c r="B273" s="23" t="str">
        <f t="shared" si="110"/>
        <v>10º PAV. - LAZER 01</v>
      </c>
      <c r="C273" s="29" t="s">
        <v>276</v>
      </c>
      <c r="D273" s="137" t="s">
        <v>272</v>
      </c>
      <c r="E273" s="29" t="s">
        <v>210</v>
      </c>
      <c r="F273" s="83"/>
      <c r="G273" s="83"/>
      <c r="H273" s="83">
        <v>161.80000000000001</v>
      </c>
      <c r="I273" s="24">
        <v>1</v>
      </c>
      <c r="J273" s="24">
        <v>0</v>
      </c>
      <c r="K273" s="24">
        <f t="shared" si="111"/>
        <v>161.80000000000001</v>
      </c>
      <c r="L273" s="24" t="s">
        <v>14</v>
      </c>
      <c r="M273" s="25"/>
      <c r="N273" s="59"/>
      <c r="P273"/>
      <c r="Q273"/>
      <c r="R273" s="27"/>
      <c r="S273" s="27"/>
      <c r="T273" s="27"/>
      <c r="U273" s="27"/>
      <c r="V273" s="27"/>
      <c r="W273" s="27"/>
      <c r="X273" s="27"/>
      <c r="Y273" s="27"/>
    </row>
    <row r="274" spans="1:25" outlineLevel="1">
      <c r="A274" s="23" t="str">
        <f t="shared" ref="A274:B281" si="112">A273</f>
        <v>GERAL</v>
      </c>
      <c r="B274" s="23" t="str">
        <f t="shared" si="112"/>
        <v>10º PAV. - LAZER 01</v>
      </c>
      <c r="C274" s="29" t="s">
        <v>276</v>
      </c>
      <c r="D274" s="137" t="s">
        <v>272</v>
      </c>
      <c r="E274" s="29" t="s">
        <v>211</v>
      </c>
      <c r="F274" s="83"/>
      <c r="G274" s="83"/>
      <c r="H274" s="83">
        <v>60.2</v>
      </c>
      <c r="I274" s="24">
        <v>1</v>
      </c>
      <c r="J274" s="24">
        <v>0</v>
      </c>
      <c r="K274" s="24">
        <f t="shared" si="111"/>
        <v>60.2</v>
      </c>
      <c r="L274" s="24" t="s">
        <v>14</v>
      </c>
      <c r="M274" s="25"/>
      <c r="N274" s="59"/>
      <c r="P274"/>
      <c r="Q274"/>
      <c r="R274" s="27"/>
      <c r="S274" s="27"/>
      <c r="T274" s="27"/>
      <c r="U274" s="27"/>
      <c r="V274" s="27"/>
      <c r="W274" s="27"/>
      <c r="X274" s="27"/>
      <c r="Y274" s="27"/>
    </row>
    <row r="275" spans="1:25" outlineLevel="1">
      <c r="A275" s="23" t="str">
        <f t="shared" si="112"/>
        <v>GERAL</v>
      </c>
      <c r="B275" s="23" t="str">
        <f t="shared" si="112"/>
        <v>10º PAV. - LAZER 01</v>
      </c>
      <c r="C275" s="29" t="s">
        <v>276</v>
      </c>
      <c r="D275" s="137" t="s">
        <v>272</v>
      </c>
      <c r="E275" s="29" t="s">
        <v>212</v>
      </c>
      <c r="F275" s="83"/>
      <c r="G275" s="83"/>
      <c r="H275" s="83">
        <v>3.5</v>
      </c>
      <c r="I275" s="24">
        <v>1</v>
      </c>
      <c r="J275" s="24">
        <v>0</v>
      </c>
      <c r="K275" s="24">
        <f t="shared" si="111"/>
        <v>3.5</v>
      </c>
      <c r="L275" s="24" t="s">
        <v>14</v>
      </c>
      <c r="M275" s="25"/>
      <c r="N275" s="59"/>
      <c r="P275"/>
      <c r="Q275"/>
      <c r="R275" s="27"/>
      <c r="S275" s="27"/>
      <c r="T275" s="27"/>
      <c r="U275" s="27"/>
      <c r="V275" s="27"/>
      <c r="W275" s="27"/>
      <c r="X275" s="27"/>
      <c r="Y275" s="27"/>
    </row>
    <row r="276" spans="1:25" outlineLevel="1">
      <c r="A276" s="23" t="str">
        <f t="shared" si="112"/>
        <v>GERAL</v>
      </c>
      <c r="B276" s="23" t="str">
        <f t="shared" si="112"/>
        <v>10º PAV. - LAZER 01</v>
      </c>
      <c r="C276" s="29" t="s">
        <v>276</v>
      </c>
      <c r="D276" s="137" t="s">
        <v>272</v>
      </c>
      <c r="E276" s="29" t="s">
        <v>213</v>
      </c>
      <c r="F276" s="83"/>
      <c r="G276" s="83"/>
      <c r="H276" s="83">
        <v>46.4</v>
      </c>
      <c r="I276" s="24">
        <v>1</v>
      </c>
      <c r="J276" s="24">
        <v>0</v>
      </c>
      <c r="K276" s="24">
        <f t="shared" si="111"/>
        <v>46.4</v>
      </c>
      <c r="L276" s="24" t="s">
        <v>14</v>
      </c>
      <c r="M276" s="25"/>
      <c r="N276" s="59"/>
      <c r="P276"/>
      <c r="Q276"/>
      <c r="R276" s="27"/>
      <c r="S276" s="27"/>
      <c r="T276" s="27"/>
      <c r="U276" s="27"/>
      <c r="V276" s="27"/>
      <c r="W276" s="27"/>
      <c r="X276" s="27"/>
      <c r="Y276" s="27"/>
    </row>
    <row r="277" spans="1:25" outlineLevel="1">
      <c r="A277" s="23" t="str">
        <f t="shared" si="112"/>
        <v>GERAL</v>
      </c>
      <c r="B277" s="23" t="str">
        <f t="shared" si="112"/>
        <v>10º PAV. - LAZER 01</v>
      </c>
      <c r="C277" s="29" t="s">
        <v>276</v>
      </c>
      <c r="D277" s="137" t="s">
        <v>272</v>
      </c>
      <c r="E277" s="29" t="s">
        <v>214</v>
      </c>
      <c r="F277" s="83"/>
      <c r="G277" s="83"/>
      <c r="H277" s="83">
        <v>3.7</v>
      </c>
      <c r="I277" s="24">
        <v>1</v>
      </c>
      <c r="J277" s="24">
        <v>0</v>
      </c>
      <c r="K277" s="24">
        <f t="shared" si="111"/>
        <v>3.7</v>
      </c>
      <c r="L277" s="24" t="s">
        <v>14</v>
      </c>
      <c r="M277" s="25"/>
      <c r="N277" s="59"/>
      <c r="P277"/>
      <c r="Q277"/>
      <c r="R277" s="27"/>
      <c r="S277" s="27"/>
      <c r="T277" s="27"/>
      <c r="U277" s="27"/>
      <c r="V277" s="27"/>
      <c r="W277" s="27"/>
      <c r="X277" s="27"/>
      <c r="Y277" s="27"/>
    </row>
    <row r="278" spans="1:25" outlineLevel="1">
      <c r="A278" s="23" t="str">
        <f t="shared" si="112"/>
        <v>GERAL</v>
      </c>
      <c r="B278" s="23" t="str">
        <f t="shared" si="112"/>
        <v>10º PAV. - LAZER 01</v>
      </c>
      <c r="C278" s="29" t="s">
        <v>276</v>
      </c>
      <c r="D278" s="137" t="s">
        <v>272</v>
      </c>
      <c r="E278" s="29" t="s">
        <v>214</v>
      </c>
      <c r="F278" s="83"/>
      <c r="G278" s="83"/>
      <c r="H278" s="83">
        <v>38.6</v>
      </c>
      <c r="I278" s="24">
        <v>1</v>
      </c>
      <c r="J278" s="24">
        <v>0</v>
      </c>
      <c r="K278" s="24">
        <f t="shared" si="111"/>
        <v>38.6</v>
      </c>
      <c r="L278" s="24" t="s">
        <v>14</v>
      </c>
      <c r="M278" s="25"/>
      <c r="N278" s="59"/>
      <c r="P278"/>
      <c r="Q278"/>
      <c r="R278" s="27"/>
      <c r="S278" s="27"/>
      <c r="T278" s="27"/>
      <c r="U278" s="27"/>
      <c r="V278" s="27"/>
      <c r="W278" s="27"/>
      <c r="X278" s="27"/>
      <c r="Y278" s="27"/>
    </row>
    <row r="279" spans="1:25" outlineLevel="1">
      <c r="A279" s="23" t="str">
        <f t="shared" si="112"/>
        <v>GERAL</v>
      </c>
      <c r="B279" s="23" t="str">
        <f t="shared" si="112"/>
        <v>10º PAV. - LAZER 01</v>
      </c>
      <c r="C279" s="29" t="s">
        <v>276</v>
      </c>
      <c r="D279" s="137" t="s">
        <v>272</v>
      </c>
      <c r="E279" s="29" t="s">
        <v>215</v>
      </c>
      <c r="F279" s="83"/>
      <c r="G279" s="83"/>
      <c r="H279" s="83">
        <v>53.6</v>
      </c>
      <c r="I279" s="24">
        <v>1</v>
      </c>
      <c r="J279" s="24">
        <v>0</v>
      </c>
      <c r="K279" s="24">
        <f t="shared" si="111"/>
        <v>53.6</v>
      </c>
      <c r="L279" s="24" t="s">
        <v>14</v>
      </c>
      <c r="M279" s="25"/>
      <c r="N279" s="59"/>
      <c r="P279"/>
      <c r="Q279"/>
      <c r="R279" s="27"/>
      <c r="S279" s="27"/>
      <c r="T279" s="27"/>
      <c r="U279" s="27"/>
      <c r="V279" s="27"/>
      <c r="W279" s="27"/>
      <c r="X279" s="27"/>
      <c r="Y279" s="27"/>
    </row>
    <row r="280" spans="1:25" outlineLevel="1">
      <c r="A280" s="23" t="str">
        <f t="shared" si="112"/>
        <v>GERAL</v>
      </c>
      <c r="B280" s="23" t="str">
        <f t="shared" si="112"/>
        <v>10º PAV. - LAZER 01</v>
      </c>
      <c r="C280" s="29" t="s">
        <v>276</v>
      </c>
      <c r="D280" s="137" t="s">
        <v>272</v>
      </c>
      <c r="E280" s="29" t="s">
        <v>216</v>
      </c>
      <c r="F280" s="83"/>
      <c r="G280" s="83"/>
      <c r="H280" s="83">
        <v>48.7</v>
      </c>
      <c r="I280" s="24">
        <v>1</v>
      </c>
      <c r="J280" s="24">
        <v>0</v>
      </c>
      <c r="K280" s="24">
        <f t="shared" si="111"/>
        <v>48.7</v>
      </c>
      <c r="L280" s="24" t="s">
        <v>14</v>
      </c>
      <c r="M280" s="25"/>
      <c r="N280" s="59"/>
      <c r="P280"/>
      <c r="Q280"/>
      <c r="R280" s="27"/>
      <c r="S280" s="27"/>
      <c r="T280" s="27"/>
      <c r="U280" s="27"/>
      <c r="V280" s="27"/>
      <c r="W280" s="27"/>
      <c r="X280" s="27"/>
      <c r="Y280" s="27"/>
    </row>
    <row r="281" spans="1:25" ht="15.75" outlineLevel="1" thickBot="1">
      <c r="A281" s="23" t="str">
        <f t="shared" si="112"/>
        <v>GERAL</v>
      </c>
      <c r="B281" s="23" t="str">
        <f t="shared" si="112"/>
        <v>10º PAV. - LAZER 01</v>
      </c>
      <c r="C281" s="29" t="s">
        <v>276</v>
      </c>
      <c r="D281" s="137" t="s">
        <v>272</v>
      </c>
      <c r="E281" s="29" t="s">
        <v>217</v>
      </c>
      <c r="F281" s="83"/>
      <c r="G281" s="83"/>
      <c r="H281" s="83">
        <v>10.5</v>
      </c>
      <c r="I281" s="24">
        <v>1</v>
      </c>
      <c r="J281" s="24">
        <v>0</v>
      </c>
      <c r="K281" s="24">
        <f t="shared" si="111"/>
        <v>10.5</v>
      </c>
      <c r="L281" s="24" t="s">
        <v>14</v>
      </c>
      <c r="M281" s="25" t="e">
        <f>_xlfn.XLOOKUP($E281,PREÇO!$C$6:$C$89,PREÇO!$E$6:$E$89)</f>
        <v>#N/A</v>
      </c>
      <c r="N281" s="59" t="e">
        <f>IF(SUM(H281:M281)=0,SUMIFS($N282:$N$759,$B282:$B$759,$B281,$A282:$A$759,$A281),K281*M281)</f>
        <v>#N/A</v>
      </c>
      <c r="P281"/>
      <c r="Q281"/>
      <c r="R281" s="27"/>
      <c r="S281" s="27"/>
      <c r="T281" s="27"/>
      <c r="U281" s="27"/>
      <c r="V281" s="27"/>
      <c r="W281" s="27"/>
      <c r="X281" s="27"/>
      <c r="Y281" s="27"/>
    </row>
    <row r="282" spans="1:25" ht="15.75" thickTop="1">
      <c r="A282" s="63" t="str">
        <f t="shared" ref="A282:B287" si="113">A281</f>
        <v>GERAL</v>
      </c>
      <c r="B282" s="63" t="s">
        <v>34</v>
      </c>
      <c r="C282" s="42"/>
      <c r="D282" s="43"/>
      <c r="E282" s="43"/>
      <c r="F282" s="82"/>
      <c r="G282" s="82"/>
      <c r="H282" s="132"/>
      <c r="I282" s="44"/>
      <c r="J282" s="44"/>
      <c r="K282" s="44"/>
      <c r="L282" s="44"/>
      <c r="M282" s="46"/>
      <c r="N282" s="47" t="e">
        <f>IF(SUM(H282:M282)=0,SUMIFS($N283:$N$759,$B283:$B$759,$B282,$A283:$A$759,$A282),K282*M282)</f>
        <v>#N/A</v>
      </c>
      <c r="P282"/>
      <c r="Q282"/>
      <c r="R282" s="27"/>
      <c r="S282" s="27"/>
      <c r="T282" s="27"/>
      <c r="U282" s="27"/>
      <c r="V282" s="27"/>
      <c r="W282" s="27"/>
      <c r="X282" s="27"/>
      <c r="Y282" s="27"/>
    </row>
    <row r="283" spans="1:25" ht="30" outlineLevel="1">
      <c r="A283" s="23" t="str">
        <f t="shared" si="113"/>
        <v>GERAL</v>
      </c>
      <c r="B283" s="23" t="str">
        <f t="shared" si="113"/>
        <v>11º PAV. - LAZER 02</v>
      </c>
      <c r="C283" s="29" t="s">
        <v>280</v>
      </c>
      <c r="D283" s="137" t="s">
        <v>273</v>
      </c>
      <c r="E283" s="137" t="s">
        <v>219</v>
      </c>
      <c r="F283" s="83"/>
      <c r="G283" s="83"/>
      <c r="H283" s="131">
        <v>8</v>
      </c>
      <c r="I283" s="24">
        <v>1</v>
      </c>
      <c r="J283" s="24">
        <v>0</v>
      </c>
      <c r="K283" s="24">
        <f t="shared" si="111"/>
        <v>8</v>
      </c>
      <c r="L283" s="24" t="s">
        <v>154</v>
      </c>
      <c r="M283" s="25" t="e">
        <f>_xlfn.XLOOKUP($E283,PREÇO!$C$6:$C$89,PREÇO!$E$6:$E$89)</f>
        <v>#N/A</v>
      </c>
      <c r="N283" s="59" t="e">
        <f>IF(SUM(H283:M283)=0,SUMIFS($N284:$N$759,$B284:$B$759,$B283,$A284:$A$759,$A283),K283*M283)</f>
        <v>#N/A</v>
      </c>
      <c r="P283"/>
      <c r="Q283"/>
      <c r="R283" s="27"/>
      <c r="S283" s="27"/>
      <c r="T283" s="27"/>
      <c r="U283" s="27"/>
      <c r="V283" s="27"/>
      <c r="W283" s="27"/>
      <c r="X283" s="27"/>
      <c r="Y283" s="27"/>
    </row>
    <row r="284" spans="1:25" ht="30" outlineLevel="1">
      <c r="A284" s="23" t="str">
        <f t="shared" si="113"/>
        <v>GERAL</v>
      </c>
      <c r="B284" s="23" t="str">
        <f t="shared" si="113"/>
        <v>11º PAV. - LAZER 02</v>
      </c>
      <c r="C284" s="29" t="s">
        <v>277</v>
      </c>
      <c r="D284" s="137" t="s">
        <v>273</v>
      </c>
      <c r="E284" s="29" t="s">
        <v>177</v>
      </c>
      <c r="F284" s="83" t="s">
        <v>64</v>
      </c>
      <c r="G284" s="139" t="s">
        <v>221</v>
      </c>
      <c r="H284" s="131">
        <v>21</v>
      </c>
      <c r="I284" s="24">
        <v>1</v>
      </c>
      <c r="J284" s="24">
        <v>0</v>
      </c>
      <c r="K284" s="24">
        <f t="shared" ref="K284:K313" si="114">(H284+J284*H284)*I284</f>
        <v>21</v>
      </c>
      <c r="L284" s="24" t="s">
        <v>154</v>
      </c>
      <c r="M284" s="25" t="e">
        <f>_xlfn.XLOOKUP($E284,PREÇO!$C$6:$C$89,PREÇO!$E$6:$E$89)</f>
        <v>#N/A</v>
      </c>
      <c r="N284" s="59" t="e">
        <f>IF(SUM(H284:M284)=0,SUMIFS($N285:$N$759,$B285:$B$759,$B284,$A285:$A$759,$A284),K284*M284)</f>
        <v>#N/A</v>
      </c>
      <c r="P284"/>
      <c r="Q284"/>
      <c r="R284" s="27"/>
      <c r="S284" s="27"/>
      <c r="T284" s="27"/>
      <c r="U284" s="27"/>
      <c r="V284" s="27"/>
      <c r="W284" s="27"/>
      <c r="X284" s="27"/>
      <c r="Y284" s="27"/>
    </row>
    <row r="285" spans="1:25" ht="30" outlineLevel="1">
      <c r="A285" s="23" t="str">
        <f t="shared" si="113"/>
        <v>GERAL</v>
      </c>
      <c r="B285" s="23" t="str">
        <f t="shared" si="113"/>
        <v>11º PAV. - LAZER 02</v>
      </c>
      <c r="C285" s="29" t="s">
        <v>277</v>
      </c>
      <c r="D285" s="137" t="s">
        <v>273</v>
      </c>
      <c r="E285" s="29" t="s">
        <v>178</v>
      </c>
      <c r="F285" s="139" t="s">
        <v>89</v>
      </c>
      <c r="G285" s="139" t="s">
        <v>222</v>
      </c>
      <c r="H285" s="131">
        <v>6</v>
      </c>
      <c r="I285" s="24">
        <v>1</v>
      </c>
      <c r="J285" s="24">
        <v>0</v>
      </c>
      <c r="K285" s="24">
        <f t="shared" si="114"/>
        <v>6</v>
      </c>
      <c r="L285" s="24" t="s">
        <v>154</v>
      </c>
      <c r="M285" s="25" t="e">
        <f>_xlfn.XLOOKUP($E285,PREÇO!$C$6:$C$89,PREÇO!$E$6:$E$89)</f>
        <v>#N/A</v>
      </c>
      <c r="N285" s="59" t="e">
        <f>IF(SUM(H285:M285)=0,SUMIFS($N286:$N$759,$B286:$B$759,$B285,$A286:$A$759,$A285),K285*M285)</f>
        <v>#N/A</v>
      </c>
      <c r="P285"/>
      <c r="Q285"/>
      <c r="R285" s="27"/>
      <c r="S285" s="27"/>
      <c r="T285" s="27"/>
      <c r="U285" s="27"/>
      <c r="V285" s="27"/>
      <c r="W285" s="27"/>
      <c r="X285" s="27"/>
      <c r="Y285" s="27"/>
    </row>
    <row r="286" spans="1:25" outlineLevel="1">
      <c r="A286" s="23" t="str">
        <f t="shared" si="113"/>
        <v>GERAL</v>
      </c>
      <c r="B286" s="23" t="str">
        <f t="shared" si="113"/>
        <v>11º PAV. - LAZER 02</v>
      </c>
      <c r="C286" s="29" t="s">
        <v>276</v>
      </c>
      <c r="D286" s="137" t="s">
        <v>273</v>
      </c>
      <c r="E286" s="29" t="s">
        <v>179</v>
      </c>
      <c r="F286" s="83" t="s">
        <v>55</v>
      </c>
      <c r="G286" s="83" t="s">
        <v>197</v>
      </c>
      <c r="H286" s="131">
        <v>1</v>
      </c>
      <c r="I286" s="24">
        <v>1</v>
      </c>
      <c r="J286" s="24">
        <v>0</v>
      </c>
      <c r="K286" s="24">
        <f t="shared" si="114"/>
        <v>1</v>
      </c>
      <c r="L286" s="24" t="s">
        <v>154</v>
      </c>
      <c r="M286" s="25" t="e">
        <f>_xlfn.XLOOKUP($E286,PREÇO!$C$6:$C$89,PREÇO!$E$6:$E$89)</f>
        <v>#N/A</v>
      </c>
      <c r="N286" s="59" t="e">
        <f>IF(SUM(H286:M286)=0,SUMIFS($N287:$N$759,$B287:$B$759,$B286,$A287:$A$759,$A286),K286*M286)</f>
        <v>#N/A</v>
      </c>
      <c r="P286"/>
      <c r="Q286"/>
      <c r="R286" s="27"/>
      <c r="S286" s="27"/>
      <c r="T286" s="27"/>
      <c r="U286" s="27"/>
      <c r="V286" s="27"/>
      <c r="W286" s="27"/>
      <c r="X286" s="27"/>
      <c r="Y286" s="27"/>
    </row>
    <row r="287" spans="1:25" outlineLevel="1">
      <c r="A287" s="23" t="str">
        <f t="shared" si="113"/>
        <v>GERAL</v>
      </c>
      <c r="B287" s="23" t="str">
        <f t="shared" si="113"/>
        <v>11º PAV. - LAZER 02</v>
      </c>
      <c r="C287" s="29" t="s">
        <v>276</v>
      </c>
      <c r="D287" s="137" t="s">
        <v>273</v>
      </c>
      <c r="E287" s="29" t="s">
        <v>180</v>
      </c>
      <c r="F287" s="83" t="s">
        <v>55</v>
      </c>
      <c r="G287" s="83" t="s">
        <v>198</v>
      </c>
      <c r="H287" s="131">
        <v>6</v>
      </c>
      <c r="I287" s="24">
        <v>1</v>
      </c>
      <c r="J287" s="24">
        <v>0</v>
      </c>
      <c r="K287" s="24">
        <f t="shared" si="114"/>
        <v>6</v>
      </c>
      <c r="L287" s="24" t="s">
        <v>154</v>
      </c>
      <c r="M287" s="25" t="e">
        <f>_xlfn.XLOOKUP($E287,PREÇO!$C$6:$C$89,PREÇO!$E$6:$E$89)</f>
        <v>#N/A</v>
      </c>
      <c r="N287" s="59" t="e">
        <f>IF(SUM(H287:M287)=0,SUMIFS($N288:$N$759,$B288:$B$759,$B287,$A288:$A$759,$A287),K287*M287)</f>
        <v>#N/A</v>
      </c>
      <c r="P287"/>
      <c r="Q287"/>
      <c r="R287" s="27"/>
      <c r="S287" s="27"/>
      <c r="T287" s="27"/>
      <c r="U287" s="27"/>
      <c r="V287" s="27"/>
      <c r="W287" s="27"/>
      <c r="X287" s="27"/>
      <c r="Y287" s="27"/>
    </row>
    <row r="288" spans="1:25" outlineLevel="1">
      <c r="A288" s="23" t="str">
        <f t="shared" ref="A288:B288" si="115">A287</f>
        <v>GERAL</v>
      </c>
      <c r="B288" s="23" t="str">
        <f t="shared" si="115"/>
        <v>11º PAV. - LAZER 02</v>
      </c>
      <c r="C288" s="29" t="s">
        <v>276</v>
      </c>
      <c r="D288" s="137" t="s">
        <v>273</v>
      </c>
      <c r="E288" s="29" t="s">
        <v>181</v>
      </c>
      <c r="F288" s="83" t="s">
        <v>55</v>
      </c>
      <c r="G288" s="83" t="s">
        <v>199</v>
      </c>
      <c r="H288" s="131">
        <v>5</v>
      </c>
      <c r="I288" s="24">
        <v>1</v>
      </c>
      <c r="J288" s="24">
        <v>0</v>
      </c>
      <c r="K288" s="24">
        <f t="shared" si="114"/>
        <v>5</v>
      </c>
      <c r="L288" s="24" t="s">
        <v>154</v>
      </c>
      <c r="M288" s="25" t="e">
        <f>_xlfn.XLOOKUP($E288,PREÇO!$C$6:$C$89,PREÇO!$E$6:$E$89)</f>
        <v>#N/A</v>
      </c>
      <c r="N288" s="59" t="e">
        <f>IF(SUM(H288:M288)=0,SUMIFS($N289:$N$759,$B289:$B$759,$B288,$A289:$A$759,$A288),K288*M288)</f>
        <v>#N/A</v>
      </c>
      <c r="P288"/>
      <c r="Q288"/>
      <c r="R288" s="27"/>
      <c r="S288" s="27"/>
      <c r="T288" s="27"/>
      <c r="U288" s="27"/>
      <c r="V288" s="27"/>
      <c r="W288" s="27"/>
      <c r="X288" s="27"/>
      <c r="Y288" s="27"/>
    </row>
    <row r="289" spans="1:25" outlineLevel="1">
      <c r="A289" s="23" t="str">
        <f t="shared" ref="A289:B289" si="116">A288</f>
        <v>GERAL</v>
      </c>
      <c r="B289" s="23" t="str">
        <f t="shared" si="116"/>
        <v>11º PAV. - LAZER 02</v>
      </c>
      <c r="C289" s="29" t="s">
        <v>276</v>
      </c>
      <c r="D289" s="137" t="s">
        <v>273</v>
      </c>
      <c r="E289" s="29" t="s">
        <v>182</v>
      </c>
      <c r="F289" s="83" t="s">
        <v>55</v>
      </c>
      <c r="G289" s="83" t="s">
        <v>200</v>
      </c>
      <c r="H289" s="131">
        <v>2</v>
      </c>
      <c r="I289" s="24">
        <v>1</v>
      </c>
      <c r="J289" s="24">
        <v>0</v>
      </c>
      <c r="K289" s="24">
        <f t="shared" si="114"/>
        <v>2</v>
      </c>
      <c r="L289" s="24" t="s">
        <v>154</v>
      </c>
      <c r="M289" s="25" t="e">
        <f>_xlfn.XLOOKUP($E289,PREÇO!$C$6:$C$89,PREÇO!$E$6:$E$89)</f>
        <v>#N/A</v>
      </c>
      <c r="N289" s="59" t="e">
        <f>IF(SUM(H289:M289)=0,SUMIFS($N290:$N$759,$B290:$B$759,$B289,$A290:$A$759,$A289),K289*M289)</f>
        <v>#N/A</v>
      </c>
      <c r="P289"/>
      <c r="Q289"/>
      <c r="R289" s="27"/>
      <c r="S289" s="27"/>
      <c r="T289" s="27"/>
      <c r="U289" s="27"/>
      <c r="V289" s="27"/>
      <c r="W289" s="27"/>
      <c r="X289" s="27"/>
      <c r="Y289" s="27"/>
    </row>
    <row r="290" spans="1:25" outlineLevel="1">
      <c r="A290" s="23" t="str">
        <f t="shared" ref="A290:B290" si="117">A289</f>
        <v>GERAL</v>
      </c>
      <c r="B290" s="23" t="str">
        <f t="shared" si="117"/>
        <v>11º PAV. - LAZER 02</v>
      </c>
      <c r="C290" s="29" t="s">
        <v>276</v>
      </c>
      <c r="D290" s="137" t="s">
        <v>273</v>
      </c>
      <c r="E290" s="29" t="s">
        <v>157</v>
      </c>
      <c r="F290" s="83" t="s">
        <v>55</v>
      </c>
      <c r="G290" s="83"/>
      <c r="H290" s="131">
        <v>1</v>
      </c>
      <c r="I290" s="24">
        <v>1</v>
      </c>
      <c r="J290" s="24">
        <v>0</v>
      </c>
      <c r="K290" s="24">
        <f t="shared" si="114"/>
        <v>1</v>
      </c>
      <c r="L290" s="24" t="s">
        <v>154</v>
      </c>
      <c r="M290" s="25" t="e">
        <f>_xlfn.XLOOKUP($E290,PREÇO!$C$6:$C$89,PREÇO!$E$6:$E$89)</f>
        <v>#N/A</v>
      </c>
      <c r="N290" s="59" t="e">
        <f>IF(SUM(H290:M290)=0,SUMIFS($N291:$N$759,$B291:$B$759,$B290,$A291:$A$759,$A290),K290*M290)</f>
        <v>#N/A</v>
      </c>
      <c r="P290"/>
      <c r="Q290"/>
      <c r="R290" s="27"/>
      <c r="S290" s="27"/>
      <c r="T290" s="27"/>
      <c r="U290" s="27"/>
      <c r="V290" s="27"/>
      <c r="W290" s="27"/>
      <c r="X290" s="27"/>
      <c r="Y290" s="27"/>
    </row>
    <row r="291" spans="1:25" outlineLevel="1">
      <c r="A291" s="23" t="str">
        <f t="shared" ref="A291:B291" si="118">A290</f>
        <v>GERAL</v>
      </c>
      <c r="B291" s="23" t="str">
        <f t="shared" si="118"/>
        <v>11º PAV. - LAZER 02</v>
      </c>
      <c r="C291" s="29" t="s">
        <v>276</v>
      </c>
      <c r="D291" s="137" t="s">
        <v>273</v>
      </c>
      <c r="E291" s="29" t="s">
        <v>183</v>
      </c>
      <c r="F291" s="83" t="s">
        <v>55</v>
      </c>
      <c r="G291" s="83" t="s">
        <v>201</v>
      </c>
      <c r="H291" s="131">
        <v>1</v>
      </c>
      <c r="I291" s="24">
        <v>1</v>
      </c>
      <c r="J291" s="24">
        <v>0</v>
      </c>
      <c r="K291" s="24">
        <f t="shared" si="114"/>
        <v>1</v>
      </c>
      <c r="L291" s="24" t="s">
        <v>154</v>
      </c>
      <c r="M291" s="25" t="e">
        <f>_xlfn.XLOOKUP($E291,PREÇO!$C$6:$C$89,PREÇO!$E$6:$E$89)</f>
        <v>#N/A</v>
      </c>
      <c r="N291" s="59" t="e">
        <f>IF(SUM(H291:M291)=0,SUMIFS($N292:$N$759,$B292:$B$759,$B291,$A292:$A$759,$A291),K291*M291)</f>
        <v>#N/A</v>
      </c>
      <c r="P291"/>
      <c r="Q291"/>
      <c r="R291" s="27"/>
      <c r="S291" s="27"/>
      <c r="T291" s="27"/>
      <c r="U291" s="27"/>
      <c r="V291" s="27"/>
      <c r="W291" s="27"/>
      <c r="X291" s="27"/>
      <c r="Y291" s="27"/>
    </row>
    <row r="292" spans="1:25" outlineLevel="1">
      <c r="A292" s="23" t="str">
        <f t="shared" ref="A292:B292" si="119">A291</f>
        <v>GERAL</v>
      </c>
      <c r="B292" s="23" t="str">
        <f t="shared" si="119"/>
        <v>11º PAV. - LAZER 02</v>
      </c>
      <c r="C292" s="29" t="s">
        <v>276</v>
      </c>
      <c r="D292" s="137" t="s">
        <v>273</v>
      </c>
      <c r="E292" s="29" t="s">
        <v>184</v>
      </c>
      <c r="F292" s="83" t="s">
        <v>55</v>
      </c>
      <c r="G292" s="83" t="s">
        <v>202</v>
      </c>
      <c r="H292" s="131">
        <v>1</v>
      </c>
      <c r="I292" s="24">
        <v>1</v>
      </c>
      <c r="J292" s="24">
        <v>0</v>
      </c>
      <c r="K292" s="24">
        <f t="shared" si="114"/>
        <v>1</v>
      </c>
      <c r="L292" s="24" t="s">
        <v>154</v>
      </c>
      <c r="M292" s="25" t="e">
        <f>_xlfn.XLOOKUP($E292,PREÇO!$C$6:$C$89,PREÇO!$E$6:$E$89)</f>
        <v>#N/A</v>
      </c>
      <c r="N292" s="59" t="e">
        <f>IF(SUM(H292:M292)=0,SUMIFS($N293:$N$759,$B293:$B$759,$B292,$A293:$A$759,$A292),K292*M292)</f>
        <v>#N/A</v>
      </c>
      <c r="P292"/>
      <c r="Q292"/>
      <c r="R292" s="27"/>
      <c r="S292" s="27"/>
      <c r="T292" s="27"/>
      <c r="U292" s="27"/>
      <c r="V292" s="27"/>
      <c r="W292" s="27"/>
      <c r="X292" s="27"/>
      <c r="Y292" s="27"/>
    </row>
    <row r="293" spans="1:25" outlineLevel="1">
      <c r="A293" s="23" t="str">
        <f t="shared" ref="A293:B293" si="120">A292</f>
        <v>GERAL</v>
      </c>
      <c r="B293" s="23" t="str">
        <f t="shared" si="120"/>
        <v>11º PAV. - LAZER 02</v>
      </c>
      <c r="C293" s="29" t="s">
        <v>276</v>
      </c>
      <c r="D293" s="137" t="s">
        <v>273</v>
      </c>
      <c r="E293" s="137" t="s">
        <v>53</v>
      </c>
      <c r="F293" s="83" t="s">
        <v>55</v>
      </c>
      <c r="G293" s="83" t="s">
        <v>59</v>
      </c>
      <c r="H293" s="131">
        <v>1</v>
      </c>
      <c r="I293" s="24">
        <v>1</v>
      </c>
      <c r="J293" s="24">
        <v>0</v>
      </c>
      <c r="K293" s="24">
        <f t="shared" si="114"/>
        <v>1</v>
      </c>
      <c r="L293" s="24" t="s">
        <v>154</v>
      </c>
      <c r="M293" s="25" t="e">
        <f>_xlfn.XLOOKUP($E293,PREÇO!$C$6:$C$89,PREÇO!$E$6:$E$89)</f>
        <v>#N/A</v>
      </c>
      <c r="N293" s="59" t="e">
        <f>IF(SUM(H293:M293)=0,SUMIFS($N294:$N$759,$B294:$B$759,$B293,$A294:$A$759,$A293),K293*M293)</f>
        <v>#N/A</v>
      </c>
      <c r="P293"/>
      <c r="Q293"/>
      <c r="R293" s="27"/>
      <c r="S293" s="27"/>
      <c r="T293" s="27"/>
      <c r="U293" s="27"/>
      <c r="V293" s="27"/>
      <c r="W293" s="27"/>
      <c r="X293" s="27"/>
      <c r="Y293" s="27"/>
    </row>
    <row r="294" spans="1:25" outlineLevel="1">
      <c r="A294" s="23" t="str">
        <f t="shared" ref="A294:B294" si="121">A293</f>
        <v>GERAL</v>
      </c>
      <c r="B294" s="23" t="str">
        <f t="shared" si="121"/>
        <v>11º PAV. - LAZER 02</v>
      </c>
      <c r="C294" s="29" t="s">
        <v>276</v>
      </c>
      <c r="D294" s="137" t="s">
        <v>273</v>
      </c>
      <c r="E294" s="137" t="s">
        <v>220</v>
      </c>
      <c r="F294" s="83" t="s">
        <v>55</v>
      </c>
      <c r="G294" s="83" t="s">
        <v>190</v>
      </c>
      <c r="H294" s="131">
        <v>3</v>
      </c>
      <c r="I294" s="24">
        <v>1</v>
      </c>
      <c r="J294" s="24">
        <v>0</v>
      </c>
      <c r="K294" s="24">
        <f t="shared" si="114"/>
        <v>3</v>
      </c>
      <c r="L294" s="24" t="s">
        <v>154</v>
      </c>
      <c r="M294" s="25" t="e">
        <f>_xlfn.XLOOKUP(#REF!,PREÇO!$C$6:$C$89,PREÇO!$E$6:$E$89)</f>
        <v>#REF!</v>
      </c>
      <c r="N294" s="59" t="e">
        <f>IF(SUM(H294:M294)=0,SUMIFS($N295:$N$759,$B295:$B$759,$B294,$A295:$A$759,$A294),K294*M294)</f>
        <v>#REF!</v>
      </c>
      <c r="P294"/>
      <c r="Q294"/>
      <c r="R294" s="27"/>
      <c r="S294" s="27"/>
      <c r="T294" s="27"/>
      <c r="U294" s="27"/>
      <c r="V294" s="27"/>
      <c r="W294" s="27"/>
      <c r="X294" s="27"/>
      <c r="Y294" s="27"/>
    </row>
    <row r="295" spans="1:25" outlineLevel="1">
      <c r="A295" s="23" t="str">
        <f t="shared" ref="A295:B295" si="122">A294</f>
        <v>GERAL</v>
      </c>
      <c r="B295" s="23" t="str">
        <f t="shared" si="122"/>
        <v>11º PAV. - LAZER 02</v>
      </c>
      <c r="C295" s="29" t="s">
        <v>276</v>
      </c>
      <c r="D295" s="137" t="s">
        <v>273</v>
      </c>
      <c r="E295" s="137" t="s">
        <v>186</v>
      </c>
      <c r="F295" s="83" t="s">
        <v>55</v>
      </c>
      <c r="G295" s="83" t="s">
        <v>191</v>
      </c>
      <c r="H295" s="131">
        <v>5</v>
      </c>
      <c r="I295" s="24">
        <v>1</v>
      </c>
      <c r="J295" s="24">
        <v>0</v>
      </c>
      <c r="K295" s="24">
        <f t="shared" si="114"/>
        <v>5</v>
      </c>
      <c r="L295" s="24" t="s">
        <v>154</v>
      </c>
      <c r="M295" s="25" t="e">
        <f>_xlfn.XLOOKUP($E294,PREÇO!$C$6:$C$89,PREÇO!$E$6:$E$89)</f>
        <v>#N/A</v>
      </c>
      <c r="N295" s="59" t="e">
        <f>IF(SUM(H295:M295)=0,SUMIFS($N296:$N$759,$B296:$B$759,$B295,$A296:$A$759,$A295),K295*M295)</f>
        <v>#N/A</v>
      </c>
      <c r="P295"/>
      <c r="Q295"/>
      <c r="R295" s="27"/>
      <c r="S295" s="27"/>
      <c r="T295" s="27"/>
      <c r="U295" s="27"/>
      <c r="V295" s="27"/>
      <c r="W295" s="27"/>
      <c r="X295" s="27"/>
      <c r="Y295" s="27"/>
    </row>
    <row r="296" spans="1:25" outlineLevel="1">
      <c r="A296" s="23" t="str">
        <f t="shared" ref="A296:B296" si="123">A295</f>
        <v>GERAL</v>
      </c>
      <c r="B296" s="23" t="str">
        <f t="shared" si="123"/>
        <v>11º PAV. - LAZER 02</v>
      </c>
      <c r="C296" s="29" t="s">
        <v>276</v>
      </c>
      <c r="D296" s="137" t="s">
        <v>273</v>
      </c>
      <c r="E296" s="137" t="s">
        <v>187</v>
      </c>
      <c r="F296" s="83" t="s">
        <v>55</v>
      </c>
      <c r="G296" s="83" t="s">
        <v>192</v>
      </c>
      <c r="H296" s="131">
        <v>1</v>
      </c>
      <c r="I296" s="24">
        <v>1</v>
      </c>
      <c r="J296" s="24">
        <v>0</v>
      </c>
      <c r="K296" s="24">
        <f t="shared" si="114"/>
        <v>1</v>
      </c>
      <c r="L296" s="24" t="s">
        <v>154</v>
      </c>
      <c r="M296" s="25" t="e">
        <f>_xlfn.XLOOKUP(#REF!,PREÇO!$C$6:$C$89,PREÇO!$E$6:$E$89)</f>
        <v>#REF!</v>
      </c>
      <c r="N296" s="59" t="e">
        <f>IF(SUM(H296:M296)=0,SUMIFS($N297:$N$759,$B297:$B$759,$B296,$A297:$A$759,$A296),K296*M296)</f>
        <v>#REF!</v>
      </c>
      <c r="P296"/>
      <c r="Q296"/>
      <c r="R296" s="27"/>
      <c r="S296" s="27"/>
      <c r="T296" s="27"/>
      <c r="U296" s="27"/>
      <c r="V296" s="27"/>
      <c r="W296" s="27"/>
      <c r="X296" s="27"/>
      <c r="Y296" s="27"/>
    </row>
    <row r="297" spans="1:25" outlineLevel="1">
      <c r="A297" s="23" t="str">
        <f t="shared" ref="A297:B297" si="124">A296</f>
        <v>GERAL</v>
      </c>
      <c r="B297" s="23" t="str">
        <f t="shared" si="124"/>
        <v>11º PAV. - LAZER 02</v>
      </c>
      <c r="C297" s="29" t="s">
        <v>276</v>
      </c>
      <c r="D297" s="137" t="s">
        <v>273</v>
      </c>
      <c r="E297" s="137" t="s">
        <v>188</v>
      </c>
      <c r="F297" s="83" t="s">
        <v>55</v>
      </c>
      <c r="G297" s="83" t="s">
        <v>193</v>
      </c>
      <c r="H297" s="131">
        <v>2</v>
      </c>
      <c r="I297" s="24">
        <v>1</v>
      </c>
      <c r="J297" s="24">
        <v>0</v>
      </c>
      <c r="K297" s="24">
        <f t="shared" si="114"/>
        <v>2</v>
      </c>
      <c r="L297" s="24" t="s">
        <v>154</v>
      </c>
      <c r="M297" s="25" t="e">
        <f>_xlfn.XLOOKUP($E295,PREÇO!$C$6:$C$89,PREÇO!$E$6:$E$89)</f>
        <v>#N/A</v>
      </c>
      <c r="N297" s="59" t="e">
        <f>IF(SUM(H297:M297)=0,SUMIFS($N298:$N$759,$B298:$B$759,$B297,$A298:$A$759,$A297),K297*M297)</f>
        <v>#N/A</v>
      </c>
      <c r="P297"/>
      <c r="Q297"/>
      <c r="R297" s="27"/>
      <c r="S297" s="27"/>
      <c r="T297" s="27"/>
      <c r="U297" s="27"/>
      <c r="V297" s="27"/>
      <c r="W297" s="27"/>
      <c r="X297" s="27"/>
      <c r="Y297" s="27"/>
    </row>
    <row r="298" spans="1:25" outlineLevel="1">
      <c r="A298" s="23" t="str">
        <f t="shared" ref="A298:B298" si="125">A297</f>
        <v>GERAL</v>
      </c>
      <c r="B298" s="23" t="str">
        <f t="shared" si="125"/>
        <v>11º PAV. - LAZER 02</v>
      </c>
      <c r="C298" s="29" t="s">
        <v>276</v>
      </c>
      <c r="D298" s="137" t="s">
        <v>273</v>
      </c>
      <c r="E298" s="137" t="s">
        <v>78</v>
      </c>
      <c r="F298" s="83" t="s">
        <v>55</v>
      </c>
      <c r="G298" s="83" t="s">
        <v>79</v>
      </c>
      <c r="H298" s="131">
        <v>13</v>
      </c>
      <c r="I298" s="24">
        <v>1</v>
      </c>
      <c r="J298" s="24">
        <v>0</v>
      </c>
      <c r="K298" s="24">
        <f t="shared" si="114"/>
        <v>13</v>
      </c>
      <c r="L298" s="24" t="s">
        <v>154</v>
      </c>
      <c r="M298" s="25" t="e">
        <f>_xlfn.XLOOKUP(#REF!,PREÇO!$C$6:$C$89,PREÇO!$E$6:$E$89)</f>
        <v>#REF!</v>
      </c>
      <c r="N298" s="59" t="e">
        <f>IF(SUM(H298:M298)=0,SUMIFS($N299:$N$759,$B299:$B$759,$B298,$A299:$A$759,$A298),K298*M298)</f>
        <v>#REF!</v>
      </c>
      <c r="P298"/>
      <c r="Q298"/>
      <c r="R298" s="27"/>
      <c r="S298" s="27"/>
      <c r="T298" s="27"/>
      <c r="U298" s="27"/>
      <c r="V298" s="27"/>
      <c r="W298" s="27"/>
      <c r="X298" s="27"/>
      <c r="Y298" s="27"/>
    </row>
    <row r="299" spans="1:25" outlineLevel="1">
      <c r="A299" s="23" t="str">
        <f t="shared" ref="A299:B299" si="126">A298</f>
        <v>GERAL</v>
      </c>
      <c r="B299" s="23" t="str">
        <f t="shared" si="126"/>
        <v>11º PAV. - LAZER 02</v>
      </c>
      <c r="C299" s="29" t="s">
        <v>276</v>
      </c>
      <c r="D299" s="137" t="s">
        <v>273</v>
      </c>
      <c r="E299" s="137" t="s">
        <v>80</v>
      </c>
      <c r="F299" s="83" t="s">
        <v>55</v>
      </c>
      <c r="G299" s="83" t="s">
        <v>81</v>
      </c>
      <c r="H299" s="131">
        <v>16</v>
      </c>
      <c r="I299" s="24">
        <v>1</v>
      </c>
      <c r="J299" s="24">
        <v>0</v>
      </c>
      <c r="K299" s="24">
        <f t="shared" si="114"/>
        <v>16</v>
      </c>
      <c r="L299" s="24" t="s">
        <v>154</v>
      </c>
      <c r="M299" s="25" t="e">
        <f>_xlfn.XLOOKUP($E296,PREÇO!$C$6:$C$89,PREÇO!$E$6:$E$89)</f>
        <v>#N/A</v>
      </c>
      <c r="N299" s="59" t="e">
        <f>IF(SUM(H299:M299)=0,SUMIFS($N300:$N$759,$B300:$B$759,$B299,$A300:$A$759,$A299),K299*M299)</f>
        <v>#N/A</v>
      </c>
      <c r="P299"/>
      <c r="Q299"/>
      <c r="R299" s="27"/>
      <c r="S299" s="27"/>
      <c r="T299" s="27"/>
      <c r="U299" s="27"/>
      <c r="V299" s="27"/>
      <c r="W299" s="27"/>
      <c r="X299" s="27"/>
      <c r="Y299" s="27"/>
    </row>
    <row r="300" spans="1:25" outlineLevel="1">
      <c r="A300" s="23" t="str">
        <f t="shared" ref="A300:B300" si="127">A299</f>
        <v>GERAL</v>
      </c>
      <c r="B300" s="23" t="str">
        <f t="shared" si="127"/>
        <v>11º PAV. - LAZER 02</v>
      </c>
      <c r="C300" s="29" t="s">
        <v>276</v>
      </c>
      <c r="D300" s="137" t="s">
        <v>273</v>
      </c>
      <c r="E300" s="137" t="s">
        <v>115</v>
      </c>
      <c r="F300" s="83" t="s">
        <v>55</v>
      </c>
      <c r="G300" s="83" t="s">
        <v>130</v>
      </c>
      <c r="H300" s="131">
        <v>4</v>
      </c>
      <c r="I300" s="24">
        <v>1</v>
      </c>
      <c r="J300" s="24">
        <v>0</v>
      </c>
      <c r="K300" s="24">
        <f t="shared" si="114"/>
        <v>4</v>
      </c>
      <c r="L300" s="24" t="s">
        <v>154</v>
      </c>
      <c r="M300" s="25" t="e">
        <f>_xlfn.XLOOKUP(#REF!,PREÇO!$C$6:$C$89,PREÇO!$E$6:$E$89)</f>
        <v>#REF!</v>
      </c>
      <c r="N300" s="59" t="e">
        <f>IF(SUM(H300:M300)=0,SUMIFS($N301:$N$759,$B301:$B$759,$B300,$A301:$A$759,$A300),K300*M300)</f>
        <v>#REF!</v>
      </c>
      <c r="P300"/>
      <c r="Q300"/>
      <c r="R300" s="27"/>
      <c r="S300" s="27"/>
      <c r="T300" s="27"/>
      <c r="U300" s="27"/>
      <c r="V300" s="27"/>
      <c r="W300" s="27"/>
      <c r="X300" s="27"/>
      <c r="Y300" s="27"/>
    </row>
    <row r="301" spans="1:25" outlineLevel="1">
      <c r="A301" s="23" t="str">
        <f t="shared" ref="A301:B301" si="128">A300</f>
        <v>GERAL</v>
      </c>
      <c r="B301" s="23" t="str">
        <f t="shared" si="128"/>
        <v>11º PAV. - LAZER 02</v>
      </c>
      <c r="C301" s="29" t="s">
        <v>276</v>
      </c>
      <c r="D301" s="137" t="s">
        <v>273</v>
      </c>
      <c r="E301" s="137" t="s">
        <v>76</v>
      </c>
      <c r="F301" s="83" t="s">
        <v>55</v>
      </c>
      <c r="G301" s="139" t="s">
        <v>77</v>
      </c>
      <c r="H301" s="131">
        <v>2</v>
      </c>
      <c r="I301" s="24">
        <v>1</v>
      </c>
      <c r="J301" s="24">
        <v>0</v>
      </c>
      <c r="K301" s="24">
        <f t="shared" si="114"/>
        <v>2</v>
      </c>
      <c r="L301" s="24" t="s">
        <v>154</v>
      </c>
      <c r="M301" s="25" t="e">
        <f>_xlfn.XLOOKUP($E297,PREÇO!$C$6:$C$89,PREÇO!$E$6:$E$89)</f>
        <v>#N/A</v>
      </c>
      <c r="N301" s="59" t="e">
        <f>IF(SUM(H301:M301)=0,SUMIFS($N302:$N$759,$B302:$B$759,$B301,$A302:$A$759,$A301),K301*M301)</f>
        <v>#N/A</v>
      </c>
      <c r="P301"/>
      <c r="Q301"/>
      <c r="R301" s="27"/>
      <c r="S301" s="27"/>
      <c r="T301" s="27"/>
      <c r="U301" s="27"/>
      <c r="V301" s="27"/>
      <c r="W301" s="27"/>
      <c r="X301" s="27"/>
      <c r="Y301" s="27"/>
    </row>
    <row r="302" spans="1:25" outlineLevel="1">
      <c r="A302" s="23" t="str">
        <f t="shared" ref="A302:B302" si="129">A301</f>
        <v>GERAL</v>
      </c>
      <c r="B302" s="23" t="str">
        <f t="shared" si="129"/>
        <v>11º PAV. - LAZER 02</v>
      </c>
      <c r="C302" s="29" t="s">
        <v>277</v>
      </c>
      <c r="D302" s="137" t="s">
        <v>273</v>
      </c>
      <c r="E302" s="29" t="s">
        <v>63</v>
      </c>
      <c r="F302" s="85" t="s">
        <v>64</v>
      </c>
      <c r="G302" s="83" t="s">
        <v>67</v>
      </c>
      <c r="H302" s="131">
        <v>71</v>
      </c>
      <c r="I302" s="24">
        <v>1</v>
      </c>
      <c r="J302" s="24">
        <v>0</v>
      </c>
      <c r="K302" s="24">
        <f t="shared" si="114"/>
        <v>71</v>
      </c>
      <c r="L302" s="24" t="s">
        <v>154</v>
      </c>
      <c r="M302" s="25" t="e">
        <f>_xlfn.XLOOKUP($E302,PREÇO!$C$6:$C$89,PREÇO!$E$6:$E$89)</f>
        <v>#N/A</v>
      </c>
      <c r="N302" s="59" t="e">
        <f>IF(SUM(H302:M302)=0,SUMIFS($N303:$N$759,$B303:$B$759,$B302,$A303:$A$759,$A302),K302*M302)</f>
        <v>#N/A</v>
      </c>
      <c r="P302"/>
      <c r="Q302"/>
      <c r="R302" s="27"/>
      <c r="S302" s="27"/>
      <c r="T302" s="27"/>
      <c r="U302" s="27"/>
      <c r="V302" s="27"/>
      <c r="W302" s="27"/>
      <c r="X302" s="27"/>
      <c r="Y302" s="27"/>
    </row>
    <row r="303" spans="1:25" outlineLevel="1">
      <c r="A303" s="23" t="str">
        <f t="shared" ref="A303:B303" si="130">A302</f>
        <v>GERAL</v>
      </c>
      <c r="B303" s="23" t="str">
        <f t="shared" si="130"/>
        <v>11º PAV. - LAZER 02</v>
      </c>
      <c r="C303" s="29" t="s">
        <v>277</v>
      </c>
      <c r="D303" s="137" t="s">
        <v>273</v>
      </c>
      <c r="E303" s="20" t="s">
        <v>85</v>
      </c>
      <c r="F303" s="83" t="s">
        <v>86</v>
      </c>
      <c r="G303" s="83" t="s">
        <v>88</v>
      </c>
      <c r="H303" s="131">
        <v>35</v>
      </c>
      <c r="I303" s="24">
        <v>1</v>
      </c>
      <c r="J303" s="24">
        <v>0</v>
      </c>
      <c r="K303" s="24">
        <f t="shared" si="114"/>
        <v>35</v>
      </c>
      <c r="L303" s="24" t="s">
        <v>154</v>
      </c>
      <c r="M303" s="25" t="e">
        <f>_xlfn.XLOOKUP($E298,PREÇO!$C$6:$C$89,PREÇO!$E$6:$E$89)</f>
        <v>#N/A</v>
      </c>
      <c r="N303" s="59" t="e">
        <f>IF(SUM(H303:M303)=0,SUMIFS($N304:$N$759,$B304:$B$759,$B303,$A304:$A$759,$A303),K303*M303)</f>
        <v>#N/A</v>
      </c>
      <c r="P303"/>
      <c r="Q303"/>
      <c r="R303" s="27"/>
      <c r="S303" s="27"/>
      <c r="T303" s="27"/>
      <c r="U303" s="27"/>
      <c r="V303" s="27"/>
      <c r="W303" s="27"/>
      <c r="X303" s="27"/>
      <c r="Y303" s="27"/>
    </row>
    <row r="304" spans="1:25" ht="30" outlineLevel="1">
      <c r="A304" s="23" t="str">
        <f t="shared" ref="A304:B304" si="131">A303</f>
        <v>GERAL</v>
      </c>
      <c r="B304" s="23" t="str">
        <f t="shared" si="131"/>
        <v>11º PAV. - LAZER 02</v>
      </c>
      <c r="C304" s="29" t="s">
        <v>277</v>
      </c>
      <c r="D304" s="137" t="s">
        <v>273</v>
      </c>
      <c r="E304" s="29" t="s">
        <v>203</v>
      </c>
      <c r="F304" s="83" t="s">
        <v>86</v>
      </c>
      <c r="G304" s="139" t="s">
        <v>204</v>
      </c>
      <c r="H304" s="131">
        <v>1</v>
      </c>
      <c r="I304" s="24">
        <v>1</v>
      </c>
      <c r="J304" s="24">
        <v>0</v>
      </c>
      <c r="K304" s="24">
        <f t="shared" si="114"/>
        <v>1</v>
      </c>
      <c r="L304" s="24" t="s">
        <v>154</v>
      </c>
      <c r="M304" s="25" t="e">
        <f>_xlfn.XLOOKUP($E304,PREÇO!$C$6:$C$89,PREÇO!$E$6:$E$89)</f>
        <v>#N/A</v>
      </c>
      <c r="N304" s="59" t="e">
        <f>IF(SUM(H304:M304)=0,SUMIFS($N305:$N$759,$B305:$B$759,$B304,$A305:$A$759,$A304),K304*M304)</f>
        <v>#N/A</v>
      </c>
      <c r="P304"/>
      <c r="Q304"/>
      <c r="R304" s="27"/>
      <c r="S304" s="27"/>
      <c r="T304" s="27"/>
      <c r="U304" s="27"/>
      <c r="V304" s="27"/>
      <c r="W304" s="27"/>
      <c r="X304" s="27"/>
      <c r="Y304" s="27"/>
    </row>
    <row r="305" spans="1:25" outlineLevel="1">
      <c r="A305" s="23" t="str">
        <f t="shared" ref="A305:B305" si="132">A304</f>
        <v>GERAL</v>
      </c>
      <c r="B305" s="23" t="str">
        <f t="shared" si="132"/>
        <v>11º PAV. - LAZER 02</v>
      </c>
      <c r="C305" s="29" t="s">
        <v>276</v>
      </c>
      <c r="D305" s="137" t="s">
        <v>273</v>
      </c>
      <c r="E305" s="20" t="s">
        <v>205</v>
      </c>
      <c r="F305" s="83"/>
      <c r="G305" s="83"/>
      <c r="H305" s="131">
        <v>51.2</v>
      </c>
      <c r="I305" s="24">
        <v>1</v>
      </c>
      <c r="J305" s="24">
        <v>0</v>
      </c>
      <c r="K305" s="24">
        <f t="shared" si="114"/>
        <v>51.2</v>
      </c>
      <c r="L305" s="24" t="s">
        <v>14</v>
      </c>
      <c r="M305" s="25" t="e">
        <f>_xlfn.XLOOKUP($E299,PREÇO!$C$6:$C$89,PREÇO!$E$6:$E$89)</f>
        <v>#N/A</v>
      </c>
      <c r="N305" s="59" t="e">
        <f>IF(SUM(H305:M305)=0,SUMIFS($N306:$N$759,$B306:$B$759,$B305,$A306:$A$759,$A305),K305*M305)</f>
        <v>#N/A</v>
      </c>
      <c r="P305"/>
      <c r="Q305"/>
      <c r="R305" s="27"/>
      <c r="S305" s="27"/>
      <c r="T305" s="27"/>
      <c r="U305" s="27"/>
      <c r="V305" s="27"/>
      <c r="W305" s="27"/>
      <c r="X305" s="27"/>
      <c r="Y305" s="27"/>
    </row>
    <row r="306" spans="1:25" outlineLevel="1">
      <c r="A306" s="23" t="str">
        <f t="shared" ref="A306:B306" si="133">A305</f>
        <v>GERAL</v>
      </c>
      <c r="B306" s="23" t="str">
        <f t="shared" si="133"/>
        <v>11º PAV. - LAZER 02</v>
      </c>
      <c r="C306" s="29" t="s">
        <v>276</v>
      </c>
      <c r="D306" s="137" t="s">
        <v>273</v>
      </c>
      <c r="E306" s="29" t="s">
        <v>206</v>
      </c>
      <c r="F306" s="83"/>
      <c r="G306" s="83"/>
      <c r="H306" s="131">
        <v>203</v>
      </c>
      <c r="I306" s="24">
        <v>1</v>
      </c>
      <c r="J306" s="24">
        <v>0</v>
      </c>
      <c r="K306" s="24">
        <f t="shared" si="114"/>
        <v>203</v>
      </c>
      <c r="L306" s="24" t="s">
        <v>14</v>
      </c>
      <c r="M306" s="25" t="e">
        <f>_xlfn.XLOOKUP($E306,PREÇO!$C$6:$C$89,PREÇO!$E$6:$E$89)</f>
        <v>#N/A</v>
      </c>
      <c r="N306" s="59" t="e">
        <f>IF(SUM(H306:M306)=0,SUMIFS($N307:$N$759,$B307:$B$759,$B306,$A307:$A$759,$A306),K306*M306)</f>
        <v>#N/A</v>
      </c>
      <c r="P306"/>
      <c r="Q306"/>
      <c r="R306" s="27"/>
      <c r="S306" s="27"/>
      <c r="T306" s="27"/>
      <c r="U306" s="27"/>
      <c r="V306" s="27"/>
      <c r="W306" s="27"/>
      <c r="X306" s="27"/>
      <c r="Y306" s="27"/>
    </row>
    <row r="307" spans="1:25" outlineLevel="1">
      <c r="A307" s="23" t="str">
        <f t="shared" ref="A307:B307" si="134">A306</f>
        <v>GERAL</v>
      </c>
      <c r="B307" s="23" t="str">
        <f t="shared" si="134"/>
        <v>11º PAV. - LAZER 02</v>
      </c>
      <c r="C307" s="29" t="s">
        <v>276</v>
      </c>
      <c r="D307" s="137" t="s">
        <v>273</v>
      </c>
      <c r="E307" s="20" t="s">
        <v>207</v>
      </c>
      <c r="F307" s="83"/>
      <c r="G307" s="83"/>
      <c r="H307" s="131">
        <v>65.8</v>
      </c>
      <c r="I307" s="24">
        <v>1</v>
      </c>
      <c r="J307" s="24">
        <v>0</v>
      </c>
      <c r="K307" s="24">
        <f t="shared" si="114"/>
        <v>65.8</v>
      </c>
      <c r="L307" s="24" t="s">
        <v>14</v>
      </c>
      <c r="M307" s="25" t="e">
        <f>_xlfn.XLOOKUP($E300,PREÇO!$C$6:$C$89,PREÇO!$E$6:$E$89)</f>
        <v>#N/A</v>
      </c>
      <c r="N307" s="59" t="e">
        <f>IF(SUM(H307:M307)=0,SUMIFS($N308:$N$759,$B308:$B$759,$B307,$A308:$A$759,$A307),K307*M307)</f>
        <v>#N/A</v>
      </c>
      <c r="P307"/>
      <c r="Q307"/>
      <c r="R307" s="27"/>
      <c r="S307" s="27"/>
      <c r="T307" s="27"/>
      <c r="U307" s="27"/>
      <c r="V307" s="27"/>
      <c r="W307" s="27"/>
      <c r="X307" s="27"/>
      <c r="Y307" s="27"/>
    </row>
    <row r="308" spans="1:25" outlineLevel="1">
      <c r="A308" s="23" t="str">
        <f t="shared" ref="A308:B308" si="135">A307</f>
        <v>GERAL</v>
      </c>
      <c r="B308" s="23" t="str">
        <f t="shared" si="135"/>
        <v>11º PAV. - LAZER 02</v>
      </c>
      <c r="C308" s="29" t="s">
        <v>276</v>
      </c>
      <c r="D308" s="137" t="s">
        <v>273</v>
      </c>
      <c r="E308" s="29" t="s">
        <v>208</v>
      </c>
      <c r="F308" s="83"/>
      <c r="G308" s="83"/>
      <c r="H308" s="131">
        <v>46.6</v>
      </c>
      <c r="I308" s="24">
        <v>1</v>
      </c>
      <c r="J308" s="24">
        <v>0</v>
      </c>
      <c r="K308" s="24">
        <f t="shared" si="114"/>
        <v>46.6</v>
      </c>
      <c r="L308" s="24" t="s">
        <v>14</v>
      </c>
      <c r="M308" s="25" t="e">
        <f>_xlfn.XLOOKUP($E308,PREÇO!$C$6:$C$89,PREÇO!$E$6:$E$89)</f>
        <v>#N/A</v>
      </c>
      <c r="N308" s="59" t="e">
        <f>IF(SUM(H308:M308)=0,SUMIFS($N309:$N$759,$B309:$B$759,$B308,$A309:$A$759,$A308),K308*M308)</f>
        <v>#N/A</v>
      </c>
      <c r="P308"/>
      <c r="Q308"/>
      <c r="R308" s="27"/>
      <c r="S308" s="27"/>
      <c r="T308" s="27"/>
      <c r="U308" s="27"/>
      <c r="V308" s="27"/>
      <c r="W308" s="27"/>
      <c r="X308" s="27"/>
      <c r="Y308" s="27"/>
    </row>
    <row r="309" spans="1:25" outlineLevel="1">
      <c r="A309" s="23" t="str">
        <f t="shared" ref="A309:B309" si="136">A308</f>
        <v>GERAL</v>
      </c>
      <c r="B309" s="23" t="str">
        <f t="shared" si="136"/>
        <v>11º PAV. - LAZER 02</v>
      </c>
      <c r="C309" s="29" t="s">
        <v>276</v>
      </c>
      <c r="D309" s="137" t="s">
        <v>273</v>
      </c>
      <c r="E309" s="20" t="s">
        <v>209</v>
      </c>
      <c r="F309" s="83"/>
      <c r="G309" s="83"/>
      <c r="H309" s="131">
        <v>37.200000000000003</v>
      </c>
      <c r="I309" s="24">
        <v>1</v>
      </c>
      <c r="J309" s="24">
        <v>0</v>
      </c>
      <c r="K309" s="24">
        <f t="shared" si="114"/>
        <v>37.200000000000003</v>
      </c>
      <c r="L309" s="24" t="s">
        <v>14</v>
      </c>
      <c r="M309" s="25" t="e">
        <f>_xlfn.XLOOKUP($E301,PREÇO!$C$6:$C$89,PREÇO!$E$6:$E$89)</f>
        <v>#N/A</v>
      </c>
      <c r="N309" s="59" t="e">
        <f>IF(SUM(H309:M309)=0,SUMIFS($N310:$N$759,$B310:$B$759,$B309,$A310:$A$759,$A309),K309*M309)</f>
        <v>#N/A</v>
      </c>
      <c r="P309"/>
      <c r="Q309"/>
      <c r="R309" s="27"/>
      <c r="S309" s="27"/>
      <c r="T309" s="27"/>
      <c r="U309" s="27"/>
      <c r="V309" s="27"/>
      <c r="W309" s="27"/>
      <c r="X309" s="27"/>
      <c r="Y309" s="27"/>
    </row>
    <row r="310" spans="1:25" outlineLevel="1">
      <c r="A310" s="23" t="str">
        <f t="shared" ref="A310:B310" si="137">A309</f>
        <v>GERAL</v>
      </c>
      <c r="B310" s="23" t="str">
        <f t="shared" si="137"/>
        <v>11º PAV. - LAZER 02</v>
      </c>
      <c r="C310" s="29" t="s">
        <v>276</v>
      </c>
      <c r="D310" s="137" t="s">
        <v>273</v>
      </c>
      <c r="E310" s="29" t="s">
        <v>210</v>
      </c>
      <c r="F310" s="83"/>
      <c r="G310" s="83"/>
      <c r="H310" s="131">
        <v>161.80000000000001</v>
      </c>
      <c r="I310" s="24">
        <v>1</v>
      </c>
      <c r="J310" s="24">
        <v>0</v>
      </c>
      <c r="K310" s="24">
        <f t="shared" si="114"/>
        <v>161.80000000000001</v>
      </c>
      <c r="L310" s="24" t="s">
        <v>14</v>
      </c>
      <c r="M310" s="25" t="e">
        <f>_xlfn.XLOOKUP($E310,PREÇO!$C$6:$C$89,PREÇO!$E$6:$E$89)</f>
        <v>#N/A</v>
      </c>
      <c r="N310" s="59" t="e">
        <f>IF(SUM(H310:M310)=0,SUMIFS($N311:$N$759,$B311:$B$759,$B310,$A311:$A$759,$A310),K310*M310)</f>
        <v>#N/A</v>
      </c>
      <c r="P310"/>
      <c r="Q310"/>
      <c r="R310" s="27"/>
      <c r="S310" s="27"/>
      <c r="T310" s="27"/>
      <c r="U310" s="27"/>
      <c r="V310" s="27"/>
      <c r="W310" s="27"/>
      <c r="X310" s="27"/>
      <c r="Y310" s="27"/>
    </row>
    <row r="311" spans="1:25" outlineLevel="1">
      <c r="A311" s="23" t="str">
        <f t="shared" ref="A311:B311" si="138">A310</f>
        <v>GERAL</v>
      </c>
      <c r="B311" s="23" t="str">
        <f t="shared" si="138"/>
        <v>11º PAV. - LAZER 02</v>
      </c>
      <c r="C311" s="29" t="s">
        <v>276</v>
      </c>
      <c r="D311" s="137" t="s">
        <v>273</v>
      </c>
      <c r="E311" s="29" t="s">
        <v>211</v>
      </c>
      <c r="F311" s="83"/>
      <c r="G311" s="83"/>
      <c r="H311" s="131">
        <v>60.2</v>
      </c>
      <c r="I311" s="24">
        <v>1</v>
      </c>
      <c r="J311" s="24">
        <v>0</v>
      </c>
      <c r="K311" s="24">
        <f t="shared" si="114"/>
        <v>60.2</v>
      </c>
      <c r="L311" s="24" t="s">
        <v>14</v>
      </c>
      <c r="M311" s="25" t="e">
        <f>_xlfn.XLOOKUP($E311,PREÇO!$C$6:$C$89,PREÇO!$E$6:$E$89)</f>
        <v>#N/A</v>
      </c>
      <c r="N311" s="59" t="e">
        <f>IF(SUM(H311:M311)=0,SUMIFS($N312:$N$759,$B312:$B$759,$B311,$A312:$A$759,$A311),K311*M311)</f>
        <v>#N/A</v>
      </c>
      <c r="P311"/>
      <c r="Q311"/>
      <c r="R311" s="27"/>
      <c r="S311" s="27"/>
      <c r="T311" s="27"/>
      <c r="U311" s="27"/>
      <c r="V311" s="27"/>
      <c r="W311" s="27"/>
      <c r="X311" s="27"/>
      <c r="Y311" s="27"/>
    </row>
    <row r="312" spans="1:25" outlineLevel="1">
      <c r="A312" s="23" t="str">
        <f t="shared" ref="A312:B312" si="139">A311</f>
        <v>GERAL</v>
      </c>
      <c r="B312" s="23" t="str">
        <f t="shared" si="139"/>
        <v>11º PAV. - LAZER 02</v>
      </c>
      <c r="C312" s="29" t="s">
        <v>276</v>
      </c>
      <c r="D312" s="137" t="s">
        <v>273</v>
      </c>
      <c r="E312" s="29" t="s">
        <v>212</v>
      </c>
      <c r="F312" s="83"/>
      <c r="G312" s="83"/>
      <c r="H312" s="131">
        <v>3.5</v>
      </c>
      <c r="I312" s="24">
        <v>1</v>
      </c>
      <c r="J312" s="24">
        <v>0</v>
      </c>
      <c r="K312" s="24">
        <f t="shared" si="114"/>
        <v>3.5</v>
      </c>
      <c r="L312" s="24" t="s">
        <v>14</v>
      </c>
      <c r="M312" s="25" t="e">
        <f>_xlfn.XLOOKUP($E312,PREÇO!$C$6:$C$89,PREÇO!$E$6:$E$89)</f>
        <v>#N/A</v>
      </c>
      <c r="N312" s="59" t="e">
        <f>IF(SUM(H312:M312)=0,SUMIFS($N313:$N$759,$B313:$B$759,$B312,$A313:$A$759,$A312),K312*M312)</f>
        <v>#N/A</v>
      </c>
      <c r="P312"/>
      <c r="Q312"/>
      <c r="R312" s="27"/>
      <c r="S312" s="27"/>
      <c r="T312" s="27"/>
      <c r="U312" s="27"/>
      <c r="V312" s="27"/>
      <c r="W312" s="27"/>
      <c r="X312" s="27"/>
      <c r="Y312" s="27"/>
    </row>
    <row r="313" spans="1:25" outlineLevel="1">
      <c r="A313" s="23" t="str">
        <f t="shared" ref="A313:B313" si="140">A312</f>
        <v>GERAL</v>
      </c>
      <c r="B313" s="23" t="str">
        <f t="shared" si="140"/>
        <v>11º PAV. - LAZER 02</v>
      </c>
      <c r="C313" s="29" t="s">
        <v>276</v>
      </c>
      <c r="D313" s="137" t="s">
        <v>273</v>
      </c>
      <c r="E313" s="29" t="s">
        <v>213</v>
      </c>
      <c r="F313" s="83"/>
      <c r="G313" s="83"/>
      <c r="H313" s="131">
        <v>46.4</v>
      </c>
      <c r="I313" s="24">
        <v>1</v>
      </c>
      <c r="J313" s="24">
        <v>0</v>
      </c>
      <c r="K313" s="24">
        <f t="shared" si="114"/>
        <v>46.4</v>
      </c>
      <c r="L313" s="24" t="s">
        <v>14</v>
      </c>
      <c r="M313" s="25" t="e">
        <f>_xlfn.XLOOKUP($E313,PREÇO!$C$6:$C$89,PREÇO!$E$6:$E$89)</f>
        <v>#N/A</v>
      </c>
      <c r="N313" s="59" t="e">
        <f>IF(SUM(H313:M313)=0,SUMIFS($N325:$N$759,$B325:$B$759,$B313,$A325:$A$759,$A313),K313*M313)</f>
        <v>#N/A</v>
      </c>
      <c r="P313"/>
      <c r="Q313"/>
      <c r="R313" s="27"/>
      <c r="S313" s="27"/>
      <c r="T313" s="27"/>
      <c r="U313" s="27"/>
      <c r="V313" s="27"/>
      <c r="W313" s="27"/>
      <c r="X313" s="27"/>
      <c r="Y313" s="27"/>
    </row>
    <row r="314" spans="1:25" outlineLevel="1">
      <c r="A314" s="23" t="str">
        <f t="shared" ref="A314:B314" si="141">A313</f>
        <v>GERAL</v>
      </c>
      <c r="B314" s="23" t="str">
        <f t="shared" si="141"/>
        <v>11º PAV. - LAZER 02</v>
      </c>
      <c r="C314" s="29" t="s">
        <v>276</v>
      </c>
      <c r="D314" s="137" t="s">
        <v>273</v>
      </c>
      <c r="E314" s="29" t="s">
        <v>214</v>
      </c>
      <c r="F314" s="83"/>
      <c r="G314" s="83"/>
      <c r="H314" s="131">
        <v>3.7</v>
      </c>
      <c r="I314" s="24">
        <v>1</v>
      </c>
      <c r="J314" s="24">
        <v>0</v>
      </c>
      <c r="K314" s="24">
        <f t="shared" ref="K314:K318" si="142">(H314+J314*H314)*I314</f>
        <v>3.7</v>
      </c>
      <c r="L314" s="24" t="s">
        <v>14</v>
      </c>
      <c r="M314" s="25" t="e">
        <f>_xlfn.XLOOKUP($E314,PREÇO!$C$6:$C$89,PREÇO!$E$6:$E$89)</f>
        <v>#N/A</v>
      </c>
      <c r="N314" s="59" t="e">
        <f>IF(SUM(H314:M314)=0,SUMIFS($N325:$N$759,$B325:$B$759,$B314,$A325:$A$759,$A314),K314*M314)</f>
        <v>#N/A</v>
      </c>
      <c r="P314"/>
      <c r="Q314"/>
      <c r="R314" s="27"/>
      <c r="S314" s="27"/>
      <c r="T314" s="27"/>
      <c r="U314" s="27"/>
      <c r="V314" s="27"/>
      <c r="W314" s="27"/>
      <c r="X314" s="27"/>
      <c r="Y314" s="27"/>
    </row>
    <row r="315" spans="1:25" outlineLevel="1">
      <c r="A315" s="23" t="str">
        <f t="shared" ref="A315:B315" si="143">A314</f>
        <v>GERAL</v>
      </c>
      <c r="B315" s="23" t="str">
        <f t="shared" si="143"/>
        <v>11º PAV. - LAZER 02</v>
      </c>
      <c r="C315" s="29" t="s">
        <v>276</v>
      </c>
      <c r="D315" s="137" t="s">
        <v>273</v>
      </c>
      <c r="E315" s="29" t="s">
        <v>214</v>
      </c>
      <c r="F315" s="83"/>
      <c r="G315" s="83"/>
      <c r="H315" s="131">
        <v>38.6</v>
      </c>
      <c r="I315" s="24">
        <v>1</v>
      </c>
      <c r="J315" s="24">
        <v>0</v>
      </c>
      <c r="K315" s="24">
        <f t="shared" si="142"/>
        <v>38.6</v>
      </c>
      <c r="L315" s="24" t="s">
        <v>14</v>
      </c>
      <c r="M315" s="25" t="e">
        <f>_xlfn.XLOOKUP($E315,PREÇO!$C$6:$C$89,PREÇO!$E$6:$E$89)</f>
        <v>#N/A</v>
      </c>
      <c r="N315" s="59" t="e">
        <f>IF(SUM(H315:M315)=0,SUMIFS($N325:$N$759,$B325:$B$759,$B315,$A325:$A$759,$A315),K315*M315)</f>
        <v>#N/A</v>
      </c>
      <c r="P315"/>
      <c r="Q315"/>
      <c r="R315" s="27"/>
      <c r="S315" s="27"/>
      <c r="T315" s="27"/>
      <c r="U315" s="27"/>
      <c r="V315" s="27"/>
      <c r="W315" s="27"/>
      <c r="X315" s="27"/>
      <c r="Y315" s="27"/>
    </row>
    <row r="316" spans="1:25" outlineLevel="1">
      <c r="A316" s="23" t="str">
        <f t="shared" ref="A316:B316" si="144">A315</f>
        <v>GERAL</v>
      </c>
      <c r="B316" s="23" t="str">
        <f t="shared" si="144"/>
        <v>11º PAV. - LAZER 02</v>
      </c>
      <c r="C316" s="29" t="s">
        <v>276</v>
      </c>
      <c r="D316" s="137" t="s">
        <v>273</v>
      </c>
      <c r="E316" s="29" t="s">
        <v>215</v>
      </c>
      <c r="F316" s="83"/>
      <c r="G316" s="83"/>
      <c r="H316" s="131">
        <v>53.6</v>
      </c>
      <c r="I316" s="24">
        <v>1</v>
      </c>
      <c r="J316" s="24">
        <v>0</v>
      </c>
      <c r="K316" s="24">
        <f t="shared" si="142"/>
        <v>53.6</v>
      </c>
      <c r="L316" s="24" t="s">
        <v>14</v>
      </c>
      <c r="M316" s="25" t="e">
        <f>_xlfn.XLOOKUP($E316,PREÇO!$C$6:$C$89,PREÇO!$E$6:$E$89)</f>
        <v>#N/A</v>
      </c>
      <c r="N316" s="59" t="e">
        <f>IF(SUM(H316:M316)=0,SUMIFS($N325:$N$759,$B325:$B$759,$B316,$A325:$A$759,$A316),K316*M316)</f>
        <v>#N/A</v>
      </c>
      <c r="P316"/>
      <c r="Q316"/>
      <c r="R316" s="27"/>
      <c r="S316" s="27"/>
      <c r="T316" s="27"/>
      <c r="U316" s="27"/>
      <c r="V316" s="27"/>
      <c r="W316" s="27"/>
      <c r="X316" s="27"/>
      <c r="Y316" s="27"/>
    </row>
    <row r="317" spans="1:25" outlineLevel="1">
      <c r="A317" s="23" t="str">
        <f t="shared" ref="A317:B317" si="145">A316</f>
        <v>GERAL</v>
      </c>
      <c r="B317" s="23" t="str">
        <f t="shared" si="145"/>
        <v>11º PAV. - LAZER 02</v>
      </c>
      <c r="C317" s="29" t="s">
        <v>276</v>
      </c>
      <c r="D317" s="137" t="s">
        <v>273</v>
      </c>
      <c r="E317" s="29" t="s">
        <v>216</v>
      </c>
      <c r="F317" s="83"/>
      <c r="G317" s="83"/>
      <c r="H317" s="131">
        <v>48.7</v>
      </c>
      <c r="I317" s="24">
        <v>1</v>
      </c>
      <c r="J317" s="24">
        <v>0</v>
      </c>
      <c r="K317" s="24">
        <f t="shared" si="142"/>
        <v>48.7</v>
      </c>
      <c r="L317" s="24" t="s">
        <v>14</v>
      </c>
      <c r="M317" s="25" t="e">
        <f>_xlfn.XLOOKUP($E317,PREÇO!$C$6:$C$89,PREÇO!$E$6:$E$89)</f>
        <v>#N/A</v>
      </c>
      <c r="N317" s="59" t="e">
        <f>IF(SUM(H317:M317)=0,SUMIFS($N325:$N$759,$B325:$B$759,$B317,$A325:$A$759,$A317),K317*M317)</f>
        <v>#N/A</v>
      </c>
      <c r="P317"/>
      <c r="Q317"/>
      <c r="R317" s="27"/>
      <c r="S317" s="27"/>
      <c r="T317" s="27"/>
      <c r="U317" s="27"/>
      <c r="V317" s="27"/>
      <c r="W317" s="27"/>
      <c r="X317" s="27"/>
      <c r="Y317" s="27"/>
    </row>
    <row r="318" spans="1:25" ht="15.75" outlineLevel="1" thickBot="1">
      <c r="A318" s="23" t="str">
        <f t="shared" ref="A318:B318" si="146">A317</f>
        <v>GERAL</v>
      </c>
      <c r="B318" s="23" t="str">
        <f t="shared" si="146"/>
        <v>11º PAV. - LAZER 02</v>
      </c>
      <c r="C318" s="29" t="s">
        <v>276</v>
      </c>
      <c r="D318" s="137" t="s">
        <v>273</v>
      </c>
      <c r="E318" s="29" t="s">
        <v>217</v>
      </c>
      <c r="F318" s="83"/>
      <c r="G318" s="83"/>
      <c r="H318" s="131">
        <v>10.5</v>
      </c>
      <c r="I318" s="24">
        <v>1</v>
      </c>
      <c r="J318" s="24">
        <v>0</v>
      </c>
      <c r="K318" s="24">
        <f t="shared" si="142"/>
        <v>10.5</v>
      </c>
      <c r="L318" s="24" t="s">
        <v>14</v>
      </c>
      <c r="M318" s="25" t="e">
        <f>_xlfn.XLOOKUP($E318,PREÇO!$C$6:$C$89,PREÇO!$E$6:$E$89)</f>
        <v>#N/A</v>
      </c>
      <c r="N318" s="59" t="e">
        <f>IF(SUM(H318:M318)=0,SUMIFS($N325:$N$759,$B325:$B$759,$B318,$A325:$A$759,$A318),K318*M318)</f>
        <v>#N/A</v>
      </c>
      <c r="P318"/>
      <c r="Q318"/>
      <c r="R318" s="27"/>
      <c r="S318" s="27"/>
      <c r="T318" s="27"/>
      <c r="U318" s="27"/>
      <c r="V318" s="27"/>
      <c r="W318" s="27"/>
      <c r="X318" s="27"/>
      <c r="Y318" s="27"/>
    </row>
    <row r="319" spans="1:25" ht="15.75" thickTop="1">
      <c r="A319" s="63" t="s">
        <v>15</v>
      </c>
      <c r="B319" s="158" t="s">
        <v>289</v>
      </c>
      <c r="C319" s="42"/>
      <c r="D319" s="43"/>
      <c r="E319" s="43"/>
      <c r="F319" s="82"/>
      <c r="G319" s="82"/>
      <c r="H319" s="132"/>
      <c r="I319" s="44"/>
      <c r="J319" s="44"/>
      <c r="K319" s="44"/>
      <c r="L319" s="44"/>
      <c r="M319" s="46"/>
      <c r="N319" s="47" t="e">
        <f>IF(SUM(H319:M319)=0,SUMIFS($N320:$N$759,$B320:$B$759,$B319,$A320:$A$759,$A319),K319*M319)</f>
        <v>#N/A</v>
      </c>
      <c r="P319"/>
      <c r="Q319"/>
      <c r="R319" s="27"/>
      <c r="S319" s="27"/>
      <c r="T319" s="27"/>
      <c r="U319" s="27"/>
      <c r="V319" s="27"/>
      <c r="W319" s="27"/>
      <c r="X319" s="27"/>
      <c r="Y319" s="27"/>
    </row>
    <row r="320" spans="1:25" outlineLevel="1">
      <c r="A320" s="23" t="str">
        <f>A319</f>
        <v>GERAL</v>
      </c>
      <c r="B320" s="23" t="str">
        <f>B319</f>
        <v xml:space="preserve">11º PAV AT </v>
      </c>
      <c r="C320" s="157" t="s">
        <v>282</v>
      </c>
      <c r="D320" s="157" t="s">
        <v>284</v>
      </c>
      <c r="E320" s="157" t="s">
        <v>286</v>
      </c>
      <c r="F320" s="139" t="s">
        <v>56</v>
      </c>
      <c r="G320" s="139" t="s">
        <v>288</v>
      </c>
      <c r="H320" s="131">
        <v>1</v>
      </c>
      <c r="I320" s="24">
        <v>1</v>
      </c>
      <c r="J320" s="24">
        <v>0</v>
      </c>
      <c r="K320" s="24">
        <f t="shared" ref="K320:K324" si="147">(H320+J320*H320)*I320</f>
        <v>1</v>
      </c>
      <c r="L320" s="24" t="s">
        <v>154</v>
      </c>
      <c r="M320" s="25" t="e">
        <f>_xlfn.XLOOKUP($E320,PREÇO!$C$6:$C$89,PREÇO!$E$6:$E$89)</f>
        <v>#N/A</v>
      </c>
      <c r="N320" s="59" t="e">
        <f>IF(SUM(H320:M320)=0,SUMIFS($N321:$N$759,$B321:$B$759,$B320,$A321:$A$759,$A320),K320*M320)</f>
        <v>#N/A</v>
      </c>
      <c r="P320"/>
      <c r="Q320"/>
      <c r="R320" s="27"/>
      <c r="S320" s="27"/>
      <c r="T320" s="27"/>
      <c r="U320" s="27"/>
      <c r="V320" s="27"/>
      <c r="W320" s="27"/>
      <c r="X320" s="27"/>
      <c r="Y320" s="27"/>
    </row>
    <row r="321" spans="1:25" outlineLevel="1">
      <c r="A321" s="23" t="str">
        <f t="shared" ref="A321:B324" si="148">A320</f>
        <v>GERAL</v>
      </c>
      <c r="B321" s="23" t="str">
        <f>B320</f>
        <v xml:space="preserve">11º PAV AT </v>
      </c>
      <c r="C321" s="157" t="s">
        <v>281</v>
      </c>
      <c r="D321" s="157" t="s">
        <v>284</v>
      </c>
      <c r="E321" s="157" t="s">
        <v>285</v>
      </c>
      <c r="F321" s="83" t="s">
        <v>55</v>
      </c>
      <c r="G321" s="83" t="s">
        <v>59</v>
      </c>
      <c r="H321" s="131">
        <v>2</v>
      </c>
      <c r="I321" s="24">
        <v>1</v>
      </c>
      <c r="J321" s="24">
        <v>0</v>
      </c>
      <c r="K321" s="24">
        <f t="shared" si="147"/>
        <v>2</v>
      </c>
      <c r="L321" s="24" t="s">
        <v>154</v>
      </c>
      <c r="M321" s="25" t="e">
        <f>_xlfn.XLOOKUP(#REF!,PREÇO!$C$6:$C$89,PREÇO!$E$6:$E$89)</f>
        <v>#REF!</v>
      </c>
      <c r="N321" s="59" t="e">
        <f>IF(SUM(H321:M321)=0,SUMIFS($N322:$N$759,$B322:$B$759,$B321,$A322:$A$759,$A321),K321*M321)</f>
        <v>#REF!</v>
      </c>
      <c r="P321"/>
      <c r="Q321"/>
      <c r="R321" s="27"/>
      <c r="S321" s="27"/>
      <c r="T321" s="27"/>
      <c r="U321" s="27"/>
      <c r="V321" s="27"/>
      <c r="W321" s="27"/>
      <c r="X321" s="27"/>
      <c r="Y321" s="27"/>
    </row>
    <row r="322" spans="1:25" outlineLevel="1">
      <c r="A322" s="23" t="str">
        <f t="shared" si="148"/>
        <v>GERAL</v>
      </c>
      <c r="B322" s="23" t="str">
        <f>B321</f>
        <v xml:space="preserve">11º PAV AT </v>
      </c>
      <c r="C322" s="157" t="s">
        <v>281</v>
      </c>
      <c r="D322" s="157" t="s">
        <v>284</v>
      </c>
      <c r="E322" s="157" t="s">
        <v>114</v>
      </c>
      <c r="F322" s="83" t="s">
        <v>55</v>
      </c>
      <c r="G322" s="83" t="s">
        <v>129</v>
      </c>
      <c r="H322" s="131">
        <v>2</v>
      </c>
      <c r="I322" s="24">
        <v>1</v>
      </c>
      <c r="J322" s="24">
        <v>0</v>
      </c>
      <c r="K322" s="24">
        <f t="shared" si="147"/>
        <v>2</v>
      </c>
      <c r="L322" s="24" t="s">
        <v>154</v>
      </c>
      <c r="M322" s="25" t="e">
        <f>_xlfn.XLOOKUP($E321,PREÇO!$C$6:$C$89,PREÇO!$E$6:$E$89)</f>
        <v>#N/A</v>
      </c>
      <c r="N322" s="59" t="e">
        <f>IF(SUM(H322:M322)=0,SUMIFS($N323:$N$759,$B323:$B$759,$B322,$A323:$A$759,$A322),K322*M322)</f>
        <v>#N/A</v>
      </c>
      <c r="P322"/>
      <c r="Q322"/>
      <c r="R322" s="27"/>
      <c r="S322" s="27"/>
      <c r="T322" s="27"/>
      <c r="U322" s="27"/>
      <c r="V322" s="27"/>
      <c r="W322" s="27"/>
      <c r="X322" s="27"/>
      <c r="Y322" s="27"/>
    </row>
    <row r="323" spans="1:25" outlineLevel="1">
      <c r="A323" s="23" t="str">
        <f t="shared" si="148"/>
        <v>GERAL</v>
      </c>
      <c r="B323" s="23" t="str">
        <f t="shared" si="148"/>
        <v xml:space="preserve">11º PAV AT </v>
      </c>
      <c r="C323" s="157" t="s">
        <v>281</v>
      </c>
      <c r="D323" s="157" t="s">
        <v>284</v>
      </c>
      <c r="E323" s="157" t="s">
        <v>63</v>
      </c>
      <c r="F323" s="83" t="s">
        <v>64</v>
      </c>
      <c r="G323" s="83" t="s">
        <v>67</v>
      </c>
      <c r="H323" s="131">
        <v>2</v>
      </c>
      <c r="I323" s="24">
        <v>1</v>
      </c>
      <c r="J323" s="24">
        <v>0</v>
      </c>
      <c r="K323" s="24">
        <f t="shared" si="147"/>
        <v>2</v>
      </c>
      <c r="L323" s="24" t="s">
        <v>154</v>
      </c>
      <c r="M323" s="25" t="e">
        <f>_xlfn.XLOOKUP(#REF!,PREÇO!$C$6:$C$89,PREÇO!$E$6:$E$89)</f>
        <v>#REF!</v>
      </c>
      <c r="N323" s="59" t="e">
        <f>IF(SUM(H323:M323)=0,SUMIFS($N324:$N$759,$B324:$B$759,$B323,$A324:$A$759,$A323),K323*M323)</f>
        <v>#REF!</v>
      </c>
      <c r="P323"/>
      <c r="Q323"/>
      <c r="R323" s="27"/>
      <c r="S323" s="27"/>
      <c r="T323" s="27"/>
      <c r="U323" s="27"/>
      <c r="V323" s="27"/>
      <c r="W323" s="27"/>
      <c r="X323" s="27"/>
      <c r="Y323" s="27"/>
    </row>
    <row r="324" spans="1:25" ht="15.75" outlineLevel="1" thickBot="1">
      <c r="A324" s="23" t="str">
        <f t="shared" si="148"/>
        <v>GERAL</v>
      </c>
      <c r="B324" s="23" t="str">
        <f t="shared" si="148"/>
        <v xml:space="preserve">11º PAV AT </v>
      </c>
      <c r="C324" s="157" t="s">
        <v>281</v>
      </c>
      <c r="D324" s="157" t="s">
        <v>284</v>
      </c>
      <c r="E324" s="157" t="s">
        <v>287</v>
      </c>
      <c r="F324" s="83"/>
      <c r="G324" s="83"/>
      <c r="H324" s="131">
        <v>1</v>
      </c>
      <c r="I324" s="24">
        <v>1</v>
      </c>
      <c r="J324" s="24">
        <v>0</v>
      </c>
      <c r="K324" s="24">
        <f t="shared" si="147"/>
        <v>1</v>
      </c>
      <c r="L324" s="24" t="s">
        <v>154</v>
      </c>
      <c r="M324" s="25" t="e">
        <f>_xlfn.XLOOKUP($E322,PREÇO!$C$6:$C$89,PREÇO!$E$6:$E$89)</f>
        <v>#N/A</v>
      </c>
      <c r="N324" s="59" t="e">
        <f>IF(SUM(H324:M324)=0,SUMIFS($N325:$N$759,$B325:$B$759,$B324,$A325:$A$759,$A324),K324*M324)</f>
        <v>#N/A</v>
      </c>
      <c r="P324"/>
      <c r="Q324"/>
      <c r="R324" s="27"/>
      <c r="S324" s="27"/>
      <c r="T324" s="27"/>
      <c r="U324" s="27"/>
      <c r="V324" s="27"/>
      <c r="W324" s="27"/>
      <c r="X324" s="27"/>
      <c r="Y324" s="27"/>
    </row>
    <row r="325" spans="1:25" ht="15.75" thickTop="1">
      <c r="A325" s="63" t="s">
        <v>15</v>
      </c>
      <c r="B325" s="138" t="s">
        <v>49</v>
      </c>
      <c r="C325" s="42"/>
      <c r="D325" s="43"/>
      <c r="E325" s="43"/>
      <c r="F325" s="82"/>
      <c r="G325" s="82"/>
      <c r="H325" s="132"/>
      <c r="I325" s="44"/>
      <c r="J325" s="44"/>
      <c r="K325" s="44"/>
      <c r="L325" s="44"/>
      <c r="M325" s="46"/>
      <c r="N325" s="47" t="e">
        <f>IF(SUM(H325:M325)=0,SUMIFS($N326:$N$759,$B326:$B$759,$B325,$A326:$A$759,$A325),K325*M325)</f>
        <v>#N/A</v>
      </c>
      <c r="P325"/>
      <c r="Q325"/>
      <c r="R325" s="27"/>
      <c r="S325" s="27"/>
      <c r="T325" s="27"/>
      <c r="U325" s="27"/>
      <c r="V325" s="27"/>
      <c r="W325" s="27"/>
      <c r="X325" s="27"/>
      <c r="Y325" s="27"/>
    </row>
    <row r="326" spans="1:25" ht="30" outlineLevel="1">
      <c r="A326" s="23" t="str">
        <f>A325</f>
        <v>GERAL</v>
      </c>
      <c r="B326" s="23" t="str">
        <f>B325</f>
        <v>TIPO 01</v>
      </c>
      <c r="C326" s="157" t="s">
        <v>282</v>
      </c>
      <c r="D326" s="137" t="s">
        <v>241</v>
      </c>
      <c r="E326" s="137" t="s">
        <v>51</v>
      </c>
      <c r="F326" s="139" t="s">
        <v>56</v>
      </c>
      <c r="G326" s="139" t="s">
        <v>231</v>
      </c>
      <c r="H326" s="131">
        <v>14</v>
      </c>
      <c r="I326" s="24">
        <v>6</v>
      </c>
      <c r="J326" s="24">
        <v>0</v>
      </c>
      <c r="K326" s="24">
        <f t="shared" ref="K326" si="149">(H326+J326*H326)*I326</f>
        <v>84</v>
      </c>
      <c r="L326" s="24" t="s">
        <v>154</v>
      </c>
      <c r="M326" s="25" t="e">
        <f>_xlfn.XLOOKUP($E326,PREÇO!$C$6:$C$89,PREÇO!$E$6:$E$89)</f>
        <v>#N/A</v>
      </c>
      <c r="N326" s="59" t="e">
        <f>IF(SUM(H326:M326)=0,SUMIFS($N327:$N$759,$B327:$B$759,$B326,$A327:$A$759,$A326),K326*M326)</f>
        <v>#N/A</v>
      </c>
      <c r="P326"/>
      <c r="Q326"/>
      <c r="R326" s="27"/>
      <c r="S326" s="27"/>
      <c r="T326" s="27"/>
      <c r="U326" s="27"/>
      <c r="V326" s="27"/>
      <c r="W326" s="27"/>
      <c r="X326" s="27"/>
      <c r="Y326" s="27"/>
    </row>
    <row r="327" spans="1:25" outlineLevel="1">
      <c r="A327" s="23" t="str">
        <f t="shared" ref="A327:A330" si="150">A326</f>
        <v>GERAL</v>
      </c>
      <c r="B327" s="23" t="str">
        <f t="shared" ref="B327:B330" si="151">B326</f>
        <v>TIPO 01</v>
      </c>
      <c r="C327" s="157" t="s">
        <v>281</v>
      </c>
      <c r="D327" s="137" t="s">
        <v>241</v>
      </c>
      <c r="E327" s="137" t="s">
        <v>223</v>
      </c>
      <c r="F327" s="83" t="s">
        <v>55</v>
      </c>
      <c r="G327" s="83" t="s">
        <v>227</v>
      </c>
      <c r="H327" s="131">
        <v>2</v>
      </c>
      <c r="I327" s="24">
        <v>6</v>
      </c>
      <c r="J327" s="24">
        <v>0</v>
      </c>
      <c r="K327" s="24">
        <f t="shared" ref="K327:K332" si="152">(H327+J327*H327)*I327</f>
        <v>12</v>
      </c>
      <c r="L327" s="24" t="s">
        <v>154</v>
      </c>
      <c r="M327" s="25" t="e">
        <f>_xlfn.XLOOKUP(#REF!,PREÇO!$C$6:$C$89,PREÇO!$E$6:$E$89)</f>
        <v>#REF!</v>
      </c>
      <c r="N327" s="59" t="e">
        <f>IF(SUM(H327:M327)=0,SUMIFS($N328:$N$759,$B328:$B$759,$B327,$A328:$A$759,$A327),K327*M327)</f>
        <v>#REF!</v>
      </c>
      <c r="P327"/>
      <c r="Q327"/>
      <c r="R327" s="27"/>
      <c r="S327" s="27"/>
      <c r="T327" s="27"/>
      <c r="U327" s="27"/>
      <c r="V327" s="27"/>
      <c r="W327" s="27"/>
      <c r="X327" s="27"/>
      <c r="Y327" s="27"/>
    </row>
    <row r="328" spans="1:25" outlineLevel="1">
      <c r="A328" s="23" t="str">
        <f t="shared" si="150"/>
        <v>GERAL</v>
      </c>
      <c r="B328" s="23" t="str">
        <f t="shared" si="151"/>
        <v>TIPO 01</v>
      </c>
      <c r="C328" s="157" t="s">
        <v>281</v>
      </c>
      <c r="D328" s="137" t="s">
        <v>241</v>
      </c>
      <c r="E328" s="137" t="s">
        <v>224</v>
      </c>
      <c r="F328" s="83" t="s">
        <v>55</v>
      </c>
      <c r="G328" s="83" t="s">
        <v>228</v>
      </c>
      <c r="H328" s="131">
        <v>8</v>
      </c>
      <c r="I328" s="24">
        <v>6</v>
      </c>
      <c r="J328" s="24">
        <v>0</v>
      </c>
      <c r="K328" s="24">
        <f t="shared" si="152"/>
        <v>48</v>
      </c>
      <c r="L328" s="24" t="s">
        <v>154</v>
      </c>
      <c r="M328" s="25" t="e">
        <f>_xlfn.XLOOKUP($E327,PREÇO!$C$6:$C$89,PREÇO!$E$6:$E$89)</f>
        <v>#N/A</v>
      </c>
      <c r="N328" s="59" t="e">
        <f>IF(SUM(H328:M328)=0,SUMIFS($N329:$N$759,$B329:$B$759,$B328,$A329:$A$759,$A328),K328*M328)</f>
        <v>#N/A</v>
      </c>
      <c r="P328"/>
      <c r="Q328"/>
      <c r="R328" s="27"/>
      <c r="S328" s="27"/>
      <c r="T328" s="27"/>
      <c r="U328" s="27"/>
      <c r="V328" s="27"/>
      <c r="W328" s="27"/>
      <c r="X328" s="27"/>
      <c r="Y328" s="27"/>
    </row>
    <row r="329" spans="1:25" outlineLevel="1">
      <c r="A329" s="23" t="str">
        <f t="shared" si="150"/>
        <v>GERAL</v>
      </c>
      <c r="B329" s="23" t="str">
        <f t="shared" si="151"/>
        <v>TIPO 01</v>
      </c>
      <c r="C329" s="157" t="s">
        <v>281</v>
      </c>
      <c r="D329" s="137" t="s">
        <v>241</v>
      </c>
      <c r="E329" s="137" t="s">
        <v>225</v>
      </c>
      <c r="F329" s="83" t="s">
        <v>55</v>
      </c>
      <c r="G329" s="83" t="s">
        <v>229</v>
      </c>
      <c r="H329" s="131">
        <v>12</v>
      </c>
      <c r="I329" s="24">
        <v>6</v>
      </c>
      <c r="J329" s="24">
        <v>0</v>
      </c>
      <c r="K329" s="24">
        <f t="shared" si="152"/>
        <v>72</v>
      </c>
      <c r="L329" s="24" t="s">
        <v>154</v>
      </c>
      <c r="M329" s="25" t="e">
        <f>_xlfn.XLOOKUP(#REF!,PREÇO!$C$6:$C$89,PREÇO!$E$6:$E$89)</f>
        <v>#REF!</v>
      </c>
      <c r="N329" s="59" t="e">
        <f>IF(SUM(H329:M329)=0,SUMIFS($N330:$N$759,$B330:$B$759,$B329,$A330:$A$759,$A329),K329*M329)</f>
        <v>#REF!</v>
      </c>
      <c r="P329"/>
      <c r="Q329"/>
      <c r="R329" s="27"/>
      <c r="S329" s="27"/>
      <c r="T329" s="27"/>
      <c r="U329" s="27"/>
      <c r="V329" s="27"/>
      <c r="W329" s="27"/>
      <c r="X329" s="27"/>
      <c r="Y329" s="27"/>
    </row>
    <row r="330" spans="1:25" ht="15.75" outlineLevel="1" thickBot="1">
      <c r="A330" s="23" t="str">
        <f t="shared" si="150"/>
        <v>GERAL</v>
      </c>
      <c r="B330" s="23" t="str">
        <f t="shared" si="151"/>
        <v>TIPO 01</v>
      </c>
      <c r="C330" s="157" t="s">
        <v>281</v>
      </c>
      <c r="D330" s="137" t="s">
        <v>241</v>
      </c>
      <c r="E330" s="137" t="s">
        <v>226</v>
      </c>
      <c r="F330" s="83" t="s">
        <v>55</v>
      </c>
      <c r="G330" s="83" t="s">
        <v>230</v>
      </c>
      <c r="H330" s="131">
        <v>2</v>
      </c>
      <c r="I330" s="24">
        <v>6</v>
      </c>
      <c r="J330" s="24">
        <v>0</v>
      </c>
      <c r="K330" s="24">
        <f t="shared" si="152"/>
        <v>12</v>
      </c>
      <c r="L330" s="24" t="s">
        <v>154</v>
      </c>
      <c r="M330" s="25" t="e">
        <f>_xlfn.XLOOKUP($E328,PREÇO!$C$6:$C$89,PREÇO!$E$6:$E$89)</f>
        <v>#N/A</v>
      </c>
      <c r="N330" s="59" t="e">
        <f>IF(SUM(H330:M330)=0,SUMIFS($N331:$N$759,$B331:$B$759,$B330,$A331:$A$759,$A330),K330*M330)</f>
        <v>#N/A</v>
      </c>
      <c r="P330"/>
      <c r="Q330"/>
      <c r="R330" s="27"/>
      <c r="S330" s="27"/>
      <c r="T330" s="27"/>
      <c r="U330" s="27"/>
      <c r="V330" s="27"/>
      <c r="W330" s="27"/>
      <c r="X330" s="27"/>
      <c r="Y330" s="27"/>
    </row>
    <row r="331" spans="1:25" ht="15.75" thickTop="1">
      <c r="A331" s="138" t="s">
        <v>15</v>
      </c>
      <c r="B331" s="138" t="s">
        <v>275</v>
      </c>
      <c r="C331" s="42"/>
      <c r="D331" s="43"/>
      <c r="E331" s="43"/>
      <c r="F331" s="82"/>
      <c r="G331" s="82"/>
      <c r="H331" s="132"/>
      <c r="I331" s="44"/>
      <c r="J331" s="44"/>
      <c r="K331" s="44"/>
      <c r="L331" s="44"/>
      <c r="M331" s="46"/>
      <c r="N331" s="47" t="e">
        <f>IF(SUM(H331:M331)=0,SUMIFS($N332:$N$759,$B332:$B$759,$B331,$A332:$A$759,$A331),K331*M331)</f>
        <v>#N/A</v>
      </c>
      <c r="P331"/>
      <c r="Q331"/>
      <c r="R331" s="27"/>
      <c r="S331" s="27"/>
      <c r="T331" s="27"/>
      <c r="U331" s="27"/>
      <c r="V331" s="27"/>
      <c r="W331" s="27"/>
      <c r="X331" s="27"/>
      <c r="Y331" s="27"/>
    </row>
    <row r="332" spans="1:25" ht="16.5" customHeight="1" outlineLevel="1">
      <c r="A332" s="23" t="str">
        <f>A331</f>
        <v>GERAL</v>
      </c>
      <c r="B332" s="23" t="str">
        <f>B331</f>
        <v>19º PAV. - TIPO 02</v>
      </c>
      <c r="C332" s="157" t="s">
        <v>282</v>
      </c>
      <c r="D332" s="137" t="s">
        <v>242</v>
      </c>
      <c r="E332" s="137" t="s">
        <v>51</v>
      </c>
      <c r="F332" s="83" t="s">
        <v>56</v>
      </c>
      <c r="G332" s="139" t="s">
        <v>231</v>
      </c>
      <c r="H332" s="131">
        <v>14</v>
      </c>
      <c r="I332" s="24">
        <v>3</v>
      </c>
      <c r="J332" s="24">
        <v>0</v>
      </c>
      <c r="K332" s="24">
        <f t="shared" si="152"/>
        <v>42</v>
      </c>
      <c r="L332" s="24" t="s">
        <v>154</v>
      </c>
      <c r="M332" s="25" t="e">
        <f>_xlfn.XLOOKUP($E332,PREÇO!$C$6:$C$89,PREÇO!$E$6:$E$89)</f>
        <v>#N/A</v>
      </c>
      <c r="N332" s="59" t="e">
        <f>IF(SUM(H332:M332)=0,SUMIFS($N333:$N$759,$B333:$B$759,$B332,$A333:$A$759,$A332),K332*M332)</f>
        <v>#N/A</v>
      </c>
      <c r="P332"/>
      <c r="Q332"/>
      <c r="R332" s="27"/>
      <c r="S332" s="27"/>
      <c r="T332" s="27"/>
      <c r="U332" s="27"/>
      <c r="V332" s="27"/>
      <c r="W332" s="27"/>
      <c r="X332" s="27"/>
      <c r="Y332" s="27"/>
    </row>
    <row r="333" spans="1:25" outlineLevel="1">
      <c r="A333" s="23" t="str">
        <f t="shared" ref="A333:A337" si="153">A332</f>
        <v>GERAL</v>
      </c>
      <c r="B333" s="23" t="str">
        <f t="shared" ref="B333:B337" si="154">B332</f>
        <v>19º PAV. - TIPO 02</v>
      </c>
      <c r="C333" s="157" t="s">
        <v>281</v>
      </c>
      <c r="D333" s="137" t="s">
        <v>242</v>
      </c>
      <c r="E333" s="137" t="s">
        <v>232</v>
      </c>
      <c r="F333" s="83" t="s">
        <v>55</v>
      </c>
      <c r="G333" s="83" t="s">
        <v>234</v>
      </c>
      <c r="H333" s="131">
        <v>2</v>
      </c>
      <c r="I333" s="24">
        <v>3</v>
      </c>
      <c r="J333" s="24">
        <v>0</v>
      </c>
      <c r="K333" s="24">
        <f t="shared" ref="K333:K337" si="155">(H333+J333*H333)*I333</f>
        <v>6</v>
      </c>
      <c r="L333" s="24" t="s">
        <v>154</v>
      </c>
      <c r="M333" s="25" t="e">
        <f>_xlfn.XLOOKUP(#REF!,PREÇO!$C$6:$C$89,PREÇO!$E$6:$E$89)</f>
        <v>#REF!</v>
      </c>
      <c r="N333" s="59" t="e">
        <f>IF(SUM(H333:M333)=0,SUMIFS($N334:$N$759,$B334:$B$759,$B333,$A334:$A$759,$A333),K333*M333)</f>
        <v>#REF!</v>
      </c>
      <c r="P333"/>
      <c r="Q333"/>
      <c r="R333" s="27"/>
      <c r="S333" s="27"/>
      <c r="T333" s="27"/>
      <c r="U333" s="27"/>
      <c r="V333" s="27"/>
      <c r="W333" s="27"/>
      <c r="X333" s="27"/>
      <c r="Y333" s="27"/>
    </row>
    <row r="334" spans="1:25" outlineLevel="1">
      <c r="A334" s="23" t="str">
        <f t="shared" si="153"/>
        <v>GERAL</v>
      </c>
      <c r="B334" s="23" t="str">
        <f t="shared" si="154"/>
        <v>19º PAV. - TIPO 02</v>
      </c>
      <c r="C334" s="157" t="s">
        <v>281</v>
      </c>
      <c r="D334" s="137" t="s">
        <v>242</v>
      </c>
      <c r="E334" s="137" t="s">
        <v>233</v>
      </c>
      <c r="F334" s="83" t="s">
        <v>55</v>
      </c>
      <c r="G334" s="83" t="s">
        <v>235</v>
      </c>
      <c r="H334" s="131">
        <v>2</v>
      </c>
      <c r="I334" s="24">
        <v>3</v>
      </c>
      <c r="J334" s="24">
        <v>0</v>
      </c>
      <c r="K334" s="24">
        <f t="shared" si="155"/>
        <v>6</v>
      </c>
      <c r="L334" s="24" t="s">
        <v>154</v>
      </c>
      <c r="M334" s="25" t="e">
        <f>_xlfn.XLOOKUP($E333,PREÇO!$C$6:$C$89,PREÇO!$E$6:$E$89)</f>
        <v>#N/A</v>
      </c>
      <c r="N334" s="59" t="e">
        <f>IF(SUM(H334:M334)=0,SUMIFS($N335:$N$759,$B335:$B$759,$B334,$A335:$A$759,$A334),K334*M334)</f>
        <v>#N/A</v>
      </c>
      <c r="P334"/>
      <c r="Q334"/>
      <c r="R334" s="27"/>
      <c r="S334" s="27"/>
      <c r="T334" s="27"/>
      <c r="U334" s="27"/>
      <c r="V334" s="27"/>
      <c r="W334" s="27"/>
      <c r="X334" s="27"/>
      <c r="Y334" s="27"/>
    </row>
    <row r="335" spans="1:25" outlineLevel="1">
      <c r="A335" s="23" t="str">
        <f t="shared" si="153"/>
        <v>GERAL</v>
      </c>
      <c r="B335" s="23" t="str">
        <f t="shared" si="154"/>
        <v>19º PAV. - TIPO 02</v>
      </c>
      <c r="C335" s="157" t="s">
        <v>281</v>
      </c>
      <c r="D335" s="137" t="s">
        <v>242</v>
      </c>
      <c r="E335" s="137" t="s">
        <v>224</v>
      </c>
      <c r="F335" s="83" t="s">
        <v>55</v>
      </c>
      <c r="G335" s="83" t="s">
        <v>228</v>
      </c>
      <c r="H335" s="131">
        <v>8</v>
      </c>
      <c r="I335" s="24">
        <v>3</v>
      </c>
      <c r="J335" s="24">
        <v>0</v>
      </c>
      <c r="K335" s="24">
        <f t="shared" si="155"/>
        <v>24</v>
      </c>
      <c r="L335" s="24" t="s">
        <v>154</v>
      </c>
      <c r="M335" s="25" t="e">
        <f>_xlfn.XLOOKUP(#REF!,PREÇO!$C$6:$C$89,PREÇO!$E$6:$E$89)</f>
        <v>#REF!</v>
      </c>
      <c r="N335" s="59" t="e">
        <f>IF(SUM(H335:M335)=0,SUMIFS($N336:$N$759,$B336:$B$759,$B335,$A336:$A$759,$A335),K335*M335)</f>
        <v>#REF!</v>
      </c>
      <c r="P335"/>
      <c r="Q335"/>
      <c r="R335" s="27"/>
      <c r="S335" s="27"/>
      <c r="T335" s="27"/>
      <c r="U335" s="27"/>
      <c r="V335" s="27"/>
      <c r="W335" s="27"/>
      <c r="X335" s="27"/>
      <c r="Y335" s="27"/>
    </row>
    <row r="336" spans="1:25" outlineLevel="1">
      <c r="A336" s="23" t="str">
        <f t="shared" si="153"/>
        <v>GERAL</v>
      </c>
      <c r="B336" s="23" t="str">
        <f t="shared" si="154"/>
        <v>19º PAV. - TIPO 02</v>
      </c>
      <c r="C336" s="157" t="s">
        <v>281</v>
      </c>
      <c r="D336" s="137" t="s">
        <v>242</v>
      </c>
      <c r="E336" s="137" t="s">
        <v>225</v>
      </c>
      <c r="F336" s="83" t="s">
        <v>55</v>
      </c>
      <c r="G336" s="83" t="s">
        <v>229</v>
      </c>
      <c r="H336" s="131">
        <v>12</v>
      </c>
      <c r="I336" s="24">
        <v>3</v>
      </c>
      <c r="J336" s="24">
        <v>0</v>
      </c>
      <c r="K336" s="24">
        <f t="shared" si="155"/>
        <v>36</v>
      </c>
      <c r="L336" s="24" t="s">
        <v>154</v>
      </c>
      <c r="M336" s="25" t="e">
        <f>_xlfn.XLOOKUP($E334,PREÇO!$C$6:$C$89,PREÇO!$E$6:$E$89)</f>
        <v>#N/A</v>
      </c>
      <c r="N336" s="59" t="e">
        <f>IF(SUM(H336:M336)=0,SUMIFS($N337:$N$759,$B337:$B$759,$B336,$A337:$A$759,$A336),K336*M336)</f>
        <v>#N/A</v>
      </c>
      <c r="P336"/>
      <c r="Q336"/>
      <c r="R336" s="27"/>
      <c r="S336" s="27"/>
      <c r="T336" s="27"/>
      <c r="U336" s="27"/>
      <c r="V336" s="27"/>
      <c r="W336" s="27"/>
      <c r="X336" s="27"/>
      <c r="Y336" s="27"/>
    </row>
    <row r="337" spans="1:25" ht="15.75" outlineLevel="1" thickBot="1">
      <c r="A337" s="23" t="str">
        <f t="shared" si="153"/>
        <v>GERAL</v>
      </c>
      <c r="B337" s="23" t="str">
        <f t="shared" si="154"/>
        <v>19º PAV. - TIPO 02</v>
      </c>
      <c r="C337" s="157" t="s">
        <v>281</v>
      </c>
      <c r="D337" s="137" t="s">
        <v>242</v>
      </c>
      <c r="E337" s="137" t="s">
        <v>226</v>
      </c>
      <c r="F337" s="83" t="s">
        <v>55</v>
      </c>
      <c r="G337" s="83" t="s">
        <v>230</v>
      </c>
      <c r="H337" s="131">
        <v>2</v>
      </c>
      <c r="I337" s="24">
        <v>3</v>
      </c>
      <c r="J337" s="24">
        <v>0</v>
      </c>
      <c r="K337" s="24">
        <f t="shared" si="155"/>
        <v>6</v>
      </c>
      <c r="L337" s="24" t="s">
        <v>154</v>
      </c>
      <c r="M337" s="25" t="e">
        <f>_xlfn.XLOOKUP(#REF!,PREÇO!$C$6:$C$89,PREÇO!$E$6:$E$89)</f>
        <v>#REF!</v>
      </c>
      <c r="N337" s="59" t="e">
        <f>IF(SUM(H337:M337)=0,SUMIFS($N338:$N$759,$B338:$B$759,$B337,$A338:$A$759,$A337),K337*M337)</f>
        <v>#REF!</v>
      </c>
      <c r="P337"/>
      <c r="Q337"/>
      <c r="R337" s="27"/>
      <c r="S337" s="27"/>
      <c r="T337" s="27"/>
      <c r="U337" s="27"/>
      <c r="V337" s="27"/>
      <c r="W337" s="27"/>
      <c r="X337" s="27"/>
      <c r="Y337" s="27"/>
    </row>
    <row r="338" spans="1:25" ht="15.75" thickTop="1">
      <c r="A338" s="63" t="s">
        <v>15</v>
      </c>
      <c r="B338" s="138" t="s">
        <v>238</v>
      </c>
      <c r="C338" s="42"/>
      <c r="D338" s="43"/>
      <c r="E338" s="43"/>
      <c r="F338" s="82"/>
      <c r="G338" s="82"/>
      <c r="H338" s="132"/>
      <c r="I338" s="44"/>
      <c r="J338" s="44"/>
      <c r="K338" s="44"/>
      <c r="L338" s="44"/>
      <c r="M338" s="46"/>
      <c r="N338" s="47" t="e">
        <f>IF(SUM(H338:M338)=0,SUMIFS($N339:$N$759,$B339:$B$759,$B338,$A339:$A$759,$A338),K338*M338)</f>
        <v>#N/A</v>
      </c>
      <c r="P338"/>
      <c r="Q338"/>
      <c r="R338" s="27"/>
      <c r="S338" s="27"/>
      <c r="T338" s="27"/>
      <c r="U338" s="27"/>
      <c r="V338" s="27"/>
      <c r="W338" s="27"/>
      <c r="X338" s="27"/>
      <c r="Y338" s="27"/>
    </row>
    <row r="339" spans="1:25" ht="22.5" customHeight="1" outlineLevel="1">
      <c r="A339" s="23" t="str">
        <f>A338</f>
        <v>GERAL</v>
      </c>
      <c r="B339" s="23" t="str">
        <f>B338</f>
        <v>23º PAV. - TIPO 03</v>
      </c>
      <c r="C339" s="157" t="s">
        <v>282</v>
      </c>
      <c r="D339" s="29" t="s">
        <v>243</v>
      </c>
      <c r="E339" s="137" t="s">
        <v>51</v>
      </c>
      <c r="F339" s="83" t="s">
        <v>56</v>
      </c>
      <c r="G339" s="139" t="s">
        <v>231</v>
      </c>
      <c r="H339" s="131">
        <v>38</v>
      </c>
      <c r="I339" s="24">
        <v>6</v>
      </c>
      <c r="J339" s="24">
        <v>0</v>
      </c>
      <c r="K339" s="24">
        <f t="shared" ref="K339" si="156">(H339+J339*H339)*I339</f>
        <v>228</v>
      </c>
      <c r="L339" s="24" t="s">
        <v>154</v>
      </c>
      <c r="M339" s="25" t="e">
        <f>_xlfn.XLOOKUP($E339,PREÇO!$C$6:$C$89,PREÇO!$E$6:$E$89)</f>
        <v>#N/A</v>
      </c>
      <c r="N339" s="59" t="e">
        <f>IF(SUM(H339:M339)=0,SUMIFS($N340:$N$759,$B340:$B$759,$B339,$A340:$A$759,$A339),K339*M339)</f>
        <v>#N/A</v>
      </c>
      <c r="P339"/>
      <c r="Q339"/>
      <c r="R339" s="27"/>
      <c r="S339" s="27"/>
      <c r="T339" s="27"/>
      <c r="U339" s="27"/>
      <c r="V339" s="27"/>
      <c r="W339" s="27"/>
      <c r="X339" s="27"/>
      <c r="Y339" s="27"/>
    </row>
    <row r="340" spans="1:25" outlineLevel="1">
      <c r="A340" s="23" t="str">
        <f t="shared" ref="A340:A344" si="157">A339</f>
        <v>GERAL</v>
      </c>
      <c r="B340" s="23" t="str">
        <f t="shared" ref="B340:B344" si="158">B339</f>
        <v>23º PAV. - TIPO 03</v>
      </c>
      <c r="C340" s="157" t="s">
        <v>281</v>
      </c>
      <c r="D340" s="29" t="s">
        <v>243</v>
      </c>
      <c r="E340" s="137" t="s">
        <v>223</v>
      </c>
      <c r="F340" s="83" t="s">
        <v>55</v>
      </c>
      <c r="G340" s="83" t="s">
        <v>227</v>
      </c>
      <c r="H340" s="131">
        <v>2</v>
      </c>
      <c r="I340" s="24">
        <v>6</v>
      </c>
      <c r="J340" s="24">
        <v>0</v>
      </c>
      <c r="K340" s="24">
        <f t="shared" ref="K340:K348" si="159">(H340+J340*H340)*I340</f>
        <v>12</v>
      </c>
      <c r="L340" s="24" t="s">
        <v>154</v>
      </c>
      <c r="M340" s="25" t="e">
        <f>_xlfn.XLOOKUP(#REF!,PREÇO!$C$6:$C$89,PREÇO!$E$6:$E$89)</f>
        <v>#REF!</v>
      </c>
      <c r="N340" s="59" t="e">
        <f>IF(SUM(H340:M340)=0,SUMIFS($N341:$N$759,$B341:$B$759,$B340,$A341:$A$759,$A340),K340*M340)</f>
        <v>#REF!</v>
      </c>
      <c r="P340"/>
      <c r="Q340"/>
      <c r="R340" s="27"/>
      <c r="S340" s="27"/>
      <c r="T340" s="27"/>
      <c r="U340" s="27"/>
      <c r="V340" s="27"/>
      <c r="W340" s="27"/>
      <c r="X340" s="27"/>
      <c r="Y340" s="27"/>
    </row>
    <row r="341" spans="1:25" outlineLevel="1">
      <c r="A341" s="23" t="str">
        <f t="shared" si="157"/>
        <v>GERAL</v>
      </c>
      <c r="B341" s="23" t="str">
        <f t="shared" si="158"/>
        <v>23º PAV. - TIPO 03</v>
      </c>
      <c r="C341" s="157" t="s">
        <v>281</v>
      </c>
      <c r="D341" s="29" t="s">
        <v>243</v>
      </c>
      <c r="E341" s="137" t="s">
        <v>232</v>
      </c>
      <c r="F341" s="83" t="s">
        <v>55</v>
      </c>
      <c r="G341" s="83" t="s">
        <v>234</v>
      </c>
      <c r="H341" s="131">
        <v>4</v>
      </c>
      <c r="I341" s="24">
        <v>6</v>
      </c>
      <c r="J341" s="24">
        <v>0</v>
      </c>
      <c r="K341" s="24">
        <f t="shared" si="159"/>
        <v>24</v>
      </c>
      <c r="L341" s="24" t="s">
        <v>154</v>
      </c>
      <c r="M341" s="25" t="e">
        <f>_xlfn.XLOOKUP($E340,PREÇO!$C$6:$C$89,PREÇO!$E$6:$E$89)</f>
        <v>#N/A</v>
      </c>
      <c r="N341" s="59" t="e">
        <f>IF(SUM(H341:M341)=0,SUMIFS($N342:$N$759,$B342:$B$759,$B341,$A342:$A$759,$A341),K341*M341)</f>
        <v>#N/A</v>
      </c>
      <c r="P341"/>
      <c r="Q341"/>
      <c r="R341" s="27"/>
      <c r="S341" s="27"/>
      <c r="T341" s="27"/>
      <c r="U341" s="27"/>
      <c r="V341" s="27"/>
      <c r="W341" s="27"/>
      <c r="X341" s="27"/>
      <c r="Y341" s="27"/>
    </row>
    <row r="342" spans="1:25" outlineLevel="1">
      <c r="A342" s="23" t="str">
        <f t="shared" si="157"/>
        <v>GERAL</v>
      </c>
      <c r="B342" s="23" t="str">
        <f t="shared" si="158"/>
        <v>23º PAV. - TIPO 03</v>
      </c>
      <c r="C342" s="157" t="s">
        <v>281</v>
      </c>
      <c r="D342" s="29" t="s">
        <v>243</v>
      </c>
      <c r="E342" s="137" t="s">
        <v>233</v>
      </c>
      <c r="F342" s="83" t="s">
        <v>55</v>
      </c>
      <c r="G342" s="83" t="s">
        <v>235</v>
      </c>
      <c r="H342" s="131">
        <v>3</v>
      </c>
      <c r="I342" s="24">
        <v>6</v>
      </c>
      <c r="J342" s="24">
        <v>0</v>
      </c>
      <c r="K342" s="24">
        <f t="shared" si="159"/>
        <v>18</v>
      </c>
      <c r="L342" s="24" t="s">
        <v>154</v>
      </c>
      <c r="M342" s="25" t="e">
        <f>_xlfn.XLOOKUP(#REF!,PREÇO!$C$6:$C$89,PREÇO!$E$6:$E$89)</f>
        <v>#REF!</v>
      </c>
      <c r="N342" s="59" t="e">
        <f>IF(SUM(H342:M342)=0,SUMIFS($N343:$N$759,$B343:$B$759,$B342,$A343:$A$759,$A342),K342*M342)</f>
        <v>#REF!</v>
      </c>
      <c r="P342"/>
      <c r="Q342"/>
      <c r="R342" s="27"/>
      <c r="S342" s="27"/>
      <c r="T342" s="27"/>
      <c r="U342" s="27"/>
      <c r="V342" s="27"/>
      <c r="W342" s="27"/>
      <c r="X342" s="27"/>
      <c r="Y342" s="27"/>
    </row>
    <row r="343" spans="1:25" outlineLevel="1">
      <c r="A343" s="23" t="str">
        <f t="shared" si="157"/>
        <v>GERAL</v>
      </c>
      <c r="B343" s="23" t="str">
        <f t="shared" si="158"/>
        <v>23º PAV. - TIPO 03</v>
      </c>
      <c r="C343" s="157" t="s">
        <v>281</v>
      </c>
      <c r="D343" s="29" t="s">
        <v>243</v>
      </c>
      <c r="E343" s="137" t="s">
        <v>224</v>
      </c>
      <c r="F343" s="83" t="s">
        <v>55</v>
      </c>
      <c r="G343" s="83" t="s">
        <v>228</v>
      </c>
      <c r="H343" s="131">
        <v>39</v>
      </c>
      <c r="I343" s="24">
        <v>6</v>
      </c>
      <c r="J343" s="24">
        <v>0</v>
      </c>
      <c r="K343" s="24">
        <f t="shared" si="159"/>
        <v>234</v>
      </c>
      <c r="L343" s="24" t="s">
        <v>154</v>
      </c>
      <c r="M343" s="25" t="e">
        <f>_xlfn.XLOOKUP($E341,PREÇO!$C$6:$C$89,PREÇO!$E$6:$E$89)</f>
        <v>#N/A</v>
      </c>
      <c r="N343" s="59" t="e">
        <f>IF(SUM(H343:M343)=0,SUMIFS($N344:$N$759,$B344:$B$759,$B343,$A344:$A$759,$A343),K343*M343)</f>
        <v>#N/A</v>
      </c>
      <c r="P343"/>
      <c r="Q343"/>
      <c r="R343" s="27"/>
      <c r="S343" s="27"/>
      <c r="T343" s="27"/>
      <c r="U343" s="27"/>
      <c r="V343" s="27"/>
      <c r="W343" s="27"/>
      <c r="X343" s="27"/>
      <c r="Y343" s="27"/>
    </row>
    <row r="344" spans="1:25" outlineLevel="1">
      <c r="A344" s="23" t="str">
        <f t="shared" si="157"/>
        <v>GERAL</v>
      </c>
      <c r="B344" s="23" t="str">
        <f t="shared" si="158"/>
        <v>23º PAV. - TIPO 03</v>
      </c>
      <c r="C344" s="157" t="s">
        <v>281</v>
      </c>
      <c r="D344" s="29" t="s">
        <v>243</v>
      </c>
      <c r="E344" s="137" t="s">
        <v>236</v>
      </c>
      <c r="F344" s="83" t="s">
        <v>55</v>
      </c>
      <c r="G344" s="83" t="s">
        <v>237</v>
      </c>
      <c r="H344" s="131">
        <v>22</v>
      </c>
      <c r="I344" s="24">
        <v>6</v>
      </c>
      <c r="J344" s="24">
        <v>0</v>
      </c>
      <c r="K344" s="24">
        <f t="shared" si="159"/>
        <v>132</v>
      </c>
      <c r="L344" s="24" t="s">
        <v>154</v>
      </c>
      <c r="M344" s="25" t="e">
        <f>_xlfn.XLOOKUP(#REF!,PREÇO!$C$6:$C$89,PREÇO!$E$6:$E$89)</f>
        <v>#REF!</v>
      </c>
      <c r="N344" s="59" t="e">
        <f>IF(SUM(H344:M344)=0,SUMIFS($N345:$N$759,$B345:$B$759,$B344,$A345:$A$759,$A344),K344*M344)</f>
        <v>#REF!</v>
      </c>
      <c r="P344"/>
      <c r="Q344"/>
      <c r="R344" s="27"/>
      <c r="S344" s="27"/>
      <c r="T344" s="27"/>
      <c r="U344" s="27"/>
      <c r="V344" s="27"/>
      <c r="W344" s="27"/>
      <c r="X344" s="27"/>
      <c r="Y344" s="27"/>
    </row>
    <row r="345" spans="1:25" outlineLevel="1">
      <c r="A345" s="23" t="str">
        <f t="shared" ref="A345:A346" si="160">A344</f>
        <v>GERAL</v>
      </c>
      <c r="B345" s="23" t="str">
        <f t="shared" ref="B345:B346" si="161">B344</f>
        <v>23º PAV. - TIPO 03</v>
      </c>
      <c r="C345" s="157" t="s">
        <v>281</v>
      </c>
      <c r="D345" s="29" t="s">
        <v>243</v>
      </c>
      <c r="E345" s="137" t="s">
        <v>225</v>
      </c>
      <c r="F345" s="83" t="s">
        <v>55</v>
      </c>
      <c r="G345" s="83" t="s">
        <v>229</v>
      </c>
      <c r="H345" s="131">
        <v>34</v>
      </c>
      <c r="I345" s="24">
        <v>6</v>
      </c>
      <c r="J345" s="24">
        <v>0</v>
      </c>
      <c r="K345" s="24">
        <f t="shared" si="159"/>
        <v>204</v>
      </c>
      <c r="L345" s="24" t="s">
        <v>154</v>
      </c>
      <c r="M345" s="25" t="e">
        <f>_xlfn.XLOOKUP($E342,PREÇO!$C$6:$C$89,PREÇO!$E$6:$E$89)</f>
        <v>#N/A</v>
      </c>
      <c r="N345" s="59" t="e">
        <f>IF(SUM(H345:M345)=0,SUMIFS($N346:$N$759,$B346:$B$759,$B345,$A346:$A$759,$A345),K345*M345)</f>
        <v>#N/A</v>
      </c>
      <c r="P345"/>
      <c r="Q345"/>
      <c r="R345" s="27"/>
      <c r="S345" s="27"/>
      <c r="T345" s="27"/>
      <c r="U345" s="27"/>
      <c r="V345" s="27"/>
      <c r="W345" s="27"/>
      <c r="X345" s="27"/>
      <c r="Y345" s="27"/>
    </row>
    <row r="346" spans="1:25" ht="15.75" outlineLevel="1" thickBot="1">
      <c r="A346" s="23" t="str">
        <f t="shared" si="160"/>
        <v>GERAL</v>
      </c>
      <c r="B346" s="23" t="str">
        <f t="shared" si="161"/>
        <v>23º PAV. - TIPO 03</v>
      </c>
      <c r="C346" s="157" t="s">
        <v>281</v>
      </c>
      <c r="D346" s="29" t="s">
        <v>243</v>
      </c>
      <c r="E346" s="137" t="s">
        <v>226</v>
      </c>
      <c r="F346" s="83" t="s">
        <v>55</v>
      </c>
      <c r="G346" s="83" t="s">
        <v>230</v>
      </c>
      <c r="H346" s="131">
        <v>6</v>
      </c>
      <c r="I346" s="24">
        <v>6</v>
      </c>
      <c r="J346" s="24">
        <v>0</v>
      </c>
      <c r="K346" s="24">
        <f t="shared" si="159"/>
        <v>36</v>
      </c>
      <c r="L346" s="24" t="s">
        <v>154</v>
      </c>
      <c r="M346" s="25" t="e">
        <f>_xlfn.XLOOKUP(#REF!,PREÇO!$C$6:$C$89,PREÇO!$E$6:$E$89)</f>
        <v>#REF!</v>
      </c>
      <c r="N346" s="59" t="e">
        <f>IF(SUM(H346:M346)=0,SUMIFS($N347:$N$759,$B347:$B$759,$B346,$A347:$A$759,$A346),K346*M346)</f>
        <v>#REF!</v>
      </c>
      <c r="P346"/>
      <c r="Q346"/>
      <c r="R346" s="27"/>
      <c r="S346" s="27"/>
      <c r="T346" s="27"/>
      <c r="U346" s="27"/>
      <c r="V346" s="27"/>
      <c r="W346" s="27"/>
      <c r="X346" s="27"/>
      <c r="Y346" s="27"/>
    </row>
    <row r="347" spans="1:25" ht="15.75" thickTop="1">
      <c r="A347" s="63" t="s">
        <v>15</v>
      </c>
      <c r="B347" s="138" t="s">
        <v>239</v>
      </c>
      <c r="C347" s="42"/>
      <c r="D347" s="43"/>
      <c r="E347" s="43"/>
      <c r="F347" s="82"/>
      <c r="G347" s="82"/>
      <c r="H347" s="132"/>
      <c r="I347" s="44"/>
      <c r="J347" s="44"/>
      <c r="K347" s="44"/>
      <c r="L347" s="44" t="e">
        <f>#REF!</f>
        <v>#REF!</v>
      </c>
      <c r="M347" s="46"/>
      <c r="N347" s="47" t="e">
        <f>IF(SUM(H347:M347)=0,SUMIFS($N348:$N$759,$B348:$B$759,$B347,$A348:$A$759,$A347),K347*M347)</f>
        <v>#REF!</v>
      </c>
      <c r="P347"/>
      <c r="Q347"/>
      <c r="R347" s="27"/>
      <c r="S347" s="27"/>
      <c r="T347" s="27"/>
      <c r="U347" s="27"/>
      <c r="V347" s="27"/>
      <c r="W347" s="27"/>
      <c r="X347" s="27"/>
      <c r="Y347" s="27"/>
    </row>
    <row r="348" spans="1:25" ht="30" outlineLevel="1">
      <c r="A348" s="23" t="str">
        <f>A347</f>
        <v>GERAL</v>
      </c>
      <c r="B348" s="23" t="str">
        <f>B347</f>
        <v>29º PAV. - TIPO 03</v>
      </c>
      <c r="C348" s="29" t="s">
        <v>282</v>
      </c>
      <c r="D348" s="137" t="s">
        <v>244</v>
      </c>
      <c r="E348" s="137" t="s">
        <v>51</v>
      </c>
      <c r="F348" s="83" t="s">
        <v>56</v>
      </c>
      <c r="G348" s="139" t="s">
        <v>231</v>
      </c>
      <c r="H348" s="131">
        <v>38</v>
      </c>
      <c r="I348" s="24">
        <v>12</v>
      </c>
      <c r="J348" s="24">
        <v>0</v>
      </c>
      <c r="K348" s="24">
        <f t="shared" si="159"/>
        <v>456</v>
      </c>
      <c r="L348" s="24" t="s">
        <v>154</v>
      </c>
      <c r="M348" s="25" t="e">
        <f>_xlfn.XLOOKUP($E348,PREÇO!$C$6:$C$89,PREÇO!$E$6:$E$89)</f>
        <v>#N/A</v>
      </c>
      <c r="N348" s="59" t="e">
        <f>IF(SUM(H348:M348)=0,SUMIFS($N349:$N$759,$B349:$B$759,$B348,$A349:$A$759,$A348),K348*M348)</f>
        <v>#N/A</v>
      </c>
      <c r="P348"/>
      <c r="Q348"/>
      <c r="R348" s="27"/>
      <c r="S348" s="27"/>
      <c r="T348" s="27"/>
      <c r="U348" s="27"/>
      <c r="V348" s="27"/>
      <c r="W348" s="27"/>
      <c r="X348" s="27"/>
      <c r="Y348" s="27"/>
    </row>
    <row r="349" spans="1:25" outlineLevel="1">
      <c r="A349" s="23" t="str">
        <f t="shared" ref="A349:A355" si="162">A348</f>
        <v>GERAL</v>
      </c>
      <c r="B349" s="23" t="str">
        <f t="shared" ref="B349:B355" si="163">B348</f>
        <v>29º PAV. - TIPO 03</v>
      </c>
      <c r="C349" s="157" t="s">
        <v>281</v>
      </c>
      <c r="D349" s="137" t="s">
        <v>244</v>
      </c>
      <c r="E349" s="137" t="s">
        <v>223</v>
      </c>
      <c r="F349" s="83" t="s">
        <v>55</v>
      </c>
      <c r="G349" s="83" t="s">
        <v>227</v>
      </c>
      <c r="H349" s="131">
        <v>2</v>
      </c>
      <c r="I349" s="24">
        <v>12</v>
      </c>
      <c r="J349" s="24">
        <v>0</v>
      </c>
      <c r="K349" s="24">
        <f t="shared" ref="K349:K355" si="164">(H349+J349*H349)*I349</f>
        <v>24</v>
      </c>
      <c r="L349" s="24" t="s">
        <v>154</v>
      </c>
      <c r="M349" s="25" t="e">
        <f>_xlfn.XLOOKUP(#REF!,PREÇO!$C$6:$C$89,PREÇO!$E$6:$E$89)</f>
        <v>#REF!</v>
      </c>
      <c r="N349" s="59" t="e">
        <f>IF(SUM(H349:M349)=0,SUMIFS($N350:$N$759,$B350:$B$759,$B349,$A350:$A$759,$A349),K349*M349)</f>
        <v>#REF!</v>
      </c>
      <c r="P349"/>
      <c r="Q349"/>
      <c r="R349" s="27"/>
      <c r="S349" s="27"/>
      <c r="T349" s="27"/>
      <c r="U349" s="27"/>
      <c r="V349" s="27"/>
      <c r="W349" s="27"/>
      <c r="X349" s="27"/>
      <c r="Y349" s="27"/>
    </row>
    <row r="350" spans="1:25" outlineLevel="1">
      <c r="A350" s="23" t="str">
        <f t="shared" si="162"/>
        <v>GERAL</v>
      </c>
      <c r="B350" s="23" t="str">
        <f t="shared" si="163"/>
        <v>29º PAV. - TIPO 03</v>
      </c>
      <c r="C350" s="157" t="s">
        <v>281</v>
      </c>
      <c r="D350" s="137" t="s">
        <v>244</v>
      </c>
      <c r="E350" s="137" t="s">
        <v>232</v>
      </c>
      <c r="F350" s="83" t="s">
        <v>55</v>
      </c>
      <c r="G350" s="83" t="s">
        <v>234</v>
      </c>
      <c r="H350" s="131">
        <v>4</v>
      </c>
      <c r="I350" s="24">
        <v>12</v>
      </c>
      <c r="J350" s="24">
        <v>0</v>
      </c>
      <c r="K350" s="24">
        <f t="shared" si="164"/>
        <v>48</v>
      </c>
      <c r="L350" s="24" t="s">
        <v>154</v>
      </c>
      <c r="M350" s="25" t="e">
        <f>_xlfn.XLOOKUP($E349,PREÇO!$C$6:$C$89,PREÇO!$E$6:$E$89)</f>
        <v>#N/A</v>
      </c>
      <c r="N350" s="59" t="e">
        <f>IF(SUM(H350:M350)=0,SUMIFS($N351:$N$759,$B351:$B$759,$B350,$A351:$A$759,$A350),K350*M350)</f>
        <v>#N/A</v>
      </c>
      <c r="P350"/>
      <c r="Q350"/>
      <c r="R350" s="27"/>
      <c r="S350" s="27"/>
      <c r="T350" s="27"/>
      <c r="U350" s="27"/>
      <c r="V350" s="27"/>
      <c r="W350" s="27"/>
      <c r="X350" s="27"/>
      <c r="Y350" s="27"/>
    </row>
    <row r="351" spans="1:25" outlineLevel="1">
      <c r="A351" s="23" t="str">
        <f t="shared" si="162"/>
        <v>GERAL</v>
      </c>
      <c r="B351" s="23" t="str">
        <f t="shared" si="163"/>
        <v>29º PAV. - TIPO 03</v>
      </c>
      <c r="C351" s="157" t="s">
        <v>281</v>
      </c>
      <c r="D351" s="137" t="s">
        <v>244</v>
      </c>
      <c r="E351" s="137" t="s">
        <v>233</v>
      </c>
      <c r="F351" s="83" t="s">
        <v>55</v>
      </c>
      <c r="G351" s="83" t="s">
        <v>235</v>
      </c>
      <c r="H351" s="131">
        <v>3</v>
      </c>
      <c r="I351" s="24">
        <v>12</v>
      </c>
      <c r="J351" s="24">
        <v>0</v>
      </c>
      <c r="K351" s="24">
        <f t="shared" si="164"/>
        <v>36</v>
      </c>
      <c r="L351" s="24" t="s">
        <v>154</v>
      </c>
      <c r="M351" s="25" t="e">
        <f>_xlfn.XLOOKUP(#REF!,PREÇO!$C$6:$C$89,PREÇO!$E$6:$E$89)</f>
        <v>#REF!</v>
      </c>
      <c r="N351" s="59" t="e">
        <f>IF(SUM(H351:M351)=0,SUMIFS($N352:$N$759,$B352:$B$759,$B351,$A352:$A$759,$A351),K351*M351)</f>
        <v>#REF!</v>
      </c>
      <c r="P351"/>
      <c r="Q351"/>
      <c r="R351" s="27"/>
      <c r="S351" s="27"/>
      <c r="T351" s="27"/>
      <c r="U351" s="27"/>
      <c r="V351" s="27"/>
      <c r="W351" s="27"/>
      <c r="X351" s="27"/>
      <c r="Y351" s="27"/>
    </row>
    <row r="352" spans="1:25" outlineLevel="1">
      <c r="A352" s="23" t="str">
        <f t="shared" si="162"/>
        <v>GERAL</v>
      </c>
      <c r="B352" s="23" t="str">
        <f t="shared" si="163"/>
        <v>29º PAV. - TIPO 03</v>
      </c>
      <c r="C352" s="157" t="s">
        <v>281</v>
      </c>
      <c r="D352" s="137" t="s">
        <v>244</v>
      </c>
      <c r="E352" s="137" t="s">
        <v>224</v>
      </c>
      <c r="F352" s="83" t="s">
        <v>55</v>
      </c>
      <c r="G352" s="83" t="s">
        <v>228</v>
      </c>
      <c r="H352" s="131">
        <v>39</v>
      </c>
      <c r="I352" s="24">
        <v>12</v>
      </c>
      <c r="J352" s="24">
        <v>0</v>
      </c>
      <c r="K352" s="24">
        <f t="shared" si="164"/>
        <v>468</v>
      </c>
      <c r="L352" s="24" t="s">
        <v>154</v>
      </c>
      <c r="M352" s="25" t="e">
        <f>_xlfn.XLOOKUP($E350,PREÇO!$C$6:$C$89,PREÇO!$E$6:$E$89)</f>
        <v>#N/A</v>
      </c>
      <c r="N352" s="59" t="e">
        <f>IF(SUM(H352:M352)=0,SUMIFS($N353:$N$759,$B353:$B$759,$B352,$A353:$A$759,$A352),K352*M352)</f>
        <v>#N/A</v>
      </c>
      <c r="P352"/>
      <c r="Q352"/>
      <c r="R352" s="27"/>
      <c r="S352" s="27"/>
      <c r="T352" s="27"/>
      <c r="U352" s="27"/>
      <c r="V352" s="27"/>
      <c r="W352" s="27"/>
      <c r="X352" s="27"/>
      <c r="Y352" s="27"/>
    </row>
    <row r="353" spans="1:25" outlineLevel="1">
      <c r="A353" s="23" t="str">
        <f t="shared" si="162"/>
        <v>GERAL</v>
      </c>
      <c r="B353" s="23" t="str">
        <f t="shared" si="163"/>
        <v>29º PAV. - TIPO 03</v>
      </c>
      <c r="C353" s="157" t="s">
        <v>281</v>
      </c>
      <c r="D353" s="137" t="s">
        <v>244</v>
      </c>
      <c r="E353" s="137" t="s">
        <v>236</v>
      </c>
      <c r="F353" s="83" t="s">
        <v>55</v>
      </c>
      <c r="G353" s="83" t="s">
        <v>237</v>
      </c>
      <c r="H353" s="131">
        <v>22</v>
      </c>
      <c r="I353" s="24">
        <v>12</v>
      </c>
      <c r="J353" s="24">
        <v>0</v>
      </c>
      <c r="K353" s="24">
        <f t="shared" si="164"/>
        <v>264</v>
      </c>
      <c r="L353" s="24" t="s">
        <v>154</v>
      </c>
      <c r="M353" s="25" t="e">
        <f>_xlfn.XLOOKUP(#REF!,PREÇO!$C$6:$C$89,PREÇO!$E$6:$E$89)</f>
        <v>#REF!</v>
      </c>
      <c r="N353" s="59" t="e">
        <f>IF(SUM(H353:M353)=0,SUMIFS($N354:$N$759,$B354:$B$759,$B353,$A354:$A$759,$A353),K353*M353)</f>
        <v>#REF!</v>
      </c>
      <c r="P353"/>
      <c r="Q353"/>
      <c r="R353" s="27"/>
      <c r="S353" s="27"/>
      <c r="T353" s="27"/>
      <c r="U353" s="27"/>
      <c r="V353" s="27"/>
      <c r="W353" s="27"/>
      <c r="X353" s="27"/>
      <c r="Y353" s="27"/>
    </row>
    <row r="354" spans="1:25" outlineLevel="1">
      <c r="A354" s="23" t="str">
        <f t="shared" si="162"/>
        <v>GERAL</v>
      </c>
      <c r="B354" s="23" t="str">
        <f t="shared" si="163"/>
        <v>29º PAV. - TIPO 03</v>
      </c>
      <c r="C354" s="157" t="s">
        <v>281</v>
      </c>
      <c r="D354" s="137" t="s">
        <v>244</v>
      </c>
      <c r="E354" s="137" t="s">
        <v>225</v>
      </c>
      <c r="F354" s="83" t="s">
        <v>55</v>
      </c>
      <c r="G354" s="83" t="s">
        <v>229</v>
      </c>
      <c r="H354" s="131">
        <v>34</v>
      </c>
      <c r="I354" s="24">
        <v>12</v>
      </c>
      <c r="J354" s="24">
        <v>0</v>
      </c>
      <c r="K354" s="24">
        <f t="shared" si="164"/>
        <v>408</v>
      </c>
      <c r="L354" s="24" t="s">
        <v>154</v>
      </c>
      <c r="M354" s="25" t="e">
        <f>_xlfn.XLOOKUP($E351,PREÇO!$C$6:$C$89,PREÇO!$E$6:$E$89)</f>
        <v>#N/A</v>
      </c>
      <c r="N354" s="59" t="e">
        <f>IF(SUM(H354:M354)=0,SUMIFS($N355:$N$759,$B355:$B$759,$B354,$A355:$A$759,$A354),K354*M354)</f>
        <v>#N/A</v>
      </c>
      <c r="P354"/>
      <c r="Q354"/>
      <c r="R354" s="27"/>
      <c r="S354" s="27"/>
      <c r="T354" s="27"/>
      <c r="U354" s="27"/>
      <c r="V354" s="27"/>
      <c r="W354" s="27"/>
      <c r="X354" s="27"/>
      <c r="Y354" s="27"/>
    </row>
    <row r="355" spans="1:25" ht="15.75" outlineLevel="1" thickBot="1">
      <c r="A355" s="23" t="str">
        <f t="shared" si="162"/>
        <v>GERAL</v>
      </c>
      <c r="B355" s="23" t="str">
        <f t="shared" si="163"/>
        <v>29º PAV. - TIPO 03</v>
      </c>
      <c r="C355" s="157" t="s">
        <v>281</v>
      </c>
      <c r="D355" s="137" t="s">
        <v>244</v>
      </c>
      <c r="E355" s="137" t="s">
        <v>226</v>
      </c>
      <c r="F355" s="83" t="s">
        <v>55</v>
      </c>
      <c r="G355" s="83" t="s">
        <v>230</v>
      </c>
      <c r="H355" s="131">
        <v>6</v>
      </c>
      <c r="I355" s="24">
        <v>12</v>
      </c>
      <c r="J355" s="24">
        <v>0</v>
      </c>
      <c r="K355" s="24">
        <f t="shared" si="164"/>
        <v>72</v>
      </c>
      <c r="L355" s="24" t="s">
        <v>154</v>
      </c>
      <c r="M355" s="25" t="e">
        <f>_xlfn.XLOOKUP(#REF!,PREÇO!$C$6:$C$89,PREÇO!$E$6:$E$89)</f>
        <v>#REF!</v>
      </c>
      <c r="N355" s="59" t="e">
        <f>IF(SUM(H355:M355)=0,SUMIFS($N356:$N$759,$B356:$B$759,$B355,$A356:$A$759,$A355),K355*M355)</f>
        <v>#REF!</v>
      </c>
      <c r="P355"/>
      <c r="Q355"/>
      <c r="R355" s="27"/>
      <c r="S355" s="27"/>
      <c r="T355" s="27"/>
      <c r="U355" s="27"/>
      <c r="V355" s="27"/>
      <c r="W355" s="27"/>
      <c r="X355" s="27"/>
      <c r="Y355" s="27"/>
    </row>
    <row r="356" spans="1:25" ht="15.75" thickTop="1">
      <c r="A356" s="63" t="s">
        <v>15</v>
      </c>
      <c r="B356" s="138" t="s">
        <v>240</v>
      </c>
      <c r="C356" s="42"/>
      <c r="D356" s="43"/>
      <c r="E356" s="43"/>
      <c r="F356" s="82"/>
      <c r="G356" s="82"/>
      <c r="H356" s="132"/>
      <c r="I356" s="44"/>
      <c r="J356" s="44"/>
      <c r="K356" s="44"/>
      <c r="L356" s="44"/>
      <c r="M356" s="46"/>
      <c r="N356" s="47" t="e">
        <f>IF(SUM(H356:M356)=0,SUMIFS($N357:$N$759,$B357:$B$759,$B356,$A357:$A$759,$A356),K356*M356)</f>
        <v>#N/A</v>
      </c>
      <c r="P356"/>
      <c r="Q356"/>
      <c r="R356" s="27"/>
      <c r="S356" s="27"/>
      <c r="T356" s="27"/>
      <c r="U356" s="27"/>
      <c r="V356" s="27"/>
      <c r="W356" s="27"/>
      <c r="X356" s="27"/>
      <c r="Y356" s="27"/>
    </row>
    <row r="357" spans="1:25" ht="30" outlineLevel="1">
      <c r="A357" s="23" t="str">
        <f>A356</f>
        <v>GERAL</v>
      </c>
      <c r="B357" s="23" t="str">
        <f>B356</f>
        <v>41º PAV. - TIPO 03</v>
      </c>
      <c r="C357" s="29" t="s">
        <v>282</v>
      </c>
      <c r="D357" s="137" t="s">
        <v>245</v>
      </c>
      <c r="E357" s="29" t="s">
        <v>51</v>
      </c>
      <c r="F357" s="83" t="s">
        <v>56</v>
      </c>
      <c r="G357" s="83" t="s">
        <v>231</v>
      </c>
      <c r="H357" s="131">
        <v>38</v>
      </c>
      <c r="I357" s="24">
        <v>10</v>
      </c>
      <c r="J357" s="24">
        <v>0</v>
      </c>
      <c r="K357" s="24">
        <f t="shared" ref="K357" si="165">(H357+J357*H357)*I357</f>
        <v>380</v>
      </c>
      <c r="L357" s="24" t="s">
        <v>154</v>
      </c>
      <c r="M357" s="25" t="e">
        <f>_xlfn.XLOOKUP($E357,PREÇO!$C$6:$C$89,PREÇO!$E$6:$E$89)</f>
        <v>#N/A</v>
      </c>
      <c r="N357" s="59" t="e">
        <f>IF(SUM(H357:M357)=0,SUMIFS($N358:$N$759,$B358:$B$759,$B357,$A358:$A$759,$A357),K357*M357)</f>
        <v>#N/A</v>
      </c>
      <c r="P357"/>
      <c r="Q357"/>
      <c r="R357" s="27"/>
      <c r="S357" s="27"/>
      <c r="T357" s="27"/>
      <c r="U357" s="27"/>
      <c r="V357" s="27"/>
      <c r="W357" s="27"/>
      <c r="X357" s="27"/>
      <c r="Y357" s="27"/>
    </row>
    <row r="358" spans="1:25" outlineLevel="1">
      <c r="A358" s="23" t="str">
        <f t="shared" ref="A358:A362" si="166">A357</f>
        <v>GERAL</v>
      </c>
      <c r="B358" s="23" t="str">
        <f t="shared" ref="B358:B362" si="167">B357</f>
        <v>41º PAV. - TIPO 03</v>
      </c>
      <c r="C358" s="157" t="s">
        <v>281</v>
      </c>
      <c r="D358" s="137" t="s">
        <v>245</v>
      </c>
      <c r="E358" s="29" t="s">
        <v>223</v>
      </c>
      <c r="F358" s="83" t="s">
        <v>55</v>
      </c>
      <c r="G358" s="83" t="s">
        <v>227</v>
      </c>
      <c r="H358" s="131">
        <v>2</v>
      </c>
      <c r="I358" s="24">
        <v>10</v>
      </c>
      <c r="J358" s="24">
        <v>0</v>
      </c>
      <c r="K358" s="24">
        <f t="shared" ref="K358:K364" si="168">(H358+J358*H358)*I358</f>
        <v>20</v>
      </c>
      <c r="L358" s="24" t="s">
        <v>154</v>
      </c>
      <c r="M358" s="25" t="e">
        <f>_xlfn.XLOOKUP($E358,PREÇO!$C$6:$C$89,PREÇO!$E$6:$E$89)</f>
        <v>#N/A</v>
      </c>
      <c r="N358" s="59" t="e">
        <f>IF(SUM(H358:M358)=0,SUMIFS($N359:$N$759,$B359:$B$759,$B358,$A359:$A$759,$A358),K358*M358)</f>
        <v>#N/A</v>
      </c>
      <c r="P358"/>
      <c r="Q358"/>
      <c r="R358" s="27"/>
      <c r="S358" s="27"/>
      <c r="T358" s="27"/>
      <c r="U358" s="27"/>
      <c r="V358" s="27"/>
      <c r="W358" s="27"/>
      <c r="X358" s="27"/>
      <c r="Y358" s="27"/>
    </row>
    <row r="359" spans="1:25" outlineLevel="1">
      <c r="A359" s="23" t="str">
        <f t="shared" si="166"/>
        <v>GERAL</v>
      </c>
      <c r="B359" s="23" t="str">
        <f t="shared" si="167"/>
        <v>41º PAV. - TIPO 03</v>
      </c>
      <c r="C359" s="157" t="s">
        <v>281</v>
      </c>
      <c r="D359" s="137" t="s">
        <v>245</v>
      </c>
      <c r="E359" s="29" t="s">
        <v>232</v>
      </c>
      <c r="F359" s="83" t="s">
        <v>55</v>
      </c>
      <c r="G359" s="83" t="s">
        <v>234</v>
      </c>
      <c r="H359" s="131">
        <v>4</v>
      </c>
      <c r="I359" s="24">
        <v>10</v>
      </c>
      <c r="J359" s="24">
        <v>0</v>
      </c>
      <c r="K359" s="24">
        <f t="shared" si="168"/>
        <v>40</v>
      </c>
      <c r="L359" s="24" t="s">
        <v>154</v>
      </c>
      <c r="M359" s="25" t="e">
        <f>_xlfn.XLOOKUP($E359,PREÇO!$C$6:$C$89,PREÇO!$E$6:$E$89)</f>
        <v>#N/A</v>
      </c>
      <c r="N359" s="59" t="e">
        <f>IF(SUM(H359:M359)=0,SUMIFS($N360:$N$759,$B360:$B$759,$B359,$A360:$A$759,$A359),K359*M359)</f>
        <v>#N/A</v>
      </c>
      <c r="P359"/>
      <c r="Q359"/>
      <c r="R359" s="27"/>
      <c r="S359" s="27"/>
      <c r="T359" s="27"/>
      <c r="U359" s="27"/>
      <c r="V359" s="27"/>
      <c r="W359" s="27"/>
      <c r="X359" s="27"/>
      <c r="Y359" s="27"/>
    </row>
    <row r="360" spans="1:25" outlineLevel="1">
      <c r="A360" s="23" t="str">
        <f t="shared" si="166"/>
        <v>GERAL</v>
      </c>
      <c r="B360" s="23" t="str">
        <f t="shared" si="167"/>
        <v>41º PAV. - TIPO 03</v>
      </c>
      <c r="C360" s="157" t="s">
        <v>281</v>
      </c>
      <c r="D360" s="137" t="s">
        <v>245</v>
      </c>
      <c r="E360" s="29" t="s">
        <v>233</v>
      </c>
      <c r="F360" s="83" t="s">
        <v>55</v>
      </c>
      <c r="G360" s="83" t="s">
        <v>235</v>
      </c>
      <c r="H360" s="131">
        <v>3</v>
      </c>
      <c r="I360" s="24">
        <v>10</v>
      </c>
      <c r="J360" s="24">
        <v>0</v>
      </c>
      <c r="K360" s="24">
        <f t="shared" si="168"/>
        <v>30</v>
      </c>
      <c r="L360" s="24" t="s">
        <v>154</v>
      </c>
      <c r="M360" s="25" t="e">
        <f>_xlfn.XLOOKUP($E360,PREÇO!$C$6:$C$89,PREÇO!$E$6:$E$89)</f>
        <v>#N/A</v>
      </c>
      <c r="N360" s="59" t="e">
        <f>IF(SUM(H360:M360)=0,SUMIFS($N361:$N$759,$B361:$B$759,$B360,$A361:$A$759,$A360),K360*M360)</f>
        <v>#N/A</v>
      </c>
      <c r="P360"/>
      <c r="Q360"/>
      <c r="R360" s="27"/>
      <c r="S360" s="27"/>
      <c r="T360" s="27"/>
      <c r="U360" s="27"/>
      <c r="V360" s="27"/>
      <c r="W360" s="27"/>
      <c r="X360" s="27"/>
      <c r="Y360" s="27"/>
    </row>
    <row r="361" spans="1:25" outlineLevel="1">
      <c r="A361" s="23" t="str">
        <f t="shared" si="166"/>
        <v>GERAL</v>
      </c>
      <c r="B361" s="23" t="str">
        <f t="shared" si="167"/>
        <v>41º PAV. - TIPO 03</v>
      </c>
      <c r="C361" s="157" t="s">
        <v>281</v>
      </c>
      <c r="D361" s="137" t="s">
        <v>245</v>
      </c>
      <c r="E361" s="29" t="s">
        <v>224</v>
      </c>
      <c r="F361" s="83" t="s">
        <v>55</v>
      </c>
      <c r="G361" s="83" t="s">
        <v>228</v>
      </c>
      <c r="H361" s="131">
        <v>39</v>
      </c>
      <c r="I361" s="24">
        <v>10</v>
      </c>
      <c r="J361" s="24">
        <v>0</v>
      </c>
      <c r="K361" s="24">
        <f t="shared" si="168"/>
        <v>390</v>
      </c>
      <c r="L361" s="24" t="s">
        <v>154</v>
      </c>
      <c r="M361" s="25" t="e">
        <f>_xlfn.XLOOKUP($E361,PREÇO!$C$6:$C$89,PREÇO!$E$6:$E$89)</f>
        <v>#N/A</v>
      </c>
      <c r="N361" s="59" t="e">
        <f>IF(SUM(H361:M361)=0,SUMIFS($N362:$N$759,$B362:$B$759,$B361,$A362:$A$759,$A361),K361*M361)</f>
        <v>#N/A</v>
      </c>
      <c r="P361"/>
      <c r="Q361"/>
      <c r="R361" s="27"/>
      <c r="S361" s="27"/>
      <c r="T361" s="27"/>
      <c r="U361" s="27"/>
      <c r="V361" s="27"/>
      <c r="W361" s="27"/>
      <c r="X361" s="27"/>
      <c r="Y361" s="27"/>
    </row>
    <row r="362" spans="1:25" outlineLevel="1">
      <c r="A362" s="23" t="str">
        <f t="shared" si="166"/>
        <v>GERAL</v>
      </c>
      <c r="B362" s="23" t="str">
        <f t="shared" si="167"/>
        <v>41º PAV. - TIPO 03</v>
      </c>
      <c r="C362" s="157" t="s">
        <v>281</v>
      </c>
      <c r="D362" s="137" t="s">
        <v>245</v>
      </c>
      <c r="E362" s="29" t="s">
        <v>236</v>
      </c>
      <c r="F362" s="83" t="s">
        <v>55</v>
      </c>
      <c r="G362" s="83" t="s">
        <v>237</v>
      </c>
      <c r="H362" s="131">
        <v>22</v>
      </c>
      <c r="I362" s="24">
        <v>10</v>
      </c>
      <c r="J362" s="24">
        <v>0</v>
      </c>
      <c r="K362" s="24">
        <f t="shared" si="168"/>
        <v>220</v>
      </c>
      <c r="L362" s="24" t="s">
        <v>154</v>
      </c>
      <c r="M362" s="25" t="e">
        <f>_xlfn.XLOOKUP($E362,PREÇO!$C$6:$C$89,PREÇO!$E$6:$E$89)</f>
        <v>#N/A</v>
      </c>
      <c r="N362" s="59" t="e">
        <f>IF(SUM(H362:M362)=0,SUMIFS($N363:$N$759,$B363:$B$759,$B362,$A363:$A$759,$A362),K362*M362)</f>
        <v>#N/A</v>
      </c>
      <c r="P362"/>
      <c r="Q362"/>
      <c r="R362" s="27"/>
      <c r="S362" s="27"/>
      <c r="T362" s="27"/>
      <c r="U362" s="27"/>
      <c r="V362" s="27"/>
      <c r="W362" s="27"/>
      <c r="X362" s="27"/>
      <c r="Y362" s="27"/>
    </row>
    <row r="363" spans="1:25" outlineLevel="1">
      <c r="A363" s="23" t="str">
        <f t="shared" ref="A363:A364" si="169">A362</f>
        <v>GERAL</v>
      </c>
      <c r="B363" s="23" t="str">
        <f t="shared" ref="B363:B364" si="170">B362</f>
        <v>41º PAV. - TIPO 03</v>
      </c>
      <c r="C363" s="157" t="s">
        <v>281</v>
      </c>
      <c r="D363" s="137" t="s">
        <v>245</v>
      </c>
      <c r="E363" s="29" t="s">
        <v>225</v>
      </c>
      <c r="F363" s="83" t="s">
        <v>55</v>
      </c>
      <c r="G363" s="83" t="s">
        <v>229</v>
      </c>
      <c r="H363" s="131">
        <v>34</v>
      </c>
      <c r="I363" s="24">
        <v>10</v>
      </c>
      <c r="J363" s="24">
        <v>0</v>
      </c>
      <c r="K363" s="24">
        <f t="shared" si="168"/>
        <v>340</v>
      </c>
      <c r="L363" s="24" t="s">
        <v>154</v>
      </c>
      <c r="M363" s="25" t="e">
        <f>_xlfn.XLOOKUP($E363,PREÇO!$C$6:$C$89,PREÇO!$E$6:$E$89)</f>
        <v>#N/A</v>
      </c>
      <c r="N363" s="59" t="e">
        <f>IF(SUM(H363:M363)=0,SUMIFS($N364:$N$759,$B364:$B$759,$B363,$A364:$A$759,$A363),K363*M363)</f>
        <v>#N/A</v>
      </c>
      <c r="P363"/>
      <c r="Q363"/>
      <c r="R363" s="27"/>
      <c r="S363" s="27"/>
      <c r="T363" s="27"/>
      <c r="U363" s="27"/>
      <c r="V363" s="27"/>
      <c r="W363" s="27"/>
      <c r="X363" s="27"/>
      <c r="Y363" s="27"/>
    </row>
    <row r="364" spans="1:25" ht="15.75" outlineLevel="1" thickBot="1">
      <c r="A364" s="23" t="str">
        <f t="shared" si="169"/>
        <v>GERAL</v>
      </c>
      <c r="B364" s="23" t="str">
        <f t="shared" si="170"/>
        <v>41º PAV. - TIPO 03</v>
      </c>
      <c r="C364" s="157" t="s">
        <v>281</v>
      </c>
      <c r="D364" s="137" t="s">
        <v>245</v>
      </c>
      <c r="E364" s="29" t="s">
        <v>226</v>
      </c>
      <c r="F364" s="83" t="s">
        <v>55</v>
      </c>
      <c r="G364" s="83" t="s">
        <v>230</v>
      </c>
      <c r="H364" s="131">
        <v>6</v>
      </c>
      <c r="I364" s="24">
        <v>10</v>
      </c>
      <c r="J364" s="24">
        <v>0</v>
      </c>
      <c r="K364" s="24">
        <f t="shared" si="168"/>
        <v>60</v>
      </c>
      <c r="L364" s="24" t="s">
        <v>154</v>
      </c>
      <c r="M364" s="25" t="e">
        <f>_xlfn.XLOOKUP($E364,PREÇO!$C$6:$C$89,PREÇO!$E$6:$E$89)</f>
        <v>#N/A</v>
      </c>
      <c r="N364" s="59" t="e">
        <f>IF(SUM(H364:M364)=0,SUMIFS($N365:$N$759,$B365:$B$759,$B364,$A365:$A$759,$A364),K364*M364)</f>
        <v>#N/A</v>
      </c>
      <c r="P364"/>
      <c r="Q364"/>
      <c r="R364" s="27"/>
      <c r="S364" s="27"/>
      <c r="T364" s="27"/>
      <c r="U364" s="27"/>
      <c r="V364" s="27"/>
      <c r="W364" s="27"/>
      <c r="X364" s="27"/>
      <c r="Y364" s="27"/>
    </row>
    <row r="365" spans="1:25" ht="15.75" thickTop="1">
      <c r="A365" s="63" t="s">
        <v>15</v>
      </c>
      <c r="B365" s="138" t="s">
        <v>274</v>
      </c>
      <c r="C365" s="42"/>
      <c r="D365" s="43"/>
      <c r="E365" s="43"/>
      <c r="F365" s="82"/>
      <c r="G365" s="82"/>
      <c r="H365" s="132"/>
      <c r="I365" s="44"/>
      <c r="J365" s="44"/>
      <c r="K365" s="44"/>
      <c r="L365" s="44" t="e">
        <f>#REF!</f>
        <v>#REF!</v>
      </c>
      <c r="M365" s="46"/>
      <c r="N365" s="47" t="e">
        <f>IF(SUM(H365:M365)=0,SUMIFS($N366:$N$759,$B366:$B$759,$B365,$A366:$A$759,$A365),K365*M365)</f>
        <v>#REF!</v>
      </c>
      <c r="P365"/>
      <c r="Q365"/>
      <c r="R365" s="27"/>
      <c r="S365" s="27"/>
      <c r="T365" s="27"/>
      <c r="U365" s="27"/>
      <c r="V365" s="27"/>
      <c r="W365" s="27"/>
      <c r="X365" s="27"/>
      <c r="Y365" s="27"/>
    </row>
    <row r="366" spans="1:25" ht="30" outlineLevel="1">
      <c r="A366" s="23" t="str">
        <f>A365</f>
        <v>GERAL</v>
      </c>
      <c r="B366" s="23" t="str">
        <f>B365</f>
        <v>TIPO 04</v>
      </c>
      <c r="C366" s="29" t="s">
        <v>282</v>
      </c>
      <c r="D366" s="137" t="s">
        <v>246</v>
      </c>
      <c r="E366" s="137" t="s">
        <v>51</v>
      </c>
      <c r="F366" s="83" t="s">
        <v>56</v>
      </c>
      <c r="G366" s="139" t="s">
        <v>231</v>
      </c>
      <c r="H366" s="131">
        <v>14</v>
      </c>
      <c r="I366" s="24">
        <v>74</v>
      </c>
      <c r="J366" s="24">
        <v>0</v>
      </c>
      <c r="K366" s="24">
        <f t="shared" ref="K366" si="171">(H366+J366*H366)*I366</f>
        <v>1036</v>
      </c>
      <c r="L366" s="24" t="s">
        <v>154</v>
      </c>
      <c r="M366" s="25" t="e">
        <f>_xlfn.XLOOKUP($E366,PREÇO!$C$6:$C$89,PREÇO!$E$6:$E$89)</f>
        <v>#N/A</v>
      </c>
      <c r="N366" s="59" t="e">
        <f>IF(SUM(H366:M366)=0,SUMIFS($N367:$N$759,$B367:$B$759,$B366,$A367:$A$759,$A366),K366*M366)</f>
        <v>#N/A</v>
      </c>
      <c r="P366"/>
      <c r="Q366"/>
      <c r="R366" s="27"/>
      <c r="S366" s="27"/>
      <c r="T366" s="27"/>
      <c r="U366" s="27"/>
      <c r="V366" s="27"/>
      <c r="W366" s="27"/>
      <c r="X366" s="27"/>
      <c r="Y366" s="27"/>
    </row>
    <row r="367" spans="1:25" outlineLevel="1">
      <c r="A367" s="23" t="str">
        <f t="shared" ref="A367:A370" si="172">A366</f>
        <v>GERAL</v>
      </c>
      <c r="B367" s="23" t="str">
        <f t="shared" ref="B367:B370" si="173">B366</f>
        <v>TIPO 04</v>
      </c>
      <c r="C367" s="157" t="s">
        <v>281</v>
      </c>
      <c r="D367" s="137" t="s">
        <v>246</v>
      </c>
      <c r="E367" s="137" t="s">
        <v>223</v>
      </c>
      <c r="F367" s="83" t="s">
        <v>55</v>
      </c>
      <c r="G367" s="83" t="s">
        <v>227</v>
      </c>
      <c r="H367" s="131">
        <v>2</v>
      </c>
      <c r="I367" s="24">
        <v>74</v>
      </c>
      <c r="J367" s="24">
        <v>0</v>
      </c>
      <c r="K367" s="24">
        <f t="shared" ref="K367:K370" si="174">(H367+J367*H367)*I367</f>
        <v>148</v>
      </c>
      <c r="L367" s="24" t="s">
        <v>154</v>
      </c>
      <c r="M367" s="25" t="e">
        <f>_xlfn.XLOOKUP(#REF!,PREÇO!$C$6:$C$89,PREÇO!$E$6:$E$89)</f>
        <v>#REF!</v>
      </c>
      <c r="N367" s="59" t="e">
        <f>IF(SUM(H367:M367)=0,SUMIFS($N368:$N$759,$B368:$B$759,$B367,$A368:$A$759,$A367),K367*M367)</f>
        <v>#REF!</v>
      </c>
      <c r="P367"/>
      <c r="Q367"/>
      <c r="R367" s="27"/>
      <c r="S367" s="27"/>
      <c r="T367" s="27"/>
      <c r="U367" s="27"/>
      <c r="V367" s="27"/>
      <c r="W367" s="27"/>
      <c r="X367" s="27"/>
      <c r="Y367" s="27"/>
    </row>
    <row r="368" spans="1:25" outlineLevel="1">
      <c r="A368" s="23" t="str">
        <f t="shared" si="172"/>
        <v>GERAL</v>
      </c>
      <c r="B368" s="23" t="str">
        <f t="shared" si="173"/>
        <v>TIPO 04</v>
      </c>
      <c r="C368" s="157" t="s">
        <v>281</v>
      </c>
      <c r="D368" s="137" t="s">
        <v>246</v>
      </c>
      <c r="E368" s="137" t="s">
        <v>224</v>
      </c>
      <c r="F368" s="83" t="s">
        <v>55</v>
      </c>
      <c r="G368" s="83" t="s">
        <v>228</v>
      </c>
      <c r="H368" s="131">
        <v>10</v>
      </c>
      <c r="I368" s="24">
        <v>74</v>
      </c>
      <c r="J368" s="24">
        <v>0</v>
      </c>
      <c r="K368" s="24">
        <f t="shared" si="174"/>
        <v>740</v>
      </c>
      <c r="L368" s="24" t="s">
        <v>154</v>
      </c>
      <c r="M368" s="25" t="e">
        <f>_xlfn.XLOOKUP($E367,PREÇO!$C$6:$C$89,PREÇO!$E$6:$E$89)</f>
        <v>#N/A</v>
      </c>
      <c r="N368" s="59" t="e">
        <f>IF(SUM(H368:M368)=0,SUMIFS($N369:$N$759,$B369:$B$759,$B368,$A369:$A$759,$A368),K368*M368)</f>
        <v>#N/A</v>
      </c>
      <c r="P368"/>
      <c r="Q368"/>
      <c r="R368" s="27"/>
      <c r="S368" s="27"/>
      <c r="T368" s="27"/>
      <c r="U368" s="27"/>
      <c r="V368" s="27"/>
      <c r="W368" s="27"/>
      <c r="X368" s="27"/>
      <c r="Y368" s="27"/>
    </row>
    <row r="369" spans="1:25" outlineLevel="1">
      <c r="A369" s="23" t="str">
        <f t="shared" si="172"/>
        <v>GERAL</v>
      </c>
      <c r="B369" s="23" t="str">
        <f t="shared" si="173"/>
        <v>TIPO 04</v>
      </c>
      <c r="C369" s="157" t="s">
        <v>281</v>
      </c>
      <c r="D369" s="137" t="s">
        <v>246</v>
      </c>
      <c r="E369" s="137" t="s">
        <v>225</v>
      </c>
      <c r="F369" s="83" t="s">
        <v>55</v>
      </c>
      <c r="G369" s="83" t="s">
        <v>229</v>
      </c>
      <c r="H369" s="131">
        <v>8</v>
      </c>
      <c r="I369" s="24">
        <v>74</v>
      </c>
      <c r="J369" s="24">
        <v>0</v>
      </c>
      <c r="K369" s="24">
        <f t="shared" si="174"/>
        <v>592</v>
      </c>
      <c r="L369" s="24" t="s">
        <v>154</v>
      </c>
      <c r="M369" s="25" t="e">
        <f>_xlfn.XLOOKUP(#REF!,PREÇO!$C$6:$C$89,PREÇO!$E$6:$E$89)</f>
        <v>#REF!</v>
      </c>
      <c r="N369" s="59" t="e">
        <f>IF(SUM(H369:M369)=0,SUMIFS($N370:$N$759,$B370:$B$759,$B369,$A370:$A$759,$A369),K369*M369)</f>
        <v>#REF!</v>
      </c>
      <c r="P369"/>
      <c r="Q369"/>
      <c r="R369" s="27"/>
      <c r="S369" s="27"/>
      <c r="T369" s="27"/>
      <c r="U369" s="27"/>
      <c r="V369" s="27"/>
      <c r="W369" s="27"/>
      <c r="X369" s="27"/>
      <c r="Y369" s="27"/>
    </row>
    <row r="370" spans="1:25" ht="15.75" outlineLevel="1" thickBot="1">
      <c r="A370" s="23" t="str">
        <f t="shared" si="172"/>
        <v>GERAL</v>
      </c>
      <c r="B370" s="23" t="str">
        <f t="shared" si="173"/>
        <v>TIPO 04</v>
      </c>
      <c r="C370" s="157" t="s">
        <v>281</v>
      </c>
      <c r="D370" s="137" t="s">
        <v>246</v>
      </c>
      <c r="E370" s="137" t="s">
        <v>226</v>
      </c>
      <c r="F370" s="83" t="s">
        <v>55</v>
      </c>
      <c r="G370" s="83" t="s">
        <v>230</v>
      </c>
      <c r="H370" s="131">
        <v>2</v>
      </c>
      <c r="I370" s="24">
        <v>74</v>
      </c>
      <c r="J370" s="24">
        <v>0</v>
      </c>
      <c r="K370" s="24">
        <f t="shared" si="174"/>
        <v>148</v>
      </c>
      <c r="L370" s="24" t="s">
        <v>154</v>
      </c>
      <c r="M370" s="25" t="e">
        <f>_xlfn.XLOOKUP($E368,PREÇO!$C$6:$C$89,PREÇO!$E$6:$E$89)</f>
        <v>#N/A</v>
      </c>
      <c r="N370" s="59" t="e">
        <f>IF(SUM(H370:M370)=0,SUMIFS($N371:$N$759,$B371:$B$759,$B370,$A371:$A$759,$A370),K370*M370)</f>
        <v>#N/A</v>
      </c>
      <c r="P370"/>
      <c r="Q370"/>
      <c r="R370" s="27"/>
      <c r="S370" s="27"/>
      <c r="T370" s="27"/>
      <c r="U370" s="27"/>
      <c r="V370" s="27"/>
      <c r="W370" s="27"/>
      <c r="X370" s="27"/>
      <c r="Y370" s="27"/>
    </row>
    <row r="371" spans="1:25" ht="15.75" thickTop="1">
      <c r="A371" s="63" t="s">
        <v>15</v>
      </c>
      <c r="B371" s="63" t="s">
        <v>35</v>
      </c>
      <c r="C371" s="42"/>
      <c r="D371" s="43"/>
      <c r="E371" s="43"/>
      <c r="F371" s="82"/>
      <c r="G371" s="82"/>
      <c r="H371" s="132"/>
      <c r="I371" s="44"/>
      <c r="J371" s="44"/>
      <c r="K371" s="44"/>
      <c r="L371" s="44"/>
      <c r="M371" s="46"/>
      <c r="N371" s="47" t="e">
        <f>IF(SUM(H371:M371)=0,SUMIFS($N372:$N$759,$B372:$B$759,$B371,$A372:$A$759,$A371),K371*M371)</f>
        <v>#N/A</v>
      </c>
      <c r="P371"/>
      <c r="Q371"/>
      <c r="R371" s="27"/>
      <c r="S371" s="27"/>
      <c r="T371" s="27"/>
      <c r="U371" s="27"/>
      <c r="V371" s="27"/>
      <c r="W371" s="27"/>
      <c r="X371" s="27"/>
      <c r="Y371" s="27"/>
    </row>
    <row r="372" spans="1:25" outlineLevel="1">
      <c r="A372" s="23" t="str">
        <f>A371</f>
        <v>GERAL</v>
      </c>
      <c r="B372" s="23" t="str">
        <f>B371</f>
        <v>63º PAV. - LAZER 03</v>
      </c>
      <c r="C372" s="29" t="s">
        <v>276</v>
      </c>
      <c r="D372" s="137" t="s">
        <v>267</v>
      </c>
      <c r="E372" s="137" t="s">
        <v>248</v>
      </c>
      <c r="F372" s="83" t="s">
        <v>255</v>
      </c>
      <c r="G372" s="83" t="s">
        <v>256</v>
      </c>
      <c r="H372" s="131">
        <v>3</v>
      </c>
      <c r="I372" s="24">
        <v>1</v>
      </c>
      <c r="J372" s="24">
        <v>0</v>
      </c>
      <c r="K372" s="24">
        <f t="shared" ref="K372" si="175">(H372+J372*H372)*I372</f>
        <v>3</v>
      </c>
      <c r="L372" s="24" t="s">
        <v>155</v>
      </c>
      <c r="M372" s="25" t="e">
        <f>_xlfn.XLOOKUP($E372,PREÇO!$C$6:$C$89,PREÇO!$E$6:$E$89)</f>
        <v>#N/A</v>
      </c>
      <c r="N372" s="59" t="e">
        <f>IF(SUM(H372:M372)=0,SUMIFS($N373:$N$759,$B373:$B$759,$B372,$A373:$A$759,$A372),K372*M372)</f>
        <v>#N/A</v>
      </c>
      <c r="P372"/>
      <c r="Q372"/>
      <c r="R372" s="27"/>
      <c r="S372" s="27"/>
      <c r="T372" s="27"/>
      <c r="U372" s="27"/>
      <c r="V372" s="27"/>
      <c r="W372" s="27"/>
      <c r="X372" s="27"/>
      <c r="Y372" s="27"/>
    </row>
    <row r="373" spans="1:25" ht="30" outlineLevel="1">
      <c r="A373" s="23" t="str">
        <f t="shared" ref="A373:A376" si="176">A372</f>
        <v>GERAL</v>
      </c>
      <c r="B373" s="23" t="str">
        <f t="shared" ref="B373:B376" si="177">B372</f>
        <v>63º PAV. - LAZER 03</v>
      </c>
      <c r="C373" s="29" t="s">
        <v>277</v>
      </c>
      <c r="D373" s="137" t="s">
        <v>267</v>
      </c>
      <c r="E373" s="137" t="s">
        <v>51</v>
      </c>
      <c r="F373" s="83" t="s">
        <v>56</v>
      </c>
      <c r="G373" s="139" t="s">
        <v>231</v>
      </c>
      <c r="H373" s="131">
        <v>4</v>
      </c>
      <c r="I373" s="24">
        <v>1</v>
      </c>
      <c r="J373" s="24">
        <v>0</v>
      </c>
      <c r="K373" s="24">
        <f t="shared" ref="K373:K388" si="178">(H373+J373*H373)*I373</f>
        <v>4</v>
      </c>
      <c r="L373" s="24" t="s">
        <v>155</v>
      </c>
      <c r="M373" s="25" t="e">
        <f>_xlfn.XLOOKUP(#REF!,PREÇO!$C$6:$C$89,PREÇO!$E$6:$E$89)</f>
        <v>#REF!</v>
      </c>
      <c r="N373" s="59" t="e">
        <f>IF(SUM(H373:M373)=0,SUMIFS($N374:$N$759,$B374:$B$759,$B373,$A374:$A$759,$A373),K373*M373)</f>
        <v>#REF!</v>
      </c>
      <c r="P373"/>
      <c r="Q373"/>
      <c r="R373" s="27"/>
      <c r="S373" s="27"/>
      <c r="T373" s="27"/>
      <c r="U373" s="27"/>
      <c r="V373" s="27"/>
      <c r="W373" s="27"/>
      <c r="X373" s="27"/>
      <c r="Y373" s="27"/>
    </row>
    <row r="374" spans="1:25" ht="30" outlineLevel="1">
      <c r="A374" s="23" t="str">
        <f t="shared" si="176"/>
        <v>GERAL</v>
      </c>
      <c r="B374" s="23" t="str">
        <f t="shared" si="177"/>
        <v>63º PAV. - LAZER 03</v>
      </c>
      <c r="C374" s="29" t="s">
        <v>277</v>
      </c>
      <c r="D374" s="137" t="s">
        <v>267</v>
      </c>
      <c r="E374" s="137" t="s">
        <v>249</v>
      </c>
      <c r="F374" s="83" t="s">
        <v>56</v>
      </c>
      <c r="G374" s="139" t="s">
        <v>260</v>
      </c>
      <c r="H374" s="131">
        <v>1</v>
      </c>
      <c r="I374" s="24">
        <v>1</v>
      </c>
      <c r="J374" s="24">
        <v>0</v>
      </c>
      <c r="K374" s="24">
        <f t="shared" si="178"/>
        <v>1</v>
      </c>
      <c r="L374" s="24" t="s">
        <v>155</v>
      </c>
      <c r="M374" s="25" t="e">
        <f>_xlfn.XLOOKUP($E373,PREÇO!$C$6:$C$89,PREÇO!$E$6:$E$89)</f>
        <v>#N/A</v>
      </c>
      <c r="N374" s="59" t="e">
        <f>IF(SUM(H374:M374)=0,SUMIFS($N375:$N$759,$B375:$B$759,$B374,$A375:$A$759,$A374),K374*M374)</f>
        <v>#N/A</v>
      </c>
      <c r="P374"/>
      <c r="Q374"/>
      <c r="R374" s="27"/>
      <c r="S374" s="27"/>
      <c r="T374" s="27"/>
      <c r="U374" s="27"/>
      <c r="V374" s="27"/>
      <c r="W374" s="27"/>
      <c r="X374" s="27"/>
      <c r="Y374" s="27"/>
    </row>
    <row r="375" spans="1:25" ht="30" outlineLevel="1">
      <c r="A375" s="23" t="str">
        <f t="shared" si="176"/>
        <v>GERAL</v>
      </c>
      <c r="B375" s="23" t="str">
        <f t="shared" si="177"/>
        <v>63º PAV. - LAZER 03</v>
      </c>
      <c r="C375" s="29" t="s">
        <v>277</v>
      </c>
      <c r="D375" s="137" t="s">
        <v>267</v>
      </c>
      <c r="E375" s="137" t="s">
        <v>250</v>
      </c>
      <c r="F375" s="83" t="s">
        <v>56</v>
      </c>
      <c r="G375" s="139" t="s">
        <v>261</v>
      </c>
      <c r="H375" s="131">
        <v>3</v>
      </c>
      <c r="I375" s="24">
        <v>1</v>
      </c>
      <c r="J375" s="24">
        <v>0</v>
      </c>
      <c r="K375" s="24">
        <f t="shared" si="178"/>
        <v>3</v>
      </c>
      <c r="L375" s="24" t="s">
        <v>155</v>
      </c>
      <c r="M375" s="25" t="e">
        <f>_xlfn.XLOOKUP(#REF!,PREÇO!$C$6:$C$89,PREÇO!$E$6:$E$89)</f>
        <v>#REF!</v>
      </c>
      <c r="N375" s="59" t="e">
        <f>IF(SUM(H375:M375)=0,SUMIFS($N376:$N$759,$B376:$B$759,$B375,$A376:$A$759,$A375),K375*M375)</f>
        <v>#REF!</v>
      </c>
      <c r="P375"/>
      <c r="Q375"/>
      <c r="R375" s="27"/>
      <c r="S375" s="27"/>
      <c r="T375" s="27"/>
      <c r="U375" s="27"/>
      <c r="V375" s="27"/>
      <c r="W375" s="27"/>
      <c r="X375" s="27"/>
      <c r="Y375" s="27"/>
    </row>
    <row r="376" spans="1:25" outlineLevel="1">
      <c r="A376" s="23" t="str">
        <f t="shared" si="176"/>
        <v>GERAL</v>
      </c>
      <c r="B376" s="23" t="str">
        <f t="shared" si="177"/>
        <v>63º PAV. - LAZER 03</v>
      </c>
      <c r="C376" s="29" t="s">
        <v>277</v>
      </c>
      <c r="D376" s="137" t="s">
        <v>267</v>
      </c>
      <c r="E376" s="29" t="s">
        <v>178</v>
      </c>
      <c r="F376" s="139" t="s">
        <v>89</v>
      </c>
      <c r="G376" s="139" t="s">
        <v>262</v>
      </c>
      <c r="H376" s="131">
        <v>4</v>
      </c>
      <c r="I376" s="24">
        <v>1</v>
      </c>
      <c r="J376" s="24">
        <v>0</v>
      </c>
      <c r="K376" s="24">
        <f t="shared" si="178"/>
        <v>4</v>
      </c>
      <c r="L376" s="24" t="s">
        <v>155</v>
      </c>
      <c r="M376" s="25" t="e">
        <f>_xlfn.XLOOKUP($E374,PREÇO!$C$6:$C$89,PREÇO!$E$6:$E$89)</f>
        <v>#N/A</v>
      </c>
      <c r="N376" s="59" t="e">
        <f>IF(SUM(H376:M376)=0,SUMIFS($N377:$N$759,$B377:$B$759,$B376,$A377:$A$759,$A376),K376*M376)</f>
        <v>#N/A</v>
      </c>
      <c r="P376"/>
      <c r="Q376"/>
      <c r="R376" s="27"/>
      <c r="S376" s="27"/>
      <c r="T376" s="27"/>
      <c r="U376" s="27"/>
      <c r="V376" s="27"/>
      <c r="W376" s="27"/>
      <c r="X376" s="27"/>
      <c r="Y376" s="27"/>
    </row>
    <row r="377" spans="1:25" outlineLevel="1">
      <c r="A377" s="23" t="str">
        <f t="shared" ref="A377:A386" si="179">A376</f>
        <v>GERAL</v>
      </c>
      <c r="B377" s="23" t="str">
        <f t="shared" ref="B377:B386" si="180">B376</f>
        <v>63º PAV. - LAZER 03</v>
      </c>
      <c r="C377" s="29" t="s">
        <v>276</v>
      </c>
      <c r="D377" s="137" t="s">
        <v>267</v>
      </c>
      <c r="E377" s="29" t="s">
        <v>247</v>
      </c>
      <c r="F377" s="83" t="s">
        <v>55</v>
      </c>
      <c r="G377" s="83" t="s">
        <v>257</v>
      </c>
      <c r="H377" s="131">
        <v>3</v>
      </c>
      <c r="I377" s="24">
        <v>1</v>
      </c>
      <c r="J377" s="24">
        <v>0</v>
      </c>
      <c r="K377" s="24">
        <f t="shared" si="178"/>
        <v>3</v>
      </c>
      <c r="L377" s="24" t="s">
        <v>155</v>
      </c>
      <c r="M377" s="25" t="e">
        <f>_xlfn.XLOOKUP(#REF!,PREÇO!$C$6:$C$89,PREÇO!$E$6:$E$89)</f>
        <v>#REF!</v>
      </c>
      <c r="N377" s="59" t="e">
        <f>IF(SUM(H377:M377)=0,SUMIFS($N378:$N$759,$B378:$B$759,$B377,$A378:$A$759,$A377),K377*M377)</f>
        <v>#REF!</v>
      </c>
      <c r="P377"/>
      <c r="Q377"/>
      <c r="R377" s="27"/>
      <c r="S377" s="27"/>
      <c r="T377" s="27"/>
      <c r="U377" s="27"/>
      <c r="V377" s="27"/>
      <c r="W377" s="27"/>
      <c r="X377" s="27"/>
      <c r="Y377" s="27"/>
    </row>
    <row r="378" spans="1:25" outlineLevel="1">
      <c r="A378" s="23" t="str">
        <f t="shared" si="179"/>
        <v>GERAL</v>
      </c>
      <c r="B378" s="23" t="str">
        <f t="shared" si="180"/>
        <v>63º PAV. - LAZER 03</v>
      </c>
      <c r="C378" s="29" t="s">
        <v>276</v>
      </c>
      <c r="D378" s="137" t="s">
        <v>267</v>
      </c>
      <c r="E378" s="137" t="s">
        <v>251</v>
      </c>
      <c r="F378" s="83" t="s">
        <v>55</v>
      </c>
      <c r="G378" s="83" t="s">
        <v>171</v>
      </c>
      <c r="H378" s="131">
        <v>1</v>
      </c>
      <c r="I378" s="24">
        <v>1</v>
      </c>
      <c r="J378" s="24">
        <v>0</v>
      </c>
      <c r="K378" s="24">
        <f t="shared" si="178"/>
        <v>1</v>
      </c>
      <c r="L378" s="24" t="s">
        <v>155</v>
      </c>
      <c r="M378" s="25" t="e">
        <f>_xlfn.XLOOKUP(#REF!,PREÇO!$C$6:$C$89,PREÇO!$E$6:$E$89)</f>
        <v>#REF!</v>
      </c>
      <c r="N378" s="59" t="e">
        <f>IF(SUM(H378:M378)=0,SUMIFS($N379:$N$759,$B379:$B$759,$B378,$A379:$A$759,$A378),K378*M378)</f>
        <v>#REF!</v>
      </c>
      <c r="P378"/>
      <c r="Q378"/>
      <c r="R378" s="27"/>
      <c r="S378" s="27"/>
      <c r="T378" s="27"/>
      <c r="U378" s="27"/>
      <c r="V378" s="27"/>
      <c r="W378" s="27"/>
      <c r="X378" s="27"/>
      <c r="Y378" s="27"/>
    </row>
    <row r="379" spans="1:25" outlineLevel="1">
      <c r="A379" s="23" t="str">
        <f t="shared" si="179"/>
        <v>GERAL</v>
      </c>
      <c r="B379" s="23" t="str">
        <f t="shared" si="180"/>
        <v>63º PAV. - LAZER 03</v>
      </c>
      <c r="C379" s="29" t="s">
        <v>276</v>
      </c>
      <c r="D379" s="137" t="s">
        <v>267</v>
      </c>
      <c r="E379" s="137" t="s">
        <v>251</v>
      </c>
      <c r="F379" s="83" t="s">
        <v>55</v>
      </c>
      <c r="G379" s="85" t="s">
        <v>172</v>
      </c>
      <c r="H379" s="131">
        <v>1</v>
      </c>
      <c r="I379" s="24">
        <v>1</v>
      </c>
      <c r="J379" s="24">
        <v>0</v>
      </c>
      <c r="K379" s="24">
        <f t="shared" si="178"/>
        <v>1</v>
      </c>
      <c r="L379" s="24" t="s">
        <v>155</v>
      </c>
      <c r="M379" s="25" t="e">
        <f>_xlfn.XLOOKUP($E375,PREÇO!$C$6:$C$89,PREÇO!$E$6:$E$89)</f>
        <v>#N/A</v>
      </c>
      <c r="N379" s="59" t="e">
        <f>IF(SUM(H379:M379)=0,SUMIFS($N380:$N$759,$B380:$B$759,$B379,$A380:$A$759,$A379),K379*M379)</f>
        <v>#N/A</v>
      </c>
      <c r="P379"/>
      <c r="Q379"/>
      <c r="R379" s="27"/>
      <c r="S379" s="27"/>
      <c r="T379" s="27"/>
      <c r="U379" s="27"/>
      <c r="V379" s="27"/>
      <c r="W379" s="27"/>
      <c r="X379" s="27"/>
      <c r="Y379" s="27"/>
    </row>
    <row r="380" spans="1:25" outlineLevel="1">
      <c r="A380" s="23" t="str">
        <f t="shared" si="179"/>
        <v>GERAL</v>
      </c>
      <c r="B380" s="23" t="str">
        <f t="shared" si="180"/>
        <v>63º PAV. - LAZER 03</v>
      </c>
      <c r="C380" s="29" t="s">
        <v>276</v>
      </c>
      <c r="D380" s="137" t="s">
        <v>267</v>
      </c>
      <c r="E380" s="137" t="s">
        <v>252</v>
      </c>
      <c r="F380" s="83" t="s">
        <v>55</v>
      </c>
      <c r="G380" s="83" t="s">
        <v>258</v>
      </c>
      <c r="H380" s="131">
        <v>1</v>
      </c>
      <c r="I380" s="24">
        <v>1</v>
      </c>
      <c r="J380" s="24">
        <v>0</v>
      </c>
      <c r="K380" s="24">
        <f t="shared" si="178"/>
        <v>1</v>
      </c>
      <c r="L380" s="24" t="s">
        <v>155</v>
      </c>
      <c r="M380" s="25" t="e">
        <f>_xlfn.XLOOKUP(#REF!,PREÇO!$C$6:$C$89,PREÇO!$E$6:$E$89)</f>
        <v>#REF!</v>
      </c>
      <c r="N380" s="59" t="e">
        <f>IF(SUM(H380:M380)=0,SUMIFS($N381:$N$759,$B381:$B$759,$B380,$A381:$A$759,$A380),K380*M380)</f>
        <v>#REF!</v>
      </c>
      <c r="P380"/>
      <c r="Q380"/>
      <c r="R380" s="27"/>
      <c r="S380" s="27"/>
      <c r="T380" s="27"/>
      <c r="U380" s="27"/>
      <c r="V380" s="27"/>
      <c r="W380" s="27"/>
      <c r="X380" s="27"/>
      <c r="Y380" s="27"/>
    </row>
    <row r="381" spans="1:25" outlineLevel="1">
      <c r="A381" s="23" t="str">
        <f t="shared" si="179"/>
        <v>GERAL</v>
      </c>
      <c r="B381" s="23" t="str">
        <f t="shared" si="180"/>
        <v>63º PAV. - LAZER 03</v>
      </c>
      <c r="C381" s="29" t="s">
        <v>276</v>
      </c>
      <c r="D381" s="137" t="s">
        <v>267</v>
      </c>
      <c r="E381" s="137" t="s">
        <v>253</v>
      </c>
      <c r="F381" s="83" t="s">
        <v>55</v>
      </c>
      <c r="G381" s="85" t="s">
        <v>234</v>
      </c>
      <c r="H381" s="131">
        <v>1</v>
      </c>
      <c r="I381" s="24">
        <v>1</v>
      </c>
      <c r="J381" s="24">
        <v>0</v>
      </c>
      <c r="K381" s="24">
        <f t="shared" si="178"/>
        <v>1</v>
      </c>
      <c r="L381" s="24" t="s">
        <v>155</v>
      </c>
      <c r="M381" s="25" t="e">
        <f>_xlfn.XLOOKUP(#REF!,PREÇO!$C$6:$C$89,PREÇO!$E$6:$E$89)</f>
        <v>#REF!</v>
      </c>
      <c r="N381" s="59" t="e">
        <f>IF(SUM(H381:M381)=0,SUMIFS($N382:$N$759,$B382:$B$759,$B381,$A382:$A$759,$A381),K381*M381)</f>
        <v>#REF!</v>
      </c>
      <c r="P381"/>
      <c r="Q381"/>
      <c r="R381" s="27"/>
      <c r="S381" s="27"/>
      <c r="T381" s="27"/>
      <c r="U381" s="27"/>
      <c r="V381" s="27"/>
      <c r="W381" s="27"/>
      <c r="X381" s="27"/>
      <c r="Y381" s="27"/>
    </row>
    <row r="382" spans="1:25" outlineLevel="1">
      <c r="A382" s="23" t="str">
        <f t="shared" si="179"/>
        <v>GERAL</v>
      </c>
      <c r="B382" s="23" t="str">
        <f t="shared" si="180"/>
        <v>63º PAV. - LAZER 03</v>
      </c>
      <c r="C382" s="29" t="s">
        <v>276</v>
      </c>
      <c r="D382" s="137" t="s">
        <v>267</v>
      </c>
      <c r="E382" s="137" t="s">
        <v>186</v>
      </c>
      <c r="F382" s="83" t="s">
        <v>55</v>
      </c>
      <c r="G382" s="83" t="s">
        <v>191</v>
      </c>
      <c r="H382" s="131">
        <v>2</v>
      </c>
      <c r="I382" s="24">
        <v>1</v>
      </c>
      <c r="J382" s="24">
        <v>0</v>
      </c>
      <c r="K382" s="24">
        <f t="shared" si="178"/>
        <v>2</v>
      </c>
      <c r="L382" s="24" t="s">
        <v>155</v>
      </c>
      <c r="M382" s="25" t="e">
        <f>_xlfn.XLOOKUP($E376,PREÇO!$C$6:$C$89,PREÇO!$E$6:$E$89)</f>
        <v>#N/A</v>
      </c>
      <c r="N382" s="59" t="e">
        <f>IF(SUM(H382:M382)=0,SUMIFS($N383:$N$759,$B383:$B$759,$B382,$A383:$A$759,$A382),K382*M382)</f>
        <v>#N/A</v>
      </c>
      <c r="P382"/>
      <c r="Q382"/>
      <c r="R382" s="27"/>
      <c r="S382" s="27"/>
      <c r="T382" s="27"/>
      <c r="U382" s="27"/>
      <c r="V382" s="27"/>
      <c r="W382" s="27"/>
      <c r="X382" s="27"/>
      <c r="Y382" s="27"/>
    </row>
    <row r="383" spans="1:25" outlineLevel="1">
      <c r="A383" s="23" t="str">
        <f t="shared" si="179"/>
        <v>GERAL</v>
      </c>
      <c r="B383" s="23" t="str">
        <f t="shared" si="180"/>
        <v>63º PAV. - LAZER 03</v>
      </c>
      <c r="C383" s="29" t="s">
        <v>276</v>
      </c>
      <c r="D383" s="137" t="s">
        <v>267</v>
      </c>
      <c r="E383" s="137" t="s">
        <v>188</v>
      </c>
      <c r="F383" s="83" t="s">
        <v>55</v>
      </c>
      <c r="G383" s="83" t="s">
        <v>193</v>
      </c>
      <c r="H383" s="131">
        <v>5</v>
      </c>
      <c r="I383" s="24">
        <v>1</v>
      </c>
      <c r="J383" s="24">
        <v>0</v>
      </c>
      <c r="K383" s="24">
        <f t="shared" si="178"/>
        <v>5</v>
      </c>
      <c r="L383" s="24" t="s">
        <v>155</v>
      </c>
      <c r="M383" s="25" t="e">
        <f>_xlfn.XLOOKUP($E377,PREÇO!$C$6:$C$89,PREÇO!$E$6:$E$89)</f>
        <v>#N/A</v>
      </c>
      <c r="N383" s="59" t="e">
        <f>IF(SUM(H383:M383)=0,SUMIFS($N384:$N$759,$B384:$B$759,$B383,$A384:$A$759,$A383),K383*M383)</f>
        <v>#N/A</v>
      </c>
      <c r="P383"/>
      <c r="Q383"/>
      <c r="R383" s="27"/>
      <c r="S383" s="27"/>
      <c r="T383" s="27"/>
      <c r="U383" s="27"/>
      <c r="V383" s="27"/>
      <c r="W383" s="27"/>
      <c r="X383" s="27"/>
      <c r="Y383" s="27"/>
    </row>
    <row r="384" spans="1:25" outlineLevel="1">
      <c r="A384" s="23" t="str">
        <f t="shared" si="179"/>
        <v>GERAL</v>
      </c>
      <c r="B384" s="23" t="str">
        <f t="shared" si="180"/>
        <v>63º PAV. - LAZER 03</v>
      </c>
      <c r="C384" s="29" t="s">
        <v>276</v>
      </c>
      <c r="D384" s="137" t="s">
        <v>267</v>
      </c>
      <c r="E384" s="137" t="s">
        <v>254</v>
      </c>
      <c r="F384" s="83" t="s">
        <v>55</v>
      </c>
      <c r="G384" s="83" t="s">
        <v>259</v>
      </c>
      <c r="H384" s="131">
        <v>8</v>
      </c>
      <c r="I384" s="24">
        <v>1</v>
      </c>
      <c r="J384" s="24">
        <v>0</v>
      </c>
      <c r="K384" s="24">
        <f t="shared" si="178"/>
        <v>8</v>
      </c>
      <c r="L384" s="24" t="s">
        <v>155</v>
      </c>
      <c r="M384" s="25" t="e">
        <f>_xlfn.XLOOKUP($E378,PREÇO!$C$6:$C$89,PREÇO!$E$6:$E$89)</f>
        <v>#N/A</v>
      </c>
      <c r="N384" s="59" t="e">
        <f>IF(SUM(H384:M384)=0,SUMIFS($N385:$N$759,$B385:$B$759,$B384,$A385:$A$759,$A384),K384*M384)</f>
        <v>#N/A</v>
      </c>
      <c r="P384"/>
      <c r="Q384"/>
      <c r="R384" s="27"/>
      <c r="S384" s="27"/>
      <c r="T384" s="27"/>
      <c r="U384" s="27"/>
      <c r="V384" s="27"/>
      <c r="W384" s="27"/>
      <c r="X384" s="27"/>
      <c r="Y384" s="27"/>
    </row>
    <row r="385" spans="1:25" outlineLevel="1">
      <c r="A385" s="23" t="str">
        <f t="shared" si="179"/>
        <v>GERAL</v>
      </c>
      <c r="B385" s="23" t="str">
        <f t="shared" si="180"/>
        <v>63º PAV. - LAZER 03</v>
      </c>
      <c r="C385" s="29" t="s">
        <v>276</v>
      </c>
      <c r="D385" s="137" t="s">
        <v>267</v>
      </c>
      <c r="E385" s="137" t="s">
        <v>78</v>
      </c>
      <c r="F385" s="83" t="s">
        <v>55</v>
      </c>
      <c r="G385" s="83" t="s">
        <v>79</v>
      </c>
      <c r="H385" s="131">
        <v>8</v>
      </c>
      <c r="I385" s="24">
        <v>1</v>
      </c>
      <c r="J385" s="24">
        <v>0</v>
      </c>
      <c r="K385" s="24">
        <f t="shared" si="178"/>
        <v>8</v>
      </c>
      <c r="L385" s="24" t="s">
        <v>155</v>
      </c>
      <c r="M385" s="25" t="e">
        <f>_xlfn.XLOOKUP(#REF!,PREÇO!$C$6:$C$89,PREÇO!$E$6:$E$89)</f>
        <v>#REF!</v>
      </c>
      <c r="N385" s="59" t="e">
        <f>IF(SUM(H385:M385)=0,SUMIFS($N386:$N$759,$B386:$B$759,$B385,$A386:$A$759,$A385),K385*M385)</f>
        <v>#REF!</v>
      </c>
      <c r="P385"/>
      <c r="Q385"/>
      <c r="R385" s="27"/>
      <c r="S385" s="27"/>
      <c r="T385" s="27"/>
      <c r="U385" s="27"/>
      <c r="V385" s="27"/>
      <c r="W385" s="27"/>
      <c r="X385" s="27"/>
      <c r="Y385" s="27"/>
    </row>
    <row r="386" spans="1:25" ht="15.75" outlineLevel="1" thickBot="1">
      <c r="A386" s="23" t="str">
        <f t="shared" si="179"/>
        <v>GERAL</v>
      </c>
      <c r="B386" s="23" t="str">
        <f t="shared" si="180"/>
        <v>63º PAV. - LAZER 03</v>
      </c>
      <c r="C386" s="29" t="s">
        <v>276</v>
      </c>
      <c r="D386" s="137" t="s">
        <v>267</v>
      </c>
      <c r="E386" s="141" t="s">
        <v>80</v>
      </c>
      <c r="F386" s="83" t="s">
        <v>55</v>
      </c>
      <c r="G386" s="83" t="s">
        <v>81</v>
      </c>
      <c r="H386" s="131">
        <v>2</v>
      </c>
      <c r="I386" s="24">
        <v>1</v>
      </c>
      <c r="J386" s="24">
        <v>0</v>
      </c>
      <c r="K386" s="24">
        <f t="shared" si="178"/>
        <v>2</v>
      </c>
      <c r="L386" s="24" t="s">
        <v>155</v>
      </c>
      <c r="M386" s="25" t="e">
        <f>_xlfn.XLOOKUP($E379,PREÇO!$C$6:$C$89,PREÇO!$E$6:$E$89)</f>
        <v>#N/A</v>
      </c>
      <c r="N386" s="59" t="e">
        <f>IF(SUM(H386:M386)=0,SUMIFS($N387:$N$759,$B387:$B$759,$B386,$A387:$A$759,$A386),K386*M386)</f>
        <v>#N/A</v>
      </c>
      <c r="P386"/>
      <c r="Q386"/>
      <c r="R386" s="27"/>
      <c r="S386" s="27"/>
      <c r="T386" s="27"/>
      <c r="U386" s="27"/>
      <c r="V386" s="27"/>
      <c r="W386" s="27"/>
      <c r="X386" s="27"/>
      <c r="Y386" s="27"/>
    </row>
    <row r="387" spans="1:25" ht="15.75" thickTop="1">
      <c r="A387" s="63" t="s">
        <v>15</v>
      </c>
      <c r="B387" s="63" t="s">
        <v>36</v>
      </c>
      <c r="C387" s="42"/>
      <c r="D387" s="43"/>
      <c r="E387" s="140"/>
      <c r="F387" s="82"/>
      <c r="G387" s="82"/>
      <c r="H387" s="132"/>
      <c r="I387" s="44"/>
      <c r="J387" s="44"/>
      <c r="K387" s="44"/>
      <c r="L387" s="44"/>
      <c r="M387" s="46"/>
      <c r="N387" s="47" t="e">
        <f>IF(SUM(H387:M387)=0,SUMIFS($N388:$N$759,$B388:$B$759,$B387,$A388:$A$759,$A387),K387*M387)</f>
        <v>#N/A</v>
      </c>
      <c r="P387"/>
      <c r="Q387"/>
      <c r="R387" s="27"/>
      <c r="S387" s="27"/>
      <c r="T387" s="27"/>
      <c r="U387" s="27"/>
      <c r="V387" s="27"/>
      <c r="W387" s="27"/>
      <c r="X387" s="27"/>
      <c r="Y387" s="27"/>
    </row>
    <row r="388" spans="1:25" ht="15" customHeight="1" outlineLevel="1">
      <c r="A388" s="23" t="str">
        <f>A387</f>
        <v>GERAL</v>
      </c>
      <c r="B388" s="23" t="str">
        <f>B387</f>
        <v>64º PAV. - LAZER 04</v>
      </c>
      <c r="C388" s="157" t="s">
        <v>283</v>
      </c>
      <c r="D388" s="137" t="s">
        <v>268</v>
      </c>
      <c r="E388" s="137" t="s">
        <v>248</v>
      </c>
      <c r="F388" s="83" t="s">
        <v>255</v>
      </c>
      <c r="G388" s="83" t="s">
        <v>256</v>
      </c>
      <c r="H388" s="131">
        <v>3</v>
      </c>
      <c r="I388" s="24">
        <v>1</v>
      </c>
      <c r="J388" s="24">
        <v>0</v>
      </c>
      <c r="K388" s="24">
        <f t="shared" si="178"/>
        <v>3</v>
      </c>
      <c r="L388" s="24" t="s">
        <v>155</v>
      </c>
      <c r="M388" s="25" t="e">
        <f>_xlfn.XLOOKUP($E388,PREÇO!$C$6:$C$89,PREÇO!$E$6:$E$89)</f>
        <v>#N/A</v>
      </c>
      <c r="N388" s="59" t="e">
        <f>IF(SUM(H388:M388)=0,SUMIFS($N389:$N$759,$B389:$B$759,$B388,$A389:$A$759,$A388),K388*M388)</f>
        <v>#N/A</v>
      </c>
      <c r="P388"/>
      <c r="Q388"/>
      <c r="R388" s="27"/>
      <c r="S388" s="27"/>
      <c r="T388" s="27"/>
      <c r="U388" s="27"/>
      <c r="V388" s="27"/>
      <c r="W388" s="27"/>
      <c r="X388" s="27"/>
      <c r="Y388" s="27"/>
    </row>
    <row r="389" spans="1:25" ht="30" outlineLevel="1">
      <c r="A389" s="23" t="str">
        <f t="shared" ref="A389:A392" si="181">A388</f>
        <v>GERAL</v>
      </c>
      <c r="B389" s="23" t="str">
        <f t="shared" ref="B389:B392" si="182">B388</f>
        <v>64º PAV. - LAZER 04</v>
      </c>
      <c r="C389" s="29" t="s">
        <v>277</v>
      </c>
      <c r="D389" s="137" t="s">
        <v>268</v>
      </c>
      <c r="E389" s="29" t="s">
        <v>51</v>
      </c>
      <c r="F389" s="83" t="s">
        <v>56</v>
      </c>
      <c r="G389" s="83" t="s">
        <v>231</v>
      </c>
      <c r="H389" s="131">
        <v>4</v>
      </c>
      <c r="I389" s="24">
        <v>1</v>
      </c>
      <c r="J389" s="24">
        <v>0</v>
      </c>
      <c r="K389" s="24">
        <f t="shared" ref="K389:K402" si="183">(H389+J389*H389)*I389</f>
        <v>4</v>
      </c>
      <c r="L389" s="24" t="s">
        <v>155</v>
      </c>
      <c r="M389" s="25" t="e">
        <f>_xlfn.XLOOKUP($E389,PREÇO!$C$6:$C$89,PREÇO!$E$6:$E$89)</f>
        <v>#N/A</v>
      </c>
      <c r="N389" s="59" t="e">
        <f>IF(SUM(H389:M389)=0,SUMIFS($N390:$N$759,$B390:$B$759,$B389,$A390:$A$759,$A389),K389*M389)</f>
        <v>#N/A</v>
      </c>
      <c r="P389"/>
      <c r="Q389"/>
      <c r="R389" s="27"/>
      <c r="S389" s="27"/>
      <c r="T389" s="27"/>
      <c r="U389" s="27"/>
      <c r="V389" s="27"/>
      <c r="W389" s="27"/>
      <c r="X389" s="27"/>
      <c r="Y389" s="27"/>
    </row>
    <row r="390" spans="1:25" ht="30" outlineLevel="1">
      <c r="A390" s="23" t="str">
        <f t="shared" si="181"/>
        <v>GERAL</v>
      </c>
      <c r="B390" s="23" t="str">
        <f t="shared" si="182"/>
        <v>64º PAV. - LAZER 04</v>
      </c>
      <c r="C390" s="29" t="s">
        <v>277</v>
      </c>
      <c r="D390" s="137" t="s">
        <v>268</v>
      </c>
      <c r="E390" s="137" t="s">
        <v>249</v>
      </c>
      <c r="F390" s="83" t="s">
        <v>56</v>
      </c>
      <c r="G390" s="83" t="s">
        <v>260</v>
      </c>
      <c r="H390" s="131">
        <v>1</v>
      </c>
      <c r="I390" s="24">
        <v>1</v>
      </c>
      <c r="J390" s="24">
        <v>0</v>
      </c>
      <c r="K390" s="24">
        <f t="shared" si="183"/>
        <v>1</v>
      </c>
      <c r="L390" s="24" t="s">
        <v>155</v>
      </c>
      <c r="M390" s="25" t="e">
        <f>_xlfn.XLOOKUP($E390,PREÇO!$C$6:$C$89,PREÇO!$E$6:$E$89)</f>
        <v>#N/A</v>
      </c>
      <c r="N390" s="59" t="e">
        <f>IF(SUM(H390:M390)=0,SUMIFS($N391:$N$759,$B391:$B$759,$B390,$A391:$A$759,$A390),K390*M390)</f>
        <v>#N/A</v>
      </c>
      <c r="P390"/>
      <c r="Q390"/>
      <c r="R390" s="27"/>
      <c r="S390" s="27"/>
      <c r="T390" s="27"/>
      <c r="U390" s="27"/>
      <c r="V390" s="27"/>
      <c r="W390" s="27"/>
      <c r="X390" s="27"/>
      <c r="Y390" s="27"/>
    </row>
    <row r="391" spans="1:25" ht="30" outlineLevel="1">
      <c r="A391" s="23" t="str">
        <f t="shared" si="181"/>
        <v>GERAL</v>
      </c>
      <c r="B391" s="23" t="str">
        <f t="shared" si="182"/>
        <v>64º PAV. - LAZER 04</v>
      </c>
      <c r="C391" s="29" t="s">
        <v>277</v>
      </c>
      <c r="D391" s="137" t="s">
        <v>268</v>
      </c>
      <c r="E391" s="29" t="s">
        <v>250</v>
      </c>
      <c r="F391" s="83" t="s">
        <v>56</v>
      </c>
      <c r="G391" s="83" t="s">
        <v>261</v>
      </c>
      <c r="H391" s="131">
        <v>3</v>
      </c>
      <c r="I391" s="24">
        <v>1</v>
      </c>
      <c r="J391" s="24">
        <v>0</v>
      </c>
      <c r="K391" s="24">
        <f t="shared" si="183"/>
        <v>3</v>
      </c>
      <c r="L391" s="24" t="s">
        <v>155</v>
      </c>
      <c r="M391" s="25" t="e">
        <f>_xlfn.XLOOKUP($E391,PREÇO!$C$6:$C$89,PREÇO!$E$6:$E$89)</f>
        <v>#N/A</v>
      </c>
      <c r="N391" s="59" t="e">
        <f>IF(SUM(H391:M391)=0,SUMIFS($N392:$N$759,$B392:$B$759,$B391,$A392:$A$759,$A391),K391*M391)</f>
        <v>#N/A</v>
      </c>
      <c r="P391"/>
      <c r="Q391"/>
      <c r="R391" s="27"/>
      <c r="S391" s="27"/>
      <c r="T391" s="27"/>
      <c r="U391" s="27"/>
      <c r="V391" s="27"/>
      <c r="W391" s="27"/>
      <c r="X391" s="27"/>
      <c r="Y391" s="27"/>
    </row>
    <row r="392" spans="1:25" outlineLevel="1">
      <c r="A392" s="23" t="str">
        <f t="shared" si="181"/>
        <v>GERAL</v>
      </c>
      <c r="B392" s="23" t="str">
        <f t="shared" si="182"/>
        <v>64º PAV. - LAZER 04</v>
      </c>
      <c r="C392" s="29" t="s">
        <v>277</v>
      </c>
      <c r="D392" s="137" t="s">
        <v>268</v>
      </c>
      <c r="E392" s="29" t="s">
        <v>178</v>
      </c>
      <c r="F392" s="83" t="s">
        <v>89</v>
      </c>
      <c r="G392" s="83" t="s">
        <v>262</v>
      </c>
      <c r="H392" s="131">
        <v>4</v>
      </c>
      <c r="I392" s="24">
        <v>1</v>
      </c>
      <c r="J392" s="24">
        <v>0</v>
      </c>
      <c r="K392" s="24">
        <f t="shared" si="183"/>
        <v>4</v>
      </c>
      <c r="L392" s="24" t="s">
        <v>155</v>
      </c>
      <c r="M392" s="25" t="e">
        <f>_xlfn.XLOOKUP($E392,PREÇO!$C$6:$C$89,PREÇO!$E$6:$E$89)</f>
        <v>#N/A</v>
      </c>
      <c r="N392" s="59" t="e">
        <f>IF(SUM(H392:M392)=0,SUMIFS($N393:$N$759,$B393:$B$759,$B392,$A393:$A$759,$A392),K392*M392)</f>
        <v>#N/A</v>
      </c>
      <c r="P392"/>
      <c r="Q392"/>
      <c r="R392" s="27"/>
      <c r="S392" s="27"/>
      <c r="T392" s="27"/>
      <c r="U392" s="27"/>
      <c r="V392" s="27"/>
      <c r="W392" s="27"/>
      <c r="X392" s="27"/>
      <c r="Y392" s="27"/>
    </row>
    <row r="393" spans="1:25" outlineLevel="1">
      <c r="A393" s="23" t="str">
        <f t="shared" ref="A393:A402" si="184">A392</f>
        <v>GERAL</v>
      </c>
      <c r="B393" s="23" t="str">
        <f t="shared" ref="B393:B402" si="185">B392</f>
        <v>64º PAV. - LAZER 04</v>
      </c>
      <c r="C393" s="157" t="s">
        <v>283</v>
      </c>
      <c r="D393" s="137" t="s">
        <v>268</v>
      </c>
      <c r="E393" s="29" t="s">
        <v>247</v>
      </c>
      <c r="F393" s="83" t="s">
        <v>55</v>
      </c>
      <c r="G393" s="83" t="s">
        <v>257</v>
      </c>
      <c r="H393" s="131">
        <v>3</v>
      </c>
      <c r="I393" s="24">
        <v>1</v>
      </c>
      <c r="J393" s="24">
        <v>0</v>
      </c>
      <c r="K393" s="24">
        <f t="shared" si="183"/>
        <v>3</v>
      </c>
      <c r="L393" s="24" t="s">
        <v>155</v>
      </c>
      <c r="M393" s="25" t="e">
        <f>_xlfn.XLOOKUP($E393,PREÇO!$C$6:$C$89,PREÇO!$E$6:$E$89)</f>
        <v>#N/A</v>
      </c>
      <c r="N393" s="59" t="e">
        <f>IF(SUM(H393:M393)=0,SUMIFS($N394:$N$759,$B394:$B$759,$B393,$A394:$A$759,$A393),K393*M393)</f>
        <v>#N/A</v>
      </c>
      <c r="P393"/>
      <c r="Q393"/>
      <c r="R393" s="27"/>
      <c r="S393" s="27"/>
      <c r="T393" s="27"/>
      <c r="U393" s="27"/>
      <c r="V393" s="27"/>
      <c r="W393" s="27"/>
      <c r="X393" s="27"/>
      <c r="Y393" s="27"/>
    </row>
    <row r="394" spans="1:25" outlineLevel="1">
      <c r="A394" s="23" t="str">
        <f t="shared" si="184"/>
        <v>GERAL</v>
      </c>
      <c r="B394" s="23" t="str">
        <f t="shared" si="185"/>
        <v>64º PAV. - LAZER 04</v>
      </c>
      <c r="C394" s="29" t="s">
        <v>276</v>
      </c>
      <c r="D394" s="137" t="s">
        <v>268</v>
      </c>
      <c r="E394" s="29" t="s">
        <v>251</v>
      </c>
      <c r="F394" s="83" t="s">
        <v>55</v>
      </c>
      <c r="G394" s="83" t="s">
        <v>171</v>
      </c>
      <c r="H394" s="131">
        <v>1</v>
      </c>
      <c r="I394" s="24">
        <v>1</v>
      </c>
      <c r="J394" s="24">
        <v>0</v>
      </c>
      <c r="K394" s="24">
        <f t="shared" si="183"/>
        <v>1</v>
      </c>
      <c r="L394" s="24" t="s">
        <v>155</v>
      </c>
      <c r="M394" s="25" t="e">
        <f>_xlfn.XLOOKUP($E394,PREÇO!$C$6:$C$89,PREÇO!$E$6:$E$89)</f>
        <v>#N/A</v>
      </c>
      <c r="N394" s="59" t="e">
        <f>IF(SUM(H394:M394)=0,SUMIFS($N395:$N$759,$B395:$B$759,$B394,$A395:$A$759,$A394),K394*M394)</f>
        <v>#N/A</v>
      </c>
      <c r="P394"/>
      <c r="Q394"/>
      <c r="R394" s="27"/>
      <c r="S394" s="27"/>
      <c r="T394" s="27"/>
      <c r="U394" s="27"/>
      <c r="V394" s="27"/>
      <c r="W394" s="27"/>
      <c r="X394" s="27"/>
      <c r="Y394" s="27"/>
    </row>
    <row r="395" spans="1:25" outlineLevel="1">
      <c r="A395" s="23" t="str">
        <f t="shared" si="184"/>
        <v>GERAL</v>
      </c>
      <c r="B395" s="23" t="str">
        <f t="shared" si="185"/>
        <v>64º PAV. - LAZER 04</v>
      </c>
      <c r="C395" s="29" t="s">
        <v>276</v>
      </c>
      <c r="D395" s="137" t="s">
        <v>268</v>
      </c>
      <c r="E395" s="29" t="s">
        <v>251</v>
      </c>
      <c r="F395" s="83" t="s">
        <v>55</v>
      </c>
      <c r="G395" s="83" t="s">
        <v>172</v>
      </c>
      <c r="H395" s="131">
        <v>1</v>
      </c>
      <c r="I395" s="24">
        <v>1</v>
      </c>
      <c r="J395" s="24">
        <v>0</v>
      </c>
      <c r="K395" s="24">
        <f t="shared" si="183"/>
        <v>1</v>
      </c>
      <c r="L395" s="24" t="s">
        <v>155</v>
      </c>
      <c r="M395" s="25" t="e">
        <f>_xlfn.XLOOKUP($E395,PREÇO!$C$6:$C$89,PREÇO!$E$6:$E$89)</f>
        <v>#N/A</v>
      </c>
      <c r="N395" s="59" t="e">
        <f>IF(SUM(H395:M395)=0,SUMIFS($N396:$N$759,$B396:$B$759,$B395,$A396:$A$759,$A395),K395*M395)</f>
        <v>#N/A</v>
      </c>
      <c r="P395"/>
      <c r="Q395"/>
      <c r="R395" s="27"/>
      <c r="S395" s="27"/>
      <c r="T395" s="27"/>
      <c r="U395" s="27"/>
      <c r="V395" s="27"/>
      <c r="W395" s="27"/>
      <c r="X395" s="27"/>
      <c r="Y395" s="27"/>
    </row>
    <row r="396" spans="1:25" outlineLevel="1">
      <c r="A396" s="23" t="str">
        <f t="shared" si="184"/>
        <v>GERAL</v>
      </c>
      <c r="B396" s="23" t="str">
        <f t="shared" si="185"/>
        <v>64º PAV. - LAZER 04</v>
      </c>
      <c r="C396" s="29" t="s">
        <v>276</v>
      </c>
      <c r="D396" s="137" t="s">
        <v>268</v>
      </c>
      <c r="E396" s="29" t="s">
        <v>252</v>
      </c>
      <c r="F396" s="83" t="s">
        <v>55</v>
      </c>
      <c r="G396" s="83" t="s">
        <v>258</v>
      </c>
      <c r="H396" s="131">
        <v>1</v>
      </c>
      <c r="I396" s="24">
        <v>1</v>
      </c>
      <c r="J396" s="24">
        <v>0</v>
      </c>
      <c r="K396" s="24">
        <f t="shared" si="183"/>
        <v>1</v>
      </c>
      <c r="L396" s="24" t="s">
        <v>155</v>
      </c>
      <c r="M396" s="25" t="e">
        <f>_xlfn.XLOOKUP($E396,PREÇO!$C$6:$C$89,PREÇO!$E$6:$E$89)</f>
        <v>#N/A</v>
      </c>
      <c r="N396" s="59" t="e">
        <f>IF(SUM(H396:M396)=0,SUMIFS($N397:$N$759,$B397:$B$759,$B396,$A397:$A$759,$A396),K396*M396)</f>
        <v>#N/A</v>
      </c>
      <c r="P396"/>
      <c r="Q396"/>
      <c r="R396" s="27"/>
      <c r="S396" s="27"/>
      <c r="T396" s="27"/>
      <c r="U396" s="27"/>
      <c r="V396" s="27"/>
      <c r="W396" s="27"/>
      <c r="X396" s="27"/>
      <c r="Y396" s="27"/>
    </row>
    <row r="397" spans="1:25" outlineLevel="1">
      <c r="A397" s="23" t="str">
        <f t="shared" si="184"/>
        <v>GERAL</v>
      </c>
      <c r="B397" s="23" t="str">
        <f t="shared" si="185"/>
        <v>64º PAV. - LAZER 04</v>
      </c>
      <c r="C397" s="29" t="s">
        <v>276</v>
      </c>
      <c r="D397" s="137" t="s">
        <v>268</v>
      </c>
      <c r="E397" s="29" t="s">
        <v>253</v>
      </c>
      <c r="F397" s="83" t="s">
        <v>55</v>
      </c>
      <c r="G397" s="83" t="s">
        <v>234</v>
      </c>
      <c r="H397" s="131">
        <v>1</v>
      </c>
      <c r="I397" s="24">
        <v>1</v>
      </c>
      <c r="J397" s="24">
        <v>0</v>
      </c>
      <c r="K397" s="24">
        <f t="shared" si="183"/>
        <v>1</v>
      </c>
      <c r="L397" s="24" t="s">
        <v>155</v>
      </c>
      <c r="M397" s="25" t="e">
        <f>_xlfn.XLOOKUP($E397,PREÇO!$C$6:$C$89,PREÇO!$E$6:$E$89)</f>
        <v>#N/A</v>
      </c>
      <c r="N397" s="59" t="e">
        <f>IF(SUM(H397:M397)=0,SUMIFS($N398:$N$759,$B398:$B$759,$B397,$A398:$A$759,$A397),K397*M397)</f>
        <v>#N/A</v>
      </c>
      <c r="P397"/>
      <c r="Q397"/>
      <c r="R397" s="27"/>
      <c r="S397" s="27"/>
      <c r="T397" s="27"/>
      <c r="U397" s="27"/>
      <c r="V397" s="27"/>
      <c r="W397" s="27"/>
      <c r="X397" s="27"/>
      <c r="Y397" s="27"/>
    </row>
    <row r="398" spans="1:25" outlineLevel="1">
      <c r="A398" s="23" t="str">
        <f t="shared" si="184"/>
        <v>GERAL</v>
      </c>
      <c r="B398" s="23" t="str">
        <f t="shared" si="185"/>
        <v>64º PAV. - LAZER 04</v>
      </c>
      <c r="C398" s="29" t="s">
        <v>276</v>
      </c>
      <c r="D398" s="137" t="s">
        <v>268</v>
      </c>
      <c r="E398" s="29" t="s">
        <v>186</v>
      </c>
      <c r="F398" s="83" t="s">
        <v>55</v>
      </c>
      <c r="G398" s="83" t="s">
        <v>191</v>
      </c>
      <c r="H398" s="131">
        <v>2</v>
      </c>
      <c r="I398" s="24">
        <v>1</v>
      </c>
      <c r="J398" s="24">
        <v>0</v>
      </c>
      <c r="K398" s="24">
        <f t="shared" si="183"/>
        <v>2</v>
      </c>
      <c r="L398" s="24" t="s">
        <v>155</v>
      </c>
      <c r="M398" s="25" t="e">
        <f>_xlfn.XLOOKUP($E398,PREÇO!$C$6:$C$89,PREÇO!$E$6:$E$89)</f>
        <v>#N/A</v>
      </c>
      <c r="N398" s="59" t="e">
        <f>IF(SUM(H398:M398)=0,SUMIFS($N399:$N$759,$B399:$B$759,$B398,$A399:$A$759,$A398),K398*M398)</f>
        <v>#N/A</v>
      </c>
      <c r="P398"/>
      <c r="Q398"/>
      <c r="R398" s="27"/>
      <c r="S398" s="27"/>
      <c r="T398" s="27"/>
      <c r="U398" s="27"/>
      <c r="V398" s="27"/>
      <c r="W398" s="27"/>
      <c r="X398" s="27"/>
      <c r="Y398" s="27"/>
    </row>
    <row r="399" spans="1:25" outlineLevel="1">
      <c r="A399" s="23" t="str">
        <f t="shared" si="184"/>
        <v>GERAL</v>
      </c>
      <c r="B399" s="23" t="str">
        <f t="shared" si="185"/>
        <v>64º PAV. - LAZER 04</v>
      </c>
      <c r="C399" s="29" t="s">
        <v>276</v>
      </c>
      <c r="D399" s="137" t="s">
        <v>268</v>
      </c>
      <c r="E399" s="29" t="s">
        <v>188</v>
      </c>
      <c r="F399" s="83" t="s">
        <v>55</v>
      </c>
      <c r="G399" s="83" t="s">
        <v>193</v>
      </c>
      <c r="H399" s="131">
        <v>5</v>
      </c>
      <c r="I399" s="24">
        <v>1</v>
      </c>
      <c r="J399" s="24">
        <v>0</v>
      </c>
      <c r="K399" s="24">
        <f t="shared" si="183"/>
        <v>5</v>
      </c>
      <c r="L399" s="24" t="s">
        <v>155</v>
      </c>
      <c r="M399" s="25" t="e">
        <f>_xlfn.XLOOKUP($E399,PREÇO!$C$6:$C$89,PREÇO!$E$6:$E$89)</f>
        <v>#N/A</v>
      </c>
      <c r="N399" s="59" t="e">
        <f>IF(SUM(H399:M399)=0,SUMIFS($N400:$N$759,$B400:$B$759,$B399,$A400:$A$759,$A399),K399*M399)</f>
        <v>#N/A</v>
      </c>
      <c r="P399"/>
      <c r="Q399"/>
      <c r="R399" s="27"/>
      <c r="S399" s="27"/>
      <c r="T399" s="27"/>
      <c r="U399" s="27"/>
      <c r="V399" s="27"/>
      <c r="W399" s="27"/>
      <c r="X399" s="27"/>
      <c r="Y399" s="27"/>
    </row>
    <row r="400" spans="1:25" outlineLevel="1">
      <c r="A400" s="23" t="str">
        <f t="shared" si="184"/>
        <v>GERAL</v>
      </c>
      <c r="B400" s="23" t="str">
        <f t="shared" si="185"/>
        <v>64º PAV. - LAZER 04</v>
      </c>
      <c r="C400" s="29" t="s">
        <v>276</v>
      </c>
      <c r="D400" s="137" t="s">
        <v>268</v>
      </c>
      <c r="E400" s="29" t="s">
        <v>254</v>
      </c>
      <c r="F400" s="83" t="s">
        <v>55</v>
      </c>
      <c r="G400" s="83" t="s">
        <v>259</v>
      </c>
      <c r="H400" s="131">
        <v>8</v>
      </c>
      <c r="I400" s="24">
        <v>1</v>
      </c>
      <c r="J400" s="24">
        <v>0</v>
      </c>
      <c r="K400" s="24">
        <f t="shared" si="183"/>
        <v>8</v>
      </c>
      <c r="L400" s="24" t="s">
        <v>155</v>
      </c>
      <c r="M400" s="25" t="e">
        <f>_xlfn.XLOOKUP($E400,PREÇO!$C$6:$C$89,PREÇO!$E$6:$E$89)</f>
        <v>#N/A</v>
      </c>
      <c r="N400" s="59" t="e">
        <f>IF(SUM(H400:M400)=0,SUMIFS($N401:$N$759,$B401:$B$759,$B400,$A401:$A$759,$A400),K400*M400)</f>
        <v>#N/A</v>
      </c>
      <c r="P400"/>
      <c r="Q400"/>
      <c r="R400" s="27"/>
      <c r="S400" s="27"/>
      <c r="T400" s="27"/>
      <c r="U400" s="27"/>
      <c r="V400" s="27"/>
      <c r="W400" s="27"/>
      <c r="X400" s="27"/>
      <c r="Y400" s="27"/>
    </row>
    <row r="401" spans="1:25" outlineLevel="1">
      <c r="A401" s="23" t="str">
        <f t="shared" si="184"/>
        <v>GERAL</v>
      </c>
      <c r="B401" s="23" t="str">
        <f t="shared" si="185"/>
        <v>64º PAV. - LAZER 04</v>
      </c>
      <c r="C401" s="29" t="s">
        <v>276</v>
      </c>
      <c r="D401" s="137" t="s">
        <v>268</v>
      </c>
      <c r="E401" s="29" t="s">
        <v>78</v>
      </c>
      <c r="F401" s="83" t="s">
        <v>55</v>
      </c>
      <c r="G401" s="83" t="s">
        <v>79</v>
      </c>
      <c r="H401" s="131">
        <v>8</v>
      </c>
      <c r="I401" s="24">
        <v>1</v>
      </c>
      <c r="J401" s="24">
        <v>0</v>
      </c>
      <c r="K401" s="24">
        <f t="shared" si="183"/>
        <v>8</v>
      </c>
      <c r="L401" s="24" t="s">
        <v>155</v>
      </c>
      <c r="M401" s="25" t="e">
        <f>_xlfn.XLOOKUP($E401,PREÇO!$C$6:$C$89,PREÇO!$E$6:$E$89)</f>
        <v>#N/A</v>
      </c>
      <c r="N401" s="59" t="e">
        <f>IF(SUM(H401:M401)=0,SUMIFS($N402:$N$759,$B402:$B$759,$B401,$A402:$A$759,$A401),K401*M401)</f>
        <v>#N/A</v>
      </c>
      <c r="P401"/>
      <c r="Q401"/>
      <c r="R401" s="27"/>
      <c r="S401" s="27"/>
      <c r="T401" s="27"/>
      <c r="U401" s="27"/>
      <c r="V401" s="27"/>
      <c r="W401" s="27"/>
      <c r="X401" s="27"/>
      <c r="Y401" s="27"/>
    </row>
    <row r="402" spans="1:25" ht="15.75" outlineLevel="1" thickBot="1">
      <c r="A402" s="23" t="str">
        <f t="shared" si="184"/>
        <v>GERAL</v>
      </c>
      <c r="B402" s="23" t="str">
        <f t="shared" si="185"/>
        <v>64º PAV. - LAZER 04</v>
      </c>
      <c r="C402" s="29" t="s">
        <v>276</v>
      </c>
      <c r="D402" s="137" t="s">
        <v>268</v>
      </c>
      <c r="E402" s="29" t="s">
        <v>80</v>
      </c>
      <c r="F402" s="83" t="s">
        <v>55</v>
      </c>
      <c r="G402" s="83" t="s">
        <v>81</v>
      </c>
      <c r="H402" s="131">
        <v>2</v>
      </c>
      <c r="I402" s="24">
        <v>1</v>
      </c>
      <c r="J402" s="24">
        <v>0</v>
      </c>
      <c r="K402" s="24">
        <f t="shared" si="183"/>
        <v>2</v>
      </c>
      <c r="L402" s="24" t="s">
        <v>155</v>
      </c>
      <c r="M402" s="25" t="e">
        <f>_xlfn.XLOOKUP($E402,PREÇO!$C$6:$C$89,PREÇO!$E$6:$E$89)</f>
        <v>#N/A</v>
      </c>
      <c r="N402" s="59" t="e">
        <f>IF(SUM(H402:M402)=0,SUMIFS($N403:$N$759,$B403:$B$759,$B402,$A403:$A$759,$A402),K402*M402)</f>
        <v>#N/A</v>
      </c>
      <c r="P402"/>
      <c r="Q402"/>
      <c r="R402" s="27"/>
      <c r="S402" s="27"/>
      <c r="T402" s="27"/>
      <c r="U402" s="27"/>
      <c r="V402" s="27"/>
      <c r="W402" s="27"/>
      <c r="X402" s="27"/>
      <c r="Y402" s="27"/>
    </row>
    <row r="403" spans="1:25" ht="15.75" thickTop="1">
      <c r="A403" s="63" t="s">
        <v>15</v>
      </c>
      <c r="B403" s="63" t="s">
        <v>37</v>
      </c>
      <c r="C403" s="42"/>
      <c r="D403" s="43"/>
      <c r="E403" s="43"/>
      <c r="F403" s="82"/>
      <c r="G403" s="82"/>
      <c r="H403" s="132"/>
      <c r="I403" s="44"/>
      <c r="J403" s="44"/>
      <c r="K403" s="44"/>
      <c r="L403" s="44" t="e">
        <f>#REF!</f>
        <v>#REF!</v>
      </c>
      <c r="M403" s="46"/>
      <c r="N403" s="47" t="e">
        <f>IF(SUM(H403:M403)=0,SUMIFS($N404:$N$759,$B404:$B$759,$B403,$A404:$A$759,$A403),K403*M403)</f>
        <v>#REF!</v>
      </c>
      <c r="P403"/>
      <c r="Q403"/>
      <c r="R403" s="27"/>
      <c r="S403" s="27"/>
      <c r="T403" s="27"/>
      <c r="U403" s="27"/>
      <c r="V403" s="27"/>
      <c r="W403" s="27"/>
      <c r="X403" s="27"/>
      <c r="Y403" s="27"/>
    </row>
    <row r="404" spans="1:25" ht="30" outlineLevel="1">
      <c r="A404" s="23" t="str">
        <f>A403</f>
        <v>GERAL</v>
      </c>
      <c r="B404" s="23" t="str">
        <f>B403</f>
        <v>140º PAV. - LAZER 05</v>
      </c>
      <c r="C404" s="29" t="s">
        <v>277</v>
      </c>
      <c r="D404" s="29" t="s">
        <v>269</v>
      </c>
      <c r="E404" s="29" t="s">
        <v>51</v>
      </c>
      <c r="F404" s="83" t="s">
        <v>56</v>
      </c>
      <c r="G404" s="83" t="s">
        <v>231</v>
      </c>
      <c r="H404" s="131">
        <v>14</v>
      </c>
      <c r="I404" s="24">
        <v>1</v>
      </c>
      <c r="J404" s="24">
        <v>0</v>
      </c>
      <c r="K404" s="24">
        <f t="shared" ref="K404" si="186">(H404+J404*H404)*I404</f>
        <v>14</v>
      </c>
      <c r="L404" s="24" t="s">
        <v>155</v>
      </c>
      <c r="M404" s="25" t="e">
        <f>_xlfn.XLOOKUP($E404,PREÇO!$C$6:$C$89,PREÇO!$E$6:$E$89)</f>
        <v>#N/A</v>
      </c>
      <c r="N404" s="59" t="e">
        <f>IF(SUM(H404:M404)=0,SUMIFS($N405:$N$759,$B405:$B$759,$B404,$A405:$A$759,$A404),K404*M404)</f>
        <v>#N/A</v>
      </c>
      <c r="P404"/>
      <c r="Q404"/>
      <c r="R404" s="27"/>
      <c r="S404" s="27"/>
      <c r="T404" s="27"/>
      <c r="U404" s="27"/>
      <c r="V404" s="27"/>
      <c r="W404" s="27"/>
      <c r="X404" s="27"/>
      <c r="Y404" s="27"/>
    </row>
    <row r="405" spans="1:25" outlineLevel="1">
      <c r="A405" s="23" t="str">
        <f t="shared" ref="A405:A414" si="187">A404</f>
        <v>GERAL</v>
      </c>
      <c r="B405" s="23" t="str">
        <f t="shared" ref="B405:B414" si="188">B404</f>
        <v>140º PAV. - LAZER 05</v>
      </c>
      <c r="C405" s="29" t="s">
        <v>277</v>
      </c>
      <c r="D405" s="29" t="s">
        <v>269</v>
      </c>
      <c r="E405" s="29" t="s">
        <v>178</v>
      </c>
      <c r="F405" s="83" t="s">
        <v>89</v>
      </c>
      <c r="G405" s="83" t="s">
        <v>262</v>
      </c>
      <c r="H405" s="131">
        <v>2</v>
      </c>
      <c r="I405" s="24">
        <v>1</v>
      </c>
      <c r="J405" s="24">
        <v>0</v>
      </c>
      <c r="K405" s="24">
        <f t="shared" ref="K405:K408" si="189">(H405+J405*H405)*I405</f>
        <v>2</v>
      </c>
      <c r="L405" s="24" t="s">
        <v>155</v>
      </c>
      <c r="M405" s="25" t="e">
        <f>_xlfn.XLOOKUP($E405,PREÇO!$C$6:$C$89,PREÇO!$E$6:$E$89)</f>
        <v>#N/A</v>
      </c>
      <c r="N405" s="59" t="e">
        <f>IF(SUM(H405:M405)=0,SUMIFS($N406:$N$759,$B406:$B$759,$B405,$A406:$A$759,$A405),K405*M405)</f>
        <v>#N/A</v>
      </c>
      <c r="P405"/>
      <c r="Q405"/>
      <c r="R405" s="27"/>
      <c r="S405" s="27"/>
      <c r="T405" s="27"/>
      <c r="U405" s="27"/>
      <c r="V405" s="27"/>
      <c r="W405" s="27"/>
      <c r="X405" s="27"/>
      <c r="Y405" s="27"/>
    </row>
    <row r="406" spans="1:25" ht="30" outlineLevel="1">
      <c r="A406" s="23" t="str">
        <f t="shared" si="187"/>
        <v>GERAL</v>
      </c>
      <c r="B406" s="23" t="str">
        <f t="shared" si="188"/>
        <v>140º PAV. - LAZER 05</v>
      </c>
      <c r="C406" s="29" t="s">
        <v>277</v>
      </c>
      <c r="D406" s="29" t="s">
        <v>269</v>
      </c>
      <c r="E406" s="29" t="s">
        <v>178</v>
      </c>
      <c r="F406" s="83" t="s">
        <v>89</v>
      </c>
      <c r="G406" s="139" t="s">
        <v>222</v>
      </c>
      <c r="H406" s="131">
        <v>2</v>
      </c>
      <c r="I406" s="24">
        <v>1</v>
      </c>
      <c r="J406" s="24">
        <v>0</v>
      </c>
      <c r="K406" s="24">
        <f t="shared" si="189"/>
        <v>2</v>
      </c>
      <c r="L406" s="24" t="s">
        <v>155</v>
      </c>
      <c r="M406" s="25" t="e">
        <f>_xlfn.XLOOKUP($E406,PREÇO!$C$6:$C$89,PREÇO!$E$6:$E$89)</f>
        <v>#N/A</v>
      </c>
      <c r="N406" s="59" t="e">
        <f>IF(SUM(H406:M406)=0,SUMIFS($N407:$N$759,$B407:$B$759,$B406,$A407:$A$759,$A406),K406*M406)</f>
        <v>#N/A</v>
      </c>
      <c r="P406"/>
      <c r="Q406"/>
      <c r="R406" s="27"/>
      <c r="S406" s="27"/>
      <c r="T406" s="27"/>
      <c r="U406" s="27"/>
      <c r="V406" s="27"/>
      <c r="W406" s="27"/>
      <c r="X406" s="27"/>
      <c r="Y406" s="27"/>
    </row>
    <row r="407" spans="1:25" outlineLevel="1">
      <c r="A407" s="23" t="str">
        <f t="shared" si="187"/>
        <v>GERAL</v>
      </c>
      <c r="B407" s="23" t="str">
        <f t="shared" si="188"/>
        <v>140º PAV. - LAZER 05</v>
      </c>
      <c r="C407" s="29" t="s">
        <v>276</v>
      </c>
      <c r="D407" s="29" t="s">
        <v>269</v>
      </c>
      <c r="E407" s="137" t="s">
        <v>181</v>
      </c>
      <c r="F407" s="83" t="s">
        <v>55</v>
      </c>
      <c r="G407" s="83" t="s">
        <v>199</v>
      </c>
      <c r="H407" s="131">
        <v>1</v>
      </c>
      <c r="I407" s="24">
        <v>1</v>
      </c>
      <c r="J407" s="24">
        <v>0</v>
      </c>
      <c r="K407" s="24">
        <f t="shared" si="189"/>
        <v>1</v>
      </c>
      <c r="L407" s="24" t="s">
        <v>155</v>
      </c>
      <c r="M407" s="25" t="e">
        <f>_xlfn.XLOOKUP($E407,PREÇO!$C$6:$C$89,PREÇO!$E$6:$E$89)</f>
        <v>#N/A</v>
      </c>
      <c r="N407" s="59" t="e">
        <f>IF(SUM(H407:M407)=0,SUMIFS($N408:$N$759,$B408:$B$759,$B407,$A408:$A$759,$A407),K407*M407)</f>
        <v>#N/A</v>
      </c>
      <c r="P407"/>
      <c r="Q407"/>
      <c r="R407" s="27"/>
      <c r="S407" s="27"/>
      <c r="T407" s="27"/>
      <c r="U407" s="27"/>
      <c r="V407" s="27"/>
      <c r="W407" s="27"/>
      <c r="X407" s="27"/>
      <c r="Y407" s="27"/>
    </row>
    <row r="408" spans="1:25" outlineLevel="1">
      <c r="A408" s="23" t="str">
        <f t="shared" si="187"/>
        <v>GERAL</v>
      </c>
      <c r="B408" s="23" t="str">
        <f t="shared" si="188"/>
        <v>140º PAV. - LAZER 05</v>
      </c>
      <c r="C408" s="29" t="s">
        <v>276</v>
      </c>
      <c r="D408" s="29" t="s">
        <v>269</v>
      </c>
      <c r="E408" s="137" t="s">
        <v>263</v>
      </c>
      <c r="F408" s="83" t="s">
        <v>55</v>
      </c>
      <c r="G408" s="83" t="s">
        <v>265</v>
      </c>
      <c r="H408" s="131">
        <v>2</v>
      </c>
      <c r="I408" s="24">
        <v>1</v>
      </c>
      <c r="J408" s="24">
        <v>0</v>
      </c>
      <c r="K408" s="24">
        <f t="shared" si="189"/>
        <v>2</v>
      </c>
      <c r="L408" s="24" t="s">
        <v>155</v>
      </c>
      <c r="M408" s="25" t="e">
        <f>_xlfn.XLOOKUP($E408,PREÇO!$C$6:$C$89,PREÇO!$E$6:$E$89)</f>
        <v>#N/A</v>
      </c>
      <c r="N408" s="59" t="e">
        <f>IF(SUM(H408:M408)=0,SUMIFS($N409:$N$759,$B409:$B$759,$B408,$A409:$A$759,$A408),K408*M408)</f>
        <v>#N/A</v>
      </c>
      <c r="P408"/>
      <c r="Q408"/>
      <c r="R408" s="27"/>
      <c r="S408" s="27"/>
      <c r="T408" s="27"/>
      <c r="U408" s="27"/>
      <c r="V408" s="27"/>
      <c r="W408" s="27"/>
      <c r="X408" s="27"/>
      <c r="Y408" s="27"/>
    </row>
    <row r="409" spans="1:25" outlineLevel="1">
      <c r="A409" s="23" t="str">
        <f t="shared" si="187"/>
        <v>GERAL</v>
      </c>
      <c r="B409" s="23" t="str">
        <f t="shared" si="188"/>
        <v>140º PAV. - LAZER 05</v>
      </c>
      <c r="C409" s="29" t="s">
        <v>276</v>
      </c>
      <c r="D409" s="29" t="s">
        <v>269</v>
      </c>
      <c r="E409" s="137" t="s">
        <v>264</v>
      </c>
      <c r="F409" s="83" t="s">
        <v>55</v>
      </c>
      <c r="G409" s="83" t="s">
        <v>266</v>
      </c>
      <c r="H409" s="131">
        <v>2</v>
      </c>
      <c r="I409" s="24">
        <v>1</v>
      </c>
      <c r="J409" s="24">
        <v>0</v>
      </c>
      <c r="K409" s="24">
        <f t="shared" ref="K409:K414" si="190">(H409+J409*H409)*I409</f>
        <v>2</v>
      </c>
      <c r="L409" s="24" t="s">
        <v>155</v>
      </c>
      <c r="M409" s="25" t="e">
        <f>_xlfn.XLOOKUP($E409,PREÇO!$C$6:$C$89,PREÇO!$E$6:$E$89)</f>
        <v>#N/A</v>
      </c>
      <c r="N409" s="59" t="e">
        <f>IF(SUM(H409:M409)=0,SUMIFS($N410:$N$759,$B410:$B$759,$B409,$A410:$A$759,$A409),K409*M409)</f>
        <v>#N/A</v>
      </c>
      <c r="P409"/>
      <c r="Q409"/>
      <c r="R409" s="27"/>
      <c r="S409" s="27"/>
      <c r="T409" s="27"/>
      <c r="U409" s="27"/>
      <c r="V409" s="27"/>
      <c r="W409" s="27"/>
      <c r="X409" s="27"/>
      <c r="Y409" s="27"/>
    </row>
    <row r="410" spans="1:25" outlineLevel="1">
      <c r="A410" s="23" t="str">
        <f t="shared" si="187"/>
        <v>GERAL</v>
      </c>
      <c r="B410" s="23" t="str">
        <f t="shared" si="188"/>
        <v>140º PAV. - LAZER 05</v>
      </c>
      <c r="C410" s="29" t="s">
        <v>276</v>
      </c>
      <c r="D410" s="29" t="s">
        <v>269</v>
      </c>
      <c r="E410" s="137" t="s">
        <v>252</v>
      </c>
      <c r="F410" s="83" t="s">
        <v>55</v>
      </c>
      <c r="G410" s="83" t="s">
        <v>258</v>
      </c>
      <c r="H410" s="131">
        <v>1</v>
      </c>
      <c r="I410" s="24">
        <v>1</v>
      </c>
      <c r="J410" s="24">
        <v>0</v>
      </c>
      <c r="K410" s="24">
        <f t="shared" si="190"/>
        <v>1</v>
      </c>
      <c r="L410" s="24" t="s">
        <v>155</v>
      </c>
      <c r="M410" s="25" t="e">
        <f>_xlfn.XLOOKUP(#REF!,PREÇO!$C$6:$C$89,PREÇO!$E$6:$E$89)</f>
        <v>#REF!</v>
      </c>
      <c r="N410" s="59" t="e">
        <f>IF(SUM(H410:M410)=0,SUMIFS($N411:$N$759,$B411:$B$759,$B410,$A411:$A$759,$A410),K410*M410)</f>
        <v>#REF!</v>
      </c>
      <c r="P410"/>
      <c r="Q410"/>
      <c r="R410" s="27"/>
      <c r="S410" s="27"/>
      <c r="T410" s="27"/>
      <c r="U410" s="27"/>
      <c r="V410" s="27"/>
      <c r="W410" s="27"/>
      <c r="X410" s="27"/>
      <c r="Y410" s="27"/>
    </row>
    <row r="411" spans="1:25" outlineLevel="1">
      <c r="A411" s="23" t="str">
        <f t="shared" si="187"/>
        <v>GERAL</v>
      </c>
      <c r="B411" s="23" t="str">
        <f t="shared" si="188"/>
        <v>140º PAV. - LAZER 05</v>
      </c>
      <c r="C411" s="29" t="s">
        <v>276</v>
      </c>
      <c r="D411" s="29" t="s">
        <v>269</v>
      </c>
      <c r="E411" s="137" t="s">
        <v>188</v>
      </c>
      <c r="F411" s="83" t="s">
        <v>55</v>
      </c>
      <c r="G411" s="83" t="s">
        <v>193</v>
      </c>
      <c r="H411" s="131">
        <v>2</v>
      </c>
      <c r="I411" s="24">
        <v>1</v>
      </c>
      <c r="J411" s="24">
        <v>0</v>
      </c>
      <c r="K411" s="24">
        <f t="shared" si="190"/>
        <v>2</v>
      </c>
      <c r="L411" s="24" t="s">
        <v>155</v>
      </c>
      <c r="M411" s="25" t="e">
        <f>_xlfn.XLOOKUP($E410,PREÇO!$C$6:$C$89,PREÇO!$E$6:$E$89)</f>
        <v>#N/A</v>
      </c>
      <c r="N411" s="59" t="e">
        <f>IF(SUM(H411:M411)=0,SUMIFS($N412:$N$759,$B412:$B$759,$B411,$A412:$A$759,$A411),K411*M411)</f>
        <v>#N/A</v>
      </c>
      <c r="P411"/>
      <c r="Q411"/>
      <c r="R411" s="27"/>
      <c r="S411" s="27"/>
      <c r="T411" s="27"/>
      <c r="U411" s="27"/>
      <c r="V411" s="27"/>
      <c r="W411" s="27"/>
      <c r="X411" s="27"/>
      <c r="Y411" s="27"/>
    </row>
    <row r="412" spans="1:25" outlineLevel="1">
      <c r="A412" s="23" t="str">
        <f t="shared" si="187"/>
        <v>GERAL</v>
      </c>
      <c r="B412" s="23" t="str">
        <f t="shared" si="188"/>
        <v>140º PAV. - LAZER 05</v>
      </c>
      <c r="C412" s="29" t="s">
        <v>276</v>
      </c>
      <c r="D412" s="29" t="s">
        <v>269</v>
      </c>
      <c r="E412" s="137" t="s">
        <v>254</v>
      </c>
      <c r="F412" s="83" t="s">
        <v>55</v>
      </c>
      <c r="G412" s="83" t="s">
        <v>259</v>
      </c>
      <c r="H412" s="131">
        <v>3</v>
      </c>
      <c r="I412" s="24">
        <v>1</v>
      </c>
      <c r="J412" s="24">
        <v>0</v>
      </c>
      <c r="K412" s="24">
        <f t="shared" si="190"/>
        <v>3</v>
      </c>
      <c r="L412" s="24" t="s">
        <v>155</v>
      </c>
      <c r="M412" s="25" t="e">
        <f>_xlfn.XLOOKUP(#REF!,PREÇO!$C$6:$C$89,PREÇO!$E$6:$E$89)</f>
        <v>#REF!</v>
      </c>
      <c r="N412" s="59" t="e">
        <f>IF(SUM(H412:M412)=0,SUMIFS($N413:$N$759,$B413:$B$759,$B412,$A413:$A$759,$A412),K412*M412)</f>
        <v>#REF!</v>
      </c>
      <c r="P412"/>
      <c r="Q412"/>
      <c r="R412" s="27"/>
      <c r="S412" s="27"/>
      <c r="T412" s="27"/>
      <c r="U412" s="27"/>
      <c r="V412" s="27"/>
      <c r="W412" s="27"/>
      <c r="X412" s="27"/>
      <c r="Y412" s="27"/>
    </row>
    <row r="413" spans="1:25" outlineLevel="1">
      <c r="A413" s="23" t="str">
        <f t="shared" si="187"/>
        <v>GERAL</v>
      </c>
      <c r="B413" s="23" t="str">
        <f t="shared" si="188"/>
        <v>140º PAV. - LAZER 05</v>
      </c>
      <c r="C413" s="29" t="s">
        <v>276</v>
      </c>
      <c r="D413" s="29" t="s">
        <v>269</v>
      </c>
      <c r="E413" s="137" t="s">
        <v>78</v>
      </c>
      <c r="F413" s="83" t="s">
        <v>55</v>
      </c>
      <c r="G413" s="83" t="s">
        <v>79</v>
      </c>
      <c r="H413" s="131">
        <v>7</v>
      </c>
      <c r="I413" s="24">
        <v>1</v>
      </c>
      <c r="J413" s="24">
        <v>0</v>
      </c>
      <c r="K413" s="24">
        <f t="shared" si="190"/>
        <v>7</v>
      </c>
      <c r="L413" s="24" t="s">
        <v>155</v>
      </c>
      <c r="M413" s="25" t="e">
        <f>_xlfn.XLOOKUP($E411,PREÇO!$C$6:$C$89,PREÇO!$E$6:$E$89)</f>
        <v>#N/A</v>
      </c>
      <c r="N413" s="59" t="e">
        <f>IF(SUM(H413:M413)=0,SUMIFS($N414:$N$759,$B414:$B$759,$B413,$A414:$A$759,$A413),K413*M413)</f>
        <v>#N/A</v>
      </c>
      <c r="P413"/>
      <c r="Q413"/>
      <c r="R413" s="27"/>
      <c r="S413" s="27"/>
      <c r="T413" s="27"/>
      <c r="U413" s="27"/>
      <c r="V413" s="27"/>
      <c r="W413" s="27"/>
      <c r="X413" s="27"/>
      <c r="Y413" s="27"/>
    </row>
    <row r="414" spans="1:25" ht="15.75" outlineLevel="1" thickBot="1">
      <c r="A414" s="23" t="str">
        <f t="shared" si="187"/>
        <v>GERAL</v>
      </c>
      <c r="B414" s="23" t="str">
        <f t="shared" si="188"/>
        <v>140º PAV. - LAZER 05</v>
      </c>
      <c r="C414" s="29" t="s">
        <v>276</v>
      </c>
      <c r="D414" s="29" t="s">
        <v>269</v>
      </c>
      <c r="E414" s="137" t="s">
        <v>80</v>
      </c>
      <c r="F414" s="83" t="s">
        <v>55</v>
      </c>
      <c r="G414" s="83" t="s">
        <v>81</v>
      </c>
      <c r="H414" s="131">
        <v>14</v>
      </c>
      <c r="I414" s="24">
        <v>1</v>
      </c>
      <c r="J414" s="24">
        <v>0</v>
      </c>
      <c r="K414" s="24">
        <f t="shared" si="190"/>
        <v>14</v>
      </c>
      <c r="L414" s="24" t="s">
        <v>155</v>
      </c>
      <c r="M414" s="25" t="e">
        <f>_xlfn.XLOOKUP(#REF!,PREÇO!$C$6:$C$89,PREÇO!$E$6:$E$89)</f>
        <v>#REF!</v>
      </c>
      <c r="N414" s="59" t="e">
        <f>IF(SUM(H414:M414)=0,SUMIFS($N415:$N$759,$B415:$B$759,$B414,$A415:$A$759,$A414),K414*M414)</f>
        <v>#REF!</v>
      </c>
      <c r="P414"/>
      <c r="Q414"/>
      <c r="R414" s="27"/>
      <c r="S414" s="27"/>
      <c r="T414" s="27"/>
      <c r="U414" s="27"/>
      <c r="V414" s="27"/>
      <c r="W414" s="27"/>
      <c r="X414" s="27"/>
      <c r="Y414" s="27"/>
    </row>
    <row r="415" spans="1:25" ht="15.75" thickTop="1">
      <c r="A415" s="64" t="s">
        <v>15</v>
      </c>
      <c r="B415" s="63" t="s">
        <v>38</v>
      </c>
      <c r="C415" s="42"/>
      <c r="D415" s="43"/>
      <c r="E415" s="43"/>
      <c r="F415" s="82"/>
      <c r="G415" s="82"/>
      <c r="H415" s="132"/>
      <c r="I415" s="44"/>
      <c r="J415" s="44"/>
      <c r="K415" s="44"/>
      <c r="L415" s="44"/>
      <c r="M415" s="46"/>
      <c r="N415" s="47" t="e">
        <f>IF(SUM(H415:M415)=0,SUMIFS($N416:$N$759,$B416:$B$759,$B415,$A416:$A$759,$A415),K415*M415)</f>
        <v>#N/A</v>
      </c>
      <c r="P415"/>
      <c r="Q415"/>
      <c r="R415" s="27"/>
      <c r="S415" s="27"/>
      <c r="T415" s="27"/>
      <c r="U415" s="27"/>
      <c r="V415" s="27"/>
      <c r="W415" s="27"/>
      <c r="X415" s="27"/>
      <c r="Y415" s="27"/>
    </row>
    <row r="416" spans="1:25" ht="30" outlineLevel="1">
      <c r="A416" s="23" t="str">
        <f>A415</f>
        <v>GERAL</v>
      </c>
      <c r="B416" s="23" t="str">
        <f>B415</f>
        <v>141º PAV. - LAZER 06</v>
      </c>
      <c r="C416" s="29" t="s">
        <v>277</v>
      </c>
      <c r="D416" s="137" t="s">
        <v>270</v>
      </c>
      <c r="E416" s="29" t="s">
        <v>51</v>
      </c>
      <c r="F416" s="83" t="s">
        <v>56</v>
      </c>
      <c r="G416" s="83" t="s">
        <v>231</v>
      </c>
      <c r="H416" s="131">
        <v>14</v>
      </c>
      <c r="I416" s="24">
        <v>1</v>
      </c>
      <c r="J416" s="24">
        <v>0</v>
      </c>
      <c r="K416" s="24">
        <f t="shared" ref="K416" si="191">(H416+J416*H416)*I416</f>
        <v>14</v>
      </c>
      <c r="L416" s="24" t="s">
        <v>155</v>
      </c>
      <c r="M416" s="25" t="e">
        <f>_xlfn.XLOOKUP($E416,PREÇO!$C$6:$C$89,PREÇO!$E$6:$E$89)</f>
        <v>#N/A</v>
      </c>
      <c r="N416" s="59" t="e">
        <f>IF(SUM(H416:M416)=0,SUMIFS($N417:$N$759,$B417:$B$759,$B416,$A417:$A$759,$A416),K416*M416)</f>
        <v>#N/A</v>
      </c>
      <c r="P416"/>
      <c r="Q416"/>
      <c r="R416" s="27"/>
      <c r="S416" s="27"/>
      <c r="T416" s="27"/>
      <c r="U416" s="27"/>
      <c r="V416" s="27"/>
      <c r="W416" s="27"/>
      <c r="X416" s="27"/>
      <c r="Y416" s="27"/>
    </row>
    <row r="417" spans="1:25" outlineLevel="1">
      <c r="A417" s="23" t="str">
        <f t="shared" ref="A417:A426" si="192">A416</f>
        <v>GERAL</v>
      </c>
      <c r="B417" s="23" t="str">
        <f t="shared" ref="B417:B426" si="193">B416</f>
        <v>141º PAV. - LAZER 06</v>
      </c>
      <c r="C417" s="29" t="s">
        <v>277</v>
      </c>
      <c r="D417" s="137" t="s">
        <v>270</v>
      </c>
      <c r="E417" s="29" t="s">
        <v>178</v>
      </c>
      <c r="F417" s="83" t="s">
        <v>89</v>
      </c>
      <c r="G417" s="83" t="s">
        <v>262</v>
      </c>
      <c r="H417" s="131">
        <v>2</v>
      </c>
      <c r="I417" s="24">
        <v>1</v>
      </c>
      <c r="J417" s="24">
        <v>0</v>
      </c>
      <c r="K417" s="24">
        <f t="shared" ref="K417:K426" si="194">(H417+J417*H417)*I417</f>
        <v>2</v>
      </c>
      <c r="L417" s="24" t="s">
        <v>155</v>
      </c>
      <c r="M417" s="25" t="e">
        <f>_xlfn.XLOOKUP($E417,PREÇO!$C$6:$C$89,PREÇO!$E$6:$E$89)</f>
        <v>#N/A</v>
      </c>
      <c r="N417" s="59" t="e">
        <f>IF(SUM(H417:M417)=0,SUMIFS($N418:$N$759,$B418:$B$759,$B417,$A418:$A$759,$A417),K417*M417)</f>
        <v>#N/A</v>
      </c>
      <c r="P417"/>
      <c r="Q417"/>
      <c r="R417" s="27"/>
      <c r="S417" s="27"/>
      <c r="T417" s="27"/>
      <c r="U417" s="27"/>
      <c r="V417" s="27"/>
      <c r="W417" s="27"/>
      <c r="X417" s="27"/>
      <c r="Y417" s="27"/>
    </row>
    <row r="418" spans="1:25" ht="30" outlineLevel="1">
      <c r="A418" s="23" t="str">
        <f t="shared" si="192"/>
        <v>GERAL</v>
      </c>
      <c r="B418" s="23" t="str">
        <f t="shared" si="193"/>
        <v>141º PAV. - LAZER 06</v>
      </c>
      <c r="C418" s="29" t="s">
        <v>277</v>
      </c>
      <c r="D418" s="137" t="s">
        <v>270</v>
      </c>
      <c r="E418" s="29" t="s">
        <v>178</v>
      </c>
      <c r="F418" s="83" t="s">
        <v>89</v>
      </c>
      <c r="G418" s="83" t="s">
        <v>222</v>
      </c>
      <c r="H418" s="131">
        <v>2</v>
      </c>
      <c r="I418" s="24">
        <v>1</v>
      </c>
      <c r="J418" s="24">
        <v>0</v>
      </c>
      <c r="K418" s="24">
        <f t="shared" si="194"/>
        <v>2</v>
      </c>
      <c r="L418" s="24" t="s">
        <v>155</v>
      </c>
      <c r="M418" s="25" t="e">
        <f>_xlfn.XLOOKUP($E418,PREÇO!$C$6:$C$89,PREÇO!$E$6:$E$89)</f>
        <v>#N/A</v>
      </c>
      <c r="N418" s="59" t="e">
        <f>IF(SUM(H418:M418)=0,SUMIFS($N419:$N$759,$B419:$B$759,$B418,$A419:$A$759,$A418),K418*M418)</f>
        <v>#N/A</v>
      </c>
      <c r="P418"/>
      <c r="Q418"/>
      <c r="R418" s="27"/>
      <c r="S418" s="27"/>
      <c r="T418" s="27"/>
      <c r="U418" s="27"/>
      <c r="V418" s="27"/>
      <c r="W418" s="27"/>
      <c r="X418" s="27"/>
      <c r="Y418" s="27"/>
    </row>
    <row r="419" spans="1:25" outlineLevel="1">
      <c r="A419" s="23" t="str">
        <f t="shared" si="192"/>
        <v>GERAL</v>
      </c>
      <c r="B419" s="23" t="str">
        <f t="shared" si="193"/>
        <v>141º PAV. - LAZER 06</v>
      </c>
      <c r="C419" s="29" t="s">
        <v>276</v>
      </c>
      <c r="D419" s="137" t="s">
        <v>270</v>
      </c>
      <c r="E419" s="29" t="s">
        <v>181</v>
      </c>
      <c r="F419" s="83" t="s">
        <v>55</v>
      </c>
      <c r="G419" s="83" t="s">
        <v>199</v>
      </c>
      <c r="H419" s="131">
        <v>1</v>
      </c>
      <c r="I419" s="24">
        <v>1</v>
      </c>
      <c r="J419" s="24">
        <v>0</v>
      </c>
      <c r="K419" s="24">
        <f t="shared" si="194"/>
        <v>1</v>
      </c>
      <c r="L419" s="24" t="s">
        <v>155</v>
      </c>
      <c r="M419" s="25" t="e">
        <f>_xlfn.XLOOKUP($E419,PREÇO!$C$6:$C$89,PREÇO!$E$6:$E$89)</f>
        <v>#N/A</v>
      </c>
      <c r="N419" s="59" t="e">
        <f>IF(SUM(H419:M419)=0,SUMIFS($N420:$N$759,$B420:$B$759,$B419,$A420:$A$759,$A419),K419*M419)</f>
        <v>#N/A</v>
      </c>
      <c r="P419"/>
      <c r="Q419"/>
      <c r="R419" s="27"/>
      <c r="S419" s="27"/>
      <c r="T419" s="27"/>
      <c r="U419" s="27"/>
      <c r="V419" s="27"/>
      <c r="W419" s="27"/>
      <c r="X419" s="27"/>
      <c r="Y419" s="27"/>
    </row>
    <row r="420" spans="1:25" outlineLevel="1">
      <c r="A420" s="23" t="str">
        <f t="shared" si="192"/>
        <v>GERAL</v>
      </c>
      <c r="B420" s="23" t="str">
        <f t="shared" si="193"/>
        <v>141º PAV. - LAZER 06</v>
      </c>
      <c r="C420" s="29" t="s">
        <v>276</v>
      </c>
      <c r="D420" s="137" t="s">
        <v>270</v>
      </c>
      <c r="E420" s="29" t="s">
        <v>263</v>
      </c>
      <c r="F420" s="83" t="s">
        <v>55</v>
      </c>
      <c r="G420" s="83" t="s">
        <v>265</v>
      </c>
      <c r="H420" s="131">
        <v>2</v>
      </c>
      <c r="I420" s="24">
        <v>1</v>
      </c>
      <c r="J420" s="24">
        <v>0</v>
      </c>
      <c r="K420" s="24">
        <f t="shared" si="194"/>
        <v>2</v>
      </c>
      <c r="L420" s="24" t="s">
        <v>155</v>
      </c>
      <c r="M420" s="25" t="e">
        <f>_xlfn.XLOOKUP($E420,PREÇO!$C$6:$C$89,PREÇO!$E$6:$E$89)</f>
        <v>#N/A</v>
      </c>
      <c r="N420" s="59" t="e">
        <f>IF(SUM(H420:M420)=0,SUMIFS($N421:$N$759,$B421:$B$759,$B420,$A421:$A$759,$A420),K420*M420)</f>
        <v>#N/A</v>
      </c>
      <c r="P420"/>
      <c r="Q420"/>
      <c r="R420" s="27"/>
      <c r="S420" s="27"/>
      <c r="T420" s="27"/>
      <c r="U420" s="27"/>
      <c r="V420" s="27"/>
      <c r="W420" s="27"/>
      <c r="X420" s="27"/>
      <c r="Y420" s="27"/>
    </row>
    <row r="421" spans="1:25" outlineLevel="1">
      <c r="A421" s="23" t="str">
        <f t="shared" si="192"/>
        <v>GERAL</v>
      </c>
      <c r="B421" s="23" t="str">
        <f t="shared" si="193"/>
        <v>141º PAV. - LAZER 06</v>
      </c>
      <c r="C421" s="29" t="s">
        <v>276</v>
      </c>
      <c r="D421" s="137" t="s">
        <v>270</v>
      </c>
      <c r="E421" s="29" t="s">
        <v>264</v>
      </c>
      <c r="F421" s="83" t="s">
        <v>55</v>
      </c>
      <c r="G421" s="83" t="s">
        <v>266</v>
      </c>
      <c r="H421" s="131">
        <v>2</v>
      </c>
      <c r="I421" s="24">
        <v>1</v>
      </c>
      <c r="J421" s="24">
        <v>0</v>
      </c>
      <c r="K421" s="24">
        <f t="shared" si="194"/>
        <v>2</v>
      </c>
      <c r="L421" s="24" t="s">
        <v>155</v>
      </c>
      <c r="M421" s="25" t="e">
        <f>_xlfn.XLOOKUP($E421,PREÇO!$C$6:$C$89,PREÇO!$E$6:$E$89)</f>
        <v>#N/A</v>
      </c>
      <c r="N421" s="59" t="e">
        <f>IF(SUM(H421:M421)=0,SUMIFS($N422:$N$759,$B422:$B$759,$B421,$A422:$A$759,$A421),K421*M421)</f>
        <v>#N/A</v>
      </c>
      <c r="P421"/>
      <c r="Q421"/>
      <c r="R421" s="27"/>
      <c r="S421" s="27"/>
      <c r="T421" s="27"/>
      <c r="U421" s="27"/>
      <c r="V421" s="27"/>
      <c r="W421" s="27"/>
      <c r="X421" s="27"/>
      <c r="Y421" s="27"/>
    </row>
    <row r="422" spans="1:25" outlineLevel="1">
      <c r="A422" s="23" t="str">
        <f t="shared" si="192"/>
        <v>GERAL</v>
      </c>
      <c r="B422" s="23" t="str">
        <f t="shared" si="193"/>
        <v>141º PAV. - LAZER 06</v>
      </c>
      <c r="C422" s="29" t="s">
        <v>276</v>
      </c>
      <c r="D422" s="137" t="s">
        <v>270</v>
      </c>
      <c r="E422" s="29" t="s">
        <v>252</v>
      </c>
      <c r="F422" s="83" t="s">
        <v>55</v>
      </c>
      <c r="G422" s="83" t="s">
        <v>258</v>
      </c>
      <c r="H422" s="131">
        <v>1</v>
      </c>
      <c r="I422" s="24">
        <v>1</v>
      </c>
      <c r="J422" s="24">
        <v>0</v>
      </c>
      <c r="K422" s="24">
        <f t="shared" si="194"/>
        <v>1</v>
      </c>
      <c r="L422" s="24" t="s">
        <v>155</v>
      </c>
      <c r="M422" s="25" t="e">
        <f>_xlfn.XLOOKUP($E422,PREÇO!$C$6:$C$89,PREÇO!$E$6:$E$89)</f>
        <v>#N/A</v>
      </c>
      <c r="N422" s="59" t="e">
        <f>IF(SUM(H422:M422)=0,SUMIFS($N423:$N$759,$B423:$B$759,$B422,$A423:$A$759,$A422),K422*M422)</f>
        <v>#N/A</v>
      </c>
      <c r="P422"/>
      <c r="Q422"/>
      <c r="R422" s="27"/>
      <c r="S422" s="27"/>
      <c r="T422" s="27"/>
      <c r="U422" s="27"/>
      <c r="V422" s="27"/>
      <c r="W422" s="27"/>
      <c r="X422" s="27"/>
      <c r="Y422" s="27"/>
    </row>
    <row r="423" spans="1:25" outlineLevel="1">
      <c r="A423" s="23" t="str">
        <f t="shared" si="192"/>
        <v>GERAL</v>
      </c>
      <c r="B423" s="23" t="str">
        <f t="shared" si="193"/>
        <v>141º PAV. - LAZER 06</v>
      </c>
      <c r="C423" s="29" t="s">
        <v>276</v>
      </c>
      <c r="D423" s="137" t="s">
        <v>270</v>
      </c>
      <c r="E423" s="29" t="s">
        <v>188</v>
      </c>
      <c r="F423" s="83" t="s">
        <v>55</v>
      </c>
      <c r="G423" s="83" t="s">
        <v>193</v>
      </c>
      <c r="H423" s="131">
        <v>2</v>
      </c>
      <c r="I423" s="24">
        <v>1</v>
      </c>
      <c r="J423" s="24">
        <v>0</v>
      </c>
      <c r="K423" s="24">
        <f t="shared" si="194"/>
        <v>2</v>
      </c>
      <c r="L423" s="24" t="s">
        <v>155</v>
      </c>
      <c r="M423" s="25" t="e">
        <f>_xlfn.XLOOKUP($E423,PREÇO!$C$6:$C$89,PREÇO!$E$6:$E$89)</f>
        <v>#N/A</v>
      </c>
      <c r="N423" s="59" t="e">
        <f>IF(SUM(H423:M423)=0,SUMIFS($N424:$N$759,$B424:$B$759,$B423,$A424:$A$759,$A423),K423*M423)</f>
        <v>#N/A</v>
      </c>
      <c r="P423"/>
      <c r="Q423"/>
      <c r="R423" s="27"/>
      <c r="S423" s="27"/>
      <c r="T423" s="27"/>
      <c r="U423" s="27"/>
      <c r="V423" s="27"/>
      <c r="W423" s="27"/>
      <c r="X423" s="27"/>
      <c r="Y423" s="27"/>
    </row>
    <row r="424" spans="1:25" outlineLevel="1">
      <c r="A424" s="23" t="str">
        <f t="shared" si="192"/>
        <v>GERAL</v>
      </c>
      <c r="B424" s="23" t="str">
        <f t="shared" si="193"/>
        <v>141º PAV. - LAZER 06</v>
      </c>
      <c r="C424" s="29" t="s">
        <v>276</v>
      </c>
      <c r="D424" s="137" t="s">
        <v>270</v>
      </c>
      <c r="E424" s="29" t="s">
        <v>254</v>
      </c>
      <c r="F424" s="83" t="s">
        <v>55</v>
      </c>
      <c r="G424" s="83" t="s">
        <v>259</v>
      </c>
      <c r="H424" s="131">
        <v>3</v>
      </c>
      <c r="I424" s="24">
        <v>1</v>
      </c>
      <c r="J424" s="24">
        <v>0</v>
      </c>
      <c r="K424" s="24">
        <f t="shared" si="194"/>
        <v>3</v>
      </c>
      <c r="L424" s="24" t="s">
        <v>155</v>
      </c>
      <c r="M424" s="25" t="e">
        <f>_xlfn.XLOOKUP($E424,PREÇO!$C$6:$C$89,PREÇO!$E$6:$E$89)</f>
        <v>#N/A</v>
      </c>
      <c r="N424" s="59" t="e">
        <f>IF(SUM(H424:M424)=0,SUMIFS($N425:$N$759,$B425:$B$759,$B424,$A425:$A$759,$A424),K424*M424)</f>
        <v>#N/A</v>
      </c>
      <c r="P424"/>
      <c r="Q424"/>
      <c r="R424" s="27"/>
      <c r="S424" s="27"/>
      <c r="T424" s="27"/>
      <c r="U424" s="27"/>
      <c r="V424" s="27"/>
      <c r="W424" s="27"/>
      <c r="X424" s="27"/>
      <c r="Y424" s="27"/>
    </row>
    <row r="425" spans="1:25" outlineLevel="1">
      <c r="A425" s="23" t="str">
        <f t="shared" si="192"/>
        <v>GERAL</v>
      </c>
      <c r="B425" s="23" t="str">
        <f t="shared" si="193"/>
        <v>141º PAV. - LAZER 06</v>
      </c>
      <c r="C425" s="29" t="s">
        <v>276</v>
      </c>
      <c r="D425" s="137" t="s">
        <v>270</v>
      </c>
      <c r="E425" s="29" t="s">
        <v>78</v>
      </c>
      <c r="F425" s="83" t="s">
        <v>55</v>
      </c>
      <c r="G425" s="83" t="s">
        <v>79</v>
      </c>
      <c r="H425" s="131">
        <v>7</v>
      </c>
      <c r="I425" s="24">
        <v>1</v>
      </c>
      <c r="J425" s="24">
        <v>0</v>
      </c>
      <c r="K425" s="24">
        <f t="shared" si="194"/>
        <v>7</v>
      </c>
      <c r="L425" s="24" t="s">
        <v>155</v>
      </c>
      <c r="M425" s="25" t="e">
        <f>_xlfn.XLOOKUP($E425,PREÇO!$C$6:$C$89,PREÇO!$E$6:$E$89)</f>
        <v>#N/A</v>
      </c>
      <c r="N425" s="59" t="e">
        <f>IF(SUM(H425:M425)=0,SUMIFS($N426:$N$759,$B426:$B$759,$B425,$A426:$A$759,$A425),K425*M425)</f>
        <v>#N/A</v>
      </c>
      <c r="P425"/>
      <c r="Q425"/>
      <c r="R425" s="27"/>
      <c r="S425" s="27"/>
      <c r="T425" s="27"/>
      <c r="U425" s="27"/>
      <c r="V425" s="27"/>
      <c r="W425" s="27"/>
      <c r="X425" s="27"/>
      <c r="Y425" s="27"/>
    </row>
    <row r="426" spans="1:25" outlineLevel="1">
      <c r="A426" s="23" t="str">
        <f t="shared" si="192"/>
        <v>GERAL</v>
      </c>
      <c r="B426" s="23" t="str">
        <f t="shared" si="193"/>
        <v>141º PAV. - LAZER 06</v>
      </c>
      <c r="C426" s="29" t="s">
        <v>276</v>
      </c>
      <c r="D426" s="137" t="s">
        <v>270</v>
      </c>
      <c r="E426" s="29" t="s">
        <v>80</v>
      </c>
      <c r="F426" s="83" t="s">
        <v>55</v>
      </c>
      <c r="G426" s="83" t="s">
        <v>81</v>
      </c>
      <c r="H426" s="131">
        <v>14</v>
      </c>
      <c r="I426" s="24">
        <v>1</v>
      </c>
      <c r="J426" s="24">
        <v>0</v>
      </c>
      <c r="K426" s="24">
        <f t="shared" si="194"/>
        <v>14</v>
      </c>
      <c r="L426" s="24" t="s">
        <v>155</v>
      </c>
      <c r="M426" s="25" t="e">
        <f>_xlfn.XLOOKUP($E426,PREÇO!$C$6:$C$89,PREÇO!$E$6:$E$89)</f>
        <v>#N/A</v>
      </c>
      <c r="N426" s="59" t="e">
        <f>IF(SUM(H426:M426)=0,SUMIFS($N427:$N$759,$B427:$B$759,$B426,$A427:$A$759,$A426),K426*M426)</f>
        <v>#N/A</v>
      </c>
      <c r="P426"/>
      <c r="Q426"/>
      <c r="R426" s="27"/>
      <c r="S426" s="27"/>
      <c r="T426" s="27"/>
      <c r="U426" s="27"/>
      <c r="V426" s="27"/>
      <c r="W426" s="27"/>
      <c r="X426" s="27"/>
      <c r="Y426" s="27"/>
    </row>
    <row r="427" spans="1:25">
      <c r="A427" s="30"/>
      <c r="B427" s="30"/>
      <c r="C427" s="30"/>
      <c r="D427" s="30"/>
      <c r="E427" s="30"/>
      <c r="F427" s="84"/>
      <c r="G427" s="84"/>
      <c r="H427" s="84"/>
      <c r="I427" s="30"/>
      <c r="J427" s="30"/>
      <c r="K427" s="30"/>
      <c r="L427" s="30"/>
      <c r="M427" s="31" t="s">
        <v>16</v>
      </c>
      <c r="N427" s="32" t="e">
        <f>SUMPRODUCT(K5:K426,M5:M426)</f>
        <v>#N/A</v>
      </c>
      <c r="P427"/>
      <c r="Q427"/>
      <c r="R427" s="27"/>
      <c r="S427" s="27"/>
      <c r="T427" s="27"/>
      <c r="U427" s="27"/>
      <c r="V427" s="27"/>
      <c r="W427" s="27"/>
      <c r="X427" s="27"/>
      <c r="Y427" s="27"/>
    </row>
    <row r="428" spans="1:25">
      <c r="N428" s="39" t="e">
        <f>SUM(N5:N426)/2</f>
        <v>#N/A</v>
      </c>
      <c r="P428"/>
      <c r="Q428"/>
      <c r="R428" s="27"/>
      <c r="S428" s="27"/>
      <c r="T428" s="27"/>
      <c r="U428" s="27"/>
      <c r="V428" s="27"/>
      <c r="W428" s="27"/>
      <c r="X428" s="27"/>
      <c r="Y428" s="27"/>
    </row>
    <row r="429" spans="1:25">
      <c r="P429"/>
      <c r="Q429"/>
      <c r="R429" s="27"/>
      <c r="S429" s="27"/>
      <c r="T429" s="27"/>
      <c r="U429" s="27"/>
      <c r="V429" s="27"/>
      <c r="W429" s="27"/>
      <c r="X429" s="27"/>
      <c r="Y429" s="27"/>
    </row>
    <row r="430" spans="1:25">
      <c r="P430"/>
      <c r="Q430"/>
      <c r="R430" s="27"/>
      <c r="S430" s="27"/>
      <c r="T430" s="27"/>
      <c r="U430" s="27"/>
      <c r="V430" s="27"/>
      <c r="W430" s="27"/>
      <c r="X430" s="27"/>
      <c r="Y430" s="27"/>
    </row>
    <row r="431" spans="1:25">
      <c r="G431" s="20"/>
      <c r="P431"/>
      <c r="Q431"/>
      <c r="R431" s="27"/>
      <c r="S431" s="27"/>
      <c r="T431" s="27"/>
      <c r="U431" s="27"/>
      <c r="V431" s="27"/>
      <c r="W431" s="27"/>
      <c r="X431" s="27"/>
      <c r="Y431" s="27"/>
    </row>
    <row r="432" spans="1:25">
      <c r="G432" s="20"/>
      <c r="P432"/>
      <c r="Q432"/>
      <c r="R432" s="27"/>
      <c r="S432" s="27"/>
      <c r="T432" s="27"/>
      <c r="U432" s="27"/>
      <c r="V432" s="27"/>
      <c r="W432" s="27"/>
      <c r="X432" s="27"/>
      <c r="Y432" s="27"/>
    </row>
    <row r="433" spans="7:25">
      <c r="G433" s="20"/>
      <c r="P433"/>
      <c r="Q433"/>
      <c r="R433" s="27"/>
      <c r="S433" s="27"/>
      <c r="T433" s="27"/>
      <c r="U433" s="27"/>
      <c r="V433" s="27"/>
      <c r="W433" s="27"/>
      <c r="X433" s="27"/>
      <c r="Y433" s="27"/>
    </row>
    <row r="434" spans="7:25">
      <c r="G434" s="20"/>
      <c r="P434"/>
      <c r="Q434"/>
      <c r="R434" s="27"/>
      <c r="S434" s="27"/>
      <c r="T434" s="27"/>
      <c r="U434" s="27"/>
      <c r="V434" s="27"/>
      <c r="W434" s="27"/>
      <c r="X434" s="27"/>
      <c r="Y434" s="27"/>
    </row>
    <row r="435" spans="7:25">
      <c r="G435" s="20"/>
      <c r="P435"/>
      <c r="Q435"/>
      <c r="R435" s="27"/>
      <c r="S435" s="27"/>
      <c r="T435" s="27"/>
      <c r="U435" s="27"/>
      <c r="V435" s="27"/>
      <c r="W435" s="27"/>
      <c r="X435" s="27"/>
      <c r="Y435" s="27"/>
    </row>
    <row r="436" spans="7:25">
      <c r="G436" s="20"/>
      <c r="P436"/>
      <c r="Q436"/>
      <c r="R436" s="27"/>
      <c r="S436" s="27"/>
      <c r="T436" s="27"/>
      <c r="U436" s="27"/>
      <c r="V436" s="27"/>
      <c r="W436" s="27"/>
      <c r="X436" s="27"/>
      <c r="Y436" s="27"/>
    </row>
    <row r="437" spans="7:25">
      <c r="G437" s="20"/>
      <c r="P437"/>
      <c r="Q437"/>
      <c r="R437" s="27"/>
      <c r="S437" s="27"/>
      <c r="T437" s="27"/>
      <c r="U437" s="27"/>
      <c r="V437" s="27"/>
      <c r="W437" s="27"/>
      <c r="X437" s="27"/>
      <c r="Y437" s="27"/>
    </row>
    <row r="438" spans="7:25">
      <c r="G438" s="20"/>
      <c r="P438"/>
      <c r="Q438"/>
      <c r="R438" s="27"/>
      <c r="S438" s="27"/>
      <c r="T438" s="27"/>
      <c r="U438" s="27"/>
      <c r="V438" s="27"/>
      <c r="W438" s="27"/>
      <c r="X438" s="27"/>
      <c r="Y438" s="27"/>
    </row>
    <row r="439" spans="7:25">
      <c r="G439" s="20"/>
      <c r="P439"/>
      <c r="Q439"/>
      <c r="R439" s="27"/>
      <c r="S439" s="27"/>
      <c r="T439" s="27"/>
      <c r="U439" s="27"/>
      <c r="V439" s="27"/>
      <c r="W439" s="27"/>
      <c r="X439" s="27"/>
      <c r="Y439" s="27"/>
    </row>
    <row r="440" spans="7:25">
      <c r="G440" s="20"/>
      <c r="P440"/>
      <c r="Q440"/>
      <c r="R440" s="27"/>
      <c r="S440" s="27"/>
      <c r="T440" s="27"/>
      <c r="U440" s="27"/>
      <c r="V440" s="27"/>
      <c r="W440" s="27"/>
      <c r="X440" s="27"/>
      <c r="Y440" s="27"/>
    </row>
    <row r="441" spans="7:25">
      <c r="G441" s="20"/>
      <c r="P441"/>
      <c r="Q441" s="27"/>
      <c r="R441" s="27"/>
      <c r="S441" s="27"/>
      <c r="T441" s="27"/>
      <c r="U441" s="27"/>
      <c r="V441" s="27"/>
      <c r="W441" s="27"/>
      <c r="X441" s="27"/>
      <c r="Y441" s="27"/>
    </row>
    <row r="442" spans="7:25">
      <c r="G442" s="20"/>
      <c r="P442"/>
      <c r="Q442" s="27"/>
      <c r="R442" s="27"/>
      <c r="S442" s="27"/>
      <c r="T442" s="27"/>
      <c r="U442" s="27"/>
      <c r="V442" s="27"/>
      <c r="W442" s="27"/>
      <c r="X442" s="27"/>
      <c r="Y442" s="27"/>
    </row>
    <row r="443" spans="7:25">
      <c r="G443" s="20"/>
      <c r="P443"/>
      <c r="Q443" s="27"/>
      <c r="R443" s="27"/>
      <c r="S443" s="27"/>
      <c r="T443" s="27"/>
      <c r="U443" s="27"/>
      <c r="V443" s="27"/>
      <c r="W443" s="27"/>
      <c r="X443" s="27"/>
      <c r="Y443" s="27"/>
    </row>
    <row r="444" spans="7:25">
      <c r="G444" s="20"/>
      <c r="P444"/>
      <c r="Q444" s="27"/>
      <c r="R444" s="27"/>
      <c r="S444" s="27"/>
      <c r="T444" s="27"/>
      <c r="U444" s="27"/>
      <c r="V444" s="27"/>
      <c r="W444" s="27"/>
      <c r="X444" s="27"/>
      <c r="Y444" s="27"/>
    </row>
    <row r="445" spans="7:25">
      <c r="G445" s="20"/>
      <c r="P445"/>
      <c r="Q445" s="27"/>
      <c r="R445" s="27"/>
      <c r="S445" s="27"/>
      <c r="T445" s="27"/>
      <c r="U445" s="27"/>
      <c r="V445" s="27"/>
      <c r="W445" s="27"/>
      <c r="X445" s="27"/>
      <c r="Y445" s="27"/>
    </row>
    <row r="446" spans="7:25">
      <c r="G446" s="20"/>
      <c r="P446"/>
    </row>
    <row r="447" spans="7:25">
      <c r="G447" s="20"/>
      <c r="P447"/>
    </row>
    <row r="448" spans="7:25">
      <c r="G448" s="20"/>
      <c r="P448"/>
    </row>
    <row r="449" spans="7:16">
      <c r="G449" s="20"/>
      <c r="P449"/>
    </row>
    <row r="450" spans="7:16">
      <c r="G450" s="20"/>
      <c r="P450"/>
    </row>
    <row r="451" spans="7:16">
      <c r="G451" s="20"/>
      <c r="P451"/>
    </row>
    <row r="452" spans="7:16">
      <c r="G452" s="20"/>
      <c r="P452"/>
    </row>
    <row r="453" spans="7:16">
      <c r="G453" s="20"/>
      <c r="P453"/>
    </row>
    <row r="454" spans="7:16">
      <c r="G454" s="20"/>
      <c r="P454"/>
    </row>
    <row r="455" spans="7:16">
      <c r="G455" s="20"/>
      <c r="P455"/>
    </row>
  </sheetData>
  <autoFilter ref="A5:N428" xr:uid="{C1CB23AC-E1EC-4E62-80B1-DF5421E7F0F4}"/>
  <mergeCells count="1">
    <mergeCell ref="A4:Z4"/>
  </mergeCells>
  <phoneticPr fontId="13" type="noConversion"/>
  <pageMargins left="0.511811024" right="0.511811024" top="0.78740157499999996" bottom="0.78740157499999996" header="0.31496062000000002" footer="0.31496062000000002"/>
  <pageSetup paperSize="9" scale="1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1503-3DB5-4091-8F71-0D6CEEB66287}">
  <dimension ref="F1:F455"/>
  <sheetViews>
    <sheetView topLeftCell="A2" workbookViewId="0">
      <selection activeCell="F13" sqref="F13"/>
    </sheetView>
  </sheetViews>
  <sheetFormatPr defaultRowHeight="15"/>
  <cols>
    <col min="6" max="6" width="64.42578125" style="20" customWidth="1"/>
  </cols>
  <sheetData>
    <row r="1" spans="6:6" ht="12.75">
      <c r="F1" s="3" t="s">
        <v>0</v>
      </c>
    </row>
    <row r="2" spans="6:6" ht="12.75">
      <c r="F2" s="3" t="s">
        <v>1</v>
      </c>
    </row>
    <row r="3" spans="6:6" ht="12.75">
      <c r="F3" s="3" t="s">
        <v>2</v>
      </c>
    </row>
    <row r="4" spans="6:6" ht="13.5" thickBot="1">
      <c r="F4"/>
    </row>
    <row r="5" spans="6:6" ht="19.5">
      <c r="F5" s="16" t="s">
        <v>17</v>
      </c>
    </row>
    <row r="6" spans="6:6">
      <c r="F6" s="160" t="s">
        <v>278</v>
      </c>
    </row>
    <row r="7" spans="6:6">
      <c r="F7" s="23" t="s">
        <v>277</v>
      </c>
    </row>
    <row r="8" spans="6:6">
      <c r="F8" s="156" t="s">
        <v>279</v>
      </c>
    </row>
    <row r="9" spans="6:6">
      <c r="F9" s="23" t="s">
        <v>276</v>
      </c>
    </row>
    <row r="10" spans="6:6">
      <c r="F10" s="23" t="s">
        <v>280</v>
      </c>
    </row>
    <row r="11" spans="6:6">
      <c r="F11" s="157" t="s">
        <v>282</v>
      </c>
    </row>
    <row r="12" spans="6:6">
      <c r="F12" s="157" t="s">
        <v>281</v>
      </c>
    </row>
    <row r="13" spans="6:6">
      <c r="F13" s="157" t="s">
        <v>283</v>
      </c>
    </row>
    <row r="14" spans="6:6" ht="12.75">
      <c r="F14"/>
    </row>
    <row r="15" spans="6:6" ht="12.75">
      <c r="F15"/>
    </row>
    <row r="16" spans="6:6" ht="12.75">
      <c r="F16"/>
    </row>
    <row r="17" spans="6:6" ht="12.75">
      <c r="F17"/>
    </row>
    <row r="18" spans="6:6" ht="12.75">
      <c r="F18"/>
    </row>
    <row r="19" spans="6:6" ht="12.75">
      <c r="F19"/>
    </row>
    <row r="20" spans="6:6" ht="12.75">
      <c r="F20"/>
    </row>
    <row r="21" spans="6:6" ht="12.75">
      <c r="F21"/>
    </row>
    <row r="22" spans="6:6" ht="12.75">
      <c r="F22"/>
    </row>
    <row r="23" spans="6:6" ht="12.75">
      <c r="F23"/>
    </row>
    <row r="24" spans="6:6" ht="12.75">
      <c r="F24"/>
    </row>
    <row r="25" spans="6:6" ht="12.75">
      <c r="F25"/>
    </row>
    <row r="26" spans="6:6" ht="12.75">
      <c r="F26"/>
    </row>
    <row r="27" spans="6:6" ht="12.75">
      <c r="F27"/>
    </row>
    <row r="28" spans="6:6" ht="12.75">
      <c r="F28"/>
    </row>
    <row r="29" spans="6:6" ht="12.75">
      <c r="F29"/>
    </row>
    <row r="30" spans="6:6" ht="12.75">
      <c r="F30"/>
    </row>
    <row r="31" spans="6:6" ht="12.75">
      <c r="F31"/>
    </row>
    <row r="32" spans="6:6" ht="12.75">
      <c r="F32"/>
    </row>
    <row r="33" spans="6:6" ht="12.75">
      <c r="F33"/>
    </row>
    <row r="34" spans="6:6" ht="12.75">
      <c r="F34"/>
    </row>
    <row r="35" spans="6:6" ht="12.75">
      <c r="F35"/>
    </row>
    <row r="36" spans="6:6" ht="12.75">
      <c r="F36"/>
    </row>
    <row r="37" spans="6:6" ht="12.75">
      <c r="F37"/>
    </row>
    <row r="38" spans="6:6" ht="12.75">
      <c r="F38"/>
    </row>
    <row r="39" spans="6:6" ht="12.75">
      <c r="F39"/>
    </row>
    <row r="40" spans="6:6" ht="12.75">
      <c r="F40"/>
    </row>
    <row r="41" spans="6:6" ht="12.75">
      <c r="F41"/>
    </row>
    <row r="42" spans="6:6" ht="12.75">
      <c r="F42"/>
    </row>
    <row r="43" spans="6:6" ht="12.75">
      <c r="F43"/>
    </row>
    <row r="44" spans="6:6" ht="12.75">
      <c r="F44"/>
    </row>
    <row r="45" spans="6:6" ht="12.75">
      <c r="F45"/>
    </row>
    <row r="46" spans="6:6" ht="12.75">
      <c r="F46"/>
    </row>
    <row r="47" spans="6:6" ht="12.75">
      <c r="F47"/>
    </row>
    <row r="48" spans="6:6" ht="12.75">
      <c r="F48"/>
    </row>
    <row r="49" spans="6:6" ht="12.75">
      <c r="F49"/>
    </row>
    <row r="50" spans="6:6" ht="12.75">
      <c r="F50"/>
    </row>
    <row r="51" spans="6:6" ht="12.75">
      <c r="F51"/>
    </row>
    <row r="52" spans="6:6" ht="12.75">
      <c r="F52"/>
    </row>
    <row r="53" spans="6:6" ht="12.75">
      <c r="F53"/>
    </row>
    <row r="54" spans="6:6" ht="12.75">
      <c r="F54"/>
    </row>
    <row r="55" spans="6:6" ht="12.75">
      <c r="F55"/>
    </row>
    <row r="56" spans="6:6" ht="12.75">
      <c r="F56"/>
    </row>
    <row r="57" spans="6:6" ht="12.75">
      <c r="F57"/>
    </row>
    <row r="58" spans="6:6" ht="12.75">
      <c r="F58"/>
    </row>
    <row r="59" spans="6:6" ht="12.75">
      <c r="F59"/>
    </row>
    <row r="60" spans="6:6" ht="12.75">
      <c r="F60"/>
    </row>
    <row r="61" spans="6:6" ht="12.75">
      <c r="F61"/>
    </row>
    <row r="62" spans="6:6" ht="12.75">
      <c r="F62"/>
    </row>
    <row r="63" spans="6:6" ht="12.75">
      <c r="F63"/>
    </row>
    <row r="64" spans="6:6" ht="12.75">
      <c r="F64"/>
    </row>
    <row r="65" spans="6:6" ht="12.75">
      <c r="F65"/>
    </row>
    <row r="66" spans="6:6" ht="12.75">
      <c r="F66"/>
    </row>
    <row r="67" spans="6:6" ht="12.75">
      <c r="F67"/>
    </row>
    <row r="68" spans="6:6" ht="12.75">
      <c r="F68"/>
    </row>
    <row r="69" spans="6:6" ht="12.75">
      <c r="F69"/>
    </row>
    <row r="70" spans="6:6" ht="12.75">
      <c r="F70"/>
    </row>
    <row r="71" spans="6:6" ht="12.75">
      <c r="F71"/>
    </row>
    <row r="72" spans="6:6" ht="12.75">
      <c r="F72"/>
    </row>
    <row r="73" spans="6:6" ht="12.75">
      <c r="F73"/>
    </row>
    <row r="74" spans="6:6" ht="12.75">
      <c r="F74"/>
    </row>
    <row r="75" spans="6:6" ht="12.75">
      <c r="F75"/>
    </row>
    <row r="76" spans="6:6" ht="12.75">
      <c r="F76"/>
    </row>
    <row r="77" spans="6:6" ht="12.75">
      <c r="F77"/>
    </row>
    <row r="78" spans="6:6" ht="12.75">
      <c r="F78"/>
    </row>
    <row r="79" spans="6:6" ht="12.75">
      <c r="F79"/>
    </row>
    <row r="80" spans="6:6" ht="12.75">
      <c r="F80"/>
    </row>
    <row r="81" spans="6:6" ht="12.75">
      <c r="F81"/>
    </row>
    <row r="82" spans="6:6" ht="12.75">
      <c r="F82"/>
    </row>
    <row r="83" spans="6:6" ht="12.75">
      <c r="F83"/>
    </row>
    <row r="84" spans="6:6" ht="12.75">
      <c r="F84"/>
    </row>
    <row r="85" spans="6:6" ht="12.75">
      <c r="F85"/>
    </row>
    <row r="86" spans="6:6" ht="12.75">
      <c r="F86"/>
    </row>
    <row r="87" spans="6:6" ht="12.75">
      <c r="F87"/>
    </row>
    <row r="88" spans="6:6" ht="12.75">
      <c r="F88"/>
    </row>
    <row r="89" spans="6:6" ht="12.75">
      <c r="F89"/>
    </row>
    <row r="90" spans="6:6" ht="12.75">
      <c r="F90"/>
    </row>
    <row r="91" spans="6:6" ht="12.75">
      <c r="F91"/>
    </row>
    <row r="92" spans="6:6" ht="12.75">
      <c r="F92"/>
    </row>
    <row r="93" spans="6:6" ht="12.75">
      <c r="F93"/>
    </row>
    <row r="94" spans="6:6" ht="12.75">
      <c r="F94"/>
    </row>
    <row r="95" spans="6:6" ht="12.75">
      <c r="F95"/>
    </row>
    <row r="96" spans="6:6" ht="12.75">
      <c r="F96"/>
    </row>
    <row r="97" spans="6:6" ht="12.75">
      <c r="F97"/>
    </row>
    <row r="98" spans="6:6" ht="12.75">
      <c r="F98"/>
    </row>
    <row r="99" spans="6:6" ht="12.75">
      <c r="F99"/>
    </row>
    <row r="100" spans="6:6" ht="12.75">
      <c r="F100"/>
    </row>
    <row r="101" spans="6:6" ht="12.75">
      <c r="F101"/>
    </row>
    <row r="102" spans="6:6" ht="12.75">
      <c r="F102"/>
    </row>
    <row r="103" spans="6:6" ht="12.75">
      <c r="F103"/>
    </row>
    <row r="104" spans="6:6" ht="12.75">
      <c r="F104"/>
    </row>
    <row r="105" spans="6:6" ht="12.75">
      <c r="F105"/>
    </row>
    <row r="106" spans="6:6" ht="12.75">
      <c r="F106"/>
    </row>
    <row r="107" spans="6:6" ht="12.75">
      <c r="F107"/>
    </row>
    <row r="108" spans="6:6" ht="12.75">
      <c r="F108"/>
    </row>
    <row r="109" spans="6:6" ht="12.75">
      <c r="F109"/>
    </row>
    <row r="110" spans="6:6" ht="12.75">
      <c r="F110"/>
    </row>
    <row r="111" spans="6:6" ht="12.75">
      <c r="F111"/>
    </row>
    <row r="112" spans="6:6" ht="12.75">
      <c r="F112"/>
    </row>
    <row r="113" spans="6:6" ht="12.75">
      <c r="F113"/>
    </row>
    <row r="114" spans="6:6" ht="12.75">
      <c r="F114"/>
    </row>
    <row r="115" spans="6:6" ht="12.75">
      <c r="F115"/>
    </row>
    <row r="116" spans="6:6" ht="12.75">
      <c r="F116"/>
    </row>
    <row r="117" spans="6:6" ht="12.75">
      <c r="F117"/>
    </row>
    <row r="118" spans="6:6" ht="12.75">
      <c r="F118"/>
    </row>
    <row r="119" spans="6:6" ht="12.75">
      <c r="F119"/>
    </row>
    <row r="120" spans="6:6" ht="12.75">
      <c r="F120"/>
    </row>
    <row r="121" spans="6:6" ht="12.75">
      <c r="F121"/>
    </row>
    <row r="122" spans="6:6" ht="12.75">
      <c r="F122"/>
    </row>
    <row r="123" spans="6:6" ht="12.75">
      <c r="F123"/>
    </row>
    <row r="124" spans="6:6" ht="12.75">
      <c r="F124"/>
    </row>
    <row r="125" spans="6:6" ht="12.75">
      <c r="F125"/>
    </row>
    <row r="126" spans="6:6" ht="12.75">
      <c r="F126"/>
    </row>
    <row r="127" spans="6:6" ht="12.75">
      <c r="F127"/>
    </row>
    <row r="128" spans="6:6" ht="12.75">
      <c r="F128"/>
    </row>
    <row r="129" spans="6:6" ht="12.75">
      <c r="F129"/>
    </row>
    <row r="130" spans="6:6" ht="12.75">
      <c r="F130"/>
    </row>
    <row r="131" spans="6:6" ht="12.75">
      <c r="F131"/>
    </row>
    <row r="132" spans="6:6" ht="12.75">
      <c r="F132"/>
    </row>
    <row r="133" spans="6:6" ht="12.75">
      <c r="F133"/>
    </row>
    <row r="134" spans="6:6" ht="12.75">
      <c r="F134"/>
    </row>
    <row r="135" spans="6:6" ht="12.75">
      <c r="F135"/>
    </row>
    <row r="136" spans="6:6" ht="12.75">
      <c r="F136"/>
    </row>
    <row r="137" spans="6:6" ht="12.75">
      <c r="F137"/>
    </row>
    <row r="138" spans="6:6" ht="12.75">
      <c r="F138"/>
    </row>
    <row r="139" spans="6:6" ht="12.75">
      <c r="F139"/>
    </row>
    <row r="140" spans="6:6" ht="12.75">
      <c r="F140"/>
    </row>
    <row r="141" spans="6:6" ht="12.75">
      <c r="F141"/>
    </row>
    <row r="142" spans="6:6" ht="12.75">
      <c r="F142"/>
    </row>
    <row r="143" spans="6:6" ht="12.75">
      <c r="F143"/>
    </row>
    <row r="144" spans="6:6" ht="12.75">
      <c r="F144"/>
    </row>
    <row r="145" spans="6:6" ht="12.75">
      <c r="F145"/>
    </row>
    <row r="146" spans="6:6" ht="12.75">
      <c r="F146"/>
    </row>
    <row r="147" spans="6:6" ht="12.75">
      <c r="F147"/>
    </row>
    <row r="148" spans="6:6" ht="12.75">
      <c r="F148"/>
    </row>
    <row r="149" spans="6:6" ht="12.75">
      <c r="F149"/>
    </row>
    <row r="150" spans="6:6" ht="12.75">
      <c r="F150"/>
    </row>
    <row r="151" spans="6:6" ht="12.75">
      <c r="F151"/>
    </row>
    <row r="152" spans="6:6" ht="12.75">
      <c r="F152"/>
    </row>
    <row r="153" spans="6:6" ht="12.75">
      <c r="F153"/>
    </row>
    <row r="154" spans="6:6" ht="12.75">
      <c r="F154"/>
    </row>
    <row r="155" spans="6:6" ht="12.75">
      <c r="F155"/>
    </row>
    <row r="156" spans="6:6" ht="12.75">
      <c r="F156"/>
    </row>
    <row r="157" spans="6:6" ht="12.75">
      <c r="F157"/>
    </row>
    <row r="158" spans="6:6" ht="12.75">
      <c r="F158"/>
    </row>
    <row r="159" spans="6:6" ht="12.75">
      <c r="F159"/>
    </row>
    <row r="160" spans="6:6" ht="12.75">
      <c r="F160"/>
    </row>
    <row r="161" spans="6:6" ht="12.75">
      <c r="F161"/>
    </row>
    <row r="162" spans="6:6" ht="12.75">
      <c r="F162"/>
    </row>
    <row r="163" spans="6:6" ht="12.75">
      <c r="F163"/>
    </row>
    <row r="164" spans="6:6" ht="12.75">
      <c r="F164"/>
    </row>
    <row r="165" spans="6:6" ht="12.75">
      <c r="F165"/>
    </row>
    <row r="166" spans="6:6" ht="12.75">
      <c r="F166"/>
    </row>
    <row r="167" spans="6:6" ht="12.75">
      <c r="F167"/>
    </row>
    <row r="168" spans="6:6" ht="12.75">
      <c r="F168"/>
    </row>
    <row r="169" spans="6:6" ht="12.75">
      <c r="F169"/>
    </row>
    <row r="170" spans="6:6" ht="12.75">
      <c r="F170"/>
    </row>
    <row r="171" spans="6:6" ht="12.75">
      <c r="F171"/>
    </row>
    <row r="172" spans="6:6" ht="12.75">
      <c r="F172"/>
    </row>
    <row r="173" spans="6:6" ht="12.75">
      <c r="F173"/>
    </row>
    <row r="174" spans="6:6" ht="12.75">
      <c r="F174"/>
    </row>
    <row r="175" spans="6:6" ht="12.75">
      <c r="F175"/>
    </row>
    <row r="176" spans="6:6" ht="12.75">
      <c r="F176"/>
    </row>
    <row r="177" spans="6:6" ht="12.75">
      <c r="F177"/>
    </row>
    <row r="178" spans="6:6" ht="12.75">
      <c r="F178"/>
    </row>
    <row r="179" spans="6:6" ht="12.75">
      <c r="F179"/>
    </row>
    <row r="180" spans="6:6" ht="12.75">
      <c r="F180"/>
    </row>
    <row r="181" spans="6:6" ht="12.75">
      <c r="F181"/>
    </row>
    <row r="182" spans="6:6" ht="12.75">
      <c r="F182"/>
    </row>
    <row r="183" spans="6:6" ht="12.75">
      <c r="F183"/>
    </row>
    <row r="184" spans="6:6" ht="12.75">
      <c r="F184"/>
    </row>
    <row r="185" spans="6:6" ht="12.75">
      <c r="F185"/>
    </row>
    <row r="186" spans="6:6" ht="12.75">
      <c r="F186"/>
    </row>
    <row r="187" spans="6:6" ht="12.75">
      <c r="F187"/>
    </row>
    <row r="188" spans="6:6" ht="12.75">
      <c r="F188"/>
    </row>
    <row r="189" spans="6:6" ht="12.75">
      <c r="F189"/>
    </row>
    <row r="190" spans="6:6" ht="12.75">
      <c r="F190"/>
    </row>
    <row r="191" spans="6:6" ht="12.75">
      <c r="F191"/>
    </row>
    <row r="192" spans="6:6" ht="12.75">
      <c r="F192"/>
    </row>
    <row r="193" spans="6:6" ht="12.75">
      <c r="F193"/>
    </row>
    <row r="194" spans="6:6" ht="12.75">
      <c r="F194"/>
    </row>
    <row r="195" spans="6:6" ht="12.75">
      <c r="F195"/>
    </row>
    <row r="196" spans="6:6" ht="12.75">
      <c r="F196"/>
    </row>
    <row r="197" spans="6:6" ht="12.75">
      <c r="F197"/>
    </row>
    <row r="198" spans="6:6" ht="12.75">
      <c r="F198"/>
    </row>
    <row r="199" spans="6:6" ht="12.75">
      <c r="F199"/>
    </row>
    <row r="200" spans="6:6" ht="12.75">
      <c r="F200"/>
    </row>
    <row r="201" spans="6:6" ht="12.75">
      <c r="F201"/>
    </row>
    <row r="202" spans="6:6" ht="12.75">
      <c r="F202"/>
    </row>
    <row r="203" spans="6:6" ht="12.75">
      <c r="F203"/>
    </row>
    <row r="204" spans="6:6" ht="12.75">
      <c r="F204"/>
    </row>
    <row r="205" spans="6:6" ht="12.75">
      <c r="F205"/>
    </row>
    <row r="206" spans="6:6" ht="12.75">
      <c r="F206"/>
    </row>
    <row r="207" spans="6:6" ht="12.75">
      <c r="F207"/>
    </row>
    <row r="208" spans="6:6" ht="12.75">
      <c r="F208"/>
    </row>
    <row r="209" spans="6:6" ht="12.75">
      <c r="F209"/>
    </row>
    <row r="210" spans="6:6" ht="12.75">
      <c r="F210"/>
    </row>
    <row r="211" spans="6:6" ht="12.75">
      <c r="F211"/>
    </row>
    <row r="212" spans="6:6" ht="12.75">
      <c r="F212"/>
    </row>
    <row r="213" spans="6:6" ht="12.75">
      <c r="F213"/>
    </row>
    <row r="214" spans="6:6" ht="12.75">
      <c r="F214"/>
    </row>
    <row r="215" spans="6:6" ht="12.75">
      <c r="F215"/>
    </row>
    <row r="216" spans="6:6" ht="12.75">
      <c r="F216"/>
    </row>
    <row r="217" spans="6:6" ht="12.75">
      <c r="F217"/>
    </row>
    <row r="218" spans="6:6" ht="12.75">
      <c r="F218"/>
    </row>
    <row r="219" spans="6:6" ht="12.75">
      <c r="F219"/>
    </row>
    <row r="220" spans="6:6" ht="12.75">
      <c r="F220"/>
    </row>
    <row r="221" spans="6:6" ht="12.75">
      <c r="F221"/>
    </row>
    <row r="222" spans="6:6" ht="12.75">
      <c r="F222"/>
    </row>
    <row r="223" spans="6:6" ht="12.75">
      <c r="F223"/>
    </row>
    <row r="224" spans="6:6" ht="12.75">
      <c r="F224"/>
    </row>
    <row r="225" spans="6:6" ht="12.75">
      <c r="F225"/>
    </row>
    <row r="226" spans="6:6" ht="12.75">
      <c r="F226"/>
    </row>
    <row r="227" spans="6:6" ht="12.75">
      <c r="F227"/>
    </row>
    <row r="228" spans="6:6" ht="12.75">
      <c r="F228"/>
    </row>
    <row r="229" spans="6:6" ht="12.75">
      <c r="F229"/>
    </row>
    <row r="230" spans="6:6" ht="12.75">
      <c r="F230"/>
    </row>
    <row r="231" spans="6:6" ht="12.75">
      <c r="F231"/>
    </row>
    <row r="232" spans="6:6" ht="12.75">
      <c r="F232"/>
    </row>
    <row r="233" spans="6:6" ht="12.75">
      <c r="F233"/>
    </row>
    <row r="234" spans="6:6" ht="12.75">
      <c r="F234"/>
    </row>
    <row r="235" spans="6:6" ht="12.75">
      <c r="F235"/>
    </row>
    <row r="236" spans="6:6" ht="12.75">
      <c r="F236"/>
    </row>
    <row r="237" spans="6:6" ht="12.75">
      <c r="F237"/>
    </row>
    <row r="238" spans="6:6" ht="12.75">
      <c r="F238"/>
    </row>
    <row r="239" spans="6:6" ht="12.75">
      <c r="F239"/>
    </row>
    <row r="240" spans="6:6" ht="12.75">
      <c r="F240"/>
    </row>
    <row r="241" spans="6:6" ht="12.75">
      <c r="F241"/>
    </row>
    <row r="242" spans="6:6" ht="12.75">
      <c r="F242"/>
    </row>
    <row r="243" spans="6:6" ht="12.75">
      <c r="F243"/>
    </row>
    <row r="244" spans="6:6" ht="12.75">
      <c r="F244"/>
    </row>
    <row r="245" spans="6:6" ht="12.75">
      <c r="F245"/>
    </row>
    <row r="246" spans="6:6" ht="12.75">
      <c r="F246"/>
    </row>
    <row r="247" spans="6:6" ht="12.75">
      <c r="F247"/>
    </row>
    <row r="248" spans="6:6" ht="12.75">
      <c r="F248"/>
    </row>
    <row r="249" spans="6:6" ht="12.75">
      <c r="F249"/>
    </row>
    <row r="250" spans="6:6" ht="12.75">
      <c r="F250"/>
    </row>
    <row r="251" spans="6:6" ht="12.75">
      <c r="F251"/>
    </row>
    <row r="252" spans="6:6" ht="12.75">
      <c r="F252"/>
    </row>
    <row r="253" spans="6:6" ht="12.75">
      <c r="F253"/>
    </row>
    <row r="254" spans="6:6" ht="12.75">
      <c r="F254"/>
    </row>
    <row r="255" spans="6:6" ht="12.75">
      <c r="F255"/>
    </row>
    <row r="256" spans="6:6" ht="12.75">
      <c r="F256"/>
    </row>
    <row r="257" spans="6:6" ht="12.75">
      <c r="F257"/>
    </row>
    <row r="258" spans="6:6" ht="12.75">
      <c r="F258"/>
    </row>
    <row r="259" spans="6:6" ht="12.75">
      <c r="F259"/>
    </row>
    <row r="260" spans="6:6" ht="12.75">
      <c r="F260"/>
    </row>
    <row r="261" spans="6:6" ht="12.75">
      <c r="F261"/>
    </row>
    <row r="262" spans="6:6" ht="12.75">
      <c r="F262"/>
    </row>
    <row r="263" spans="6:6" ht="12.75">
      <c r="F263"/>
    </row>
    <row r="264" spans="6:6" ht="12.75">
      <c r="F264"/>
    </row>
    <row r="265" spans="6:6" ht="12.75">
      <c r="F265"/>
    </row>
    <row r="266" spans="6:6" ht="12.75">
      <c r="F266"/>
    </row>
    <row r="267" spans="6:6" ht="12.75">
      <c r="F267"/>
    </row>
    <row r="268" spans="6:6" ht="12.75">
      <c r="F268"/>
    </row>
    <row r="269" spans="6:6" ht="12.75">
      <c r="F269"/>
    </row>
    <row r="270" spans="6:6" ht="12.75">
      <c r="F270"/>
    </row>
    <row r="271" spans="6:6" ht="12.75">
      <c r="F271"/>
    </row>
    <row r="272" spans="6:6" ht="12.75">
      <c r="F272"/>
    </row>
    <row r="273" spans="6:6" ht="12.75">
      <c r="F273"/>
    </row>
    <row r="274" spans="6:6" ht="12.75">
      <c r="F274"/>
    </row>
    <row r="275" spans="6:6" ht="12.75">
      <c r="F275"/>
    </row>
    <row r="276" spans="6:6" ht="12.75">
      <c r="F276"/>
    </row>
    <row r="277" spans="6:6" ht="12.75">
      <c r="F277"/>
    </row>
    <row r="278" spans="6:6" ht="12.75">
      <c r="F278"/>
    </row>
    <row r="279" spans="6:6" ht="12.75">
      <c r="F279"/>
    </row>
    <row r="280" spans="6:6" ht="12.75">
      <c r="F280"/>
    </row>
    <row r="281" spans="6:6" ht="12.75">
      <c r="F281"/>
    </row>
    <row r="282" spans="6:6" ht="12.75">
      <c r="F282"/>
    </row>
    <row r="283" spans="6:6" ht="12.75">
      <c r="F283"/>
    </row>
    <row r="284" spans="6:6" ht="12.75">
      <c r="F284"/>
    </row>
    <row r="285" spans="6:6" ht="12.75">
      <c r="F285"/>
    </row>
    <row r="286" spans="6:6" ht="12.75">
      <c r="F286"/>
    </row>
    <row r="287" spans="6:6" ht="12.75">
      <c r="F287"/>
    </row>
    <row r="288" spans="6:6" ht="12.75">
      <c r="F288"/>
    </row>
    <row r="289" spans="6:6" ht="12.75">
      <c r="F289"/>
    </row>
    <row r="290" spans="6:6" ht="12.75">
      <c r="F290"/>
    </row>
    <row r="291" spans="6:6" ht="12.75">
      <c r="F291"/>
    </row>
    <row r="292" spans="6:6" ht="12.75">
      <c r="F292"/>
    </row>
    <row r="293" spans="6:6" ht="12.75">
      <c r="F293"/>
    </row>
    <row r="294" spans="6:6" ht="12.75">
      <c r="F294"/>
    </row>
    <row r="295" spans="6:6" ht="12.75">
      <c r="F295"/>
    </row>
    <row r="296" spans="6:6" ht="12.75">
      <c r="F296"/>
    </row>
    <row r="297" spans="6:6" ht="12.75">
      <c r="F297"/>
    </row>
    <row r="298" spans="6:6" ht="12.75">
      <c r="F298"/>
    </row>
    <row r="299" spans="6:6" ht="12.75">
      <c r="F299"/>
    </row>
    <row r="300" spans="6:6" ht="12.75">
      <c r="F300"/>
    </row>
    <row r="301" spans="6:6" ht="12.75">
      <c r="F301"/>
    </row>
    <row r="302" spans="6:6" ht="12.75">
      <c r="F302"/>
    </row>
    <row r="303" spans="6:6" ht="12.75">
      <c r="F303"/>
    </row>
    <row r="304" spans="6:6" ht="12.75">
      <c r="F304"/>
    </row>
    <row r="305" spans="6:6" ht="12.75">
      <c r="F305"/>
    </row>
    <row r="306" spans="6:6" ht="12.75">
      <c r="F306"/>
    </row>
    <row r="307" spans="6:6" ht="12.75">
      <c r="F307"/>
    </row>
    <row r="308" spans="6:6" ht="12.75">
      <c r="F308"/>
    </row>
    <row r="309" spans="6:6" ht="12.75">
      <c r="F309"/>
    </row>
    <row r="310" spans="6:6" ht="12.75">
      <c r="F310"/>
    </row>
    <row r="311" spans="6:6" ht="12.75">
      <c r="F311"/>
    </row>
    <row r="312" spans="6:6" ht="12.75">
      <c r="F312"/>
    </row>
    <row r="313" spans="6:6" ht="12.75">
      <c r="F313"/>
    </row>
    <row r="314" spans="6:6" ht="12.75">
      <c r="F314"/>
    </row>
    <row r="315" spans="6:6" ht="12.75">
      <c r="F315"/>
    </row>
    <row r="316" spans="6:6" ht="12.75">
      <c r="F316"/>
    </row>
    <row r="317" spans="6:6" ht="12.75">
      <c r="F317"/>
    </row>
    <row r="318" spans="6:6" ht="12.75">
      <c r="F318"/>
    </row>
    <row r="319" spans="6:6" ht="12.75">
      <c r="F319"/>
    </row>
    <row r="320" spans="6:6" ht="12.75">
      <c r="F320"/>
    </row>
    <row r="321" spans="6:6" ht="12.75">
      <c r="F321"/>
    </row>
    <row r="322" spans="6:6" ht="12.75">
      <c r="F322"/>
    </row>
    <row r="323" spans="6:6" ht="12.75">
      <c r="F323"/>
    </row>
    <row r="324" spans="6:6" ht="12.75">
      <c r="F324"/>
    </row>
    <row r="325" spans="6:6" ht="12.75">
      <c r="F325"/>
    </row>
    <row r="326" spans="6:6" ht="12.75">
      <c r="F326"/>
    </row>
    <row r="327" spans="6:6" ht="12.75">
      <c r="F327"/>
    </row>
    <row r="328" spans="6:6" ht="12.75">
      <c r="F328"/>
    </row>
    <row r="329" spans="6:6" ht="12.75">
      <c r="F329"/>
    </row>
    <row r="330" spans="6:6" ht="12.75">
      <c r="F330"/>
    </row>
    <row r="331" spans="6:6" ht="12.75">
      <c r="F331"/>
    </row>
    <row r="332" spans="6:6" ht="12.75">
      <c r="F332"/>
    </row>
    <row r="333" spans="6:6" ht="12.75">
      <c r="F333"/>
    </row>
    <row r="334" spans="6:6" ht="12.75">
      <c r="F334"/>
    </row>
    <row r="335" spans="6:6" ht="12.75">
      <c r="F335"/>
    </row>
    <row r="336" spans="6:6" ht="12.75">
      <c r="F336"/>
    </row>
    <row r="337" spans="6:6" ht="12.75">
      <c r="F337"/>
    </row>
    <row r="338" spans="6:6" ht="12.75">
      <c r="F338"/>
    </row>
    <row r="339" spans="6:6" ht="12.75">
      <c r="F339"/>
    </row>
    <row r="340" spans="6:6" ht="12.75">
      <c r="F340"/>
    </row>
    <row r="341" spans="6:6" ht="12.75">
      <c r="F341"/>
    </row>
    <row r="342" spans="6:6" ht="12.75">
      <c r="F342"/>
    </row>
    <row r="343" spans="6:6" ht="12.75">
      <c r="F343"/>
    </row>
    <row r="344" spans="6:6" ht="12.75">
      <c r="F344"/>
    </row>
    <row r="345" spans="6:6" ht="12.75">
      <c r="F345"/>
    </row>
    <row r="346" spans="6:6" ht="12.75">
      <c r="F346"/>
    </row>
    <row r="347" spans="6:6" ht="12.75">
      <c r="F347"/>
    </row>
    <row r="348" spans="6:6" ht="12.75">
      <c r="F348"/>
    </row>
    <row r="349" spans="6:6" ht="12.75">
      <c r="F349"/>
    </row>
    <row r="350" spans="6:6" ht="12.75">
      <c r="F350"/>
    </row>
    <row r="351" spans="6:6" ht="12.75">
      <c r="F351"/>
    </row>
    <row r="352" spans="6:6" ht="12.75">
      <c r="F352"/>
    </row>
    <row r="353" spans="6:6" ht="12.75">
      <c r="F353"/>
    </row>
    <row r="354" spans="6:6" ht="12.75">
      <c r="F354"/>
    </row>
    <row r="355" spans="6:6" ht="12.75">
      <c r="F355"/>
    </row>
    <row r="356" spans="6:6" ht="12.75">
      <c r="F356"/>
    </row>
    <row r="357" spans="6:6" ht="12.75">
      <c r="F357"/>
    </row>
    <row r="358" spans="6:6" ht="12.75">
      <c r="F358"/>
    </row>
    <row r="359" spans="6:6" ht="12.75">
      <c r="F359"/>
    </row>
    <row r="360" spans="6:6" ht="12.75">
      <c r="F360"/>
    </row>
    <row r="361" spans="6:6" ht="12.75">
      <c r="F361"/>
    </row>
    <row r="362" spans="6:6" ht="12.75">
      <c r="F362"/>
    </row>
    <row r="363" spans="6:6" ht="12.75">
      <c r="F363"/>
    </row>
    <row r="364" spans="6:6" ht="12.75">
      <c r="F364"/>
    </row>
    <row r="365" spans="6:6" ht="12.75">
      <c r="F365"/>
    </row>
    <row r="366" spans="6:6" ht="12.75">
      <c r="F366"/>
    </row>
    <row r="367" spans="6:6" ht="12.75">
      <c r="F367"/>
    </row>
    <row r="368" spans="6:6" ht="12.75">
      <c r="F368"/>
    </row>
    <row r="369" spans="6:6" ht="12.75">
      <c r="F369"/>
    </row>
    <row r="370" spans="6:6" ht="12.75">
      <c r="F370"/>
    </row>
    <row r="371" spans="6:6" ht="12.75">
      <c r="F371"/>
    </row>
    <row r="372" spans="6:6" ht="12.75">
      <c r="F372"/>
    </row>
    <row r="373" spans="6:6" ht="12.75">
      <c r="F373"/>
    </row>
    <row r="374" spans="6:6" ht="12.75">
      <c r="F374"/>
    </row>
    <row r="375" spans="6:6" ht="12.75">
      <c r="F375"/>
    </row>
    <row r="376" spans="6:6" ht="12.75">
      <c r="F376"/>
    </row>
    <row r="377" spans="6:6" ht="12.75">
      <c r="F377"/>
    </row>
    <row r="378" spans="6:6" ht="12.75">
      <c r="F378"/>
    </row>
    <row r="379" spans="6:6" ht="12.75">
      <c r="F379"/>
    </row>
    <row r="380" spans="6:6" ht="12.75">
      <c r="F380"/>
    </row>
    <row r="381" spans="6:6" ht="12.75">
      <c r="F381"/>
    </row>
    <row r="382" spans="6:6" ht="12.75">
      <c r="F382"/>
    </row>
    <row r="383" spans="6:6" ht="12.75">
      <c r="F383"/>
    </row>
    <row r="384" spans="6:6" ht="12.75">
      <c r="F384"/>
    </row>
    <row r="385" spans="6:6" ht="12.75">
      <c r="F385"/>
    </row>
    <row r="386" spans="6:6" ht="12.75">
      <c r="F386"/>
    </row>
    <row r="387" spans="6:6" ht="12.75">
      <c r="F387"/>
    </row>
    <row r="388" spans="6:6" ht="12.75">
      <c r="F388"/>
    </row>
    <row r="389" spans="6:6" ht="12.75">
      <c r="F389"/>
    </row>
    <row r="390" spans="6:6" ht="12.75">
      <c r="F390"/>
    </row>
    <row r="391" spans="6:6" ht="12.75">
      <c r="F391"/>
    </row>
    <row r="392" spans="6:6" ht="12.75">
      <c r="F392"/>
    </row>
    <row r="393" spans="6:6" ht="12.75">
      <c r="F393"/>
    </row>
    <row r="394" spans="6:6" ht="12.75">
      <c r="F394"/>
    </row>
    <row r="395" spans="6:6" ht="12.75">
      <c r="F395"/>
    </row>
    <row r="396" spans="6:6" ht="12.75">
      <c r="F396"/>
    </row>
    <row r="397" spans="6:6" ht="12.75">
      <c r="F397"/>
    </row>
    <row r="398" spans="6:6" ht="12.75">
      <c r="F398"/>
    </row>
    <row r="399" spans="6:6" ht="12.75">
      <c r="F399"/>
    </row>
    <row r="400" spans="6:6" ht="12.75">
      <c r="F400"/>
    </row>
    <row r="401" spans="6:6" ht="12.75">
      <c r="F401"/>
    </row>
    <row r="402" spans="6:6" ht="12.75">
      <c r="F402"/>
    </row>
    <row r="403" spans="6:6" ht="12.75">
      <c r="F403"/>
    </row>
    <row r="404" spans="6:6" ht="12.75">
      <c r="F404"/>
    </row>
    <row r="405" spans="6:6" ht="12.75">
      <c r="F405"/>
    </row>
    <row r="406" spans="6:6" ht="12.75">
      <c r="F406"/>
    </row>
    <row r="407" spans="6:6" ht="12.75">
      <c r="F407"/>
    </row>
    <row r="408" spans="6:6" ht="12.75">
      <c r="F408"/>
    </row>
    <row r="409" spans="6:6" ht="12.75">
      <c r="F409"/>
    </row>
    <row r="410" spans="6:6" ht="12.75">
      <c r="F410"/>
    </row>
    <row r="411" spans="6:6" ht="12.75">
      <c r="F411"/>
    </row>
    <row r="412" spans="6:6" ht="12.75">
      <c r="F412"/>
    </row>
    <row r="413" spans="6:6" ht="12.75">
      <c r="F413"/>
    </row>
    <row r="414" spans="6:6" ht="12.75">
      <c r="F414"/>
    </row>
    <row r="415" spans="6:6" ht="12.75">
      <c r="F415"/>
    </row>
    <row r="416" spans="6:6" ht="12.75">
      <c r="F416"/>
    </row>
    <row r="417" spans="6:6" ht="12.75">
      <c r="F417"/>
    </row>
    <row r="418" spans="6:6" ht="12.75">
      <c r="F418"/>
    </row>
    <row r="419" spans="6:6" ht="12.75">
      <c r="F419"/>
    </row>
    <row r="420" spans="6:6" ht="12.75">
      <c r="F420"/>
    </row>
    <row r="421" spans="6:6" ht="12.75">
      <c r="F421"/>
    </row>
    <row r="422" spans="6:6" ht="12.75">
      <c r="F422"/>
    </row>
    <row r="423" spans="6:6" ht="12.75">
      <c r="F423"/>
    </row>
    <row r="424" spans="6:6" ht="12.75">
      <c r="F424"/>
    </row>
    <row r="425" spans="6:6" ht="12.75">
      <c r="F425"/>
    </row>
    <row r="426" spans="6:6" ht="12.75">
      <c r="F426"/>
    </row>
    <row r="427" spans="6:6" ht="12.75">
      <c r="F427"/>
    </row>
    <row r="428" spans="6:6" ht="12.75">
      <c r="F428"/>
    </row>
    <row r="429" spans="6:6" ht="12.75">
      <c r="F429"/>
    </row>
    <row r="430" spans="6:6" ht="12.75">
      <c r="F430"/>
    </row>
    <row r="431" spans="6:6" ht="12.75">
      <c r="F431"/>
    </row>
    <row r="432" spans="6:6" ht="12.75">
      <c r="F432"/>
    </row>
    <row r="433" spans="6:6" ht="12.75">
      <c r="F433"/>
    </row>
    <row r="434" spans="6:6" ht="12.75">
      <c r="F434"/>
    </row>
    <row r="435" spans="6:6" ht="12.75">
      <c r="F435"/>
    </row>
    <row r="436" spans="6:6" ht="12.75">
      <c r="F436"/>
    </row>
    <row r="437" spans="6:6" ht="12.75">
      <c r="F437"/>
    </row>
    <row r="438" spans="6:6" ht="12.75">
      <c r="F438"/>
    </row>
    <row r="439" spans="6:6" ht="12.75">
      <c r="F439"/>
    </row>
    <row r="440" spans="6:6" ht="12.75">
      <c r="F440"/>
    </row>
    <row r="441" spans="6:6" ht="12.75">
      <c r="F441"/>
    </row>
    <row r="442" spans="6:6" ht="12.75">
      <c r="F442"/>
    </row>
    <row r="443" spans="6:6" ht="12.75">
      <c r="F443"/>
    </row>
    <row r="444" spans="6:6" ht="12.75">
      <c r="F444"/>
    </row>
    <row r="445" spans="6:6" ht="12.75">
      <c r="F445"/>
    </row>
    <row r="446" spans="6:6" ht="12.75">
      <c r="F446"/>
    </row>
    <row r="447" spans="6:6" ht="12.75">
      <c r="F447"/>
    </row>
    <row r="448" spans="6:6" ht="12.75">
      <c r="F448"/>
    </row>
    <row r="449" spans="6:6" ht="12.75">
      <c r="F449"/>
    </row>
    <row r="450" spans="6:6" ht="12.75">
      <c r="F450"/>
    </row>
    <row r="451" spans="6:6" ht="12.75">
      <c r="F451"/>
    </row>
    <row r="452" spans="6:6" ht="12.75">
      <c r="F452"/>
    </row>
    <row r="453" spans="6:6" ht="12.75">
      <c r="F453"/>
    </row>
    <row r="454" spans="6:6" ht="12.75">
      <c r="F454"/>
    </row>
    <row r="455" spans="6:6" ht="12.75">
      <c r="F45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PREÇO</vt:lpstr>
      <vt:lpstr>CLIMATIZAÇÃO E EXAUSTÃO</vt:lpstr>
      <vt:lpstr>Planilha1</vt:lpstr>
      <vt:lpstr>'CLIMATIZAÇÃO E EXAUSTÃO'!Area_de_impressao</vt:lpstr>
      <vt:lpstr>PREÇO!Area_de_impressao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Valquira Vansquelhe</dc:creator>
  <cp:lastModifiedBy>Patricia Bragatto</cp:lastModifiedBy>
  <dcterms:created xsi:type="dcterms:W3CDTF">2025-01-31T20:10:43Z</dcterms:created>
  <dcterms:modified xsi:type="dcterms:W3CDTF">2026-02-01T23:22:16Z</dcterms:modified>
</cp:coreProperties>
</file>