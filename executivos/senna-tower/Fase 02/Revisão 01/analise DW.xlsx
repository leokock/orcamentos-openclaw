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FG Empreendimentos\2025.11 - Senna Tower\04. Custo\04.2 Custo - Preliminar\02 - Elaboração\Fase 02\Revisão 01\"/>
    </mc:Choice>
  </mc:AlternateContent>
  <xr:revisionPtr revIDLastSave="0" documentId="13_ncr:1_{0F598FFF-BE8E-46CF-8430-E1697E707F54}" xr6:coauthVersionLast="47" xr6:coauthVersionMax="47" xr10:uidLastSave="{00000000-0000-0000-0000-000000000000}"/>
  <bookViews>
    <workbookView xWindow="11424" yWindow="0" windowWidth="11712" windowHeight="12336" activeTab="2" xr2:uid="{C0DAC14F-3D59-466C-872C-60152A1F4AF8}"/>
  </bookViews>
  <sheets>
    <sheet name="Resumo" sheetId="2" r:id="rId1"/>
    <sheet name="Analise " sheetId="5" r:id="rId2"/>
    <sheet name="composições" sheetId="3" r:id="rId3"/>
    <sheet name="PROPOSTA VIGENTE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F250" i="3" l="1"/>
  <c r="F211" i="3"/>
  <c r="F3" i="5" l="1"/>
  <c r="F4" i="5"/>
  <c r="F5" i="5"/>
  <c r="F6" i="5"/>
  <c r="F7" i="5"/>
  <c r="F8" i="5"/>
  <c r="F9" i="5"/>
  <c r="F278" i="3"/>
  <c r="H278" i="3" s="1"/>
  <c r="H309" i="3"/>
  <c r="H308" i="3"/>
  <c r="G307" i="3" a="1"/>
  <c r="G307" i="3" s="1"/>
  <c r="H307" i="3" s="1"/>
  <c r="G306" i="3" a="1"/>
  <c r="G306" i="3" s="1"/>
  <c r="H306" i="3" s="1"/>
  <c r="G305" i="3" a="1"/>
  <c r="G305" i="3" s="1"/>
  <c r="H305" i="3" s="1"/>
  <c r="G304" i="3" a="1"/>
  <c r="G304" i="3" s="1"/>
  <c r="H304" i="3" s="1"/>
  <c r="G303" i="3" a="1"/>
  <c r="G303" i="3" s="1"/>
  <c r="H303" i="3" s="1"/>
  <c r="F302" i="3"/>
  <c r="H302" i="3" s="1"/>
  <c r="H301" i="3"/>
  <c r="G300" i="3" a="1"/>
  <c r="G300" i="3" s="1"/>
  <c r="H300" i="3" s="1"/>
  <c r="H299" i="3"/>
  <c r="H297" i="3"/>
  <c r="H296" i="3"/>
  <c r="G295" i="3" a="1"/>
  <c r="G295" i="3" s="1"/>
  <c r="H295" i="3" s="1"/>
  <c r="G294" i="3" a="1"/>
  <c r="G294" i="3" s="1"/>
  <c r="H294" i="3" s="1"/>
  <c r="G293" i="3" a="1"/>
  <c r="G293" i="3" s="1"/>
  <c r="H293" i="3" s="1"/>
  <c r="G292" i="3" a="1"/>
  <c r="G292" i="3" s="1"/>
  <c r="H292" i="3" s="1"/>
  <c r="G291" i="3" a="1"/>
  <c r="G291" i="3" s="1"/>
  <c r="H291" i="3" s="1"/>
  <c r="F290" i="3"/>
  <c r="H290" i="3" s="1"/>
  <c r="H289" i="3"/>
  <c r="G288" i="3" a="1"/>
  <c r="G288" i="3" s="1"/>
  <c r="H288" i="3" s="1"/>
  <c r="H287" i="3"/>
  <c r="H285" i="3"/>
  <c r="H284" i="3"/>
  <c r="G283" i="3" a="1"/>
  <c r="G283" i="3" s="1"/>
  <c r="H283" i="3" s="1"/>
  <c r="G282" i="3" a="1"/>
  <c r="G282" i="3" s="1"/>
  <c r="H282" i="3" s="1"/>
  <c r="G281" i="3" a="1"/>
  <c r="G281" i="3" s="1"/>
  <c r="H281" i="3" s="1"/>
  <c r="G280" i="3" a="1"/>
  <c r="G280" i="3" s="1"/>
  <c r="H280" i="3" s="1"/>
  <c r="G279" i="3" a="1"/>
  <c r="G279" i="3" s="1"/>
  <c r="H279" i="3" s="1"/>
  <c r="H277" i="3"/>
  <c r="G276" i="3" a="1"/>
  <c r="G276" i="3" s="1"/>
  <c r="H276" i="3" s="1"/>
  <c r="H275" i="3"/>
  <c r="H273" i="3"/>
  <c r="H272" i="3"/>
  <c r="G271" i="3" a="1"/>
  <c r="G271" i="3" s="1"/>
  <c r="H271" i="3" s="1"/>
  <c r="G270" i="3" a="1"/>
  <c r="G270" i="3" s="1"/>
  <c r="H270" i="3" s="1"/>
  <c r="G269" i="3" a="1"/>
  <c r="G269" i="3" s="1"/>
  <c r="H269" i="3" s="1"/>
  <c r="G268" i="3" a="1"/>
  <c r="G268" i="3" s="1"/>
  <c r="H268" i="3" s="1"/>
  <c r="G267" i="3" a="1"/>
  <c r="G267" i="3" s="1"/>
  <c r="H267" i="3" s="1"/>
  <c r="F266" i="3"/>
  <c r="H266" i="3" s="1"/>
  <c r="H265" i="3"/>
  <c r="G264" i="3" a="1"/>
  <c r="G264" i="3" s="1"/>
  <c r="H264" i="3" s="1"/>
  <c r="F263" i="3"/>
  <c r="H263" i="3" s="1"/>
  <c r="H261" i="3"/>
  <c r="H260" i="3"/>
  <c r="H259" i="3"/>
  <c r="H258" i="3"/>
  <c r="H257" i="3"/>
  <c r="H256" i="3"/>
  <c r="H255" i="3"/>
  <c r="H254" i="3"/>
  <c r="F253" i="3"/>
  <c r="H253" i="3" s="1"/>
  <c r="H252" i="3"/>
  <c r="H251" i="3"/>
  <c r="H250" i="3"/>
  <c r="F249" i="3"/>
  <c r="H249" i="3" s="1"/>
  <c r="H247" i="3"/>
  <c r="H246" i="3"/>
  <c r="G245" i="3" a="1"/>
  <c r="G245" i="3" s="1"/>
  <c r="H245" i="3" s="1"/>
  <c r="G244" i="3" a="1"/>
  <c r="G244" i="3" s="1"/>
  <c r="H244" i="3" s="1"/>
  <c r="G243" i="3" a="1"/>
  <c r="G243" i="3" s="1"/>
  <c r="H243" i="3" s="1"/>
  <c r="G242" i="3" a="1"/>
  <c r="G242" i="3" s="1"/>
  <c r="H242" i="3" s="1"/>
  <c r="G241" i="3" a="1"/>
  <c r="G241" i="3" s="1"/>
  <c r="H241" i="3" s="1"/>
  <c r="F240" i="3"/>
  <c r="H240" i="3" s="1"/>
  <c r="H239" i="3"/>
  <c r="G238" i="3" a="1"/>
  <c r="G238" i="3" s="1"/>
  <c r="H238" i="3" s="1"/>
  <c r="F237" i="3"/>
  <c r="H237" i="3" s="1"/>
  <c r="H235" i="3"/>
  <c r="H234" i="3"/>
  <c r="G233" i="3" a="1"/>
  <c r="G233" i="3" s="1"/>
  <c r="H233" i="3" s="1"/>
  <c r="G232" i="3" a="1"/>
  <c r="G232" i="3" s="1"/>
  <c r="H232" i="3" s="1"/>
  <c r="G231" i="3" a="1"/>
  <c r="G231" i="3" s="1"/>
  <c r="H231" i="3" s="1"/>
  <c r="G230" i="3" a="1"/>
  <c r="G230" i="3" s="1"/>
  <c r="H230" i="3" s="1"/>
  <c r="G229" i="3" a="1"/>
  <c r="G229" i="3" s="1"/>
  <c r="H229" i="3" s="1"/>
  <c r="F228" i="3"/>
  <c r="H228" i="3" s="1"/>
  <c r="H227" i="3"/>
  <c r="G226" i="3" a="1"/>
  <c r="G226" i="3" s="1"/>
  <c r="H226" i="3" s="1"/>
  <c r="H225" i="3"/>
  <c r="H223" i="3"/>
  <c r="H222" i="3"/>
  <c r="H221" i="3"/>
  <c r="H220" i="3"/>
  <c r="H219" i="3"/>
  <c r="H218" i="3"/>
  <c r="H217" i="3"/>
  <c r="H216" i="3"/>
  <c r="H215" i="3"/>
  <c r="F215" i="3"/>
  <c r="H214" i="3"/>
  <c r="H213" i="3"/>
  <c r="H212" i="3"/>
  <c r="H211" i="3"/>
  <c r="K38" i="2"/>
  <c r="K37" i="2"/>
  <c r="K36" i="2"/>
  <c r="K35" i="2"/>
  <c r="K34" i="2"/>
  <c r="K33" i="2"/>
  <c r="K32" i="2"/>
  <c r="K31" i="2"/>
  <c r="F199" i="3"/>
  <c r="H209" i="3"/>
  <c r="H208" i="3"/>
  <c r="G207" i="3" a="1"/>
  <c r="G207" i="3" s="1"/>
  <c r="H207" i="3" s="1"/>
  <c r="G206" i="3" a="1"/>
  <c r="G206" i="3" s="1"/>
  <c r="H206" i="3" s="1"/>
  <c r="G205" i="3" a="1"/>
  <c r="G205" i="3" s="1"/>
  <c r="H205" i="3" s="1"/>
  <c r="G204" i="3" a="1"/>
  <c r="G204" i="3" s="1"/>
  <c r="H204" i="3" s="1"/>
  <c r="G203" i="3" a="1"/>
  <c r="G203" i="3" s="1"/>
  <c r="H203" i="3" s="1"/>
  <c r="F202" i="3"/>
  <c r="H202" i="3" s="1"/>
  <c r="H201" i="3"/>
  <c r="G200" i="3" a="1"/>
  <c r="G200" i="3" s="1"/>
  <c r="H200" i="3" s="1"/>
  <c r="H199" i="3"/>
  <c r="F187" i="3"/>
  <c r="H197" i="3"/>
  <c r="H196" i="3"/>
  <c r="G195" i="3" a="1"/>
  <c r="G195" i="3" s="1"/>
  <c r="H195" i="3" s="1"/>
  <c r="G194" i="3" a="1"/>
  <c r="G194" i="3" s="1"/>
  <c r="H194" i="3" s="1"/>
  <c r="G193" i="3" a="1"/>
  <c r="G193" i="3" s="1"/>
  <c r="H193" i="3" s="1"/>
  <c r="G192" i="3" a="1"/>
  <c r="G192" i="3" s="1"/>
  <c r="H192" i="3" s="1"/>
  <c r="G191" i="3" a="1"/>
  <c r="G191" i="3" s="1"/>
  <c r="H191" i="3" s="1"/>
  <c r="F190" i="3"/>
  <c r="H190" i="3" s="1"/>
  <c r="H189" i="3"/>
  <c r="G188" i="3" a="1"/>
  <c r="G188" i="3" s="1"/>
  <c r="H188" i="3" s="1"/>
  <c r="H187" i="3"/>
  <c r="H185" i="3"/>
  <c r="H184" i="3"/>
  <c r="G183" i="3" a="1"/>
  <c r="G183" i="3" s="1"/>
  <c r="H183" i="3" s="1"/>
  <c r="G182" i="3" a="1"/>
  <c r="G182" i="3" s="1"/>
  <c r="H182" i="3" s="1"/>
  <c r="G181" i="3" a="1"/>
  <c r="G181" i="3" s="1"/>
  <c r="H181" i="3" s="1"/>
  <c r="G180" i="3" a="1"/>
  <c r="G180" i="3" s="1"/>
  <c r="H180" i="3" s="1"/>
  <c r="G179" i="3" a="1"/>
  <c r="G179" i="3" s="1"/>
  <c r="H179" i="3" s="1"/>
  <c r="F178" i="3"/>
  <c r="H178" i="3" s="1"/>
  <c r="H177" i="3"/>
  <c r="G176" i="3" a="1"/>
  <c r="G176" i="3" s="1"/>
  <c r="H176" i="3" s="1"/>
  <c r="F175" i="3"/>
  <c r="H175" i="3" s="1"/>
  <c r="H224" i="3" l="1"/>
  <c r="F33" i="2" s="1"/>
  <c r="H33" i="2" s="1"/>
  <c r="I33" i="2" s="1"/>
  <c r="H298" i="3"/>
  <c r="F38" i="2" s="1"/>
  <c r="H38" i="2" s="1"/>
  <c r="I38" i="2" s="1"/>
  <c r="H236" i="3"/>
  <c r="F34" i="2" s="1"/>
  <c r="H34" i="2" s="1"/>
  <c r="I34" i="2" s="1"/>
  <c r="H198" i="3"/>
  <c r="H248" i="3"/>
  <c r="F32" i="2" s="1"/>
  <c r="H32" i="2" s="1"/>
  <c r="I32" i="2" s="1"/>
  <c r="H274" i="3"/>
  <c r="F36" i="2" s="1"/>
  <c r="H36" i="2" s="1"/>
  <c r="I36" i="2" s="1"/>
  <c r="H210" i="3"/>
  <c r="F31" i="2" s="1"/>
  <c r="H31" i="2" s="1"/>
  <c r="I31" i="2" s="1"/>
  <c r="H262" i="3"/>
  <c r="F35" i="2" s="1"/>
  <c r="H35" i="2" s="1"/>
  <c r="I35" i="2" s="1"/>
  <c r="H286" i="3"/>
  <c r="F37" i="2" s="1"/>
  <c r="H37" i="2" s="1"/>
  <c r="I37" i="2" s="1"/>
  <c r="H174" i="3"/>
  <c r="H186" i="3"/>
  <c r="F163" i="3" l="1"/>
  <c r="H163" i="3"/>
  <c r="H173" i="3"/>
  <c r="H172" i="3"/>
  <c r="G171" i="3" a="1"/>
  <c r="G171" i="3" s="1"/>
  <c r="H171" i="3" s="1"/>
  <c r="G170" i="3" a="1"/>
  <c r="G170" i="3" s="1"/>
  <c r="H170" i="3" s="1"/>
  <c r="G169" i="3" a="1"/>
  <c r="G169" i="3" s="1"/>
  <c r="H169" i="3" s="1"/>
  <c r="G168" i="3" a="1"/>
  <c r="G168" i="3" s="1"/>
  <c r="H168" i="3" s="1"/>
  <c r="G167" i="3" a="1"/>
  <c r="G167" i="3" s="1"/>
  <c r="H167" i="3" s="1"/>
  <c r="F166" i="3"/>
  <c r="H166" i="3" s="1"/>
  <c r="H165" i="3"/>
  <c r="G164" i="3" a="1"/>
  <c r="G164" i="3" s="1"/>
  <c r="H164" i="3" s="1"/>
  <c r="H52" i="3"/>
  <c r="F149" i="3"/>
  <c r="H161" i="3"/>
  <c r="H160" i="3"/>
  <c r="H159" i="3"/>
  <c r="H158" i="3"/>
  <c r="H157" i="3"/>
  <c r="H156" i="3"/>
  <c r="H155" i="3"/>
  <c r="H154" i="3"/>
  <c r="H153" i="3"/>
  <c r="F153" i="3"/>
  <c r="H152" i="3"/>
  <c r="H151" i="3"/>
  <c r="H150" i="3"/>
  <c r="H149" i="3"/>
  <c r="H147" i="3"/>
  <c r="H146" i="3"/>
  <c r="G145" i="3" a="1"/>
  <c r="G145" i="3" s="1"/>
  <c r="H145" i="3" s="1"/>
  <c r="G144" i="3" a="1"/>
  <c r="G144" i="3" s="1"/>
  <c r="H144" i="3" s="1"/>
  <c r="G143" i="3" a="1"/>
  <c r="G143" i="3" s="1"/>
  <c r="H143" i="3" s="1"/>
  <c r="G142" i="3" a="1"/>
  <c r="G142" i="3" s="1"/>
  <c r="H142" i="3" s="1"/>
  <c r="G141" i="3" a="1"/>
  <c r="G141" i="3" s="1"/>
  <c r="H141" i="3" s="1"/>
  <c r="F140" i="3"/>
  <c r="H140" i="3" s="1"/>
  <c r="H139" i="3"/>
  <c r="G138" i="3" a="1"/>
  <c r="G138" i="3" s="1"/>
  <c r="H138" i="3" s="1"/>
  <c r="H137" i="3"/>
  <c r="F137" i="3"/>
  <c r="F128" i="3"/>
  <c r="F125" i="3"/>
  <c r="H135" i="3"/>
  <c r="H134" i="3"/>
  <c r="G133" i="3" a="1"/>
  <c r="G133" i="3" s="1"/>
  <c r="H133" i="3" s="1"/>
  <c r="G132" i="3" a="1"/>
  <c r="G132" i="3" s="1"/>
  <c r="H132" i="3" s="1"/>
  <c r="G131" i="3" a="1"/>
  <c r="G131" i="3" s="1"/>
  <c r="H131" i="3" s="1"/>
  <c r="G130" i="3" a="1"/>
  <c r="G130" i="3" s="1"/>
  <c r="H130" i="3" s="1"/>
  <c r="G129" i="3" a="1"/>
  <c r="G129" i="3" s="1"/>
  <c r="H129" i="3" s="1"/>
  <c r="H128" i="3"/>
  <c r="H127" i="3"/>
  <c r="G126" i="3" a="1"/>
  <c r="G126" i="3" s="1"/>
  <c r="H126" i="3" s="1"/>
  <c r="H125" i="3"/>
  <c r="F115" i="3"/>
  <c r="H115" i="3" s="1"/>
  <c r="H123" i="3"/>
  <c r="H122" i="3"/>
  <c r="H121" i="3"/>
  <c r="H120" i="3"/>
  <c r="H119" i="3"/>
  <c r="H118" i="3"/>
  <c r="H117" i="3"/>
  <c r="H116" i="3"/>
  <c r="H114" i="3"/>
  <c r="H113" i="3"/>
  <c r="H112" i="3"/>
  <c r="H111" i="3"/>
  <c r="K23" i="2"/>
  <c r="K22" i="2"/>
  <c r="K21" i="2"/>
  <c r="K20" i="2"/>
  <c r="K19" i="2"/>
  <c r="K18" i="2"/>
  <c r="K17" i="2"/>
  <c r="K16" i="2"/>
  <c r="C8" i="4"/>
  <c r="C6" i="4"/>
  <c r="C7" i="4"/>
  <c r="C5" i="4"/>
  <c r="C4" i="4"/>
  <c r="C3" i="4"/>
  <c r="F98" i="3"/>
  <c r="H98" i="3" s="1"/>
  <c r="F97" i="3"/>
  <c r="H97" i="3" s="1"/>
  <c r="H109" i="3"/>
  <c r="H108" i="3"/>
  <c r="G107" i="3" a="1"/>
  <c r="G107" i="3" s="1"/>
  <c r="H107" i="3" s="1"/>
  <c r="G106" i="3" a="1"/>
  <c r="G106" i="3" s="1"/>
  <c r="H106" i="3" s="1"/>
  <c r="H105" i="3"/>
  <c r="G104" i="3" a="1"/>
  <c r="G104" i="3" s="1"/>
  <c r="H104" i="3" s="1"/>
  <c r="G103" i="3" a="1"/>
  <c r="G103" i="3" s="1"/>
  <c r="H103" i="3" s="1"/>
  <c r="G102" i="3" a="1"/>
  <c r="G102" i="3" s="1"/>
  <c r="H102" i="3" s="1"/>
  <c r="H101" i="3"/>
  <c r="H100" i="3"/>
  <c r="G99" i="3" a="1"/>
  <c r="G99" i="3" s="1"/>
  <c r="H99" i="3" s="1"/>
  <c r="G93" i="3" a="1"/>
  <c r="G93" i="3" s="1"/>
  <c r="G92" i="3" a="1"/>
  <c r="G92" i="3" s="1"/>
  <c r="G90" i="3" a="1"/>
  <c r="G90" i="3" s="1"/>
  <c r="G89" i="3" a="1"/>
  <c r="G89" i="3" s="1"/>
  <c r="G88" i="3" a="1"/>
  <c r="G88" i="3" s="1"/>
  <c r="G85" i="3" a="1"/>
  <c r="G85" i="3" s="1"/>
  <c r="H95" i="3"/>
  <c r="H94" i="3"/>
  <c r="H110" i="3" l="1"/>
  <c r="H148" i="3"/>
  <c r="H136" i="3"/>
  <c r="H162" i="3"/>
  <c r="H124" i="3"/>
  <c r="H96" i="3"/>
  <c r="F23" i="2" s="1"/>
  <c r="H23" i="2" s="1"/>
  <c r="I23" i="2" s="1"/>
  <c r="F16" i="2" l="1"/>
  <c r="H16" i="2" s="1"/>
  <c r="I16" i="2" s="1"/>
  <c r="H93" i="3"/>
  <c r="H92" i="3"/>
  <c r="H91" i="3"/>
  <c r="H90" i="3"/>
  <c r="H89" i="3"/>
  <c r="H88" i="3"/>
  <c r="H87" i="3"/>
  <c r="H86" i="3"/>
  <c r="H85" i="3"/>
  <c r="H84" i="3"/>
  <c r="F48" i="3"/>
  <c r="F34" i="3"/>
  <c r="H82" i="3"/>
  <c r="H81" i="3"/>
  <c r="H80" i="3"/>
  <c r="H79" i="3"/>
  <c r="H78" i="3"/>
  <c r="H77" i="3"/>
  <c r="H76" i="3"/>
  <c r="H75" i="3"/>
  <c r="H74" i="3"/>
  <c r="H73" i="3"/>
  <c r="H72" i="3"/>
  <c r="C10" i="4"/>
  <c r="C11" i="4"/>
  <c r="C9" i="4"/>
  <c r="H71" i="3" l="1"/>
  <c r="F21" i="2" s="1"/>
  <c r="H21" i="2" s="1"/>
  <c r="I21" i="2" s="1"/>
  <c r="H83" i="3"/>
  <c r="F22" i="2" s="1"/>
  <c r="H22" i="2" s="1"/>
  <c r="I22" i="2" s="1"/>
  <c r="C72" i="3"/>
  <c r="C73" i="3" s="1"/>
  <c r="C75" i="3" s="1"/>
  <c r="C76" i="3" s="1"/>
  <c r="C77" i="3" s="1"/>
  <c r="C78" i="3" s="1"/>
  <c r="C79" i="3" s="1"/>
  <c r="C80" i="3" s="1"/>
  <c r="K10" i="2" l="1"/>
  <c r="K9" i="2"/>
  <c r="K8" i="2"/>
  <c r="F59" i="3"/>
  <c r="H59" i="3" s="1"/>
  <c r="F58" i="3"/>
  <c r="H58" i="3" s="1"/>
  <c r="H70" i="3"/>
  <c r="H69" i="3"/>
  <c r="G68" i="3" a="1"/>
  <c r="G68" i="3" s="1"/>
  <c r="H68" i="3" s="1"/>
  <c r="E68" i="3" a="1"/>
  <c r="E68" i="3" s="1"/>
  <c r="G67" i="3" a="1"/>
  <c r="G67" i="3" s="1"/>
  <c r="H67" i="3" s="1"/>
  <c r="E67" i="3" a="1"/>
  <c r="E67" i="3" s="1"/>
  <c r="G66" i="3" a="1"/>
  <c r="G66" i="3" s="1"/>
  <c r="H66" i="3" s="1"/>
  <c r="E66" i="3" a="1"/>
  <c r="E66" i="3" s="1"/>
  <c r="G65" i="3" a="1"/>
  <c r="G65" i="3" s="1"/>
  <c r="H65" i="3" s="1"/>
  <c r="E65" i="3" a="1"/>
  <c r="E65" i="3" s="1"/>
  <c r="G64" i="3" a="1"/>
  <c r="G64" i="3" s="1"/>
  <c r="H64" i="3" s="1"/>
  <c r="E64" i="3" a="1"/>
  <c r="E64" i="3" s="1"/>
  <c r="F63" i="3"/>
  <c r="H63" i="3" s="1"/>
  <c r="H62" i="3"/>
  <c r="E62" i="3" a="1"/>
  <c r="E62" i="3" s="1"/>
  <c r="F61" i="3"/>
  <c r="H61" i="3" s="1"/>
  <c r="G60" i="3" a="1"/>
  <c r="G60" i="3" s="1"/>
  <c r="H60" i="3" s="1"/>
  <c r="E60" i="3" a="1"/>
  <c r="E60" i="3" s="1"/>
  <c r="E58" i="3" a="1"/>
  <c r="E58" i="3" s="1"/>
  <c r="C58" i="3"/>
  <c r="C60" i="3" s="1"/>
  <c r="C62" i="3" s="1"/>
  <c r="C63" i="3" s="1"/>
  <c r="C64" i="3" s="1"/>
  <c r="C65" i="3" s="1"/>
  <c r="C66" i="3" s="1"/>
  <c r="C67" i="3" s="1"/>
  <c r="C68" i="3" s="1"/>
  <c r="K7" i="2"/>
  <c r="H57" i="3" l="1"/>
  <c r="F20" i="2" s="1"/>
  <c r="H20" i="2" s="1"/>
  <c r="I20" i="2" s="1"/>
  <c r="K4" i="2" l="1"/>
  <c r="K5" i="2"/>
  <c r="K6" i="2"/>
  <c r="K3" i="2"/>
  <c r="K12" i="2" l="1"/>
  <c r="H56" i="3"/>
  <c r="H55" i="3"/>
  <c r="H45" i="3"/>
  <c r="H46" i="3"/>
  <c r="H47" i="3"/>
  <c r="H48" i="3"/>
  <c r="H49" i="3"/>
  <c r="H50" i="3"/>
  <c r="H51" i="3"/>
  <c r="H53" i="3"/>
  <c r="H54" i="3"/>
  <c r="H44" i="3"/>
  <c r="G43" i="3" a="1"/>
  <c r="G43" i="3" s="1"/>
  <c r="C43" i="3"/>
  <c r="H42" i="3"/>
  <c r="H41" i="3"/>
  <c r="H32" i="3"/>
  <c r="H33" i="3"/>
  <c r="H34" i="3"/>
  <c r="H35" i="3"/>
  <c r="H36" i="3"/>
  <c r="H37" i="3"/>
  <c r="H38" i="3"/>
  <c r="H39" i="3"/>
  <c r="H40" i="3"/>
  <c r="H31" i="3"/>
  <c r="G30" i="3" a="1"/>
  <c r="G30" i="3" s="1"/>
  <c r="C30" i="3"/>
  <c r="F20" i="3"/>
  <c r="H20" i="3" s="1"/>
  <c r="F22" i="3"/>
  <c r="H29" i="3"/>
  <c r="H28" i="3"/>
  <c r="H43" i="3" l="1"/>
  <c r="F17" i="2" s="1"/>
  <c r="H17" i="2" s="1"/>
  <c r="I17" i="2" s="1"/>
  <c r="H30" i="3"/>
  <c r="H21" i="3" l="1"/>
  <c r="H22" i="3"/>
  <c r="G27" i="3" l="1" a="1"/>
  <c r="G27" i="3" s="1"/>
  <c r="H27" i="3" s="1"/>
  <c r="E27" i="3" a="1"/>
  <c r="E27" i="3" s="1"/>
  <c r="G26" i="3" a="1"/>
  <c r="G26" i="3" s="1"/>
  <c r="H26" i="3" s="1"/>
  <c r="E26" i="3" a="1"/>
  <c r="E26" i="3" s="1"/>
  <c r="G25" i="3" a="1"/>
  <c r="G25" i="3" s="1"/>
  <c r="H25" i="3" s="1"/>
  <c r="E25" i="3" a="1"/>
  <c r="E25" i="3" s="1"/>
  <c r="G24" i="3" a="1"/>
  <c r="G24" i="3" s="1"/>
  <c r="H24" i="3" s="1"/>
  <c r="E24" i="3" a="1"/>
  <c r="E24" i="3" s="1"/>
  <c r="G23" i="3" a="1"/>
  <c r="G23" i="3" s="1"/>
  <c r="H23" i="3" s="1"/>
  <c r="E23" i="3" a="1"/>
  <c r="E23" i="3" s="1"/>
  <c r="E21" i="3" a="1"/>
  <c r="E21" i="3" s="1"/>
  <c r="G19" i="3" a="1"/>
  <c r="G19" i="3" s="1"/>
  <c r="H19" i="3" s="1"/>
  <c r="E19" i="3" a="1"/>
  <c r="E19" i="3" s="1"/>
  <c r="F18" i="3"/>
  <c r="E18" i="3" a="1"/>
  <c r="E18" i="3" s="1"/>
  <c r="C18" i="3"/>
  <c r="C19" i="3" s="1"/>
  <c r="H14" i="3"/>
  <c r="H13" i="3"/>
  <c r="F8" i="3"/>
  <c r="H8" i="3" s="1"/>
  <c r="F7" i="3"/>
  <c r="H7" i="3" s="1"/>
  <c r="H4" i="3"/>
  <c r="H5" i="3"/>
  <c r="H6" i="3"/>
  <c r="H9" i="3"/>
  <c r="H10" i="3"/>
  <c r="H11" i="3"/>
  <c r="H12" i="3"/>
  <c r="H15" i="3"/>
  <c r="H16" i="3"/>
  <c r="H3" i="3"/>
  <c r="F10" i="2" l="1"/>
  <c r="H10" i="2" s="1"/>
  <c r="I10" i="2" s="1"/>
  <c r="F9" i="2"/>
  <c r="H9" i="2" s="1"/>
  <c r="I9" i="2" s="1"/>
  <c r="F8" i="2"/>
  <c r="H8" i="2" s="1"/>
  <c r="I8" i="2" s="1"/>
  <c r="F7" i="2"/>
  <c r="H7" i="2" s="1"/>
  <c r="I7" i="2" s="1"/>
  <c r="F3" i="2"/>
  <c r="H3" i="2" s="1"/>
  <c r="I3" i="2" s="1"/>
  <c r="F4" i="2"/>
  <c r="H4" i="2" s="1"/>
  <c r="I4" i="2" s="1"/>
  <c r="H18" i="3"/>
  <c r="C21" i="3"/>
  <c r="H2" i="3"/>
  <c r="F6" i="2" l="1"/>
  <c r="H6" i="2" s="1"/>
  <c r="I6" i="2" s="1"/>
  <c r="F19" i="2"/>
  <c r="H19" i="2" s="1"/>
  <c r="I19" i="2" s="1"/>
  <c r="C22" i="3"/>
  <c r="C23" i="3" l="1"/>
  <c r="C24" i="3" l="1"/>
  <c r="C25" i="3" l="1"/>
  <c r="C26" i="3" l="1"/>
  <c r="C27" i="3" l="1"/>
  <c r="H17" i="3" s="1"/>
  <c r="F5" i="2" l="1"/>
  <c r="H5" i="2" s="1"/>
  <c r="I5" i="2" s="1"/>
  <c r="I12" i="2" s="1"/>
  <c r="F18" i="2"/>
  <c r="H18" i="2" s="1"/>
  <c r="I18" i="2" s="1"/>
  <c r="I26" i="2" s="1"/>
  <c r="I27" i="2" l="1"/>
  <c r="I28" i="2" s="1"/>
</calcChain>
</file>

<file path=xl/sharedStrings.xml><?xml version="1.0" encoding="utf-8"?>
<sst xmlns="http://schemas.openxmlformats.org/spreadsheetml/2006/main" count="1253" uniqueCount="154">
  <si>
    <t>Total</t>
  </si>
  <si>
    <t>2S / 70LP / 2S</t>
  </si>
  <si>
    <t>2S / 70LP / SU</t>
  </si>
  <si>
    <t>2S / 70</t>
  </si>
  <si>
    <t>US  / 90</t>
  </si>
  <si>
    <t>DW-B4</t>
  </si>
  <si>
    <t>400MSI</t>
  </si>
  <si>
    <t>M²</t>
  </si>
  <si>
    <t>DW-B5</t>
  </si>
  <si>
    <t>TIPOLOGIA</t>
  </si>
  <si>
    <t>DESCRIÇÃO</t>
  </si>
  <si>
    <t>ESTRUTURA</t>
  </si>
  <si>
    <t>UNIDADE</t>
  </si>
  <si>
    <t>DW-G5</t>
  </si>
  <si>
    <t>400MDE-B-GL</t>
  </si>
  <si>
    <t>DW-G11</t>
  </si>
  <si>
    <t>TOTAL GERAL 
(M²)</t>
  </si>
  <si>
    <t>Preço material</t>
  </si>
  <si>
    <t>Preço MO</t>
  </si>
  <si>
    <t>Preço total</t>
  </si>
  <si>
    <t>Serviço</t>
  </si>
  <si>
    <t>Parede Com Sistema Em Chapas De Gesso Para Drywall, Uso Interno, Montante 90mm, Com Uma Face Dupla Standart e Resistente a Umidade e isolamento com Lã de PET Ensacada(US / 90LPe*)</t>
  </si>
  <si>
    <t>M2</t>
  </si>
  <si>
    <t>Insumo</t>
  </si>
  <si>
    <t>PLACA / CHAPA DE GESSO ACARTONADO, STANDARD (ST), COR BRANCA, E = 12,5 MM, 1200 X 2400 MM (L X C)</t>
  </si>
  <si>
    <t>PLACA / CHAPA DE GESSO ACARTONADO, RESISTENTE A UMIDADE (RU), COR VERDE, E = 12,5 MM, 1200 X 2400 MM (L X C)</t>
  </si>
  <si>
    <t>PINO DE ACO COM ARRUELA CONICA, DIAMETRO ARRUELA = *23* MM E COMP HASTE = *27* MM (ACAO INDIRETA)</t>
  </si>
  <si>
    <t>PERFIL GUIA, FORMATO U, EM ACO ZINCADO, PARA ESTRUTURA PAREDE DRYWALL, E = 0,5 MM, 90 X 3000 MM (L X C)</t>
  </si>
  <si>
    <t>MASSA DE REJUNTE EM PO PARA DRYWALL, A BASE DE GESSO, SECAGEM RAPIDA, PARA TRATAMENTO DE JUNTAS DE CHAPA DE GESSO (NECESSITA ADICAO DE AGUA)</t>
  </si>
  <si>
    <t>FITA DE PAPEL MICROPERFURADO, 50 X 150 MM, PARA TRATAMENTO DE JUNTAS DE CHAPA DE GESSO PARA DRYWALL</t>
  </si>
  <si>
    <t>FITA DE PAPEL REFORCADA COM LAMINA DE METAL PARA REFORCO DE CANTOS DE CHAPA DE GESSO PARA DRYWALL</t>
  </si>
  <si>
    <t xml:space="preserve">Lã de pet Ensacada </t>
  </si>
  <si>
    <t>PARAFUSO DRY WALL, EM ACO FOSFATIZADO, CABECA TROMBETA E PONTA AGULHA (TA), COMPRIMENTO 25 MM</t>
  </si>
  <si>
    <t>PARAFUSO DRY WALL, EM ACO ZINCADO, CABECA LENTILHA E PONTA BROCA (LB), LARGURA 4,2 MM, COMPRIMENTO 13 MM</t>
  </si>
  <si>
    <t/>
  </si>
  <si>
    <t>UN</t>
  </si>
  <si>
    <t>M</t>
  </si>
  <si>
    <t>KG</t>
  </si>
  <si>
    <t>Tipo</t>
  </si>
  <si>
    <t>Descrição</t>
  </si>
  <si>
    <t>Und</t>
  </si>
  <si>
    <t>Quantidade</t>
  </si>
  <si>
    <t>Custo unit.</t>
  </si>
  <si>
    <t>Custo Total.</t>
  </si>
  <si>
    <t>PERFIL MONTANTE DUPLOP, FORMATO C, EM ACO ZINCADO, PARA ESTRUTURA PAREDE DRYWALL, E = 0,5 MM, 90 X 3000 MM (L X C)</t>
  </si>
  <si>
    <t>PERFIL GUIA, FORMATO U, EM ACO ZINCADO, PARA BLOQUEADOR GUIA TRANSVERSAL</t>
  </si>
  <si>
    <t>BANDA ACUSTICA</t>
  </si>
  <si>
    <t>Aplicação de zarcão nas guias inferiores</t>
  </si>
  <si>
    <t>Codigo</t>
  </si>
  <si>
    <t>Parede Com Sistema Em Chapas De Gesso Para Drywall, Uso Interno, Montante 70mm, Com Uma Face Dupla Standart (2S / 70)</t>
  </si>
  <si>
    <t>PERFIL GUIA, FORMATO U, EM ACO ZINCADO, PARA ESTRUTURA PAREDE DRYWALL, E = 0,5 MM, 70 X 3000 MM (L X C)</t>
  </si>
  <si>
    <t>PERFIL MONTANTE, FORMATO C, EM ACO ZINCADO, PARA ESTRUTURA PAREDE DRYWALL, E = 0,5 MM, 70 X 3000 MM (L X C)</t>
  </si>
  <si>
    <t>PERFIL MONTANTE DUPLO, FORMATO C, EM ACO ZINCADO, PARA ESTRUTURA PAREDE DRYWALL, E = 0,5 MM, 70 X 3000 MM (L X C)</t>
  </si>
  <si>
    <t>Parede Com Sistema Em Chapas De Gesso Para Drywall, Uso Interno, Montante 70mm, Com Duas Face Duplas Standart e Isolamento Lã de PET (2S / 70LP / 2S)</t>
  </si>
  <si>
    <t>Parede Com Sistema Em Chapas De Gesso Para Drywall, Uso Interno, Montante 70mm, Com Uma Face Dupla Standart e Uma Face Dupla Resistente a Umidade e Isolamento Lã de PET (2S / 70LP / SU)</t>
  </si>
  <si>
    <t>Estimativa Marcio</t>
  </si>
  <si>
    <t>Total Marcio</t>
  </si>
  <si>
    <t>DW-G6</t>
  </si>
  <si>
    <t>US / 70</t>
  </si>
  <si>
    <t>DW-D2</t>
  </si>
  <si>
    <t>DW-D3</t>
  </si>
  <si>
    <t>DW-G8</t>
  </si>
  <si>
    <t>2S  / 90(LSF)</t>
  </si>
  <si>
    <t>2S / 70LPe*</t>
  </si>
  <si>
    <t>400MDE-B</t>
  </si>
  <si>
    <t>US / 70LPe*</t>
  </si>
  <si>
    <t>Parede Com Sistema Steel Frame, Montante 90mm, Com Uma Face Dupla Standart (2S  / 90(LSF))</t>
  </si>
  <si>
    <t>PERFIL GUIA, FORMATO U, EM ACO ZINCADO, PARA ESTRUTURA PAREDE STEEL FRAME, E = 0,5 MM, 90 X 3000 MM (L X C)</t>
  </si>
  <si>
    <t>MASSA DE REJUNTAMENTO PARA PLACA CIMENTÍCIA, PARA TRATAMENTO DE JUNTA DE CHAPAS CIMENTÍCIAS (NECESSITA ADIÇÃO DE ÁGUA)</t>
  </si>
  <si>
    <t>TELA DE FIBRA DE VIDRO, 120 X 1000 MM, PARA TRATAMENTO DE JUNTAS DE CHAPAS CIMENTÍCIAS PARA STEEL FRAME</t>
  </si>
  <si>
    <t>PARAFUSO STEEL FRAME, EM AÇO ZINCADO, CABEÇA PONTA BROCA, LAGURA 4,2 MM, COMPRIMENTO 19 MM</t>
  </si>
  <si>
    <t>PARAFUSO STEEL FRAME, EM AÇO ZINCADO, AUTO BROCANTE COM ABAS, LAGURA 4,2 MM, COMPRIMENTO 32 MM</t>
  </si>
  <si>
    <t xml:space="preserve">PERFIS DRYWALL TODAS AS OBRAS </t>
  </si>
  <si>
    <t xml:space="preserve"> GUIA DE 48 - 3 METROS </t>
  </si>
  <si>
    <t xml:space="preserve">GUIA DE 70- 3 METROS </t>
  </si>
  <si>
    <t xml:space="preserve">GUIA DE 90- 3 METROS </t>
  </si>
  <si>
    <t xml:space="preserve">MONTANTE 48- 3 METROS </t>
  </si>
  <si>
    <t>MONTANTE 70- 3 METROS</t>
  </si>
  <si>
    <t xml:space="preserve">MONTANTE 90- 3 METROS </t>
  </si>
  <si>
    <t xml:space="preserve">STTEL 95 MONT 140 - 6 METROS </t>
  </si>
  <si>
    <t>STTEL 95 MONT 90- 6 METROS</t>
  </si>
  <si>
    <t xml:space="preserve">STTEL 95 GUIT 140 - 6 METROS </t>
  </si>
  <si>
    <t>CUSTO ML</t>
  </si>
  <si>
    <t>MATERIAL</t>
  </si>
  <si>
    <t xml:space="preserve">chapa st 12,5 mm - 1,20 x 2,90 </t>
  </si>
  <si>
    <t xml:space="preserve">chapa st 12,5 mm - 1,20 x 1,80 </t>
  </si>
  <si>
    <t xml:space="preserve">chapa ru 12,5 mm- 1,20 x 2,90 </t>
  </si>
  <si>
    <t>chapa ru 12,5 mm- 1,20 x 1,80</t>
  </si>
  <si>
    <t xml:space="preserve">chapa performa st - 1,20 x 2,90 </t>
  </si>
  <si>
    <t>chapa performa st - 1,20 x 1,80</t>
  </si>
  <si>
    <t xml:space="preserve">chapa performa ru - 1,20 x 2,90 </t>
  </si>
  <si>
    <t>chapa performa ru - 1,20 x 1,80</t>
  </si>
  <si>
    <t>chapa glasroc X 12,50mm - 1,20 x 2,40m</t>
  </si>
  <si>
    <t>CUSTO UN</t>
  </si>
  <si>
    <t>PERFIL GUIA, FORMATO U, EM ACO ZINCADO, PARA BLOQUEADOR GUIA TRANSVERSAL  E = 0,5 MM, 90 X 3000 MM (L X C)</t>
  </si>
  <si>
    <t>Lã de pet Ensacada M²</t>
  </si>
  <si>
    <t>PERFIL MONTANTE DUPLO, FORMATO U, EM ACO ZINCADO, PARA ESTRUTURA PAREDE STEEL FRAME, E = 0,5 MM , 90 X 3000 MM (L X C)</t>
  </si>
  <si>
    <t>Parede Com Sistema Em Chapas De Gesso Para Drywall, Uso Interno, Montante 70mm, Com Uma Face Dupla Standart e isolamento com Lã de PET Ensacada(2S / 70LPe*)</t>
  </si>
  <si>
    <t>PADRÃO PDI</t>
  </si>
  <si>
    <t>PROPOSTA SENNA</t>
  </si>
  <si>
    <t>PER/90LP/PER</t>
  </si>
  <si>
    <t>PDI-DW-B4</t>
  </si>
  <si>
    <t>Parede Com Sistema Em Chapas De Gesso Para Drywall, Uso Interno, Montante 90mm, Com duas faces performar isolamento com Lã de PET Ensacada(PER/90LO/PER)</t>
  </si>
  <si>
    <t>PLACA / CHAPA DE GESSO ACARTONADO, PERFOMAR RESIST.(PER), E = 12,5 MM, 1200 X 2400 MM (L X C)</t>
  </si>
  <si>
    <t>PDI-DW-G5</t>
  </si>
  <si>
    <t>PERFIL GUIA, FORMATO U, EM ACO ZINCADO, PARA ESTRUTURA PAREDE DRYWALL, E = 0,5 MM, 48 X 3000 MM (L X C)</t>
  </si>
  <si>
    <t>PERFIL MONTANTE DUPLO, FORMATO C, EM ACO ZINCADO, PARA ESTRUTURA PAREDE DRYWALL, E = 0,5 MM, 48 X 3000 MM (L X C)</t>
  </si>
  <si>
    <t>PDI-DW-G11</t>
  </si>
  <si>
    <t>PEU / 48</t>
  </si>
  <si>
    <t>PER / 48</t>
  </si>
  <si>
    <t>PDI-DW-B5</t>
  </si>
  <si>
    <t>Parede Com Sistema Em Chapas De Gesso Para Drywall, Uso Interno, Montante 90mm, Com duas faces performar isolamento com Lã de PET Ensacada(PEU/90LO/PER)</t>
  </si>
  <si>
    <t>PLACA / CHAPA DE GESSO ACARTONADO, PERFOMAR RESIST. A UMIDADE (PEU), E = 12,5 MM, 1200 X 2400 MM (L X C)</t>
  </si>
  <si>
    <t xml:space="preserve">LÃ DE PET ENSACADA </t>
  </si>
  <si>
    <t>PDI-DW-G6</t>
  </si>
  <si>
    <t>PEU / 70</t>
  </si>
  <si>
    <t>Parede Com Sistema Em Chapas De Gesso Para Drywall, Uso Interno, Montante 48mm, Com Uma Face Dupla Standart (PER / 48))</t>
  </si>
  <si>
    <t>PDI-DW-G8</t>
  </si>
  <si>
    <t>PDI-DW-D2</t>
  </si>
  <si>
    <t>PDI-DW-D3</t>
  </si>
  <si>
    <t>PEU / 70L</t>
  </si>
  <si>
    <t>PER / 70L</t>
  </si>
  <si>
    <t>Parede Com Sistema Em Chapas De Gesso Para Drywall, Uso Interno, Montante 48mm, Com Uma Face Dupla Standart (PEU /70)</t>
  </si>
  <si>
    <t>Parede Com Sistema Em Chapas De Gesso Para Drywall, Uso Interno, Montante 70mm, Com Uma Face simples (PEU / 70))</t>
  </si>
  <si>
    <t>Parede Com Sistema Em Chapas De Gesso Para Drywall, Uso Interno, Montante 48mm, Com Uma Face Dupla Standart (PEU / 70))</t>
  </si>
  <si>
    <t>Parede Com Sistema Em Chapas De Gesso Para Drywall, Uso Interno, Montante 48mm, Com Uma Face Dupla Standart (PER / 70))</t>
  </si>
  <si>
    <t>PERFIL GUIA, FORMATO U, EM ACO ZINCADO, PARA ESTRUTURA PAREDE DRYWALL, E = 0,5 MM, 70X 3000 MM (L X C)</t>
  </si>
  <si>
    <t>PER / 70</t>
  </si>
  <si>
    <t>PEU / 90LP / PER</t>
  </si>
  <si>
    <t>PEU/ 90LP / PER</t>
  </si>
  <si>
    <t xml:space="preserve">PER / 48 </t>
  </si>
  <si>
    <t>PADRÃO BLUE VIEW</t>
  </si>
  <si>
    <t>PER/90LP/ST</t>
  </si>
  <si>
    <t>BLUE-DW-B4</t>
  </si>
  <si>
    <t xml:space="preserve">ST/ 48 </t>
  </si>
  <si>
    <t>BLUE-DW-B5</t>
  </si>
  <si>
    <t>BLUE-DW-G5</t>
  </si>
  <si>
    <t>BLUE-DW-G11</t>
  </si>
  <si>
    <t>BLUE-DW-G6</t>
  </si>
  <si>
    <t>BLUE-DW-G8</t>
  </si>
  <si>
    <t>BLUE-DW-D2</t>
  </si>
  <si>
    <t>BLUE-DW-D3</t>
  </si>
  <si>
    <t>PERFIL MONTANTE SIMPLES, FORMATO C, EM ACO ZINCADO, PARA ESTRUTURA PAREDE DRYWALL, E = 0,5 MM, 70 X 3000 MM (L X C)</t>
  </si>
  <si>
    <t>ST / 48</t>
  </si>
  <si>
    <t>ST / 70L</t>
  </si>
  <si>
    <t>RU / 70L</t>
  </si>
  <si>
    <t>Preço material SENNA</t>
  </si>
  <si>
    <t>Preço material PDI</t>
  </si>
  <si>
    <t>DIFERENÇA</t>
  </si>
  <si>
    <t>DESCRIÇÃO SENNA</t>
  </si>
  <si>
    <t>DESCRIÇÃO PDI</t>
  </si>
  <si>
    <t>ST / 90LP / STRU</t>
  </si>
  <si>
    <t>Real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</si>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</sst>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sz val="10"/>
      <color theme="1"/>
      <name val="Arial"/>
      <family val="2"/>
    </font>
    <font>
      <b/>
      <sz val="7"/>
      <name val="Arial"/>
      <family val="2"/>
    </font>
    <font>
      <b/>
      <sz val="7"/>
      <color theme="1"/>
      <name val="Arial"/>
      <family val="2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medium">
        <color indexed="64"/>
      </top>
      <bottom style="dotted">
        <color indexed="64"/>
      </bottom>
      <diagonal/>
    </border>
    <border>
      <left style="hair">
        <color rgb="FF7F7F7F"/>
      </left>
      <right style="hair">
        <color rgb="FF7F7F7F"/>
      </right>
      <top style="medium">
        <color indexed="64"/>
      </top>
      <bottom style="dotted">
        <color indexed="64"/>
      </bottom>
      <diagonal/>
    </border>
    <border>
      <left style="hair">
        <color rgb="FF7F7F7F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76">
    <xf numFmtId="0" fontId="0" fillId="0" borderId="0" xfId="0"/>
    <xf numFmtId="49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44" fontId="3" fillId="2" borderId="1" xfId="1" applyFont="1" applyFill="1" applyBorder="1" applyAlignment="1">
      <alignment vertical="center"/>
    </xf>
    <xf numFmtId="44" fontId="3" fillId="2" borderId="1" xfId="0" applyNumberFormat="1" applyFont="1" applyFill="1" applyBorder="1" applyAlignment="1">
      <alignment vertical="center"/>
    </xf>
    <xf numFmtId="44" fontId="3" fillId="4" borderId="1" xfId="1" applyFont="1" applyFill="1" applyBorder="1" applyAlignment="1">
      <alignment vertical="center"/>
    </xf>
    <xf numFmtId="44" fontId="0" fillId="0" borderId="0" xfId="0" applyNumberFormat="1"/>
    <xf numFmtId="164" fontId="6" fillId="0" borderId="0" xfId="0" applyNumberFormat="1" applyFont="1" applyAlignment="1">
      <alignment horizontal="center"/>
    </xf>
    <xf numFmtId="3" fontId="5" fillId="6" borderId="3" xfId="4" applyNumberFormat="1" applyFont="1" applyFill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44" fontId="0" fillId="0" borderId="8" xfId="1" applyFont="1" applyBorder="1"/>
    <xf numFmtId="44" fontId="0" fillId="0" borderId="9" xfId="0" applyNumberFormat="1" applyBorder="1"/>
    <xf numFmtId="0" fontId="0" fillId="0" borderId="10" xfId="0" applyBorder="1"/>
    <xf numFmtId="0" fontId="0" fillId="0" borderId="11" xfId="0" applyBorder="1"/>
    <xf numFmtId="44" fontId="0" fillId="0" borderId="11" xfId="1" applyFont="1" applyBorder="1"/>
    <xf numFmtId="44" fontId="0" fillId="0" borderId="12" xfId="0" applyNumberFormat="1" applyBorder="1"/>
    <xf numFmtId="3" fontId="7" fillId="5" borderId="4" xfId="4" applyNumberFormat="1" applyFont="1" applyFill="1" applyBorder="1" applyAlignment="1">
      <alignment horizontal="left" vertical="center"/>
    </xf>
    <xf numFmtId="3" fontId="8" fillId="5" borderId="5" xfId="0" applyNumberFormat="1" applyFont="1" applyFill="1" applyBorder="1" applyAlignment="1">
      <alignment horizontal="left" vertical="center"/>
    </xf>
    <xf numFmtId="2" fontId="7" fillId="5" borderId="4" xfId="1" applyNumberFormat="1" applyFont="1" applyFill="1" applyBorder="1" applyAlignment="1">
      <alignment horizontal="left" vertical="center"/>
    </xf>
    <xf numFmtId="44" fontId="8" fillId="5" borderId="6" xfId="1" applyFont="1" applyFill="1" applyBorder="1" applyAlignment="1">
      <alignment horizontal="left" vertical="center"/>
    </xf>
    <xf numFmtId="0" fontId="0" fillId="5" borderId="8" xfId="0" applyFill="1" applyBorder="1"/>
    <xf numFmtId="0" fontId="0" fillId="5" borderId="8" xfId="0" applyFill="1" applyBorder="1" applyAlignment="1">
      <alignment wrapText="1"/>
    </xf>
    <xf numFmtId="49" fontId="3" fillId="2" borderId="13" xfId="0" applyNumberFormat="1" applyFont="1" applyFill="1" applyBorder="1" applyAlignment="1">
      <alignment horizontal="left" vertical="center"/>
    </xf>
    <xf numFmtId="44" fontId="0" fillId="5" borderId="8" xfId="1" applyFont="1" applyFill="1" applyBorder="1"/>
    <xf numFmtId="0" fontId="0" fillId="5" borderId="11" xfId="0" applyFill="1" applyBorder="1" applyAlignment="1">
      <alignment wrapText="1"/>
    </xf>
    <xf numFmtId="0" fontId="0" fillId="5" borderId="11" xfId="0" applyFill="1" applyBorder="1"/>
    <xf numFmtId="3" fontId="8" fillId="5" borderId="5" xfId="0" applyNumberFormat="1" applyFont="1" applyFill="1" applyBorder="1" applyAlignment="1">
      <alignment horizontal="left" vertical="center" wrapText="1"/>
    </xf>
    <xf numFmtId="9" fontId="0" fillId="0" borderId="0" xfId="3" applyFont="1"/>
    <xf numFmtId="44" fontId="0" fillId="7" borderId="0" xfId="1" applyFont="1" applyFill="1"/>
    <xf numFmtId="44" fontId="0" fillId="7" borderId="0" xfId="0" applyNumberFormat="1" applyFill="1"/>
    <xf numFmtId="44" fontId="0" fillId="0" borderId="8" xfId="1" applyFont="1" applyFill="1" applyBorder="1"/>
    <xf numFmtId="0" fontId="10" fillId="0" borderId="14" xfId="0" applyFont="1" applyBorder="1"/>
    <xf numFmtId="165" fontId="10" fillId="2" borderId="15" xfId="0" applyNumberFormat="1" applyFont="1" applyFill="1" applyBorder="1"/>
    <xf numFmtId="0" fontId="10" fillId="0" borderId="16" xfId="0" applyFont="1" applyBorder="1"/>
    <xf numFmtId="165" fontId="10" fillId="2" borderId="17" xfId="0" applyNumberFormat="1" applyFont="1" applyFill="1" applyBorder="1"/>
    <xf numFmtId="0" fontId="10" fillId="2" borderId="18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/>
    </xf>
    <xf numFmtId="4" fontId="11" fillId="0" borderId="14" xfId="0" applyNumberFormat="1" applyFont="1" applyBorder="1" applyAlignment="1">
      <alignment vertical="center" wrapText="1"/>
    </xf>
    <xf numFmtId="4" fontId="11" fillId="0" borderId="21" xfId="0" applyNumberFormat="1" applyFont="1" applyBorder="1" applyAlignment="1">
      <alignment vertical="center" wrapText="1"/>
    </xf>
    <xf numFmtId="44" fontId="0" fillId="0" borderId="11" xfId="1" applyFont="1" applyFill="1" applyBorder="1"/>
    <xf numFmtId="49" fontId="3" fillId="6" borderId="1" xfId="0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4" fontId="3" fillId="6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left" vertical="center"/>
    </xf>
    <xf numFmtId="0" fontId="0" fillId="5" borderId="0" xfId="0" applyFill="1"/>
    <xf numFmtId="44" fontId="0" fillId="5" borderId="9" xfId="0" applyNumberFormat="1" applyFill="1" applyBorder="1"/>
    <xf numFmtId="0" fontId="4" fillId="3" borderId="24" xfId="0" applyFont="1" applyFill="1" applyBorder="1" applyAlignment="1">
      <alignment vertical="center"/>
    </xf>
    <xf numFmtId="49" fontId="3" fillId="2" borderId="25" xfId="0" applyNumberFormat="1" applyFont="1" applyFill="1" applyBorder="1" applyAlignment="1">
      <alignment vertical="center"/>
    </xf>
    <xf numFmtId="49" fontId="3" fillId="2" borderId="25" xfId="0" applyNumberFormat="1" applyFont="1" applyFill="1" applyBorder="1" applyAlignment="1">
      <alignment horizontal="left" vertical="center"/>
    </xf>
    <xf numFmtId="49" fontId="3" fillId="2" borderId="28" xfId="0" applyNumberFormat="1" applyFont="1" applyFill="1" applyBorder="1" applyAlignment="1">
      <alignment horizontal="left" vertical="center"/>
    </xf>
    <xf numFmtId="9" fontId="3" fillId="2" borderId="27" xfId="3" applyFont="1" applyFill="1" applyBorder="1" applyAlignment="1">
      <alignment vertical="center"/>
    </xf>
    <xf numFmtId="9" fontId="3" fillId="2" borderId="30" xfId="3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49" fontId="3" fillId="11" borderId="26" xfId="0" applyNumberFormat="1" applyFont="1" applyFill="1" applyBorder="1" applyAlignment="1">
      <alignment vertical="center"/>
    </xf>
    <xf numFmtId="44" fontId="3" fillId="11" borderId="26" xfId="1" applyFont="1" applyFill="1" applyBorder="1" applyAlignment="1">
      <alignment vertical="center"/>
    </xf>
    <xf numFmtId="49" fontId="3" fillId="11" borderId="29" xfId="0" applyNumberFormat="1" applyFont="1" applyFill="1" applyBorder="1" applyAlignment="1">
      <alignment vertical="center"/>
    </xf>
    <xf numFmtId="44" fontId="3" fillId="11" borderId="29" xfId="1" applyFont="1" applyFill="1" applyBorder="1" applyAlignment="1">
      <alignment vertical="center"/>
    </xf>
    <xf numFmtId="49" fontId="3" fillId="3" borderId="26" xfId="0" applyNumberFormat="1" applyFont="1" applyFill="1" applyBorder="1" applyAlignment="1">
      <alignment vertical="center"/>
    </xf>
    <xf numFmtId="44" fontId="3" fillId="3" borderId="26" xfId="1" applyFont="1" applyFill="1" applyBorder="1" applyAlignment="1">
      <alignment vertical="center"/>
    </xf>
    <xf numFmtId="49" fontId="3" fillId="3" borderId="29" xfId="0" applyNumberFormat="1" applyFont="1" applyFill="1" applyBorder="1" applyAlignment="1">
      <alignment vertical="center"/>
    </xf>
    <xf numFmtId="44" fontId="3" fillId="3" borderId="29" xfId="1" applyFont="1" applyFill="1" applyBorder="1" applyAlignment="1">
      <alignment vertical="center"/>
    </xf>
    <xf numFmtId="49" fontId="4" fillId="2" borderId="23" xfId="0" applyNumberFormat="1" applyFont="1" applyFill="1" applyBorder="1" applyAlignment="1">
      <alignment vertical="center"/>
    </xf>
    <xf numFmtId="49" fontId="4" fillId="2" borderId="31" xfId="0" applyNumberFormat="1" applyFont="1" applyFill="1" applyBorder="1" applyAlignment="1">
      <alignment horizontal="center" vertical="center"/>
    </xf>
    <xf numFmtId="44" fontId="14" fillId="0" borderId="0" xfId="0" applyNumberFormat="1" applyFont="1"/>
    <xf numFmtId="10" fontId="13" fillId="0" borderId="0" xfId="3" applyNumberFormat="1" applyFont="1"/>
    <xf numFmtId="165" fontId="0" fillId="0" borderId="0" xfId="0" applyNumberFormat="1"/>
    <xf numFmtId="0" fontId="12" fillId="10" borderId="22" xfId="0" applyFont="1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9" fillId="8" borderId="19" xfId="0" applyFont="1" applyFill="1" applyBorder="1" applyAlignment="1">
      <alignment horizontal="center"/>
    </xf>
    <xf numFmtId="0" fontId="9" fillId="8" borderId="20" xfId="0" applyFont="1" applyFill="1" applyBorder="1" applyAlignment="1">
      <alignment horizontal="center"/>
    </xf>
    <xf numFmtId="0" fontId="0" fillId="12" borderId="0" xfId="0" applyFill="1"/>
  </cellXfs>
  <cellStyles count="6">
    <cellStyle name="Moeda" xfId="1" builtinId="4"/>
    <cellStyle name="Normal" xfId="0" builtinId="0"/>
    <cellStyle name="Normal 2 2 2 2" xfId="4" xr:uid="{4E1947CB-C4DA-47CB-A0EC-6AF3F10CCB55}"/>
    <cellStyle name="Normal 4 2" xfId="2" xr:uid="{2A2EB02C-64F4-420B-86B5-E649B5CE9465}"/>
    <cellStyle name="Porcentagem" xfId="3" builtinId="5"/>
    <cellStyle name="Vírgula 26 2" xfId="5" xr:uid="{545304B2-C008-42A5-8080-14A44177CD59}"/>
  </cellStyles>
  <dxfs count="164"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ao.penido\Downloads\CTN-FGE_SEN%20-%20Or&#231;amento%20Preliminar_R00_V01.xlsx" TargetMode="External"/><Relationship Id="rId1" Type="http://schemas.openxmlformats.org/officeDocument/2006/relationships/externalLinkPath" Target="file:///C:\Users\joao.penido\Downloads\CTN-FGE_SEN%20-%20Or&#231;amento%20Preliminar_R00_V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ao.penido\Desktop\Base%20de%20comando\01%20-%20OR&#199;AMENTO\or&#231;amento%20Senna\Analise\CTN-FGE_SEN%20-%20Or&#231;amento%20Preliminar_R00_V01(analise%20DW).xlsx" TargetMode="External"/><Relationship Id="rId1" Type="http://schemas.openxmlformats.org/officeDocument/2006/relationships/externalLinkPath" Target="file:///C:\Users\joao.penido\Desktop\Base%20de%20comando\01%20-%20OR&#199;AMENTO\or&#231;amento%20Senna\Analise\CTN-FGE_SEN%20-%20Or&#231;amento%20Preliminar_R00_V01(analise%20D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DIF PARAMETRICO"/>
      <sheetName val="EAP Análise"/>
      <sheetName val="PROJETOS"/>
      <sheetName val="EPC FG"/>
      <sheetName val="MO EPC FG"/>
      <sheetName val="Ger_Tec e Adm"/>
      <sheetName val="Ger_Executivo"/>
      <sheetName val="Drywall"/>
      <sheetName val="CPU"/>
      <sheetName val="Insumos"/>
      <sheetName val="INSTALAÇÕES - ESTIMATIVAS"/>
      <sheetName val="Bombeamento"/>
      <sheetName val="Planilha5"/>
      <sheetName val="IRRIGAÇÃO"/>
      <sheetName val="PISCINA"/>
      <sheetName val="SPDA"/>
      <sheetName val="Sprinkler"/>
      <sheetName val="CLIMATIZAÇÃO"/>
      <sheetName val="LOUÇAS E METAIS"/>
      <sheetName val="EPCs"/>
      <sheetName val="CANTEIRO"/>
      <sheetName val="Ensaios"/>
      <sheetName val="Estacas"/>
      <sheetName val="Fund. Rasa | Contenção"/>
      <sheetName val="RESUMO CUSTOS ESTACAS "/>
      <sheetName val="ESTRUTURA FG"/>
      <sheetName val="BLOCO A"/>
      <sheetName val="Estrutura"/>
      <sheetName val="Resumo Estrutu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Descrição</v>
          </cell>
          <cell r="C1" t="str">
            <v>Und</v>
          </cell>
          <cell r="D1">
            <v>1</v>
          </cell>
        </row>
        <row r="2">
          <cell r="B2" t="str">
            <v xml:space="preserve">Arame Galvanizado </v>
          </cell>
          <cell r="C2" t="str">
            <v>KG</v>
          </cell>
          <cell r="D2">
            <v>13.69</v>
          </cell>
        </row>
        <row r="3">
          <cell r="B3" t="str">
            <v xml:space="preserve">Arame Recozido BWG 18 </v>
          </cell>
          <cell r="C3" t="str">
            <v>KG</v>
          </cell>
          <cell r="D3">
            <v>10.71</v>
          </cell>
        </row>
        <row r="4">
          <cell r="B4" t="str">
            <v>Barras de transferencia lisa 12,5mm 50 cm</v>
          </cell>
          <cell r="C4" t="str">
            <v>pc</v>
          </cell>
          <cell r="D4">
            <v>3.82</v>
          </cell>
        </row>
        <row r="5">
          <cell r="B5" t="str">
            <v>Monocordoalha engraxada CP - 190 RB (12,7mm)</v>
          </cell>
          <cell r="C5" t="str">
            <v>KG</v>
          </cell>
          <cell r="D5">
            <v>15.5</v>
          </cell>
        </row>
        <row r="6">
          <cell r="B6" t="str">
            <v>Armação aço Média para estaca (Corte e Dobra em Obra)</v>
          </cell>
          <cell r="C6" t="str">
            <v>KG</v>
          </cell>
          <cell r="D6">
            <v>7.6873385012919897</v>
          </cell>
        </row>
        <row r="7">
          <cell r="B7" t="str">
            <v>Armação aço Média para estaca (Corte e Dobra em Indústria)</v>
          </cell>
          <cell r="C7" t="str">
            <v>KG</v>
          </cell>
          <cell r="D7">
            <v>8.2873385012919893</v>
          </cell>
        </row>
        <row r="8">
          <cell r="B8" t="str">
            <v>CORTE E DOBRA ARMADO ESTACA Ø50CM 5F 16,0 4MTS ESP75 PS20</v>
          </cell>
          <cell r="C8" t="str">
            <v>KG</v>
          </cell>
          <cell r="D8">
            <v>302.92200000000003</v>
          </cell>
        </row>
        <row r="9">
          <cell r="B9" t="str">
            <v>CORTE E DOBRA ARMADO ESTACA Ø60CM 5F 20,0 4MTS ESP75 PS20</v>
          </cell>
          <cell r="C9" t="str">
            <v>KG</v>
          </cell>
          <cell r="D9">
            <v>466.33699999999999</v>
          </cell>
        </row>
        <row r="10">
          <cell r="B10" t="str">
            <v>CORTE E DOBRA ARMADO ESTACA Ø60CM 7F 20,0 6MTS ESP75 PS20</v>
          </cell>
          <cell r="C10" t="str">
            <v>KG</v>
          </cell>
          <cell r="D10">
            <v>937.63900000000001</v>
          </cell>
        </row>
        <row r="11">
          <cell r="B11" t="str">
            <v>CORTE E DOBRA ARMADO ESTACA Ø60CM 9F 20,0 8MTS ESP75 PS20</v>
          </cell>
          <cell r="C11" t="str">
            <v>KG</v>
          </cell>
          <cell r="D11">
            <v>1609.6659999999999</v>
          </cell>
        </row>
        <row r="12">
          <cell r="B12" t="str">
            <v>Aço CA50 10,0 mm</v>
          </cell>
          <cell r="C12" t="str">
            <v>KG</v>
          </cell>
          <cell r="D12">
            <v>4.8099999999999996</v>
          </cell>
        </row>
        <row r="13">
          <cell r="B13" t="str">
            <v>Aço CA50 12,5 mm</v>
          </cell>
          <cell r="C13" t="str">
            <v>KG</v>
          </cell>
          <cell r="D13">
            <v>4.58</v>
          </cell>
        </row>
        <row r="14">
          <cell r="B14" t="str">
            <v>Aço CA50 16,0mm</v>
          </cell>
          <cell r="C14" t="str">
            <v>KG</v>
          </cell>
          <cell r="D14">
            <v>4.58</v>
          </cell>
        </row>
        <row r="15">
          <cell r="B15" t="str">
            <v>Aço CA50 20,0mm</v>
          </cell>
          <cell r="C15" t="str">
            <v>KG</v>
          </cell>
          <cell r="D15">
            <v>4.58</v>
          </cell>
        </row>
        <row r="16">
          <cell r="B16" t="str">
            <v>Aço CA50 25,0mm</v>
          </cell>
          <cell r="C16" t="str">
            <v>KG</v>
          </cell>
          <cell r="D16">
            <v>4.58</v>
          </cell>
        </row>
        <row r="17">
          <cell r="B17" t="str">
            <v>Aço CA70 25,0mm</v>
          </cell>
          <cell r="C17" t="str">
            <v>KG</v>
          </cell>
          <cell r="D17">
            <v>4.84</v>
          </cell>
        </row>
        <row r="18">
          <cell r="B18" t="str">
            <v>Aço CA50 6,3 mm</v>
          </cell>
          <cell r="C18" t="str">
            <v>KG</v>
          </cell>
          <cell r="D18">
            <v>5.04</v>
          </cell>
        </row>
        <row r="19">
          <cell r="B19" t="str">
            <v>Aço CA50 8,0 mm</v>
          </cell>
          <cell r="C19" t="str">
            <v>KG</v>
          </cell>
          <cell r="D19">
            <v>5.04</v>
          </cell>
        </row>
        <row r="20">
          <cell r="B20" t="str">
            <v>Aço CA60 5,0mm</v>
          </cell>
          <cell r="C20" t="str">
            <v>KG</v>
          </cell>
          <cell r="D20">
            <v>6.54</v>
          </cell>
        </row>
        <row r="21">
          <cell r="B21" t="str">
            <v>Aço CA50 32,0mm</v>
          </cell>
          <cell r="C21" t="str">
            <v>KG</v>
          </cell>
          <cell r="D21">
            <v>4.96</v>
          </cell>
        </row>
        <row r="22">
          <cell r="B22" t="str">
            <v>Corte e Dobra geral</v>
          </cell>
          <cell r="C22" t="str">
            <v>KG</v>
          </cell>
          <cell r="D22">
            <v>0.76</v>
          </cell>
        </row>
        <row r="23">
          <cell r="B23" t="str">
            <v>Corte e Dobra Estaca</v>
          </cell>
          <cell r="C23" t="str">
            <v>KG</v>
          </cell>
          <cell r="D23">
            <v>2.66</v>
          </cell>
        </row>
        <row r="24">
          <cell r="B24" t="str">
            <v>Corte e Dobra Lamela</v>
          </cell>
          <cell r="C24" t="str">
            <v>KG</v>
          </cell>
          <cell r="D24">
            <v>3.06</v>
          </cell>
        </row>
        <row r="25">
          <cell r="B25" t="str">
            <v>Sistema e Instalação de Fachada Ventilada. Mecanização das peças, arremate das esquadrias e Fretes</v>
          </cell>
          <cell r="C25" t="str">
            <v>UN</v>
          </cell>
          <cell r="D25">
            <v>321.30483318157923</v>
          </cell>
        </row>
        <row r="26">
          <cell r="B26" t="str">
            <v>ESPACADOR / DISTANCIADOR CIRCULAR COM ENTRADA LATERAL, EM PLASTICO, PARA VERGALHAO *4,2 A 12,5* MM, COBRIMENTO 40 MM</v>
          </cell>
          <cell r="C26" t="str">
            <v>M2</v>
          </cell>
          <cell r="D26">
            <v>0.43</v>
          </cell>
        </row>
        <row r="27">
          <cell r="B27" t="str">
            <v>TELA ACO CARBONO CA60 M.150X150MM F.03,4MM 245X600CM Q61 (14,26KG/UN)</v>
          </cell>
          <cell r="C27" t="str">
            <v>KG</v>
          </cell>
          <cell r="D27">
            <v>6.1</v>
          </cell>
        </row>
        <row r="28">
          <cell r="B28" t="str">
            <v>TELA ACO CARBONO CA60 M.150X150MM F.04,2MM 245X600CM Q92 (21,8KG/UN)</v>
          </cell>
          <cell r="C28" t="str">
            <v>KG</v>
          </cell>
          <cell r="D28">
            <v>4.88</v>
          </cell>
        </row>
        <row r="29">
          <cell r="B29" t="str">
            <v>TELA ACO CARBONO CA60 M.100X100MM F.04,2MM 245X600CM Q113 (26,46KG/UN)</v>
          </cell>
          <cell r="C29" t="str">
            <v>KG</v>
          </cell>
          <cell r="D29">
            <v>8.5370370370370363</v>
          </cell>
        </row>
        <row r="30">
          <cell r="B30" t="str">
            <v>TELA ACO CARBONO CA60 M.100X100MM F.04,2MM 245X600CM Q138 (32,34KG/UN)</v>
          </cell>
          <cell r="C30" t="str">
            <v>KG</v>
          </cell>
          <cell r="D30">
            <v>9.1447124304267149</v>
          </cell>
        </row>
        <row r="31">
          <cell r="B31" t="str">
            <v>TELA DE ACO SOLDADA GALVANIZADA/ZINCADA PARA ALVENARIA, FIO D = *1,20 A 1,70* MM, MALHA 15 X 15 MM, (C X L) *50 X 17,5* CM</v>
          </cell>
          <cell r="C31" t="str">
            <v>UN</v>
          </cell>
          <cell r="D31">
            <v>2.5</v>
          </cell>
        </row>
        <row r="32">
          <cell r="B32" t="str">
            <v>Tela de arame galvanizada, hexagonal, fio 0,56 mm (24 bwg), malha 1/2", h = 1 m</v>
          </cell>
          <cell r="C32" t="str">
            <v>M2</v>
          </cell>
          <cell r="D32">
            <v>14.27</v>
          </cell>
        </row>
        <row r="33">
          <cell r="B33" t="str">
            <v>TIJOLO REFRATÁRIO 5 X 11,5 X 23 CM</v>
          </cell>
          <cell r="C33" t="str">
            <v>UN</v>
          </cell>
          <cell r="D33">
            <v>7</v>
          </cell>
        </row>
        <row r="34">
          <cell r="B34" t="str">
            <v>TIJOLO REFRATÁRIO 2,5 X 11,5 X 23 CM</v>
          </cell>
          <cell r="C34" t="str">
            <v>UN</v>
          </cell>
          <cell r="D34">
            <v>5.95</v>
          </cell>
        </row>
        <row r="35">
          <cell r="B35" t="str">
            <v>BLOCO CONCRETO ESTRUTURAL 03MPA 14X19X39CM NBR 6136</v>
          </cell>
          <cell r="C35" t="str">
            <v>UN</v>
          </cell>
          <cell r="D35">
            <v>2.95</v>
          </cell>
        </row>
        <row r="36">
          <cell r="B36" t="str">
            <v>BLOCO CONCRETO ESTRUTURAL 04MPA 14X19X04CM NBR 6136</v>
          </cell>
          <cell r="C36" t="str">
            <v>UN</v>
          </cell>
          <cell r="D36">
            <v>4.1861538461538466</v>
          </cell>
        </row>
        <row r="37">
          <cell r="B37" t="str">
            <v>BLOCO CONCRETO ESTRUTURAL 04MPA 14X19X09CM NBR 6136</v>
          </cell>
          <cell r="C37" t="str">
            <v>UN</v>
          </cell>
          <cell r="D37">
            <v>3.9889743589743589</v>
          </cell>
        </row>
        <row r="38">
          <cell r="B38" t="str">
            <v>BLOCO CONCRETO ESTRUTURAL 04MPA 14X19X14CM NBR 6136</v>
          </cell>
          <cell r="C38" t="str">
            <v>UN</v>
          </cell>
          <cell r="D38">
            <v>1.3760000000000001</v>
          </cell>
        </row>
        <row r="39">
          <cell r="B39" t="str">
            <v>BLOCO CONCRETO ESTRUTURAL 04MPA 11,5X19X29CM NBR 6136</v>
          </cell>
          <cell r="C39" t="str">
            <v>UN</v>
          </cell>
          <cell r="D39">
            <v>1.998</v>
          </cell>
        </row>
        <row r="40">
          <cell r="B40" t="str">
            <v>BLOCO CONCRETO ESTRUTURAL 04MPA 14X19X29CM NBR 6136</v>
          </cell>
          <cell r="C40" t="str">
            <v>UN</v>
          </cell>
          <cell r="D40">
            <v>1.998</v>
          </cell>
        </row>
        <row r="41">
          <cell r="B41" t="str">
            <v>BLOCO CONCRETO ESTRUTURAL 04MPA 14X19X44CM NBR 6136</v>
          </cell>
          <cell r="C41" t="str">
            <v>UN</v>
          </cell>
          <cell r="D41">
            <v>4.0199999999999996</v>
          </cell>
        </row>
        <row r="42">
          <cell r="B42" t="str">
            <v>BLOCO CONCRETO ESTRUTURAL 06MPA 14X19X04CM NBR 6136</v>
          </cell>
          <cell r="C42" t="str">
            <v>UN</v>
          </cell>
          <cell r="D42">
            <v>4.1861538461538466</v>
          </cell>
        </row>
        <row r="43">
          <cell r="B43" t="str">
            <v>BLOCO CONCRETO ESTRUTURAL 06MPA 14X19X09CM NBR 6136</v>
          </cell>
          <cell r="C43" t="str">
            <v>UN</v>
          </cell>
          <cell r="D43">
            <v>3.9889743589743589</v>
          </cell>
        </row>
        <row r="44">
          <cell r="B44" t="str">
            <v>BLOCO CONCRETO ESTRUTURAL 06MPA 14X19X14CM NBR 6136</v>
          </cell>
          <cell r="C44" t="str">
            <v>UN</v>
          </cell>
          <cell r="D44">
            <v>1.4359999999999999</v>
          </cell>
        </row>
        <row r="45">
          <cell r="B45" t="str">
            <v>BLOCO CONCRETO ESTRUTURAL 06MPA 14X19X29CM NBR 6136</v>
          </cell>
          <cell r="C45" t="str">
            <v>UN</v>
          </cell>
          <cell r="D45">
            <v>2.0979999999999999</v>
          </cell>
        </row>
        <row r="46">
          <cell r="B46" t="str">
            <v>BLOCO CONCRETO ESTRUTURAL 06MPA 14X19X44CM NBR 6136</v>
          </cell>
          <cell r="C46" t="str">
            <v>UN</v>
          </cell>
          <cell r="D46">
            <v>4.1890000000000001</v>
          </cell>
        </row>
        <row r="47">
          <cell r="B47" t="str">
            <v>BLOCO CONCRETO ESTRUTURAL 08MPA 19X19X39CM NBR 6136</v>
          </cell>
          <cell r="C47" t="str">
            <v>UN</v>
          </cell>
          <cell r="D47">
            <v>3.22</v>
          </cell>
        </row>
        <row r="48">
          <cell r="B48" t="str">
            <v>BLOCO DE concreto CORTA-FOGO  09X19X39 CM</v>
          </cell>
          <cell r="C48" t="str">
            <v>UN</v>
          </cell>
          <cell r="D48">
            <v>4.5</v>
          </cell>
        </row>
        <row r="49">
          <cell r="B49" t="str">
            <v>BLOCO DE concreto CORTA-FOGO  14X19X39 CM</v>
          </cell>
          <cell r="C49" t="str">
            <v>UN</v>
          </cell>
          <cell r="D49">
            <v>6.5</v>
          </cell>
        </row>
        <row r="50">
          <cell r="B50" t="str">
            <v>BLOCO DE concreto CORTA-FOGO ACUSTICA REFORÇADO  14X19X39 CM</v>
          </cell>
          <cell r="C50" t="str">
            <v>UN</v>
          </cell>
          <cell r="D50">
            <v>10</v>
          </cell>
        </row>
        <row r="51">
          <cell r="B51" t="str">
            <v>BLOCO DE concreto CORTA-FOGO  19X19X39 CM</v>
          </cell>
          <cell r="C51" t="str">
            <v>UN</v>
          </cell>
          <cell r="D51">
            <v>9.5</v>
          </cell>
        </row>
        <row r="52">
          <cell r="B52" t="str">
            <v>BLOCO DE concreto CORTA-FOGO  ACUSTICA REFORÇADO 19X19X39 CM</v>
          </cell>
          <cell r="C52" t="str">
            <v>UN</v>
          </cell>
          <cell r="D52">
            <v>14.5</v>
          </cell>
        </row>
        <row r="53">
          <cell r="B53" t="str">
            <v>BLOCO DE CERÂMICO CORTA-FOGO  09X19X39 CM</v>
          </cell>
          <cell r="C53" t="str">
            <v>UN</v>
          </cell>
          <cell r="D53">
            <v>4.8</v>
          </cell>
        </row>
        <row r="54">
          <cell r="B54" t="str">
            <v>BLOCO DE CERÂMICO CORTA-FOGO  14X19X39 CM</v>
          </cell>
          <cell r="C54" t="str">
            <v>UN</v>
          </cell>
          <cell r="D54">
            <v>6.8</v>
          </cell>
        </row>
        <row r="55">
          <cell r="B55" t="str">
            <v>BLOCO DE CERÂMICO CORTA-FOGO ACUSTICA REFORÇADO  14X19X39 CM</v>
          </cell>
          <cell r="C55" t="str">
            <v>UN</v>
          </cell>
          <cell r="D55">
            <v>9.8000000000000007</v>
          </cell>
        </row>
        <row r="56">
          <cell r="B56" t="str">
            <v>BLOCO DE CERÂMICO CORTA-FOGO  19X19X39 CM</v>
          </cell>
          <cell r="C56" t="str">
            <v>UN</v>
          </cell>
          <cell r="D56">
            <v>8.5</v>
          </cell>
        </row>
        <row r="57">
          <cell r="B57" t="str">
            <v>CANALETA CONCRETO ESTRUTURAL "U" 06MPA 14X19X29CM NBR 6136</v>
          </cell>
          <cell r="C57" t="str">
            <v>UN</v>
          </cell>
          <cell r="D57">
            <v>3.3050000000000002</v>
          </cell>
        </row>
        <row r="58">
          <cell r="B58" t="str">
            <v>CANALETA CONCRETO ESTRUTURAL "U" 08MPA 19X19X39CM NBR 6136</v>
          </cell>
          <cell r="C58" t="str">
            <v>UN</v>
          </cell>
          <cell r="D58">
            <v>4.09</v>
          </cell>
        </row>
        <row r="59">
          <cell r="B59" t="str">
            <v>BLOCO CERÂMICO ESTRUTURAL 04MPA 11,5X19X29CM NBR 6136</v>
          </cell>
          <cell r="C59" t="str">
            <v>UN</v>
          </cell>
          <cell r="D59">
            <v>1.69</v>
          </cell>
        </row>
        <row r="60">
          <cell r="B60" t="str">
            <v>BLOCO CERÂMICO ESTRUTURAL 04MPA 14X19X29CM NBR 6136</v>
          </cell>
          <cell r="C60" t="str">
            <v>UN</v>
          </cell>
          <cell r="D60">
            <v>2.76</v>
          </cell>
        </row>
        <row r="61">
          <cell r="B61" t="str">
            <v>BLOCO CERÂMICO - 14X19X39cm</v>
          </cell>
          <cell r="C61" t="str">
            <v>UN</v>
          </cell>
          <cell r="D61">
            <v>1.4</v>
          </cell>
        </row>
        <row r="62">
          <cell r="B62" t="str">
            <v>BLOCO CERÂMICO - 9X19X39cm</v>
          </cell>
          <cell r="C62" t="str">
            <v>UN</v>
          </cell>
          <cell r="D62">
            <v>0.99</v>
          </cell>
        </row>
        <row r="63">
          <cell r="B63" t="str">
            <v>BLOCO CERÂMICO - 9X19X19cm</v>
          </cell>
          <cell r="C63" t="str">
            <v>UN</v>
          </cell>
          <cell r="D63">
            <v>0.99</v>
          </cell>
        </row>
        <row r="64">
          <cell r="B64" t="str">
            <v>BLOCO CERÂMICO - 11,5X19X19cm</v>
          </cell>
          <cell r="C64" t="str">
            <v>UN</v>
          </cell>
          <cell r="D64">
            <v>1.24</v>
          </cell>
        </row>
        <row r="65">
          <cell r="B65" t="str">
            <v>BLOCO CERÂMICO - 14X19X19cm</v>
          </cell>
          <cell r="C65" t="str">
            <v>UN</v>
          </cell>
          <cell r="D65">
            <v>2.6</v>
          </cell>
        </row>
        <row r="66">
          <cell r="B66" t="str">
            <v>BLOCO CERÂMICO - 19X19X19cm</v>
          </cell>
          <cell r="C66" t="str">
            <v>UN</v>
          </cell>
          <cell r="D66">
            <v>1.59</v>
          </cell>
        </row>
        <row r="67">
          <cell r="B67" t="str">
            <v>BLOCO DE VEDACAO CONCRETO 09X19X39 CM</v>
          </cell>
          <cell r="C67" t="str">
            <v>UN</v>
          </cell>
          <cell r="D67">
            <v>2.7</v>
          </cell>
        </row>
        <row r="68">
          <cell r="B68" t="str">
            <v>BLOCO DE VEDACAO CONCRETO 11,5X19X39 CM</v>
          </cell>
          <cell r="C68" t="str">
            <v>UN</v>
          </cell>
          <cell r="D68">
            <v>3.4500000000000006</v>
          </cell>
        </row>
        <row r="69">
          <cell r="B69" t="str">
            <v>BLOCO DE VEDACAO CONCRETO 19X19X39 CM</v>
          </cell>
          <cell r="C69" t="str">
            <v>UN</v>
          </cell>
          <cell r="D69">
            <v>5.7000000000000011</v>
          </cell>
        </row>
        <row r="70">
          <cell r="B70" t="str">
            <v>ELEMENTO VAZADO CONCRETO QUADRADO</v>
          </cell>
          <cell r="C70" t="str">
            <v>UN</v>
          </cell>
          <cell r="D70">
            <v>15</v>
          </cell>
        </row>
        <row r="71">
          <cell r="B71" t="str">
            <v>ELEMENTO VAZADO CERAMICO QUADRADO</v>
          </cell>
          <cell r="C71" t="str">
            <v>UN</v>
          </cell>
          <cell r="D71">
            <v>11.99</v>
          </cell>
        </row>
        <row r="72">
          <cell r="B72" t="str">
            <v>BLOCO DE VEDACAO CERAMICO MACIÇO 5,5X11,5X24 CM</v>
          </cell>
          <cell r="C72" t="str">
            <v>UN</v>
          </cell>
          <cell r="D72">
            <v>1.05</v>
          </cell>
        </row>
        <row r="73">
          <cell r="B73" t="str">
            <v>BLOCO DE VEDACAO CERAMICO 09X19X29 CM</v>
          </cell>
          <cell r="C73" t="str">
            <v>UN</v>
          </cell>
          <cell r="D73">
            <v>1.18</v>
          </cell>
        </row>
        <row r="74">
          <cell r="B74" t="str">
            <v>BLOCO DE VEDACAO CERAMICO 11,5X19X29 CM</v>
          </cell>
          <cell r="C74" t="str">
            <v>UN</v>
          </cell>
          <cell r="D74">
            <v>1.43</v>
          </cell>
        </row>
        <row r="75">
          <cell r="B75" t="str">
            <v>BLOCO DE VEDACAO CERAMICO 14X19X29 CM</v>
          </cell>
          <cell r="C75" t="str">
            <v>UN</v>
          </cell>
          <cell r="D75">
            <v>1.72</v>
          </cell>
        </row>
        <row r="76">
          <cell r="B76" t="str">
            <v>BLOCO DE VEDACAO CERAMICO 19X19X29 CM</v>
          </cell>
          <cell r="C76" t="str">
            <v>UN</v>
          </cell>
          <cell r="D76">
            <v>2.3342857142857145</v>
          </cell>
        </row>
        <row r="77">
          <cell r="B77" t="str">
            <v>Bloco Concreto Celular 7,5x30x60</v>
          </cell>
          <cell r="C77" t="str">
            <v>M3</v>
          </cell>
          <cell r="D77">
            <v>10.71</v>
          </cell>
        </row>
        <row r="78">
          <cell r="B78" t="str">
            <v>Bloco Concreto Celular 10x30x60</v>
          </cell>
          <cell r="C78" t="str">
            <v>M3</v>
          </cell>
          <cell r="D78">
            <v>12.41</v>
          </cell>
        </row>
        <row r="79">
          <cell r="B79" t="str">
            <v>Bloco Concreto Celular 12,5x30x60</v>
          </cell>
          <cell r="C79" t="str">
            <v>M3</v>
          </cell>
          <cell r="D79">
            <v>17.91</v>
          </cell>
        </row>
        <row r="80">
          <cell r="B80" t="str">
            <v>Bloco Concreto Celular 15x30x60</v>
          </cell>
          <cell r="C80" t="str">
            <v>M3</v>
          </cell>
          <cell r="D80">
            <v>16.440000000000001</v>
          </cell>
        </row>
        <row r="81">
          <cell r="B81" t="str">
            <v>Aditivo cristalizante adição concreto</v>
          </cell>
          <cell r="C81" t="str">
            <v>kg</v>
          </cell>
          <cell r="D81">
            <v>18.327777777777776</v>
          </cell>
        </row>
        <row r="82">
          <cell r="B82" t="str">
            <v>ARGAMASSA TRAÇO 1:3 (EM VOLUME DE CIMENTO E AREIA GROSSA ÚMIDA) PARA CONTRAPISO TIPO FAROFA</v>
          </cell>
          <cell r="C82" t="str">
            <v>M3</v>
          </cell>
          <cell r="D82">
            <v>43.48</v>
          </cell>
        </row>
        <row r="83">
          <cell r="B83" t="str">
            <v xml:space="preserve">ARGAMASSA TRAÇO 1:4 (EM VOLUME DE CIMENTO E AREIA GROSSA ÚMIDA) PARA CHAPISCO CONVENCIONAL, PREPARO MANUAL. </v>
          </cell>
          <cell r="C83" t="str">
            <v>M3</v>
          </cell>
          <cell r="D83">
            <v>657.89</v>
          </cell>
        </row>
        <row r="84">
          <cell r="B84" t="str">
            <v xml:space="preserve">ARGAMASSA TRAÇO 1:5 (EM VOLUME DE CIMENTO E AREIA GROSSA ÚMIDA) PARA CHAPISCO CONVENCIONAL, PREPARO MANUAL. </v>
          </cell>
          <cell r="C84" t="str">
            <v>M3</v>
          </cell>
          <cell r="D84">
            <v>633.27</v>
          </cell>
        </row>
        <row r="85">
          <cell r="B85" t="str">
            <v>ARGAMASSA ENSACADA P/ASSENTAMENTO BLOCO 04MPA NBR 13281</v>
          </cell>
          <cell r="C85" t="str">
            <v>KG</v>
          </cell>
          <cell r="D85">
            <v>0.46</v>
          </cell>
        </row>
        <row r="86">
          <cell r="B86" t="str">
            <v>Argamassa para encunhamento</v>
          </cell>
          <cell r="C86" t="str">
            <v>kg</v>
          </cell>
          <cell r="D86">
            <v>2.5619999999999998</v>
          </cell>
        </row>
        <row r="87">
          <cell r="B87" t="str">
            <v>Argamassa ACIII</v>
          </cell>
          <cell r="C87" t="str">
            <v>KG</v>
          </cell>
          <cell r="D87">
            <v>1.0645</v>
          </cell>
        </row>
        <row r="88">
          <cell r="B88" t="str">
            <v>Argamassa ACII</v>
          </cell>
          <cell r="C88" t="str">
            <v>KG</v>
          </cell>
          <cell r="D88">
            <v>0.95</v>
          </cell>
        </row>
        <row r="89">
          <cell r="B89" t="str">
            <v>ARGAMASSA ENSACADA PARA CONTRAPISO</v>
          </cell>
          <cell r="C89" t="str">
            <v>KG</v>
          </cell>
          <cell r="D89">
            <v>4</v>
          </cell>
        </row>
        <row r="90">
          <cell r="B90" t="str">
            <v>ARGAMASSA COLANTE AC II</v>
          </cell>
          <cell r="C90" t="str">
            <v>KG</v>
          </cell>
          <cell r="D90">
            <v>1.36</v>
          </cell>
        </row>
        <row r="91">
          <cell r="B91" t="str">
            <v>Argamassa industrializada para Para Chapisco Colante</v>
          </cell>
          <cell r="C91" t="str">
            <v>KG</v>
          </cell>
          <cell r="D91">
            <v>0.8</v>
          </cell>
        </row>
        <row r="92">
          <cell r="B92" t="str">
            <v>Argamassa industrializada para Para Reboco</v>
          </cell>
          <cell r="C92" t="str">
            <v>KG</v>
          </cell>
          <cell r="D92">
            <v>0.95</v>
          </cell>
        </row>
        <row r="93">
          <cell r="B93" t="str">
            <v>Massa Dundun Para Assentamento De Tijolos E Blocos</v>
          </cell>
          <cell r="C93" t="str">
            <v>KG</v>
          </cell>
          <cell r="D93">
            <v>19.116</v>
          </cell>
        </row>
        <row r="94">
          <cell r="B94" t="str">
            <v>ARGAMASSA REFRATÁRIA</v>
          </cell>
          <cell r="C94" t="str">
            <v>M3</v>
          </cell>
          <cell r="D94">
            <v>1.75</v>
          </cell>
        </row>
        <row r="95">
          <cell r="B95" t="str">
            <v>Argamassa Usinada para emboço/massa única</v>
          </cell>
          <cell r="C95" t="str">
            <v>M3</v>
          </cell>
          <cell r="D95">
            <v>605.66</v>
          </cell>
        </row>
        <row r="96">
          <cell r="B96" t="str">
            <v>Argamassa usninada para contrapiso</v>
          </cell>
          <cell r="C96" t="str">
            <v>M3</v>
          </cell>
          <cell r="D96">
            <v>550</v>
          </cell>
        </row>
        <row r="97">
          <cell r="B97" t="str">
            <v>Argila expandida</v>
          </cell>
          <cell r="C97" t="str">
            <v>KG</v>
          </cell>
          <cell r="D97">
            <v>2.9449999999999998</v>
          </cell>
        </row>
        <row r="98">
          <cell r="B98" t="str">
            <v>ARGAMASSA ESTABILIZADA PARA ASSENTAMENTO</v>
          </cell>
          <cell r="C98" t="str">
            <v>M3</v>
          </cell>
          <cell r="D98">
            <v>425</v>
          </cell>
        </row>
        <row r="99">
          <cell r="B99" t="str">
            <v>ARGAMASSA ESTABILIZADA PARA CHAPISCO</v>
          </cell>
          <cell r="C99" t="str">
            <v>M3</v>
          </cell>
          <cell r="D99">
            <v>480</v>
          </cell>
        </row>
        <row r="100">
          <cell r="B100" t="str">
            <v>ARGAMASSA INDUSTRIALIZADA MULTIUSO, PARA REVESTIMENTO INTERNO E EXTERNO E ASSENTAMENTO DE BLOCOS DIVERSOS</v>
          </cell>
          <cell r="C100" t="str">
            <v>M3</v>
          </cell>
          <cell r="D100">
            <v>425</v>
          </cell>
        </row>
        <row r="101">
          <cell r="B101" t="str">
            <v>PISO INTERTRAVADO CONCRETO SEXTAVADO 35MPA 30X30X06CM NATURAL</v>
          </cell>
          <cell r="C101" t="str">
            <v>M2</v>
          </cell>
          <cell r="D101">
            <v>75.900000000000006</v>
          </cell>
        </row>
        <row r="102">
          <cell r="B102" t="str">
            <v>Ladrilho hidráulico 20x20 cm</v>
          </cell>
          <cell r="C102" t="str">
            <v>M2</v>
          </cell>
          <cell r="D102">
            <v>180</v>
          </cell>
        </row>
        <row r="103">
          <cell r="B103" t="str">
            <v>Piso Intertravado Retangular 10x20x08 </v>
          </cell>
          <cell r="C103" t="str">
            <v>M2</v>
          </cell>
          <cell r="D103">
            <v>65.900000000000006</v>
          </cell>
        </row>
        <row r="104">
          <cell r="B104" t="str">
            <v>Piso Podotátil Alerta Amarelo 20x20cm Cimartex</v>
          </cell>
          <cell r="C104" t="str">
            <v>M2</v>
          </cell>
          <cell r="D104">
            <v>102.9</v>
          </cell>
        </row>
        <row r="105">
          <cell r="B105" t="str">
            <v>Tampo de Granito, para Lavatório com saia e rodamão</v>
          </cell>
          <cell r="C105" t="str">
            <v>M²</v>
          </cell>
          <cell r="D105">
            <v>750</v>
          </cell>
        </row>
        <row r="106">
          <cell r="B106" t="str">
            <v>Tampo de Granito, para pia com saia e rodamão</v>
          </cell>
          <cell r="C106" t="str">
            <v>M²</v>
          </cell>
          <cell r="D106">
            <v>750</v>
          </cell>
        </row>
        <row r="107">
          <cell r="B107" t="str">
            <v>Tampo de Granito, para tanque com saia e rodamão</v>
          </cell>
          <cell r="C107" t="str">
            <v>M²</v>
          </cell>
          <cell r="D107">
            <v>750</v>
          </cell>
        </row>
        <row r="108">
          <cell r="B108" t="str">
            <v>Calha Beiral Alumínio Com 2 Tampas Corte 13</v>
          </cell>
          <cell r="C108" t="str">
            <v>M</v>
          </cell>
          <cell r="D108">
            <v>18.7148</v>
          </cell>
        </row>
        <row r="109">
          <cell r="B109" t="str">
            <v>Calha Beiral Alumínio Com 2 Tampas Corte 16</v>
          </cell>
          <cell r="C109" t="str">
            <v>M</v>
          </cell>
          <cell r="D109">
            <v>23.0336</v>
          </cell>
        </row>
        <row r="110">
          <cell r="B110" t="str">
            <v>Calha Beiral Alumínio Com 2 Tampas Corte 25</v>
          </cell>
          <cell r="C110" t="str">
            <v>M</v>
          </cell>
          <cell r="D110">
            <v>35.99</v>
          </cell>
        </row>
        <row r="111">
          <cell r="B111" t="str">
            <v>Calha Beiral Alumínio Com 2 Tampas Corte 30</v>
          </cell>
          <cell r="C111" t="str">
            <v>M</v>
          </cell>
          <cell r="D111">
            <v>46.666666666666664</v>
          </cell>
        </row>
        <row r="112">
          <cell r="B112" t="str">
            <v>Calha em alumínio - 94x94</v>
          </cell>
          <cell r="C112" t="str">
            <v>M</v>
          </cell>
          <cell r="D112">
            <v>59.966666666666669</v>
          </cell>
        </row>
        <row r="113">
          <cell r="B113" t="str">
            <v>Rufo Externo Corte 20cm Aluminio </v>
          </cell>
          <cell r="C113" t="str">
            <v>M</v>
          </cell>
          <cell r="D113">
            <v>25</v>
          </cell>
        </row>
        <row r="114">
          <cell r="B114" t="str">
            <v>RUFO INTERNO/EXTERNO DE CHAPA DE ACO GALVANIZADA NUM 24, CORTE 25 CM</v>
          </cell>
          <cell r="C114" t="str">
            <v>M</v>
          </cell>
          <cell r="D114">
            <v>28</v>
          </cell>
        </row>
        <row r="115">
          <cell r="B115" t="str">
            <v>Isotelha Trapezoidal Térmica Sanduiche branco neve</v>
          </cell>
          <cell r="C115" t="str">
            <v>M2</v>
          </cell>
          <cell r="D115">
            <v>198.19</v>
          </cell>
        </row>
        <row r="116">
          <cell r="B116" t="str">
            <v>Policarbonato Compacto</v>
          </cell>
          <cell r="C116" t="str">
            <v>UN</v>
          </cell>
          <cell r="D116">
            <v>30657</v>
          </cell>
        </row>
        <row r="117">
          <cell r="B117" t="str">
            <v>TELHA DE FIBROCIMENTO ONDULADA E = 6 MM, DE 2,44 X 1,10 M (SEM AMIANTO)</v>
          </cell>
          <cell r="C117" t="str">
            <v>M2</v>
          </cell>
          <cell r="D117">
            <v>66.05</v>
          </cell>
        </row>
        <row r="118">
          <cell r="B118" t="str">
            <v>TELHA FIBROCIMENTO NATURAL S/AMIANTO 06X1100X1530MM NBR 7581/15210</v>
          </cell>
          <cell r="C118" t="str">
            <v>M2</v>
          </cell>
          <cell r="D118">
            <v>21.31</v>
          </cell>
        </row>
        <row r="119">
          <cell r="B119" t="str">
            <v>TELHA METALICA GALVANIZADA TRAPEZOIDAL 0,43MM NBR 14514</v>
          </cell>
          <cell r="C119" t="str">
            <v>M2</v>
          </cell>
          <cell r="D119">
            <v>31</v>
          </cell>
        </row>
        <row r="120">
          <cell r="B120" t="str">
            <v>TELHA TRAPEZOIDAL EM ACO ZINCADO, ESPESSURA DE 0,50 MM</v>
          </cell>
          <cell r="C120" t="str">
            <v>M2</v>
          </cell>
          <cell r="D120">
            <v>97</v>
          </cell>
        </row>
        <row r="121">
          <cell r="B121" t="str">
            <v>Estrutura horizontal</v>
          </cell>
          <cell r="C121" t="str">
            <v>UN</v>
          </cell>
          <cell r="D121">
            <v>120.08733624454149</v>
          </cell>
        </row>
        <row r="122">
          <cell r="B122" t="str">
            <v xml:space="preserve"> Pilar de Sustentação</v>
          </cell>
          <cell r="C122" t="str">
            <v>UN</v>
          </cell>
          <cell r="D122">
            <v>382</v>
          </cell>
        </row>
        <row r="123">
          <cell r="B123" t="str">
            <v>CONCRETO MAGRO PARA LASTRO</v>
          </cell>
          <cell r="C123" t="str">
            <v>M3</v>
          </cell>
          <cell r="D123">
            <v>430.94</v>
          </cell>
        </row>
        <row r="124">
          <cell r="B124" t="str">
            <v>CONCRETO MAGRO USINADO, COM BRITA 1</v>
          </cell>
          <cell r="C124" t="str">
            <v>M3</v>
          </cell>
          <cell r="D124">
            <v>352</v>
          </cell>
        </row>
        <row r="125">
          <cell r="B125" t="str">
            <v>Argamassa de lubrificação</v>
          </cell>
          <cell r="C125" t="str">
            <v>M3</v>
          </cell>
          <cell r="D125">
            <v>725</v>
          </cell>
        </row>
        <row r="126">
          <cell r="B126" t="str">
            <v>Concreto Usinado bombeável 20MPa para Estacas</v>
          </cell>
          <cell r="C126" t="str">
            <v>M3</v>
          </cell>
          <cell r="D126">
            <v>502</v>
          </cell>
        </row>
        <row r="127">
          <cell r="B127" t="str">
            <v>Concreto Usinado bombeável 35MPa para estacas</v>
          </cell>
          <cell r="C127" t="str">
            <v>M3</v>
          </cell>
          <cell r="D127">
            <v>565</v>
          </cell>
        </row>
        <row r="128">
          <cell r="B128" t="str">
            <v>Concreto Usinado bombeável 40MPa para estacas</v>
          </cell>
          <cell r="C128" t="str">
            <v>M3</v>
          </cell>
          <cell r="D128">
            <v>532</v>
          </cell>
        </row>
        <row r="129">
          <cell r="B129" t="str">
            <v>Concreto Usinado bombeável 70MPa para estacas</v>
          </cell>
          <cell r="C129" t="str">
            <v>M3</v>
          </cell>
          <cell r="D129">
            <v>772.9</v>
          </cell>
        </row>
        <row r="130">
          <cell r="B130" t="str">
            <v>Concreto Usinado bombeável 40MPa blocos</v>
          </cell>
          <cell r="C130" t="str">
            <v>M3</v>
          </cell>
          <cell r="D130">
            <v>532</v>
          </cell>
        </row>
        <row r="131">
          <cell r="B131" t="str">
            <v>Concreto Usinado bombeável 70MPa blocos</v>
          </cell>
          <cell r="C131" t="str">
            <v>M3</v>
          </cell>
          <cell r="D131">
            <v>736.25</v>
          </cell>
        </row>
        <row r="132">
          <cell r="B132" t="str">
            <v>Concreto Usinado bombeável 30MPa contenção</v>
          </cell>
          <cell r="C132" t="str">
            <v>M3</v>
          </cell>
          <cell r="D132">
            <v>484.5</v>
          </cell>
        </row>
        <row r="133">
          <cell r="B133" t="str">
            <v>Concreto Usinado bombeável 40MPa contenção</v>
          </cell>
          <cell r="C133" t="str">
            <v>M3</v>
          </cell>
          <cell r="D133">
            <v>503.5</v>
          </cell>
        </row>
        <row r="134">
          <cell r="B134" t="str">
            <v>Concreto Usinado bombeável 90MPa contenção</v>
          </cell>
          <cell r="C134" t="str">
            <v>M3</v>
          </cell>
          <cell r="D134">
            <v>879.7</v>
          </cell>
        </row>
        <row r="135">
          <cell r="B135" t="str">
            <v>Concreto Usinado bombeável 40MPa Convencional</v>
          </cell>
          <cell r="C135" t="str">
            <v>M3</v>
          </cell>
          <cell r="D135">
            <v>565</v>
          </cell>
        </row>
        <row r="136">
          <cell r="B136" t="str">
            <v>Concreto Usinado bombeável 45MPa Convencional</v>
          </cell>
          <cell r="C136" t="str">
            <v>M3</v>
          </cell>
          <cell r="D136">
            <v>589.78500000000008</v>
          </cell>
        </row>
        <row r="137">
          <cell r="B137" t="str">
            <v>Concreto Usinado bombeável 50MPa Convencional</v>
          </cell>
          <cell r="C137" t="str">
            <v>M3</v>
          </cell>
          <cell r="D137">
            <v>720.1</v>
          </cell>
        </row>
        <row r="138">
          <cell r="B138" t="str">
            <v>Concreto Usinado bombeável 60MPa Convencional</v>
          </cell>
          <cell r="C138" t="str">
            <v>M3</v>
          </cell>
          <cell r="D138">
            <v>741</v>
          </cell>
        </row>
        <row r="139">
          <cell r="B139" t="str">
            <v>Concreto Usinado bombeável 65MPa Convencional</v>
          </cell>
          <cell r="C139" t="str">
            <v>M3</v>
          </cell>
          <cell r="D139">
            <v>760</v>
          </cell>
        </row>
        <row r="140">
          <cell r="B140" t="str">
            <v>Concreto Usinado bombeável 70MPa Convencional</v>
          </cell>
          <cell r="C140" t="str">
            <v>M3</v>
          </cell>
          <cell r="D140">
            <v>793.25</v>
          </cell>
        </row>
        <row r="141">
          <cell r="B141" t="str">
            <v>Concreto Usinado bombeável 75MPa Convencional</v>
          </cell>
          <cell r="C141" t="str">
            <v>M3</v>
          </cell>
          <cell r="D141">
            <v>796.25</v>
          </cell>
        </row>
        <row r="142">
          <cell r="B142" t="str">
            <v>Concreto Usinado bombeável 80MPa Convencional</v>
          </cell>
          <cell r="C142" t="str">
            <v>M3</v>
          </cell>
          <cell r="D142">
            <v>828.08</v>
          </cell>
        </row>
        <row r="143">
          <cell r="B143" t="str">
            <v>Concreto Usinado bombeável 90MPa Convencional</v>
          </cell>
          <cell r="C143" t="str">
            <v>M3</v>
          </cell>
          <cell r="D143">
            <v>879.52</v>
          </cell>
        </row>
        <row r="144">
          <cell r="B144" t="str">
            <v>Concreto Usinado bombeável 100MPa Convencional</v>
          </cell>
          <cell r="C144" t="str">
            <v>M3</v>
          </cell>
          <cell r="D144">
            <v>938.4</v>
          </cell>
        </row>
        <row r="145">
          <cell r="B145" t="str">
            <v>Grout 15 Mpa</v>
          </cell>
          <cell r="C145" t="str">
            <v>M3</v>
          </cell>
          <cell r="D145">
            <v>468.86</v>
          </cell>
        </row>
        <row r="146">
          <cell r="B146" t="str">
            <v>Grout 20 Mpa</v>
          </cell>
          <cell r="C146" t="str">
            <v>M3</v>
          </cell>
          <cell r="D146">
            <v>493.5</v>
          </cell>
        </row>
        <row r="147">
          <cell r="B147" t="str">
            <v>Acompanhamento e fiscalização na montagem da Protensão, locação de macaco hidráulico e maçarico</v>
          </cell>
          <cell r="C147" t="str">
            <v>KG</v>
          </cell>
          <cell r="D147">
            <v>4.4400000000000004</v>
          </cell>
        </row>
        <row r="148">
          <cell r="B148" t="str">
            <v>Corte Final dos Cabos</v>
          </cell>
          <cell r="C148" t="str">
            <v>KG</v>
          </cell>
          <cell r="D148">
            <v>0.4</v>
          </cell>
        </row>
        <row r="149">
          <cell r="B149" t="str">
            <v>Fechamento dos nichos de Protensão</v>
          </cell>
          <cell r="C149" t="str">
            <v>KG</v>
          </cell>
          <cell r="D149">
            <v>0.4</v>
          </cell>
        </row>
        <row r="150">
          <cell r="B150" t="str">
            <v>Compatibilização e elaboração do plano de execução dos materiais EVEHX</v>
          </cell>
          <cell r="C150" t="str">
            <v>KG</v>
          </cell>
          <cell r="D150">
            <v>0.2</v>
          </cell>
        </row>
        <row r="151">
          <cell r="B151" t="str">
            <v>Controle tecnológico da Protensão</v>
          </cell>
          <cell r="C151" t="str">
            <v>UN</v>
          </cell>
          <cell r="D151">
            <v>0.5</v>
          </cell>
        </row>
        <row r="152">
          <cell r="B152" t="str">
            <v>Ancoragem base 1/2" - EHX 0063</v>
          </cell>
          <cell r="C152" t="str">
            <v>UN</v>
          </cell>
          <cell r="D152">
            <v>12.5</v>
          </cell>
        </row>
        <row r="153">
          <cell r="B153" t="str">
            <v>Cunha 1/2" BI Partida - EHX 0036</v>
          </cell>
          <cell r="C153" t="str">
            <v>PAR</v>
          </cell>
          <cell r="D153">
            <v>9.1300000000000008</v>
          </cell>
        </row>
        <row r="154">
          <cell r="B154" t="str">
            <v>Pocket Former 1/2 - EHX 0009</v>
          </cell>
          <cell r="C154" t="str">
            <v>UN</v>
          </cell>
          <cell r="D154">
            <v>2.85</v>
          </cell>
        </row>
        <row r="155">
          <cell r="B155" t="str">
            <v>Adaptador Ancor. (AP2)B Chupeta-EHX 0027</v>
          </cell>
          <cell r="C155" t="str">
            <v>UN</v>
          </cell>
          <cell r="D155">
            <v>1.42</v>
          </cell>
        </row>
        <row r="156">
          <cell r="B156" t="str">
            <v>Pt-Plug Ø12,7 - 3,8cm</v>
          </cell>
          <cell r="C156" t="str">
            <v>UN</v>
          </cell>
          <cell r="D156">
            <v>5.68</v>
          </cell>
        </row>
        <row r="157">
          <cell r="B157" t="str">
            <v>Tirante Plast - EHX 0621</v>
          </cell>
          <cell r="C157" t="str">
            <v>PAR</v>
          </cell>
          <cell r="D157">
            <v>2.2999999999999998</v>
          </cell>
        </row>
        <row r="158">
          <cell r="B158" t="str">
            <v>Apoio Metálico EHX 0072</v>
          </cell>
          <cell r="C158" t="str">
            <v>PAR</v>
          </cell>
          <cell r="D158">
            <v>3.4</v>
          </cell>
        </row>
        <row r="159">
          <cell r="B159" t="str">
            <v>Industrialização dos cabos (Corte, enrolação, pré-blocagem e identificação por cores)</v>
          </cell>
          <cell r="C159" t="str">
            <v>PAR</v>
          </cell>
          <cell r="D159">
            <v>1.1000000000000001</v>
          </cell>
        </row>
        <row r="160">
          <cell r="B160" t="str">
            <v>FITA DE PAPEL MICROPERFURADO, 50 X 150 MM, PARA TRATAMENTO DE JUNTAS DE CHAPA DE GESSO PARA DRYWALL</v>
          </cell>
          <cell r="C160" t="str">
            <v>M</v>
          </cell>
          <cell r="D160">
            <v>0.31</v>
          </cell>
        </row>
        <row r="161">
          <cell r="B161" t="str">
            <v>FITA DE PAPEL REFORCADA COM LAMINA DE METAL PARA REFORCO DE CANTOS DE CHAPA DE GESSO PARA DRYWALL</v>
          </cell>
          <cell r="C161" t="str">
            <v>M</v>
          </cell>
          <cell r="D161">
            <v>2.74</v>
          </cell>
        </row>
        <row r="162">
          <cell r="B162" t="str">
            <v>MASSA DE REJUNTE EM PO PARA DRYWALL, A BASE DE GESSO, SECAGEM RAPIDA, PARA TRATAMENTO DE JUNTAS DE CHAPA DE GESSO (NECESSITA ADICAO DE AGUA)</v>
          </cell>
          <cell r="C162" t="str">
            <v>KG</v>
          </cell>
          <cell r="D162">
            <v>3.43</v>
          </cell>
        </row>
        <row r="163">
          <cell r="B163" t="str">
            <v>PLACA / CHAPA DE GESSO ACARTONADO, RESISTENTE A UMIDADE (RU), COR VERDE, E = 12,5 MM, 1200 X 2400 MM (L X C)</v>
          </cell>
          <cell r="C163" t="str">
            <v>M2</v>
          </cell>
          <cell r="D163">
            <v>33.97</v>
          </cell>
        </row>
        <row r="164">
          <cell r="B164" t="str">
            <v>PLACA / CHAPA DE GESSO ACARTONADO, STANDARD (ST), COR BRANCA, E = 12,5 MM, 1200 X 2400 MM (L X C)</v>
          </cell>
          <cell r="C164" t="str">
            <v>M2</v>
          </cell>
          <cell r="D164">
            <v>16.89</v>
          </cell>
        </row>
        <row r="165">
          <cell r="B165" t="str">
            <v>PLACA / CHAPA DE GESSO ACARTONADO, PERFORMA STANDARD (Ps) E = 12,5 MM, 1200 X 1800 MM (L X C)</v>
          </cell>
          <cell r="C165" t="str">
            <v>M2</v>
          </cell>
          <cell r="D165">
            <v>48.379629629629626</v>
          </cell>
        </row>
        <row r="166">
          <cell r="B166" t="str">
            <v>PLACA / CHAPA DE GESSO ACARTONADO, PERFORMA RESISTENTE A UMIDADE (Pu) E = 12,5 MM, 1200 X 1800 MM (L X C)</v>
          </cell>
          <cell r="C166" t="str">
            <v>M2</v>
          </cell>
          <cell r="D166">
            <v>64.796296296296291</v>
          </cell>
        </row>
        <row r="167">
          <cell r="B167" t="str">
            <v>PLACA / CHAPA DE GESSO ACARTONADO, RESISTENTE A FOGO (F+) E = 12,5 MM, 1200 X 1800 MM (L X C)</v>
          </cell>
          <cell r="C167" t="str">
            <v>M2</v>
          </cell>
          <cell r="D167">
            <v>28.680555555555554</v>
          </cell>
        </row>
        <row r="168">
          <cell r="B168" t="str">
            <v>Forro De Fibra Mineral Armstrong Ceilings Scala Square 625 X 625 X 16mm</v>
          </cell>
          <cell r="C168" t="str">
            <v>M2</v>
          </cell>
          <cell r="D168">
            <v>95</v>
          </cell>
        </row>
        <row r="169">
          <cell r="B169" t="str">
            <v>MASA BASECOAT PARA FACHADAS</v>
          </cell>
          <cell r="C169" t="str">
            <v>KG</v>
          </cell>
          <cell r="D169">
            <v>6.2969999999999997</v>
          </cell>
        </row>
        <row r="170">
          <cell r="B170" t="str">
            <v>PLACA CIMENTÍCIA(CT) PARA STEEL FRAME BRASILIT-ETERNIT 8MM X 1,20M X 2,40M</v>
          </cell>
          <cell r="C170" t="str">
            <v>M2</v>
          </cell>
          <cell r="D170">
            <v>30.089583333333337</v>
          </cell>
        </row>
        <row r="171">
          <cell r="B171" t="str">
            <v>CHAPA DE GESSO PARA DRYWALL PLACO - KNAUF (RF) VERMELHA 12,5MM X 1,20M X 1,80M</v>
          </cell>
          <cell r="C171" t="str">
            <v>M2</v>
          </cell>
          <cell r="D171">
            <v>38.19444444444445</v>
          </cell>
        </row>
        <row r="172">
          <cell r="B172" t="str">
            <v>PLACA / CHAPA DE GESSO ACARTONADO, AQUAPANEL (A), E = 12,5 MM, 1200 X 2400 MM (L X C)</v>
          </cell>
          <cell r="C172" t="str">
            <v>M2</v>
          </cell>
          <cell r="D172">
            <v>72.913194444444457</v>
          </cell>
        </row>
        <row r="173">
          <cell r="B173" t="str">
            <v>PERFIL GUIA, FORMATO U, EM ACO ZINCADO, PARA ESTRUTURA PAREDE STEEL FRAME, E = 0,5 MM, 140 X 3000 MM (L X C)</v>
          </cell>
          <cell r="C173" t="str">
            <v>M</v>
          </cell>
          <cell r="D173">
            <v>24.4833</v>
          </cell>
        </row>
        <row r="174">
          <cell r="B174" t="str">
            <v>PERFIL MONTANTE, FORMATO U, EM ACO ZINCADO, PARA ESTRUTURA PAREDE STEEL FRAME, E = 0,5 MM , 140 X 3000 MM (L X C)</v>
          </cell>
          <cell r="C174" t="str">
            <v>M</v>
          </cell>
          <cell r="D174">
            <v>26.216699999999999</v>
          </cell>
        </row>
        <row r="175">
          <cell r="B175" t="str">
            <v>MASSA DE REJUNTAMENTO PARA PLACA CIMENTÍCIA, PARA TRATAMENTO DE JUNTA DE CHAPAS CIMENTÍCIAS (NECESSITA ADIÇÃO DE ÁGUA)</v>
          </cell>
          <cell r="C175" t="str">
            <v>KG</v>
          </cell>
          <cell r="D175">
            <v>10.24</v>
          </cell>
        </row>
        <row r="176">
          <cell r="B176" t="str">
            <v>TELA DE FIBRA DE VIDRO, 120 X 1000 MM, PARA TRATAMENTO DE JUNTAS DE CHAPAS CIMENTÍCIAS PARA STEEL FRAME</v>
          </cell>
          <cell r="C176" t="str">
            <v>M</v>
          </cell>
          <cell r="D176">
            <v>9.6</v>
          </cell>
        </row>
        <row r="177">
          <cell r="B177" t="str">
            <v>TELA DE FIBRA DE VIDRO, 1000 MM, PARA TRATAMENTO DE JUNTAS DE CHAPAS CIMENTÍCIAS PARA STEEL FRAME</v>
          </cell>
          <cell r="C177" t="str">
            <v>M2</v>
          </cell>
          <cell r="D177">
            <v>15.247199999999999</v>
          </cell>
        </row>
        <row r="178">
          <cell r="B178" t="str">
            <v>MEMBRANA HIDRÓFUGA PARA PROTEÇÃO DE SISTEMA STEEL FRAME CONTRA INTEMPÉRIES</v>
          </cell>
          <cell r="C178" t="str">
            <v>M2</v>
          </cell>
          <cell r="D178">
            <v>11</v>
          </cell>
        </row>
        <row r="179">
          <cell r="B179" t="str">
            <v>PARAFUSO STEEL FRAME, EM AÇO ZINCADO, CABEÇA PONTA BROCA, LAGURA 4,2 MM, COMPRIMENTO 19 MM</v>
          </cell>
          <cell r="C179" t="str">
            <v>UN</v>
          </cell>
          <cell r="D179">
            <v>0.25</v>
          </cell>
        </row>
        <row r="180">
          <cell r="B180" t="str">
            <v>PARAFUSO STEEL FRAME, EM AÇO ZINCADO, AUTO BROCANTE COM ABAS, LAGURA 4,2 MM, COMPRIMENTO 32 MM</v>
          </cell>
          <cell r="C180" t="str">
            <v>UN</v>
          </cell>
          <cell r="D180">
            <v>1.7</v>
          </cell>
        </row>
        <row r="181">
          <cell r="B181" t="str">
            <v>PERFIL GUIA, FORMATO U, EM ACO ZINCADO, PARA ESTRUTURA PAREDE STEEL FRAME, E = 0,5 MM, 90 X 3000 MM (L X C)</v>
          </cell>
          <cell r="C181" t="str">
            <v>M</v>
          </cell>
          <cell r="D181">
            <v>16.8</v>
          </cell>
        </row>
        <row r="182">
          <cell r="B182" t="str">
            <v>PERFIL MONTANTE, FORMATO U, EM ACO ZINCADO, PARA ESTRUTURA PAREDE STEEL FRAME, E = 0,5 MM , 90 X 3000 MM (L X C)</v>
          </cell>
          <cell r="C182" t="str">
            <v>M</v>
          </cell>
          <cell r="D182">
            <v>18.09</v>
          </cell>
        </row>
        <row r="183">
          <cell r="B183" t="str">
            <v>Placa de Gesso Glasroc X 12,5 X 1200 X 2400mm</v>
          </cell>
          <cell r="C183" t="str">
            <v>M2</v>
          </cell>
          <cell r="D183">
            <v>84.027777777777786</v>
          </cell>
        </row>
        <row r="184">
          <cell r="B184" t="str">
            <v>Manta Fibra Cerâmica Alta Temperatura Tapcamp 2000 X 610 X 25 Mm</v>
          </cell>
          <cell r="C184" t="str">
            <v>M2</v>
          </cell>
          <cell r="D184">
            <v>117.21311475409837</v>
          </cell>
        </row>
        <row r="185">
          <cell r="B185" t="str">
            <v xml:space="preserve">Lã de pet Ensacada </v>
          </cell>
          <cell r="C185" t="str">
            <v>M2</v>
          </cell>
          <cell r="D185">
            <v>13.019333333333332</v>
          </cell>
        </row>
        <row r="186">
          <cell r="B186" t="str">
            <v>Lã de pet 50 X 1200 X 12500 MM</v>
          </cell>
          <cell r="C186" t="str">
            <v>M2</v>
          </cell>
          <cell r="D186">
            <v>13.019333333333332</v>
          </cell>
        </row>
        <row r="187">
          <cell r="B187" t="str">
            <v>LÂ DE VIDRO PARA ISOLAMENTO 50mm</v>
          </cell>
          <cell r="C187" t="str">
            <v>M2</v>
          </cell>
          <cell r="D187">
            <v>12.828666666666667</v>
          </cell>
        </row>
        <row r="188">
          <cell r="B188" t="str">
            <v>LÃ DE ROCHA PARA ISOLAMENTO 100mm</v>
          </cell>
          <cell r="C188" t="str">
            <v>M2</v>
          </cell>
          <cell r="D188">
            <v>18.489999999999998</v>
          </cell>
        </row>
        <row r="189">
          <cell r="B189" t="str">
            <v>PARAFUSO DRY WALL, EM ACO FOSFATIZADO, CABECA TROMBETA E PONTA AGULHA (TA), COMPRIMENTO 25 MM</v>
          </cell>
          <cell r="C189" t="str">
            <v>UN</v>
          </cell>
          <cell r="D189">
            <v>0.09</v>
          </cell>
        </row>
        <row r="190">
          <cell r="B190" t="str">
            <v>PARAFUSO DRY WALL, EM ACO ZINCADO, CABECA LENTILHA E PONTA BROCA (LB), LARGURA 4,2 MM, COMPRIMENTO 13 MM</v>
          </cell>
          <cell r="C190" t="str">
            <v>UN</v>
          </cell>
          <cell r="D190">
            <v>0.2</v>
          </cell>
        </row>
        <row r="191">
          <cell r="B191" t="str">
            <v>PERFIL GUIA, FORMATO U, EM ACO ZINCADO, PARA ESTRUTURA PAREDE DRYWALL, E = 0,5 MM, 48 X 3000 MM (L X C)</v>
          </cell>
          <cell r="C191" t="str">
            <v>M</v>
          </cell>
          <cell r="D191">
            <v>7.03</v>
          </cell>
        </row>
        <row r="192">
          <cell r="B192" t="str">
            <v>PERFIL GUIA, FORMATO U, EM ACO ZINCADO, PARA ESTRUTURA PAREDE DRYWALL, E = 0,5 MM, 70 X 3000 MM (L X C)</v>
          </cell>
          <cell r="C192" t="str">
            <v>M</v>
          </cell>
          <cell r="D192">
            <v>7.03</v>
          </cell>
        </row>
        <row r="193">
          <cell r="B193" t="str">
            <v>PERFIL GUIA, FORMATO U, EM ACO ZINCADO, PARA ESTRUTURA PAREDE DRYWALL, E = 0,5 MM, 90 X 3000 MM (L X C)</v>
          </cell>
          <cell r="C193" t="str">
            <v>M</v>
          </cell>
          <cell r="D193">
            <v>16.8</v>
          </cell>
        </row>
        <row r="194">
          <cell r="B194" t="str">
            <v>PERFIL MONTANTE, FORMATO C, EM ACO ZINCADO, PARA ESTRUTURA PAREDE DRYWALL, E = 0,5 MM, 48 X 3000 MM (L X C)</v>
          </cell>
          <cell r="C194" t="str">
            <v>M</v>
          </cell>
          <cell r="D194">
            <v>7.98</v>
          </cell>
        </row>
        <row r="195">
          <cell r="B195" t="str">
            <v>PERFIL MONTANTE, FORMATO C, EM ACO ZINCADO, PARA ESTRUTURA PAREDE DRYWALL, E = 0,5 MM, 70 X 3000 MM (L X C)</v>
          </cell>
          <cell r="C195" t="str">
            <v>M</v>
          </cell>
          <cell r="D195">
            <v>7.98</v>
          </cell>
        </row>
        <row r="196">
          <cell r="B196" t="str">
            <v>PERFIL MONTANTE, FORMATO C, EM ACO ZINCADO, PARA ESTRUTURA PAREDE DRYWALL, E = 0,5 MM, 90 X 3000 MM (L X C)</v>
          </cell>
          <cell r="C196" t="str">
            <v>M</v>
          </cell>
          <cell r="D196">
            <v>18.09</v>
          </cell>
        </row>
        <row r="197">
          <cell r="B197" t="str">
            <v>PINO DE ACO COM ARRUELA CONICA, DIAMETRO ARRUELA = *23* MM E COMP HASTE = *27* MM (ACAO INDIRETA)</v>
          </cell>
          <cell r="C197" t="str">
            <v>UN</v>
          </cell>
          <cell r="D197">
            <v>0.504</v>
          </cell>
        </row>
        <row r="198">
          <cell r="B198" t="str">
            <v>PINO DE ACO COM FURO, HASTE = 27 MM (ACAO DIRETA)</v>
          </cell>
          <cell r="C198" t="str">
            <v>UN</v>
          </cell>
          <cell r="D198">
            <v>0.43359999999999999</v>
          </cell>
        </row>
        <row r="199">
          <cell r="B199" t="str">
            <v>Sistema de vedação em drywall (M.O.)</v>
          </cell>
          <cell r="C199" t="str">
            <v>M2</v>
          </cell>
          <cell r="D199">
            <v>125</v>
          </cell>
        </row>
        <row r="200">
          <cell r="B200" t="str">
            <v>Divisória de gesso acartonado nichos (M.O.)</v>
          </cell>
          <cell r="C200" t="str">
            <v>UN</v>
          </cell>
          <cell r="D200">
            <v>50</v>
          </cell>
        </row>
        <row r="201">
          <cell r="B201" t="str">
            <v>Steel Frame (M.O.)</v>
          </cell>
          <cell r="C201" t="str">
            <v>M2</v>
          </cell>
          <cell r="D201">
            <v>190</v>
          </cell>
        </row>
        <row r="202">
          <cell r="B202" t="str">
            <v>Ambientes com altura superior à 3,5m necessitando de sistemas de suporte para execução de drywall</v>
          </cell>
          <cell r="C202" t="str">
            <v>M2</v>
          </cell>
          <cell r="D202">
            <v>20</v>
          </cell>
        </row>
        <row r="203">
          <cell r="B203" t="str">
            <v>Tela de Fibra de Vidro</v>
          </cell>
          <cell r="C203" t="str">
            <v>m2</v>
          </cell>
          <cell r="D203">
            <v>8.1</v>
          </cell>
        </row>
        <row r="204">
          <cell r="B204" t="str">
            <v>Perfil metálico “T” principal 38x24 mm</v>
          </cell>
          <cell r="C204" t="str">
            <v>M</v>
          </cell>
          <cell r="D204">
            <v>7.5</v>
          </cell>
        </row>
        <row r="205">
          <cell r="B205" t="str">
            <v>Cantoneira perimetral galvanizada</v>
          </cell>
          <cell r="C205" t="str">
            <v>M</v>
          </cell>
          <cell r="D205">
            <v>6.5</v>
          </cell>
        </row>
        <row r="206">
          <cell r="B206" t="str">
            <v>Arame galvanizado nº 12 e presilhas</v>
          </cell>
          <cell r="C206" t="str">
            <v>M</v>
          </cell>
          <cell r="D206">
            <v>15</v>
          </cell>
        </row>
        <row r="207">
          <cell r="B207" t="str">
            <v>Buchas e parafusos</v>
          </cell>
          <cell r="C207" t="str">
            <v>UN</v>
          </cell>
          <cell r="D207">
            <v>0.5</v>
          </cell>
        </row>
        <row r="208">
          <cell r="B208" t="str">
            <v xml:space="preserve">Estrutura e fechamento em drywall Parede Drywall </v>
          </cell>
          <cell r="C208" t="str">
            <v>UN</v>
          </cell>
          <cell r="D208">
            <v>377.8363900815155</v>
          </cell>
        </row>
        <row r="209">
          <cell r="B209" t="str">
            <v>Reforços Para Paredes em Drywall</v>
          </cell>
          <cell r="C209" t="str">
            <v>UN</v>
          </cell>
          <cell r="D209">
            <v>58.988734923708691</v>
          </cell>
        </row>
        <row r="210">
          <cell r="B210" t="str">
            <v>Presilha de fixação Painel Wall EspaçoFix</v>
          </cell>
          <cell r="C210" t="str">
            <v>UN</v>
          </cell>
          <cell r="D210">
            <v>5.17</v>
          </cell>
        </row>
        <row r="211">
          <cell r="B211" t="str">
            <v>Locação estrutura para proteção SLQA</v>
          </cell>
          <cell r="C211" t="str">
            <v>m</v>
          </cell>
          <cell r="D211">
            <v>88</v>
          </cell>
        </row>
        <row r="212">
          <cell r="B212" t="str">
            <v>Locação estrutura metálica para proteção de pesdestres</v>
          </cell>
          <cell r="C212" t="str">
            <v>m2</v>
          </cell>
          <cell r="D212">
            <v>880</v>
          </cell>
        </row>
        <row r="213">
          <cell r="B213" t="str">
            <v>PERFIL METALICO BANDEJA PRIMARIA 2,50M</v>
          </cell>
          <cell r="C213" t="str">
            <v>UN</v>
          </cell>
          <cell r="D213">
            <v>45</v>
          </cell>
        </row>
        <row r="214">
          <cell r="B214" t="str">
            <v xml:space="preserve">PLACA SINALIZACAO PVC C/ADESIVO </v>
          </cell>
          <cell r="C214" t="str">
            <v>UN</v>
          </cell>
          <cell r="D214">
            <v>536.53</v>
          </cell>
        </row>
        <row r="215">
          <cell r="B215" t="str">
            <v>SUPORTE ACO CARBONO P/PLACA - REQ. CANTONEIRA 1.1/4"X1/8" 160X250CM</v>
          </cell>
          <cell r="C215" t="str">
            <v>UN</v>
          </cell>
          <cell r="D215">
            <v>520.85</v>
          </cell>
        </row>
        <row r="216">
          <cell r="B216" t="str">
            <v>TUBO GALV. 3" X 2,65MM - 8M C/ RUPTURA: 40 MPA (LINHA DE VIDA)</v>
          </cell>
          <cell r="C216" t="str">
            <v>UN</v>
          </cell>
          <cell r="D216">
            <v>50</v>
          </cell>
        </row>
        <row r="217">
          <cell r="B217" t="str">
            <v>CABO DE AÇO GALVANIZADO 3/8</v>
          </cell>
          <cell r="C217" t="str">
            <v>M</v>
          </cell>
          <cell r="D217">
            <v>5.2</v>
          </cell>
        </row>
        <row r="218">
          <cell r="B218" t="str">
            <v>TELA FACHADEIRA POLIETILENO MALHA 1,5X1,5MM</v>
          </cell>
          <cell r="C218" t="str">
            <v>M2</v>
          </cell>
          <cell r="D218">
            <v>3.5</v>
          </cell>
        </row>
        <row r="219">
          <cell r="B219" t="str">
            <v>TELA PLASTICA TECIDA LISTRADA BRANCA E LARANJA, EM POLIETILENO MONOFILADO</v>
          </cell>
          <cell r="C219" t="str">
            <v>M</v>
          </cell>
          <cell r="D219">
            <v>2.73</v>
          </cell>
        </row>
        <row r="220">
          <cell r="B220" t="str">
            <v>Locação 30 dias de cada equipamento de rebaixamento com 22,5 HP, vazão máxima = 100 m³/h, em operação ou a disposição.</v>
          </cell>
          <cell r="C220" t="str">
            <v>MÊS</v>
          </cell>
          <cell r="D220">
            <v>6500</v>
          </cell>
        </row>
        <row r="221">
          <cell r="B221" t="str">
            <v>Locação 30 dias de cada mangote de descarga CDF-A com lance de 50,00 metros cada.</v>
          </cell>
          <cell r="C221" t="str">
            <v>MÊS</v>
          </cell>
          <cell r="D221">
            <v>900</v>
          </cell>
        </row>
        <row r="222">
          <cell r="B222" t="str">
            <v>Instalação e entrega técnica do(s) equipamento(s) de rebaixamento temporário de aquíferos AQ-EL 44-100. (Previsão de 04 dias)</v>
          </cell>
          <cell r="C222" t="str">
            <v>VB</v>
          </cell>
          <cell r="D222">
            <v>1200</v>
          </cell>
        </row>
        <row r="223">
          <cell r="B223" t="str">
            <v xml:space="preserve">	Mobilização e desmobilização de equipamentos - Para execução de estaca hélice monitorada</v>
          </cell>
          <cell r="C223" t="str">
            <v>VB</v>
          </cell>
          <cell r="D223">
            <v>32000</v>
          </cell>
        </row>
        <row r="224">
          <cell r="B224" t="str">
            <v xml:space="preserve">	Mobilização e desmobilização de equipamentos - Para execução de estaca Escavada</v>
          </cell>
          <cell r="C224" t="str">
            <v>VB</v>
          </cell>
          <cell r="D224">
            <v>26000</v>
          </cell>
        </row>
        <row r="225">
          <cell r="B225" t="str">
            <v xml:space="preserve">	Mobilização e desmobilização de equipamentos - Para execução de estaca hélice</v>
          </cell>
          <cell r="C225" t="str">
            <v>VB</v>
          </cell>
          <cell r="D225">
            <v>18500</v>
          </cell>
        </row>
        <row r="226">
          <cell r="B226" t="str">
            <v>Tarucel de 6 mm</v>
          </cell>
          <cell r="C226" t="str">
            <v>M</v>
          </cell>
          <cell r="D226">
            <v>0.8</v>
          </cell>
        </row>
        <row r="227">
          <cell r="B227" t="str">
            <v>Caminhao pipa ford f.14.000  1997</v>
          </cell>
          <cell r="C227" t="str">
            <v>MÊS</v>
          </cell>
          <cell r="D227">
            <v>1500</v>
          </cell>
        </row>
        <row r="228">
          <cell r="B228" t="str">
            <v>Escavadeira 8T link belt 80SA BANYNN</v>
          </cell>
          <cell r="C228" t="str">
            <v>MÊS</v>
          </cell>
          <cell r="D228">
            <v>3200</v>
          </cell>
        </row>
        <row r="229">
          <cell r="B229" t="str">
            <v>Escavadeira DOOSAN DX225 (terceirizado)</v>
          </cell>
          <cell r="C229" t="str">
            <v>MÊS</v>
          </cell>
          <cell r="D229">
            <v>33660</v>
          </cell>
        </row>
        <row r="230">
          <cell r="B230" t="str">
            <v>Escaveideira 320 CAT 2019</v>
          </cell>
          <cell r="C230" t="str">
            <v>MÊS</v>
          </cell>
          <cell r="D230">
            <v>15000</v>
          </cell>
        </row>
        <row r="231">
          <cell r="B231" t="str">
            <v>Sistema de Ancoragem Provisória e definitiva</v>
          </cell>
          <cell r="C231" t="str">
            <v>vb</v>
          </cell>
          <cell r="D231">
            <v>15000</v>
          </cell>
        </row>
        <row r="232">
          <cell r="B232" t="str">
            <v>Travessão metálico 2"</v>
          </cell>
          <cell r="C232" t="str">
            <v>m</v>
          </cell>
          <cell r="D232">
            <v>20</v>
          </cell>
        </row>
        <row r="233">
          <cell r="B233" t="str">
            <v>ESCORA METALICA TELESCOPICA, COM ALTURA REGULAVEL DE *1,80* A *3,20* M, INCLUSO TRIPE E FORCADO</v>
          </cell>
          <cell r="C233" t="str">
            <v>UN</v>
          </cell>
          <cell r="D233">
            <v>32.9</v>
          </cell>
        </row>
        <row r="234">
          <cell r="B234" t="str">
            <v>LOCACAO DE ESCORA METALICA TELESCOPICA, COM ALTURA REGULAVEL DE *3,2* A *6,8* M</v>
          </cell>
          <cell r="C234" t="str">
            <v>UN</v>
          </cell>
          <cell r="D234">
            <v>59.22</v>
          </cell>
        </row>
        <row r="235">
          <cell r="B235" t="str">
            <v>LOCACAO DE ESCORA METALICA TELESCOPICA, COM ALTURA REGULAVEL DE *1,80* A *3,20* M</v>
          </cell>
          <cell r="C235" t="str">
            <v>UN</v>
          </cell>
          <cell r="D235">
            <v>87.33</v>
          </cell>
        </row>
        <row r="236">
          <cell r="B236" t="str">
            <v xml:space="preserve">LOCACAO DE FORMA PLASTICA PARA LAJE NERVURADA, *60* X *60* X *16* CM       </v>
          </cell>
          <cell r="C236" t="str">
            <v>UN/MÊS</v>
          </cell>
          <cell r="D236">
            <v>5.3064</v>
          </cell>
        </row>
        <row r="237">
          <cell r="B237" t="str">
            <v>Manutenção de cubetas proprias</v>
          </cell>
          <cell r="C237" t="str">
            <v>VB</v>
          </cell>
          <cell r="D237">
            <v>39432.81</v>
          </cell>
        </row>
        <row r="238">
          <cell r="B238" t="str">
            <v>Maquina meio fio Imb 2020</v>
          </cell>
          <cell r="C238" t="str">
            <v>MÊS</v>
          </cell>
          <cell r="D238">
            <v>1000</v>
          </cell>
        </row>
        <row r="239">
          <cell r="B239" t="str">
            <v>Patrola New holland 170g 2011</v>
          </cell>
          <cell r="C239" t="str">
            <v>MÊS</v>
          </cell>
          <cell r="D239">
            <v>4000</v>
          </cell>
        </row>
        <row r="240">
          <cell r="B240" t="str">
            <v>Retro case 580 traçada 2009</v>
          </cell>
          <cell r="C240" t="str">
            <v>MÊS</v>
          </cell>
          <cell r="D240">
            <v>1500</v>
          </cell>
        </row>
        <row r="241">
          <cell r="B241" t="str">
            <v>Retro New holland lb 90 simples 2010</v>
          </cell>
          <cell r="C241" t="str">
            <v>MÊS</v>
          </cell>
          <cell r="D241">
            <v>1500</v>
          </cell>
        </row>
        <row r="242">
          <cell r="B242" t="str">
            <v>Rolo Sany 2009</v>
          </cell>
          <cell r="C242" t="str">
            <v>MÊS</v>
          </cell>
          <cell r="D242">
            <v>2000</v>
          </cell>
        </row>
        <row r="243">
          <cell r="B243" t="str">
            <v>Trator esteira 700 j john dree 2016</v>
          </cell>
          <cell r="C243" t="str">
            <v>MÊS</v>
          </cell>
          <cell r="D243">
            <v>7000</v>
          </cell>
        </row>
        <row r="244">
          <cell r="B244" t="str">
            <v>Trator esteira CAT D51 (terceirizado)</v>
          </cell>
          <cell r="C244" t="str">
            <v>MÊS</v>
          </cell>
          <cell r="D244">
            <v>32270</v>
          </cell>
        </row>
        <row r="245">
          <cell r="B245" t="str">
            <v>Esquadrias de Alumínio - fornecimento e instalação</v>
          </cell>
          <cell r="C245" t="str">
            <v>M2</v>
          </cell>
          <cell r="D245">
            <v>2140</v>
          </cell>
        </row>
        <row r="246">
          <cell r="B246" t="str">
            <v>Guarda Corpo de aluminio (gradil) - fornecimento e instalação</v>
          </cell>
          <cell r="C246" t="str">
            <v>M2</v>
          </cell>
          <cell r="D246">
            <v>768.5</v>
          </cell>
        </row>
        <row r="247">
          <cell r="B247" t="str">
            <v>Guarda Corpo de Vidro e Aluminio - fornecimento e instalação</v>
          </cell>
          <cell r="C247" t="str">
            <v>M2</v>
          </cell>
          <cell r="D247">
            <v>935.99</v>
          </cell>
        </row>
        <row r="248">
          <cell r="B248" t="str">
            <v>Moldura em alumínio para churrasqueiras - fornecimento e instalação</v>
          </cell>
          <cell r="C248" t="str">
            <v>M</v>
          </cell>
          <cell r="D248">
            <v>530</v>
          </cell>
        </row>
        <row r="249">
          <cell r="B249" t="str">
            <v>Alçapão de aluminio</v>
          </cell>
          <cell r="C249" t="str">
            <v>un</v>
          </cell>
          <cell r="D249">
            <v>1014</v>
          </cell>
        </row>
        <row r="250">
          <cell r="B250" t="str">
            <v>Porta Pivotante alumínio 140x210cm</v>
          </cell>
          <cell r="C250" t="str">
            <v>un</v>
          </cell>
          <cell r="D250">
            <v>5040</v>
          </cell>
        </row>
        <row r="251">
          <cell r="B251" t="str">
            <v>PAINEL EM BRISE MARROM</v>
          </cell>
          <cell r="C251" t="str">
            <v>M2</v>
          </cell>
          <cell r="D251">
            <v>1415.0275930380642</v>
          </cell>
        </row>
        <row r="252">
          <cell r="B252" t="str">
            <v>Corrimão de inox - fornecimento e instalação</v>
          </cell>
          <cell r="C252" t="str">
            <v>M</v>
          </cell>
          <cell r="D252">
            <v>650</v>
          </cell>
        </row>
        <row r="253">
          <cell r="B253" t="str">
            <v>Corrimão de Madeira - fornecimento e instalação</v>
          </cell>
          <cell r="C253" t="str">
            <v>M</v>
          </cell>
          <cell r="D253">
            <v>80</v>
          </cell>
        </row>
        <row r="254">
          <cell r="B254" t="str">
            <v>Brise de Madeira - Decoração Fachada</v>
          </cell>
          <cell r="C254" t="str">
            <v>un</v>
          </cell>
          <cell r="D254">
            <v>1031.7460317460318</v>
          </cell>
        </row>
        <row r="255">
          <cell r="B255" t="str">
            <v>Porta de madeira de abrir - 140x210cm (kit completo)</v>
          </cell>
          <cell r="C255" t="str">
            <v>un</v>
          </cell>
          <cell r="D255">
            <v>4042.6711111111113</v>
          </cell>
        </row>
        <row r="256">
          <cell r="B256" t="str">
            <v>Porta de madeira de abrir - 105x215cm (kit completo)</v>
          </cell>
          <cell r="C256" t="str">
            <v>un</v>
          </cell>
          <cell r="D256">
            <v>3032.0033333333336</v>
          </cell>
        </row>
        <row r="257">
          <cell r="B257" t="str">
            <v>Porta de madeira de abrir - 110x220cm (kit completo)</v>
          </cell>
          <cell r="C257" t="str">
            <v>un</v>
          </cell>
          <cell r="D257">
            <v>3176.3844444444453</v>
          </cell>
        </row>
        <row r="258">
          <cell r="B258" t="str">
            <v>Porta de madeira de abrir - 100x210cm (kit completo)</v>
          </cell>
          <cell r="C258" t="str">
            <v>un</v>
          </cell>
          <cell r="D258">
            <v>2887.6222222222223</v>
          </cell>
        </row>
        <row r="259">
          <cell r="B259" t="str">
            <v>Porta de madeira de Correr - 60x210cm (kit completo)</v>
          </cell>
          <cell r="C259" t="str">
            <v>un</v>
          </cell>
          <cell r="D259">
            <v>2209.5230485436896</v>
          </cell>
        </row>
        <row r="260">
          <cell r="B260" t="str">
            <v>Porta de madeira de abrir - 60x215cm (kit completo)</v>
          </cell>
          <cell r="C260" t="str">
            <v>un</v>
          </cell>
          <cell r="D260">
            <v>2209.5230485436896</v>
          </cell>
        </row>
        <row r="261">
          <cell r="B261" t="str">
            <v>Porta de madeira de abrir - 60x220cm (kit completo)</v>
          </cell>
          <cell r="C261" t="str">
            <v>un</v>
          </cell>
          <cell r="D261">
            <v>2358.5676190476192</v>
          </cell>
        </row>
        <row r="262">
          <cell r="B262" t="str">
            <v>Porta de madeira de abrir - 60x210cm (kit completo)</v>
          </cell>
          <cell r="C262" t="str">
            <v>un</v>
          </cell>
          <cell r="D262">
            <v>2251.36</v>
          </cell>
        </row>
        <row r="263">
          <cell r="B263" t="str">
            <v>Porta de madeira de abrir - 80x210cm (kit completo)</v>
          </cell>
          <cell r="C263" t="str">
            <v>un</v>
          </cell>
          <cell r="D263">
            <v>2251.36</v>
          </cell>
        </row>
        <row r="264">
          <cell r="B264" t="str">
            <v>Porta de madeira de abrir - 70x210cm (kit completo)</v>
          </cell>
          <cell r="C264" t="str">
            <v>un</v>
          </cell>
          <cell r="D264">
            <v>2251.36</v>
          </cell>
        </row>
        <row r="265">
          <cell r="B265" t="str">
            <v>Porta de madeira de abrir - 90x210cm (kit completo)</v>
          </cell>
          <cell r="C265" t="str">
            <v>un</v>
          </cell>
          <cell r="D265">
            <v>2598.86</v>
          </cell>
        </row>
        <row r="266">
          <cell r="B266" t="str">
            <v>Porta de madeira de abrir - 76x210cm (kit completo)</v>
          </cell>
          <cell r="C266" t="str">
            <v>un</v>
          </cell>
          <cell r="D266">
            <v>2209.5230485436896</v>
          </cell>
        </row>
        <row r="267">
          <cell r="B267" t="str">
            <v>Porta de madeira de abrir - 87x210cm (kit completo)</v>
          </cell>
          <cell r="C267" t="str">
            <v>un</v>
          </cell>
          <cell r="D267">
            <v>2209.5230485436896</v>
          </cell>
        </row>
        <row r="268">
          <cell r="B268" t="str">
            <v>Porta de madeira de abrir - 80x210cm (kit completo)</v>
          </cell>
          <cell r="C268" t="str">
            <v>un</v>
          </cell>
          <cell r="D268">
            <v>2251.36</v>
          </cell>
        </row>
        <row r="269">
          <cell r="B269" t="str">
            <v>Porta de madeira de abrir - 80x215cm (kit completo)</v>
          </cell>
          <cell r="C269" t="str">
            <v>un</v>
          </cell>
          <cell r="D269">
            <v>2209.5230485436896</v>
          </cell>
        </row>
        <row r="270">
          <cell r="B270" t="str">
            <v>Porta de madeira de Correr - 80x210cm (kit completo)</v>
          </cell>
          <cell r="C270" t="str">
            <v>un</v>
          </cell>
          <cell r="D270">
            <v>2251.36</v>
          </cell>
        </row>
        <row r="271">
          <cell r="B271" t="str">
            <v>Porta de madeira de abrir - 90x215cm (kit completo)</v>
          </cell>
          <cell r="C271" t="str">
            <v>un</v>
          </cell>
          <cell r="D271">
            <v>2660.7376190476193</v>
          </cell>
        </row>
        <row r="272">
          <cell r="B272" t="str">
            <v xml:space="preserve">Claraboia em vidro laminado </v>
          </cell>
          <cell r="C272" t="str">
            <v>un</v>
          </cell>
          <cell r="D272">
            <v>1014</v>
          </cell>
        </row>
        <row r="273">
          <cell r="B273" t="str">
            <v>Pele de vidro</v>
          </cell>
          <cell r="C273" t="str">
            <v>M2</v>
          </cell>
          <cell r="D273">
            <v>1533.99</v>
          </cell>
        </row>
        <row r="274">
          <cell r="B274" t="str">
            <v>Portão de vidro - 85x280 cm</v>
          </cell>
          <cell r="C274" t="str">
            <v>M2</v>
          </cell>
          <cell r="D274">
            <v>3893.2833333333333</v>
          </cell>
        </row>
        <row r="275">
          <cell r="B275" t="str">
            <v>Gradil metálico</v>
          </cell>
          <cell r="C275" t="str">
            <v>M2</v>
          </cell>
          <cell r="D275">
            <v>568.92672413793116</v>
          </cell>
        </row>
        <row r="276">
          <cell r="B276" t="str">
            <v>Porta corta-fogo, 1 folha, 80x210 cm</v>
          </cell>
          <cell r="C276" t="str">
            <v>un</v>
          </cell>
          <cell r="D276">
            <v>1100</v>
          </cell>
        </row>
        <row r="277">
          <cell r="B277" t="str">
            <v>Portão, 1 folha, 4,81x226 cm</v>
          </cell>
          <cell r="C277" t="str">
            <v>un</v>
          </cell>
          <cell r="D277">
            <v>28645.08</v>
          </cell>
        </row>
        <row r="278">
          <cell r="B278" t="str">
            <v>Portão, 1 folha, 500x235 cm</v>
          </cell>
          <cell r="C278" t="str">
            <v>un</v>
          </cell>
          <cell r="D278">
            <v>13011.726190476189</v>
          </cell>
        </row>
        <row r="279">
          <cell r="B279" t="str">
            <v>Portão, 1 folha, 350x240 cm</v>
          </cell>
          <cell r="C279" t="str">
            <v>un</v>
          </cell>
          <cell r="D279">
            <v>9302</v>
          </cell>
        </row>
        <row r="280">
          <cell r="B280" t="str">
            <v>Porta corta-fogo, 2 folha, 152x126 cm</v>
          </cell>
          <cell r="C280" t="str">
            <v>un</v>
          </cell>
          <cell r="D280">
            <v>1089.6084620689658</v>
          </cell>
        </row>
        <row r="281">
          <cell r="B281" t="str">
            <v>Escada marinheiro com gaiola de proteção, h=6 m</v>
          </cell>
          <cell r="C281" t="str">
            <v>un</v>
          </cell>
          <cell r="D281">
            <v>6500</v>
          </cell>
        </row>
        <row r="282">
          <cell r="B282" t="str">
            <v>Escada de marinheiro</v>
          </cell>
          <cell r="C282" t="str">
            <v>un</v>
          </cell>
          <cell r="D282">
            <v>2405</v>
          </cell>
        </row>
        <row r="283">
          <cell r="B283" t="str">
            <v>Porta venezianada metálica, 1 folha, 60x80 cm</v>
          </cell>
          <cell r="C283" t="str">
            <v>un</v>
          </cell>
          <cell r="D283">
            <v>975</v>
          </cell>
        </row>
        <row r="284">
          <cell r="B284" t="str">
            <v>Porta metálica, 1 folha, 80x150 cm</v>
          </cell>
          <cell r="C284" t="str">
            <v>un</v>
          </cell>
          <cell r="D284">
            <v>2968</v>
          </cell>
        </row>
        <row r="285">
          <cell r="B285" t="str">
            <v>Porta corta-fogo, 1 folha, 106x210 cm</v>
          </cell>
          <cell r="C285" t="str">
            <v>un</v>
          </cell>
          <cell r="D285">
            <v>3729.34</v>
          </cell>
        </row>
        <row r="286">
          <cell r="B286" t="str">
            <v>Porta corta-fogo, 1 folha, 96x190cm</v>
          </cell>
          <cell r="C286" t="str">
            <v>un</v>
          </cell>
          <cell r="D286">
            <v>3523.56</v>
          </cell>
        </row>
        <row r="287">
          <cell r="B287" t="str">
            <v>Porta corta-fogo, 1 folha, 90x213cm</v>
          </cell>
          <cell r="C287" t="str">
            <v>un</v>
          </cell>
          <cell r="D287">
            <v>1754.88</v>
          </cell>
        </row>
        <row r="288">
          <cell r="B288" t="str">
            <v>Porta corta-fogo, 1 folha, 80x213cm</v>
          </cell>
          <cell r="C288" t="str">
            <v>un</v>
          </cell>
          <cell r="D288">
            <v>1754.88</v>
          </cell>
        </row>
        <row r="289">
          <cell r="B289" t="str">
            <v>Chapa de Aço Galvanizada 1,55mm (Chapa 16) x 1200mm x 3000mm</v>
          </cell>
          <cell r="C289" t="str">
            <v>M2</v>
          </cell>
          <cell r="D289">
            <v>135.35555555555555</v>
          </cell>
        </row>
        <row r="290">
          <cell r="B290" t="str">
            <v>Ferragens para Portas - Maçaneta, fechadura, dobradiça.</v>
          </cell>
          <cell r="C290" t="str">
            <v>un</v>
          </cell>
          <cell r="D290">
            <v>912.26415533980582</v>
          </cell>
        </row>
        <row r="291">
          <cell r="B291" t="str">
            <v>Fechadura Arouca para Porta do Quarto Preto 55mm</v>
          </cell>
          <cell r="C291" t="str">
            <v>un</v>
          </cell>
          <cell r="D291">
            <v>232.46</v>
          </cell>
        </row>
        <row r="292">
          <cell r="B292" t="str">
            <v>Fechadura Inteligente Eletrônica Facial Digital D22 Cor Preto</v>
          </cell>
          <cell r="C292" t="str">
            <v>un</v>
          </cell>
          <cell r="D292">
            <v>1291.6400000000001</v>
          </cell>
        </row>
        <row r="293">
          <cell r="B293" t="str">
            <v>SELANTE ELASTICO MONOCOMPONENTE A BASE DE POLIURETANO (PU) PARA JUNTAS DIVERSAS 310ML</v>
          </cell>
          <cell r="C293" t="str">
            <v>UN</v>
          </cell>
          <cell r="D293">
            <v>46.68</v>
          </cell>
        </row>
        <row r="294">
          <cell r="B294" t="str">
            <v>PRIMER DE POLIURETANO (PU)</v>
          </cell>
          <cell r="C294" t="str">
            <v>L</v>
          </cell>
          <cell r="D294">
            <v>106.1</v>
          </cell>
        </row>
        <row r="295">
          <cell r="B295" t="str">
            <v>TARUGO DELIMITADOR DE PROFUNDIDADE EM ESPUMA DE POLIETILENO DE BAIXA DENSIDADE 10 MM</v>
          </cell>
          <cell r="C295" t="str">
            <v>M</v>
          </cell>
          <cell r="D295">
            <v>1.2450000000000001</v>
          </cell>
        </row>
        <row r="296">
          <cell r="B296" t="str">
            <v>Membrana de polímero acrílico com cimento e fibras, estruturada com tela de poliéster nos pontos críticos</v>
          </cell>
          <cell r="C296" t="str">
            <v>KG</v>
          </cell>
          <cell r="D296">
            <v>22</v>
          </cell>
        </row>
        <row r="297">
          <cell r="B297" t="str">
            <v>Membrana de polímero acrílico, sem cimento com resistência à alcalinidade, estruturada com tela de poliéster nos pontos críticos</v>
          </cell>
          <cell r="C297" t="str">
            <v>KG</v>
          </cell>
          <cell r="D297">
            <v>25</v>
          </cell>
        </row>
        <row r="298">
          <cell r="B298" t="str">
            <v>Manta asfáltica tipo IV, 4 mm A, com acabamento areia/areia aderida com asfalto oxidado</v>
          </cell>
          <cell r="C298" t="str">
            <v>KG</v>
          </cell>
          <cell r="D298">
            <v>30</v>
          </cell>
        </row>
        <row r="299">
          <cell r="B299" t="str">
            <v>banho de asfalto oxidado</v>
          </cell>
          <cell r="C299" t="str">
            <v>KG</v>
          </cell>
          <cell r="D299">
            <v>9</v>
          </cell>
        </row>
        <row r="300">
          <cell r="B300" t="str">
            <v>Argamassa polimérica rígida, estruturada com tela de poliéster nos pontos críticos</v>
          </cell>
          <cell r="C300" t="str">
            <v>KG</v>
          </cell>
          <cell r="D300">
            <v>9.8888888888888893</v>
          </cell>
        </row>
        <row r="301">
          <cell r="B301" t="str">
            <v>Argamassa polimérica rígida</v>
          </cell>
          <cell r="C301" t="str">
            <v>KG</v>
          </cell>
          <cell r="D301">
            <v>9.8888888888888893</v>
          </cell>
        </row>
        <row r="302">
          <cell r="B302" t="str">
            <v>Argamassa polimérica rígida, com alta resistência química, estruturada com tela de poliéster nos pontos críticos</v>
          </cell>
          <cell r="C302" t="str">
            <v>KG</v>
          </cell>
          <cell r="D302">
            <v>9.8888888888888893</v>
          </cell>
        </row>
        <row r="303">
          <cell r="B303" t="str">
            <v>Membrana acrílica, estruturada com tela de poliéster, nos pontos críticos</v>
          </cell>
          <cell r="C303" t="str">
            <v>KG</v>
          </cell>
          <cell r="D303">
            <v>24</v>
          </cell>
        </row>
        <row r="304">
          <cell r="B304" t="str">
            <v>membrana de polímero acrílico com cimento e fibras para combater eflorescência</v>
          </cell>
          <cell r="C304" t="str">
            <v>KG</v>
          </cell>
          <cell r="D304">
            <v>24</v>
          </cell>
        </row>
        <row r="305">
          <cell r="B305" t="str">
            <v>Membrana de polímero acrílico, com cimento e com fibras, estruturada com tela de poliéster nos pontos críticos</v>
          </cell>
          <cell r="C305" t="str">
            <v>KG</v>
          </cell>
          <cell r="D305">
            <v>24</v>
          </cell>
        </row>
        <row r="306">
          <cell r="B306" t="str">
            <v>pintura de proteção antirraiz sobre a proteção mecânica</v>
          </cell>
          <cell r="C306" t="str">
            <v>L</v>
          </cell>
          <cell r="D306">
            <v>60</v>
          </cell>
        </row>
        <row r="307">
          <cell r="B307" t="str">
            <v>Manta asfáltica tipo IV, 4 mm A, com acabamento areia/areia + manta asfáltica tipo IV, 4 mm A, com acabamento areia/areia aderida com asfalto oxidado</v>
          </cell>
          <cell r="C307" t="str">
            <v>KG</v>
          </cell>
          <cell r="D307">
            <v>30</v>
          </cell>
        </row>
        <row r="308">
          <cell r="B308" t="str">
            <v>SOLUÇÃO DE SILICADOS CWS100</v>
          </cell>
          <cell r="C308" t="str">
            <v>KG</v>
          </cell>
          <cell r="D308">
            <v>325</v>
          </cell>
        </row>
        <row r="309">
          <cell r="B309" t="str">
            <v>impermeabilizante manta líquida Ultravent</v>
          </cell>
          <cell r="C309" t="str">
            <v>KG</v>
          </cell>
          <cell r="D309">
            <v>50</v>
          </cell>
        </row>
        <row r="310">
          <cell r="B310" t="str">
            <v>Argamassa polimerica impermeabilizante semiflexivel, bicomponente, a base de cimento e aditivos</v>
          </cell>
          <cell r="C310" t="str">
            <v>KG</v>
          </cell>
          <cell r="D310">
            <v>11.33</v>
          </cell>
        </row>
        <row r="311">
          <cell r="B311" t="str">
            <v>Tela Poliéster De Reforço Para Impermeabilização - 50m X 1m</v>
          </cell>
          <cell r="C311" t="str">
            <v>M2</v>
          </cell>
          <cell r="D311">
            <v>4.5999999999999996</v>
          </cell>
        </row>
        <row r="312">
          <cell r="B312" t="str">
            <v>Membrana de polímeros acrílicos com cimento e com fibras</v>
          </cell>
          <cell r="C312" t="str">
            <v>KG</v>
          </cell>
          <cell r="D312">
            <v>11.055555555555555</v>
          </cell>
        </row>
        <row r="313">
          <cell r="B313" t="str">
            <v>emulsão asfáltica de alta resistência química</v>
          </cell>
          <cell r="C313" t="str">
            <v>L</v>
          </cell>
          <cell r="D313">
            <v>19.440000000000001</v>
          </cell>
        </row>
        <row r="314">
          <cell r="B314" t="str">
            <v>Manta acústica “SoundSoft Ondulada” da Aubicon esp. 17/8mm”</v>
          </cell>
          <cell r="C314" t="str">
            <v>M2</v>
          </cell>
          <cell r="D314">
            <v>130</v>
          </cell>
        </row>
        <row r="315">
          <cell r="B315" t="str">
            <v>Manta acústica “SoundSoft laje zero” da Aubicon com polimero acrilico aderido da Baucryl</v>
          </cell>
          <cell r="C315" t="str">
            <v>M2</v>
          </cell>
          <cell r="D315">
            <v>220</v>
          </cell>
        </row>
        <row r="316">
          <cell r="B316" t="str">
            <v>Tratamento acustico da sylomer da getzner esp. 50mm</v>
          </cell>
          <cell r="C316" t="str">
            <v>M2</v>
          </cell>
          <cell r="D316">
            <v>1200</v>
          </cell>
        </row>
        <row r="317">
          <cell r="B317" t="str">
            <v>Manta Líquida - Igolflex Pu (consumo = 400g/m2)</v>
          </cell>
          <cell r="C317" t="str">
            <v>KG</v>
          </cell>
          <cell r="D317">
            <v>29.277777777777779</v>
          </cell>
        </row>
        <row r="318">
          <cell r="B318" t="str">
            <v>Impermeabilizante manta liquida branca</v>
          </cell>
          <cell r="C318" t="str">
            <v>KG</v>
          </cell>
          <cell r="D318">
            <v>25.75</v>
          </cell>
        </row>
        <row r="319">
          <cell r="B319" t="str">
            <v>Manta Asfáltica Drykomanta Polialum 4mm Tipo ll 10m Dryko</v>
          </cell>
          <cell r="C319" t="str">
            <v>M2</v>
          </cell>
          <cell r="D319">
            <v>37.99</v>
          </cell>
        </row>
        <row r="320">
          <cell r="B320" t="str">
            <v>Membrana Impermeável Respirável - 1,30x50m</v>
          </cell>
          <cell r="C320" t="str">
            <v>M2</v>
          </cell>
          <cell r="D320">
            <v>11.090769230769231</v>
          </cell>
        </row>
        <row r="321">
          <cell r="B321" t="str">
            <v>MANTA ASFALTICA ELASTOMERICA EM POLIESTER 3 MM, TIPO III, CLASSE B, ACABAMENTO PP (NBR 9952)</v>
          </cell>
          <cell r="C321" t="str">
            <v>M2</v>
          </cell>
          <cell r="D321">
            <v>57.02</v>
          </cell>
        </row>
        <row r="322">
          <cell r="B322" t="str">
            <v>MANTA ASFALTICA ELASTOMERICA EM POLIESTER 4 MM, TIPO III, CLASSE B, ACABAMENTO PP (NBR 9952)</v>
          </cell>
          <cell r="C322" t="str">
            <v>M2</v>
          </cell>
          <cell r="D322">
            <v>70.02</v>
          </cell>
        </row>
        <row r="323">
          <cell r="B323" t="str">
            <v>Manta De Polipropileno, E = 10 Mm</v>
          </cell>
          <cell r="C323" t="str">
            <v>M2</v>
          </cell>
          <cell r="D323">
            <v>30.555555555555557</v>
          </cell>
        </row>
        <row r="324">
          <cell r="B324" t="str">
            <v>Manta De Polietileno Expandido (Pebd), E = 2 Mm</v>
          </cell>
          <cell r="C324" t="str">
            <v>L</v>
          </cell>
          <cell r="D324">
            <v>7.16</v>
          </cell>
        </row>
        <row r="325">
          <cell r="B325" t="str">
            <v>Manta Isolamento Acústico Laje Piso Passo 8mm</v>
          </cell>
          <cell r="C325" t="str">
            <v>L</v>
          </cell>
          <cell r="D325">
            <v>26.563333333333333</v>
          </cell>
        </row>
        <row r="326">
          <cell r="B326" t="str">
            <v>PRIMER PARA MANTA ASFALTICA A BASE DE ASFALTO MODIFICADO DILUIDO EM SOLVENTE, APLICACAO A FRIO</v>
          </cell>
          <cell r="C326" t="str">
            <v>L</v>
          </cell>
          <cell r="D326">
            <v>23.52</v>
          </cell>
        </row>
        <row r="327">
          <cell r="B327" t="str">
            <v>Veu de poliester para impermeabilizacao</v>
          </cell>
          <cell r="C327" t="str">
            <v>M2</v>
          </cell>
          <cell r="D327">
            <v>1.1000000000000001</v>
          </cell>
        </row>
        <row r="328">
          <cell r="B328" t="str">
            <v>Anel de Borracha p/ Tubo 100 mm</v>
          </cell>
          <cell r="C328" t="str">
            <v>UN</v>
          </cell>
          <cell r="D328">
            <v>5</v>
          </cell>
        </row>
        <row r="329">
          <cell r="B329" t="str">
            <v>Fita Veda Rosca</v>
          </cell>
          <cell r="C329" t="str">
            <v>M</v>
          </cell>
          <cell r="D329">
            <v>0.24</v>
          </cell>
        </row>
        <row r="330">
          <cell r="B330" t="str">
            <v>EXTINTOR INCENDIO PO QUIMICO 06KG CLASSE ABC (COMPLETO) NBR 15808</v>
          </cell>
          <cell r="C330" t="str">
            <v>UN</v>
          </cell>
          <cell r="D330">
            <v>185.37</v>
          </cell>
        </row>
        <row r="331">
          <cell r="B331" t="str">
            <v>Chuveiro Teto DocolHeaven Q150 Cromado Docol</v>
          </cell>
          <cell r="C331" t="str">
            <v>UN</v>
          </cell>
          <cell r="D331">
            <v>970</v>
          </cell>
        </row>
        <row r="332">
          <cell r="B332" t="str">
            <v>Dispenser detergente cromado</v>
          </cell>
          <cell r="C332" t="str">
            <v>UN</v>
          </cell>
          <cell r="D332">
            <v>225.38</v>
          </cell>
        </row>
        <row r="333">
          <cell r="B333" t="str">
            <v>Ducha / Detalhe: Aqua Ultra - Lorenzetti</v>
          </cell>
          <cell r="C333" t="str">
            <v>UN</v>
          </cell>
          <cell r="D333">
            <v>660</v>
          </cell>
        </row>
        <row r="334">
          <cell r="B334" t="str">
            <v>Ducha \ Detalhe: Parede Cromado Vercci</v>
          </cell>
          <cell r="C334" t="str">
            <v>UN</v>
          </cell>
          <cell r="D334">
            <v>1196.32</v>
          </cell>
        </row>
        <row r="335">
          <cell r="B335" t="str">
            <v>Monocomando Banheira e Ducha</v>
          </cell>
          <cell r="C335" t="str">
            <v>UN</v>
          </cell>
          <cell r="D335">
            <v>1876.89</v>
          </cell>
        </row>
        <row r="336">
          <cell r="B336" t="str">
            <v>Ducha higiênica\ Detalhe: Cromado Vercci</v>
          </cell>
          <cell r="C336" t="str">
            <v>UN</v>
          </cell>
          <cell r="D336">
            <v>688.68</v>
          </cell>
        </row>
        <row r="337">
          <cell r="B337" t="str">
            <v>Engate Flexível Trançado 1/2"</v>
          </cell>
          <cell r="C337" t="str">
            <v>UN</v>
          </cell>
          <cell r="D337">
            <v>26.9</v>
          </cell>
        </row>
        <row r="338">
          <cell r="B338" t="str">
            <v>Valvula de Escoamento cromada</v>
          </cell>
          <cell r="C338" t="str">
            <v>UN</v>
          </cell>
          <cell r="D338">
            <v>196.76</v>
          </cell>
        </row>
        <row r="339">
          <cell r="B339" t="str">
            <v>Valvula Metálica 1"</v>
          </cell>
          <cell r="C339" t="str">
            <v>UN</v>
          </cell>
          <cell r="D339">
            <v>65</v>
          </cell>
        </row>
        <row r="340">
          <cell r="B340" t="str">
            <v>Válvula Pia Tanque Lavanderia Escoamento 1.1/4'' Metal Cromado</v>
          </cell>
          <cell r="C340" t="str">
            <v>UN</v>
          </cell>
          <cell r="D340">
            <v>35.9</v>
          </cell>
        </row>
        <row r="341">
          <cell r="B341" t="str">
            <v>Exaustor Td Silent 350 Ultra Silencioso</v>
          </cell>
          <cell r="C341" t="str">
            <v>UN</v>
          </cell>
          <cell r="D341">
            <v>900</v>
          </cell>
        </row>
        <row r="342">
          <cell r="B342" t="str">
            <v xml:space="preserve">Bacia com caixa acoplada </v>
          </cell>
          <cell r="C342" t="str">
            <v>UN</v>
          </cell>
          <cell r="D342">
            <v>736.50120000000004</v>
          </cell>
        </row>
        <row r="343">
          <cell r="B343" t="str">
            <v>Bacia com caixa acoplada PNE</v>
          </cell>
          <cell r="C343" t="str">
            <v>UN</v>
          </cell>
          <cell r="D343">
            <v>2556.62</v>
          </cell>
        </row>
        <row r="344">
          <cell r="B344" t="str">
            <v>Bacia com caixa acoplada / Detalhe: Linha Living, branco, saída lado direito, Deca</v>
          </cell>
          <cell r="C344" t="str">
            <v>UN</v>
          </cell>
          <cell r="D344">
            <v>523.16999999999996</v>
          </cell>
        </row>
        <row r="345">
          <cell r="B345" t="str">
            <v>Bacia Com Caixa Acoplada Lift Branco - Docol</v>
          </cell>
          <cell r="C345" t="str">
            <v>UN</v>
          </cell>
          <cell r="D345">
            <v>1999</v>
          </cell>
        </row>
        <row r="346">
          <cell r="B346" t="str">
            <v>Cuba / Detalhe: Cuba retangular aço escovado</v>
          </cell>
          <cell r="C346" t="str">
            <v>UN</v>
          </cell>
          <cell r="D346">
            <v>2750.38</v>
          </cell>
        </row>
        <row r="347">
          <cell r="B347" t="str">
            <v>Cuba de Apoio Redonda 32cmx13cm Luxo Docol Branco</v>
          </cell>
          <cell r="C347" t="str">
            <v>UN</v>
          </cell>
          <cell r="D347">
            <v>272.89999999999998</v>
          </cell>
        </row>
        <row r="348">
          <cell r="B348" t="str">
            <v>Cuba Docol Invicta 46x42 01696504 Inox Polido</v>
          </cell>
          <cell r="C348" t="str">
            <v>UN</v>
          </cell>
          <cell r="D348">
            <v>460</v>
          </cell>
        </row>
        <row r="349">
          <cell r="B349" t="str">
            <v>Lavatório suspenso \ Detalhe: Cuba viggo 54cm branca</v>
          </cell>
          <cell r="C349" t="str">
            <v>UN</v>
          </cell>
          <cell r="D349">
            <v>1574.1</v>
          </cell>
        </row>
        <row r="350">
          <cell r="B350" t="str">
            <v>Lavatório Suspenso Eco 40x30cm Branco Celite</v>
          </cell>
          <cell r="C350" t="str">
            <v>UN</v>
          </cell>
          <cell r="D350">
            <v>203.9</v>
          </cell>
        </row>
        <row r="351">
          <cell r="B351" t="str">
            <v>Mictório com Válvula de Acionamento</v>
          </cell>
          <cell r="C351" t="str">
            <v>UN</v>
          </cell>
          <cell r="D351">
            <v>1010.4012000000001</v>
          </cell>
        </row>
        <row r="352">
          <cell r="B352" t="str">
            <v>Tanque De Louça Hervy Com 18 Litros Branco</v>
          </cell>
          <cell r="C352" t="str">
            <v>UN</v>
          </cell>
          <cell r="D352">
            <v>396.87</v>
          </cell>
        </row>
        <row r="353">
          <cell r="B353" t="str">
            <v>Logasa Lavatório Suspenso de Canto</v>
          </cell>
          <cell r="C353" t="str">
            <v>UN</v>
          </cell>
          <cell r="D353">
            <v>215</v>
          </cell>
        </row>
        <row r="354">
          <cell r="B354" t="str">
            <v>Tanque Monobloco Polido Docol 32L 55x45x23 cm</v>
          </cell>
          <cell r="C354" t="str">
            <v>UN</v>
          </cell>
          <cell r="D354">
            <v>760</v>
          </cell>
        </row>
        <row r="355">
          <cell r="B355" t="str">
            <v>Acabamento de Registro pressão \ Detalhe: Cromado Vercci</v>
          </cell>
          <cell r="C355" t="str">
            <v>UN</v>
          </cell>
          <cell r="D355">
            <v>493.7</v>
          </cell>
        </row>
        <row r="356">
          <cell r="B356" t="str">
            <v>Acabamento de Registro\ Detalhe: Cromado Vercci</v>
          </cell>
          <cell r="C356" t="str">
            <v>UN</v>
          </cell>
          <cell r="D356">
            <v>240.41</v>
          </cell>
        </row>
        <row r="357">
          <cell r="B357" t="str">
            <v>Barra de Apoio - Deficiente</v>
          </cell>
          <cell r="C357" t="str">
            <v>UN</v>
          </cell>
          <cell r="D357">
            <v>84.8</v>
          </cell>
        </row>
        <row r="358">
          <cell r="B358" t="str">
            <v>Estabilizador p/ Lavatórios</v>
          </cell>
          <cell r="C358" t="str">
            <v>UN</v>
          </cell>
          <cell r="D358">
            <v>32</v>
          </cell>
        </row>
        <row r="359">
          <cell r="B359" t="str">
            <v>Gancho\ Detalhe: Cromado Vercci</v>
          </cell>
          <cell r="C359" t="str">
            <v>UN</v>
          </cell>
          <cell r="D359">
            <v>293</v>
          </cell>
        </row>
        <row r="360">
          <cell r="B360" t="str">
            <v>Grade aramada para cuba</v>
          </cell>
          <cell r="C360" t="str">
            <v>UN</v>
          </cell>
          <cell r="D360">
            <v>71.55</v>
          </cell>
        </row>
        <row r="361">
          <cell r="B361" t="str">
            <v>Misturador monocomando \ Detalhe: aço escovado</v>
          </cell>
          <cell r="C361" t="str">
            <v>UN</v>
          </cell>
          <cell r="D361">
            <v>2117.89</v>
          </cell>
        </row>
        <row r="362">
          <cell r="B362" t="str">
            <v>Porta papel higienico \ Detalhe: Cromado Vercci</v>
          </cell>
          <cell r="C362" t="str">
            <v>UN</v>
          </cell>
          <cell r="D362">
            <v>396.67</v>
          </cell>
        </row>
        <row r="363">
          <cell r="B363" t="str">
            <v>Sifão Cromado</v>
          </cell>
          <cell r="C363" t="str">
            <v>UN</v>
          </cell>
          <cell r="D363">
            <v>256.89999999999998</v>
          </cell>
        </row>
        <row r="364">
          <cell r="B364" t="str">
            <v>Sifão flexível com copo para Lavatório</v>
          </cell>
          <cell r="C364" t="str">
            <v>UN</v>
          </cell>
          <cell r="D364">
            <v>8.9</v>
          </cell>
        </row>
        <row r="365">
          <cell r="B365" t="str">
            <v>Sifão Universal Flexível Multiuso</v>
          </cell>
          <cell r="C365" t="str">
            <v>UN</v>
          </cell>
          <cell r="D365">
            <v>35</v>
          </cell>
        </row>
        <row r="366">
          <cell r="B366" t="str">
            <v>Toalheiro rosto \ Detalhe: Cromado Vercci</v>
          </cell>
          <cell r="C366" t="str">
            <v>UN</v>
          </cell>
          <cell r="D366">
            <v>493.84</v>
          </cell>
        </row>
        <row r="367">
          <cell r="B367" t="str">
            <v>Torneira de bancada para tanque \ Detalhe: mesa inox</v>
          </cell>
          <cell r="C367" t="str">
            <v>UN</v>
          </cell>
          <cell r="D367">
            <v>1054.93</v>
          </cell>
        </row>
        <row r="368">
          <cell r="B368" t="str">
            <v>Torneira de jardim inox</v>
          </cell>
          <cell r="C368" t="str">
            <v>UN</v>
          </cell>
          <cell r="D368">
            <v>1054.93</v>
          </cell>
        </row>
        <row r="369">
          <cell r="B369" t="str">
            <v>Torneira para Lavatório\ Detalhe: Cromado Vercci</v>
          </cell>
          <cell r="C369" t="str">
            <v>UN</v>
          </cell>
          <cell r="D369">
            <v>1054.93</v>
          </cell>
        </row>
        <row r="370">
          <cell r="B370" t="str">
            <v>Torneira para pia inox</v>
          </cell>
          <cell r="C370" t="str">
            <v>UN</v>
          </cell>
          <cell r="D370">
            <v>1054.93</v>
          </cell>
        </row>
        <row r="371">
          <cell r="B371" t="str">
            <v>Churrasqueiras kit Gourmet Médio Inox 304</v>
          </cell>
          <cell r="C371" t="str">
            <v>UN</v>
          </cell>
          <cell r="D371">
            <v>6200</v>
          </cell>
        </row>
        <row r="372">
          <cell r="B372" t="str">
            <v>Forro Knauf Cleaneo A1 (gesso acústico perfurado)</v>
          </cell>
          <cell r="C372" t="str">
            <v>M2</v>
          </cell>
          <cell r="D372">
            <v>180</v>
          </cell>
        </row>
        <row r="373">
          <cell r="B373" t="str">
            <v>Churrasqueiras Pré-Moldadas</v>
          </cell>
          <cell r="C373" t="str">
            <v>UN</v>
          </cell>
          <cell r="D373">
            <v>1400</v>
          </cell>
        </row>
        <row r="374">
          <cell r="B374" t="str">
            <v>CAIBRO NAO APARELHADO *5 X 6* CM, EM MACARANDUBA/MASSARANDUBA, ANGELIM OU EQUIVALENTE DA REGIAO - BRUTA</v>
          </cell>
          <cell r="C374" t="str">
            <v>M</v>
          </cell>
          <cell r="D374">
            <v>29.5</v>
          </cell>
        </row>
        <row r="375">
          <cell r="B375" t="str">
            <v>CHAPA/PAINEL DE MADEIRA COMPENSADA PLASTIFICADA, DE 2200 X 1100 MM, E = 14 MM</v>
          </cell>
          <cell r="C375" t="str">
            <v>M2</v>
          </cell>
          <cell r="D375">
            <v>46.120293847566572</v>
          </cell>
        </row>
        <row r="376">
          <cell r="B376" t="str">
            <v>CHAPA/PAINEL DE MADEIRA COMPENSADA PLASTIFICADA, DE 2200 X 1100 MM, E = 18 MM</v>
          </cell>
          <cell r="C376" t="str">
            <v>M2</v>
          </cell>
          <cell r="D376">
            <v>59.297520661157016</v>
          </cell>
        </row>
        <row r="377">
          <cell r="B377" t="str">
            <v>CHAPA/PAINEL DE MADEIRA COMPENSADA PLASTIFICADA, DE 2200 X 1100 MM, E = 20 MM</v>
          </cell>
          <cell r="C377" t="str">
            <v>M2</v>
          </cell>
          <cell r="D377">
            <v>92.851239669421474</v>
          </cell>
        </row>
        <row r="378">
          <cell r="B378" t="str">
            <v>CHAPA/PAINEL DE MADEIRA COMPENSADA RESINADA, DE 2200 X 1100 MM, E = 17 MM</v>
          </cell>
          <cell r="C378" t="str">
            <v>M2</v>
          </cell>
          <cell r="D378">
            <v>37.96</v>
          </cell>
        </row>
        <row r="379">
          <cell r="B379" t="str">
            <v>CHAPA/PAINEL DE MADEIRA COMPENSADA RESINADA, DE 2200 X 1100 MM, E = 14 MM</v>
          </cell>
          <cell r="C379" t="str">
            <v>M2</v>
          </cell>
          <cell r="D379">
            <v>35.78</v>
          </cell>
        </row>
        <row r="380">
          <cell r="B380" t="str">
            <v>CHAPA/PAINEL DE MADEIRA COMPENSADA RESINADA, DE 2200 X 1100 MM, E = 18 MM</v>
          </cell>
          <cell r="C380" t="str">
            <v>M2</v>
          </cell>
          <cell r="D380">
            <v>46.002857142857138</v>
          </cell>
        </row>
        <row r="381">
          <cell r="B381" t="str">
            <v>COMPENSADO MADEIRA TIPO RESINADO COLA FENOLICA 2440X1220X10MM</v>
          </cell>
          <cell r="C381" t="str">
            <v>UN</v>
          </cell>
          <cell r="D381">
            <v>58.46</v>
          </cell>
        </row>
        <row r="382">
          <cell r="B382" t="str">
            <v>DECKS COMPOSTOS DE MADEIRA ECOLÓGICA PARA EXTERIORES</v>
          </cell>
          <cell r="C382" t="str">
            <v>M2</v>
          </cell>
          <cell r="D382">
            <v>557</v>
          </cell>
        </row>
        <row r="383">
          <cell r="B383" t="str">
            <v xml:space="preserve">DESMOLDANTE PROTETOR PARA FORMAS DE MADEIRA, DE BASE OLEOSA EMULSIONADA EM AGUA   </v>
          </cell>
          <cell r="C383" t="str">
            <v>L</v>
          </cell>
          <cell r="D383">
            <v>15.55</v>
          </cell>
        </row>
        <row r="384">
          <cell r="B384" t="str">
            <v>DESMOLDANTE PARA CONCRETO ESTAMPADO</v>
          </cell>
          <cell r="C384" t="str">
            <v>KG</v>
          </cell>
          <cell r="D384">
            <v>21.666666666666668</v>
          </cell>
        </row>
        <row r="385">
          <cell r="B385" t="str">
            <v>MOLDE DE POLIURETANO, FLEXIVEL OU SEMI-FLEXIVEL, PARA ESTAMPAGEM DE PISO / PASSEIO DE CONCRETO</v>
          </cell>
          <cell r="C385" t="str">
            <v>M2</v>
          </cell>
          <cell r="D385">
            <v>650</v>
          </cell>
        </row>
        <row r="386">
          <cell r="B386" t="str">
            <v>PO ENDURECEDOR PARA CONCRETO ESTAMPADO - PIGMENTO ENDURECEDOR</v>
          </cell>
          <cell r="C386" t="str">
            <v>KG</v>
          </cell>
          <cell r="D386">
            <v>15.780000000000001</v>
          </cell>
        </row>
        <row r="387">
          <cell r="B387" t="str">
            <v>Estrutura e trama para cobertura em madeira</v>
          </cell>
          <cell r="C387" t="str">
            <v>M2</v>
          </cell>
          <cell r="D387">
            <v>119.77</v>
          </cell>
        </row>
        <row r="388">
          <cell r="B388" t="str">
            <v>Madeira Amescla para acabamento</v>
          </cell>
          <cell r="C388" t="str">
            <v>M2</v>
          </cell>
          <cell r="D388">
            <v>90</v>
          </cell>
        </row>
        <row r="389">
          <cell r="B389" t="str">
            <v>Perna de serra pinus - 10x30x300cm</v>
          </cell>
          <cell r="C389" t="str">
            <v>un</v>
          </cell>
          <cell r="D389">
            <v>21.12</v>
          </cell>
        </row>
        <row r="390">
          <cell r="B390" t="str">
            <v>MADEIRA PINUS/SIMILAR - PONTALETE 75X75MM NBR 11700/15696</v>
          </cell>
          <cell r="C390" t="str">
            <v>M</v>
          </cell>
          <cell r="D390">
            <v>7</v>
          </cell>
        </row>
        <row r="391">
          <cell r="B391" t="str">
            <v>MADEIRA PINUS/SIMILAR - SARRAFO PINUS 50X10MM NBR 11700</v>
          </cell>
          <cell r="C391" t="str">
            <v>M</v>
          </cell>
          <cell r="D391">
            <v>7.3900000000000006</v>
          </cell>
        </row>
        <row r="392">
          <cell r="B392" t="str">
            <v>MADEIRA PINUS/SIMILAR - SARRAFO PINUS 50X20MM NBR 11700/15696</v>
          </cell>
          <cell r="C392" t="str">
            <v>M2</v>
          </cell>
          <cell r="D392">
            <v>46.5</v>
          </cell>
        </row>
        <row r="393">
          <cell r="B393" t="str">
            <v>MADEIRA PINUS/SIMILAR - TABUA PINUS 200X20MM NBR 11700</v>
          </cell>
          <cell r="C393" t="str">
            <v>M2</v>
          </cell>
          <cell r="D393">
            <v>46.5</v>
          </cell>
        </row>
        <row r="394">
          <cell r="B394" t="str">
            <v>PONTALETE *7,5 X 7,5* CM EM PINUS, MISTA OU EQUIVALENTE DA REGIAO - BRUTA</v>
          </cell>
          <cell r="C394" t="str">
            <v>M3</v>
          </cell>
          <cell r="D394">
            <v>1100</v>
          </cell>
        </row>
        <row r="395">
          <cell r="B395" t="str">
            <v>RIPA NAO APARELHADA, *1,5 X 5* CM, EM MACARANDUBA/MASSARANDUBA, ANGELIM OU EQUIVALENTE DA REGIAO - BRUTA</v>
          </cell>
          <cell r="C395" t="str">
            <v>M</v>
          </cell>
          <cell r="D395">
            <v>5.62</v>
          </cell>
        </row>
        <row r="396">
          <cell r="B396" t="str">
            <v>SARRAFO *2,5 X 7,5* CM EM PINUS, MISTA OU EQUIVALENTE DA REGIAO - BRUTA</v>
          </cell>
          <cell r="C396" t="str">
            <v>M3</v>
          </cell>
          <cell r="D396">
            <v>1350</v>
          </cell>
        </row>
        <row r="397">
          <cell r="B397" t="str">
            <v>SARRAFO 2,5X10 CM PINUS*</v>
          </cell>
          <cell r="C397" t="str">
            <v>M3</v>
          </cell>
          <cell r="D397">
            <v>1050</v>
          </cell>
        </row>
        <row r="398">
          <cell r="B398" t="str">
            <v>TABUA *2,5 X 15 CM EM PINUS, MISTA OU EQUIVALENTE DA REGIAO - BRUTA</v>
          </cell>
          <cell r="C398" t="str">
            <v>M</v>
          </cell>
          <cell r="D398">
            <v>21.23</v>
          </cell>
        </row>
        <row r="399">
          <cell r="B399" t="str">
            <v>TABUA *2,5 X 30 CM EM PINUS, MISTA OU EQUIVALENTE DA REGIAO - BRUTA (M)</v>
          </cell>
          <cell r="C399" t="str">
            <v>M</v>
          </cell>
          <cell r="D399">
            <v>42.46</v>
          </cell>
        </row>
        <row r="400">
          <cell r="B400" t="str">
            <v>TABUA NAO APARELHADA *2,5 X 20* CM, EM MACARANDUBA/MASSARANDUBA, ANGELIM OU EQUIVALENTE DA REGIAO - BRUTA</v>
          </cell>
          <cell r="C400" t="str">
            <v>M</v>
          </cell>
          <cell r="D400">
            <v>42.46</v>
          </cell>
        </row>
        <row r="401">
          <cell r="B401" t="str">
            <v xml:space="preserve">Viga de Sustentação para pergolado em madeira </v>
          </cell>
          <cell r="C401" t="str">
            <v>UN</v>
          </cell>
          <cell r="D401">
            <v>3300</v>
          </cell>
        </row>
        <row r="402">
          <cell r="B402" t="str">
            <v>VIGA NAO APARELHADA *6 X 12* CM, EM MACARANDUBA/MASSARANDUBA, ANGELIM OU EQUIVALENTE DA REGIAO - BRUTA</v>
          </cell>
          <cell r="C402" t="str">
            <v>M</v>
          </cell>
          <cell r="D402">
            <v>62.4</v>
          </cell>
        </row>
        <row r="403">
          <cell r="B403" t="str">
            <v>Meio Oficial 1</v>
          </cell>
          <cell r="C403" t="str">
            <v>MÊS</v>
          </cell>
          <cell r="D403">
            <v>3400</v>
          </cell>
        </row>
        <row r="404">
          <cell r="B404" t="str">
            <v>Mestre 1</v>
          </cell>
          <cell r="C404" t="str">
            <v>MÊS</v>
          </cell>
          <cell r="D404">
            <v>4550</v>
          </cell>
        </row>
        <row r="405">
          <cell r="B405" t="str">
            <v>Mestre 2</v>
          </cell>
          <cell r="C405" t="str">
            <v>MÊS</v>
          </cell>
          <cell r="D405">
            <v>6500</v>
          </cell>
        </row>
        <row r="406">
          <cell r="B406" t="str">
            <v>Oficial 1</v>
          </cell>
          <cell r="C406" t="str">
            <v>MÊS</v>
          </cell>
          <cell r="D406">
            <v>4200</v>
          </cell>
        </row>
        <row r="407">
          <cell r="B407" t="str">
            <v>Oficial 2</v>
          </cell>
          <cell r="C407" t="str">
            <v>MÊS</v>
          </cell>
          <cell r="D407">
            <v>3000</v>
          </cell>
        </row>
        <row r="408">
          <cell r="B408" t="str">
            <v>Operador de máquina 1</v>
          </cell>
          <cell r="C408" t="str">
            <v>MÊS</v>
          </cell>
          <cell r="D408">
            <v>4000</v>
          </cell>
        </row>
        <row r="409">
          <cell r="B409" t="str">
            <v>Operador de máquina 2</v>
          </cell>
          <cell r="C409" t="str">
            <v>MÊS</v>
          </cell>
          <cell r="D409">
            <v>3450</v>
          </cell>
        </row>
        <row r="410">
          <cell r="B410" t="str">
            <v>Operador de máquina 3</v>
          </cell>
          <cell r="C410" t="str">
            <v>MÊS</v>
          </cell>
          <cell r="D410">
            <v>5000</v>
          </cell>
        </row>
        <row r="411">
          <cell r="B411" t="str">
            <v>Operador de máquina 4</v>
          </cell>
          <cell r="C411" t="str">
            <v>MÊS</v>
          </cell>
          <cell r="D411">
            <v>3000</v>
          </cell>
        </row>
        <row r="412">
          <cell r="B412" t="str">
            <v>Operador de máquina 5</v>
          </cell>
          <cell r="C412" t="str">
            <v>MÊS</v>
          </cell>
          <cell r="D412">
            <v>2400</v>
          </cell>
        </row>
        <row r="413">
          <cell r="B413" t="str">
            <v>Ajudante 1</v>
          </cell>
          <cell r="C413" t="str">
            <v>MÊS</v>
          </cell>
          <cell r="D413">
            <v>2400</v>
          </cell>
        </row>
        <row r="414">
          <cell r="B414" t="str">
            <v>Adesivo Acrilico De Base Aquosa / Cola De Contato</v>
          </cell>
          <cell r="C414" t="str">
            <v>KG</v>
          </cell>
          <cell r="D414">
            <v>25.11</v>
          </cell>
        </row>
        <row r="415">
          <cell r="B415" t="str">
            <v>ADESIVO DE BASE ACRÍLICA COMPATÍVEL COM CIMENTO</v>
          </cell>
          <cell r="C415" t="str">
            <v>KG</v>
          </cell>
          <cell r="D415">
            <v>22.95611111111111</v>
          </cell>
        </row>
        <row r="416">
          <cell r="B416" t="str">
            <v>Aditivo Adesivo Liquido Para Impermeabilização</v>
          </cell>
          <cell r="C416" t="str">
            <v>L</v>
          </cell>
          <cell r="D416">
            <v>66.666666666666671</v>
          </cell>
        </row>
        <row r="417">
          <cell r="B417" t="str">
            <v>Aditivo Adesivo Liquido Para Argamassas De Revestimentos Cimenticios</v>
          </cell>
          <cell r="C417" t="str">
            <v>L</v>
          </cell>
          <cell r="D417">
            <v>19.34</v>
          </cell>
        </row>
        <row r="418">
          <cell r="B418" t="str">
            <v>Aditivo Bianco Adesivo Argamassa Chapisco </v>
          </cell>
          <cell r="C418" t="str">
            <v>KG</v>
          </cell>
          <cell r="D418">
            <v>11.2295</v>
          </cell>
        </row>
        <row r="419">
          <cell r="B419" t="str">
            <v>ADITIVO EXPANSOR EM PÓ</v>
          </cell>
          <cell r="C419" t="str">
            <v>KG</v>
          </cell>
          <cell r="D419">
            <v>190</v>
          </cell>
        </row>
        <row r="420">
          <cell r="B420" t="str">
            <v>BANNER LONA VINILICA</v>
          </cell>
          <cell r="C420" t="str">
            <v>UN</v>
          </cell>
          <cell r="D420">
            <v>1052.1099999999999</v>
          </cell>
        </row>
        <row r="421">
          <cell r="B421" t="str">
            <v>CARTUCHO/MUNIÇÃO FINCAPINO 22</v>
          </cell>
          <cell r="C421" t="str">
            <v>UN</v>
          </cell>
          <cell r="D421">
            <v>0.37</v>
          </cell>
        </row>
        <row r="422">
          <cell r="B422" t="str">
            <v>CHUMBADOR PARABOLT ACO CARBONO CBA 1/2"X75MM</v>
          </cell>
          <cell r="C422" t="str">
            <v>UN</v>
          </cell>
          <cell r="D422">
            <v>5.3</v>
          </cell>
        </row>
        <row r="423">
          <cell r="B423" t="str">
            <v>CLIPS PARA CABO DE AÇO 5/16</v>
          </cell>
          <cell r="C423" t="str">
            <v>UN</v>
          </cell>
          <cell r="D423">
            <v>1.7</v>
          </cell>
        </row>
        <row r="424">
          <cell r="B424" t="str">
            <v>Cola Branca base PVA</v>
          </cell>
          <cell r="C424" t="str">
            <v>KG</v>
          </cell>
          <cell r="D424">
            <v>29.13</v>
          </cell>
        </row>
        <row r="425">
          <cell r="B425" t="str">
            <v>PU Fix Branco Cartucho 387 Gramas/280 ML</v>
          </cell>
          <cell r="C425" t="str">
            <v>UN</v>
          </cell>
          <cell r="D425">
            <v>19.899999999999999</v>
          </cell>
        </row>
        <row r="426">
          <cell r="B426" t="str">
            <v>Cola Extra Forte AC6000-400G</v>
          </cell>
          <cell r="C426" t="str">
            <v>UN</v>
          </cell>
          <cell r="D426">
            <v>75</v>
          </cell>
        </row>
        <row r="427">
          <cell r="B427" t="str">
            <v>Espuma Expansiva de PU 740 gramas</v>
          </cell>
          <cell r="C427" t="str">
            <v>un</v>
          </cell>
          <cell r="D427">
            <v>55</v>
          </cell>
        </row>
        <row r="428">
          <cell r="B428" t="str">
            <v>Fita Crepe Rolo De 25 Mm X 50 M</v>
          </cell>
          <cell r="C428" t="str">
            <v>UN</v>
          </cell>
          <cell r="D428">
            <v>11.26</v>
          </cell>
        </row>
        <row r="429">
          <cell r="B429" t="str">
            <v>Thiner</v>
          </cell>
          <cell r="C429" t="str">
            <v>L</v>
          </cell>
          <cell r="D429">
            <v>13.5</v>
          </cell>
        </row>
        <row r="430">
          <cell r="B430" t="str">
            <v>Pacote de Estopa</v>
          </cell>
          <cell r="C430" t="str">
            <v>UN</v>
          </cell>
          <cell r="D430">
            <v>6.9</v>
          </cell>
        </row>
        <row r="431">
          <cell r="B431" t="str">
            <v>Cloro para Limpeza</v>
          </cell>
          <cell r="C431" t="str">
            <v>L</v>
          </cell>
          <cell r="D431">
            <v>6.4</v>
          </cell>
        </row>
        <row r="432">
          <cell r="B432" t="str">
            <v>Disco de lixa (Diametro 225mm) - Grão 180</v>
          </cell>
          <cell r="C432" t="str">
            <v>UN</v>
          </cell>
          <cell r="D432">
            <v>5.9889999999999999</v>
          </cell>
        </row>
        <row r="433">
          <cell r="B433" t="str">
            <v>Disco de lixa telado (Diâmetro 225mm) - Grão 220</v>
          </cell>
          <cell r="C433" t="str">
            <v>UN</v>
          </cell>
          <cell r="D433">
            <v>5.25</v>
          </cell>
        </row>
        <row r="434">
          <cell r="B434" t="str">
            <v>Fita Crepe 50mm x 50mt Azul</v>
          </cell>
          <cell r="C434" t="str">
            <v>UN</v>
          </cell>
          <cell r="D434">
            <v>36.9</v>
          </cell>
        </row>
        <row r="435">
          <cell r="B435" t="str">
            <v>LIXA DAGUA 225X275MM GR100</v>
          </cell>
          <cell r="C435" t="str">
            <v>UN</v>
          </cell>
          <cell r="D435">
            <v>1.89</v>
          </cell>
        </row>
        <row r="436">
          <cell r="B436" t="str">
            <v>LIXA EM FOLHA PARA FERRO, NÚMERO 100</v>
          </cell>
          <cell r="C436" t="str">
            <v>UN</v>
          </cell>
          <cell r="D436">
            <v>3.13</v>
          </cell>
        </row>
        <row r="437">
          <cell r="B437" t="str">
            <v>LONA PLASTICA 120 MICRAS 4X100M PRETA</v>
          </cell>
          <cell r="C437" t="str">
            <v>M2</v>
          </cell>
          <cell r="D437">
            <v>1.25</v>
          </cell>
        </row>
        <row r="438">
          <cell r="B438" t="str">
            <v>Lona Preta Plástica 4x100 Metros 25kg - Agroplastic, Tamanho: 120 Micras</v>
          </cell>
          <cell r="C438" t="str">
            <v>M2</v>
          </cell>
          <cell r="D438">
            <v>2.3025000000000002</v>
          </cell>
        </row>
        <row r="439">
          <cell r="B439" t="str">
            <v>Moldura EPS</v>
          </cell>
          <cell r="C439" t="str">
            <v>M3</v>
          </cell>
          <cell r="D439">
            <v>1377.4104683195592</v>
          </cell>
        </row>
        <row r="440">
          <cell r="B440" t="str">
            <v>Isopor Eps Nivelamento Laje Contra Piso 1000x330x110mm</v>
          </cell>
          <cell r="C440" t="str">
            <v>M2</v>
          </cell>
          <cell r="D440">
            <v>151.5151515151515</v>
          </cell>
        </row>
        <row r="441">
          <cell r="B441" t="str">
            <v>Silicone acético 250gr</v>
          </cell>
          <cell r="C441" t="str">
            <v>UN</v>
          </cell>
          <cell r="D441">
            <v>35.6</v>
          </cell>
        </row>
        <row r="442">
          <cell r="B442" t="str">
            <v>SOLDA EM BARRA DE ESTANHO-CHUMBO 50/50</v>
          </cell>
          <cell r="C442" t="str">
            <v>KG</v>
          </cell>
          <cell r="D442">
            <v>163.07</v>
          </cell>
        </row>
        <row r="443">
          <cell r="B443" t="str">
            <v>MATERIAL PARA INSTALAÇÃO ELÉTRICA</v>
          </cell>
          <cell r="C443" t="str">
            <v>VB</v>
          </cell>
          <cell r="D443">
            <v>215</v>
          </cell>
        </row>
        <row r="444">
          <cell r="B444" t="str">
            <v>Espuma Tarugo Corpo de Apoio Tarucel 15mm (delimitador de profundidade)</v>
          </cell>
          <cell r="C444" t="str">
            <v>m</v>
          </cell>
          <cell r="D444">
            <v>1.72</v>
          </cell>
        </row>
        <row r="445">
          <cell r="B445" t="str">
            <v>AREIA FINA</v>
          </cell>
          <cell r="C445" t="str">
            <v>M3</v>
          </cell>
          <cell r="D445">
            <v>134</v>
          </cell>
        </row>
        <row r="446">
          <cell r="B446" t="str">
            <v>AREIA MEDIA</v>
          </cell>
          <cell r="C446" t="str">
            <v>M3</v>
          </cell>
          <cell r="D446">
            <v>145</v>
          </cell>
        </row>
        <row r="447">
          <cell r="B447" t="str">
            <v>Bica corrida</v>
          </cell>
          <cell r="C447" t="str">
            <v>M3</v>
          </cell>
          <cell r="D447">
            <v>143</v>
          </cell>
        </row>
        <row r="448">
          <cell r="B448" t="str">
            <v>RACHÃO</v>
          </cell>
          <cell r="C448" t="str">
            <v>M3</v>
          </cell>
          <cell r="D448">
            <v>120</v>
          </cell>
        </row>
        <row r="449">
          <cell r="B449" t="str">
            <v>BRITA Nº2</v>
          </cell>
          <cell r="C449" t="str">
            <v>M3</v>
          </cell>
          <cell r="D449">
            <v>151.20000000000002</v>
          </cell>
        </row>
        <row r="450">
          <cell r="B450" t="str">
            <v>PO DE PEDRA </v>
          </cell>
          <cell r="C450" t="str">
            <v>M3</v>
          </cell>
          <cell r="D450">
            <v>105.71</v>
          </cell>
        </row>
        <row r="451">
          <cell r="B451" t="str">
            <v>PO PEDRA A GRANEL (M3) - GRANULOMETRIA 1,2 A 4,75MM NBR 7211</v>
          </cell>
          <cell r="C451" t="str">
            <v>M3</v>
          </cell>
          <cell r="D451">
            <v>300</v>
          </cell>
        </row>
        <row r="452">
          <cell r="B452" t="str">
            <v>Cimento Autonivelante para Contrapiso </v>
          </cell>
          <cell r="C452" t="str">
            <v>KG</v>
          </cell>
          <cell r="D452">
            <v>4.25</v>
          </cell>
        </row>
        <row r="453">
          <cell r="B453" t="str">
            <v>CIMENTO BRANCO NÃO ESTRUTURAL</v>
          </cell>
          <cell r="C453" t="str">
            <v>KG</v>
          </cell>
          <cell r="D453">
            <v>3.49</v>
          </cell>
        </row>
        <row r="454">
          <cell r="B454" t="str">
            <v>Cimento Portland Composto CP II-32</v>
          </cell>
          <cell r="C454" t="str">
            <v>KG</v>
          </cell>
          <cell r="D454">
            <v>0.76</v>
          </cell>
        </row>
        <row r="455">
          <cell r="B455" t="str">
            <v>Cimento Queimado 4,2kg Elegance - Cor: Tubarão</v>
          </cell>
          <cell r="C455" t="str">
            <v>KG</v>
          </cell>
          <cell r="D455">
            <v>33</v>
          </cell>
        </row>
        <row r="456">
          <cell r="B456" t="str">
            <v>Lapidação de piso com lixas diamantadas</v>
          </cell>
          <cell r="C456" t="str">
            <v>M2</v>
          </cell>
          <cell r="D456">
            <v>75</v>
          </cell>
        </row>
        <row r="457">
          <cell r="B457" t="str">
            <v>ENDURECEDOR MINERAL DE BASE CIMENTICIA PARA PISO DE CONCRETO</v>
          </cell>
          <cell r="C457" t="str">
            <v>KG</v>
          </cell>
          <cell r="D457">
            <v>9.35</v>
          </cell>
        </row>
        <row r="458">
          <cell r="B458" t="str">
            <v>Forro De Fibra Mineral Armstrong Ceilings Scala Lay-in 1250 X 625 X 16mm</v>
          </cell>
          <cell r="C458" t="str">
            <v>M2</v>
          </cell>
          <cell r="D458">
            <v>75.598399999999998</v>
          </cell>
        </row>
        <row r="459">
          <cell r="B459" t="str">
            <v>Cortineiro Isopor Cortina Sanca 1 Metro 15cm L X 10cm A - Branco, , COLOR Branco</v>
          </cell>
          <cell r="C459" t="str">
            <v>m</v>
          </cell>
          <cell r="D459">
            <v>29.99</v>
          </cell>
        </row>
        <row r="460">
          <cell r="B460" t="str">
            <v>Esquadrias de Alumínio do duplex - fornecimento e instalação</v>
          </cell>
          <cell r="C460" t="str">
            <v>M2</v>
          </cell>
          <cell r="D460">
            <v>1350</v>
          </cell>
        </row>
        <row r="461">
          <cell r="B461" t="str">
            <v>Esquadrias de Alumínio, linha 25 supreme - fornecimento e instalação</v>
          </cell>
          <cell r="C461" t="str">
            <v>M2</v>
          </cell>
          <cell r="D461">
            <v>980</v>
          </cell>
        </row>
        <row r="462">
          <cell r="B462" t="str">
            <v>Esquadrias de Alumínio, linha 32 gold - fornecimento e instalação</v>
          </cell>
          <cell r="C462" t="str">
            <v>M2</v>
          </cell>
          <cell r="D462">
            <v>1350</v>
          </cell>
        </row>
        <row r="463">
          <cell r="B463" t="str">
            <v>CONTRAMARCO DE AÇO</v>
          </cell>
          <cell r="C463" t="str">
            <v>M</v>
          </cell>
          <cell r="D463">
            <v>36</v>
          </cell>
        </row>
        <row r="464">
          <cell r="B464" t="str">
            <v xml:space="preserve">CONTRAMARCO DE ALUMINIO </v>
          </cell>
          <cell r="C464" t="str">
            <v>M</v>
          </cell>
          <cell r="D464">
            <v>7.39</v>
          </cell>
        </row>
        <row r="465">
          <cell r="B465" t="str">
            <v>CONTRAMARCO DE ALUMINIO Pequeno</v>
          </cell>
          <cell r="C465" t="str">
            <v>Un</v>
          </cell>
          <cell r="D465">
            <v>65</v>
          </cell>
        </row>
        <row r="466">
          <cell r="B466" t="str">
            <v>CONTRAMARCO DE ALUMINIO grande</v>
          </cell>
          <cell r="C466" t="str">
            <v>Un</v>
          </cell>
          <cell r="D466">
            <v>155</v>
          </cell>
        </row>
        <row r="467">
          <cell r="B467" t="str">
            <v>Massa para Drywall 25kg</v>
          </cell>
          <cell r="C467" t="str">
            <v>KG</v>
          </cell>
          <cell r="D467">
            <v>5.9180000000000001</v>
          </cell>
        </row>
        <row r="468">
          <cell r="B468" t="str">
            <v xml:space="preserve">	GESSO COLA</v>
          </cell>
          <cell r="C468" t="str">
            <v>KG</v>
          </cell>
          <cell r="D468">
            <v>3.38</v>
          </cell>
        </row>
        <row r="469">
          <cell r="B469" t="str">
            <v xml:space="preserve">	GESSO EM PÓ PARA REVESTIMENTOS</v>
          </cell>
          <cell r="C469" t="str">
            <v>KG</v>
          </cell>
          <cell r="D469">
            <v>0.45</v>
          </cell>
        </row>
        <row r="470">
          <cell r="B470" t="str">
            <v xml:space="preserve">Pilar de Sustentação para pergolado em madeira </v>
          </cell>
          <cell r="C470" t="str">
            <v>UN</v>
          </cell>
          <cell r="D470">
            <v>382</v>
          </cell>
        </row>
        <row r="471">
          <cell r="B471" t="str">
            <v>Grama esmeralda</v>
          </cell>
          <cell r="C471" t="str">
            <v>M2</v>
          </cell>
          <cell r="D471">
            <v>11.1</v>
          </cell>
        </row>
        <row r="472">
          <cell r="B472" t="str">
            <v>Terra vegetal</v>
          </cell>
          <cell r="C472" t="str">
            <v>M3</v>
          </cell>
          <cell r="D472">
            <v>143.57</v>
          </cell>
        </row>
        <row r="473">
          <cell r="B473" t="str">
            <v>Nicho Em Porcelanato 65x35cm Carrara Cristal Borda Dupla</v>
          </cell>
          <cell r="C473" t="str">
            <v>UN</v>
          </cell>
          <cell r="D473">
            <v>409</v>
          </cell>
        </row>
        <row r="474">
          <cell r="B474" t="str">
            <v>Granito Branco Ceará Flameado</v>
          </cell>
          <cell r="C474" t="str">
            <v>M2</v>
          </cell>
          <cell r="D474">
            <v>890</v>
          </cell>
        </row>
        <row r="475">
          <cell r="B475" t="str">
            <v>Quartzo Silestone</v>
          </cell>
          <cell r="C475" t="str">
            <v>M2</v>
          </cell>
          <cell r="D475">
            <v>1850</v>
          </cell>
        </row>
        <row r="476">
          <cell r="B476" t="str">
            <v>Marmore Cinza</v>
          </cell>
          <cell r="C476" t="str">
            <v>M2</v>
          </cell>
          <cell r="D476">
            <v>480</v>
          </cell>
        </row>
        <row r="477">
          <cell r="B477" t="str">
            <v>Pedra Moledo Natural Cinza</v>
          </cell>
          <cell r="C477" t="str">
            <v>M2</v>
          </cell>
          <cell r="D477">
            <v>265.89999999999998</v>
          </cell>
        </row>
        <row r="478">
          <cell r="B478" t="str">
            <v>Pastilha vítrea decorada, padrão customizado, placa 30x30 cm - Jatobá / NGK Pastilhas</v>
          </cell>
          <cell r="C478" t="str">
            <v>M2</v>
          </cell>
          <cell r="D478">
            <v>480</v>
          </cell>
        </row>
        <row r="479">
          <cell r="B479" t="str">
            <v>Granito itaunas branco</v>
          </cell>
          <cell r="C479" t="str">
            <v>M2</v>
          </cell>
          <cell r="D479">
            <v>750</v>
          </cell>
        </row>
        <row r="480">
          <cell r="B480" t="str">
            <v xml:space="preserve">Granito preto são gabriel </v>
          </cell>
          <cell r="C480" t="str">
            <v>M2</v>
          </cell>
          <cell r="D480">
            <v>650</v>
          </cell>
        </row>
        <row r="481">
          <cell r="B481" t="str">
            <v>Marmore Preto</v>
          </cell>
          <cell r="C481" t="str">
            <v>M2</v>
          </cell>
          <cell r="D481">
            <v>195</v>
          </cell>
        </row>
        <row r="482">
          <cell r="B482" t="str">
            <v xml:space="preserve">Granito Comercial </v>
          </cell>
          <cell r="C482" t="str">
            <v>M2</v>
          </cell>
          <cell r="D482">
            <v>650</v>
          </cell>
        </row>
        <row r="483">
          <cell r="B483" t="str">
            <v>Granito branco Ceará</v>
          </cell>
          <cell r="C483" t="str">
            <v>M2</v>
          </cell>
          <cell r="D483">
            <v>650</v>
          </cell>
        </row>
        <row r="484">
          <cell r="B484" t="str">
            <v>Granito siena branco</v>
          </cell>
          <cell r="C484" t="str">
            <v>M2</v>
          </cell>
          <cell r="D484">
            <v>650</v>
          </cell>
        </row>
        <row r="485">
          <cell r="B485" t="str">
            <v>Mosaico São Tomé Para Paredes e Fachadas</v>
          </cell>
          <cell r="C485" t="str">
            <v>M2</v>
          </cell>
          <cell r="D485">
            <v>650</v>
          </cell>
        </row>
        <row r="486">
          <cell r="B486" t="str">
            <v>Pedra Natural  para Revestimento</v>
          </cell>
          <cell r="C486" t="str">
            <v>M2</v>
          </cell>
          <cell r="D486">
            <v>550</v>
          </cell>
        </row>
        <row r="487">
          <cell r="B487" t="str">
            <v>Pedra Natural moledo</v>
          </cell>
          <cell r="C487" t="str">
            <v>M2</v>
          </cell>
          <cell r="D487">
            <v>650</v>
          </cell>
        </row>
        <row r="488">
          <cell r="B488" t="str">
            <v>Bucha Nylon C8</v>
          </cell>
          <cell r="C488" t="str">
            <v>UN</v>
          </cell>
          <cell r="D488">
            <v>0.34</v>
          </cell>
        </row>
        <row r="489">
          <cell r="B489" t="str">
            <v>Bucha S-10</v>
          </cell>
          <cell r="C489" t="str">
            <v>UN</v>
          </cell>
          <cell r="D489">
            <v>0.6</v>
          </cell>
        </row>
        <row r="490">
          <cell r="B490" t="str">
            <v>Bucha S-8</v>
          </cell>
          <cell r="C490" t="str">
            <v>UN</v>
          </cell>
          <cell r="D490">
            <v>0.34</v>
          </cell>
        </row>
        <row r="491">
          <cell r="B491" t="str">
            <v>CONJUNTO ARRUELAS DE VEDACAO 5/16" PARA TELHA FIBROCIMENTO (UMA ARRUELA METALICA E UMA ARRUELA PVC - CONICAS)</v>
          </cell>
          <cell r="C491" t="str">
            <v>CJ</v>
          </cell>
          <cell r="D491">
            <v>0.26</v>
          </cell>
        </row>
        <row r="492">
          <cell r="B492" t="str">
            <v>Parafuso Galvanizado</v>
          </cell>
          <cell r="C492" t="str">
            <v>UN</v>
          </cell>
          <cell r="D492">
            <v>24.95</v>
          </cell>
        </row>
        <row r="493">
          <cell r="B493" t="str">
            <v>Parafuso p/ Fixação de Tanque e Lavatório</v>
          </cell>
          <cell r="C493" t="str">
            <v>UN</v>
          </cell>
          <cell r="D493">
            <v>5.95</v>
          </cell>
        </row>
        <row r="494">
          <cell r="B494" t="str">
            <v>Parafuso p/ Fixação de Vaso Sanitário</v>
          </cell>
          <cell r="C494" t="str">
            <v>UN</v>
          </cell>
          <cell r="D494">
            <v>5.95</v>
          </cell>
        </row>
        <row r="495">
          <cell r="B495" t="str">
            <v>PARAFUSO ZINCADO ROSCA SOBERBA, CABECA SEXTAVADA, 5/16" X 250 MM, PARA FIXACAO DE TELHA EM MADEIRA</v>
          </cell>
          <cell r="C495" t="str">
            <v>UN</v>
          </cell>
          <cell r="D495">
            <v>4</v>
          </cell>
        </row>
        <row r="496">
          <cell r="B496" t="str">
            <v>PREGO DE ACO POLIDO COM CABECA 17 X 24 (2 1/4 X11)</v>
          </cell>
          <cell r="C496" t="str">
            <v>KG</v>
          </cell>
          <cell r="D496">
            <v>15.85</v>
          </cell>
        </row>
        <row r="497">
          <cell r="B497" t="str">
            <v>PREGO DE ACO POLIDO COM CABECA 15 X 15 (1 1/4 X 13)</v>
          </cell>
          <cell r="C497" t="str">
            <v>KG</v>
          </cell>
          <cell r="D497">
            <v>17.63</v>
          </cell>
        </row>
        <row r="498">
          <cell r="B498" t="str">
            <v>PREGO DE ACO POLIDO COM CABECA 15 X 18 (1 1/2 X 13)</v>
          </cell>
          <cell r="C498" t="str">
            <v>KG</v>
          </cell>
          <cell r="D498">
            <v>18.8</v>
          </cell>
        </row>
        <row r="499">
          <cell r="B499" t="str">
            <v>PREGO DE ACO POLIDO COM CABECA 16 X 24 (2 1/4 X 12)</v>
          </cell>
          <cell r="C499" t="str">
            <v>KG</v>
          </cell>
          <cell r="D499">
            <v>13.08</v>
          </cell>
        </row>
        <row r="500">
          <cell r="B500" t="str">
            <v>PREGO DE ACO POLIDO COM CABECA 17 X 21 (2 X 11)</v>
          </cell>
          <cell r="C500" t="str">
            <v>KG</v>
          </cell>
          <cell r="D500">
            <v>18.13</v>
          </cell>
        </row>
        <row r="501">
          <cell r="B501" t="str">
            <v>PREGO DE ACO POLIDO COM CABECA 17 x 27 (2 1/2 x 11)</v>
          </cell>
          <cell r="C501" t="str">
            <v>KG</v>
          </cell>
          <cell r="D501">
            <v>12.7</v>
          </cell>
        </row>
        <row r="502">
          <cell r="B502" t="str">
            <v>PREGO DE ACO POLIDO COM CABECA 18 X 27 (2 1/2 X 10)</v>
          </cell>
          <cell r="C502" t="str">
            <v>KG</v>
          </cell>
          <cell r="D502">
            <v>15.65</v>
          </cell>
        </row>
        <row r="503">
          <cell r="B503" t="str">
            <v>PREGO DE ACO POLIDO COM CABECA 19 X 36 (3 1/4 X 9)</v>
          </cell>
          <cell r="C503" t="str">
            <v>KG</v>
          </cell>
          <cell r="D503">
            <v>15.9</v>
          </cell>
        </row>
        <row r="504">
          <cell r="B504" t="str">
            <v>PREGO DE ACO POLIDO COM CABECA 22 X 48 (4 1/4 X 5)</v>
          </cell>
          <cell r="C504" t="str">
            <v>KG</v>
          </cell>
          <cell r="D504">
            <v>16.04</v>
          </cell>
        </row>
        <row r="505">
          <cell r="B505" t="str">
            <v>PREGO GALVANIZADO LISO S/CABECA 17X21 NBR 6627</v>
          </cell>
          <cell r="C505" t="str">
            <v>KG</v>
          </cell>
          <cell r="D505">
            <v>10.029999999999999</v>
          </cell>
        </row>
        <row r="506">
          <cell r="B506" t="str">
            <v>REBITE DE REPUXO EM ALUMINIO VAZADO, DIAMETRO 3,2 X 8 MM DE COMPRIMENTO (1KG = 1025 UNIDADES)</v>
          </cell>
          <cell r="C506" t="str">
            <v>KG</v>
          </cell>
          <cell r="D506">
            <v>71.510000000000005</v>
          </cell>
        </row>
        <row r="507">
          <cell r="B507" t="str">
            <v>LAJE PRE-MOLDADA CONVENCIONAL (LAJOTAS + VIGOTAS) PARA PISO, UNIDIRECIONAL, SOBRECARGA DE 200 KG/M2, VAO ATE 3,50 M (SEM COLOCACAO)</v>
          </cell>
          <cell r="C507" t="str">
            <v>M2</v>
          </cell>
          <cell r="D507">
            <v>59.4</v>
          </cell>
        </row>
        <row r="508">
          <cell r="B508" t="str">
            <v>Espaçador para armadura</v>
          </cell>
          <cell r="C508" t="str">
            <v>UN</v>
          </cell>
          <cell r="D508">
            <v>1.62</v>
          </cell>
        </row>
        <row r="509">
          <cell r="B509" t="str">
            <v>Espaçador treliçado para armadura</v>
          </cell>
          <cell r="C509" t="str">
            <v>UN</v>
          </cell>
          <cell r="D509">
            <v>8.92</v>
          </cell>
        </row>
        <row r="510">
          <cell r="B510" t="str">
            <v>Espeçador junta piso 2mm</v>
          </cell>
          <cell r="C510" t="str">
            <v>UN</v>
          </cell>
          <cell r="D510">
            <v>0.08</v>
          </cell>
        </row>
        <row r="511">
          <cell r="B511" t="str">
            <v>Espeçador junta piso 3mm</v>
          </cell>
          <cell r="C511" t="str">
            <v>UN</v>
          </cell>
          <cell r="D511">
            <v>0.05</v>
          </cell>
        </row>
        <row r="512">
          <cell r="B512" t="str">
            <v>Filete metálico - divisória entre pisos - aluminio escovado</v>
          </cell>
          <cell r="C512" t="str">
            <v>M2</v>
          </cell>
          <cell r="D512">
            <v>1904.7619047619048</v>
          </cell>
        </row>
        <row r="513">
          <cell r="B513" t="str">
            <v>Filete metálico - divisória entre pisos</v>
          </cell>
          <cell r="C513" t="str">
            <v>M</v>
          </cell>
          <cell r="D513">
            <v>133.33333333333334</v>
          </cell>
        </row>
        <row r="514">
          <cell r="B514" t="str">
            <v>Espaçador Treliçado p/ armaduras 6 cm</v>
          </cell>
          <cell r="C514" t="str">
            <v>UN</v>
          </cell>
          <cell r="D514">
            <v>33.9</v>
          </cell>
        </row>
        <row r="515">
          <cell r="B515" t="str">
            <v>TECNOLOGIA CLEANTEC EV</v>
          </cell>
          <cell r="C515" t="str">
            <v>m2</v>
          </cell>
          <cell r="D515">
            <v>85.55</v>
          </cell>
        </row>
        <row r="516">
          <cell r="B516" t="str">
            <v>Rejunte Acrilico</v>
          </cell>
          <cell r="C516" t="str">
            <v>KG</v>
          </cell>
          <cell r="D516">
            <v>43.8</v>
          </cell>
        </row>
        <row r="517">
          <cell r="B517" t="str">
            <v>Rejunte Cimentício</v>
          </cell>
          <cell r="C517" t="str">
            <v>KG</v>
          </cell>
          <cell r="D517">
            <v>11.15</v>
          </cell>
        </row>
        <row r="518">
          <cell r="B518" t="str">
            <v>Black Lava Brick (Hitam)</v>
          </cell>
          <cell r="C518" t="str">
            <v>M2</v>
          </cell>
          <cell r="D518">
            <v>503</v>
          </cell>
        </row>
        <row r="519">
          <cell r="B519" t="str">
            <v>Estrutura Metálica para Portico</v>
          </cell>
          <cell r="C519" t="str">
            <v>M2</v>
          </cell>
          <cell r="D519">
            <v>880</v>
          </cell>
        </row>
        <row r="520">
          <cell r="B520" t="str">
            <v>Acabamento em ACM em tetos - Material e mão de obra</v>
          </cell>
          <cell r="C520" t="str">
            <v>M2</v>
          </cell>
          <cell r="D520">
            <v>986.4</v>
          </cell>
        </row>
        <row r="521">
          <cell r="B521" t="str">
            <v>Acabamento em ACM para Fachadas - Material e mão de obra</v>
          </cell>
          <cell r="C521" t="str">
            <v>M2</v>
          </cell>
          <cell r="D521">
            <v>1200</v>
          </cell>
        </row>
        <row r="522">
          <cell r="B522" t="str">
            <v>Painel metálico, aplicação em Fachada - Material e  Mão de Obra</v>
          </cell>
          <cell r="C522" t="str">
            <v>M2</v>
          </cell>
          <cell r="D522">
            <v>1200</v>
          </cell>
        </row>
        <row r="523">
          <cell r="B523" t="str">
            <v>Painel metálico perfurado, aplicação em Fachada</v>
          </cell>
          <cell r="C523" t="str">
            <v>M2</v>
          </cell>
          <cell r="D523">
            <v>1200</v>
          </cell>
        </row>
        <row r="524">
          <cell r="B524" t="str">
            <v>PASTILHA DE PORCELANA ATLAS 15x15 GRANEL ISLA M16112</v>
          </cell>
          <cell r="C524" t="str">
            <v>M2</v>
          </cell>
          <cell r="D524">
            <v>251.36</v>
          </cell>
        </row>
        <row r="525">
          <cell r="B525" t="str">
            <v>Cer. Karina Artisan 60305 Act. 60x60 Ret</v>
          </cell>
          <cell r="C525" t="str">
            <v>M2</v>
          </cell>
          <cell r="D525">
            <v>47.23</v>
          </cell>
        </row>
        <row r="526">
          <cell r="B526" t="str">
            <v>Piso Emborrachado Monolitico Rubber</v>
          </cell>
          <cell r="C526" t="str">
            <v>M2</v>
          </cell>
          <cell r="D526">
            <v>250</v>
          </cell>
        </row>
        <row r="527">
          <cell r="B527" t="str">
            <v>Piso de borracha Daud botão preto 3 x 500 x 500 mm</v>
          </cell>
          <cell r="C527" t="str">
            <v>M2</v>
          </cell>
          <cell r="D527">
            <v>56.675999999999995</v>
          </cell>
        </row>
        <row r="528">
          <cell r="B528" t="str">
            <v>Revestimento de piso laminado acústico, nas áreas privativas - Material e Mão de Obra</v>
          </cell>
          <cell r="C528" t="str">
            <v>M2</v>
          </cell>
          <cell r="D528">
            <v>177</v>
          </cell>
        </row>
        <row r="529">
          <cell r="B529" t="str">
            <v>Cerâmica Vulcano Cinza 61x61</v>
          </cell>
          <cell r="C529" t="str">
            <v>M2</v>
          </cell>
          <cell r="D529">
            <v>63.59</v>
          </cell>
        </row>
        <row r="530">
          <cell r="B530" t="str">
            <v>Piso elevado</v>
          </cell>
          <cell r="C530" t="str">
            <v>M2</v>
          </cell>
          <cell r="D530">
            <v>146.69999999999999</v>
          </cell>
        </row>
        <row r="531">
          <cell r="B531" t="str">
            <v>Porcelanato a 60x60 noir polido</v>
          </cell>
          <cell r="C531" t="str">
            <v>M2</v>
          </cell>
          <cell r="D531">
            <v>69.944444444444443</v>
          </cell>
        </row>
        <row r="532">
          <cell r="B532" t="str">
            <v>Piso Esmaltado 60x60 Duran Grafite 60319 Retificado</v>
          </cell>
          <cell r="C532" t="str">
            <v>M2</v>
          </cell>
          <cell r="D532">
            <v>75</v>
          </cell>
        </row>
        <row r="533">
          <cell r="B533" t="str">
            <v>Porcelanato Cemento Nebbia Retificado Acetinado 60x60 Biancogres</v>
          </cell>
          <cell r="C533" t="str">
            <v>M2</v>
          </cell>
          <cell r="D533">
            <v>62.9</v>
          </cell>
        </row>
        <row r="534">
          <cell r="B534" t="str">
            <v>Revestimento para Piscina Esmaltado Giz Borda Arredondada Bold Cinza 15x15cm Gabriella</v>
          </cell>
          <cell r="C534" t="str">
            <v>M2</v>
          </cell>
          <cell r="D534">
            <v>143.72999999999999</v>
          </cell>
        </row>
        <row r="535">
          <cell r="B535" t="str">
            <v>PORCELANATO 90X90 PORTOBELLO CHIARO DI VERSILIA NATURAL</v>
          </cell>
          <cell r="C535" t="str">
            <v>M2</v>
          </cell>
          <cell r="D535">
            <v>119.99</v>
          </cell>
        </row>
        <row r="536">
          <cell r="B536" t="str">
            <v>Porcelanato 61,1x61,1cm Cement Grigio Pure 61024 Acetinado Extra</v>
          </cell>
          <cell r="C536" t="str">
            <v>M2</v>
          </cell>
          <cell r="D536">
            <v>78.930000000000007</v>
          </cell>
        </row>
        <row r="537">
          <cell r="B537" t="str">
            <v>Porcenalato Interno Acetinado 90x90cm Mirage CTM Incesa</v>
          </cell>
          <cell r="C537" t="str">
            <v>M2</v>
          </cell>
          <cell r="D537">
            <v>143.76</v>
          </cell>
        </row>
        <row r="538">
          <cell r="B538" t="str">
            <v>Porcenalato Interno 90x90cm preto e branco</v>
          </cell>
          <cell r="C538" t="str">
            <v>M2</v>
          </cell>
          <cell r="D538">
            <v>135</v>
          </cell>
        </row>
        <row r="539">
          <cell r="B539" t="str">
            <v>Revestimento de Mdf em parede</v>
          </cell>
          <cell r="C539" t="str">
            <v>M2</v>
          </cell>
          <cell r="D539">
            <v>220</v>
          </cell>
        </row>
        <row r="540">
          <cell r="B540" t="str">
            <v>Porcelanato Eliane Revestimentos – Linha Lumina Areia 20x20</v>
          </cell>
          <cell r="C540" t="str">
            <v>M2</v>
          </cell>
          <cell r="D540">
            <v>115</v>
          </cell>
        </row>
        <row r="541">
          <cell r="B541" t="str">
            <v>Porcelanato Matiz Agave MT 30x90 - Eliane Revestimentos</v>
          </cell>
          <cell r="C541" t="str">
            <v>M2</v>
          </cell>
          <cell r="D541">
            <v>235</v>
          </cell>
        </row>
        <row r="542">
          <cell r="B542" t="str">
            <v xml:space="preserve">Porcelanato Eliane Silex 90x90 Branco Nat </v>
          </cell>
          <cell r="C542" t="str">
            <v>M2</v>
          </cell>
          <cell r="D542">
            <v>568</v>
          </cell>
        </row>
        <row r="543">
          <cell r="B543" t="str">
            <v xml:space="preserve">Cerâmica Tradição 23x23cm Lepri </v>
          </cell>
          <cell r="C543" t="str">
            <v>M2</v>
          </cell>
          <cell r="D543">
            <v>141</v>
          </cell>
        </row>
        <row r="544">
          <cell r="B544" t="str">
            <v xml:space="preserve"> Porcelanato Portobello – Coleção “Graphite Retro Geo”</v>
          </cell>
          <cell r="C544" t="str">
            <v>M2</v>
          </cell>
          <cell r="D544">
            <v>135</v>
          </cell>
        </row>
        <row r="545">
          <cell r="B545" t="str">
            <v>Revestimento para Parede Hexa Blue 22,8x22,8cm Ceral</v>
          </cell>
          <cell r="C545" t="str">
            <v>M2</v>
          </cell>
          <cell r="D545">
            <v>211</v>
          </cell>
        </row>
        <row r="546">
          <cell r="B546" t="str">
            <v>porcelanato villagers 82x141,5 retificado externo</v>
          </cell>
          <cell r="C546" t="str">
            <v>M2</v>
          </cell>
          <cell r="D546">
            <v>175</v>
          </cell>
        </row>
        <row r="547">
          <cell r="B547" t="str">
            <v>Piso Cerâmico Externo Granilhado Pietra 75x75cm</v>
          </cell>
          <cell r="C547" t="str">
            <v>M2</v>
          </cell>
          <cell r="D547">
            <v>89</v>
          </cell>
        </row>
        <row r="548">
          <cell r="B548" t="str">
            <v>Piso Cerâmico Externo Ceres Plus Pisoforte | G-Haus</v>
          </cell>
          <cell r="C548" t="str">
            <v>M2</v>
          </cell>
          <cell r="D548">
            <v>104</v>
          </cell>
        </row>
        <row r="549">
          <cell r="B549" t="str">
            <v>Revestimento de Piso emborrachado imitando madeira</v>
          </cell>
          <cell r="C549" t="str">
            <v>M2</v>
          </cell>
          <cell r="D549">
            <v>481.5</v>
          </cell>
        </row>
        <row r="550">
          <cell r="B550" t="str">
            <v>Revestimento para Azulejo Milos - Vila Sintra Azulejos</v>
          </cell>
          <cell r="C550" t="str">
            <v>M2</v>
          </cell>
          <cell r="D550">
            <v>474</v>
          </cell>
        </row>
        <row r="551">
          <cell r="B551" t="str">
            <v>SISTEMA MUX ARABI 100 X 100mm - com recorte</v>
          </cell>
          <cell r="C551" t="str">
            <v>M2</v>
          </cell>
          <cell r="D551">
            <v>1060</v>
          </cell>
        </row>
        <row r="552">
          <cell r="B552" t="str">
            <v>Arkowood K - 30x50</v>
          </cell>
          <cell r="C552" t="str">
            <v>M2</v>
          </cell>
          <cell r="D552">
            <v>648</v>
          </cell>
        </row>
        <row r="553">
          <cell r="B553" t="str">
            <v>Mão de obra de obra execução de arkwood</v>
          </cell>
          <cell r="C553" t="str">
            <v>M2</v>
          </cell>
          <cell r="D553">
            <v>300</v>
          </cell>
        </row>
        <row r="554">
          <cell r="B554" t="str">
            <v>Porcelanato Esmaltado 90x90cm Cinza Cemento Grigio Biancogres</v>
          </cell>
          <cell r="C554" t="str">
            <v>M2</v>
          </cell>
          <cell r="D554">
            <v>67.510000000000005</v>
          </cell>
        </row>
        <row r="555">
          <cell r="B555" t="str">
            <v>Pisos Para Academia Emborrachado Aubicon Placa 25 mm, 70x70</v>
          </cell>
          <cell r="C555" t="str">
            <v>M2</v>
          </cell>
          <cell r="D555">
            <v>160</v>
          </cell>
        </row>
        <row r="556">
          <cell r="B556" t="str">
            <v>Cerâmica Tradição 23x23cm esmaltado listrado</v>
          </cell>
          <cell r="C556" t="str">
            <v>M2</v>
          </cell>
          <cell r="D556">
            <v>145</v>
          </cell>
        </row>
        <row r="557">
          <cell r="B557" t="str">
            <v>Revestimento em Parede de Azulejo JK Solid | Estúdio Mosaico</v>
          </cell>
          <cell r="C557" t="str">
            <v>M2</v>
          </cell>
          <cell r="D557">
            <v>630</v>
          </cell>
        </row>
        <row r="558">
          <cell r="B558" t="str">
            <v>Pisos Para Academia Emborrachado Aubicon Placa 40 mm, 70x70</v>
          </cell>
          <cell r="C558" t="str">
            <v>M2</v>
          </cell>
          <cell r="D558">
            <v>200</v>
          </cell>
        </row>
        <row r="559">
          <cell r="B559" t="str">
            <v>Pisos Para Academia Emborrachado Aubicon Placa 50 mm, 90x90</v>
          </cell>
          <cell r="C559" t="str">
            <v>M2</v>
          </cell>
          <cell r="D559">
            <v>250</v>
          </cell>
        </row>
        <row r="560">
          <cell r="B560" t="str">
            <v>Pisos Para Academia Emborrachado Aubicon Placa 80 mm, 90x90</v>
          </cell>
          <cell r="C560" t="str">
            <v>M2</v>
          </cell>
          <cell r="D560">
            <v>320</v>
          </cell>
        </row>
        <row r="561">
          <cell r="B561" t="str">
            <v>Cerâmica Brilhante Metrô 31x54cm Savane</v>
          </cell>
          <cell r="C561" t="str">
            <v>M2</v>
          </cell>
          <cell r="D561">
            <v>72.63</v>
          </cell>
        </row>
        <row r="562">
          <cell r="B562" t="str">
            <v>Cerâmica Tradição 23x23cm verde claro</v>
          </cell>
          <cell r="C562" t="str">
            <v>M2</v>
          </cell>
          <cell r="D562">
            <v>110</v>
          </cell>
        </row>
        <row r="563">
          <cell r="B563" t="str">
            <v>Porcelanato fachada</v>
          </cell>
          <cell r="C563" t="str">
            <v>M2</v>
          </cell>
          <cell r="D563">
            <v>165</v>
          </cell>
        </row>
        <row r="564">
          <cell r="B564" t="str">
            <v>Porcelanato Natural Portinari Neutral OFW "A" 100x100cm</v>
          </cell>
          <cell r="C564" t="str">
            <v>M2</v>
          </cell>
          <cell r="D564">
            <v>372.9</v>
          </cell>
        </row>
        <row r="565">
          <cell r="B565" t="str">
            <v>PLACA VINILICA SEMIFLEXIVEL PARA PISOS</v>
          </cell>
          <cell r="C565" t="str">
            <v>M2</v>
          </cell>
          <cell r="D565">
            <v>123.38</v>
          </cell>
        </row>
        <row r="566">
          <cell r="B566" t="str">
            <v>PISO VINILICO RUFFINO SOFISTICATO 2MM - MATERIAL E MÃO DE OBRA</v>
          </cell>
          <cell r="C566" t="str">
            <v>M2</v>
          </cell>
          <cell r="D566">
            <v>150</v>
          </cell>
        </row>
        <row r="567">
          <cell r="B567" t="str">
            <v>PISO VINILICO LINHA AMBIENTA SERIES CEDRO  TARKETT - MATERIAL E MÃO DE OBRA</v>
          </cell>
          <cell r="C567" t="str">
            <v>M2</v>
          </cell>
          <cell r="D567">
            <v>240</v>
          </cell>
        </row>
        <row r="568">
          <cell r="B568" t="str">
            <v>PISO VINILICO FLAMBOYANT REGUÁ 208x1230mm TARKETT - MATERIAL E MÃO DE OBRA</v>
          </cell>
          <cell r="C568" t="str">
            <v>M2</v>
          </cell>
          <cell r="D568">
            <v>269.76</v>
          </cell>
        </row>
        <row r="569">
          <cell r="B569" t="str">
            <v>PISO VINILICO LUZ DO DIA LINHA VITAL 1219,2x228,6mm FINOTATTO - MATERIAL E MÃO DE OBRA</v>
          </cell>
          <cell r="C569" t="str">
            <v>M2</v>
          </cell>
          <cell r="D569">
            <v>161.80000000000001</v>
          </cell>
        </row>
        <row r="570">
          <cell r="B570" t="str">
            <v xml:space="preserve">Porcelanato A 30x30 </v>
          </cell>
          <cell r="C570" t="str">
            <v>M2</v>
          </cell>
          <cell r="D570">
            <v>75.8</v>
          </cell>
        </row>
        <row r="571">
          <cell r="B571" t="str">
            <v xml:space="preserve">Porcelanato A 30x60 Polido </v>
          </cell>
          <cell r="C571" t="str">
            <v>M2</v>
          </cell>
          <cell r="D571">
            <v>75.8</v>
          </cell>
        </row>
        <row r="572">
          <cell r="B572" t="str">
            <v xml:space="preserve">Porcelanato A 90x90 Polido </v>
          </cell>
          <cell r="C572" t="str">
            <v>M2</v>
          </cell>
          <cell r="D572">
            <v>82</v>
          </cell>
        </row>
        <row r="573">
          <cell r="B573" t="str">
            <v>Porcelanato Minimum cimento eliane A 90x90 ext</v>
          </cell>
          <cell r="C573" t="str">
            <v>M2</v>
          </cell>
          <cell r="D573">
            <v>178.8</v>
          </cell>
        </row>
        <row r="574">
          <cell r="B574" t="str">
            <v xml:space="preserve">Porcelanato A 90x90cm acetinado </v>
          </cell>
          <cell r="C574" t="str">
            <v>M2</v>
          </cell>
          <cell r="D574">
            <v>75.8</v>
          </cell>
        </row>
        <row r="575">
          <cell r="B575" t="str">
            <v>Piso de mosaico granitinho branco</v>
          </cell>
          <cell r="C575" t="str">
            <v>M2</v>
          </cell>
          <cell r="D575">
            <v>116.1</v>
          </cell>
        </row>
        <row r="576">
          <cell r="B576" t="str">
            <v>Piso de mosaico granitinho cinza</v>
          </cell>
          <cell r="C576" t="str">
            <v>M2</v>
          </cell>
          <cell r="D576">
            <v>36.96</v>
          </cell>
        </row>
        <row r="577">
          <cell r="B577" t="str">
            <v>PEDRA LISA HITMAN 10X10 PALIMANAM</v>
          </cell>
          <cell r="C577" t="str">
            <v>M2</v>
          </cell>
          <cell r="D577">
            <v>276</v>
          </cell>
        </row>
        <row r="578">
          <cell r="B578" t="str">
            <v>Revestimento Mate Portobello Georgian Red Tel "A" 7x26 (30x39)</v>
          </cell>
          <cell r="C578" t="str">
            <v>M2</v>
          </cell>
          <cell r="D578">
            <v>136.88999999999999</v>
          </cell>
        </row>
        <row r="579">
          <cell r="B579" t="str">
            <v>Revestimento Pastilha Barlavento Caribbean 14,5x14,5 cm, bold externo portobello</v>
          </cell>
          <cell r="C579" t="str">
            <v>M2</v>
          </cell>
          <cell r="D579">
            <v>154.88999999999999</v>
          </cell>
        </row>
        <row r="580">
          <cell r="B580" t="str">
            <v xml:space="preserve">Porcelanato A 84x84cm acetinado </v>
          </cell>
          <cell r="C580" t="str">
            <v>M2</v>
          </cell>
          <cell r="D580">
            <v>80</v>
          </cell>
        </row>
        <row r="581">
          <cell r="B581" t="str">
            <v>PAINEL PORCELANATO MATERIA CALCARIO AC 60X120 CM, com
aplicação de Tela de Fibra de Vidro.</v>
          </cell>
          <cell r="C581" t="str">
            <v>M2</v>
          </cell>
          <cell r="D581">
            <v>246.84</v>
          </cell>
        </row>
        <row r="582">
          <cell r="B582" t="str">
            <v>Porcelanato Amadeirado Acetinado 19x117cm</v>
          </cell>
          <cell r="C582" t="str">
            <v>M2</v>
          </cell>
          <cell r="D582">
            <v>109.89</v>
          </cell>
        </row>
        <row r="583">
          <cell r="B583" t="str">
            <v>Porcelanato Arena Cinza Bold Externo 60x60 Eliane</v>
          </cell>
          <cell r="C583" t="str">
            <v>M2</v>
          </cell>
          <cell r="D583">
            <v>113.22</v>
          </cell>
        </row>
        <row r="584">
          <cell r="B584" t="str">
            <v xml:space="preserve">Porcelanato A 60x60cm acetinado </v>
          </cell>
          <cell r="C584" t="str">
            <v>M2</v>
          </cell>
          <cell r="D584">
            <v>67.88</v>
          </cell>
        </row>
        <row r="585">
          <cell r="B585" t="str">
            <v>Porcelanato Canela Dourada Retificado Natural 20x120</v>
          </cell>
          <cell r="C585" t="str">
            <v>M2</v>
          </cell>
          <cell r="D585">
            <v>165</v>
          </cell>
        </row>
        <row r="586">
          <cell r="B586" t="str">
            <v>Revestimento Cerâmico de Piso Interno 58x58</v>
          </cell>
          <cell r="C586" t="str">
            <v>M2</v>
          </cell>
          <cell r="D586">
            <v>39.64</v>
          </cell>
        </row>
        <row r="587">
          <cell r="B587" t="str">
            <v>REVESTIMENTO CERÂMICO DE TIJOLINHO</v>
          </cell>
          <cell r="C587" t="str">
            <v>M2</v>
          </cell>
          <cell r="D587">
            <v>112.71</v>
          </cell>
        </row>
        <row r="588">
          <cell r="B588" t="str">
            <v>GRADE PISO ACO ASTM A36 LISO ACB. DES. PADRAO GALV A FOGO - 2,2x1,34</v>
          </cell>
          <cell r="C588" t="str">
            <v>M2</v>
          </cell>
          <cell r="D588">
            <v>1036.9504748982358</v>
          </cell>
        </row>
        <row r="589">
          <cell r="B589" t="str">
            <v>Porcelanato "A" 60x60 Place Polido 8058873 Eliane</v>
          </cell>
          <cell r="C589" t="str">
            <v>M2</v>
          </cell>
          <cell r="D589">
            <v>89.9</v>
          </cell>
        </row>
        <row r="590">
          <cell r="B590" t="str">
            <v>Porcelanato Polido Eliane Place "A" 120x120</v>
          </cell>
          <cell r="C590" t="str">
            <v>M2</v>
          </cell>
          <cell r="D590">
            <v>136.88999999999999</v>
          </cell>
        </row>
        <row r="591">
          <cell r="B591" t="str">
            <v>Porcelanato Polido 100x100</v>
          </cell>
          <cell r="C591" t="str">
            <v>M2</v>
          </cell>
          <cell r="D591">
            <v>92.916666666666671</v>
          </cell>
        </row>
        <row r="592">
          <cell r="B592" t="str">
            <v>Porcelanato Acetinado 120x120cm</v>
          </cell>
          <cell r="C592" t="str">
            <v>M2</v>
          </cell>
          <cell r="D592">
            <v>140</v>
          </cell>
        </row>
        <row r="593">
          <cell r="B593" t="str">
            <v>Porcelanato Superquadra Cru 60X120 Nat Ret</v>
          </cell>
          <cell r="C593" t="str">
            <v>M2</v>
          </cell>
          <cell r="D593">
            <v>110.5</v>
          </cell>
        </row>
        <row r="594">
          <cell r="B594" t="str">
            <v>Porcelanato Superquadra 60X120 - Portobelo</v>
          </cell>
          <cell r="C594" t="str">
            <v>M2</v>
          </cell>
          <cell r="D594">
            <v>110.5</v>
          </cell>
        </row>
        <row r="595">
          <cell r="B595" t="str">
            <v>Porcelanato Ártico Alpe 60X120Cm Ret. Ac. Eliane</v>
          </cell>
          <cell r="C595" t="str">
            <v>M2</v>
          </cell>
          <cell r="D595">
            <v>66.900000000000006</v>
          </cell>
        </row>
        <row r="596">
          <cell r="B596" t="str">
            <v>Porcelanato Onyx Unique Ret. Acetinado 120X120Cm - Portobello</v>
          </cell>
          <cell r="C596" t="str">
            <v>M2</v>
          </cell>
          <cell r="D596">
            <v>133.80000000000001</v>
          </cell>
        </row>
        <row r="597">
          <cell r="B597" t="str">
            <v>Porcelanato Onyx Unique Ret. Polido 120X120Cm - Portobello</v>
          </cell>
          <cell r="C597" t="str">
            <v>M2</v>
          </cell>
          <cell r="D597">
            <v>133.80000000000001</v>
          </cell>
        </row>
        <row r="598">
          <cell r="B598" t="str">
            <v>Porcelanato Travertino Navona Bianco 120X120Cm Ret. Natural Portobello</v>
          </cell>
          <cell r="C598" t="str">
            <v>M2</v>
          </cell>
          <cell r="D598">
            <v>133.80000000000001</v>
          </cell>
        </row>
        <row r="599">
          <cell r="B599" t="str">
            <v>Porcelanato Pp Pro Nude Gp 60X60Cm Retificado</v>
          </cell>
          <cell r="C599" t="str">
            <v>M2</v>
          </cell>
          <cell r="D599">
            <v>43.86</v>
          </cell>
        </row>
        <row r="600">
          <cell r="B600" t="str">
            <v xml:space="preserve">Porcelanato Botanique Melisse Mate Portobello 29X30Cm    </v>
          </cell>
          <cell r="C600" t="str">
            <v>M2</v>
          </cell>
          <cell r="D600">
            <v>83.4</v>
          </cell>
        </row>
        <row r="601">
          <cell r="B601" t="str">
            <v>Cerâmico Acetinado Imperial Mt 50X50Xcm</v>
          </cell>
          <cell r="C601" t="str">
            <v>M2</v>
          </cell>
          <cell r="D601">
            <v>44.9</v>
          </cell>
        </row>
        <row r="602">
          <cell r="B602" t="str">
            <v xml:space="preserve">Piso Cimenticio Tecnogran 60X60Cm Linha Lavaggio  </v>
          </cell>
          <cell r="C602" t="str">
            <v>M2</v>
          </cell>
          <cell r="D602">
            <v>44.9</v>
          </cell>
        </row>
        <row r="603">
          <cell r="B603" t="str">
            <v>Piso Cargo Plus 45x45cm White Eliane</v>
          </cell>
          <cell r="C603" t="str">
            <v>M2</v>
          </cell>
          <cell r="D603">
            <v>44.9</v>
          </cell>
        </row>
        <row r="604">
          <cell r="B604" t="str">
            <v>Revestimento de parede em porcelanato, placa 30x90cm</v>
          </cell>
          <cell r="C604" t="str">
            <v>M2</v>
          </cell>
          <cell r="D604">
            <v>112.22500000000001</v>
          </cell>
        </row>
        <row r="605">
          <cell r="B605" t="str">
            <v>Revestimento Pastilha 07x24cm</v>
          </cell>
          <cell r="C605" t="str">
            <v>M2</v>
          </cell>
          <cell r="D605">
            <v>83.95</v>
          </cell>
        </row>
        <row r="606">
          <cell r="B606" t="str">
            <v>Revestimento Pastilha 14,5x14,5cm</v>
          </cell>
          <cell r="C606" t="str">
            <v>M2</v>
          </cell>
          <cell r="D606">
            <v>127.9</v>
          </cell>
        </row>
        <row r="607">
          <cell r="B607" t="str">
            <v>Revestimento Pastilha 2,5x2,5cm</v>
          </cell>
          <cell r="C607" t="str">
            <v>M2</v>
          </cell>
          <cell r="D607">
            <v>233.37</v>
          </cell>
        </row>
        <row r="608">
          <cell r="B608" t="str">
            <v>Revestimento Pastilha 20x20cm</v>
          </cell>
          <cell r="C608" t="str">
            <v>M2</v>
          </cell>
          <cell r="D608">
            <v>163.66</v>
          </cell>
        </row>
        <row r="609">
          <cell r="B609" t="str">
            <v>Revestimento Pastilha 5x5cm</v>
          </cell>
          <cell r="C609" t="str">
            <v>M2</v>
          </cell>
          <cell r="D609">
            <v>146.44</v>
          </cell>
        </row>
        <row r="610">
          <cell r="B610" t="str">
            <v>Petit Pavé Branco Pedra Portuguesa</v>
          </cell>
          <cell r="C610" t="str">
            <v>M2</v>
          </cell>
          <cell r="D610">
            <v>79</v>
          </cell>
        </row>
        <row r="611">
          <cell r="B611" t="str">
            <v>Piso drenante - 45x45x5</v>
          </cell>
          <cell r="C611" t="str">
            <v>M2</v>
          </cell>
          <cell r="D611">
            <v>122.96296296296295</v>
          </cell>
        </row>
        <row r="612">
          <cell r="B612" t="str">
            <v>Pisos Para Academia e Crossfit Emborrachado - 50 x 50 cm</v>
          </cell>
          <cell r="C612" t="str">
            <v>M2</v>
          </cell>
          <cell r="D612">
            <v>138.4</v>
          </cell>
        </row>
        <row r="613">
          <cell r="B613" t="str">
            <v>Revestimento Portinari Pacific Bl Lux Bold 20x20</v>
          </cell>
          <cell r="C613" t="str">
            <v>M2</v>
          </cell>
          <cell r="D613">
            <v>182.45</v>
          </cell>
        </row>
        <row r="614">
          <cell r="B614" t="str">
            <v>Revestimento Ripado de Concreto</v>
          </cell>
          <cell r="C614" t="str">
            <v>M2</v>
          </cell>
          <cell r="D614">
            <v>280</v>
          </cell>
        </row>
        <row r="615">
          <cell r="B615" t="str">
            <v>Piso modular polipropileno (PP) antiderrapante, UV, encaixe macho-fêmea, com tratamento anti-impacto</v>
          </cell>
          <cell r="C615" t="str">
            <v>M2</v>
          </cell>
          <cell r="D615">
            <v>250</v>
          </cell>
        </row>
        <row r="616">
          <cell r="B616" t="str">
            <v>Revestimento Pedra Hijau Lisa 20x20 cm</v>
          </cell>
          <cell r="C616" t="str">
            <v>M2</v>
          </cell>
          <cell r="D616">
            <v>332.1</v>
          </cell>
        </row>
        <row r="617">
          <cell r="B617" t="str">
            <v>Porcelanato Portobello Deck Parquet D Olivier Externo "A" 81x81cm</v>
          </cell>
          <cell r="C617" t="str">
            <v>M2</v>
          </cell>
          <cell r="D617">
            <v>84.9</v>
          </cell>
        </row>
        <row r="618">
          <cell r="B618" t="str">
            <v>PORCELANATO DELTA 73X73 RETIFICADO ACETINADO JUA CLARO 2280-A</v>
          </cell>
          <cell r="C618" t="str">
            <v>M2</v>
          </cell>
          <cell r="D618">
            <v>68.900000000000006</v>
          </cell>
        </row>
        <row r="619">
          <cell r="B619" t="str">
            <v>Porcelanato Piso Retificado Embramaco 76x76cm Acetinado Nevada Mate Plus Retificado</v>
          </cell>
          <cell r="C619" t="str">
            <v>M2</v>
          </cell>
          <cell r="D619">
            <v>34.9</v>
          </cell>
        </row>
        <row r="620">
          <cell r="B620" t="str">
            <v>Porcelanato Pro Concrete Abs 89,5X89,5cm</v>
          </cell>
          <cell r="C620" t="str">
            <v>M2</v>
          </cell>
          <cell r="D620">
            <v>144.9</v>
          </cell>
        </row>
        <row r="621">
          <cell r="B621" t="str">
            <v>PORCELANATO VILLAGRES 71X71 RETIFICADO ACETINADO MONTREAL FENDI</v>
          </cell>
          <cell r="C621" t="str">
            <v>M2</v>
          </cell>
          <cell r="D621">
            <v>76.3</v>
          </cell>
        </row>
        <row r="622">
          <cell r="B622" t="str">
            <v>Porcelanato Biancogres Ripa Sense 45x90 Acetinado</v>
          </cell>
          <cell r="C622" t="str">
            <v>M2</v>
          </cell>
          <cell r="D622">
            <v>85.9</v>
          </cell>
        </row>
        <row r="623">
          <cell r="B623" t="str">
            <v>Porcelanato Marmorizado Polido Borda Reta Interno 90x90cm Avorio di Brescia Portobello</v>
          </cell>
          <cell r="C623" t="str">
            <v>M2</v>
          </cell>
          <cell r="D623">
            <v>202.01</v>
          </cell>
        </row>
        <row r="624">
          <cell r="B624" t="str">
            <v>Revestimento Realce 32X56 32001 Branco Brilhante</v>
          </cell>
          <cell r="C624" t="str">
            <v>M2</v>
          </cell>
          <cell r="D624">
            <v>47.8</v>
          </cell>
        </row>
        <row r="625">
          <cell r="B625" t="str">
            <v>PORCELANATO ELIZABETH EGEU SAND 74x74 A</v>
          </cell>
          <cell r="C625" t="str">
            <v>M2</v>
          </cell>
          <cell r="D625">
            <v>89.9</v>
          </cell>
        </row>
        <row r="626">
          <cell r="B626" t="str">
            <v>Porcelanato Cimentício Acetinado Borda Reta Interno 120x120cm Munari Branco Eliane</v>
          </cell>
          <cell r="C626" t="str">
            <v>M2</v>
          </cell>
          <cell r="D626">
            <v>183.21</v>
          </cell>
        </row>
        <row r="627">
          <cell r="B627" t="str">
            <v>Porcelanato 160X320 Cm</v>
          </cell>
          <cell r="C627" t="str">
            <v>M2</v>
          </cell>
          <cell r="D627">
            <v>183.21</v>
          </cell>
        </row>
        <row r="628">
          <cell r="B628" t="str">
            <v xml:space="preserve">Porcelanato Biancogres 20x120 Scala Beige-a Ret </v>
          </cell>
          <cell r="C628" t="str">
            <v>M2</v>
          </cell>
          <cell r="D628">
            <v>99.7</v>
          </cell>
        </row>
        <row r="629">
          <cell r="B629" t="str">
            <v>Piso Firenze Texas Gray Área Externa Classe A 60 x 60 Cm</v>
          </cell>
          <cell r="C629" t="str">
            <v>M2</v>
          </cell>
          <cell r="D629">
            <v>17</v>
          </cell>
        </row>
        <row r="630">
          <cell r="B630" t="str">
            <v>Piso 75x75cm Cedasa Retificado Evidence Polido</v>
          </cell>
          <cell r="C630" t="str">
            <v>M2</v>
          </cell>
          <cell r="D630">
            <v>143.55000000000001</v>
          </cell>
        </row>
        <row r="631">
          <cell r="B631" t="str">
            <v>Porcelanato Tipo Argila | Portobello - 120x20 cm</v>
          </cell>
          <cell r="C631" t="str">
            <v>M2</v>
          </cell>
          <cell r="D631">
            <v>160</v>
          </cell>
        </row>
        <row r="632">
          <cell r="B632" t="str">
            <v xml:space="preserve">Porcelanato Mont Blanc Acetinado 90X90 Eliane    </v>
          </cell>
          <cell r="C632" t="str">
            <v>M2</v>
          </cell>
          <cell r="D632">
            <v>107.9</v>
          </cell>
        </row>
        <row r="633">
          <cell r="B633" t="str">
            <v xml:space="preserve">Porcelanato Mont Blanc Polido 90X90 Eliane    </v>
          </cell>
          <cell r="C633" t="str">
            <v>M2</v>
          </cell>
          <cell r="D633">
            <v>76.349999999999994</v>
          </cell>
        </row>
        <row r="634">
          <cell r="B634" t="str">
            <v>Porcelanato ELIANE 60X60 BOLD ACETINADO BLEND PLUS GREY</v>
          </cell>
          <cell r="C634" t="str">
            <v>M2</v>
          </cell>
          <cell r="D634">
            <v>107.9</v>
          </cell>
        </row>
        <row r="635">
          <cell r="B635" t="str">
            <v xml:space="preserve">Revestimento em Marcenaria, incluindo chapa de 18mm, acessorios para instalação - Material e Mão de Obra </v>
          </cell>
          <cell r="C635" t="str">
            <v>M2</v>
          </cell>
          <cell r="D635">
            <v>613</v>
          </cell>
        </row>
        <row r="636">
          <cell r="B636" t="str">
            <v>Acessórios (cantos, terminais)</v>
          </cell>
          <cell r="C636" t="str">
            <v>M</v>
          </cell>
          <cell r="D636">
            <v>7</v>
          </cell>
        </row>
        <row r="637">
          <cell r="B637" t="str">
            <v>Rodapé de PVC branco 10 cm</v>
          </cell>
          <cell r="C637" t="str">
            <v>M</v>
          </cell>
          <cell r="D637">
            <v>14</v>
          </cell>
        </row>
        <row r="638">
          <cell r="B638" t="str">
            <v>Rodapé de MDF h=5cm</v>
          </cell>
          <cell r="C638" t="str">
            <v>M</v>
          </cell>
          <cell r="D638">
            <v>19.25</v>
          </cell>
        </row>
        <row r="639">
          <cell r="B639" t="str">
            <v>Rodapé de MDF h=20cm</v>
          </cell>
          <cell r="C639" t="str">
            <v>M</v>
          </cell>
          <cell r="D639">
            <v>77</v>
          </cell>
        </row>
        <row r="640">
          <cell r="B640" t="str">
            <v>Rodapé de Madeira h=20cm</v>
          </cell>
          <cell r="C640" t="str">
            <v>M</v>
          </cell>
          <cell r="D640">
            <v>190</v>
          </cell>
        </row>
        <row r="641">
          <cell r="B641" t="str">
            <v>Rodapé Coordenado Madeira Ipê 7x240cm Artens</v>
          </cell>
          <cell r="C641" t="str">
            <v>M</v>
          </cell>
          <cell r="D641">
            <v>151.68571428571428</v>
          </cell>
        </row>
        <row r="642">
          <cell r="B642" t="str">
            <v>Rodape Em Poliestireno, H = 20cm</v>
          </cell>
          <cell r="C642" t="str">
            <v>M</v>
          </cell>
          <cell r="D642">
            <v>50.25</v>
          </cell>
        </row>
        <row r="643">
          <cell r="B643" t="str">
            <v>Rodape Em Poliestireno, H = 15cm</v>
          </cell>
          <cell r="C643" t="str">
            <v>M</v>
          </cell>
          <cell r="D643">
            <v>28.954166666666666</v>
          </cell>
        </row>
        <row r="644">
          <cell r="B644" t="str">
            <v>Rodapé De Poliestireno Santa Luzia Moderna 473 Branco 5cm </v>
          </cell>
          <cell r="C644" t="str">
            <v>M</v>
          </cell>
          <cell r="D644">
            <v>21.708333333333336</v>
          </cell>
        </row>
        <row r="645">
          <cell r="B645" t="str">
            <v>Rodape Branco Zeus - 20Cm</v>
          </cell>
          <cell r="C645" t="str">
            <v>M</v>
          </cell>
          <cell r="D645">
            <v>35</v>
          </cell>
        </row>
        <row r="646">
          <cell r="B646" t="str">
            <v>Rodape Em Poliestireno, H = 10cm</v>
          </cell>
          <cell r="C646" t="str">
            <v>M</v>
          </cell>
          <cell r="D646">
            <v>21.53</v>
          </cell>
        </row>
        <row r="647">
          <cell r="B647" t="str">
            <v>Rodape Em Poliestireno, H = 7cm</v>
          </cell>
          <cell r="C647" t="str">
            <v>UN</v>
          </cell>
          <cell r="D647">
            <v>17.0928</v>
          </cell>
        </row>
        <row r="648">
          <cell r="B648" t="str">
            <v>Rodape Em Porcelanato, H = 10cm</v>
          </cell>
          <cell r="C648" t="str">
            <v>M</v>
          </cell>
          <cell r="D648">
            <v>35.555555555555557</v>
          </cell>
        </row>
        <row r="649">
          <cell r="B649" t="str">
            <v>Rodape Em Porcelanato, H = 15cm</v>
          </cell>
          <cell r="C649" t="str">
            <v>M</v>
          </cell>
          <cell r="D649">
            <v>53.333333333333329</v>
          </cell>
        </row>
        <row r="650">
          <cell r="B650" t="str">
            <v>Rodape Em Porcelanato, H = 16,5cm</v>
          </cell>
          <cell r="C650" t="str">
            <v>M</v>
          </cell>
          <cell r="D650">
            <v>58.666666666666664</v>
          </cell>
        </row>
        <row r="651">
          <cell r="B651" t="str">
            <v>Escavação mecânica em solo, inclusive transporte (bota-fora)</v>
          </cell>
          <cell r="C651" t="str">
            <v>M3</v>
          </cell>
          <cell r="D651">
            <v>70.7</v>
          </cell>
        </row>
        <row r="652">
          <cell r="B652" t="str">
            <v>Escavação e Carga Mecanizada em Corte - Desaterro Solo</v>
          </cell>
          <cell r="C652" t="str">
            <v>M3</v>
          </cell>
          <cell r="D652">
            <v>27.132000000000001</v>
          </cell>
        </row>
        <row r="653">
          <cell r="B653" t="str">
            <v>Escavação e Carga Mecanizada em Corte - Desaterro Rocha</v>
          </cell>
          <cell r="C653" t="str">
            <v>M3</v>
          </cell>
          <cell r="D653">
            <v>4.4982000000000006</v>
          </cell>
        </row>
        <row r="654">
          <cell r="B654" t="str">
            <v>Espalhamento / Umedecimento / Compactação em Material de 1ª Categoria - 95% PN - Aterro</v>
          </cell>
          <cell r="C654" t="str">
            <v>M3</v>
          </cell>
          <cell r="D654">
            <v>9.2718000000000007</v>
          </cell>
        </row>
        <row r="655">
          <cell r="B655" t="str">
            <v>Escavação mecanizada com retroescavadeira</v>
          </cell>
          <cell r="C655" t="str">
            <v>M3</v>
          </cell>
          <cell r="D655">
            <v>36.36</v>
          </cell>
        </row>
        <row r="656">
          <cell r="B656" t="str">
            <v>Serviço de Limpeza permanete de Terreno</v>
          </cell>
          <cell r="C656" t="str">
            <v>m2</v>
          </cell>
          <cell r="D656">
            <v>1.804</v>
          </cell>
        </row>
        <row r="657">
          <cell r="B657" t="str">
            <v>Detonação de rochas</v>
          </cell>
          <cell r="C657" t="str">
            <v>M3</v>
          </cell>
          <cell r="D657">
            <v>320</v>
          </cell>
        </row>
        <row r="658">
          <cell r="B658" t="str">
            <v>Diária de topógrafo</v>
          </cell>
          <cell r="C658" t="str">
            <v>DIA</v>
          </cell>
          <cell r="D658">
            <v>1300</v>
          </cell>
        </row>
        <row r="659">
          <cell r="B659" t="str">
            <v>Serviço de Perfuração de vigas e lajes</v>
          </cell>
          <cell r="C659" t="str">
            <v>VB</v>
          </cell>
          <cell r="D659">
            <v>93981.530500000008</v>
          </cell>
        </row>
        <row r="660">
          <cell r="B660" t="str">
            <v>Execucao Estaca Escavada 025Cm</v>
          </cell>
          <cell r="C660" t="str">
            <v>M</v>
          </cell>
          <cell r="D660">
            <v>33</v>
          </cell>
        </row>
        <row r="661">
          <cell r="B661" t="str">
            <v>Execucao Estaca Escavada 030Cm</v>
          </cell>
          <cell r="C661" t="str">
            <v>M</v>
          </cell>
          <cell r="D661">
            <v>39</v>
          </cell>
        </row>
        <row r="662">
          <cell r="B662" t="str">
            <v>Execucao Estaca Escavada 040Cm</v>
          </cell>
          <cell r="C662" t="str">
            <v>M</v>
          </cell>
          <cell r="D662">
            <v>52.800000000000004</v>
          </cell>
        </row>
        <row r="663">
          <cell r="B663" t="str">
            <v>Execucao Estaca Escavada 050Cm</v>
          </cell>
          <cell r="C663" t="str">
            <v>M</v>
          </cell>
          <cell r="D663">
            <v>66</v>
          </cell>
        </row>
        <row r="664">
          <cell r="B664" t="str">
            <v>Execucao Estaca Escavada 060Cm</v>
          </cell>
          <cell r="C664" t="str">
            <v>M</v>
          </cell>
          <cell r="D664">
            <v>79.2</v>
          </cell>
        </row>
        <row r="665">
          <cell r="B665" t="str">
            <v>Execucao Estaca Escavada 070Cm</v>
          </cell>
          <cell r="C665" t="str">
            <v>M</v>
          </cell>
          <cell r="D665">
            <v>92.4</v>
          </cell>
        </row>
        <row r="666">
          <cell r="B666" t="str">
            <v>Execucao Estaca Escavada 080Cm</v>
          </cell>
          <cell r="C666" t="str">
            <v>M</v>
          </cell>
          <cell r="D666">
            <v>105.60000000000001</v>
          </cell>
        </row>
        <row r="667">
          <cell r="B667" t="str">
            <v>Execucao Estaca Helice Continua Monitorada 050Cm</v>
          </cell>
          <cell r="C667" t="str">
            <v>M</v>
          </cell>
          <cell r="D667">
            <v>150</v>
          </cell>
        </row>
        <row r="668">
          <cell r="B668" t="str">
            <v>Execucao Estaca Helice Continua Monitorada 060Cm</v>
          </cell>
          <cell r="C668" t="str">
            <v>M</v>
          </cell>
          <cell r="D668">
            <v>180</v>
          </cell>
        </row>
        <row r="669">
          <cell r="B669" t="str">
            <v>Execucao Estaca Helice Continua 030Cm</v>
          </cell>
          <cell r="C669" t="str">
            <v>M</v>
          </cell>
          <cell r="D669">
            <v>60</v>
          </cell>
        </row>
        <row r="670">
          <cell r="B670" t="str">
            <v>Execucao Estaca Helice Continua 040Cm</v>
          </cell>
          <cell r="C670" t="str">
            <v>M</v>
          </cell>
          <cell r="D670">
            <v>75</v>
          </cell>
        </row>
        <row r="671">
          <cell r="B671" t="str">
            <v>Execucao Estaca Helice Continua 050Cm</v>
          </cell>
          <cell r="C671" t="str">
            <v>M</v>
          </cell>
          <cell r="D671">
            <v>150</v>
          </cell>
        </row>
        <row r="672">
          <cell r="B672" t="str">
            <v>Execucao Estaca Helice Continua 060Cm</v>
          </cell>
          <cell r="C672" t="str">
            <v>M</v>
          </cell>
          <cell r="D672">
            <v>180</v>
          </cell>
        </row>
        <row r="673">
          <cell r="B673" t="str">
            <v>Execucao Estaca Helice Continua 070Cm</v>
          </cell>
          <cell r="C673" t="str">
            <v>M</v>
          </cell>
          <cell r="D673">
            <v>120</v>
          </cell>
        </row>
        <row r="674">
          <cell r="B674" t="str">
            <v>Execucao Estaca Helice Continua 080Cm</v>
          </cell>
          <cell r="C674" t="str">
            <v>M</v>
          </cell>
          <cell r="D674">
            <v>135</v>
          </cell>
        </row>
        <row r="675">
          <cell r="B675" t="str">
            <v>Execucao Estaca Helice Continua 090Cm</v>
          </cell>
          <cell r="C675" t="str">
            <v>M</v>
          </cell>
          <cell r="D675">
            <v>150</v>
          </cell>
        </row>
        <row r="676">
          <cell r="B676" t="str">
            <v>Execucao Estaca Helice Continua 100Cm</v>
          </cell>
          <cell r="C676" t="str">
            <v>M</v>
          </cell>
          <cell r="D676">
            <v>166.66666666666669</v>
          </cell>
        </row>
        <row r="677">
          <cell r="B677" t="str">
            <v>Mão de obra para execução de fundação</v>
          </cell>
          <cell r="C677" t="str">
            <v>M2</v>
          </cell>
          <cell r="D677">
            <v>435</v>
          </cell>
        </row>
        <row r="678">
          <cell r="B678" t="str">
            <v>Mão de obra de obra execução de contenção em cortina de concreto</v>
          </cell>
          <cell r="C678" t="str">
            <v>M2</v>
          </cell>
          <cell r="D678">
            <v>166.34420509708741</v>
          </cell>
        </row>
        <row r="679">
          <cell r="B679" t="str">
            <v>Forro de gesso modular - material e mão de obra</v>
          </cell>
          <cell r="C679" t="str">
            <v>M2</v>
          </cell>
          <cell r="D679">
            <v>160</v>
          </cell>
        </row>
        <row r="680">
          <cell r="B680" t="str">
            <v>Forro de gesso acartonado - áreas secas - Material e Mão de Obra</v>
          </cell>
          <cell r="C680" t="str">
            <v>M2</v>
          </cell>
          <cell r="D680">
            <v>100</v>
          </cell>
        </row>
        <row r="681">
          <cell r="B681" t="str">
            <v>Forro de gesso acartonado - áreas úmidas - Material e Mão de Obra</v>
          </cell>
          <cell r="C681" t="str">
            <v>M2</v>
          </cell>
          <cell r="D681">
            <v>120</v>
          </cell>
        </row>
        <row r="682">
          <cell r="B682" t="str">
            <v>Forro Removível - Material e Mão de Obra</v>
          </cell>
          <cell r="C682" t="str">
            <v>M2</v>
          </cell>
          <cell r="D682">
            <v>219.20046110145017</v>
          </cell>
        </row>
        <row r="683">
          <cell r="B683" t="str">
            <v>Forro de gesso mineral em tetos - Material e Mão de Obra</v>
          </cell>
          <cell r="C683" t="str">
            <v>M2</v>
          </cell>
          <cell r="D683">
            <v>55</v>
          </cell>
        </row>
        <row r="684">
          <cell r="B684" t="str">
            <v>Forro de gesso corrido - Material e Mão de Obra</v>
          </cell>
          <cell r="C684" t="str">
            <v>M2</v>
          </cell>
          <cell r="D684">
            <v>60</v>
          </cell>
        </row>
        <row r="685">
          <cell r="B685" t="str">
            <v>Forro de placa cimenticia - Material e Mão de Obra</v>
          </cell>
          <cell r="C685" t="str">
            <v>M2</v>
          </cell>
          <cell r="D685">
            <v>275</v>
          </cell>
        </row>
        <row r="686">
          <cell r="B686" t="str">
            <v>Negativo de forro de gesso mineral</v>
          </cell>
          <cell r="C686" t="str">
            <v>M2</v>
          </cell>
          <cell r="D686">
            <v>35</v>
          </cell>
        </row>
        <row r="687">
          <cell r="B687" t="str">
            <v>Negativo de forro de gesso acartonado - área umida</v>
          </cell>
          <cell r="C687" t="str">
            <v>M2</v>
          </cell>
          <cell r="D687">
            <v>36</v>
          </cell>
        </row>
        <row r="688">
          <cell r="B688" t="str">
            <v>Negativo de forro de gesso acartonado - área seca</v>
          </cell>
          <cell r="C688" t="str">
            <v>M2</v>
          </cell>
          <cell r="D688">
            <v>36</v>
          </cell>
        </row>
        <row r="689">
          <cell r="B689" t="str">
            <v>Revestimento de piso carpet - Material e Mão de Obra</v>
          </cell>
          <cell r="C689" t="str">
            <v>M2</v>
          </cell>
          <cell r="D689">
            <v>342.63975903614454</v>
          </cell>
        </row>
        <row r="690">
          <cell r="B690" t="str">
            <v>Instalação de piso emborrachado</v>
          </cell>
          <cell r="C690" t="str">
            <v>M2</v>
          </cell>
          <cell r="D690">
            <v>25.5</v>
          </cell>
        </row>
        <row r="691">
          <cell r="B691" t="str">
            <v>Instalação de piso vinilico</v>
          </cell>
          <cell r="C691" t="str">
            <v>M2</v>
          </cell>
          <cell r="D691">
            <v>25.5</v>
          </cell>
        </row>
        <row r="692">
          <cell r="B692" t="str">
            <v>Instalação de Churrasqueiras</v>
          </cell>
          <cell r="C692" t="str">
            <v>UN</v>
          </cell>
          <cell r="D692">
            <v>400</v>
          </cell>
        </row>
        <row r="693">
          <cell r="B693" t="str">
            <v>Mão de obra aplicação de gesso liso em teto</v>
          </cell>
          <cell r="C693" t="str">
            <v>M2</v>
          </cell>
          <cell r="D693">
            <v>25</v>
          </cell>
        </row>
        <row r="694">
          <cell r="B694" t="str">
            <v>Mão de obra coberturas</v>
          </cell>
          <cell r="C694" t="str">
            <v>M2</v>
          </cell>
          <cell r="D694">
            <v>220</v>
          </cell>
        </row>
        <row r="695">
          <cell r="B695" t="str">
            <v>Mão de obra execução Piso drenantes</v>
          </cell>
          <cell r="C695" t="str">
            <v>UN</v>
          </cell>
          <cell r="D695">
            <v>25</v>
          </cell>
        </row>
        <row r="696">
          <cell r="B696" t="str">
            <v>Mão de obra de rodapé Pedra Natural</v>
          </cell>
          <cell r="C696" t="str">
            <v>UN</v>
          </cell>
          <cell r="D696">
            <v>22</v>
          </cell>
        </row>
        <row r="697">
          <cell r="B697" t="str">
            <v>Mão de obra de colocação de soleira em porcelanato</v>
          </cell>
          <cell r="C697" t="str">
            <v>UN</v>
          </cell>
          <cell r="D697">
            <v>50</v>
          </cell>
        </row>
        <row r="698">
          <cell r="B698" t="str">
            <v>Mão de obra de colocação de soleira em granito</v>
          </cell>
          <cell r="C698" t="str">
            <v>UN</v>
          </cell>
          <cell r="D698">
            <v>22</v>
          </cell>
        </row>
        <row r="699">
          <cell r="B699" t="str">
            <v>Mão de obra de colocação de soleira em pedra natural</v>
          </cell>
          <cell r="C699" t="str">
            <v>UN</v>
          </cell>
          <cell r="D699">
            <v>22</v>
          </cell>
        </row>
        <row r="700">
          <cell r="B700" t="str">
            <v>Mão de obra de enchimento de piso</v>
          </cell>
          <cell r="C700" t="str">
            <v>M2</v>
          </cell>
          <cell r="D700">
            <v>16.75</v>
          </cell>
        </row>
        <row r="701">
          <cell r="B701" t="str">
            <v>Mão de obra de instalação de deck de madeira</v>
          </cell>
          <cell r="C701" t="str">
            <v>M2</v>
          </cell>
          <cell r="D701">
            <v>210</v>
          </cell>
        </row>
        <row r="702">
          <cell r="B702" t="str">
            <v>Mão de obra de rodapé Poliestireno</v>
          </cell>
          <cell r="C702" t="str">
            <v>UN</v>
          </cell>
          <cell r="D702">
            <v>22</v>
          </cell>
        </row>
        <row r="703">
          <cell r="B703" t="str">
            <v>Mão de obra de rodapé Porcelanato</v>
          </cell>
          <cell r="C703" t="str">
            <v>UN</v>
          </cell>
          <cell r="D703">
            <v>22</v>
          </cell>
        </row>
        <row r="704">
          <cell r="B704" t="str">
            <v>Mão de obra de rodapé Madeira/MDF</v>
          </cell>
          <cell r="C704" t="str">
            <v>UN</v>
          </cell>
          <cell r="D704">
            <v>24.5</v>
          </cell>
        </row>
        <row r="705">
          <cell r="B705" t="str">
            <v>Mão de obra de rodapé Pedra/Granito</v>
          </cell>
          <cell r="C705" t="str">
            <v>UN</v>
          </cell>
          <cell r="D705">
            <v>22</v>
          </cell>
        </row>
        <row r="706">
          <cell r="B706" t="str">
            <v>Mão de obra estucamento de paredes</v>
          </cell>
          <cell r="C706" t="str">
            <v>M2</v>
          </cell>
          <cell r="D706">
            <v>25</v>
          </cell>
        </row>
        <row r="707">
          <cell r="B707" t="str">
            <v>Mão de obra execução de contrapiso comum e Acústico</v>
          </cell>
          <cell r="C707" t="str">
            <v>M2</v>
          </cell>
          <cell r="D707">
            <v>40</v>
          </cell>
        </row>
        <row r="708">
          <cell r="B708" t="str">
            <v>Mão de obra execução Piso de concreto polido</v>
          </cell>
          <cell r="C708" t="str">
            <v>M2</v>
          </cell>
          <cell r="D708">
            <v>40</v>
          </cell>
        </row>
        <row r="709">
          <cell r="B709" t="str">
            <v>Mão de obra execução Piso cimentado</v>
          </cell>
          <cell r="C709" t="str">
            <v>M2</v>
          </cell>
          <cell r="D709">
            <v>40</v>
          </cell>
        </row>
        <row r="710">
          <cell r="B710" t="str">
            <v>Mão de obra para textura em teto, 1 demão</v>
          </cell>
          <cell r="C710" t="str">
            <v>M2</v>
          </cell>
          <cell r="D710">
            <v>40</v>
          </cell>
        </row>
        <row r="711">
          <cell r="B711" t="str">
            <v>Mão de obra para pintura em pisos , 2 demãos</v>
          </cell>
          <cell r="C711" t="str">
            <v>M2</v>
          </cell>
          <cell r="D711">
            <v>41</v>
          </cell>
        </row>
        <row r="712">
          <cell r="B712" t="str">
            <v>Mão de obra para pintura em rodapés, 3 demãos</v>
          </cell>
          <cell r="C712" t="str">
            <v>M2</v>
          </cell>
          <cell r="D712">
            <v>55</v>
          </cell>
        </row>
        <row r="713">
          <cell r="B713" t="str">
            <v>Mão de obra para demarcação de vagas, 3 demãos</v>
          </cell>
          <cell r="C713" t="str">
            <v>M2</v>
          </cell>
          <cell r="D713">
            <v>20</v>
          </cell>
        </row>
        <row r="714">
          <cell r="B714" t="str">
            <v>Mão de obra para Textura em paredes internas, 1 demãos</v>
          </cell>
          <cell r="C714" t="str">
            <v>M2</v>
          </cell>
          <cell r="D714">
            <v>40</v>
          </cell>
        </row>
        <row r="715">
          <cell r="B715" t="str">
            <v>Mão de obra execução de estucamento em teto</v>
          </cell>
          <cell r="C715" t="str">
            <v>M2</v>
          </cell>
          <cell r="D715">
            <v>25</v>
          </cell>
        </row>
        <row r="716">
          <cell r="B716" t="str">
            <v>Mão de obra execução de Reboco em teto</v>
          </cell>
          <cell r="C716" t="str">
            <v>M2</v>
          </cell>
          <cell r="D716">
            <v>40</v>
          </cell>
        </row>
        <row r="717">
          <cell r="B717" t="str">
            <v>Revestimento cerâmico em tetos</v>
          </cell>
          <cell r="C717" t="str">
            <v>M2</v>
          </cell>
          <cell r="D717">
            <v>75</v>
          </cell>
        </row>
        <row r="718">
          <cell r="B718" t="str">
            <v>Mão de obra execução Piso de concreto</v>
          </cell>
          <cell r="C718" t="str">
            <v>M2</v>
          </cell>
          <cell r="D718">
            <v>25</v>
          </cell>
        </row>
        <row r="719">
          <cell r="B719" t="str">
            <v>Mão de obra execução regularização de Piso</v>
          </cell>
          <cell r="C719" t="str">
            <v>M2</v>
          </cell>
          <cell r="D719">
            <v>40</v>
          </cell>
        </row>
        <row r="720">
          <cell r="B720" t="str">
            <v>Mão de obra execução de massa para Drywall em paredes</v>
          </cell>
          <cell r="C720" t="str">
            <v>UN</v>
          </cell>
          <cell r="D720">
            <v>15</v>
          </cell>
        </row>
        <row r="721">
          <cell r="B721" t="str">
            <v>Mão de obra execução de massa de gesso em paredes</v>
          </cell>
          <cell r="C721" t="str">
            <v>UN</v>
          </cell>
          <cell r="D721">
            <v>15</v>
          </cell>
        </row>
        <row r="722">
          <cell r="B722" t="str">
            <v>Mão de obra execução de massa única em paredes interna, incluindo chapisco</v>
          </cell>
          <cell r="C722" t="str">
            <v>UN</v>
          </cell>
          <cell r="D722">
            <v>36</v>
          </cell>
        </row>
        <row r="723">
          <cell r="B723" t="str">
            <v>Mão de obra execução de piso elevado</v>
          </cell>
          <cell r="C723" t="str">
            <v>M2</v>
          </cell>
          <cell r="D723">
            <v>150</v>
          </cell>
        </row>
        <row r="724">
          <cell r="B724" t="str">
            <v>Mão de obra execução de piso Lajota</v>
          </cell>
          <cell r="C724" t="str">
            <v>M2</v>
          </cell>
          <cell r="D724">
            <v>80</v>
          </cell>
        </row>
        <row r="725">
          <cell r="B725" t="str">
            <v>Mão de obra para assentamento de Pedras Naturais em piso</v>
          </cell>
          <cell r="C725" t="str">
            <v>M2</v>
          </cell>
          <cell r="D725">
            <v>55</v>
          </cell>
        </row>
        <row r="726">
          <cell r="B726" t="str">
            <v>Mão de obra execução Piso Intertravado</v>
          </cell>
          <cell r="C726" t="str">
            <v>UN</v>
          </cell>
          <cell r="D726">
            <v>25</v>
          </cell>
        </row>
        <row r="727">
          <cell r="B727" t="str">
            <v>Mão de obra impermeabilização com emulsão Asfaltica</v>
          </cell>
          <cell r="C727" t="str">
            <v>M2</v>
          </cell>
          <cell r="D727">
            <v>28</v>
          </cell>
        </row>
        <row r="728">
          <cell r="B728" t="str">
            <v>Mão de obra impermeabilização com manta liquida em Fachadas</v>
          </cell>
          <cell r="C728" t="str">
            <v>UN</v>
          </cell>
          <cell r="D728">
            <v>30</v>
          </cell>
        </row>
        <row r="729">
          <cell r="B729" t="str">
            <v>Mão de obra impermeabilização com manta liquida em peitoris</v>
          </cell>
          <cell r="C729" t="str">
            <v>UN</v>
          </cell>
          <cell r="D729">
            <v>30</v>
          </cell>
        </row>
        <row r="730">
          <cell r="B730" t="str">
            <v>Mão de obra impermeabilização de argamassa polimérica</v>
          </cell>
          <cell r="C730" t="str">
            <v>UN</v>
          </cell>
          <cell r="D730">
            <v>30</v>
          </cell>
        </row>
        <row r="731">
          <cell r="B731" t="str">
            <v>Mão de obra impermeabilização com membrana de polimero</v>
          </cell>
          <cell r="C731" t="str">
            <v>UN</v>
          </cell>
          <cell r="D731">
            <v>30</v>
          </cell>
        </row>
        <row r="732">
          <cell r="B732" t="str">
            <v>Mão de obra impermeabilização de superfície com manta líquida</v>
          </cell>
          <cell r="C732" t="str">
            <v>UN</v>
          </cell>
          <cell r="D732">
            <v>30</v>
          </cell>
        </row>
        <row r="733">
          <cell r="B733" t="str">
            <v>Mão de obra impermeabilização de superfície com manta asfáltica</v>
          </cell>
          <cell r="C733" t="str">
            <v>UN</v>
          </cell>
          <cell r="D733">
            <v>45</v>
          </cell>
        </row>
        <row r="734">
          <cell r="B734" t="str">
            <v>Mão de obra instalação de forro de madeira</v>
          </cell>
          <cell r="C734" t="str">
            <v>M2</v>
          </cell>
          <cell r="D734">
            <v>150</v>
          </cell>
        </row>
        <row r="735">
          <cell r="B735" t="str">
            <v>Mão de obra instalação de Porcelanato no teto</v>
          </cell>
          <cell r="C735" t="str">
            <v>M2</v>
          </cell>
          <cell r="D735">
            <v>150</v>
          </cell>
        </row>
        <row r="736">
          <cell r="B736" t="str">
            <v>Mão de obra para aplicação de Pastilhas em paredes externas</v>
          </cell>
          <cell r="C736" t="str">
            <v>UN</v>
          </cell>
          <cell r="D736">
            <v>150</v>
          </cell>
        </row>
        <row r="737">
          <cell r="B737" t="str">
            <v>Mão de obra para execução de pedra natural em piso áreas externas</v>
          </cell>
          <cell r="C737" t="str">
            <v>M2</v>
          </cell>
          <cell r="D737">
            <v>150</v>
          </cell>
        </row>
        <row r="738">
          <cell r="B738" t="str">
            <v>Mão de obra para aplicação de Pedra Natural em paredes externas</v>
          </cell>
          <cell r="C738" t="str">
            <v>M2</v>
          </cell>
          <cell r="D738">
            <v>150</v>
          </cell>
        </row>
        <row r="739">
          <cell r="B739" t="str">
            <v>Mão de obra para aplicação de Pintura em paredes externas - 3 demãos</v>
          </cell>
          <cell r="C739" t="str">
            <v>UN</v>
          </cell>
          <cell r="D739">
            <v>58</v>
          </cell>
        </row>
        <row r="740">
          <cell r="B740" t="str">
            <v>Mão de obra para aplicação de Porcelanato em paredes externas</v>
          </cell>
          <cell r="C740" t="str">
            <v>UN</v>
          </cell>
          <cell r="D740">
            <v>190</v>
          </cell>
        </row>
        <row r="741">
          <cell r="B741" t="str">
            <v>Mão de Obra Aplicação de Revestimento Monolítico</v>
          </cell>
          <cell r="C741" t="str">
            <v>m2</v>
          </cell>
          <cell r="D741">
            <v>80</v>
          </cell>
        </row>
        <row r="742">
          <cell r="B742" t="str">
            <v>Mão de obra para execução de fachada ventilada</v>
          </cell>
          <cell r="C742" t="str">
            <v>m2</v>
          </cell>
          <cell r="D742">
            <v>175</v>
          </cell>
        </row>
        <row r="743">
          <cell r="B743" t="str">
            <v>Mão de obra para aplicação de textura em paredes externas - 1 demão</v>
          </cell>
          <cell r="C743" t="str">
            <v>UN</v>
          </cell>
          <cell r="D743">
            <v>58</v>
          </cell>
        </row>
        <row r="744">
          <cell r="B744" t="str">
            <v>Mão de obra para assentamento de blocos cerâmicos</v>
          </cell>
          <cell r="C744" t="str">
            <v>M2</v>
          </cell>
          <cell r="D744">
            <v>48</v>
          </cell>
        </row>
        <row r="745">
          <cell r="B745" t="str">
            <v>Mão de obra para assentamento de blocos concreto</v>
          </cell>
          <cell r="C745" t="str">
            <v>UN</v>
          </cell>
          <cell r="D745">
            <v>48</v>
          </cell>
        </row>
        <row r="746">
          <cell r="B746" t="str">
            <v>Mão de obra para assentamento de blocos concreto Estrutural</v>
          </cell>
          <cell r="C746" t="str">
            <v>UN</v>
          </cell>
          <cell r="D746">
            <v>48</v>
          </cell>
        </row>
        <row r="747">
          <cell r="B747" t="str">
            <v xml:space="preserve">Mão de obra para assentamento de blocos de Refratário </v>
          </cell>
          <cell r="C747" t="str">
            <v>UN</v>
          </cell>
          <cell r="D747">
            <v>48</v>
          </cell>
        </row>
        <row r="748">
          <cell r="B748" t="str">
            <v>Mão de obra para assentamento de blocos de silico calcarios</v>
          </cell>
          <cell r="C748" t="str">
            <v>UN</v>
          </cell>
          <cell r="D748">
            <v>48</v>
          </cell>
        </row>
        <row r="749">
          <cell r="B749" t="str">
            <v>Mão de obra para assentamento de Pastilhas em Piscina</v>
          </cell>
          <cell r="C749" t="str">
            <v>UN</v>
          </cell>
          <cell r="D749">
            <v>55</v>
          </cell>
        </row>
        <row r="750">
          <cell r="B750" t="str">
            <v>Mão de obra para assentamento de Pedras Naturais em parede</v>
          </cell>
          <cell r="C750" t="str">
            <v>UN</v>
          </cell>
          <cell r="D750">
            <v>55</v>
          </cell>
        </row>
        <row r="751">
          <cell r="B751" t="str">
            <v>Mão de obra para assentamento de revestimento cerâmico em parede</v>
          </cell>
          <cell r="C751" t="str">
            <v>UN</v>
          </cell>
          <cell r="D751">
            <v>75</v>
          </cell>
        </row>
        <row r="752">
          <cell r="B752" t="str">
            <v>Mão de obra para assentamento de requadros em portas de elevador</v>
          </cell>
          <cell r="C752" t="str">
            <v>UN</v>
          </cell>
          <cell r="D752">
            <v>50</v>
          </cell>
        </row>
        <row r="753">
          <cell r="B753" t="str">
            <v>Mão de obra para enchimento de EPS em piso</v>
          </cell>
          <cell r="C753" t="str">
            <v>UN</v>
          </cell>
          <cell r="D753">
            <v>60</v>
          </cell>
        </row>
        <row r="754">
          <cell r="B754" t="str">
            <v>Mão de obra para colocação de peitoril e pingadeira</v>
          </cell>
          <cell r="C754" t="str">
            <v>UN</v>
          </cell>
          <cell r="D754">
            <v>50</v>
          </cell>
        </row>
        <row r="755">
          <cell r="B755" t="str">
            <v>Mão de obra para instalação de portas de madeira</v>
          </cell>
          <cell r="C755" t="str">
            <v>UN</v>
          </cell>
          <cell r="D755">
            <v>300</v>
          </cell>
        </row>
        <row r="756">
          <cell r="B756" t="str">
            <v>Mão de obra para faixa de garagem em paredes internas, 1 demãos</v>
          </cell>
          <cell r="C756" t="str">
            <v>UN</v>
          </cell>
          <cell r="D756">
            <v>20</v>
          </cell>
        </row>
        <row r="757">
          <cell r="B757" t="str">
            <v>Mão de obra para pintura em paredes internas, 3 demãos</v>
          </cell>
          <cell r="C757" t="str">
            <v>UN</v>
          </cell>
          <cell r="D757">
            <v>40</v>
          </cell>
        </row>
        <row r="758">
          <cell r="B758" t="str">
            <v>Mão de obra para pintura em teto, 3 demãos</v>
          </cell>
          <cell r="C758" t="str">
            <v>UN</v>
          </cell>
          <cell r="D758">
            <v>40</v>
          </cell>
        </row>
        <row r="759">
          <cell r="B759" t="str">
            <v>Mão de obra para proteção mecânica</v>
          </cell>
          <cell r="C759" t="str">
            <v>UN</v>
          </cell>
          <cell r="D759">
            <v>35</v>
          </cell>
        </row>
        <row r="760">
          <cell r="B760" t="str">
            <v>Mao de obra para reboco externo - inclui chapisco</v>
          </cell>
          <cell r="C760" t="str">
            <v>UN</v>
          </cell>
          <cell r="D760">
            <v>58</v>
          </cell>
        </row>
        <row r="761">
          <cell r="B761" t="str">
            <v>MAO DE OBRA - IMPRMEABILIZAÇÃO CWS100</v>
          </cell>
          <cell r="C761" t="str">
            <v>M2</v>
          </cell>
          <cell r="D761">
            <v>27.4</v>
          </cell>
        </row>
        <row r="762">
          <cell r="B762" t="str">
            <v xml:space="preserve">Mão de obra para regularização de superfície </v>
          </cell>
          <cell r="C762" t="str">
            <v>M2</v>
          </cell>
          <cell r="D762">
            <v>20</v>
          </cell>
        </row>
        <row r="763">
          <cell r="B763" t="str">
            <v>Mão de Obra Pinturas das faixas de Pedestres</v>
          </cell>
          <cell r="C763" t="str">
            <v>M2</v>
          </cell>
          <cell r="D763">
            <v>20</v>
          </cell>
        </row>
        <row r="764">
          <cell r="B764" t="str">
            <v>Mão de Obra Pinturas das vias</v>
          </cell>
          <cell r="C764" t="str">
            <v>M</v>
          </cell>
          <cell r="D764">
            <v>5</v>
          </cell>
        </row>
        <row r="765">
          <cell r="B765" t="str">
            <v>Mão de Obra Piso Porcenato/ Cerâmico</v>
          </cell>
          <cell r="C765" t="str">
            <v>UN</v>
          </cell>
          <cell r="D765">
            <v>75</v>
          </cell>
        </row>
        <row r="766">
          <cell r="B766" t="str">
            <v>Mão de obra tratamento de ralo com manta de poliéster</v>
          </cell>
          <cell r="C766" t="str">
            <v>UN</v>
          </cell>
          <cell r="D766">
            <v>50</v>
          </cell>
        </row>
        <row r="767">
          <cell r="B767" t="str">
            <v>Mão de obra para execução de supraestrutura de concreto armado</v>
          </cell>
          <cell r="C767" t="str">
            <v>m2</v>
          </cell>
          <cell r="D767">
            <v>290</v>
          </cell>
        </row>
        <row r="768">
          <cell r="B768" t="str">
            <v>Mão de Obra Polimento de piso</v>
          </cell>
          <cell r="C768" t="str">
            <v>m2</v>
          </cell>
          <cell r="D768">
            <v>25</v>
          </cell>
        </row>
        <row r="769">
          <cell r="B769" t="str">
            <v>Movimentação de terra para bota-fora - Escavação Vertical Terraplenagem</v>
          </cell>
          <cell r="C769" t="str">
            <v>M3</v>
          </cell>
          <cell r="D769">
            <v>45.45</v>
          </cell>
        </row>
        <row r="770">
          <cell r="B770" t="str">
            <v>Movimentação de terra para bota-fora - Escavação de Valas</v>
          </cell>
          <cell r="C770" t="str">
            <v>M3</v>
          </cell>
          <cell r="D770">
            <v>45.45</v>
          </cell>
        </row>
        <row r="771">
          <cell r="B771" t="str">
            <v>Movimentação de terra para bota-fora - Estacas</v>
          </cell>
          <cell r="C771" t="str">
            <v>M3</v>
          </cell>
          <cell r="D771">
            <v>68.180000000000007</v>
          </cell>
        </row>
        <row r="772">
          <cell r="B772" t="str">
            <v>Reaterro mecanizado com retroescavadeira</v>
          </cell>
          <cell r="C772" t="str">
            <v>M3</v>
          </cell>
          <cell r="D772">
            <v>75</v>
          </cell>
        </row>
        <row r="773">
          <cell r="B773" t="str">
            <v>Guarda Corpo de Vidro - fornecimento e instalação</v>
          </cell>
          <cell r="C773" t="str">
            <v>M2</v>
          </cell>
          <cell r="D773">
            <v>850</v>
          </cell>
        </row>
        <row r="774">
          <cell r="B774" t="str">
            <v>Sistema Brise Metalon com estrutura e suportes de alumínio e pintura eletrostática preta</v>
          </cell>
          <cell r="C774" t="str">
            <v>M2</v>
          </cell>
          <cell r="D774">
            <v>1200</v>
          </cell>
        </row>
        <row r="775">
          <cell r="B775" t="str">
            <v>Sistema Brise Sul Metais SMB30 (Cor Tabaco SM 7182)</v>
          </cell>
          <cell r="C775" t="str">
            <v>M2</v>
          </cell>
          <cell r="D775">
            <v>950</v>
          </cell>
        </row>
        <row r="776">
          <cell r="B776" t="str">
            <v>Sistema Gradil Sul Metais SMB30 (Cor Tabaco SM 7182)</v>
          </cell>
          <cell r="C776" t="str">
            <v>M2</v>
          </cell>
          <cell r="D776">
            <v>860</v>
          </cell>
        </row>
        <row r="777">
          <cell r="B777" t="str">
            <v>Corrimão Metálico Duplo - fornecimento e instalação</v>
          </cell>
          <cell r="C777" t="str">
            <v>M</v>
          </cell>
          <cell r="D777">
            <v>98.79</v>
          </cell>
        </row>
        <row r="778">
          <cell r="B778" t="str">
            <v>Porta de madeira de abrir - 60x150cm (kit completo)</v>
          </cell>
          <cell r="C778" t="str">
            <v>M2</v>
          </cell>
          <cell r="D778">
            <v>1000</v>
          </cell>
        </row>
        <row r="779">
          <cell r="B779" t="str">
            <v>Porta de madeira de Correr - 70x210cm (kit completo)</v>
          </cell>
          <cell r="C779" t="str">
            <v>M2</v>
          </cell>
          <cell r="D779">
            <v>1358.5</v>
          </cell>
        </row>
        <row r="780">
          <cell r="B780" t="str">
            <v>Porta de madeira de Correr - 110x210cm (kit completo)</v>
          </cell>
          <cell r="C780" t="str">
            <v>M2</v>
          </cell>
          <cell r="D780">
            <v>1494.3500000000001</v>
          </cell>
        </row>
        <row r="781">
          <cell r="B781" t="str">
            <v>Porta de madeira de Correr - 120x210cm (kit completo)</v>
          </cell>
          <cell r="C781" t="str">
            <v>M2</v>
          </cell>
          <cell r="D781">
            <v>1494.3500000000001</v>
          </cell>
        </row>
        <row r="782">
          <cell r="B782" t="str">
            <v>Porta de madeira de Correr - 135x210cm (kit completo)</v>
          </cell>
          <cell r="C782" t="str">
            <v>M2</v>
          </cell>
          <cell r="D782">
            <v>1833.9750000000001</v>
          </cell>
        </row>
        <row r="783">
          <cell r="B783" t="str">
            <v>Porta de madeira de Correr - 150x210cm (kit completo)</v>
          </cell>
          <cell r="C783" t="str">
            <v>M2</v>
          </cell>
          <cell r="D783">
            <v>2037.75</v>
          </cell>
        </row>
        <row r="784">
          <cell r="B784" t="str">
            <v>Porta corta-fogo, 1 folha, 90x210 cm</v>
          </cell>
          <cell r="C784" t="str">
            <v>un</v>
          </cell>
          <cell r="D784">
            <v>1237.5</v>
          </cell>
        </row>
        <row r="785">
          <cell r="B785" t="str">
            <v>Guarda Corpo metálico (gradil) - fornecimento e instalação</v>
          </cell>
          <cell r="C785" t="str">
            <v>M2</v>
          </cell>
          <cell r="D785">
            <v>600</v>
          </cell>
        </row>
        <row r="786">
          <cell r="B786" t="str">
            <v>Porta corta-fogo, 1 folha, 96x210 cm</v>
          </cell>
          <cell r="C786" t="str">
            <v>un</v>
          </cell>
          <cell r="D786">
            <v>2530</v>
          </cell>
        </row>
        <row r="787">
          <cell r="B787" t="str">
            <v>Portão, 1 folha, 320x245 cm</v>
          </cell>
          <cell r="C787" t="str">
            <v>un</v>
          </cell>
          <cell r="D787">
            <v>8681.8666666666668</v>
          </cell>
        </row>
        <row r="788">
          <cell r="B788" t="str">
            <v>Portão, 1 folha, 320x220 cm</v>
          </cell>
          <cell r="C788" t="str">
            <v>un</v>
          </cell>
          <cell r="D788">
            <v>7795.9619047619053</v>
          </cell>
        </row>
        <row r="789">
          <cell r="B789" t="str">
            <v>Portão, 1 folha, 90x220 cm</v>
          </cell>
          <cell r="C789" t="str">
            <v>un</v>
          </cell>
          <cell r="D789">
            <v>2192.6142857142859</v>
          </cell>
        </row>
        <row r="790">
          <cell r="B790" t="str">
            <v>Portão, 2 folha, 150x112 cm</v>
          </cell>
          <cell r="C790" t="str">
            <v>un</v>
          </cell>
          <cell r="D790">
            <v>1860.4</v>
          </cell>
        </row>
        <row r="791">
          <cell r="B791" t="str">
            <v>Portão, 1 folha, 320x295 cm</v>
          </cell>
          <cell r="C791" t="str">
            <v>un</v>
          </cell>
          <cell r="D791">
            <v>10453.67619047619</v>
          </cell>
        </row>
        <row r="792">
          <cell r="B792" t="str">
            <v>SERVICO - COLAGEM GESSO</v>
          </cell>
          <cell r="C792" t="str">
            <v>M2</v>
          </cell>
          <cell r="D792">
            <v>40</v>
          </cell>
        </row>
        <row r="793">
          <cell r="B793" t="str">
            <v>SERVICO - CONFECCAO SHAFT GESSO</v>
          </cell>
          <cell r="C793" t="str">
            <v>M2</v>
          </cell>
          <cell r="D793">
            <v>70</v>
          </cell>
        </row>
        <row r="794">
          <cell r="B794" t="str">
            <v>SERVICO - CONFECCAO FORRO MODULAR</v>
          </cell>
          <cell r="C794" t="str">
            <v>M2</v>
          </cell>
          <cell r="D794">
            <v>70</v>
          </cell>
        </row>
        <row r="795">
          <cell r="B795" t="str">
            <v>Serviço de Arrasamentode Estacas</v>
          </cell>
          <cell r="C795" t="str">
            <v>UN</v>
          </cell>
          <cell r="D795">
            <v>500</v>
          </cell>
        </row>
        <row r="796">
          <cell r="B796" t="str">
            <v>serviço de bombeamento</v>
          </cell>
          <cell r="C796" t="str">
            <v>M3</v>
          </cell>
          <cell r="D796">
            <v>40</v>
          </cell>
        </row>
        <row r="797">
          <cell r="B797" t="str">
            <v>serviço de bombeamento até 9º laje</v>
          </cell>
          <cell r="C797" t="str">
            <v>M3</v>
          </cell>
          <cell r="D797">
            <v>40</v>
          </cell>
        </row>
        <row r="798">
          <cell r="B798" t="str">
            <v>serviço de bombeamento acima da 10º laje</v>
          </cell>
          <cell r="C798" t="str">
            <v>M3</v>
          </cell>
          <cell r="D798">
            <v>45</v>
          </cell>
        </row>
        <row r="799">
          <cell r="B799" t="str">
            <v>Serviço de Instalação de Lajes pré-moldadas</v>
          </cell>
          <cell r="C799" t="str">
            <v>M2</v>
          </cell>
          <cell r="D799">
            <v>30</v>
          </cell>
        </row>
        <row r="800">
          <cell r="B800" t="str">
            <v>SERVICO EMP. - INST. PROVISORIA - CONFECCAO BAIA P/MATERIAL</v>
          </cell>
          <cell r="C800" t="str">
            <v>M2</v>
          </cell>
          <cell r="D800">
            <v>10.5</v>
          </cell>
        </row>
        <row r="801">
          <cell r="B801" t="str">
            <v>Serviço de fixação de contramarco de aluminio</v>
          </cell>
          <cell r="C801" t="str">
            <v>M2</v>
          </cell>
          <cell r="D801">
            <v>15</v>
          </cell>
        </row>
        <row r="802">
          <cell r="B802" t="str">
            <v>Serviço de fixação de contramarco de aço</v>
          </cell>
          <cell r="C802" t="str">
            <v>M2</v>
          </cell>
          <cell r="D802">
            <v>30</v>
          </cell>
        </row>
        <row r="803">
          <cell r="B803" t="str">
            <v>SERVICO INSTALAÇÃO BARRACAO ALMOXARIFADO</v>
          </cell>
          <cell r="C803" t="str">
            <v>M2</v>
          </cell>
          <cell r="D803">
            <v>50</v>
          </cell>
        </row>
        <row r="804">
          <cell r="B804" t="str">
            <v>SERVICO PAVIMENTACAO INTERNA C/INTERTRAVADO - EXECUCAO COMPLETA</v>
          </cell>
          <cell r="C804" t="str">
            <v>M2</v>
          </cell>
          <cell r="D804">
            <v>50</v>
          </cell>
        </row>
        <row r="805">
          <cell r="B805" t="str">
            <v>Mão de obra para instalação de portas corta-fogo</v>
          </cell>
          <cell r="C805" t="str">
            <v>un</v>
          </cell>
          <cell r="D805">
            <v>300</v>
          </cell>
        </row>
        <row r="806">
          <cell r="B806" t="str">
            <v>Coralit Ultra Resistência Alto Brilho Imensidão Cinza</v>
          </cell>
          <cell r="C806" t="str">
            <v>L</v>
          </cell>
          <cell r="D806">
            <v>34.719444444444441</v>
          </cell>
        </row>
        <row r="807">
          <cell r="B807" t="str">
            <v>Coralit Ultra Resistência Fosco Preto - Coral</v>
          </cell>
          <cell r="C807" t="str">
            <v>L</v>
          </cell>
          <cell r="D807">
            <v>49.972222222222221</v>
          </cell>
        </row>
        <row r="808">
          <cell r="B808" t="str">
            <v>Selador acrilico opaco premium interno/externo</v>
          </cell>
          <cell r="C808" t="str">
            <v>L</v>
          </cell>
          <cell r="D808">
            <v>6.47</v>
          </cell>
        </row>
        <row r="809">
          <cell r="B809" t="str">
            <v>Textura Acrílica Texturatto Premium Efeito Granulado</v>
          </cell>
          <cell r="C809" t="str">
            <v>KG</v>
          </cell>
          <cell r="D809">
            <v>12.78</v>
          </cell>
        </row>
        <row r="810">
          <cell r="B810" t="str">
            <v>MICROESFERAS DE VIDRO PARA SINALIZACAO HORIZONTAL VIARIA, TIPO II-A (DROP-ON) - NBR  16184</v>
          </cell>
          <cell r="C810" t="str">
            <v>L</v>
          </cell>
          <cell r="D810">
            <v>40.25</v>
          </cell>
        </row>
        <row r="811">
          <cell r="B811" t="str">
            <v>MICROESFERAS DE VIDRO PARA SINALIZACAO HORIZONTAL VIARIA, TIPO I-B (PREMIX) - NBR  16184</v>
          </cell>
          <cell r="C811" t="str">
            <v>KG</v>
          </cell>
          <cell r="D811">
            <v>23.2</v>
          </cell>
        </row>
        <row r="812">
          <cell r="B812" t="str">
            <v>TINTA ESMALTE ACETINADO BASE SOLVENTE BRANCO NBR 15299</v>
          </cell>
          <cell r="C812" t="str">
            <v>KG</v>
          </cell>
          <cell r="D812">
            <v>10</v>
          </cell>
        </row>
        <row r="813">
          <cell r="B813" t="str">
            <v>TINTA LATEX ACRILICO FOSCO INT./EXT. PREMIUM PLUS BRANCO NBR 14942</v>
          </cell>
          <cell r="C813" t="str">
            <v>L</v>
          </cell>
          <cell r="D813">
            <v>8.5</v>
          </cell>
        </row>
        <row r="814">
          <cell r="B814" t="str">
            <v>Tinta Esmalte Sintético Base Solvente Brilhante Pronta para Uso Amarelo 3,6L Luxens</v>
          </cell>
          <cell r="C814" t="str">
            <v>L</v>
          </cell>
          <cell r="D814">
            <v>43.027777777777779</v>
          </cell>
        </row>
        <row r="815">
          <cell r="B815" t="str">
            <v>DILUENTE AGUARRAS</v>
          </cell>
          <cell r="C815" t="str">
            <v>L</v>
          </cell>
          <cell r="D815">
            <v>21.99</v>
          </cell>
        </row>
        <row r="816">
          <cell r="B816" t="str">
            <v>Diluente Epoxi</v>
          </cell>
          <cell r="C816" t="str">
            <v>L</v>
          </cell>
          <cell r="D816">
            <v>50.12</v>
          </cell>
        </row>
        <row r="817">
          <cell r="B817" t="str">
            <v>Primer Epoxi / Epoxidico</v>
          </cell>
          <cell r="C817" t="str">
            <v>L</v>
          </cell>
          <cell r="D817">
            <v>137.24</v>
          </cell>
        </row>
        <row r="818">
          <cell r="B818" t="str">
            <v>Massa corrida para superfícies de ambientes internos</v>
          </cell>
          <cell r="C818" t="str">
            <v>KG</v>
          </cell>
          <cell r="D818">
            <v>4.8</v>
          </cell>
        </row>
        <row r="819">
          <cell r="B819" t="str">
            <v>Massa Plastica 400g</v>
          </cell>
          <cell r="C819" t="str">
            <v>UN</v>
          </cell>
          <cell r="D819">
            <v>17.329999999999998</v>
          </cell>
        </row>
        <row r="820">
          <cell r="B820" t="str">
            <v>MASSA PREMIUM PARA TEXTURA LISA DE BASE ACRILICA</v>
          </cell>
          <cell r="C820" t="str">
            <v>KG</v>
          </cell>
          <cell r="D820">
            <v>9.0909090909090917</v>
          </cell>
        </row>
        <row r="821">
          <cell r="B821" t="str">
            <v>Rende Muito Cinza Geada - Tinta Coral</v>
          </cell>
          <cell r="C821" t="str">
            <v>L</v>
          </cell>
          <cell r="D821">
            <v>40.625</v>
          </cell>
        </row>
        <row r="822">
          <cell r="B822" t="str">
            <v>Selador Primer Ibratin - 4,2kg - 3,6L</v>
          </cell>
          <cell r="C822" t="str">
            <v>L</v>
          </cell>
          <cell r="D822">
            <v>10.555555555555555</v>
          </cell>
        </row>
        <row r="823">
          <cell r="B823" t="str">
            <v>SELANTE ACRILICO PARA TRATAMENTO / ACABAMENTO SUPERFICIAL DE CONCRETO ESTAMPADO, APARENTE, PEDRAS E OUTROS</v>
          </cell>
          <cell r="C823" t="str">
            <v>L</v>
          </cell>
          <cell r="D823">
            <v>25.26</v>
          </cell>
        </row>
        <row r="824">
          <cell r="B824" t="str">
            <v>Decora Efeitos Especiais Coral 2,1L - 2,1 L</v>
          </cell>
          <cell r="C824" t="str">
            <v>L</v>
          </cell>
          <cell r="D824">
            <v>231.57142857142901</v>
          </cell>
        </row>
        <row r="825">
          <cell r="B825" t="str">
            <v>Revestimento monolítico acrílico (pronto)</v>
          </cell>
          <cell r="C825" t="str">
            <v>KG</v>
          </cell>
          <cell r="D825">
            <v>74.88000000000001</v>
          </cell>
        </row>
        <row r="826">
          <cell r="B826" t="str">
            <v>Textura Cimento Queimado 5KG Suvinil</v>
          </cell>
          <cell r="C826" t="str">
            <v>KG</v>
          </cell>
          <cell r="D826">
            <v>57.6</v>
          </cell>
        </row>
        <row r="827">
          <cell r="B827" t="str">
            <v>TINTA ACRILICA PREMIUM BRANCO GELO</v>
          </cell>
          <cell r="C827" t="str">
            <v>L</v>
          </cell>
          <cell r="D827">
            <v>27.777777777777779</v>
          </cell>
        </row>
        <row r="828">
          <cell r="B828" t="str">
            <v>TINTA ACRILICA PREMIUM BRANCO ACETINADO</v>
          </cell>
          <cell r="C828" t="str">
            <v>L</v>
          </cell>
          <cell r="D828">
            <v>36.166666666666664</v>
          </cell>
        </row>
        <row r="829">
          <cell r="B829" t="str">
            <v>TINTA ACRILICA PREMIUM ANFORA DE PRATA</v>
          </cell>
          <cell r="C829" t="str">
            <v>L</v>
          </cell>
          <cell r="D829">
            <v>54.375</v>
          </cell>
        </row>
        <row r="830">
          <cell r="B830" t="str">
            <v>TINTA ACRILICA PREMIUM NEVOEIRO</v>
          </cell>
          <cell r="C830" t="str">
            <v>L</v>
          </cell>
          <cell r="D830">
            <v>36.111111111111114</v>
          </cell>
        </row>
        <row r="831">
          <cell r="B831" t="str">
            <v>TINTA ACRILICA PREMIUM OURO BRANCO</v>
          </cell>
          <cell r="C831" t="str">
            <v>L</v>
          </cell>
          <cell r="D831">
            <v>37.875</v>
          </cell>
        </row>
        <row r="832">
          <cell r="B832" t="str">
            <v>TINTA ACRILICA PREMIUM COR ELEFANTE</v>
          </cell>
          <cell r="C832" t="str">
            <v>L</v>
          </cell>
          <cell r="D832">
            <v>36.111111111111114</v>
          </cell>
        </row>
        <row r="833">
          <cell r="B833" t="str">
            <v>TINTA ACRILICA PREMIUM COR BRANCO NEVE</v>
          </cell>
          <cell r="C833" t="str">
            <v>L</v>
          </cell>
          <cell r="D833">
            <v>22.049999999999997</v>
          </cell>
        </row>
        <row r="834">
          <cell r="B834" t="str">
            <v>TINTA ACRILICA PREMIUM COR PORCELANA</v>
          </cell>
          <cell r="C834" t="str">
            <v>L</v>
          </cell>
          <cell r="D834">
            <v>32.233125000000001</v>
          </cell>
        </row>
        <row r="835">
          <cell r="B835" t="str">
            <v>TINTA ACRILICA PREMIUM COR SALMÃO</v>
          </cell>
          <cell r="C835" t="str">
            <v>L</v>
          </cell>
          <cell r="D835">
            <v>58.89875</v>
          </cell>
        </row>
        <row r="836">
          <cell r="B836" t="str">
            <v>TINTA ACRILICA PREMIUM COR MADEIRA ESFUMAÇADA</v>
          </cell>
          <cell r="C836" t="str">
            <v>L</v>
          </cell>
          <cell r="D836">
            <v>70.478124999999991</v>
          </cell>
        </row>
        <row r="837">
          <cell r="B837" t="str">
            <v>TINTA ACRILICA PREMIUM COR BABOSA</v>
          </cell>
          <cell r="C837" t="str">
            <v>L</v>
          </cell>
          <cell r="D837">
            <v>72.084374999999994</v>
          </cell>
        </row>
        <row r="838">
          <cell r="B838" t="str">
            <v>TINTA ACRILICA PREMIUM COR AREIA</v>
          </cell>
          <cell r="C838" t="str">
            <v>L</v>
          </cell>
          <cell r="D838">
            <v>25.833333333333332</v>
          </cell>
        </row>
        <row r="839">
          <cell r="B839" t="str">
            <v>TINTA ACRILICA PREMIUM COR CAFÉ EXPRESSO</v>
          </cell>
          <cell r="C839" t="str">
            <v>L</v>
          </cell>
          <cell r="D839">
            <v>88.262499999999989</v>
          </cell>
        </row>
        <row r="840">
          <cell r="B840" t="str">
            <v>TINTA ACRILICA PREMIUM COR ALGODÃO EGIPCIO</v>
          </cell>
          <cell r="C840" t="str">
            <v>L</v>
          </cell>
          <cell r="D840">
            <v>28.833333333333332</v>
          </cell>
        </row>
        <row r="841">
          <cell r="B841" t="str">
            <v>TINTA ACRILICA PREMIUM COR PRETA</v>
          </cell>
          <cell r="C841" t="str">
            <v>L</v>
          </cell>
          <cell r="D841">
            <v>69.444444444444443</v>
          </cell>
        </row>
        <row r="842">
          <cell r="B842" t="str">
            <v>TINTA ACRILICA PREMIUM COR PATATIVA</v>
          </cell>
          <cell r="C842" t="str">
            <v>L</v>
          </cell>
          <cell r="D842">
            <v>62.432499999999997</v>
          </cell>
        </row>
        <row r="843">
          <cell r="B843" t="str">
            <v>TINTA ACRILICA PREMIUM COR CINZA ASFALTO</v>
          </cell>
          <cell r="C843" t="str">
            <v>L</v>
          </cell>
          <cell r="D843">
            <v>38.277777777777779</v>
          </cell>
        </row>
        <row r="844">
          <cell r="B844" t="str">
            <v>SELANTE ELASTICO MONOCOMPONENTE A BASE DE POLIURETANO (PU) PARA JUNTAS DIVERSAS</v>
          </cell>
          <cell r="C844" t="str">
            <v>UN</v>
          </cell>
          <cell r="D844">
            <v>20.7</v>
          </cell>
        </row>
        <row r="845">
          <cell r="B845" t="str">
            <v>SELANTE ELASTICO MONOCOMPONENTE A BASE DE POLIURETANO (PU) PARA JUNTAS DIVERSAS</v>
          </cell>
          <cell r="C845" t="str">
            <v>UN</v>
          </cell>
          <cell r="D845">
            <v>20.7</v>
          </cell>
        </row>
        <row r="846">
          <cell r="B846" t="str">
            <v>SOLVENTE BASE THINNER P/TINTA NBR 14725</v>
          </cell>
          <cell r="C846" t="str">
            <v>L</v>
          </cell>
          <cell r="D846">
            <v>16</v>
          </cell>
        </row>
        <row r="847">
          <cell r="B847" t="str">
            <v>Suvinil Texturatto Efeito Suave Textura 21kg</v>
          </cell>
          <cell r="C847" t="str">
            <v>KG</v>
          </cell>
          <cell r="D847">
            <v>6.666666666666667</v>
          </cell>
        </row>
        <row r="848">
          <cell r="B848" t="str">
            <v>Textura acrilica Cinza escura - Sto Brasil</v>
          </cell>
          <cell r="C848" t="str">
            <v>KG</v>
          </cell>
          <cell r="D848">
            <v>140</v>
          </cell>
        </row>
        <row r="849">
          <cell r="B849" t="str">
            <v>Textura acrilica branca - Coral</v>
          </cell>
          <cell r="C849" t="str">
            <v>KG</v>
          </cell>
          <cell r="D849">
            <v>8.3960000000000008</v>
          </cell>
        </row>
        <row r="850">
          <cell r="B850" t="str">
            <v>Textura Efeito Estrelado - Cor: Palha - 4,2kg</v>
          </cell>
          <cell r="C850" t="str">
            <v>KG</v>
          </cell>
          <cell r="D850">
            <v>21.19047619047619</v>
          </cell>
        </row>
        <row r="851">
          <cell r="B851" t="str">
            <v>Textura Ibratin: Effetti Branco</v>
          </cell>
          <cell r="C851" t="str">
            <v>KG</v>
          </cell>
          <cell r="D851">
            <v>28</v>
          </cell>
        </row>
        <row r="852">
          <cell r="B852" t="str">
            <v>TINTA ACRILICA A BASE DE SOLVENTE</v>
          </cell>
          <cell r="C852" t="str">
            <v>L</v>
          </cell>
          <cell r="D852">
            <v>33.333333333333336</v>
          </cell>
        </row>
        <row r="853">
          <cell r="B853" t="str">
            <v>TINTA ACRILICA A BASE DE SOLVENTE, PARA SINALIZACAO HORIZONTAL VIARIA (NBR 11862)</v>
          </cell>
          <cell r="C853" t="str">
            <v>L</v>
          </cell>
          <cell r="D853">
            <v>35.42</v>
          </cell>
        </row>
        <row r="854">
          <cell r="B854" t="str">
            <v>TINTA ACRILICA PREMIUM </v>
          </cell>
          <cell r="C854" t="str">
            <v>L</v>
          </cell>
          <cell r="D854">
            <v>24.5</v>
          </cell>
        </row>
        <row r="855">
          <cell r="B855" t="str">
            <v>Tinta Epoxi Base Agua Premium</v>
          </cell>
          <cell r="C855" t="str">
            <v>L</v>
          </cell>
          <cell r="D855">
            <v>81.944444444444443</v>
          </cell>
        </row>
        <row r="856">
          <cell r="B856" t="str">
            <v>Tinta Esmalte</v>
          </cell>
          <cell r="C856" t="str">
            <v>L</v>
          </cell>
          <cell r="D856">
            <v>40.25</v>
          </cell>
        </row>
        <row r="857">
          <cell r="B857" t="str">
            <v>Tinta Piso</v>
          </cell>
          <cell r="C857" t="str">
            <v>L</v>
          </cell>
          <cell r="D857">
            <v>20</v>
          </cell>
        </row>
        <row r="858">
          <cell r="B858" t="str">
            <v>TINTA ACRILICA PREMIUM COR AMARELA</v>
          </cell>
          <cell r="C858" t="str">
            <v>L</v>
          </cell>
          <cell r="D858">
            <v>19.444444444444443</v>
          </cell>
        </row>
        <row r="859">
          <cell r="B859" t="str">
            <v>TINTA ACRILICA PREMIUM COR AZUL</v>
          </cell>
          <cell r="C859" t="str">
            <v>L</v>
          </cell>
          <cell r="D859">
            <v>34.375</v>
          </cell>
        </row>
        <row r="860">
          <cell r="B860" t="str">
            <v>TINTA ACRILICA PREMIUM COR CHARCOAL</v>
          </cell>
          <cell r="C860" t="str">
            <v>L</v>
          </cell>
          <cell r="D860">
            <v>55</v>
          </cell>
        </row>
        <row r="861">
          <cell r="B861" t="str">
            <v>TINTA ACRILICA PREMIUM COR DESEMPENA DE CONCRETO</v>
          </cell>
          <cell r="C861" t="str">
            <v>L</v>
          </cell>
          <cell r="D861">
            <v>50</v>
          </cell>
        </row>
        <row r="862">
          <cell r="B862" t="str">
            <v>Suvinil Toque Acetinada Completo Pinhão</v>
          </cell>
          <cell r="C862" t="str">
            <v>L</v>
          </cell>
          <cell r="D862">
            <v>66.21875</v>
          </cell>
        </row>
        <row r="863">
          <cell r="B863" t="str">
            <v>Suvinil Toque Acetinada Completo Sambaqui</v>
          </cell>
          <cell r="C863" t="str">
            <v>L</v>
          </cell>
          <cell r="D863">
            <v>59.65625</v>
          </cell>
        </row>
        <row r="864">
          <cell r="B864" t="str">
            <v>Suvinil Toque Acetinada Completo Carvão mineral</v>
          </cell>
          <cell r="C864" t="str">
            <v>L</v>
          </cell>
          <cell r="D864">
            <v>66.306250000000006</v>
          </cell>
        </row>
        <row r="865">
          <cell r="B865" t="str">
            <v>Suvinil Toque Fosco Completo Pinhão</v>
          </cell>
          <cell r="C865" t="str">
            <v>L</v>
          </cell>
          <cell r="D865">
            <v>54.243749999999999</v>
          </cell>
        </row>
        <row r="866">
          <cell r="B866" t="str">
            <v>Suvinil Toque Fosco Completo Sambaqui</v>
          </cell>
          <cell r="C866" t="str">
            <v>L</v>
          </cell>
          <cell r="D866">
            <v>45.618749999999999</v>
          </cell>
        </row>
        <row r="867">
          <cell r="B867" t="str">
            <v>Suvinil Toque Fosco Completo Carvão mineral</v>
          </cell>
          <cell r="C867" t="str">
            <v>L</v>
          </cell>
          <cell r="D867">
            <v>55.431249999999999</v>
          </cell>
        </row>
        <row r="868">
          <cell r="B868" t="str">
            <v>Suvinil Toque Fosco Completo branco</v>
          </cell>
          <cell r="C868" t="str">
            <v>L</v>
          </cell>
          <cell r="D868">
            <v>34.43888888888889</v>
          </cell>
        </row>
        <row r="869">
          <cell r="B869" t="str">
            <v>Tinta ACRÍLICO TOQUE DE SEDA ACETINADO</v>
          </cell>
          <cell r="C869" t="str">
            <v>L</v>
          </cell>
          <cell r="D869">
            <v>42.772222222222219</v>
          </cell>
        </row>
        <row r="870">
          <cell r="B870" t="str">
            <v>Impermeabilizante Suviflex 18 Litros Branco Suvinil</v>
          </cell>
          <cell r="C870" t="str">
            <v>L</v>
          </cell>
          <cell r="D870">
            <v>23.049999999999997</v>
          </cell>
        </row>
        <row r="871">
          <cell r="B871" t="str">
            <v>MICROESFERAS DE VIDRO PARA SINALIZACAO HORIZONTAL VIARIA, TIPO II-A (DROP-ON) - NBR  16184</v>
          </cell>
          <cell r="C871" t="str">
            <v>L</v>
          </cell>
          <cell r="D871">
            <v>40.25</v>
          </cell>
        </row>
        <row r="872">
          <cell r="B872" t="str">
            <v>Cal hidratada CH-III (saco 20 kg)</v>
          </cell>
          <cell r="C872" t="str">
            <v>KG</v>
          </cell>
          <cell r="D872">
            <v>0.45</v>
          </cell>
        </row>
        <row r="873">
          <cell r="B873" t="str">
            <v>Textura acrílica pigmentada pronta</v>
          </cell>
          <cell r="C873" t="str">
            <v>KG</v>
          </cell>
          <cell r="D873">
            <v>13</v>
          </cell>
        </row>
        <row r="874">
          <cell r="B874" t="str">
            <v>Pigmento mineral (óxido de ferro / pó xadrez)</v>
          </cell>
          <cell r="C874" t="str">
            <v>KG</v>
          </cell>
          <cell r="D874">
            <v>18</v>
          </cell>
        </row>
        <row r="875">
          <cell r="B875" t="str">
            <v>Cola PVA (adesivo)</v>
          </cell>
          <cell r="C875" t="str">
            <v>L</v>
          </cell>
          <cell r="D875">
            <v>12</v>
          </cell>
        </row>
        <row r="876">
          <cell r="B876" t="str">
            <v>MASSA TEXTURIZADA ACRÍLICA IBRATIN PADRÃO GRANELLI 898A0A MANCHESTER MÁXIMO - MARROM</v>
          </cell>
          <cell r="C876" t="str">
            <v>KG</v>
          </cell>
          <cell r="D876">
            <v>30</v>
          </cell>
        </row>
        <row r="877">
          <cell r="B877" t="str">
            <v xml:space="preserve"> MASSA TEXTURIZADA ACRÍLICA IBRATIN PADRÃO GRANELLI 898A0L MANCHESTER CLARO - BEGE CLARO</v>
          </cell>
          <cell r="C877" t="str">
            <v>KG</v>
          </cell>
          <cell r="D877">
            <v>25</v>
          </cell>
        </row>
        <row r="878">
          <cell r="B878" t="str">
            <v>MASSA TEXTURIZADA ACRÍLICA IBRATIN PADRÃO GRANELLI 898A0R MANCHESTER MÍNIMO - BEGE ESCURO</v>
          </cell>
          <cell r="C878" t="str">
            <v>KG</v>
          </cell>
          <cell r="D878">
            <v>26</v>
          </cell>
        </row>
        <row r="879">
          <cell r="B879"/>
          <cell r="C879"/>
        </row>
        <row r="880">
          <cell r="B880"/>
          <cell r="C880"/>
        </row>
        <row r="881">
          <cell r="B881"/>
          <cell r="C881"/>
        </row>
        <row r="882">
          <cell r="B882"/>
          <cell r="C882"/>
        </row>
        <row r="883">
          <cell r="B883"/>
          <cell r="C883"/>
        </row>
        <row r="884">
          <cell r="B884"/>
          <cell r="C884"/>
        </row>
        <row r="885">
          <cell r="B885"/>
          <cell r="C885"/>
        </row>
        <row r="886">
          <cell r="B886"/>
          <cell r="C886"/>
        </row>
        <row r="887">
          <cell r="B887"/>
          <cell r="C887"/>
        </row>
        <row r="888">
          <cell r="B888"/>
          <cell r="C888"/>
        </row>
        <row r="889">
          <cell r="B889"/>
          <cell r="C889"/>
        </row>
        <row r="890">
          <cell r="B890"/>
          <cell r="C890"/>
        </row>
        <row r="891">
          <cell r="B891"/>
          <cell r="C891"/>
        </row>
        <row r="892">
          <cell r="B892"/>
          <cell r="C892"/>
        </row>
        <row r="893">
          <cell r="B893"/>
          <cell r="C893"/>
        </row>
        <row r="894">
          <cell r="B894"/>
          <cell r="C894"/>
        </row>
        <row r="895">
          <cell r="B895"/>
          <cell r="C895"/>
        </row>
        <row r="896">
          <cell r="B896"/>
          <cell r="C896"/>
        </row>
        <row r="897">
          <cell r="B897"/>
          <cell r="C897"/>
        </row>
        <row r="898">
          <cell r="B898"/>
          <cell r="C898"/>
        </row>
        <row r="899">
          <cell r="B899"/>
          <cell r="C899"/>
        </row>
        <row r="900">
          <cell r="B900"/>
          <cell r="C900"/>
        </row>
        <row r="901">
          <cell r="B901"/>
          <cell r="C901"/>
        </row>
        <row r="902">
          <cell r="B902"/>
          <cell r="C902"/>
        </row>
        <row r="903">
          <cell r="B903"/>
          <cell r="C903"/>
        </row>
        <row r="904">
          <cell r="B904"/>
          <cell r="C904"/>
        </row>
        <row r="905">
          <cell r="B905"/>
          <cell r="C905"/>
        </row>
        <row r="906">
          <cell r="B906"/>
          <cell r="C906"/>
        </row>
        <row r="907">
          <cell r="B907"/>
          <cell r="C907"/>
        </row>
        <row r="908">
          <cell r="B908"/>
          <cell r="C908"/>
        </row>
        <row r="909">
          <cell r="B909"/>
          <cell r="C909"/>
        </row>
        <row r="910">
          <cell r="B910"/>
          <cell r="C910"/>
        </row>
        <row r="911">
          <cell r="B911"/>
          <cell r="C911"/>
        </row>
        <row r="912">
          <cell r="B912"/>
          <cell r="C912"/>
        </row>
        <row r="913">
          <cell r="B913"/>
          <cell r="C913"/>
        </row>
        <row r="914">
          <cell r="B914"/>
          <cell r="C914"/>
        </row>
        <row r="915">
          <cell r="B915"/>
          <cell r="C915"/>
        </row>
        <row r="916">
          <cell r="B916"/>
          <cell r="C916"/>
        </row>
        <row r="917">
          <cell r="B917"/>
          <cell r="C917"/>
        </row>
        <row r="918">
          <cell r="B918"/>
          <cell r="C918"/>
        </row>
        <row r="919">
          <cell r="B919"/>
          <cell r="C919"/>
        </row>
        <row r="920">
          <cell r="B920"/>
          <cell r="C920"/>
        </row>
        <row r="921">
          <cell r="B921"/>
          <cell r="C921"/>
        </row>
        <row r="922">
          <cell r="B922"/>
          <cell r="C922"/>
        </row>
        <row r="923">
          <cell r="B923"/>
          <cell r="C923"/>
        </row>
        <row r="924">
          <cell r="B924"/>
          <cell r="C924"/>
        </row>
        <row r="925">
          <cell r="B925"/>
          <cell r="C925"/>
        </row>
        <row r="926">
          <cell r="B926"/>
          <cell r="C926"/>
        </row>
        <row r="927">
          <cell r="B927"/>
          <cell r="C927"/>
        </row>
        <row r="928">
          <cell r="B928"/>
          <cell r="C928"/>
        </row>
        <row r="929">
          <cell r="B929"/>
          <cell r="C929"/>
        </row>
        <row r="930">
          <cell r="B930"/>
          <cell r="C930"/>
        </row>
        <row r="931">
          <cell r="B931"/>
          <cell r="C931"/>
        </row>
        <row r="932">
          <cell r="B932"/>
          <cell r="C932"/>
        </row>
        <row r="933">
          <cell r="B933"/>
          <cell r="C933"/>
        </row>
        <row r="934">
          <cell r="B934"/>
          <cell r="C934"/>
        </row>
        <row r="935">
          <cell r="B935"/>
          <cell r="C935"/>
        </row>
        <row r="936">
          <cell r="B936"/>
          <cell r="C936"/>
        </row>
        <row r="937">
          <cell r="B937"/>
          <cell r="C937"/>
        </row>
        <row r="938">
          <cell r="B938"/>
          <cell r="C938"/>
        </row>
        <row r="939">
          <cell r="B939"/>
          <cell r="C939"/>
        </row>
        <row r="940">
          <cell r="B940"/>
          <cell r="C940"/>
        </row>
        <row r="941">
          <cell r="B941"/>
          <cell r="C941"/>
        </row>
        <row r="942">
          <cell r="B942"/>
          <cell r="C942"/>
        </row>
        <row r="943">
          <cell r="B943"/>
          <cell r="C943"/>
        </row>
        <row r="944">
          <cell r="B944"/>
          <cell r="C944"/>
        </row>
        <row r="945">
          <cell r="B945"/>
          <cell r="C945"/>
        </row>
        <row r="946">
          <cell r="B946"/>
          <cell r="C946"/>
        </row>
        <row r="947">
          <cell r="B947"/>
          <cell r="C947"/>
        </row>
        <row r="948">
          <cell r="B948"/>
          <cell r="C948"/>
        </row>
        <row r="949">
          <cell r="B949"/>
          <cell r="C949"/>
        </row>
        <row r="950">
          <cell r="B950"/>
          <cell r="C950"/>
        </row>
        <row r="951">
          <cell r="B951"/>
          <cell r="C951"/>
        </row>
        <row r="952">
          <cell r="B952"/>
          <cell r="C952"/>
        </row>
        <row r="953">
          <cell r="B953"/>
          <cell r="C953"/>
        </row>
        <row r="954">
          <cell r="B954"/>
          <cell r="C954"/>
        </row>
        <row r="955">
          <cell r="B955"/>
          <cell r="C955"/>
        </row>
        <row r="956">
          <cell r="B956"/>
          <cell r="C956"/>
        </row>
        <row r="957">
          <cell r="B957"/>
          <cell r="C957"/>
        </row>
        <row r="958">
          <cell r="B958"/>
          <cell r="C958"/>
        </row>
        <row r="959">
          <cell r="B959"/>
          <cell r="C959"/>
        </row>
        <row r="960">
          <cell r="B960"/>
          <cell r="C960"/>
        </row>
        <row r="961">
          <cell r="B961"/>
          <cell r="C961"/>
        </row>
        <row r="962">
          <cell r="B962"/>
          <cell r="C962"/>
        </row>
        <row r="963">
          <cell r="B963"/>
          <cell r="C963"/>
        </row>
        <row r="964">
          <cell r="B964"/>
          <cell r="C964"/>
        </row>
        <row r="965">
          <cell r="B965"/>
          <cell r="C965"/>
        </row>
        <row r="966">
          <cell r="B966"/>
          <cell r="C966"/>
        </row>
        <row r="967">
          <cell r="B967"/>
          <cell r="C967"/>
        </row>
        <row r="968">
          <cell r="B968"/>
          <cell r="C968"/>
        </row>
        <row r="969">
          <cell r="B969"/>
          <cell r="C969"/>
        </row>
        <row r="970">
          <cell r="B970"/>
          <cell r="C970"/>
        </row>
        <row r="971">
          <cell r="B971"/>
          <cell r="C971"/>
        </row>
        <row r="972">
          <cell r="B972"/>
          <cell r="C972"/>
        </row>
        <row r="973">
          <cell r="B973"/>
          <cell r="C973"/>
        </row>
        <row r="974">
          <cell r="B974"/>
          <cell r="C974"/>
        </row>
        <row r="975">
          <cell r="B975"/>
          <cell r="C975"/>
        </row>
        <row r="976">
          <cell r="B976"/>
          <cell r="C976"/>
        </row>
        <row r="977">
          <cell r="B977"/>
          <cell r="C977"/>
        </row>
        <row r="978">
          <cell r="B978"/>
          <cell r="C978"/>
        </row>
        <row r="979">
          <cell r="B979"/>
          <cell r="C979"/>
        </row>
        <row r="980">
          <cell r="B980"/>
          <cell r="C980"/>
        </row>
        <row r="981">
          <cell r="B981"/>
          <cell r="C981"/>
        </row>
        <row r="982">
          <cell r="B982"/>
          <cell r="C982"/>
        </row>
        <row r="983">
          <cell r="B983"/>
          <cell r="C983"/>
        </row>
        <row r="984">
          <cell r="B984"/>
          <cell r="C984"/>
        </row>
        <row r="985">
          <cell r="B985"/>
          <cell r="C985"/>
        </row>
        <row r="986">
          <cell r="B986"/>
          <cell r="C986"/>
        </row>
        <row r="987">
          <cell r="B987"/>
          <cell r="C987"/>
        </row>
        <row r="988">
          <cell r="B988"/>
          <cell r="C988"/>
        </row>
        <row r="989">
          <cell r="B989"/>
          <cell r="C989"/>
        </row>
        <row r="990">
          <cell r="B990"/>
          <cell r="C990"/>
        </row>
        <row r="991">
          <cell r="B991"/>
          <cell r="C991"/>
        </row>
        <row r="992">
          <cell r="B992"/>
          <cell r="C992"/>
        </row>
        <row r="993">
          <cell r="B993"/>
          <cell r="C993"/>
        </row>
        <row r="994">
          <cell r="B994"/>
          <cell r="C994"/>
        </row>
        <row r="995">
          <cell r="B995"/>
          <cell r="C995"/>
        </row>
        <row r="996">
          <cell r="B996"/>
          <cell r="C996"/>
        </row>
        <row r="997">
          <cell r="B997"/>
          <cell r="C997"/>
        </row>
        <row r="998">
          <cell r="B998"/>
          <cell r="C998"/>
        </row>
        <row r="999">
          <cell r="B999"/>
          <cell r="C999"/>
        </row>
        <row r="1000">
          <cell r="B1000"/>
          <cell r="C1000"/>
        </row>
        <row r="1001">
          <cell r="B1001"/>
          <cell r="C1001"/>
        </row>
        <row r="1002">
          <cell r="B1002"/>
          <cell r="C1002"/>
        </row>
        <row r="1003">
          <cell r="B1003"/>
          <cell r="C1003"/>
        </row>
        <row r="1004">
          <cell r="B1004"/>
          <cell r="C1004"/>
        </row>
        <row r="1005">
          <cell r="B1005"/>
          <cell r="C1005"/>
        </row>
        <row r="1006">
          <cell r="B1006"/>
          <cell r="C1006"/>
        </row>
        <row r="1007">
          <cell r="B1007"/>
          <cell r="C1007"/>
        </row>
        <row r="1008">
          <cell r="B1008"/>
          <cell r="C1008"/>
        </row>
        <row r="1009">
          <cell r="B1009"/>
          <cell r="C1009"/>
        </row>
        <row r="1010">
          <cell r="B1010"/>
          <cell r="C1010"/>
        </row>
        <row r="1011">
          <cell r="B1011"/>
          <cell r="C1011"/>
        </row>
        <row r="1012">
          <cell r="B1012"/>
          <cell r="C1012"/>
        </row>
        <row r="1013">
          <cell r="B1013"/>
          <cell r="C1013"/>
        </row>
        <row r="1014">
          <cell r="B1014"/>
          <cell r="C1014"/>
        </row>
        <row r="1015">
          <cell r="B1015"/>
          <cell r="C1015"/>
        </row>
        <row r="1016">
          <cell r="B1016"/>
          <cell r="C1016"/>
        </row>
        <row r="1017">
          <cell r="B1017"/>
          <cell r="C1017"/>
        </row>
        <row r="1018">
          <cell r="B1018"/>
          <cell r="C1018"/>
        </row>
        <row r="1019">
          <cell r="B1019"/>
          <cell r="C1019"/>
        </row>
        <row r="1020">
          <cell r="B1020"/>
          <cell r="C1020"/>
        </row>
        <row r="1021">
          <cell r="B1021"/>
          <cell r="C1021"/>
        </row>
        <row r="1022">
          <cell r="B1022"/>
          <cell r="C1022"/>
        </row>
        <row r="1023">
          <cell r="B1023"/>
          <cell r="C1023"/>
        </row>
        <row r="1024">
          <cell r="B1024"/>
          <cell r="C1024"/>
        </row>
        <row r="1025">
          <cell r="B1025"/>
          <cell r="C1025"/>
        </row>
        <row r="1026">
          <cell r="B1026"/>
          <cell r="C1026"/>
        </row>
        <row r="1027">
          <cell r="B1027"/>
          <cell r="C1027"/>
        </row>
        <row r="1028">
          <cell r="B1028"/>
          <cell r="C1028"/>
        </row>
        <row r="1029">
          <cell r="B1029"/>
          <cell r="C1029"/>
        </row>
        <row r="1030">
          <cell r="B1030"/>
          <cell r="C1030"/>
        </row>
        <row r="1031">
          <cell r="B1031"/>
          <cell r="C1031"/>
        </row>
        <row r="1032">
          <cell r="B1032"/>
          <cell r="C1032"/>
        </row>
        <row r="1033">
          <cell r="B1033"/>
          <cell r="C1033"/>
        </row>
        <row r="1034">
          <cell r="B1034"/>
          <cell r="C1034"/>
        </row>
        <row r="1035">
          <cell r="B1035"/>
          <cell r="C1035"/>
        </row>
        <row r="1036">
          <cell r="B1036"/>
          <cell r="C1036"/>
        </row>
        <row r="1037">
          <cell r="B1037"/>
          <cell r="C1037"/>
        </row>
        <row r="1038">
          <cell r="B1038"/>
          <cell r="C1038"/>
        </row>
        <row r="1039">
          <cell r="B1039"/>
          <cell r="C1039"/>
        </row>
        <row r="1040">
          <cell r="B1040"/>
          <cell r="C1040"/>
        </row>
        <row r="1041">
          <cell r="B1041"/>
          <cell r="C1041"/>
        </row>
        <row r="1042">
          <cell r="B1042"/>
          <cell r="C1042"/>
        </row>
        <row r="1043">
          <cell r="B1043"/>
          <cell r="C1043"/>
        </row>
        <row r="1044">
          <cell r="B1044"/>
          <cell r="C1044"/>
        </row>
        <row r="1045">
          <cell r="B1045"/>
          <cell r="C1045"/>
        </row>
        <row r="1046">
          <cell r="B1046"/>
          <cell r="C1046"/>
        </row>
        <row r="1047">
          <cell r="B1047"/>
          <cell r="C1047"/>
        </row>
        <row r="1048">
          <cell r="B1048"/>
          <cell r="C1048"/>
        </row>
        <row r="1049">
          <cell r="B1049"/>
          <cell r="C1049"/>
        </row>
        <row r="1050">
          <cell r="B1050"/>
          <cell r="C1050"/>
        </row>
        <row r="1051">
          <cell r="B1051"/>
          <cell r="C1051"/>
        </row>
        <row r="1052">
          <cell r="B1052"/>
          <cell r="C1052"/>
        </row>
        <row r="1053">
          <cell r="B1053"/>
          <cell r="C1053"/>
        </row>
        <row r="1054">
          <cell r="B1054"/>
          <cell r="C1054"/>
        </row>
        <row r="1055">
          <cell r="B1055"/>
          <cell r="C1055"/>
        </row>
        <row r="1056">
          <cell r="B1056"/>
          <cell r="C1056"/>
        </row>
        <row r="1057">
          <cell r="B1057"/>
          <cell r="C1057"/>
        </row>
        <row r="1058">
          <cell r="B1058"/>
          <cell r="C1058"/>
        </row>
        <row r="1059">
          <cell r="B1059"/>
          <cell r="C1059"/>
        </row>
        <row r="1060">
          <cell r="B1060"/>
          <cell r="C1060"/>
        </row>
        <row r="1061">
          <cell r="B1061"/>
          <cell r="C1061"/>
        </row>
        <row r="1062">
          <cell r="B1062"/>
          <cell r="C1062"/>
        </row>
        <row r="1063">
          <cell r="B1063"/>
          <cell r="C1063"/>
        </row>
        <row r="1064">
          <cell r="B1064"/>
          <cell r="C1064"/>
        </row>
        <row r="1065">
          <cell r="B1065"/>
          <cell r="C1065"/>
        </row>
        <row r="1066">
          <cell r="B1066"/>
          <cell r="C1066"/>
        </row>
        <row r="1067">
          <cell r="B1067"/>
          <cell r="C1067"/>
        </row>
        <row r="1068">
          <cell r="B1068"/>
          <cell r="C1068"/>
        </row>
        <row r="1069">
          <cell r="B1069"/>
          <cell r="C1069"/>
        </row>
        <row r="1070">
          <cell r="B1070"/>
          <cell r="C1070"/>
        </row>
        <row r="1071">
          <cell r="B1071"/>
          <cell r="C1071"/>
        </row>
        <row r="1072">
          <cell r="B1072"/>
          <cell r="C1072"/>
        </row>
        <row r="1073">
          <cell r="B1073"/>
          <cell r="C1073"/>
        </row>
        <row r="1074">
          <cell r="B1074"/>
          <cell r="C1074"/>
        </row>
        <row r="1075">
          <cell r="B1075"/>
          <cell r="C1075"/>
        </row>
        <row r="1076">
          <cell r="B1076"/>
          <cell r="C1076"/>
        </row>
        <row r="1077">
          <cell r="B1077"/>
          <cell r="C1077"/>
        </row>
        <row r="1078">
          <cell r="B1078"/>
          <cell r="C1078"/>
        </row>
        <row r="1079">
          <cell r="B1079"/>
          <cell r="C1079"/>
        </row>
        <row r="1080">
          <cell r="B1080"/>
          <cell r="C1080"/>
        </row>
        <row r="1081">
          <cell r="B1081"/>
          <cell r="C1081"/>
        </row>
        <row r="1082">
          <cell r="B1082"/>
          <cell r="C1082"/>
        </row>
        <row r="1083">
          <cell r="B1083"/>
          <cell r="C1083"/>
        </row>
        <row r="1084">
          <cell r="B1084"/>
          <cell r="C1084"/>
        </row>
        <row r="1085">
          <cell r="B1085"/>
          <cell r="C1085"/>
        </row>
        <row r="1086">
          <cell r="B1086"/>
          <cell r="C1086"/>
        </row>
        <row r="1087">
          <cell r="B1087"/>
          <cell r="C1087"/>
        </row>
        <row r="1088">
          <cell r="B1088"/>
          <cell r="C1088"/>
        </row>
        <row r="1089">
          <cell r="B1089"/>
          <cell r="C1089"/>
        </row>
        <row r="1090">
          <cell r="B1090"/>
          <cell r="C1090"/>
        </row>
        <row r="1091">
          <cell r="B1091"/>
          <cell r="C1091"/>
        </row>
        <row r="1092">
          <cell r="B1092"/>
          <cell r="C1092"/>
        </row>
        <row r="1093">
          <cell r="B1093"/>
          <cell r="C1093"/>
        </row>
        <row r="1094">
          <cell r="B1094"/>
          <cell r="C1094"/>
        </row>
        <row r="1095">
          <cell r="B1095"/>
          <cell r="C1095"/>
        </row>
        <row r="1096">
          <cell r="B1096"/>
          <cell r="C1096"/>
        </row>
        <row r="1097">
          <cell r="B1097"/>
          <cell r="C1097"/>
        </row>
        <row r="1098">
          <cell r="B1098"/>
          <cell r="C1098"/>
        </row>
        <row r="1099">
          <cell r="B1099"/>
          <cell r="C1099"/>
        </row>
        <row r="1100">
          <cell r="B1100"/>
          <cell r="C1100"/>
        </row>
        <row r="1101">
          <cell r="B1101"/>
          <cell r="C1101"/>
        </row>
        <row r="1102">
          <cell r="B1102"/>
          <cell r="C1102"/>
        </row>
        <row r="1103">
          <cell r="B1103"/>
          <cell r="C1103"/>
        </row>
        <row r="1104">
          <cell r="B1104"/>
          <cell r="C1104"/>
        </row>
        <row r="1105">
          <cell r="B1105"/>
          <cell r="C1105"/>
        </row>
        <row r="1106">
          <cell r="B1106"/>
          <cell r="C1106"/>
        </row>
        <row r="1107">
          <cell r="B1107"/>
          <cell r="C1107"/>
        </row>
        <row r="1108">
          <cell r="B1108"/>
          <cell r="C1108"/>
        </row>
        <row r="1109">
          <cell r="B1109"/>
          <cell r="C1109"/>
        </row>
        <row r="1110">
          <cell r="B1110"/>
          <cell r="C1110"/>
        </row>
        <row r="1111">
          <cell r="B1111"/>
          <cell r="C1111"/>
        </row>
        <row r="1112">
          <cell r="B1112"/>
          <cell r="C1112"/>
        </row>
        <row r="1113">
          <cell r="B1113"/>
          <cell r="C1113"/>
        </row>
        <row r="1114">
          <cell r="B1114"/>
          <cell r="C1114"/>
        </row>
        <row r="1115">
          <cell r="B1115"/>
          <cell r="C1115"/>
        </row>
        <row r="1116">
          <cell r="B1116"/>
          <cell r="C1116"/>
        </row>
        <row r="1117">
          <cell r="B1117"/>
          <cell r="C1117"/>
        </row>
        <row r="1118">
          <cell r="B1118"/>
          <cell r="C1118"/>
        </row>
        <row r="1119">
          <cell r="B1119"/>
          <cell r="C1119"/>
        </row>
        <row r="1120">
          <cell r="B1120"/>
          <cell r="C1120"/>
        </row>
        <row r="1121">
          <cell r="B1121"/>
          <cell r="C1121"/>
        </row>
        <row r="1122">
          <cell r="B1122"/>
          <cell r="C1122"/>
        </row>
        <row r="1123">
          <cell r="B1123"/>
          <cell r="C1123"/>
        </row>
        <row r="1124">
          <cell r="B1124"/>
          <cell r="C1124"/>
        </row>
        <row r="1125">
          <cell r="B1125"/>
          <cell r="C1125"/>
        </row>
        <row r="1126">
          <cell r="B1126"/>
          <cell r="C1126"/>
        </row>
        <row r="1127">
          <cell r="B1127"/>
          <cell r="C1127"/>
        </row>
        <row r="1128">
          <cell r="B1128"/>
          <cell r="C1128"/>
        </row>
        <row r="1129">
          <cell r="B1129"/>
          <cell r="C1129"/>
        </row>
        <row r="1130">
          <cell r="B1130"/>
          <cell r="C1130"/>
        </row>
        <row r="1131">
          <cell r="B1131"/>
          <cell r="C1131"/>
        </row>
        <row r="1132">
          <cell r="B1132"/>
          <cell r="C1132"/>
        </row>
        <row r="1133">
          <cell r="B1133"/>
          <cell r="C1133"/>
        </row>
        <row r="1134">
          <cell r="B1134"/>
          <cell r="C1134"/>
        </row>
        <row r="1135">
          <cell r="B1135"/>
          <cell r="C1135"/>
        </row>
        <row r="1136">
          <cell r="B1136"/>
          <cell r="C1136"/>
        </row>
        <row r="1137">
          <cell r="B1137"/>
          <cell r="C1137"/>
        </row>
        <row r="1138">
          <cell r="B1138"/>
          <cell r="C1138"/>
        </row>
        <row r="1139">
          <cell r="B1139"/>
          <cell r="C1139"/>
        </row>
        <row r="1140">
          <cell r="B1140"/>
          <cell r="C1140"/>
        </row>
        <row r="1141">
          <cell r="B1141"/>
          <cell r="C1141"/>
        </row>
        <row r="1142">
          <cell r="B1142"/>
          <cell r="C1142"/>
        </row>
        <row r="1143">
          <cell r="B1143"/>
          <cell r="C1143"/>
        </row>
        <row r="1144">
          <cell r="B1144"/>
          <cell r="C1144"/>
        </row>
        <row r="1145">
          <cell r="B1145"/>
          <cell r="C1145"/>
        </row>
        <row r="1146">
          <cell r="B1146"/>
          <cell r="C1146"/>
        </row>
        <row r="1147">
          <cell r="B1147"/>
          <cell r="C1147"/>
        </row>
        <row r="1148">
          <cell r="B1148"/>
          <cell r="C1148"/>
        </row>
        <row r="1149">
          <cell r="B1149"/>
          <cell r="C1149"/>
        </row>
        <row r="1150">
          <cell r="B1150"/>
          <cell r="C1150"/>
        </row>
        <row r="1151">
          <cell r="B1151"/>
          <cell r="C1151"/>
        </row>
        <row r="1152">
          <cell r="B1152"/>
          <cell r="C1152"/>
        </row>
        <row r="1153">
          <cell r="B1153"/>
          <cell r="C1153"/>
        </row>
        <row r="1154">
          <cell r="B1154"/>
          <cell r="C1154"/>
        </row>
        <row r="1155">
          <cell r="B1155"/>
          <cell r="C1155"/>
        </row>
        <row r="1156">
          <cell r="B1156"/>
          <cell r="C1156"/>
        </row>
        <row r="1157">
          <cell r="B1157"/>
          <cell r="C1157"/>
        </row>
        <row r="1158">
          <cell r="B1158"/>
          <cell r="C1158"/>
        </row>
        <row r="1159">
          <cell r="B1159"/>
          <cell r="C1159"/>
        </row>
        <row r="1160">
          <cell r="B1160"/>
          <cell r="C1160"/>
        </row>
        <row r="1161">
          <cell r="B1161"/>
          <cell r="C1161"/>
        </row>
        <row r="1162">
          <cell r="B1162"/>
          <cell r="C1162"/>
        </row>
        <row r="1163">
          <cell r="B1163"/>
          <cell r="C1163"/>
        </row>
        <row r="1164">
          <cell r="B1164"/>
          <cell r="C1164"/>
        </row>
        <row r="1165">
          <cell r="B1165"/>
          <cell r="C1165"/>
        </row>
        <row r="1166">
          <cell r="B1166"/>
          <cell r="C1166"/>
        </row>
        <row r="1167">
          <cell r="B1167"/>
          <cell r="C1167"/>
        </row>
        <row r="1168">
          <cell r="B1168"/>
          <cell r="C1168"/>
        </row>
        <row r="1169">
          <cell r="B1169"/>
          <cell r="C1169"/>
        </row>
        <row r="1170">
          <cell r="B1170"/>
          <cell r="C1170"/>
        </row>
        <row r="1171">
          <cell r="B1171"/>
          <cell r="C1171"/>
        </row>
        <row r="1172">
          <cell r="B1172"/>
          <cell r="C1172"/>
        </row>
        <row r="1173">
          <cell r="B1173"/>
          <cell r="C1173"/>
        </row>
        <row r="1174">
          <cell r="B1174"/>
          <cell r="C1174"/>
        </row>
        <row r="1175">
          <cell r="B1175"/>
          <cell r="C1175"/>
        </row>
        <row r="1176">
          <cell r="B1176"/>
          <cell r="C1176"/>
        </row>
        <row r="1177">
          <cell r="B1177"/>
          <cell r="C1177"/>
        </row>
        <row r="1178">
          <cell r="B1178"/>
          <cell r="C1178"/>
        </row>
        <row r="1179">
          <cell r="B1179"/>
          <cell r="C1179"/>
        </row>
        <row r="1180">
          <cell r="B1180"/>
          <cell r="C1180"/>
        </row>
        <row r="1181">
          <cell r="B1181"/>
          <cell r="C1181"/>
        </row>
        <row r="1182">
          <cell r="B1182"/>
          <cell r="C1182"/>
        </row>
        <row r="1183">
          <cell r="B1183"/>
          <cell r="C1183"/>
        </row>
        <row r="1184">
          <cell r="B1184"/>
          <cell r="C1184"/>
        </row>
        <row r="1185">
          <cell r="B1185"/>
          <cell r="C1185"/>
        </row>
        <row r="1186">
          <cell r="B1186"/>
          <cell r="C1186"/>
        </row>
        <row r="1187">
          <cell r="B1187"/>
          <cell r="C1187"/>
        </row>
        <row r="1188">
          <cell r="B1188"/>
          <cell r="C1188"/>
        </row>
        <row r="1189">
          <cell r="B1189"/>
          <cell r="C1189"/>
        </row>
        <row r="1190">
          <cell r="B1190"/>
          <cell r="C1190"/>
        </row>
        <row r="1191">
          <cell r="B1191"/>
          <cell r="C1191"/>
        </row>
        <row r="1192">
          <cell r="B1192"/>
          <cell r="C1192"/>
        </row>
        <row r="1193">
          <cell r="B1193"/>
          <cell r="C1193"/>
        </row>
        <row r="1194">
          <cell r="B1194"/>
          <cell r="C1194"/>
        </row>
        <row r="1195">
          <cell r="B1195"/>
          <cell r="C1195"/>
        </row>
        <row r="1196">
          <cell r="B1196"/>
          <cell r="C1196"/>
        </row>
        <row r="1197">
          <cell r="B1197"/>
          <cell r="C1197"/>
        </row>
        <row r="1198">
          <cell r="B1198"/>
          <cell r="C1198"/>
        </row>
        <row r="1199">
          <cell r="B1199"/>
          <cell r="C1199"/>
        </row>
        <row r="1200">
          <cell r="B1200"/>
          <cell r="C1200"/>
        </row>
        <row r="1201">
          <cell r="B1201"/>
          <cell r="C1201"/>
        </row>
        <row r="1202">
          <cell r="B1202"/>
          <cell r="C1202"/>
        </row>
        <row r="1203">
          <cell r="B1203"/>
          <cell r="C1203"/>
        </row>
        <row r="1204">
          <cell r="B1204"/>
          <cell r="C1204"/>
        </row>
        <row r="1205">
          <cell r="B1205"/>
          <cell r="C1205"/>
        </row>
        <row r="1206">
          <cell r="B1206"/>
          <cell r="C1206"/>
        </row>
        <row r="1207">
          <cell r="B1207"/>
          <cell r="C1207"/>
        </row>
        <row r="1208">
          <cell r="B1208"/>
          <cell r="C1208"/>
        </row>
        <row r="1209">
          <cell r="B1209"/>
          <cell r="C1209"/>
        </row>
        <row r="1210">
          <cell r="B1210"/>
          <cell r="C1210"/>
        </row>
        <row r="1211">
          <cell r="B1211"/>
          <cell r="C1211"/>
        </row>
        <row r="1212">
          <cell r="B1212"/>
          <cell r="C1212"/>
        </row>
        <row r="1213">
          <cell r="B1213"/>
          <cell r="C1213"/>
        </row>
        <row r="1214">
          <cell r="B1214"/>
          <cell r="C1214"/>
        </row>
        <row r="1215">
          <cell r="B1215"/>
          <cell r="C1215"/>
        </row>
        <row r="1216">
          <cell r="B1216"/>
          <cell r="C1216"/>
        </row>
        <row r="1217">
          <cell r="B1217"/>
          <cell r="C1217"/>
        </row>
        <row r="1218">
          <cell r="B1218"/>
          <cell r="C1218"/>
        </row>
        <row r="1219">
          <cell r="B1219"/>
          <cell r="C1219"/>
        </row>
        <row r="1220">
          <cell r="B1220"/>
          <cell r="C1220"/>
        </row>
        <row r="1221">
          <cell r="B1221"/>
          <cell r="C1221"/>
        </row>
        <row r="1222">
          <cell r="B1222"/>
          <cell r="C1222"/>
        </row>
        <row r="1223">
          <cell r="B1223"/>
          <cell r="C1223"/>
        </row>
        <row r="1224">
          <cell r="B1224"/>
          <cell r="C1224"/>
        </row>
        <row r="1225">
          <cell r="B1225"/>
          <cell r="C1225"/>
        </row>
        <row r="1226">
          <cell r="B1226"/>
          <cell r="C1226"/>
        </row>
        <row r="1227">
          <cell r="B1227"/>
          <cell r="C1227"/>
        </row>
        <row r="1228">
          <cell r="B1228"/>
          <cell r="C1228"/>
        </row>
        <row r="1229">
          <cell r="B1229"/>
          <cell r="C1229"/>
        </row>
        <row r="1230">
          <cell r="B1230"/>
          <cell r="C1230"/>
        </row>
        <row r="1231">
          <cell r="B1231"/>
          <cell r="C1231"/>
        </row>
        <row r="1232">
          <cell r="B1232"/>
          <cell r="C1232"/>
        </row>
        <row r="1233">
          <cell r="B1233"/>
          <cell r="C1233"/>
        </row>
        <row r="1234">
          <cell r="B1234"/>
          <cell r="C1234"/>
        </row>
        <row r="1235">
          <cell r="B1235"/>
          <cell r="C1235"/>
        </row>
        <row r="1236">
          <cell r="B1236"/>
          <cell r="C1236"/>
        </row>
        <row r="1237">
          <cell r="B1237"/>
          <cell r="C1237"/>
        </row>
        <row r="1238">
          <cell r="B1238"/>
          <cell r="C1238"/>
        </row>
        <row r="1239">
          <cell r="B1239"/>
          <cell r="C1239"/>
        </row>
        <row r="1240">
          <cell r="B1240"/>
          <cell r="C1240"/>
        </row>
        <row r="1241">
          <cell r="B1241"/>
          <cell r="C1241"/>
        </row>
        <row r="1242">
          <cell r="B1242"/>
          <cell r="C1242"/>
        </row>
        <row r="1243">
          <cell r="B1243"/>
          <cell r="C1243"/>
        </row>
        <row r="1244">
          <cell r="B1244"/>
          <cell r="C1244"/>
        </row>
        <row r="1245">
          <cell r="B1245"/>
          <cell r="C1245"/>
        </row>
        <row r="1246">
          <cell r="B1246"/>
          <cell r="C1246"/>
        </row>
        <row r="1247">
          <cell r="B1247"/>
          <cell r="C1247"/>
        </row>
        <row r="1248">
          <cell r="B1248"/>
          <cell r="C1248"/>
        </row>
        <row r="1249">
          <cell r="B1249"/>
          <cell r="C1249"/>
        </row>
        <row r="1250">
          <cell r="B1250"/>
          <cell r="C1250"/>
        </row>
        <row r="1251">
          <cell r="B1251"/>
          <cell r="C1251"/>
        </row>
        <row r="1252">
          <cell r="B1252"/>
          <cell r="C1252"/>
        </row>
        <row r="1253">
          <cell r="B1253"/>
          <cell r="C1253"/>
        </row>
        <row r="1254">
          <cell r="B1254"/>
          <cell r="C1254"/>
        </row>
        <row r="1255">
          <cell r="B1255"/>
          <cell r="C1255"/>
        </row>
        <row r="1256">
          <cell r="B1256"/>
          <cell r="C1256"/>
        </row>
        <row r="1257">
          <cell r="B1257"/>
          <cell r="C1257"/>
        </row>
        <row r="1258">
          <cell r="B1258"/>
          <cell r="C1258"/>
        </row>
        <row r="1259">
          <cell r="B1259"/>
          <cell r="C1259"/>
        </row>
        <row r="1260">
          <cell r="B1260"/>
          <cell r="C1260"/>
        </row>
        <row r="1261">
          <cell r="B1261"/>
          <cell r="C1261"/>
        </row>
        <row r="1262">
          <cell r="B1262"/>
          <cell r="C1262"/>
        </row>
        <row r="1263">
          <cell r="B1263"/>
          <cell r="C1263"/>
        </row>
        <row r="1264">
          <cell r="B1264"/>
          <cell r="C1264"/>
        </row>
        <row r="1265">
          <cell r="B1265"/>
          <cell r="C1265"/>
        </row>
        <row r="1266">
          <cell r="B1266"/>
          <cell r="C1266"/>
        </row>
        <row r="1267">
          <cell r="B1267"/>
          <cell r="C1267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DIF PARAMETRICO"/>
      <sheetName val="EAP Análise"/>
      <sheetName val="PROJETOS"/>
      <sheetName val="EPC FG"/>
      <sheetName val="MO EPC FG"/>
      <sheetName val="Ger_Tec e Adm"/>
      <sheetName val="Ger_Executivo"/>
      <sheetName val="Drywall"/>
      <sheetName val="CPU"/>
      <sheetName val="Insumos"/>
      <sheetName val="INSTALAÇÕES - ESTIMATIVAS"/>
      <sheetName val="Bombeamento"/>
      <sheetName val="Planilha5"/>
      <sheetName val="IRRIGAÇÃO"/>
      <sheetName val="PISCINA"/>
      <sheetName val="SPDA"/>
      <sheetName val="Sprinkler"/>
      <sheetName val="CLIMATIZAÇÃO"/>
      <sheetName val="LOUÇAS E METAIS"/>
      <sheetName val="EPCs"/>
      <sheetName val="CANTEIRO"/>
      <sheetName val="Ensaios"/>
      <sheetName val="Estacas"/>
      <sheetName val="Fund. Rasa | Contenção"/>
      <sheetName val="RESUMO CUSTOS ESTACAS "/>
      <sheetName val="ESTRUTURA FG"/>
      <sheetName val="BLOCO A"/>
      <sheetName val="Estrutura"/>
      <sheetName val="Resumo Estrutu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Descrição</v>
          </cell>
          <cell r="D1">
            <v>1</v>
          </cell>
        </row>
        <row r="2">
          <cell r="B2" t="str">
            <v xml:space="preserve">Arame Galvanizado </v>
          </cell>
          <cell r="D2">
            <v>13.69</v>
          </cell>
        </row>
        <row r="3">
          <cell r="B3" t="str">
            <v xml:space="preserve">Arame Recozido BWG 18 </v>
          </cell>
          <cell r="D3">
            <v>10.71</v>
          </cell>
        </row>
        <row r="4">
          <cell r="B4" t="str">
            <v>Barras de transferencia lisa 12,5mm 50 cm</v>
          </cell>
          <cell r="D4">
            <v>3.82</v>
          </cell>
        </row>
        <row r="5">
          <cell r="B5" t="str">
            <v>Monocordoalha engraxada CP - 190 RB (12,7mm)</v>
          </cell>
          <cell r="D5">
            <v>15.5</v>
          </cell>
        </row>
        <row r="6">
          <cell r="B6" t="str">
            <v>Armação aço Média para estaca (Corte e Dobra em Obra)</v>
          </cell>
          <cell r="D6">
            <v>7.6873385012919897</v>
          </cell>
        </row>
        <row r="7">
          <cell r="B7" t="str">
            <v>Armação aço Média para estaca (Corte e Dobra em Indústria)</v>
          </cell>
          <cell r="D7">
            <v>8.2873385012919893</v>
          </cell>
        </row>
        <row r="8">
          <cell r="B8" t="str">
            <v>CORTE E DOBRA ARMADO ESTACA Ø50CM 5F 16,0 4MTS ESP75 PS20</v>
          </cell>
          <cell r="D8">
            <v>302.92200000000003</v>
          </cell>
        </row>
        <row r="9">
          <cell r="B9" t="str">
            <v>CORTE E DOBRA ARMADO ESTACA Ø60CM 5F 20,0 4MTS ESP75 PS20</v>
          </cell>
          <cell r="D9">
            <v>466.33699999999999</v>
          </cell>
        </row>
        <row r="10">
          <cell r="B10" t="str">
            <v>CORTE E DOBRA ARMADO ESTACA Ø60CM 7F 20,0 6MTS ESP75 PS20</v>
          </cell>
          <cell r="D10">
            <v>937.63900000000001</v>
          </cell>
        </row>
        <row r="11">
          <cell r="B11" t="str">
            <v>CORTE E DOBRA ARMADO ESTACA Ø60CM 9F 20,0 8MTS ESP75 PS20</v>
          </cell>
          <cell r="D11">
            <v>1609.6659999999999</v>
          </cell>
        </row>
        <row r="12">
          <cell r="B12" t="str">
            <v>Aço CA50 10,0 mm</v>
          </cell>
          <cell r="D12">
            <v>4.8099999999999996</v>
          </cell>
        </row>
        <row r="13">
          <cell r="B13" t="str">
            <v>Aço CA50 12,5 mm</v>
          </cell>
          <cell r="D13">
            <v>4.58</v>
          </cell>
        </row>
        <row r="14">
          <cell r="B14" t="str">
            <v>Aço CA50 16,0mm</v>
          </cell>
          <cell r="D14">
            <v>4.58</v>
          </cell>
        </row>
        <row r="15">
          <cell r="B15" t="str">
            <v>Aço CA50 20,0mm</v>
          </cell>
          <cell r="D15">
            <v>4.58</v>
          </cell>
        </row>
        <row r="16">
          <cell r="B16" t="str">
            <v>Aço CA50 25,0mm</v>
          </cell>
          <cell r="D16">
            <v>4.58</v>
          </cell>
        </row>
        <row r="17">
          <cell r="B17" t="str">
            <v>Aço CA70 25,0mm</v>
          </cell>
          <cell r="D17">
            <v>4.84</v>
          </cell>
        </row>
        <row r="18">
          <cell r="B18" t="str">
            <v>Aço CA50 6,3 mm</v>
          </cell>
          <cell r="D18">
            <v>5.04</v>
          </cell>
        </row>
        <row r="19">
          <cell r="B19" t="str">
            <v>Aço CA50 8,0 mm</v>
          </cell>
          <cell r="D19">
            <v>5.04</v>
          </cell>
        </row>
        <row r="20">
          <cell r="B20" t="str">
            <v>Aço CA60 5,0mm</v>
          </cell>
          <cell r="D20">
            <v>6.54</v>
          </cell>
        </row>
        <row r="21">
          <cell r="B21" t="str">
            <v>Aço CA50 32,0mm</v>
          </cell>
          <cell r="D21">
            <v>4.96</v>
          </cell>
        </row>
        <row r="22">
          <cell r="B22" t="str">
            <v>Corte e Dobra geral</v>
          </cell>
          <cell r="D22">
            <v>0.76</v>
          </cell>
        </row>
        <row r="23">
          <cell r="B23" t="str">
            <v>Corte e Dobra Estaca</v>
          </cell>
          <cell r="D23">
            <v>2.66</v>
          </cell>
        </row>
        <row r="24">
          <cell r="B24" t="str">
            <v>Corte e Dobra Lamela</v>
          </cell>
          <cell r="D24">
            <v>3.06</v>
          </cell>
        </row>
        <row r="25">
          <cell r="B25" t="str">
            <v>Sistema e Instalação de Fachada Ventilada. Mecanização das peças, arremate das esquadrias e Fretes</v>
          </cell>
          <cell r="D25">
            <v>321.30483318157923</v>
          </cell>
        </row>
        <row r="26">
          <cell r="B26" t="str">
            <v>ESPACADOR / DISTANCIADOR CIRCULAR COM ENTRADA LATERAL, EM PLASTICO, PARA VERGALHAO *4,2 A 12,5* MM, COBRIMENTO 40 MM</v>
          </cell>
          <cell r="D26">
            <v>0.43</v>
          </cell>
        </row>
        <row r="27">
          <cell r="B27" t="str">
            <v>TELA ACO CARBONO CA60 M.150X150MM F.03,4MM 245X600CM Q61 (14,26KG/UN)</v>
          </cell>
          <cell r="D27">
            <v>6.1</v>
          </cell>
        </row>
        <row r="28">
          <cell r="B28" t="str">
            <v>TELA ACO CARBONO CA60 M.150X150MM F.04,2MM 245X600CM Q92 (21,8KG/UN)</v>
          </cell>
          <cell r="D28">
            <v>4.88</v>
          </cell>
        </row>
        <row r="29">
          <cell r="B29" t="str">
            <v>TELA ACO CARBONO CA60 M.100X100MM F.04,2MM 245X600CM Q113 (26,46KG/UN)</v>
          </cell>
          <cell r="D29">
            <v>8.5370370370370363</v>
          </cell>
        </row>
        <row r="30">
          <cell r="B30" t="str">
            <v>TELA ACO CARBONO CA60 M.100X100MM F.04,2MM 245X600CM Q138 (32,34KG/UN)</v>
          </cell>
          <cell r="D30">
            <v>9.1447124304267149</v>
          </cell>
        </row>
        <row r="31">
          <cell r="B31" t="str">
            <v>TELA DE ACO SOLDADA GALVANIZADA/ZINCADA PARA ALVENARIA, FIO D = *1,20 A 1,70* MM, MALHA 15 X 15 MM, (C X L) *50 X 17,5* CM</v>
          </cell>
          <cell r="D31">
            <v>2.5</v>
          </cell>
        </row>
        <row r="32">
          <cell r="B32" t="str">
            <v>Tela de arame galvanizada, hexagonal, fio 0,56 mm (24 bwg), malha 1/2", h = 1 m</v>
          </cell>
          <cell r="D32">
            <v>14.27</v>
          </cell>
        </row>
        <row r="33">
          <cell r="B33" t="str">
            <v>TIJOLO REFRATÁRIO 5 X 11,5 X 23 CM</v>
          </cell>
          <cell r="D33">
            <v>7</v>
          </cell>
        </row>
        <row r="34">
          <cell r="B34" t="str">
            <v>TIJOLO REFRATÁRIO 2,5 X 11,5 X 23 CM</v>
          </cell>
          <cell r="D34">
            <v>5.95</v>
          </cell>
        </row>
        <row r="35">
          <cell r="B35" t="str">
            <v>BLOCO CONCRETO ESTRUTURAL 03MPA 14X19X39CM NBR 6136</v>
          </cell>
          <cell r="D35">
            <v>2.95</v>
          </cell>
        </row>
        <row r="36">
          <cell r="B36" t="str">
            <v>BLOCO CONCRETO ESTRUTURAL 04MPA 14X19X04CM NBR 6136</v>
          </cell>
          <cell r="D36">
            <v>4.1861538461538466</v>
          </cell>
        </row>
        <row r="37">
          <cell r="B37" t="str">
            <v>BLOCO CONCRETO ESTRUTURAL 04MPA 14X19X09CM NBR 6136</v>
          </cell>
          <cell r="D37">
            <v>3.9889743589743589</v>
          </cell>
        </row>
        <row r="38">
          <cell r="B38" t="str">
            <v>BLOCO CONCRETO ESTRUTURAL 04MPA 14X19X14CM NBR 6136</v>
          </cell>
          <cell r="D38">
            <v>1.3760000000000001</v>
          </cell>
        </row>
        <row r="39">
          <cell r="B39" t="str">
            <v>BLOCO CONCRETO ESTRUTURAL 04MPA 11,5X19X29CM NBR 6136</v>
          </cell>
          <cell r="D39">
            <v>1.998</v>
          </cell>
        </row>
        <row r="40">
          <cell r="B40" t="str">
            <v>BLOCO CONCRETO ESTRUTURAL 04MPA 14X19X29CM NBR 6136</v>
          </cell>
          <cell r="D40">
            <v>1.998</v>
          </cell>
        </row>
        <row r="41">
          <cell r="B41" t="str">
            <v>BLOCO CONCRETO ESTRUTURAL 04MPA 14X19X44CM NBR 6136</v>
          </cell>
          <cell r="D41">
            <v>4.0199999999999996</v>
          </cell>
        </row>
        <row r="42">
          <cell r="B42" t="str">
            <v>BLOCO CONCRETO ESTRUTURAL 06MPA 14X19X04CM NBR 6136</v>
          </cell>
          <cell r="D42">
            <v>4.1861538461538466</v>
          </cell>
        </row>
        <row r="43">
          <cell r="B43" t="str">
            <v>BLOCO CONCRETO ESTRUTURAL 06MPA 14X19X09CM NBR 6136</v>
          </cell>
          <cell r="D43">
            <v>3.9889743589743589</v>
          </cell>
        </row>
        <row r="44">
          <cell r="B44" t="str">
            <v>BLOCO CONCRETO ESTRUTURAL 06MPA 14X19X14CM NBR 6136</v>
          </cell>
          <cell r="D44">
            <v>1.4359999999999999</v>
          </cell>
        </row>
        <row r="45">
          <cell r="B45" t="str">
            <v>BLOCO CONCRETO ESTRUTURAL 06MPA 14X19X29CM NBR 6136</v>
          </cell>
          <cell r="D45">
            <v>2.0979999999999999</v>
          </cell>
        </row>
        <row r="46">
          <cell r="B46" t="str">
            <v>BLOCO CONCRETO ESTRUTURAL 06MPA 14X19X44CM NBR 6136</v>
          </cell>
          <cell r="D46">
            <v>4.1890000000000001</v>
          </cell>
        </row>
        <row r="47">
          <cell r="B47" t="str">
            <v>BLOCO CONCRETO ESTRUTURAL 08MPA 19X19X39CM NBR 6136</v>
          </cell>
          <cell r="D47">
            <v>3.22</v>
          </cell>
        </row>
        <row r="48">
          <cell r="B48" t="str">
            <v>BLOCO DE concreto CORTA-FOGO  09X19X39 CM</v>
          </cell>
          <cell r="D48">
            <v>4.5</v>
          </cell>
        </row>
        <row r="49">
          <cell r="B49" t="str">
            <v>BLOCO DE concreto CORTA-FOGO  14X19X39 CM</v>
          </cell>
          <cell r="D49">
            <v>6.5</v>
          </cell>
        </row>
        <row r="50">
          <cell r="B50" t="str">
            <v>BLOCO DE concreto CORTA-FOGO ACUSTICA REFORÇADO  14X19X39 CM</v>
          </cell>
          <cell r="D50">
            <v>10</v>
          </cell>
        </row>
        <row r="51">
          <cell r="B51" t="str">
            <v>BLOCO DE concreto CORTA-FOGO  19X19X39 CM</v>
          </cell>
          <cell r="D51">
            <v>9.5</v>
          </cell>
        </row>
        <row r="52">
          <cell r="B52" t="str">
            <v>BLOCO DE concreto CORTA-FOGO  ACUSTICA REFORÇADO 19X19X39 CM</v>
          </cell>
          <cell r="D52">
            <v>14.5</v>
          </cell>
        </row>
        <row r="53">
          <cell r="B53" t="str">
            <v>BLOCO DE CERÂMICO CORTA-FOGO  09X19X39 CM</v>
          </cell>
          <cell r="D53">
            <v>4.8</v>
          </cell>
        </row>
        <row r="54">
          <cell r="B54" t="str">
            <v>BLOCO DE CERÂMICO CORTA-FOGO  14X19X39 CM</v>
          </cell>
          <cell r="D54">
            <v>6.8</v>
          </cell>
        </row>
        <row r="55">
          <cell r="B55" t="str">
            <v>BLOCO DE CERÂMICO CORTA-FOGO ACUSTICA REFORÇADO  14X19X39 CM</v>
          </cell>
          <cell r="D55">
            <v>9.8000000000000007</v>
          </cell>
        </row>
        <row r="56">
          <cell r="B56" t="str">
            <v>BLOCO DE CERÂMICO CORTA-FOGO  19X19X39 CM</v>
          </cell>
          <cell r="D56">
            <v>8.5</v>
          </cell>
        </row>
        <row r="57">
          <cell r="B57" t="str">
            <v>CANALETA CONCRETO ESTRUTURAL "U" 06MPA 14X19X29CM NBR 6136</v>
          </cell>
          <cell r="D57">
            <v>3.3050000000000002</v>
          </cell>
        </row>
        <row r="58">
          <cell r="B58" t="str">
            <v>CANALETA CONCRETO ESTRUTURAL "U" 08MPA 19X19X39CM NBR 6136</v>
          </cell>
          <cell r="D58">
            <v>4.09</v>
          </cell>
        </row>
        <row r="59">
          <cell r="B59" t="str">
            <v>BLOCO CERÂMICO ESTRUTURAL 04MPA 11,5X19X29CM NBR 6136</v>
          </cell>
          <cell r="D59">
            <v>1.69</v>
          </cell>
        </row>
        <row r="60">
          <cell r="B60" t="str">
            <v>BLOCO CERÂMICO ESTRUTURAL 04MPA 14X19X29CM NBR 6136</v>
          </cell>
          <cell r="D60">
            <v>2.76</v>
          </cell>
        </row>
        <row r="61">
          <cell r="B61" t="str">
            <v>BLOCO CERÂMICO - 14X19X39cm</v>
          </cell>
          <cell r="D61">
            <v>1.4</v>
          </cell>
        </row>
        <row r="62">
          <cell r="B62" t="str">
            <v>BLOCO CERÂMICO - 9X19X39cm</v>
          </cell>
          <cell r="D62">
            <v>0.99</v>
          </cell>
        </row>
        <row r="63">
          <cell r="B63" t="str">
            <v>BLOCO CERÂMICO - 9X19X19cm</v>
          </cell>
          <cell r="D63">
            <v>0.99</v>
          </cell>
        </row>
        <row r="64">
          <cell r="B64" t="str">
            <v>BLOCO CERÂMICO - 11,5X19X19cm</v>
          </cell>
          <cell r="D64">
            <v>1.24</v>
          </cell>
        </row>
        <row r="65">
          <cell r="B65" t="str">
            <v>BLOCO CERÂMICO - 14X19X19cm</v>
          </cell>
          <cell r="D65">
            <v>2.6</v>
          </cell>
        </row>
        <row r="66">
          <cell r="B66" t="str">
            <v>BLOCO CERÂMICO - 19X19X19cm</v>
          </cell>
          <cell r="D66">
            <v>1.59</v>
          </cell>
        </row>
        <row r="67">
          <cell r="B67" t="str">
            <v>BLOCO DE VEDACAO CONCRETO 09X19X39 CM</v>
          </cell>
          <cell r="D67">
            <v>2.7</v>
          </cell>
        </row>
        <row r="68">
          <cell r="B68" t="str">
            <v>BLOCO DE VEDACAO CONCRETO 11,5X19X39 CM</v>
          </cell>
          <cell r="D68">
            <v>3.4500000000000006</v>
          </cell>
        </row>
        <row r="69">
          <cell r="B69" t="str">
            <v>BLOCO DE VEDACAO CONCRETO 19X19X39 CM</v>
          </cell>
          <cell r="D69">
            <v>5.7000000000000011</v>
          </cell>
        </row>
        <row r="70">
          <cell r="B70" t="str">
            <v>ELEMENTO VAZADO CONCRETO QUADRADO</v>
          </cell>
          <cell r="D70">
            <v>15</v>
          </cell>
        </row>
        <row r="71">
          <cell r="B71" t="str">
            <v>ELEMENTO VAZADO CERAMICO QUADRADO</v>
          </cell>
          <cell r="D71">
            <v>11.99</v>
          </cell>
        </row>
        <row r="72">
          <cell r="B72" t="str">
            <v>BLOCO DE VEDACAO CERAMICO MACIÇO 5,5X11,5X24 CM</v>
          </cell>
          <cell r="D72">
            <v>1.05</v>
          </cell>
        </row>
        <row r="73">
          <cell r="B73" t="str">
            <v>BLOCO DE VEDACAO CERAMICO 09X19X29 CM</v>
          </cell>
          <cell r="D73">
            <v>1.18</v>
          </cell>
        </row>
        <row r="74">
          <cell r="B74" t="str">
            <v>BLOCO DE VEDACAO CERAMICO 11,5X19X29 CM</v>
          </cell>
          <cell r="D74">
            <v>1.43</v>
          </cell>
        </row>
        <row r="75">
          <cell r="B75" t="str">
            <v>BLOCO DE VEDACAO CERAMICO 14X19X29 CM</v>
          </cell>
          <cell r="D75">
            <v>1.72</v>
          </cell>
        </row>
        <row r="76">
          <cell r="B76" t="str">
            <v>BLOCO DE VEDACAO CERAMICO 19X19X29 CM</v>
          </cell>
          <cell r="D76">
            <v>2.3342857142857145</v>
          </cell>
        </row>
        <row r="77">
          <cell r="B77" t="str">
            <v>Bloco Concreto Celular 7,5x30x60</v>
          </cell>
          <cell r="D77">
            <v>10.71</v>
          </cell>
        </row>
        <row r="78">
          <cell r="B78" t="str">
            <v>Bloco Concreto Celular 10x30x60</v>
          </cell>
          <cell r="D78">
            <v>12.41</v>
          </cell>
        </row>
        <row r="79">
          <cell r="B79" t="str">
            <v>Bloco Concreto Celular 12,5x30x60</v>
          </cell>
          <cell r="D79">
            <v>17.91</v>
          </cell>
        </row>
        <row r="80">
          <cell r="B80" t="str">
            <v>Bloco Concreto Celular 15x30x60</v>
          </cell>
          <cell r="D80">
            <v>16.440000000000001</v>
          </cell>
        </row>
        <row r="81">
          <cell r="B81" t="str">
            <v>Aditivo cristalizante adição concreto</v>
          </cell>
          <cell r="D81">
            <v>18.327777777777776</v>
          </cell>
        </row>
        <row r="82">
          <cell r="B82" t="str">
            <v>ARGAMASSA TRAÇO 1:3 (EM VOLUME DE CIMENTO E AREIA GROSSA ÚMIDA) PARA CONTRAPISO TIPO FAROFA</v>
          </cell>
          <cell r="D82">
            <v>43.48</v>
          </cell>
        </row>
        <row r="83">
          <cell r="B83" t="str">
            <v xml:space="preserve">ARGAMASSA TRAÇO 1:4 (EM VOLUME DE CIMENTO E AREIA GROSSA ÚMIDA) PARA CHAPISCO CONVENCIONAL, PREPARO MANUAL. </v>
          </cell>
          <cell r="D83">
            <v>657.89</v>
          </cell>
        </row>
        <row r="84">
          <cell r="B84" t="str">
            <v xml:space="preserve">ARGAMASSA TRAÇO 1:5 (EM VOLUME DE CIMENTO E AREIA GROSSA ÚMIDA) PARA CHAPISCO CONVENCIONAL, PREPARO MANUAL. </v>
          </cell>
          <cell r="D84">
            <v>633.27</v>
          </cell>
        </row>
        <row r="85">
          <cell r="B85" t="str">
            <v>ARGAMASSA ENSACADA P/ASSENTAMENTO BLOCO 04MPA NBR 13281</v>
          </cell>
          <cell r="D85">
            <v>0.46</v>
          </cell>
        </row>
        <row r="86">
          <cell r="B86" t="str">
            <v>Argamassa para encunhamento</v>
          </cell>
          <cell r="D86">
            <v>2.5619999999999998</v>
          </cell>
        </row>
        <row r="87">
          <cell r="B87" t="str">
            <v>Argamassa ACIII</v>
          </cell>
          <cell r="D87">
            <v>1.0645</v>
          </cell>
        </row>
        <row r="88">
          <cell r="B88" t="str">
            <v>Argamassa ACII</v>
          </cell>
          <cell r="D88">
            <v>0.95</v>
          </cell>
        </row>
        <row r="89">
          <cell r="B89" t="str">
            <v>ARGAMASSA ENSACADA PARA CONTRAPISO</v>
          </cell>
          <cell r="D89">
            <v>4</v>
          </cell>
        </row>
        <row r="90">
          <cell r="B90" t="str">
            <v>ARGAMASSA COLANTE AC II</v>
          </cell>
          <cell r="D90">
            <v>1.36</v>
          </cell>
        </row>
        <row r="91">
          <cell r="B91" t="str">
            <v>Argamassa industrializada para Para Chapisco Colante</v>
          </cell>
          <cell r="D91">
            <v>0.8</v>
          </cell>
        </row>
        <row r="92">
          <cell r="B92" t="str">
            <v>Argamassa industrializada para Para Reboco</v>
          </cell>
          <cell r="D92">
            <v>0.95</v>
          </cell>
        </row>
        <row r="93">
          <cell r="B93" t="str">
            <v>Massa Dundun Para Assentamento De Tijolos E Blocos</v>
          </cell>
          <cell r="D93">
            <v>19.116</v>
          </cell>
        </row>
        <row r="94">
          <cell r="B94" t="str">
            <v>ARGAMASSA REFRATÁRIA</v>
          </cell>
          <cell r="D94">
            <v>1.75</v>
          </cell>
        </row>
        <row r="95">
          <cell r="B95" t="str">
            <v>Argamassa Usinada para emboço/massa única</v>
          </cell>
          <cell r="D95">
            <v>605.66</v>
          </cell>
        </row>
        <row r="96">
          <cell r="B96" t="str">
            <v>Argamassa usninada para contrapiso</v>
          </cell>
          <cell r="D96">
            <v>550</v>
          </cell>
        </row>
        <row r="97">
          <cell r="B97" t="str">
            <v>Argila expandida</v>
          </cell>
          <cell r="D97">
            <v>2.9449999999999998</v>
          </cell>
        </row>
        <row r="98">
          <cell r="B98" t="str">
            <v>ARGAMASSA ESTABILIZADA PARA ASSENTAMENTO</v>
          </cell>
          <cell r="D98">
            <v>425</v>
          </cell>
        </row>
        <row r="99">
          <cell r="B99" t="str">
            <v>ARGAMASSA ESTABILIZADA PARA CHAPISCO</v>
          </cell>
          <cell r="D99">
            <v>480</v>
          </cell>
        </row>
        <row r="100">
          <cell r="B100" t="str">
            <v>ARGAMASSA INDUSTRIALIZADA MULTIUSO, PARA REVESTIMENTO INTERNO E EXTERNO E ASSENTAMENTO DE BLOCOS DIVERSOS</v>
          </cell>
          <cell r="D100">
            <v>425</v>
          </cell>
        </row>
        <row r="101">
          <cell r="B101" t="str">
            <v>PISO INTERTRAVADO CONCRETO SEXTAVADO 35MPA 30X30X06CM NATURAL</v>
          </cell>
          <cell r="D101">
            <v>75.900000000000006</v>
          </cell>
        </row>
        <row r="102">
          <cell r="B102" t="str">
            <v>Ladrilho hidráulico 20x20 cm</v>
          </cell>
          <cell r="D102">
            <v>180</v>
          </cell>
        </row>
        <row r="103">
          <cell r="B103" t="str">
            <v>Piso Intertravado Retangular 10x20x08 </v>
          </cell>
          <cell r="D103">
            <v>65.900000000000006</v>
          </cell>
        </row>
        <row r="104">
          <cell r="B104" t="str">
            <v>Piso Podotátil Alerta Amarelo 20x20cm Cimartex</v>
          </cell>
          <cell r="D104">
            <v>102.9</v>
          </cell>
        </row>
        <row r="105">
          <cell r="B105" t="str">
            <v>Tampo de Granito, para Lavatório com saia e rodamão</v>
          </cell>
          <cell r="D105">
            <v>750</v>
          </cell>
        </row>
        <row r="106">
          <cell r="B106" t="str">
            <v>Tampo de Granito, para pia com saia e rodamão</v>
          </cell>
          <cell r="D106">
            <v>750</v>
          </cell>
        </row>
        <row r="107">
          <cell r="B107" t="str">
            <v>Tampo de Granito, para tanque com saia e rodamão</v>
          </cell>
          <cell r="D107">
            <v>750</v>
          </cell>
        </row>
        <row r="108">
          <cell r="B108" t="str">
            <v>Calha Beiral Alumínio Com 2 Tampas Corte 13</v>
          </cell>
          <cell r="D108">
            <v>18.7148</v>
          </cell>
        </row>
        <row r="109">
          <cell r="B109" t="str">
            <v>Calha Beiral Alumínio Com 2 Tampas Corte 16</v>
          </cell>
          <cell r="D109">
            <v>23.0336</v>
          </cell>
        </row>
        <row r="110">
          <cell r="B110" t="str">
            <v>Calha Beiral Alumínio Com 2 Tampas Corte 25</v>
          </cell>
          <cell r="D110">
            <v>35.99</v>
          </cell>
        </row>
        <row r="111">
          <cell r="B111" t="str">
            <v>Calha Beiral Alumínio Com 2 Tampas Corte 30</v>
          </cell>
          <cell r="D111">
            <v>46.666666666666664</v>
          </cell>
        </row>
        <row r="112">
          <cell r="B112" t="str">
            <v>Calha em alumínio - 94x94</v>
          </cell>
          <cell r="D112">
            <v>59.966666666666669</v>
          </cell>
        </row>
        <row r="113">
          <cell r="B113" t="str">
            <v>Rufo Externo Corte 20cm Aluminio </v>
          </cell>
          <cell r="D113">
            <v>25</v>
          </cell>
        </row>
        <row r="114">
          <cell r="B114" t="str">
            <v>RUFO INTERNO/EXTERNO DE CHAPA DE ACO GALVANIZADA NUM 24, CORTE 25 CM</v>
          </cell>
          <cell r="D114">
            <v>28</v>
          </cell>
        </row>
        <row r="115">
          <cell r="B115" t="str">
            <v>Isotelha Trapezoidal Térmica Sanduiche branco neve</v>
          </cell>
          <cell r="D115">
            <v>198.19</v>
          </cell>
        </row>
        <row r="116">
          <cell r="B116" t="str">
            <v>Policarbonato Compacto</v>
          </cell>
          <cell r="D116">
            <v>30657</v>
          </cell>
        </row>
        <row r="117">
          <cell r="B117" t="str">
            <v>TELHA DE FIBROCIMENTO ONDULADA E = 6 MM, DE 2,44 X 1,10 M (SEM AMIANTO)</v>
          </cell>
          <cell r="D117">
            <v>66.05</v>
          </cell>
        </row>
        <row r="118">
          <cell r="B118" t="str">
            <v>TELHA FIBROCIMENTO NATURAL S/AMIANTO 06X1100X1530MM NBR 7581/15210</v>
          </cell>
          <cell r="D118">
            <v>21.31</v>
          </cell>
        </row>
        <row r="119">
          <cell r="B119" t="str">
            <v>TELHA METALICA GALVANIZADA TRAPEZOIDAL 0,43MM NBR 14514</v>
          </cell>
          <cell r="D119">
            <v>31</v>
          </cell>
        </row>
        <row r="120">
          <cell r="B120" t="str">
            <v>TELHA TRAPEZOIDAL EM ACO ZINCADO, ESPESSURA DE 0,50 MM</v>
          </cell>
          <cell r="D120">
            <v>97</v>
          </cell>
        </row>
        <row r="121">
          <cell r="B121" t="str">
            <v>Estrutura horizontal</v>
          </cell>
          <cell r="D121">
            <v>120.08733624454149</v>
          </cell>
        </row>
        <row r="122">
          <cell r="B122" t="str">
            <v xml:space="preserve"> Pilar de Sustentação</v>
          </cell>
          <cell r="D122">
            <v>382</v>
          </cell>
        </row>
        <row r="123">
          <cell r="B123" t="str">
            <v>CONCRETO MAGRO PARA LASTRO</v>
          </cell>
          <cell r="D123">
            <v>430.94</v>
          </cell>
        </row>
        <row r="124">
          <cell r="B124" t="str">
            <v>CONCRETO MAGRO USINADO, COM BRITA 1</v>
          </cell>
          <cell r="D124">
            <v>352</v>
          </cell>
        </row>
        <row r="125">
          <cell r="B125" t="str">
            <v>Argamassa de lubrificação</v>
          </cell>
          <cell r="D125">
            <v>725</v>
          </cell>
        </row>
        <row r="126">
          <cell r="B126" t="str">
            <v>Concreto Usinado bombeável 20MPa para Estacas</v>
          </cell>
          <cell r="D126">
            <v>502</v>
          </cell>
        </row>
        <row r="127">
          <cell r="B127" t="str">
            <v>Concreto Usinado bombeável 35MPa para estacas</v>
          </cell>
          <cell r="D127">
            <v>565</v>
          </cell>
        </row>
        <row r="128">
          <cell r="B128" t="str">
            <v>Concreto Usinado bombeável 40MPa para estacas</v>
          </cell>
          <cell r="D128">
            <v>532</v>
          </cell>
        </row>
        <row r="129">
          <cell r="B129" t="str">
            <v>Concreto Usinado bombeável 70MPa para estacas</v>
          </cell>
          <cell r="D129">
            <v>772.9</v>
          </cell>
        </row>
        <row r="130">
          <cell r="B130" t="str">
            <v>Concreto Usinado bombeável 40MPa blocos</v>
          </cell>
          <cell r="D130">
            <v>532</v>
          </cell>
        </row>
        <row r="131">
          <cell r="B131" t="str">
            <v>Concreto Usinado bombeável 70MPa blocos</v>
          </cell>
          <cell r="D131">
            <v>736.25</v>
          </cell>
        </row>
        <row r="132">
          <cell r="B132" t="str">
            <v>Concreto Usinado bombeável 30MPa contenção</v>
          </cell>
          <cell r="D132">
            <v>484.5</v>
          </cell>
        </row>
        <row r="133">
          <cell r="B133" t="str">
            <v>Concreto Usinado bombeável 40MPa contenção</v>
          </cell>
          <cell r="D133">
            <v>503.5</v>
          </cell>
        </row>
        <row r="134">
          <cell r="B134" t="str">
            <v>Concreto Usinado bombeável 90MPa contenção</v>
          </cell>
          <cell r="D134">
            <v>879.7</v>
          </cell>
        </row>
        <row r="135">
          <cell r="B135" t="str">
            <v>Concreto Usinado bombeável 40MPa Convencional</v>
          </cell>
          <cell r="D135">
            <v>565</v>
          </cell>
        </row>
        <row r="136">
          <cell r="B136" t="str">
            <v>Concreto Usinado bombeável 45MPa Convencional</v>
          </cell>
          <cell r="D136">
            <v>589.78500000000008</v>
          </cell>
        </row>
        <row r="137">
          <cell r="B137" t="str">
            <v>Concreto Usinado bombeável 50MPa Convencional</v>
          </cell>
          <cell r="D137">
            <v>720.1</v>
          </cell>
        </row>
        <row r="138">
          <cell r="B138" t="str">
            <v>Concreto Usinado bombeável 60MPa Convencional</v>
          </cell>
          <cell r="D138">
            <v>741</v>
          </cell>
        </row>
        <row r="139">
          <cell r="B139" t="str">
            <v>Concreto Usinado bombeável 65MPa Convencional</v>
          </cell>
          <cell r="D139">
            <v>760</v>
          </cell>
        </row>
        <row r="140">
          <cell r="B140" t="str">
            <v>Concreto Usinado bombeável 70MPa Convencional</v>
          </cell>
          <cell r="D140">
            <v>793.25</v>
          </cell>
        </row>
        <row r="141">
          <cell r="B141" t="str">
            <v>Concreto Usinado bombeável 75MPa Convencional</v>
          </cell>
          <cell r="D141">
            <v>796.25</v>
          </cell>
        </row>
        <row r="142">
          <cell r="B142" t="str">
            <v>Concreto Usinado bombeável 80MPa Convencional</v>
          </cell>
          <cell r="D142">
            <v>828.08</v>
          </cell>
        </row>
        <row r="143">
          <cell r="B143" t="str">
            <v>Concreto Usinado bombeável 90MPa Convencional</v>
          </cell>
          <cell r="D143">
            <v>879.52</v>
          </cell>
        </row>
        <row r="144">
          <cell r="B144" t="str">
            <v>Concreto Usinado bombeável 100MPa Convencional</v>
          </cell>
          <cell r="D144">
            <v>938.4</v>
          </cell>
        </row>
        <row r="145">
          <cell r="B145" t="str">
            <v>Grout 15 Mpa</v>
          </cell>
          <cell r="D145">
            <v>468.86</v>
          </cell>
        </row>
        <row r="146">
          <cell r="B146" t="str">
            <v>Grout 20 Mpa</v>
          </cell>
          <cell r="D146">
            <v>493.5</v>
          </cell>
        </row>
        <row r="147">
          <cell r="B147" t="str">
            <v>Acompanhamento e fiscalização na montagem da Protensão, locação de macaco hidráulico e maçarico</v>
          </cell>
          <cell r="D147">
            <v>4.4400000000000004</v>
          </cell>
        </row>
        <row r="148">
          <cell r="B148" t="str">
            <v>Corte Final dos Cabos</v>
          </cell>
          <cell r="D148">
            <v>0.4</v>
          </cell>
        </row>
        <row r="149">
          <cell r="B149" t="str">
            <v>Fechamento dos nichos de Protensão</v>
          </cell>
          <cell r="D149">
            <v>0.4</v>
          </cell>
        </row>
        <row r="150">
          <cell r="B150" t="str">
            <v>Compatibilização e elaboração do plano de execução dos materiais EVEHX</v>
          </cell>
          <cell r="D150">
            <v>0.2</v>
          </cell>
        </row>
        <row r="151">
          <cell r="B151" t="str">
            <v>Controle tecnológico da Protensão</v>
          </cell>
          <cell r="D151">
            <v>0.5</v>
          </cell>
        </row>
        <row r="152">
          <cell r="B152" t="str">
            <v>Ancoragem base 1/2" - EHX 0063</v>
          </cell>
          <cell r="D152">
            <v>12.5</v>
          </cell>
        </row>
        <row r="153">
          <cell r="B153" t="str">
            <v>Cunha 1/2" BI Partida - EHX 0036</v>
          </cell>
          <cell r="D153">
            <v>9.1300000000000008</v>
          </cell>
        </row>
        <row r="154">
          <cell r="B154" t="str">
            <v>Pocket Former 1/2 - EHX 0009</v>
          </cell>
          <cell r="D154">
            <v>2.85</v>
          </cell>
        </row>
        <row r="155">
          <cell r="B155" t="str">
            <v>Adaptador Ancor. (AP2)B Chupeta-EHX 0027</v>
          </cell>
          <cell r="D155">
            <v>1.42</v>
          </cell>
        </row>
        <row r="156">
          <cell r="B156" t="str">
            <v>Pt-Plug Ø12,7 - 3,8cm</v>
          </cell>
          <cell r="D156">
            <v>5.68</v>
          </cell>
        </row>
        <row r="157">
          <cell r="B157" t="str">
            <v>Tirante Plast - EHX 0621</v>
          </cell>
          <cell r="D157">
            <v>2.2999999999999998</v>
          </cell>
        </row>
        <row r="158">
          <cell r="B158" t="str">
            <v>Apoio Metálico EHX 0072</v>
          </cell>
          <cell r="D158">
            <v>3.4</v>
          </cell>
        </row>
        <row r="159">
          <cell r="B159" t="str">
            <v>Industrialização dos cabos (Corte, enrolação, pré-blocagem e identificação por cores)</v>
          </cell>
          <cell r="D159">
            <v>1.1000000000000001</v>
          </cell>
        </row>
        <row r="160">
          <cell r="B160" t="str">
            <v>FITA DE PAPEL MICROPERFURADO, 50 X 150 MM, PARA TRATAMENTO DE JUNTAS DE CHAPA DE GESSO PARA DRYWALL</v>
          </cell>
          <cell r="D160">
            <v>0.31</v>
          </cell>
        </row>
        <row r="161">
          <cell r="B161" t="str">
            <v>FITA DE PAPEL REFORCADA COM LAMINA DE METAL PARA REFORCO DE CANTOS DE CHAPA DE GESSO PARA DRYWALL</v>
          </cell>
          <cell r="D161">
            <v>2.74</v>
          </cell>
        </row>
        <row r="162">
          <cell r="B162" t="str">
            <v>MASSA DE REJUNTE EM PO PARA DRYWALL, A BASE DE GESSO, SECAGEM RAPIDA, PARA TRATAMENTO DE JUNTAS DE CHAPA DE GESSO (NECESSITA ADICAO DE AGUA)</v>
          </cell>
          <cell r="D162">
            <v>3.43</v>
          </cell>
        </row>
        <row r="163">
          <cell r="B163" t="str">
            <v>PLACA / CHAPA DE GESSO ACARTONADO, RESISTENTE A UMIDADE (RU), COR VERDE, E = 12,5 MM, 1200 X 2400 MM (L X C)</v>
          </cell>
          <cell r="D163">
            <v>27.1</v>
          </cell>
        </row>
        <row r="164">
          <cell r="B164" t="str">
            <v>PLACA / CHAPA DE GESSO ACARTONADO, STANDARD (ST), COR BRANCA, E = 12,5 MM, 1200 X 2400 MM (L X C)</v>
          </cell>
          <cell r="D164">
            <v>20.16</v>
          </cell>
        </row>
        <row r="165">
          <cell r="B165" t="str">
            <v>PLACA / CHAPA DE GESSO ACARTONADO, PERFORMA STANDARD (Ps) E = 12,5 MM, 1200 X 1800 MM (L X C)</v>
          </cell>
          <cell r="D165">
            <v>31.23</v>
          </cell>
        </row>
        <row r="166">
          <cell r="B166" t="str">
            <v>PLACA / CHAPA DE GESSO ACARTONADO, PERFORMA RESISTENTE A UMIDADE (Pu) E = 12,5 MM, 1200 X 1800 MM (L X C)</v>
          </cell>
          <cell r="D166">
            <v>40.950000000000003</v>
          </cell>
        </row>
        <row r="167">
          <cell r="B167" t="str">
            <v>PLACA / CHAPA DE GESSO ACARTONADO, RESISTENTE A FOGO (F+) E = 12,5 MM, 1200 X 1800 MM (L X C)</v>
          </cell>
          <cell r="D167">
            <v>28.680555555555554</v>
          </cell>
        </row>
        <row r="168">
          <cell r="B168" t="str">
            <v>Forro De Fibra Mineral Armstrong Ceilings Scala Square 625 X 625 X 16mm</v>
          </cell>
          <cell r="D168">
            <v>95</v>
          </cell>
        </row>
        <row r="169">
          <cell r="B169" t="str">
            <v>MASA BASECOAT PARA FACHADAS</v>
          </cell>
          <cell r="D169">
            <v>6.2969999999999997</v>
          </cell>
        </row>
        <row r="170">
          <cell r="B170" t="str">
            <v>PLACA CIMENTÍCIA(CT) PARA STEEL FRAME BRASILIT-ETERNIT 8MM X 1,20M X 2,40M</v>
          </cell>
          <cell r="D170">
            <v>30.089583333333337</v>
          </cell>
        </row>
        <row r="171">
          <cell r="B171" t="str">
            <v>CHAPA DE GESSO PARA DRYWALL PLACO - KNAUF (RF) VERMELHA 12,5MM X 1,20M X 1,80M</v>
          </cell>
          <cell r="D171">
            <v>38.19444444444445</v>
          </cell>
        </row>
        <row r="172">
          <cell r="B172" t="str">
            <v>PLACA / CHAPA DE GESSO ACARTONADO, AQUAPANEL (A), E = 12,5 MM, 1200 X 2400 MM (L X C)</v>
          </cell>
          <cell r="D172">
            <v>72.913194444444457</v>
          </cell>
        </row>
        <row r="173">
          <cell r="B173" t="str">
            <v>PERFIL GUIA, FORMATO U, EM ACO ZINCADO, PARA ESTRUTURA PAREDE STEEL FRAME, E = 0,5 MM, 140 X 3000 MM (L X C)</v>
          </cell>
          <cell r="D173">
            <v>24.4833</v>
          </cell>
        </row>
        <row r="174">
          <cell r="B174" t="str">
            <v>PERFIL MONTANTE, FORMATO U, EM ACO ZINCADO, PARA ESTRUTURA PAREDE STEEL FRAME, E = 0,5 MM , 140 X 3000 MM (L X C)</v>
          </cell>
          <cell r="D174">
            <v>26.216699999999999</v>
          </cell>
        </row>
        <row r="175">
          <cell r="B175" t="str">
            <v>MASSA DE REJUNTAMENTO PARA PLACA CIMENTÍCIA, PARA TRATAMENTO DE JUNTA DE CHAPAS CIMENTÍCIAS (NECESSITA ADIÇÃO DE ÁGUA)</v>
          </cell>
          <cell r="D175">
            <v>10.24</v>
          </cell>
        </row>
        <row r="176">
          <cell r="B176" t="str">
            <v>TELA DE FIBRA DE VIDRO, 120 X 1000 MM, PARA TRATAMENTO DE JUNTAS DE CHAPAS CIMENTÍCIAS PARA STEEL FRAME</v>
          </cell>
          <cell r="D176">
            <v>9.6</v>
          </cell>
        </row>
        <row r="177">
          <cell r="B177" t="str">
            <v>TELA DE FIBRA DE VIDRO, 1000 MM, PARA TRATAMENTO DE JUNTAS DE CHAPAS CIMENTÍCIAS PARA STEEL FRAME</v>
          </cell>
          <cell r="D177">
            <v>15.247199999999999</v>
          </cell>
        </row>
        <row r="178">
          <cell r="B178" t="str">
            <v>MEMBRANA HIDRÓFUGA PARA PROTEÇÃO DE SISTEMA STEEL FRAME CONTRA INTEMPÉRIES</v>
          </cell>
          <cell r="D178">
            <v>11</v>
          </cell>
        </row>
        <row r="179">
          <cell r="B179" t="str">
            <v>PARAFUSO STEEL FRAME, EM AÇO ZINCADO, CABEÇA PONTA BROCA, LAGURA 4,2 MM, COMPRIMENTO 19 MM</v>
          </cell>
          <cell r="D179">
            <v>0.25</v>
          </cell>
        </row>
        <row r="180">
          <cell r="B180" t="str">
            <v>PARAFUSO STEEL FRAME, EM AÇO ZINCADO, AUTO BROCANTE COM ABAS, LAGURA 4,2 MM, COMPRIMENTO 32 MM</v>
          </cell>
          <cell r="D180">
            <v>1.7</v>
          </cell>
        </row>
        <row r="181">
          <cell r="B181" t="str">
            <v>PERFIL GUIA, FORMATO U, EM ACO ZINCADO, PARA ESTRUTURA PAREDE STEEL FRAME, E = 0,5 MM, 90 X 3000 MM (L X C)</v>
          </cell>
          <cell r="D181">
            <v>16.8</v>
          </cell>
        </row>
        <row r="182">
          <cell r="B182" t="str">
            <v>PERFIL MONTANTE, FORMATO U, EM ACO ZINCADO, PARA ESTRUTURA PAREDE STEEL FRAME, E = 0,5 MM , 90 X 3000 MM (L X C)</v>
          </cell>
          <cell r="D182">
            <v>18.09</v>
          </cell>
        </row>
        <row r="183">
          <cell r="B183" t="str">
            <v>Placa de Gesso Glasroc X 12,5 X 1200 X 2400mm</v>
          </cell>
          <cell r="D183">
            <v>89.7</v>
          </cell>
        </row>
        <row r="184">
          <cell r="B184" t="str">
            <v>Manta Fibra Cerâmica Alta Temperatura Tapcamp 2000 X 610 X 25 Mm</v>
          </cell>
          <cell r="D184">
            <v>117.21311475409837</v>
          </cell>
        </row>
        <row r="185">
          <cell r="B185" t="str">
            <v xml:space="preserve">Lã de pet Ensacada </v>
          </cell>
          <cell r="D185">
            <v>13.019333333333332</v>
          </cell>
        </row>
        <row r="186">
          <cell r="B186" t="str">
            <v>Lã de pet 50 X 1200 X 12500 MM</v>
          </cell>
          <cell r="D186">
            <v>13.019333333333332</v>
          </cell>
        </row>
        <row r="187">
          <cell r="B187" t="str">
            <v>LÂ DE VIDRO PARA ISOLAMENTO 50mm</v>
          </cell>
          <cell r="D187">
            <v>12.828666666666667</v>
          </cell>
        </row>
        <row r="188">
          <cell r="B188" t="str">
            <v>LÃ DE ROCHA PARA ISOLAMENTO 100mm</v>
          </cell>
          <cell r="D188">
            <v>18.489999999999998</v>
          </cell>
        </row>
        <row r="189">
          <cell r="B189" t="str">
            <v>PARAFUSO DRY WALL, EM ACO FOSFATIZADO, CABECA TROMBETA E PONTA AGULHA (TA), COMPRIMENTO 25 MM</v>
          </cell>
          <cell r="D189">
            <v>0.09</v>
          </cell>
        </row>
        <row r="190">
          <cell r="B190" t="str">
            <v>PARAFUSO DRY WALL, EM ACO ZINCADO, CABECA LENTILHA E PONTA BROCA (LB), LARGURA 4,2 MM, COMPRIMENTO 13 MM</v>
          </cell>
          <cell r="D190">
            <v>0.2</v>
          </cell>
        </row>
        <row r="191">
          <cell r="B191" t="str">
            <v>PERFIL GUIA, FORMATO U, EM ACO ZINCADO, PARA ESTRUTURA PAREDE DRYWALL, E = 0,5 MM, 48 X 3000 MM (L X C)</v>
          </cell>
          <cell r="D191">
            <v>6.15</v>
          </cell>
        </row>
        <row r="192">
          <cell r="B192" t="str">
            <v>PERFIL GUIA, FORMATO U, EM ACO ZINCADO, PARA ESTRUTURA PAREDE DRYWALL, E = 0,5 MM, 70 X 3000 MM (L X C)</v>
          </cell>
          <cell r="D192">
            <v>7.4550000000000001</v>
          </cell>
        </row>
        <row r="193">
          <cell r="B193" t="str">
            <v>PERFIL GUIA, FORMATO U, EM ACO ZINCADO, PARA ESTRUTURA PAREDE DRYWALL, E = 0,5 MM, 90 X 3000 MM (L X C)</v>
          </cell>
          <cell r="D193">
            <v>8.64</v>
          </cell>
        </row>
        <row r="194">
          <cell r="B194" t="str">
            <v>PERFIL MONTANTE, FORMATO C, EM ACO ZINCADO, PARA ESTRUTURA PAREDE DRYWALL, E = 0,5 MM, 48 X 3000 MM (L X C)</v>
          </cell>
          <cell r="D194">
            <v>8.0649999999999995</v>
          </cell>
        </row>
        <row r="195">
          <cell r="B195" t="str">
            <v>PERFIL MONTANTE, FORMATO C, EM ACO ZINCADO, PARA ESTRUTURA PAREDE DRYWALL, E = 0,5 MM, 70 X 3000 MM (L X C)</v>
          </cell>
          <cell r="D195">
            <v>9.5039999999999996</v>
          </cell>
        </row>
        <row r="196">
          <cell r="B196" t="str">
            <v>PERFIL MONTANTE, FORMATO C, EM ACO ZINCADO, PARA ESTRUTURA PAREDE DRYWALL, E = 0,5 MM, 90 X 3000 MM (L X C)</v>
          </cell>
          <cell r="D196">
            <v>10.79</v>
          </cell>
        </row>
        <row r="197">
          <cell r="B197" t="str">
            <v>PINO DE ACO COM ARRUELA CONICA, DIAMETRO ARRUELA = *23* MM E COMP HASTE = *27* MM (ACAO INDIRETA)</v>
          </cell>
          <cell r="D197">
            <v>0.504</v>
          </cell>
        </row>
        <row r="198">
          <cell r="B198" t="str">
            <v>PINO DE ACO COM FURO, HASTE = 27 MM (ACAO DIRETA)</v>
          </cell>
          <cell r="D198">
            <v>0.43359999999999999</v>
          </cell>
        </row>
        <row r="199">
          <cell r="B199" t="str">
            <v>Sistema de vedação em drywall (M.O.)</v>
          </cell>
          <cell r="D199">
            <v>125</v>
          </cell>
        </row>
        <row r="200">
          <cell r="B200" t="str">
            <v>Divisória de gesso acartonado nichos (M.O.)</v>
          </cell>
          <cell r="D200">
            <v>50</v>
          </cell>
        </row>
        <row r="201">
          <cell r="B201" t="str">
            <v>Steel Frame (M.O.)</v>
          </cell>
          <cell r="D201">
            <v>190</v>
          </cell>
        </row>
        <row r="202">
          <cell r="B202" t="str">
            <v>Ambientes com altura superior à 3,5m necessitando de sistemas de suporte para execução de drywall</v>
          </cell>
          <cell r="D202">
            <v>20</v>
          </cell>
        </row>
        <row r="203">
          <cell r="B203" t="str">
            <v>Tela de Fibra de Vidro</v>
          </cell>
          <cell r="D203">
            <v>8.1</v>
          </cell>
        </row>
        <row r="204">
          <cell r="B204" t="str">
            <v>Perfil metálico “T” principal 38x24 mm</v>
          </cell>
          <cell r="D204">
            <v>7.5</v>
          </cell>
        </row>
        <row r="205">
          <cell r="B205" t="str">
            <v>Cantoneira perimetral galvanizada</v>
          </cell>
          <cell r="D205">
            <v>6.5</v>
          </cell>
        </row>
        <row r="206">
          <cell r="B206" t="str">
            <v>Arame galvanizado nº 12 e presilhas</v>
          </cell>
          <cell r="D206">
            <v>15</v>
          </cell>
        </row>
        <row r="207">
          <cell r="B207" t="str">
            <v>Buchas e parafusos</v>
          </cell>
          <cell r="D207">
            <v>0.5</v>
          </cell>
        </row>
        <row r="208">
          <cell r="B208" t="str">
            <v xml:space="preserve">Estrutura e fechamento em drywall Parede Drywall </v>
          </cell>
          <cell r="D208">
            <v>377.8363900815155</v>
          </cell>
        </row>
        <row r="209">
          <cell r="B209" t="str">
            <v>Reforços Para Paredes em Drywall</v>
          </cell>
          <cell r="D209">
            <v>58.988734923708691</v>
          </cell>
        </row>
        <row r="210">
          <cell r="B210" t="str">
            <v>Presilha de fixação Painel Wall EspaçoFix</v>
          </cell>
          <cell r="D210">
            <v>5.17</v>
          </cell>
        </row>
        <row r="211">
          <cell r="B211" t="str">
            <v>Locação estrutura para proteção SLQA</v>
          </cell>
          <cell r="D211">
            <v>88</v>
          </cell>
        </row>
        <row r="212">
          <cell r="B212" t="str">
            <v>Locação estrutura metálica para proteção de pesdestres</v>
          </cell>
          <cell r="D212">
            <v>880</v>
          </cell>
        </row>
        <row r="213">
          <cell r="B213" t="str">
            <v>PERFIL METALICO BANDEJA PRIMARIA 2,50M</v>
          </cell>
          <cell r="D213">
            <v>45</v>
          </cell>
        </row>
        <row r="214">
          <cell r="B214" t="str">
            <v xml:space="preserve">PLACA SINALIZACAO PVC C/ADESIVO </v>
          </cell>
          <cell r="D214">
            <v>536.53</v>
          </cell>
        </row>
        <row r="215">
          <cell r="B215" t="str">
            <v>SUPORTE ACO CARBONO P/PLACA - REQ. CANTONEIRA 1.1/4"X1/8" 160X250CM</v>
          </cell>
          <cell r="D215">
            <v>520.85</v>
          </cell>
        </row>
        <row r="216">
          <cell r="B216" t="str">
            <v>TUBO GALV. 3" X 2,65MM - 8M C/ RUPTURA: 40 MPA (LINHA DE VIDA)</v>
          </cell>
          <cell r="D216">
            <v>50</v>
          </cell>
        </row>
        <row r="217">
          <cell r="B217" t="str">
            <v>CABO DE AÇO GALVANIZADO 3/8</v>
          </cell>
          <cell r="D217">
            <v>5.2</v>
          </cell>
        </row>
        <row r="218">
          <cell r="B218" t="str">
            <v>TELA FACHADEIRA POLIETILENO MALHA 1,5X1,5MM</v>
          </cell>
          <cell r="D218">
            <v>3.5</v>
          </cell>
        </row>
        <row r="219">
          <cell r="B219" t="str">
            <v>TELA PLASTICA TECIDA LISTRADA BRANCA E LARANJA, EM POLIETILENO MONOFILADO</v>
          </cell>
          <cell r="D219">
            <v>2.73</v>
          </cell>
        </row>
        <row r="220">
          <cell r="B220" t="str">
            <v>Locação 30 dias de cada equipamento de rebaixamento com 22,5 HP, vazão máxima = 100 m³/h, em operação ou a disposição.</v>
          </cell>
          <cell r="D220">
            <v>6500</v>
          </cell>
        </row>
        <row r="221">
          <cell r="B221" t="str">
            <v>Locação 30 dias de cada mangote de descarga CDF-A com lance de 50,00 metros cada.</v>
          </cell>
          <cell r="D221">
            <v>900</v>
          </cell>
        </row>
        <row r="222">
          <cell r="B222" t="str">
            <v>Instalação e entrega técnica do(s) equipamento(s) de rebaixamento temporário de aquíferos AQ-EL 44-100. (Previsão de 04 dias)</v>
          </cell>
          <cell r="D222">
            <v>1200</v>
          </cell>
        </row>
        <row r="223">
          <cell r="B223" t="str">
            <v xml:space="preserve">	Mobilização e desmobilização de equipamentos - Para execução de estaca hélice monitorada</v>
          </cell>
          <cell r="D223">
            <v>32000</v>
          </cell>
        </row>
        <row r="224">
          <cell r="B224" t="str">
            <v xml:space="preserve">	Mobilização e desmobilização de equipamentos - Para execução de estaca Escavada</v>
          </cell>
          <cell r="D224">
            <v>26000</v>
          </cell>
        </row>
        <row r="225">
          <cell r="B225" t="str">
            <v xml:space="preserve">	Mobilização e desmobilização de equipamentos - Para execução de estaca hélice</v>
          </cell>
          <cell r="D225">
            <v>18500</v>
          </cell>
        </row>
        <row r="226">
          <cell r="B226" t="str">
            <v>Tarucel de 6 mm</v>
          </cell>
          <cell r="D226">
            <v>0.8</v>
          </cell>
        </row>
        <row r="227">
          <cell r="B227" t="str">
            <v>Caminhao pipa ford f.14.000  1997</v>
          </cell>
          <cell r="D227">
            <v>1500</v>
          </cell>
        </row>
        <row r="228">
          <cell r="B228" t="str">
            <v>Escavadeira 8T link belt 80SA BANYNN</v>
          </cell>
          <cell r="D228">
            <v>3200</v>
          </cell>
        </row>
        <row r="229">
          <cell r="B229" t="str">
            <v>Escavadeira DOOSAN DX225 (terceirizado)</v>
          </cell>
          <cell r="D229">
            <v>33660</v>
          </cell>
        </row>
        <row r="230">
          <cell r="B230" t="str">
            <v>Escaveideira 320 CAT 2019</v>
          </cell>
          <cell r="D230">
            <v>15000</v>
          </cell>
        </row>
        <row r="231">
          <cell r="B231" t="str">
            <v>Sistema de Ancoragem Provisória e definitiva</v>
          </cell>
          <cell r="D231">
            <v>15000</v>
          </cell>
        </row>
        <row r="232">
          <cell r="B232" t="str">
            <v>Travessão metálico 2"</v>
          </cell>
          <cell r="D232">
            <v>20</v>
          </cell>
        </row>
        <row r="233">
          <cell r="B233" t="str">
            <v>ESCORA METALICA TELESCOPICA, COM ALTURA REGULAVEL DE *1,80* A *3,20* M, INCLUSO TRIPE E FORCADO</v>
          </cell>
          <cell r="D233">
            <v>32.9</v>
          </cell>
        </row>
        <row r="234">
          <cell r="B234" t="str">
            <v>LOCACAO DE ESCORA METALICA TELESCOPICA, COM ALTURA REGULAVEL DE *3,2* A *6,8* M</v>
          </cell>
          <cell r="D234">
            <v>59.22</v>
          </cell>
        </row>
        <row r="235">
          <cell r="B235" t="str">
            <v>LOCACAO DE ESCORA METALICA TELESCOPICA, COM ALTURA REGULAVEL DE *1,80* A *3,20* M</v>
          </cell>
          <cell r="D235">
            <v>87.33</v>
          </cell>
        </row>
        <row r="236">
          <cell r="B236" t="str">
            <v xml:space="preserve">LOCACAO DE FORMA PLASTICA PARA LAJE NERVURADA, *60* X *60* X *16* CM       </v>
          </cell>
          <cell r="D236">
            <v>5.3064</v>
          </cell>
        </row>
        <row r="237">
          <cell r="B237" t="str">
            <v>Manutenção de cubetas proprias</v>
          </cell>
          <cell r="D237">
            <v>39432.81</v>
          </cell>
        </row>
        <row r="238">
          <cell r="B238" t="str">
            <v>Maquina meio fio Imb 2020</v>
          </cell>
          <cell r="D238">
            <v>1000</v>
          </cell>
        </row>
        <row r="239">
          <cell r="B239" t="str">
            <v>Patrola New holland 170g 2011</v>
          </cell>
          <cell r="D239">
            <v>4000</v>
          </cell>
        </row>
        <row r="240">
          <cell r="B240" t="str">
            <v>Retro case 580 traçada 2009</v>
          </cell>
          <cell r="D240">
            <v>1500</v>
          </cell>
        </row>
        <row r="241">
          <cell r="B241" t="str">
            <v>Retro New holland lb 90 simples 2010</v>
          </cell>
          <cell r="D241">
            <v>1500</v>
          </cell>
        </row>
        <row r="242">
          <cell r="B242" t="str">
            <v>Rolo Sany 2009</v>
          </cell>
          <cell r="D242">
            <v>2000</v>
          </cell>
        </row>
        <row r="243">
          <cell r="B243" t="str">
            <v>Trator esteira 700 j john dree 2016</v>
          </cell>
          <cell r="D243">
            <v>7000</v>
          </cell>
        </row>
        <row r="244">
          <cell r="B244" t="str">
            <v>Trator esteira CAT D51 (terceirizado)</v>
          </cell>
          <cell r="D244">
            <v>32270</v>
          </cell>
        </row>
        <row r="245">
          <cell r="B245" t="str">
            <v>Esquadrias de Alumínio - fornecimento e instalação</v>
          </cell>
          <cell r="D245">
            <v>2140</v>
          </cell>
        </row>
        <row r="246">
          <cell r="B246" t="str">
            <v>Guarda Corpo de aluminio (gradil) - fornecimento e instalação</v>
          </cell>
          <cell r="D246">
            <v>768.5</v>
          </cell>
        </row>
        <row r="247">
          <cell r="B247" t="str">
            <v>Guarda Corpo de Vidro e Aluminio - fornecimento e instalação</v>
          </cell>
          <cell r="D247">
            <v>935.99</v>
          </cell>
        </row>
        <row r="248">
          <cell r="B248" t="str">
            <v>Moldura em alumínio para churrasqueiras - fornecimento e instalação</v>
          </cell>
          <cell r="D248">
            <v>530</v>
          </cell>
        </row>
        <row r="249">
          <cell r="B249" t="str">
            <v>Alçapão de aluminio</v>
          </cell>
          <cell r="D249">
            <v>1014</v>
          </cell>
        </row>
        <row r="250">
          <cell r="B250" t="str">
            <v>Porta Pivotante alumínio 140x210cm</v>
          </cell>
          <cell r="D250">
            <v>5040</v>
          </cell>
        </row>
        <row r="251">
          <cell r="B251" t="str">
            <v>PAINEL EM BRISE MARROM</v>
          </cell>
          <cell r="D251">
            <v>1415.0275930380642</v>
          </cell>
        </row>
        <row r="252">
          <cell r="B252" t="str">
            <v>Corrimão de inox - fornecimento e instalação</v>
          </cell>
          <cell r="D252">
            <v>650</v>
          </cell>
        </row>
        <row r="253">
          <cell r="B253" t="str">
            <v>Corrimão de Madeira - fornecimento e instalação</v>
          </cell>
          <cell r="D253">
            <v>80</v>
          </cell>
        </row>
        <row r="254">
          <cell r="B254" t="str">
            <v>Brise de Madeira - Decoração Fachada</v>
          </cell>
          <cell r="D254">
            <v>1031.7460317460318</v>
          </cell>
        </row>
        <row r="255">
          <cell r="B255" t="str">
            <v>Porta de madeira de abrir - 140x210cm (kit completo)</v>
          </cell>
          <cell r="D255">
            <v>4042.6711111111113</v>
          </cell>
        </row>
        <row r="256">
          <cell r="B256" t="str">
            <v>Porta de madeira de abrir - 105x215cm (kit completo)</v>
          </cell>
          <cell r="D256">
            <v>3032.0033333333336</v>
          </cell>
        </row>
        <row r="257">
          <cell r="B257" t="str">
            <v>Porta de madeira de abrir - 110x220cm (kit completo)</v>
          </cell>
          <cell r="D257">
            <v>3176.3844444444453</v>
          </cell>
        </row>
        <row r="258">
          <cell r="B258" t="str">
            <v>Porta de madeira de abrir - 100x210cm (kit completo)</v>
          </cell>
          <cell r="D258">
            <v>2887.6222222222223</v>
          </cell>
        </row>
        <row r="259">
          <cell r="B259" t="str">
            <v>Porta de madeira de Correr - 60x210cm (kit completo)</v>
          </cell>
          <cell r="D259">
            <v>2209.5230485436896</v>
          </cell>
        </row>
        <row r="260">
          <cell r="B260" t="str">
            <v>Porta de madeira de abrir - 60x215cm (kit completo)</v>
          </cell>
          <cell r="D260">
            <v>2209.5230485436896</v>
          </cell>
        </row>
        <row r="261">
          <cell r="B261" t="str">
            <v>Porta de madeira de abrir - 60x220cm (kit completo)</v>
          </cell>
          <cell r="D261">
            <v>2358.5676190476192</v>
          </cell>
        </row>
        <row r="262">
          <cell r="B262" t="str">
            <v>Porta de madeira de abrir - 60x210cm (kit completo)</v>
          </cell>
          <cell r="D262">
            <v>2251.36</v>
          </cell>
        </row>
        <row r="263">
          <cell r="B263" t="str">
            <v>Porta de madeira de abrir - 80x210cm (kit completo)</v>
          </cell>
          <cell r="D263">
            <v>2251.36</v>
          </cell>
        </row>
        <row r="264">
          <cell r="B264" t="str">
            <v>Porta de madeira de abrir - 70x210cm (kit completo)</v>
          </cell>
          <cell r="D264">
            <v>2251.36</v>
          </cell>
        </row>
        <row r="265">
          <cell r="B265" t="str">
            <v>Porta de madeira de abrir - 90x210cm (kit completo)</v>
          </cell>
          <cell r="D265">
            <v>2598.86</v>
          </cell>
        </row>
        <row r="266">
          <cell r="B266" t="str">
            <v>Porta de madeira de abrir - 76x210cm (kit completo)</v>
          </cell>
          <cell r="D266">
            <v>2209.5230485436896</v>
          </cell>
        </row>
        <row r="267">
          <cell r="B267" t="str">
            <v>Porta de madeira de abrir - 87x210cm (kit completo)</v>
          </cell>
          <cell r="D267">
            <v>2209.5230485436896</v>
          </cell>
        </row>
        <row r="268">
          <cell r="B268" t="str">
            <v>Porta de madeira de abrir - 80x210cm (kit completo)</v>
          </cell>
          <cell r="D268">
            <v>2251.36</v>
          </cell>
        </row>
        <row r="269">
          <cell r="B269" t="str">
            <v>Porta de madeira de abrir - 80x215cm (kit completo)</v>
          </cell>
          <cell r="D269">
            <v>2209.5230485436896</v>
          </cell>
        </row>
        <row r="270">
          <cell r="B270" t="str">
            <v>Porta de madeira de Correr - 80x210cm (kit completo)</v>
          </cell>
          <cell r="D270">
            <v>2251.36</v>
          </cell>
        </row>
        <row r="271">
          <cell r="B271" t="str">
            <v>Porta de madeira de abrir - 90x215cm (kit completo)</v>
          </cell>
          <cell r="D271">
            <v>2660.7376190476193</v>
          </cell>
        </row>
        <row r="272">
          <cell r="B272" t="str">
            <v xml:space="preserve">Claraboia em vidro laminado </v>
          </cell>
          <cell r="D272">
            <v>1014</v>
          </cell>
        </row>
        <row r="273">
          <cell r="B273" t="str">
            <v>Pele de vidro</v>
          </cell>
          <cell r="D273">
            <v>1533.99</v>
          </cell>
        </row>
        <row r="274">
          <cell r="B274" t="str">
            <v>Portão de vidro - 85x280 cm</v>
          </cell>
          <cell r="D274">
            <v>3893.2833333333333</v>
          </cell>
        </row>
        <row r="275">
          <cell r="B275" t="str">
            <v>Gradil metálico</v>
          </cell>
          <cell r="D275">
            <v>568.92672413793116</v>
          </cell>
        </row>
        <row r="276">
          <cell r="B276" t="str">
            <v>Porta corta-fogo, 1 folha, 80x210 cm</v>
          </cell>
          <cell r="D276">
            <v>1100</v>
          </cell>
        </row>
        <row r="277">
          <cell r="B277" t="str">
            <v>Portão, 1 folha, 4,81x226 cm</v>
          </cell>
          <cell r="D277">
            <v>28645.08</v>
          </cell>
        </row>
        <row r="278">
          <cell r="B278" t="str">
            <v>Portão, 1 folha, 500x235 cm</v>
          </cell>
          <cell r="D278">
            <v>13011.726190476189</v>
          </cell>
        </row>
        <row r="279">
          <cell r="B279" t="str">
            <v>Portão, 1 folha, 350x240 cm</v>
          </cell>
          <cell r="D279">
            <v>9302</v>
          </cell>
        </row>
        <row r="280">
          <cell r="B280" t="str">
            <v>Porta corta-fogo, 2 folha, 152x126 cm</v>
          </cell>
          <cell r="D280">
            <v>1089.6084620689658</v>
          </cell>
        </row>
        <row r="281">
          <cell r="B281" t="str">
            <v>Escada marinheiro com gaiola de proteção, h=6 m</v>
          </cell>
          <cell r="D281">
            <v>6500</v>
          </cell>
        </row>
        <row r="282">
          <cell r="B282" t="str">
            <v>Escada de marinheiro</v>
          </cell>
          <cell r="D282">
            <v>2405</v>
          </cell>
        </row>
        <row r="283">
          <cell r="B283" t="str">
            <v>Porta venezianada metálica, 1 folha, 60x80 cm</v>
          </cell>
          <cell r="D283">
            <v>975</v>
          </cell>
        </row>
        <row r="284">
          <cell r="B284" t="str">
            <v>Porta metálica, 1 folha, 80x150 cm</v>
          </cell>
          <cell r="D284">
            <v>2968</v>
          </cell>
        </row>
        <row r="285">
          <cell r="B285" t="str">
            <v>Porta corta-fogo, 1 folha, 106x210 cm</v>
          </cell>
          <cell r="D285">
            <v>3729.34</v>
          </cell>
        </row>
        <row r="286">
          <cell r="B286" t="str">
            <v>Porta corta-fogo, 1 folha, 96x190cm</v>
          </cell>
          <cell r="D286">
            <v>3523.56</v>
          </cell>
        </row>
        <row r="287">
          <cell r="B287" t="str">
            <v>Porta corta-fogo, 1 folha, 90x213cm</v>
          </cell>
          <cell r="D287">
            <v>1754.88</v>
          </cell>
        </row>
        <row r="288">
          <cell r="B288" t="str">
            <v>Porta corta-fogo, 1 folha, 80x213cm</v>
          </cell>
          <cell r="D288">
            <v>1754.88</v>
          </cell>
        </row>
        <row r="289">
          <cell r="B289" t="str">
            <v>Chapa de Aço Galvanizada 1,55mm (Chapa 16) x 1200mm x 3000mm</v>
          </cell>
          <cell r="D289">
            <v>135.35555555555555</v>
          </cell>
        </row>
        <row r="290">
          <cell r="B290" t="str">
            <v>Ferragens para Portas - Maçaneta, fechadura, dobradiça.</v>
          </cell>
          <cell r="D290">
            <v>912.26415533980582</v>
          </cell>
        </row>
        <row r="291">
          <cell r="B291" t="str">
            <v>Fechadura Arouca para Porta do Quarto Preto 55mm</v>
          </cell>
          <cell r="D291">
            <v>232.46</v>
          </cell>
        </row>
        <row r="292">
          <cell r="B292" t="str">
            <v>Fechadura Inteligente Eletrônica Facial Digital D22 Cor Preto</v>
          </cell>
          <cell r="D292">
            <v>1291.6400000000001</v>
          </cell>
        </row>
        <row r="293">
          <cell r="B293" t="str">
            <v>SELANTE ELASTICO MONOCOMPONENTE A BASE DE POLIURETANO (PU) PARA JUNTAS DIVERSAS 310ML</v>
          </cell>
          <cell r="D293">
            <v>46.68</v>
          </cell>
        </row>
        <row r="294">
          <cell r="B294" t="str">
            <v>PRIMER DE POLIURETANO (PU)</v>
          </cell>
          <cell r="D294">
            <v>106.1</v>
          </cell>
        </row>
        <row r="295">
          <cell r="B295" t="str">
            <v>TARUGO DELIMITADOR DE PROFUNDIDADE EM ESPUMA DE POLIETILENO DE BAIXA DENSIDADE 10 MM</v>
          </cell>
          <cell r="D295">
            <v>1.2450000000000001</v>
          </cell>
        </row>
        <row r="296">
          <cell r="B296" t="str">
            <v>Membrana de polímero acrílico com cimento e fibras, estruturada com tela de poliéster nos pontos críticos</v>
          </cell>
          <cell r="D296">
            <v>22</v>
          </cell>
        </row>
        <row r="297">
          <cell r="B297" t="str">
            <v>Membrana de polímero acrílico, sem cimento com resistência à alcalinidade, estruturada com tela de poliéster nos pontos críticos</v>
          </cell>
          <cell r="D297">
            <v>25</v>
          </cell>
        </row>
        <row r="298">
          <cell r="B298" t="str">
            <v>Manta asfáltica tipo IV, 4 mm A, com acabamento areia/areia aderida com asfalto oxidado</v>
          </cell>
          <cell r="D298">
            <v>30</v>
          </cell>
        </row>
        <row r="299">
          <cell r="B299" t="str">
            <v>banho de asfalto oxidado</v>
          </cell>
          <cell r="D299">
            <v>9</v>
          </cell>
        </row>
        <row r="300">
          <cell r="B300" t="str">
            <v>Argamassa polimérica rígida, estruturada com tela de poliéster nos pontos críticos</v>
          </cell>
          <cell r="D300">
            <v>9.8888888888888893</v>
          </cell>
        </row>
        <row r="301">
          <cell r="B301" t="str">
            <v>Argamassa polimérica rígida</v>
          </cell>
          <cell r="D301">
            <v>9.8888888888888893</v>
          </cell>
        </row>
        <row r="302">
          <cell r="B302" t="str">
            <v>Argamassa polimérica rígida, com alta resistência química, estruturada com tela de poliéster nos pontos críticos</v>
          </cell>
          <cell r="D302">
            <v>9.8888888888888893</v>
          </cell>
        </row>
        <row r="303">
          <cell r="B303" t="str">
            <v>Membrana acrílica, estruturada com tela de poliéster, nos pontos críticos</v>
          </cell>
          <cell r="D303">
            <v>24</v>
          </cell>
        </row>
        <row r="304">
          <cell r="B304" t="str">
            <v>membrana de polímero acrílico com cimento e fibras para combater eflorescência</v>
          </cell>
          <cell r="D304">
            <v>24</v>
          </cell>
        </row>
        <row r="305">
          <cell r="B305" t="str">
            <v>Membrana de polímero acrílico, com cimento e com fibras, estruturada com tela de poliéster nos pontos críticos</v>
          </cell>
          <cell r="D305">
            <v>24</v>
          </cell>
        </row>
        <row r="306">
          <cell r="B306" t="str">
            <v>pintura de proteção antirraiz sobre a proteção mecânica</v>
          </cell>
          <cell r="D306">
            <v>60</v>
          </cell>
        </row>
        <row r="307">
          <cell r="B307" t="str">
            <v>Manta asfáltica tipo IV, 4 mm A, com acabamento areia/areia + manta asfáltica tipo IV, 4 mm A, com acabamento areia/areia aderida com asfalto oxidado</v>
          </cell>
          <cell r="D307">
            <v>30</v>
          </cell>
        </row>
        <row r="308">
          <cell r="B308" t="str">
            <v>SOLUÇÃO DE SILICADOS CWS100</v>
          </cell>
          <cell r="D308">
            <v>325</v>
          </cell>
        </row>
        <row r="309">
          <cell r="B309" t="str">
            <v>impermeabilizante manta líquida Ultravent</v>
          </cell>
          <cell r="D309">
            <v>50</v>
          </cell>
        </row>
        <row r="310">
          <cell r="B310" t="str">
            <v>Argamassa polimerica impermeabilizante semiflexivel, bicomponente, a base de cimento e aditivos</v>
          </cell>
          <cell r="D310">
            <v>11.33</v>
          </cell>
        </row>
        <row r="311">
          <cell r="B311" t="str">
            <v>Tela Poliéster De Reforço Para Impermeabilização - 50m X 1m</v>
          </cell>
          <cell r="D311">
            <v>4.5999999999999996</v>
          </cell>
        </row>
        <row r="312">
          <cell r="B312" t="str">
            <v>Membrana de polímeros acrílicos com cimento e com fibras</v>
          </cell>
          <cell r="D312">
            <v>11.055555555555555</v>
          </cell>
        </row>
        <row r="313">
          <cell r="B313" t="str">
            <v>emulsão asfáltica de alta resistência química</v>
          </cell>
          <cell r="D313">
            <v>19.440000000000001</v>
          </cell>
        </row>
        <row r="314">
          <cell r="B314" t="str">
            <v>Manta acústica “SoundSoft Ondulada” da Aubicon esp. 17/8mm”</v>
          </cell>
          <cell r="D314">
            <v>130</v>
          </cell>
        </row>
        <row r="315">
          <cell r="B315" t="str">
            <v>Manta acústica “SoundSoft laje zero” da Aubicon com polimero acrilico aderido da Baucryl</v>
          </cell>
          <cell r="D315">
            <v>220</v>
          </cell>
        </row>
        <row r="316">
          <cell r="B316" t="str">
            <v>Tratamento acustico da sylomer da getzner esp. 50mm</v>
          </cell>
          <cell r="D316">
            <v>1200</v>
          </cell>
        </row>
        <row r="317">
          <cell r="B317" t="str">
            <v>Manta Líquida - Igolflex Pu (consumo = 400g/m2)</v>
          </cell>
          <cell r="D317">
            <v>29.277777777777779</v>
          </cell>
        </row>
        <row r="318">
          <cell r="B318" t="str">
            <v>Impermeabilizante manta liquida branca</v>
          </cell>
          <cell r="D318">
            <v>25.75</v>
          </cell>
        </row>
        <row r="319">
          <cell r="B319" t="str">
            <v>Manta Asfáltica Drykomanta Polialum 4mm Tipo ll 10m Dryko</v>
          </cell>
          <cell r="D319">
            <v>37.99</v>
          </cell>
        </row>
        <row r="320">
          <cell r="B320" t="str">
            <v>Membrana Impermeável Respirável - 1,30x50m</v>
          </cell>
          <cell r="D320">
            <v>11.090769230769231</v>
          </cell>
        </row>
        <row r="321">
          <cell r="B321" t="str">
            <v>MANTA ASFALTICA ELASTOMERICA EM POLIESTER 3 MM, TIPO III, CLASSE B, ACABAMENTO PP (NBR 9952)</v>
          </cell>
          <cell r="D321">
            <v>57.02</v>
          </cell>
        </row>
        <row r="322">
          <cell r="B322" t="str">
            <v>MANTA ASFALTICA ELASTOMERICA EM POLIESTER 4 MM, TIPO III, CLASSE B, ACABAMENTO PP (NBR 9952)</v>
          </cell>
          <cell r="D322">
            <v>70.02</v>
          </cell>
        </row>
        <row r="323">
          <cell r="B323" t="str">
            <v>Manta De Polipropileno, E = 10 Mm</v>
          </cell>
          <cell r="D323">
            <v>30.555555555555557</v>
          </cell>
        </row>
        <row r="324">
          <cell r="B324" t="str">
            <v>Manta De Polietileno Expandido (Pebd), E = 2 Mm</v>
          </cell>
          <cell r="D324">
            <v>7.16</v>
          </cell>
        </row>
        <row r="325">
          <cell r="B325" t="str">
            <v>Manta Isolamento Acústico Laje Piso Passo 8mm</v>
          </cell>
          <cell r="D325">
            <v>26.563333333333333</v>
          </cell>
        </row>
        <row r="326">
          <cell r="B326" t="str">
            <v>PRIMER PARA MANTA ASFALTICA A BASE DE ASFALTO MODIFICADO DILUIDO EM SOLVENTE, APLICACAO A FRIO</v>
          </cell>
          <cell r="D326">
            <v>23.52</v>
          </cell>
        </row>
        <row r="327">
          <cell r="B327" t="str">
            <v>Veu de poliester para impermeabilizacao</v>
          </cell>
          <cell r="D327">
            <v>1.1000000000000001</v>
          </cell>
        </row>
        <row r="328">
          <cell r="B328" t="str">
            <v>Anel de Borracha p/ Tubo 100 mm</v>
          </cell>
          <cell r="D328">
            <v>5</v>
          </cell>
        </row>
        <row r="329">
          <cell r="B329" t="str">
            <v>Fita Veda Rosca</v>
          </cell>
          <cell r="D329">
            <v>0.24</v>
          </cell>
        </row>
        <row r="330">
          <cell r="B330" t="str">
            <v>EXTINTOR INCENDIO PO QUIMICO 06KG CLASSE ABC (COMPLETO) NBR 15808</v>
          </cell>
          <cell r="D330">
            <v>185.37</v>
          </cell>
        </row>
        <row r="331">
          <cell r="B331" t="str">
            <v>Chuveiro Teto DocolHeaven Q150 Cromado Docol</v>
          </cell>
          <cell r="D331">
            <v>970</v>
          </cell>
        </row>
        <row r="332">
          <cell r="B332" t="str">
            <v>Dispenser detergente cromado</v>
          </cell>
          <cell r="D332">
            <v>225.38</v>
          </cell>
        </row>
        <row r="333">
          <cell r="B333" t="str">
            <v>Ducha / Detalhe: Aqua Ultra - Lorenzetti</v>
          </cell>
          <cell r="D333">
            <v>660</v>
          </cell>
        </row>
        <row r="334">
          <cell r="B334" t="str">
            <v>Ducha \ Detalhe: Parede Cromado Vercci</v>
          </cell>
          <cell r="D334">
            <v>1196.32</v>
          </cell>
        </row>
        <row r="335">
          <cell r="B335" t="str">
            <v>Monocomando Banheira e Ducha</v>
          </cell>
          <cell r="D335">
            <v>1876.89</v>
          </cell>
        </row>
        <row r="336">
          <cell r="B336" t="str">
            <v>Ducha higiênica\ Detalhe: Cromado Vercci</v>
          </cell>
          <cell r="D336">
            <v>688.68</v>
          </cell>
        </row>
        <row r="337">
          <cell r="B337" t="str">
            <v>Engate Flexível Trançado 1/2"</v>
          </cell>
          <cell r="D337">
            <v>26.9</v>
          </cell>
        </row>
        <row r="338">
          <cell r="B338" t="str">
            <v>Valvula de Escoamento cromada</v>
          </cell>
          <cell r="D338">
            <v>196.76</v>
          </cell>
        </row>
        <row r="339">
          <cell r="B339" t="str">
            <v>Valvula Metálica 1"</v>
          </cell>
          <cell r="D339">
            <v>65</v>
          </cell>
        </row>
        <row r="340">
          <cell r="B340" t="str">
            <v>Válvula Pia Tanque Lavanderia Escoamento 1.1/4'' Metal Cromado</v>
          </cell>
          <cell r="D340">
            <v>35.9</v>
          </cell>
        </row>
        <row r="341">
          <cell r="B341" t="str">
            <v>Exaustor Td Silent 350 Ultra Silencioso</v>
          </cell>
          <cell r="D341">
            <v>900</v>
          </cell>
        </row>
        <row r="342">
          <cell r="B342" t="str">
            <v xml:space="preserve">Bacia com caixa acoplada </v>
          </cell>
          <cell r="D342">
            <v>736.50120000000004</v>
          </cell>
        </row>
        <row r="343">
          <cell r="B343" t="str">
            <v>Bacia com caixa acoplada PNE</v>
          </cell>
          <cell r="D343">
            <v>2556.62</v>
          </cell>
        </row>
        <row r="344">
          <cell r="B344" t="str">
            <v>Bacia com caixa acoplada / Detalhe: Linha Living, branco, saída lado direito, Deca</v>
          </cell>
          <cell r="D344">
            <v>523.16999999999996</v>
          </cell>
        </row>
        <row r="345">
          <cell r="B345" t="str">
            <v>Bacia Com Caixa Acoplada Lift Branco - Docol</v>
          </cell>
          <cell r="D345">
            <v>1999</v>
          </cell>
        </row>
        <row r="346">
          <cell r="B346" t="str">
            <v>Cuba / Detalhe: Cuba retangular aço escovado</v>
          </cell>
          <cell r="D346">
            <v>2750.38</v>
          </cell>
        </row>
        <row r="347">
          <cell r="B347" t="str">
            <v>Cuba de Apoio Redonda 32cmx13cm Luxo Docol Branco</v>
          </cell>
          <cell r="D347">
            <v>272.89999999999998</v>
          </cell>
        </row>
        <row r="348">
          <cell r="B348" t="str">
            <v>Cuba Docol Invicta 46x42 01696504 Inox Polido</v>
          </cell>
          <cell r="D348">
            <v>460</v>
          </cell>
        </row>
        <row r="349">
          <cell r="B349" t="str">
            <v>Lavatório suspenso \ Detalhe: Cuba viggo 54cm branca</v>
          </cell>
          <cell r="D349">
            <v>1574.1</v>
          </cell>
        </row>
        <row r="350">
          <cell r="B350" t="str">
            <v>Lavatório Suspenso Eco 40x30cm Branco Celite</v>
          </cell>
          <cell r="D350">
            <v>203.9</v>
          </cell>
        </row>
        <row r="351">
          <cell r="B351" t="str">
            <v>Mictório com Válvula de Acionamento</v>
          </cell>
          <cell r="D351">
            <v>1010.4012000000001</v>
          </cell>
        </row>
        <row r="352">
          <cell r="B352" t="str">
            <v>Tanque De Louça Hervy Com 18 Litros Branco</v>
          </cell>
          <cell r="D352">
            <v>396.87</v>
          </cell>
        </row>
        <row r="353">
          <cell r="B353" t="str">
            <v>Logasa Lavatório Suspenso de Canto</v>
          </cell>
          <cell r="D353">
            <v>215</v>
          </cell>
        </row>
        <row r="354">
          <cell r="B354" t="str">
            <v>Tanque Monobloco Polido Docol 32L 55x45x23 cm</v>
          </cell>
          <cell r="D354">
            <v>760</v>
          </cell>
        </row>
        <row r="355">
          <cell r="B355" t="str">
            <v>Acabamento de Registro pressão \ Detalhe: Cromado Vercci</v>
          </cell>
          <cell r="D355">
            <v>493.7</v>
          </cell>
        </row>
        <row r="356">
          <cell r="B356" t="str">
            <v>Acabamento de Registro\ Detalhe: Cromado Vercci</v>
          </cell>
          <cell r="D356">
            <v>240.41</v>
          </cell>
        </row>
        <row r="357">
          <cell r="B357" t="str">
            <v>Barra de Apoio - Deficiente</v>
          </cell>
          <cell r="D357">
            <v>84.8</v>
          </cell>
        </row>
        <row r="358">
          <cell r="B358" t="str">
            <v>Estabilizador p/ Lavatórios</v>
          </cell>
          <cell r="D358">
            <v>32</v>
          </cell>
        </row>
        <row r="359">
          <cell r="B359" t="str">
            <v>Gancho\ Detalhe: Cromado Vercci</v>
          </cell>
          <cell r="D359">
            <v>293</v>
          </cell>
        </row>
        <row r="360">
          <cell r="B360" t="str">
            <v>Grade aramada para cuba</v>
          </cell>
          <cell r="D360">
            <v>71.55</v>
          </cell>
        </row>
        <row r="361">
          <cell r="B361" t="str">
            <v>Misturador monocomando \ Detalhe: aço escovado</v>
          </cell>
          <cell r="D361">
            <v>2117.89</v>
          </cell>
        </row>
        <row r="362">
          <cell r="B362" t="str">
            <v>Porta papel higienico \ Detalhe: Cromado Vercci</v>
          </cell>
          <cell r="D362">
            <v>396.67</v>
          </cell>
        </row>
        <row r="363">
          <cell r="B363" t="str">
            <v>Sifão Cromado</v>
          </cell>
          <cell r="D363">
            <v>256.89999999999998</v>
          </cell>
        </row>
        <row r="364">
          <cell r="B364" t="str">
            <v>Sifão flexível com copo para Lavatório</v>
          </cell>
          <cell r="D364">
            <v>8.9</v>
          </cell>
        </row>
        <row r="365">
          <cell r="B365" t="str">
            <v>Sifão Universal Flexível Multiuso</v>
          </cell>
          <cell r="D365">
            <v>35</v>
          </cell>
        </row>
        <row r="366">
          <cell r="B366" t="str">
            <v>Toalheiro rosto \ Detalhe: Cromado Vercci</v>
          </cell>
          <cell r="D366">
            <v>493.84</v>
          </cell>
        </row>
        <row r="367">
          <cell r="B367" t="str">
            <v>Torneira de bancada para tanque \ Detalhe: mesa inox</v>
          </cell>
          <cell r="D367">
            <v>1054.93</v>
          </cell>
        </row>
        <row r="368">
          <cell r="B368" t="str">
            <v>Torneira de jardim inox</v>
          </cell>
          <cell r="D368">
            <v>1054.93</v>
          </cell>
        </row>
        <row r="369">
          <cell r="B369" t="str">
            <v>Torneira para Lavatório\ Detalhe: Cromado Vercci</v>
          </cell>
          <cell r="D369">
            <v>1054.93</v>
          </cell>
        </row>
        <row r="370">
          <cell r="B370" t="str">
            <v>Torneira para pia inox</v>
          </cell>
          <cell r="D370">
            <v>1054.93</v>
          </cell>
        </row>
        <row r="371">
          <cell r="B371" t="str">
            <v>Churrasqueiras kit Gourmet Médio Inox 304</v>
          </cell>
          <cell r="D371">
            <v>6200</v>
          </cell>
        </row>
        <row r="372">
          <cell r="B372" t="str">
            <v>Forro Knauf Cleaneo A1 (gesso acústico perfurado)</v>
          </cell>
          <cell r="D372">
            <v>180</v>
          </cell>
        </row>
        <row r="373">
          <cell r="B373" t="str">
            <v>Churrasqueiras Pré-Moldadas</v>
          </cell>
          <cell r="D373">
            <v>1400</v>
          </cell>
        </row>
        <row r="374">
          <cell r="B374" t="str">
            <v>CAIBRO NAO APARELHADO *5 X 6* CM, EM MACARANDUBA/MASSARANDUBA, ANGELIM OU EQUIVALENTE DA REGIAO - BRUTA</v>
          </cell>
          <cell r="D374">
            <v>29.5</v>
          </cell>
        </row>
        <row r="375">
          <cell r="B375" t="str">
            <v>CHAPA/PAINEL DE MADEIRA COMPENSADA PLASTIFICADA, DE 2200 X 1100 MM, E = 14 MM</v>
          </cell>
          <cell r="D375">
            <v>46.120293847566572</v>
          </cell>
        </row>
        <row r="376">
          <cell r="B376" t="str">
            <v>CHAPA/PAINEL DE MADEIRA COMPENSADA PLASTIFICADA, DE 2200 X 1100 MM, E = 18 MM</v>
          </cell>
          <cell r="D376">
            <v>59.297520661157016</v>
          </cell>
        </row>
        <row r="377">
          <cell r="B377" t="str">
            <v>CHAPA/PAINEL DE MADEIRA COMPENSADA PLASTIFICADA, DE 2200 X 1100 MM, E = 20 MM</v>
          </cell>
          <cell r="D377">
            <v>92.851239669421474</v>
          </cell>
        </row>
        <row r="378">
          <cell r="B378" t="str">
            <v>CHAPA/PAINEL DE MADEIRA COMPENSADA RESINADA, DE 2200 X 1100 MM, E = 17 MM</v>
          </cell>
          <cell r="D378">
            <v>37.96</v>
          </cell>
        </row>
        <row r="379">
          <cell r="B379" t="str">
            <v>CHAPA/PAINEL DE MADEIRA COMPENSADA RESINADA, DE 2200 X 1100 MM, E = 14 MM</v>
          </cell>
          <cell r="D379">
            <v>35.78</v>
          </cell>
        </row>
        <row r="380">
          <cell r="B380" t="str">
            <v>CHAPA/PAINEL DE MADEIRA COMPENSADA RESINADA, DE 2200 X 1100 MM, E = 18 MM</v>
          </cell>
          <cell r="D380">
            <v>46.002857142857138</v>
          </cell>
        </row>
        <row r="381">
          <cell r="B381" t="str">
            <v>COMPENSADO MADEIRA TIPO RESINADO COLA FENOLICA 2440X1220X10MM</v>
          </cell>
          <cell r="D381">
            <v>58.46</v>
          </cell>
        </row>
        <row r="382">
          <cell r="B382" t="str">
            <v>DECKS COMPOSTOS DE MADEIRA ECOLÓGICA PARA EXTERIORES</v>
          </cell>
          <cell r="D382">
            <v>557</v>
          </cell>
        </row>
        <row r="383">
          <cell r="B383" t="str">
            <v xml:space="preserve">DESMOLDANTE PROTETOR PARA FORMAS DE MADEIRA, DE BASE OLEOSA EMULSIONADA EM AGUA   </v>
          </cell>
          <cell r="D383">
            <v>15.55</v>
          </cell>
        </row>
        <row r="384">
          <cell r="B384" t="str">
            <v>DESMOLDANTE PARA CONCRETO ESTAMPADO</v>
          </cell>
          <cell r="D384">
            <v>21.666666666666668</v>
          </cell>
        </row>
        <row r="385">
          <cell r="B385" t="str">
            <v>MOLDE DE POLIURETANO, FLEXIVEL OU SEMI-FLEXIVEL, PARA ESTAMPAGEM DE PISO / PASSEIO DE CONCRETO</v>
          </cell>
          <cell r="D385">
            <v>650</v>
          </cell>
        </row>
        <row r="386">
          <cell r="B386" t="str">
            <v>PO ENDURECEDOR PARA CONCRETO ESTAMPADO - PIGMENTO ENDURECEDOR</v>
          </cell>
          <cell r="D386">
            <v>15.780000000000001</v>
          </cell>
        </row>
        <row r="387">
          <cell r="B387" t="str">
            <v>Estrutura e trama para cobertura em madeira</v>
          </cell>
          <cell r="D387">
            <v>119.77</v>
          </cell>
        </row>
        <row r="388">
          <cell r="B388" t="str">
            <v>Madeira Amescla para acabamento</v>
          </cell>
          <cell r="D388">
            <v>90</v>
          </cell>
        </row>
        <row r="389">
          <cell r="B389" t="str">
            <v>Perna de serra pinus - 10x30x300cm</v>
          </cell>
          <cell r="D389">
            <v>21.12</v>
          </cell>
        </row>
        <row r="390">
          <cell r="B390" t="str">
            <v>MADEIRA PINUS/SIMILAR - PONTALETE 75X75MM NBR 11700/15696</v>
          </cell>
          <cell r="D390">
            <v>7</v>
          </cell>
        </row>
        <row r="391">
          <cell r="B391" t="str">
            <v>MADEIRA PINUS/SIMILAR - SARRAFO PINUS 50X10MM NBR 11700</v>
          </cell>
          <cell r="D391">
            <v>7.3900000000000006</v>
          </cell>
        </row>
        <row r="392">
          <cell r="B392" t="str">
            <v>MADEIRA PINUS/SIMILAR - SARRAFO PINUS 50X20MM NBR 11700/15696</v>
          </cell>
          <cell r="D392">
            <v>46.5</v>
          </cell>
        </row>
        <row r="393">
          <cell r="B393" t="str">
            <v>MADEIRA PINUS/SIMILAR - TABUA PINUS 200X20MM NBR 11700</v>
          </cell>
          <cell r="D393">
            <v>46.5</v>
          </cell>
        </row>
        <row r="394">
          <cell r="B394" t="str">
            <v>PONTALETE *7,5 X 7,5* CM EM PINUS, MISTA OU EQUIVALENTE DA REGIAO - BRUTA</v>
          </cell>
          <cell r="D394">
            <v>1100</v>
          </cell>
        </row>
        <row r="395">
          <cell r="B395" t="str">
            <v>RIPA NAO APARELHADA, *1,5 X 5* CM, EM MACARANDUBA/MASSARANDUBA, ANGELIM OU EQUIVALENTE DA REGIAO - BRUTA</v>
          </cell>
          <cell r="D395">
            <v>5.62</v>
          </cell>
        </row>
        <row r="396">
          <cell r="B396" t="str">
            <v>SARRAFO *2,5 X 7,5* CM EM PINUS, MISTA OU EQUIVALENTE DA REGIAO - BRUTA</v>
          </cell>
          <cell r="D396">
            <v>1350</v>
          </cell>
        </row>
        <row r="397">
          <cell r="B397" t="str">
            <v>SARRAFO 2,5X10 CM PINUS*</v>
          </cell>
          <cell r="D397">
            <v>1050</v>
          </cell>
        </row>
        <row r="398">
          <cell r="B398" t="str">
            <v>TABUA *2,5 X 15 CM EM PINUS, MISTA OU EQUIVALENTE DA REGIAO - BRUTA</v>
          </cell>
          <cell r="D398">
            <v>21.23</v>
          </cell>
        </row>
        <row r="399">
          <cell r="B399" t="str">
            <v>TABUA *2,5 X 30 CM EM PINUS, MISTA OU EQUIVALENTE DA REGIAO - BRUTA (M)</v>
          </cell>
          <cell r="D399">
            <v>42.46</v>
          </cell>
        </row>
        <row r="400">
          <cell r="B400" t="str">
            <v>TABUA NAO APARELHADA *2,5 X 20* CM, EM MACARANDUBA/MASSARANDUBA, ANGELIM OU EQUIVALENTE DA REGIAO - BRUTA</v>
          </cell>
          <cell r="D400">
            <v>42.46</v>
          </cell>
        </row>
        <row r="401">
          <cell r="B401" t="str">
            <v xml:space="preserve">Viga de Sustentação para pergolado em madeira </v>
          </cell>
          <cell r="D401">
            <v>3300</v>
          </cell>
        </row>
        <row r="402">
          <cell r="B402" t="str">
            <v>VIGA NAO APARELHADA *6 X 12* CM, EM MACARANDUBA/MASSARANDUBA, ANGELIM OU EQUIVALENTE DA REGIAO - BRUTA</v>
          </cell>
          <cell r="D402">
            <v>62.4</v>
          </cell>
        </row>
        <row r="403">
          <cell r="B403" t="str">
            <v>Meio Oficial 1</v>
          </cell>
          <cell r="D403">
            <v>3400</v>
          </cell>
        </row>
        <row r="404">
          <cell r="B404" t="str">
            <v>Mestre 1</v>
          </cell>
          <cell r="D404">
            <v>4550</v>
          </cell>
        </row>
        <row r="405">
          <cell r="B405" t="str">
            <v>Mestre 2</v>
          </cell>
          <cell r="D405">
            <v>6500</v>
          </cell>
        </row>
        <row r="406">
          <cell r="B406" t="str">
            <v>Oficial 1</v>
          </cell>
          <cell r="D406">
            <v>4200</v>
          </cell>
        </row>
        <row r="407">
          <cell r="B407" t="str">
            <v>Oficial 2</v>
          </cell>
          <cell r="D407">
            <v>3000</v>
          </cell>
        </row>
        <row r="408">
          <cell r="B408" t="str">
            <v>Operador de máquina 1</v>
          </cell>
          <cell r="D408">
            <v>4000</v>
          </cell>
        </row>
        <row r="409">
          <cell r="B409" t="str">
            <v>Operador de máquina 2</v>
          </cell>
          <cell r="D409">
            <v>3450</v>
          </cell>
        </row>
        <row r="410">
          <cell r="B410" t="str">
            <v>Operador de máquina 3</v>
          </cell>
          <cell r="D410">
            <v>5000</v>
          </cell>
        </row>
        <row r="411">
          <cell r="B411" t="str">
            <v>Operador de máquina 4</v>
          </cell>
          <cell r="D411">
            <v>3000</v>
          </cell>
        </row>
        <row r="412">
          <cell r="B412" t="str">
            <v>Operador de máquina 5</v>
          </cell>
          <cell r="D412">
            <v>2400</v>
          </cell>
        </row>
        <row r="413">
          <cell r="B413" t="str">
            <v>Ajudante 1</v>
          </cell>
          <cell r="D413">
            <v>2400</v>
          </cell>
        </row>
        <row r="414">
          <cell r="B414" t="str">
            <v>Adesivo Acrilico De Base Aquosa / Cola De Contato</v>
          </cell>
          <cell r="D414">
            <v>25.11</v>
          </cell>
        </row>
        <row r="415">
          <cell r="B415" t="str">
            <v>ADESIVO DE BASE ACRÍLICA COMPATÍVEL COM CIMENTO</v>
          </cell>
          <cell r="D415">
            <v>22.95611111111111</v>
          </cell>
        </row>
        <row r="416">
          <cell r="B416" t="str">
            <v>Aditivo Adesivo Liquido Para Impermeabilização</v>
          </cell>
          <cell r="D416">
            <v>66.666666666666671</v>
          </cell>
        </row>
        <row r="417">
          <cell r="B417" t="str">
            <v>Aditivo Adesivo Liquido Para Argamassas De Revestimentos Cimenticios</v>
          </cell>
          <cell r="D417">
            <v>19.34</v>
          </cell>
        </row>
        <row r="418">
          <cell r="B418" t="str">
            <v>Aditivo Bianco Adesivo Argamassa Chapisco </v>
          </cell>
          <cell r="D418">
            <v>11.2295</v>
          </cell>
        </row>
        <row r="419">
          <cell r="B419" t="str">
            <v>ADITIVO EXPANSOR EM PÓ</v>
          </cell>
          <cell r="D419">
            <v>190</v>
          </cell>
        </row>
        <row r="420">
          <cell r="B420" t="str">
            <v>BANNER LONA VINILICA</v>
          </cell>
          <cell r="D420">
            <v>1052.1099999999999</v>
          </cell>
        </row>
        <row r="421">
          <cell r="B421" t="str">
            <v>CARTUCHO/MUNIÇÃO FINCAPINO 22</v>
          </cell>
          <cell r="D421">
            <v>0.37</v>
          </cell>
        </row>
        <row r="422">
          <cell r="B422" t="str">
            <v>CHUMBADOR PARABOLT ACO CARBONO CBA 1/2"X75MM</v>
          </cell>
          <cell r="D422">
            <v>5.3</v>
          </cell>
        </row>
        <row r="423">
          <cell r="B423" t="str">
            <v>CLIPS PARA CABO DE AÇO 5/16</v>
          </cell>
          <cell r="D423">
            <v>1.7</v>
          </cell>
        </row>
        <row r="424">
          <cell r="B424" t="str">
            <v>Cola Branca base PVA</v>
          </cell>
          <cell r="D424">
            <v>29.13</v>
          </cell>
        </row>
        <row r="425">
          <cell r="B425" t="str">
            <v>PU Fix Branco Cartucho 387 Gramas/280 ML</v>
          </cell>
          <cell r="D425">
            <v>19.899999999999999</v>
          </cell>
        </row>
        <row r="426">
          <cell r="B426" t="str">
            <v>Cola Extra Forte AC6000-400G</v>
          </cell>
          <cell r="D426">
            <v>75</v>
          </cell>
        </row>
        <row r="427">
          <cell r="B427" t="str">
            <v>Espuma Expansiva de PU 740 gramas</v>
          </cell>
          <cell r="D427">
            <v>55</v>
          </cell>
        </row>
        <row r="428">
          <cell r="B428" t="str">
            <v>Fita Crepe Rolo De 25 Mm X 50 M</v>
          </cell>
          <cell r="D428">
            <v>11.26</v>
          </cell>
        </row>
        <row r="429">
          <cell r="B429" t="str">
            <v>Thiner</v>
          </cell>
          <cell r="D429">
            <v>13.5</v>
          </cell>
        </row>
        <row r="430">
          <cell r="B430" t="str">
            <v>Pacote de Estopa</v>
          </cell>
          <cell r="D430">
            <v>6.9</v>
          </cell>
        </row>
        <row r="431">
          <cell r="B431" t="str">
            <v>Cloro para Limpeza</v>
          </cell>
          <cell r="D431">
            <v>6.4</v>
          </cell>
        </row>
        <row r="432">
          <cell r="B432" t="str">
            <v>Disco de lixa (Diametro 225mm) - Grão 180</v>
          </cell>
          <cell r="D432">
            <v>5.9889999999999999</v>
          </cell>
        </row>
        <row r="433">
          <cell r="B433" t="str">
            <v>Disco de lixa telado (Diâmetro 225mm) - Grão 220</v>
          </cell>
          <cell r="D433">
            <v>5.25</v>
          </cell>
        </row>
        <row r="434">
          <cell r="B434" t="str">
            <v>Fita Crepe 50mm x 50mt Azul</v>
          </cell>
          <cell r="D434">
            <v>36.9</v>
          </cell>
        </row>
        <row r="435">
          <cell r="B435" t="str">
            <v>LIXA DAGUA 225X275MM GR100</v>
          </cell>
          <cell r="D435">
            <v>1.89</v>
          </cell>
        </row>
        <row r="436">
          <cell r="B436" t="str">
            <v>LIXA EM FOLHA PARA FERRO, NÚMERO 100</v>
          </cell>
          <cell r="D436">
            <v>3.13</v>
          </cell>
        </row>
        <row r="437">
          <cell r="B437" t="str">
            <v>LONA PLASTICA 120 MICRAS 4X100M PRETA</v>
          </cell>
          <cell r="D437">
            <v>1.25</v>
          </cell>
        </row>
        <row r="438">
          <cell r="B438" t="str">
            <v>Lona Preta Plástica 4x100 Metros 25kg - Agroplastic, Tamanho: 120 Micras</v>
          </cell>
          <cell r="D438">
            <v>2.3025000000000002</v>
          </cell>
        </row>
        <row r="439">
          <cell r="B439" t="str">
            <v>Moldura EPS</v>
          </cell>
          <cell r="D439">
            <v>1377.4104683195592</v>
          </cell>
        </row>
        <row r="440">
          <cell r="B440" t="str">
            <v>Isopor Eps Nivelamento Laje Contra Piso 1000x330x110mm</v>
          </cell>
          <cell r="D440">
            <v>151.5151515151515</v>
          </cell>
        </row>
        <row r="441">
          <cell r="B441" t="str">
            <v>Silicone acético 250gr</v>
          </cell>
          <cell r="D441">
            <v>35.6</v>
          </cell>
        </row>
        <row r="442">
          <cell r="B442" t="str">
            <v>SOLDA EM BARRA DE ESTANHO-CHUMBO 50/50</v>
          </cell>
          <cell r="D442">
            <v>163.07</v>
          </cell>
        </row>
        <row r="443">
          <cell r="B443" t="str">
            <v>MATERIAL PARA INSTALAÇÃO ELÉTRICA</v>
          </cell>
          <cell r="D443">
            <v>215</v>
          </cell>
        </row>
        <row r="444">
          <cell r="B444" t="str">
            <v>Espuma Tarugo Corpo de Apoio Tarucel 15mm (delimitador de profundidade)</v>
          </cell>
          <cell r="D444">
            <v>1.72</v>
          </cell>
        </row>
        <row r="445">
          <cell r="B445" t="str">
            <v>AREIA FINA</v>
          </cell>
          <cell r="D445">
            <v>134</v>
          </cell>
        </row>
        <row r="446">
          <cell r="B446" t="str">
            <v>AREIA MEDIA</v>
          </cell>
          <cell r="D446">
            <v>145</v>
          </cell>
        </row>
        <row r="447">
          <cell r="B447" t="str">
            <v>Bica corrida</v>
          </cell>
          <cell r="D447">
            <v>143</v>
          </cell>
        </row>
        <row r="448">
          <cell r="B448" t="str">
            <v>RACHÃO</v>
          </cell>
          <cell r="D448">
            <v>120</v>
          </cell>
        </row>
        <row r="449">
          <cell r="B449" t="str">
            <v>BRITA Nº2</v>
          </cell>
          <cell r="D449">
            <v>151.20000000000002</v>
          </cell>
        </row>
        <row r="450">
          <cell r="B450" t="str">
            <v>PO DE PEDRA </v>
          </cell>
          <cell r="D450">
            <v>105.71</v>
          </cell>
        </row>
        <row r="451">
          <cell r="B451" t="str">
            <v>PO PEDRA A GRANEL (M3) - GRANULOMETRIA 1,2 A 4,75MM NBR 7211</v>
          </cell>
          <cell r="D451">
            <v>300</v>
          </cell>
        </row>
        <row r="452">
          <cell r="B452" t="str">
            <v>Cimento Autonivelante para Contrapiso </v>
          </cell>
          <cell r="D452">
            <v>4.25</v>
          </cell>
        </row>
        <row r="453">
          <cell r="B453" t="str">
            <v>CIMENTO BRANCO NÃO ESTRUTURAL</v>
          </cell>
          <cell r="D453">
            <v>3.49</v>
          </cell>
        </row>
        <row r="454">
          <cell r="B454" t="str">
            <v>Cimento Portland Composto CP II-32</v>
          </cell>
          <cell r="D454">
            <v>0.76</v>
          </cell>
        </row>
        <row r="455">
          <cell r="B455" t="str">
            <v>Cimento Queimado 4,2kg Elegance - Cor: Tubarão</v>
          </cell>
          <cell r="D455">
            <v>33</v>
          </cell>
        </row>
        <row r="456">
          <cell r="B456" t="str">
            <v>Lapidação de piso com lixas diamantadas</v>
          </cell>
          <cell r="D456">
            <v>75</v>
          </cell>
        </row>
        <row r="457">
          <cell r="B457" t="str">
            <v>ENDURECEDOR MINERAL DE BASE CIMENTICIA PARA PISO DE CONCRETO</v>
          </cell>
          <cell r="D457">
            <v>9.35</v>
          </cell>
        </row>
        <row r="458">
          <cell r="B458" t="str">
            <v>Forro De Fibra Mineral Armstrong Ceilings Scala Lay-in 1250 X 625 X 16mm</v>
          </cell>
          <cell r="D458">
            <v>75.598399999999998</v>
          </cell>
        </row>
        <row r="459">
          <cell r="B459" t="str">
            <v>Cortineiro Isopor Cortina Sanca 1 Metro 15cm L X 10cm A - Branco, , COLOR Branco</v>
          </cell>
          <cell r="D459">
            <v>29.99</v>
          </cell>
        </row>
        <row r="460">
          <cell r="B460" t="str">
            <v>Esquadrias de Alumínio do duplex - fornecimento e instalação</v>
          </cell>
          <cell r="D460">
            <v>1350</v>
          </cell>
        </row>
        <row r="461">
          <cell r="B461" t="str">
            <v>Esquadrias de Alumínio, linha 25 supreme - fornecimento e instalação</v>
          </cell>
          <cell r="D461">
            <v>980</v>
          </cell>
        </row>
        <row r="462">
          <cell r="B462" t="str">
            <v>Esquadrias de Alumínio, linha 32 gold - fornecimento e instalação</v>
          </cell>
          <cell r="D462">
            <v>1350</v>
          </cell>
        </row>
        <row r="463">
          <cell r="B463" t="str">
            <v>CONTRAMARCO DE AÇO</v>
          </cell>
          <cell r="D463">
            <v>36</v>
          </cell>
        </row>
        <row r="464">
          <cell r="B464" t="str">
            <v xml:space="preserve">CONTRAMARCO DE ALUMINIO </v>
          </cell>
          <cell r="D464">
            <v>7.39</v>
          </cell>
        </row>
        <row r="465">
          <cell r="B465" t="str">
            <v>CONTRAMARCO DE ALUMINIO Pequeno</v>
          </cell>
          <cell r="D465">
            <v>65</v>
          </cell>
        </row>
        <row r="466">
          <cell r="B466" t="str">
            <v>CONTRAMARCO DE ALUMINIO grande</v>
          </cell>
          <cell r="D466">
            <v>155</v>
          </cell>
        </row>
        <row r="467">
          <cell r="B467" t="str">
            <v>Massa para Drywall 25kg</v>
          </cell>
          <cell r="D467">
            <v>5.9180000000000001</v>
          </cell>
        </row>
        <row r="468">
          <cell r="B468" t="str">
            <v xml:space="preserve">	GESSO COLA</v>
          </cell>
          <cell r="D468">
            <v>3.38</v>
          </cell>
        </row>
        <row r="469">
          <cell r="B469" t="str">
            <v xml:space="preserve">	GESSO EM PÓ PARA REVESTIMENTOS</v>
          </cell>
          <cell r="D469">
            <v>0.45</v>
          </cell>
        </row>
        <row r="470">
          <cell r="B470" t="str">
            <v xml:space="preserve">Pilar de Sustentação para pergolado em madeira </v>
          </cell>
          <cell r="D470">
            <v>382</v>
          </cell>
        </row>
        <row r="471">
          <cell r="B471" t="str">
            <v>Grama esmeralda</v>
          </cell>
          <cell r="D471">
            <v>11.1</v>
          </cell>
        </row>
        <row r="472">
          <cell r="B472" t="str">
            <v>Terra vegetal</v>
          </cell>
          <cell r="D472">
            <v>143.57</v>
          </cell>
        </row>
        <row r="473">
          <cell r="B473" t="str">
            <v>Nicho Em Porcelanato 65x35cm Carrara Cristal Borda Dupla</v>
          </cell>
          <cell r="D473">
            <v>409</v>
          </cell>
        </row>
        <row r="474">
          <cell r="B474" t="str">
            <v>Granito Branco Ceará Flameado</v>
          </cell>
          <cell r="D474">
            <v>890</v>
          </cell>
        </row>
        <row r="475">
          <cell r="B475" t="str">
            <v>Quartzo Silestone</v>
          </cell>
          <cell r="D475">
            <v>1850</v>
          </cell>
        </row>
        <row r="476">
          <cell r="B476" t="str">
            <v>Marmore Cinza</v>
          </cell>
          <cell r="D476">
            <v>480</v>
          </cell>
        </row>
        <row r="477">
          <cell r="B477" t="str">
            <v>Pedra Moledo Natural Cinza</v>
          </cell>
          <cell r="D477">
            <v>265.89999999999998</v>
          </cell>
        </row>
        <row r="478">
          <cell r="B478" t="str">
            <v>Pastilha vítrea decorada, padrão customizado, placa 30x30 cm - Jatobá / NGK Pastilhas</v>
          </cell>
          <cell r="D478">
            <v>480</v>
          </cell>
        </row>
        <row r="479">
          <cell r="B479" t="str">
            <v>Granito itaunas branco</v>
          </cell>
          <cell r="D479">
            <v>750</v>
          </cell>
        </row>
        <row r="480">
          <cell r="B480" t="str">
            <v xml:space="preserve">Granito preto são gabriel </v>
          </cell>
          <cell r="D480">
            <v>650</v>
          </cell>
        </row>
        <row r="481">
          <cell r="B481" t="str">
            <v>Marmore Preto</v>
          </cell>
          <cell r="D481">
            <v>195</v>
          </cell>
        </row>
        <row r="482">
          <cell r="B482" t="str">
            <v xml:space="preserve">Granito Comercial </v>
          </cell>
          <cell r="D482">
            <v>650</v>
          </cell>
        </row>
        <row r="483">
          <cell r="B483" t="str">
            <v>Granito branco Ceará</v>
          </cell>
          <cell r="D483">
            <v>650</v>
          </cell>
        </row>
        <row r="484">
          <cell r="B484" t="str">
            <v>Granito siena branco</v>
          </cell>
          <cell r="D484">
            <v>650</v>
          </cell>
        </row>
        <row r="485">
          <cell r="B485" t="str">
            <v>Mosaico São Tomé Para Paredes e Fachadas</v>
          </cell>
          <cell r="D485">
            <v>650</v>
          </cell>
        </row>
        <row r="486">
          <cell r="B486" t="str">
            <v>Pedra Natural  para Revestimento</v>
          </cell>
          <cell r="D486">
            <v>550</v>
          </cell>
        </row>
        <row r="487">
          <cell r="B487" t="str">
            <v>Pedra Natural moledo</v>
          </cell>
          <cell r="D487">
            <v>650</v>
          </cell>
        </row>
        <row r="488">
          <cell r="B488" t="str">
            <v>Bucha Nylon C8</v>
          </cell>
          <cell r="D488">
            <v>0.34</v>
          </cell>
        </row>
        <row r="489">
          <cell r="B489" t="str">
            <v>Bucha S-10</v>
          </cell>
          <cell r="D489">
            <v>0.6</v>
          </cell>
        </row>
        <row r="490">
          <cell r="B490" t="str">
            <v>Bucha S-8</v>
          </cell>
          <cell r="D490">
            <v>0.34</v>
          </cell>
        </row>
        <row r="491">
          <cell r="B491" t="str">
            <v>CONJUNTO ARRUELAS DE VEDACAO 5/16" PARA TELHA FIBROCIMENTO (UMA ARRUELA METALICA E UMA ARRUELA PVC - CONICAS)</v>
          </cell>
          <cell r="D491">
            <v>0.26</v>
          </cell>
        </row>
        <row r="492">
          <cell r="B492" t="str">
            <v>Parafuso Galvanizado</v>
          </cell>
          <cell r="D492">
            <v>24.95</v>
          </cell>
        </row>
        <row r="493">
          <cell r="B493" t="str">
            <v>Parafuso p/ Fixação de Tanque e Lavatório</v>
          </cell>
          <cell r="D493">
            <v>5.95</v>
          </cell>
        </row>
        <row r="494">
          <cell r="B494" t="str">
            <v>Parafuso p/ Fixação de Vaso Sanitário</v>
          </cell>
          <cell r="D494">
            <v>5.95</v>
          </cell>
        </row>
        <row r="495">
          <cell r="B495" t="str">
            <v>PARAFUSO ZINCADO ROSCA SOBERBA, CABECA SEXTAVADA, 5/16" X 250 MM, PARA FIXACAO DE TELHA EM MADEIRA</v>
          </cell>
          <cell r="D495">
            <v>4</v>
          </cell>
        </row>
        <row r="496">
          <cell r="B496" t="str">
            <v>PREGO DE ACO POLIDO COM CABECA 17 X 24 (2 1/4 X11)</v>
          </cell>
          <cell r="D496">
            <v>15.85</v>
          </cell>
        </row>
        <row r="497">
          <cell r="B497" t="str">
            <v>PREGO DE ACO POLIDO COM CABECA 15 X 15 (1 1/4 X 13)</v>
          </cell>
          <cell r="D497">
            <v>17.63</v>
          </cell>
        </row>
        <row r="498">
          <cell r="B498" t="str">
            <v>PREGO DE ACO POLIDO COM CABECA 15 X 18 (1 1/2 X 13)</v>
          </cell>
          <cell r="D498">
            <v>18.8</v>
          </cell>
        </row>
        <row r="499">
          <cell r="B499" t="str">
            <v>PREGO DE ACO POLIDO COM CABECA 16 X 24 (2 1/4 X 12)</v>
          </cell>
          <cell r="D499">
            <v>13.08</v>
          </cell>
        </row>
        <row r="500">
          <cell r="B500" t="str">
            <v>PREGO DE ACO POLIDO COM CABECA 17 X 21 (2 X 11)</v>
          </cell>
          <cell r="D500">
            <v>18.13</v>
          </cell>
        </row>
        <row r="501">
          <cell r="B501" t="str">
            <v>PREGO DE ACO POLIDO COM CABECA 17 x 27 (2 1/2 x 11)</v>
          </cell>
          <cell r="D501">
            <v>12.7</v>
          </cell>
        </row>
        <row r="502">
          <cell r="B502" t="str">
            <v>PREGO DE ACO POLIDO COM CABECA 18 X 27 (2 1/2 X 10)</v>
          </cell>
          <cell r="D502">
            <v>15.65</v>
          </cell>
        </row>
        <row r="503">
          <cell r="B503" t="str">
            <v>PREGO DE ACO POLIDO COM CABECA 19 X 36 (3 1/4 X 9)</v>
          </cell>
          <cell r="D503">
            <v>15.9</v>
          </cell>
        </row>
        <row r="504">
          <cell r="B504" t="str">
            <v>PREGO DE ACO POLIDO COM CABECA 22 X 48 (4 1/4 X 5)</v>
          </cell>
          <cell r="D504">
            <v>16.04</v>
          </cell>
        </row>
        <row r="505">
          <cell r="B505" t="str">
            <v>PREGO GALVANIZADO LISO S/CABECA 17X21 NBR 6627</v>
          </cell>
          <cell r="D505">
            <v>10.029999999999999</v>
          </cell>
        </row>
        <row r="506">
          <cell r="B506" t="str">
            <v>REBITE DE REPUXO EM ALUMINIO VAZADO, DIAMETRO 3,2 X 8 MM DE COMPRIMENTO (1KG = 1025 UNIDADES)</v>
          </cell>
          <cell r="D506">
            <v>71.510000000000005</v>
          </cell>
        </row>
        <row r="507">
          <cell r="B507" t="str">
            <v>LAJE PRE-MOLDADA CONVENCIONAL (LAJOTAS + VIGOTAS) PARA PISO, UNIDIRECIONAL, SOBRECARGA DE 200 KG/M2, VAO ATE 3,50 M (SEM COLOCACAO)</v>
          </cell>
          <cell r="D507">
            <v>59.4</v>
          </cell>
        </row>
        <row r="508">
          <cell r="B508" t="str">
            <v>Espaçador para armadura</v>
          </cell>
          <cell r="D508">
            <v>1.62</v>
          </cell>
        </row>
        <row r="509">
          <cell r="B509" t="str">
            <v>Espaçador treliçado para armadura</v>
          </cell>
          <cell r="D509">
            <v>8.92</v>
          </cell>
        </row>
        <row r="510">
          <cell r="B510" t="str">
            <v>Espeçador junta piso 2mm</v>
          </cell>
          <cell r="D510">
            <v>0.08</v>
          </cell>
        </row>
        <row r="511">
          <cell r="B511" t="str">
            <v>Espeçador junta piso 3mm</v>
          </cell>
          <cell r="D511">
            <v>0.05</v>
          </cell>
        </row>
        <row r="512">
          <cell r="B512" t="str">
            <v>Filete metálico - divisória entre pisos - aluminio escovado</v>
          </cell>
          <cell r="D512">
            <v>1904.7619047619048</v>
          </cell>
        </row>
        <row r="513">
          <cell r="B513" t="str">
            <v>Filete metálico - divisória entre pisos</v>
          </cell>
          <cell r="D513">
            <v>133.33333333333334</v>
          </cell>
        </row>
        <row r="514">
          <cell r="B514" t="str">
            <v>Espaçador Treliçado p/ armaduras 6 cm</v>
          </cell>
          <cell r="D514">
            <v>33.9</v>
          </cell>
        </row>
        <row r="515">
          <cell r="B515" t="str">
            <v>TECNOLOGIA CLEANTEC EV</v>
          </cell>
          <cell r="D515">
            <v>85.55</v>
          </cell>
        </row>
        <row r="516">
          <cell r="B516" t="str">
            <v>Rejunte Acrilico</v>
          </cell>
          <cell r="D516">
            <v>43.8</v>
          </cell>
        </row>
        <row r="517">
          <cell r="B517" t="str">
            <v>Rejunte Cimentício</v>
          </cell>
          <cell r="D517">
            <v>11.15</v>
          </cell>
        </row>
        <row r="518">
          <cell r="B518" t="str">
            <v>Black Lava Brick (Hitam)</v>
          </cell>
          <cell r="D518">
            <v>503</v>
          </cell>
        </row>
        <row r="519">
          <cell r="B519" t="str">
            <v>Estrutura Metálica para Portico</v>
          </cell>
          <cell r="D519">
            <v>880</v>
          </cell>
        </row>
        <row r="520">
          <cell r="B520" t="str">
            <v>Acabamento em ACM em tetos - Material e mão de obra</v>
          </cell>
          <cell r="D520">
            <v>986.4</v>
          </cell>
        </row>
        <row r="521">
          <cell r="B521" t="str">
            <v>Acabamento em ACM para Fachadas - Material e mão de obra</v>
          </cell>
          <cell r="D521">
            <v>1200</v>
          </cell>
        </row>
        <row r="522">
          <cell r="B522" t="str">
            <v>Painel metálico, aplicação em Fachada - Material e  Mão de Obra</v>
          </cell>
          <cell r="D522">
            <v>1200</v>
          </cell>
        </row>
        <row r="523">
          <cell r="B523" t="str">
            <v>Painel metálico perfurado, aplicação em Fachada</v>
          </cell>
          <cell r="D523">
            <v>1200</v>
          </cell>
        </row>
        <row r="524">
          <cell r="B524" t="str">
            <v>PASTILHA DE PORCELANA ATLAS 15x15 GRANEL ISLA M16112</v>
          </cell>
          <cell r="D524">
            <v>251.36</v>
          </cell>
        </row>
        <row r="525">
          <cell r="B525" t="str">
            <v>Cer. Karina Artisan 60305 Act. 60x60 Ret</v>
          </cell>
          <cell r="D525">
            <v>47.23</v>
          </cell>
        </row>
        <row r="526">
          <cell r="B526" t="str">
            <v>Piso Emborrachado Monolitico Rubber</v>
          </cell>
          <cell r="D526">
            <v>250</v>
          </cell>
        </row>
        <row r="527">
          <cell r="B527" t="str">
            <v>Piso de borracha Daud botão preto 3 x 500 x 500 mm</v>
          </cell>
          <cell r="D527">
            <v>56.675999999999995</v>
          </cell>
        </row>
        <row r="528">
          <cell r="B528" t="str">
            <v>Revestimento de piso laminado acústico, nas áreas privativas - Material e Mão de Obra</v>
          </cell>
          <cell r="D528">
            <v>177</v>
          </cell>
        </row>
        <row r="529">
          <cell r="B529" t="str">
            <v>Cerâmica Vulcano Cinza 61x61</v>
          </cell>
          <cell r="D529">
            <v>63.59</v>
          </cell>
        </row>
        <row r="530">
          <cell r="B530" t="str">
            <v>Piso elevado</v>
          </cell>
          <cell r="D530">
            <v>146.69999999999999</v>
          </cell>
        </row>
        <row r="531">
          <cell r="B531" t="str">
            <v>Porcelanato a 60x60 noir polido</v>
          </cell>
          <cell r="D531">
            <v>69.944444444444443</v>
          </cell>
        </row>
        <row r="532">
          <cell r="B532" t="str">
            <v>Piso Esmaltado 60x60 Duran Grafite 60319 Retificado</v>
          </cell>
          <cell r="D532">
            <v>75</v>
          </cell>
        </row>
        <row r="533">
          <cell r="B533" t="str">
            <v>Porcelanato Cemento Nebbia Retificado Acetinado 60x60 Biancogres</v>
          </cell>
          <cell r="D533">
            <v>62.9</v>
          </cell>
        </row>
        <row r="534">
          <cell r="B534" t="str">
            <v>Revestimento para Piscina Esmaltado Giz Borda Arredondada Bold Cinza 15x15cm Gabriella</v>
          </cell>
          <cell r="D534">
            <v>143.72999999999999</v>
          </cell>
        </row>
        <row r="535">
          <cell r="B535" t="str">
            <v>PORCELANATO 90X90 PORTOBELLO CHIARO DI VERSILIA NATURAL</v>
          </cell>
          <cell r="D535">
            <v>119.99</v>
          </cell>
        </row>
        <row r="536">
          <cell r="B536" t="str">
            <v>Porcelanato 61,1x61,1cm Cement Grigio Pure 61024 Acetinado Extra</v>
          </cell>
          <cell r="D536">
            <v>78.930000000000007</v>
          </cell>
        </row>
        <row r="537">
          <cell r="B537" t="str">
            <v>Porcenalato Interno Acetinado 90x90cm Mirage CTM Incesa</v>
          </cell>
          <cell r="D537">
            <v>143.76</v>
          </cell>
        </row>
        <row r="538">
          <cell r="B538" t="str">
            <v>Porcenalato Interno 90x90cm preto e branco</v>
          </cell>
          <cell r="D538">
            <v>135</v>
          </cell>
        </row>
        <row r="539">
          <cell r="B539" t="str">
            <v>Revestimento de Mdf em parede</v>
          </cell>
          <cell r="D539">
            <v>220</v>
          </cell>
        </row>
        <row r="540">
          <cell r="B540" t="str">
            <v>Porcelanato Eliane Revestimentos – Linha Lumina Areia 20x20</v>
          </cell>
          <cell r="D540">
            <v>115</v>
          </cell>
        </row>
        <row r="541">
          <cell r="B541" t="str">
            <v>Porcelanato Matiz Agave MT 30x90 - Eliane Revestimentos</v>
          </cell>
          <cell r="D541">
            <v>235</v>
          </cell>
        </row>
        <row r="542">
          <cell r="B542" t="str">
            <v xml:space="preserve">Porcelanato Eliane Silex 90x90 Branco Nat </v>
          </cell>
          <cell r="D542">
            <v>568</v>
          </cell>
        </row>
        <row r="543">
          <cell r="B543" t="str">
            <v xml:space="preserve">Cerâmica Tradição 23x23cm Lepri </v>
          </cell>
          <cell r="D543">
            <v>141</v>
          </cell>
        </row>
        <row r="544">
          <cell r="B544" t="str">
            <v xml:space="preserve"> Porcelanato Portobello – Coleção “Graphite Retro Geo”</v>
          </cell>
          <cell r="D544">
            <v>135</v>
          </cell>
        </row>
        <row r="545">
          <cell r="B545" t="str">
            <v>Revestimento para Parede Hexa Blue 22,8x22,8cm Ceral</v>
          </cell>
          <cell r="D545">
            <v>211</v>
          </cell>
        </row>
        <row r="546">
          <cell r="B546" t="str">
            <v>porcelanato villagers 82x141,5 retificado externo</v>
          </cell>
          <cell r="D546">
            <v>175</v>
          </cell>
        </row>
        <row r="547">
          <cell r="B547" t="str">
            <v>Piso Cerâmico Externo Granilhado Pietra 75x75cm</v>
          </cell>
          <cell r="D547">
            <v>89</v>
          </cell>
        </row>
        <row r="548">
          <cell r="B548" t="str">
            <v>Piso Cerâmico Externo Ceres Plus Pisoforte | G-Haus</v>
          </cell>
          <cell r="D548">
            <v>104</v>
          </cell>
        </row>
        <row r="549">
          <cell r="B549" t="str">
            <v>Revestimento de Piso emborrachado imitando madeira</v>
          </cell>
          <cell r="D549">
            <v>481.5</v>
          </cell>
        </row>
        <row r="550">
          <cell r="B550" t="str">
            <v>Revestimento para Azulejo Milos - Vila Sintra Azulejos</v>
          </cell>
          <cell r="D550">
            <v>474</v>
          </cell>
        </row>
        <row r="551">
          <cell r="B551" t="str">
            <v>SISTEMA MUX ARABI 100 X 100mm - com recorte</v>
          </cell>
          <cell r="D551">
            <v>1060</v>
          </cell>
        </row>
        <row r="552">
          <cell r="B552" t="str">
            <v>Arkowood K - 30x50</v>
          </cell>
          <cell r="D552">
            <v>648</v>
          </cell>
        </row>
        <row r="553">
          <cell r="B553" t="str">
            <v>Mão de obra de obra execução de arkwood</v>
          </cell>
          <cell r="D553">
            <v>300</v>
          </cell>
        </row>
        <row r="554">
          <cell r="B554" t="str">
            <v>Porcelanato Esmaltado 90x90cm Cinza Cemento Grigio Biancogres</v>
          </cell>
          <cell r="D554">
            <v>67.510000000000005</v>
          </cell>
        </row>
        <row r="555">
          <cell r="B555" t="str">
            <v>Pisos Para Academia Emborrachado Aubicon Placa 25 mm, 70x70</v>
          </cell>
          <cell r="D555">
            <v>160</v>
          </cell>
        </row>
        <row r="556">
          <cell r="B556" t="str">
            <v>Cerâmica Tradição 23x23cm esmaltado listrado</v>
          </cell>
          <cell r="D556">
            <v>145</v>
          </cell>
        </row>
        <row r="557">
          <cell r="B557" t="str">
            <v>Revestimento em Parede de Azulejo JK Solid | Estúdio Mosaico</v>
          </cell>
          <cell r="D557">
            <v>630</v>
          </cell>
        </row>
        <row r="558">
          <cell r="B558" t="str">
            <v>Pisos Para Academia Emborrachado Aubicon Placa 40 mm, 70x70</v>
          </cell>
          <cell r="D558">
            <v>200</v>
          </cell>
        </row>
        <row r="559">
          <cell r="B559" t="str">
            <v>Pisos Para Academia Emborrachado Aubicon Placa 50 mm, 90x90</v>
          </cell>
          <cell r="D559">
            <v>250</v>
          </cell>
        </row>
        <row r="560">
          <cell r="B560" t="str">
            <v>Pisos Para Academia Emborrachado Aubicon Placa 80 mm, 90x90</v>
          </cell>
          <cell r="D560">
            <v>320</v>
          </cell>
        </row>
        <row r="561">
          <cell r="B561" t="str">
            <v>Cerâmica Brilhante Metrô 31x54cm Savane</v>
          </cell>
          <cell r="D561">
            <v>72.63</v>
          </cell>
        </row>
        <row r="562">
          <cell r="B562" t="str">
            <v>Cerâmica Tradição 23x23cm verde claro</v>
          </cell>
          <cell r="D562">
            <v>110</v>
          </cell>
        </row>
        <row r="563">
          <cell r="B563" t="str">
            <v>Porcelanato fachada</v>
          </cell>
          <cell r="D563">
            <v>165</v>
          </cell>
        </row>
        <row r="564">
          <cell r="B564" t="str">
            <v>Porcelanato Natural Portinari Neutral OFW "A" 100x100cm</v>
          </cell>
          <cell r="D564">
            <v>372.9</v>
          </cell>
        </row>
        <row r="565">
          <cell r="B565" t="str">
            <v>PLACA VINILICA SEMIFLEXIVEL PARA PISOS</v>
          </cell>
          <cell r="D565">
            <v>123.38</v>
          </cell>
        </row>
        <row r="566">
          <cell r="B566" t="str">
            <v>PISO VINILICO RUFFINO SOFISTICATO 2MM - MATERIAL E MÃO DE OBRA</v>
          </cell>
          <cell r="D566">
            <v>150</v>
          </cell>
        </row>
        <row r="567">
          <cell r="B567" t="str">
            <v>PISO VINILICO LINHA AMBIENTA SERIES CEDRO  TARKETT - MATERIAL E MÃO DE OBRA</v>
          </cell>
          <cell r="D567">
            <v>240</v>
          </cell>
        </row>
        <row r="568">
          <cell r="B568" t="str">
            <v>PISO VINILICO FLAMBOYANT REGUÁ 208x1230mm TARKETT - MATERIAL E MÃO DE OBRA</v>
          </cell>
          <cell r="D568">
            <v>269.76</v>
          </cell>
        </row>
        <row r="569">
          <cell r="B569" t="str">
            <v>PISO VINILICO LUZ DO DIA LINHA VITAL 1219,2x228,6mm FINOTATTO - MATERIAL E MÃO DE OBRA</v>
          </cell>
          <cell r="D569">
            <v>161.80000000000001</v>
          </cell>
        </row>
        <row r="570">
          <cell r="B570" t="str">
            <v xml:space="preserve">Porcelanato A 30x30 </v>
          </cell>
          <cell r="D570">
            <v>75.8</v>
          </cell>
        </row>
        <row r="571">
          <cell r="B571" t="str">
            <v xml:space="preserve">Porcelanato A 30x60 Polido </v>
          </cell>
          <cell r="D571">
            <v>75.8</v>
          </cell>
        </row>
        <row r="572">
          <cell r="B572" t="str">
            <v xml:space="preserve">Porcelanato A 90x90 Polido </v>
          </cell>
          <cell r="D572">
            <v>82</v>
          </cell>
        </row>
        <row r="573">
          <cell r="B573" t="str">
            <v>Porcelanato Minimum cimento eliane A 90x90 ext</v>
          </cell>
          <cell r="D573">
            <v>178.8</v>
          </cell>
        </row>
        <row r="574">
          <cell r="B574" t="str">
            <v xml:space="preserve">Porcelanato A 90x90cm acetinado </v>
          </cell>
          <cell r="D574">
            <v>75.8</v>
          </cell>
        </row>
        <row r="575">
          <cell r="B575" t="str">
            <v>Piso de mosaico granitinho branco</v>
          </cell>
          <cell r="D575">
            <v>116.1</v>
          </cell>
        </row>
        <row r="576">
          <cell r="B576" t="str">
            <v>Piso de mosaico granitinho cinza</v>
          </cell>
          <cell r="D576">
            <v>36.96</v>
          </cell>
        </row>
        <row r="577">
          <cell r="B577" t="str">
            <v>PEDRA LISA HITMAN 10X10 PALIMANAM</v>
          </cell>
          <cell r="D577">
            <v>276</v>
          </cell>
        </row>
        <row r="578">
          <cell r="B578" t="str">
            <v>Revestimento Mate Portobello Georgian Red Tel "A" 7x26 (30x39)</v>
          </cell>
          <cell r="D578">
            <v>136.88999999999999</v>
          </cell>
        </row>
        <row r="579">
          <cell r="B579" t="str">
            <v>Revestimento Pastilha Barlavento Caribbean 14,5x14,5 cm, bold externo portobello</v>
          </cell>
          <cell r="D579">
            <v>154.88999999999999</v>
          </cell>
        </row>
        <row r="580">
          <cell r="B580" t="str">
            <v xml:space="preserve">Porcelanato A 84x84cm acetinado </v>
          </cell>
          <cell r="D580">
            <v>80</v>
          </cell>
        </row>
        <row r="581">
          <cell r="B581" t="str">
            <v>PAINEL PORCELANATO MATERIA CALCARIO AC 60X120 CM, com
aplicação de Tela de Fibra de Vidro.</v>
          </cell>
          <cell r="D581">
            <v>246.84</v>
          </cell>
        </row>
        <row r="582">
          <cell r="B582" t="str">
            <v>Porcelanato Amadeirado Acetinado 19x117cm</v>
          </cell>
          <cell r="D582">
            <v>109.89</v>
          </cell>
        </row>
        <row r="583">
          <cell r="B583" t="str">
            <v>Porcelanato Arena Cinza Bold Externo 60x60 Eliane</v>
          </cell>
          <cell r="D583">
            <v>113.22</v>
          </cell>
        </row>
        <row r="584">
          <cell r="B584" t="str">
            <v xml:space="preserve">Porcelanato A 60x60cm acetinado </v>
          </cell>
          <cell r="D584">
            <v>67.88</v>
          </cell>
        </row>
        <row r="585">
          <cell r="B585" t="str">
            <v>Porcelanato Canela Dourada Retificado Natural 20x120</v>
          </cell>
          <cell r="D585">
            <v>165</v>
          </cell>
        </row>
        <row r="586">
          <cell r="B586" t="str">
            <v>Revestimento Cerâmico de Piso Interno 58x58</v>
          </cell>
          <cell r="D586">
            <v>39.64</v>
          </cell>
        </row>
        <row r="587">
          <cell r="B587" t="str">
            <v>REVESTIMENTO CERÂMICO DE TIJOLINHO</v>
          </cell>
          <cell r="D587">
            <v>112.71</v>
          </cell>
        </row>
        <row r="588">
          <cell r="B588" t="str">
            <v>GRADE PISO ACO ASTM A36 LISO ACB. DES. PADRAO GALV A FOGO - 2,2x1,34</v>
          </cell>
          <cell r="D588">
            <v>1036.9504748982358</v>
          </cell>
        </row>
        <row r="589">
          <cell r="B589" t="str">
            <v>Porcelanato "A" 60x60 Place Polido 8058873 Eliane</v>
          </cell>
          <cell r="D589">
            <v>89.9</v>
          </cell>
        </row>
        <row r="590">
          <cell r="B590" t="str">
            <v>Porcelanato Polido Eliane Place "A" 120x120</v>
          </cell>
          <cell r="D590">
            <v>136.88999999999999</v>
          </cell>
        </row>
        <row r="591">
          <cell r="B591" t="str">
            <v>Porcelanato Polido 100x100</v>
          </cell>
          <cell r="D591">
            <v>92.916666666666671</v>
          </cell>
        </row>
        <row r="592">
          <cell r="B592" t="str">
            <v>Porcelanato Acetinado 120x120cm</v>
          </cell>
          <cell r="D592">
            <v>140</v>
          </cell>
        </row>
        <row r="593">
          <cell r="B593" t="str">
            <v>Porcelanato Superquadra Cru 60X120 Nat Ret</v>
          </cell>
          <cell r="D593">
            <v>110.5</v>
          </cell>
        </row>
        <row r="594">
          <cell r="B594" t="str">
            <v>Porcelanato Superquadra 60X120 - Portobelo</v>
          </cell>
          <cell r="D594">
            <v>110.5</v>
          </cell>
        </row>
        <row r="595">
          <cell r="B595" t="str">
            <v>Porcelanato Ártico Alpe 60X120Cm Ret. Ac. Eliane</v>
          </cell>
          <cell r="D595">
            <v>66.900000000000006</v>
          </cell>
        </row>
        <row r="596">
          <cell r="B596" t="str">
            <v>Porcelanato Onyx Unique Ret. Acetinado 120X120Cm - Portobello</v>
          </cell>
          <cell r="D596">
            <v>133.80000000000001</v>
          </cell>
        </row>
        <row r="597">
          <cell r="B597" t="str">
            <v>Porcelanato Onyx Unique Ret. Polido 120X120Cm - Portobello</v>
          </cell>
          <cell r="D597">
            <v>133.80000000000001</v>
          </cell>
        </row>
        <row r="598">
          <cell r="B598" t="str">
            <v>Porcelanato Travertino Navona Bianco 120X120Cm Ret. Natural Portobello</v>
          </cell>
          <cell r="D598">
            <v>133.80000000000001</v>
          </cell>
        </row>
        <row r="599">
          <cell r="B599" t="str">
            <v>Porcelanato Pp Pro Nude Gp 60X60Cm Retificado</v>
          </cell>
          <cell r="D599">
            <v>43.86</v>
          </cell>
        </row>
        <row r="600">
          <cell r="B600" t="str">
            <v xml:space="preserve">Porcelanato Botanique Melisse Mate Portobello 29X30Cm    </v>
          </cell>
          <cell r="D600">
            <v>83.4</v>
          </cell>
        </row>
        <row r="601">
          <cell r="B601" t="str">
            <v>Cerâmico Acetinado Imperial Mt 50X50Xcm</v>
          </cell>
          <cell r="D601">
            <v>44.9</v>
          </cell>
        </row>
        <row r="602">
          <cell r="B602" t="str">
            <v xml:space="preserve">Piso Cimenticio Tecnogran 60X60Cm Linha Lavaggio  </v>
          </cell>
          <cell r="D602">
            <v>44.9</v>
          </cell>
        </row>
        <row r="603">
          <cell r="B603" t="str">
            <v>Piso Cargo Plus 45x45cm White Eliane</v>
          </cell>
          <cell r="D603">
            <v>44.9</v>
          </cell>
        </row>
        <row r="604">
          <cell r="B604" t="str">
            <v>Revestimento de parede em porcelanato, placa 30x90cm</v>
          </cell>
          <cell r="D604">
            <v>112.22500000000001</v>
          </cell>
        </row>
        <row r="605">
          <cell r="B605" t="str">
            <v>Revestimento Pastilha 07x24cm</v>
          </cell>
          <cell r="D605">
            <v>83.95</v>
          </cell>
        </row>
        <row r="606">
          <cell r="B606" t="str">
            <v>Revestimento Pastilha 14,5x14,5cm</v>
          </cell>
          <cell r="D606">
            <v>127.9</v>
          </cell>
        </row>
        <row r="607">
          <cell r="B607" t="str">
            <v>Revestimento Pastilha 2,5x2,5cm</v>
          </cell>
          <cell r="D607">
            <v>233.37</v>
          </cell>
        </row>
        <row r="608">
          <cell r="B608" t="str">
            <v>Revestimento Pastilha 20x20cm</v>
          </cell>
          <cell r="D608">
            <v>163.66</v>
          </cell>
        </row>
        <row r="609">
          <cell r="B609" t="str">
            <v>Revestimento Pastilha 5x5cm</v>
          </cell>
          <cell r="D609">
            <v>146.44</v>
          </cell>
        </row>
        <row r="610">
          <cell r="B610" t="str">
            <v>Petit Pavé Branco Pedra Portuguesa</v>
          </cell>
          <cell r="D610">
            <v>79</v>
          </cell>
        </row>
        <row r="611">
          <cell r="B611" t="str">
            <v>Piso drenante - 45x45x5</v>
          </cell>
          <cell r="D611">
            <v>122.96296296296295</v>
          </cell>
        </row>
        <row r="612">
          <cell r="B612" t="str">
            <v>Pisos Para Academia e Crossfit Emborrachado - 50 x 50 cm</v>
          </cell>
          <cell r="D612">
            <v>138.4</v>
          </cell>
        </row>
        <row r="613">
          <cell r="B613" t="str">
            <v>Revestimento Portinari Pacific Bl Lux Bold 20x20</v>
          </cell>
          <cell r="D613">
            <v>182.45</v>
          </cell>
        </row>
        <row r="614">
          <cell r="B614" t="str">
            <v>Revestimento Ripado de Concreto</v>
          </cell>
          <cell r="D614">
            <v>280</v>
          </cell>
        </row>
        <row r="615">
          <cell r="B615" t="str">
            <v>Piso modular polipropileno (PP) antiderrapante, UV, encaixe macho-fêmea, com tratamento anti-impacto</v>
          </cell>
          <cell r="D615">
            <v>250</v>
          </cell>
        </row>
        <row r="616">
          <cell r="B616" t="str">
            <v>Revestimento Pedra Hijau Lisa 20x20 cm</v>
          </cell>
          <cell r="D616">
            <v>332.1</v>
          </cell>
        </row>
        <row r="617">
          <cell r="B617" t="str">
            <v>Porcelanato Portobello Deck Parquet D Olivier Externo "A" 81x81cm</v>
          </cell>
          <cell r="D617">
            <v>84.9</v>
          </cell>
        </row>
        <row r="618">
          <cell r="B618" t="str">
            <v>PORCELANATO DELTA 73X73 RETIFICADO ACETINADO JUA CLARO 2280-A</v>
          </cell>
          <cell r="D618">
            <v>68.900000000000006</v>
          </cell>
        </row>
        <row r="619">
          <cell r="B619" t="str">
            <v>Porcelanato Piso Retificado Embramaco 76x76cm Acetinado Nevada Mate Plus Retificado</v>
          </cell>
          <cell r="D619">
            <v>34.9</v>
          </cell>
        </row>
        <row r="620">
          <cell r="B620" t="str">
            <v>Porcelanato Pro Concrete Abs 89,5X89,5cm</v>
          </cell>
          <cell r="D620">
            <v>144.9</v>
          </cell>
        </row>
        <row r="621">
          <cell r="B621" t="str">
            <v>PORCELANATO VILLAGRES 71X71 RETIFICADO ACETINADO MONTREAL FENDI</v>
          </cell>
          <cell r="D621">
            <v>76.3</v>
          </cell>
        </row>
        <row r="622">
          <cell r="B622" t="str">
            <v>Porcelanato Biancogres Ripa Sense 45x90 Acetinado</v>
          </cell>
          <cell r="D622">
            <v>85.9</v>
          </cell>
        </row>
        <row r="623">
          <cell r="B623" t="str">
            <v>Porcelanato Marmorizado Polido Borda Reta Interno 90x90cm Avorio di Brescia Portobello</v>
          </cell>
          <cell r="D623">
            <v>202.01</v>
          </cell>
        </row>
        <row r="624">
          <cell r="B624" t="str">
            <v>Revestimento Realce 32X56 32001 Branco Brilhante</v>
          </cell>
          <cell r="D624">
            <v>47.8</v>
          </cell>
        </row>
        <row r="625">
          <cell r="B625" t="str">
            <v>PORCELANATO ELIZABETH EGEU SAND 74x74 A</v>
          </cell>
          <cell r="D625">
            <v>89.9</v>
          </cell>
        </row>
        <row r="626">
          <cell r="B626" t="str">
            <v>Porcelanato Cimentício Acetinado Borda Reta Interno 120x120cm Munari Branco Eliane</v>
          </cell>
          <cell r="D626">
            <v>183.21</v>
          </cell>
        </row>
        <row r="627">
          <cell r="B627" t="str">
            <v>Porcelanato 160X320 Cm</v>
          </cell>
          <cell r="D627">
            <v>183.21</v>
          </cell>
        </row>
        <row r="628">
          <cell r="B628" t="str">
            <v xml:space="preserve">Porcelanato Biancogres 20x120 Scala Beige-a Ret </v>
          </cell>
          <cell r="D628">
            <v>99.7</v>
          </cell>
        </row>
        <row r="629">
          <cell r="B629" t="str">
            <v>Piso Firenze Texas Gray Área Externa Classe A 60 x 60 Cm</v>
          </cell>
          <cell r="D629">
            <v>17</v>
          </cell>
        </row>
        <row r="630">
          <cell r="B630" t="str">
            <v>Piso 75x75cm Cedasa Retificado Evidence Polido</v>
          </cell>
          <cell r="D630">
            <v>143.55000000000001</v>
          </cell>
        </row>
        <row r="631">
          <cell r="B631" t="str">
            <v>Porcelanato Tipo Argila | Portobello - 120x20 cm</v>
          </cell>
          <cell r="D631">
            <v>160</v>
          </cell>
        </row>
        <row r="632">
          <cell r="B632" t="str">
            <v xml:space="preserve">Porcelanato Mont Blanc Acetinado 90X90 Eliane    </v>
          </cell>
          <cell r="D632">
            <v>107.9</v>
          </cell>
        </row>
        <row r="633">
          <cell r="B633" t="str">
            <v xml:space="preserve">Porcelanato Mont Blanc Polido 90X90 Eliane    </v>
          </cell>
          <cell r="D633">
            <v>76.349999999999994</v>
          </cell>
        </row>
        <row r="634">
          <cell r="B634" t="str">
            <v>Porcelanato ELIANE 60X60 BOLD ACETINADO BLEND PLUS GREY</v>
          </cell>
          <cell r="D634">
            <v>107.9</v>
          </cell>
        </row>
        <row r="635">
          <cell r="B635" t="str">
            <v xml:space="preserve">Revestimento em Marcenaria, incluindo chapa de 18mm, acessorios para instalação - Material e Mão de Obra </v>
          </cell>
          <cell r="D635">
            <v>613</v>
          </cell>
        </row>
        <row r="636">
          <cell r="B636" t="str">
            <v>Acessórios (cantos, terminais)</v>
          </cell>
          <cell r="D636">
            <v>7</v>
          </cell>
        </row>
        <row r="637">
          <cell r="B637" t="str">
            <v>Rodapé de PVC branco 10 cm</v>
          </cell>
          <cell r="D637">
            <v>14</v>
          </cell>
        </row>
        <row r="638">
          <cell r="B638" t="str">
            <v>Rodapé de MDF h=5cm</v>
          </cell>
          <cell r="D638">
            <v>19.25</v>
          </cell>
        </row>
        <row r="639">
          <cell r="B639" t="str">
            <v>Rodapé de MDF h=20cm</v>
          </cell>
          <cell r="D639">
            <v>77</v>
          </cell>
        </row>
        <row r="640">
          <cell r="B640" t="str">
            <v>Rodapé de Madeira h=20cm</v>
          </cell>
          <cell r="D640">
            <v>190</v>
          </cell>
        </row>
        <row r="641">
          <cell r="B641" t="str">
            <v>Rodapé Coordenado Madeira Ipê 7x240cm Artens</v>
          </cell>
          <cell r="D641">
            <v>151.68571428571428</v>
          </cell>
        </row>
        <row r="642">
          <cell r="B642" t="str">
            <v>Rodape Em Poliestireno, H = 20cm</v>
          </cell>
          <cell r="D642">
            <v>50.25</v>
          </cell>
        </row>
        <row r="643">
          <cell r="B643" t="str">
            <v>Rodape Em Poliestireno, H = 15cm</v>
          </cell>
          <cell r="D643">
            <v>28.954166666666666</v>
          </cell>
        </row>
        <row r="644">
          <cell r="B644" t="str">
            <v>Rodapé De Poliestireno Santa Luzia Moderna 473 Branco 5cm </v>
          </cell>
          <cell r="D644">
            <v>21.708333333333336</v>
          </cell>
        </row>
        <row r="645">
          <cell r="B645" t="str">
            <v>Rodape Branco Zeus - 20Cm</v>
          </cell>
          <cell r="D645">
            <v>35</v>
          </cell>
        </row>
        <row r="646">
          <cell r="B646" t="str">
            <v>Rodape Em Poliestireno, H = 10cm</v>
          </cell>
          <cell r="D646">
            <v>21.53</v>
          </cell>
        </row>
        <row r="647">
          <cell r="B647" t="str">
            <v>Rodape Em Poliestireno, H = 7cm</v>
          </cell>
          <cell r="D647">
            <v>17.0928</v>
          </cell>
        </row>
        <row r="648">
          <cell r="B648" t="str">
            <v>Rodape Em Porcelanato, H = 10cm</v>
          </cell>
          <cell r="D648">
            <v>35.555555555555557</v>
          </cell>
        </row>
        <row r="649">
          <cell r="B649" t="str">
            <v>Rodape Em Porcelanato, H = 15cm</v>
          </cell>
          <cell r="D649">
            <v>53.333333333333329</v>
          </cell>
        </row>
        <row r="650">
          <cell r="B650" t="str">
            <v>Rodape Em Porcelanato, H = 16,5cm</v>
          </cell>
          <cell r="D650">
            <v>58.666666666666664</v>
          </cell>
        </row>
        <row r="651">
          <cell r="B651" t="str">
            <v>Escavação mecânica em solo, inclusive transporte (bota-fora)</v>
          </cell>
          <cell r="D651">
            <v>70.7</v>
          </cell>
        </row>
        <row r="652">
          <cell r="B652" t="str">
            <v>Escavação e Carga Mecanizada em Corte - Desaterro Solo</v>
          </cell>
          <cell r="D652">
            <v>27.132000000000001</v>
          </cell>
        </row>
        <row r="653">
          <cell r="B653" t="str">
            <v>Escavação e Carga Mecanizada em Corte - Desaterro Rocha</v>
          </cell>
          <cell r="D653">
            <v>4.4982000000000006</v>
          </cell>
        </row>
        <row r="654">
          <cell r="B654" t="str">
            <v>Espalhamento / Umedecimento / Compactação em Material de 1ª Categoria - 95% PN - Aterro</v>
          </cell>
          <cell r="D654">
            <v>9.2718000000000007</v>
          </cell>
        </row>
        <row r="655">
          <cell r="B655" t="str">
            <v>Escavação mecanizada com retroescavadeira</v>
          </cell>
          <cell r="D655">
            <v>36.36</v>
          </cell>
        </row>
        <row r="656">
          <cell r="B656" t="str">
            <v>Serviço de Limpeza permanete de Terreno</v>
          </cell>
          <cell r="D656">
            <v>1.804</v>
          </cell>
        </row>
        <row r="657">
          <cell r="B657" t="str">
            <v>Detonação de rochas</v>
          </cell>
          <cell r="D657">
            <v>320</v>
          </cell>
        </row>
        <row r="658">
          <cell r="B658" t="str">
            <v>Diária de topógrafo</v>
          </cell>
          <cell r="D658">
            <v>1300</v>
          </cell>
        </row>
        <row r="659">
          <cell r="B659" t="str">
            <v>Serviço de Perfuração de vigas e lajes</v>
          </cell>
          <cell r="D659">
            <v>93981.530500000008</v>
          </cell>
        </row>
        <row r="660">
          <cell r="B660" t="str">
            <v>Execucao Estaca Escavada 025Cm</v>
          </cell>
          <cell r="D660">
            <v>33</v>
          </cell>
        </row>
        <row r="661">
          <cell r="B661" t="str">
            <v>Execucao Estaca Escavada 030Cm</v>
          </cell>
          <cell r="D661">
            <v>39</v>
          </cell>
        </row>
        <row r="662">
          <cell r="B662" t="str">
            <v>Execucao Estaca Escavada 040Cm</v>
          </cell>
          <cell r="D662">
            <v>52.800000000000004</v>
          </cell>
        </row>
        <row r="663">
          <cell r="B663" t="str">
            <v>Execucao Estaca Escavada 050Cm</v>
          </cell>
          <cell r="D663">
            <v>66</v>
          </cell>
        </row>
        <row r="664">
          <cell r="B664" t="str">
            <v>Execucao Estaca Escavada 060Cm</v>
          </cell>
          <cell r="D664">
            <v>79.2</v>
          </cell>
        </row>
        <row r="665">
          <cell r="B665" t="str">
            <v>Execucao Estaca Escavada 070Cm</v>
          </cell>
          <cell r="D665">
            <v>92.4</v>
          </cell>
        </row>
        <row r="666">
          <cell r="B666" t="str">
            <v>Execucao Estaca Escavada 080Cm</v>
          </cell>
          <cell r="D666">
            <v>105.60000000000001</v>
          </cell>
        </row>
        <row r="667">
          <cell r="B667" t="str">
            <v>Execucao Estaca Helice Continua Monitorada 050Cm</v>
          </cell>
          <cell r="D667">
            <v>150</v>
          </cell>
        </row>
        <row r="668">
          <cell r="B668" t="str">
            <v>Execucao Estaca Helice Continua Monitorada 060Cm</v>
          </cell>
          <cell r="D668">
            <v>180</v>
          </cell>
        </row>
        <row r="669">
          <cell r="B669" t="str">
            <v>Execucao Estaca Helice Continua 030Cm</v>
          </cell>
          <cell r="D669">
            <v>60</v>
          </cell>
        </row>
        <row r="670">
          <cell r="B670" t="str">
            <v>Execucao Estaca Helice Continua 040Cm</v>
          </cell>
          <cell r="D670">
            <v>75</v>
          </cell>
        </row>
        <row r="671">
          <cell r="B671" t="str">
            <v>Execucao Estaca Helice Continua 050Cm</v>
          </cell>
          <cell r="D671">
            <v>150</v>
          </cell>
        </row>
        <row r="672">
          <cell r="B672" t="str">
            <v>Execucao Estaca Helice Continua 060Cm</v>
          </cell>
          <cell r="D672">
            <v>180</v>
          </cell>
        </row>
        <row r="673">
          <cell r="B673" t="str">
            <v>Execucao Estaca Helice Continua 070Cm</v>
          </cell>
          <cell r="D673">
            <v>120</v>
          </cell>
        </row>
        <row r="674">
          <cell r="B674" t="str">
            <v>Execucao Estaca Helice Continua 080Cm</v>
          </cell>
          <cell r="D674">
            <v>135</v>
          </cell>
        </row>
        <row r="675">
          <cell r="B675" t="str">
            <v>Execucao Estaca Helice Continua 090Cm</v>
          </cell>
          <cell r="D675">
            <v>150</v>
          </cell>
        </row>
        <row r="676">
          <cell r="B676" t="str">
            <v>Execucao Estaca Helice Continua 100Cm</v>
          </cell>
          <cell r="D676">
            <v>166.66666666666669</v>
          </cell>
        </row>
        <row r="677">
          <cell r="B677" t="str">
            <v>Mão de obra para execução de fundação</v>
          </cell>
          <cell r="D677">
            <v>435</v>
          </cell>
        </row>
        <row r="678">
          <cell r="B678" t="str">
            <v>Mão de obra de obra execução de contenção em cortina de concreto</v>
          </cell>
          <cell r="D678">
            <v>166.34420509708741</v>
          </cell>
        </row>
        <row r="679">
          <cell r="B679" t="str">
            <v>Forro de gesso modular - material e mão de obra</v>
          </cell>
          <cell r="D679">
            <v>160</v>
          </cell>
        </row>
        <row r="680">
          <cell r="B680" t="str">
            <v>Forro de gesso acartonado - áreas secas - Material e Mão de Obra</v>
          </cell>
          <cell r="D680">
            <v>100</v>
          </cell>
        </row>
        <row r="681">
          <cell r="B681" t="str">
            <v>Forro de gesso acartonado - áreas úmidas - Material e Mão de Obra</v>
          </cell>
          <cell r="D681">
            <v>120</v>
          </cell>
        </row>
        <row r="682">
          <cell r="B682" t="str">
            <v>Forro Removível - Material e Mão de Obra</v>
          </cell>
          <cell r="D682">
            <v>219.20046110145017</v>
          </cell>
        </row>
        <row r="683">
          <cell r="B683" t="str">
            <v>Forro de gesso mineral em tetos - Material e Mão de Obra</v>
          </cell>
          <cell r="D683">
            <v>55</v>
          </cell>
        </row>
        <row r="684">
          <cell r="B684" t="str">
            <v>Forro de gesso corrido - Material e Mão de Obra</v>
          </cell>
          <cell r="D684">
            <v>60</v>
          </cell>
        </row>
        <row r="685">
          <cell r="B685" t="str">
            <v>Forro de placa cimenticia - Material e Mão de Obra</v>
          </cell>
          <cell r="D685">
            <v>275</v>
          </cell>
        </row>
        <row r="686">
          <cell r="B686" t="str">
            <v>Negativo de forro de gesso mineral</v>
          </cell>
          <cell r="D686">
            <v>35</v>
          </cell>
        </row>
        <row r="687">
          <cell r="B687" t="str">
            <v>Negativo de forro de gesso acartonado - área umida</v>
          </cell>
          <cell r="D687">
            <v>36</v>
          </cell>
        </row>
        <row r="688">
          <cell r="B688" t="str">
            <v>Negativo de forro de gesso acartonado - área seca</v>
          </cell>
          <cell r="D688">
            <v>36</v>
          </cell>
        </row>
        <row r="689">
          <cell r="B689" t="str">
            <v>Revestimento de piso carpet - Material e Mão de Obra</v>
          </cell>
          <cell r="D689">
            <v>342.63975903614454</v>
          </cell>
        </row>
        <row r="690">
          <cell r="B690" t="str">
            <v>Instalação de piso emborrachado</v>
          </cell>
          <cell r="D690">
            <v>25.5</v>
          </cell>
        </row>
        <row r="691">
          <cell r="B691" t="str">
            <v>Instalação de piso vinilico</v>
          </cell>
          <cell r="D691">
            <v>25.5</v>
          </cell>
        </row>
        <row r="692">
          <cell r="B692" t="str">
            <v>Instalação de Churrasqueiras</v>
          </cell>
          <cell r="D692">
            <v>400</v>
          </cell>
        </row>
        <row r="693">
          <cell r="B693" t="str">
            <v>Mão de obra aplicação de gesso liso em teto</v>
          </cell>
          <cell r="D693">
            <v>25</v>
          </cell>
        </row>
        <row r="694">
          <cell r="B694" t="str">
            <v>Mão de obra coberturas</v>
          </cell>
          <cell r="D694">
            <v>220</v>
          </cell>
        </row>
        <row r="695">
          <cell r="B695" t="str">
            <v>Mão de obra execução Piso drenantes</v>
          </cell>
          <cell r="D695">
            <v>25</v>
          </cell>
        </row>
        <row r="696">
          <cell r="B696" t="str">
            <v>Mão de obra de rodapé Pedra Natural</v>
          </cell>
          <cell r="D696">
            <v>22</v>
          </cell>
        </row>
        <row r="697">
          <cell r="B697" t="str">
            <v>Mão de obra de colocação de soleira em porcelanato</v>
          </cell>
          <cell r="D697">
            <v>50</v>
          </cell>
        </row>
        <row r="698">
          <cell r="B698" t="str">
            <v>Mão de obra de colocação de soleira em granito</v>
          </cell>
          <cell r="D698">
            <v>22</v>
          </cell>
        </row>
        <row r="699">
          <cell r="B699" t="str">
            <v>Mão de obra de colocação de soleira em pedra natural</v>
          </cell>
          <cell r="D699">
            <v>22</v>
          </cell>
        </row>
        <row r="700">
          <cell r="B700" t="str">
            <v>Mão de obra de enchimento de piso</v>
          </cell>
          <cell r="D700">
            <v>16.75</v>
          </cell>
        </row>
        <row r="701">
          <cell r="B701" t="str">
            <v>Mão de obra de instalação de deck de madeira</v>
          </cell>
          <cell r="D701">
            <v>210</v>
          </cell>
        </row>
        <row r="702">
          <cell r="B702" t="str">
            <v>Mão de obra de rodapé Poliestireno</v>
          </cell>
          <cell r="D702">
            <v>22</v>
          </cell>
        </row>
        <row r="703">
          <cell r="B703" t="str">
            <v>Mão de obra de rodapé Porcelanato</v>
          </cell>
          <cell r="D703">
            <v>22</v>
          </cell>
        </row>
        <row r="704">
          <cell r="B704" t="str">
            <v>Mão de obra de rodapé Madeira/MDF</v>
          </cell>
          <cell r="D704">
            <v>24.5</v>
          </cell>
        </row>
        <row r="705">
          <cell r="B705" t="str">
            <v>Mão de obra de rodapé Pedra/Granito</v>
          </cell>
          <cell r="D705">
            <v>22</v>
          </cell>
        </row>
        <row r="706">
          <cell r="B706" t="str">
            <v>Mão de obra estucamento de paredes</v>
          </cell>
          <cell r="D706">
            <v>25</v>
          </cell>
        </row>
        <row r="707">
          <cell r="B707" t="str">
            <v>Mão de obra execução de contrapiso comum e Acústico</v>
          </cell>
          <cell r="D707">
            <v>40</v>
          </cell>
        </row>
        <row r="708">
          <cell r="B708" t="str">
            <v>Mão de obra execução Piso de concreto polido</v>
          </cell>
          <cell r="D708">
            <v>40</v>
          </cell>
        </row>
        <row r="709">
          <cell r="B709" t="str">
            <v>Mão de obra execução Piso cimentado</v>
          </cell>
          <cell r="D709">
            <v>40</v>
          </cell>
        </row>
        <row r="710">
          <cell r="B710" t="str">
            <v>Mão de obra para textura em teto, 1 demão</v>
          </cell>
          <cell r="D710">
            <v>40</v>
          </cell>
        </row>
        <row r="711">
          <cell r="B711" t="str">
            <v>Mão de obra para pintura em pisos , 2 demãos</v>
          </cell>
          <cell r="D711">
            <v>41</v>
          </cell>
        </row>
        <row r="712">
          <cell r="B712" t="str">
            <v>Mão de obra para pintura em rodapés, 3 demãos</v>
          </cell>
          <cell r="D712">
            <v>55</v>
          </cell>
        </row>
        <row r="713">
          <cell r="B713" t="str">
            <v>Mão de obra para demarcação de vagas, 3 demãos</v>
          </cell>
          <cell r="D713">
            <v>20</v>
          </cell>
        </row>
        <row r="714">
          <cell r="B714" t="str">
            <v>Mão de obra para Textura em paredes internas, 1 demãos</v>
          </cell>
          <cell r="D714">
            <v>40</v>
          </cell>
        </row>
        <row r="715">
          <cell r="B715" t="str">
            <v>Mão de obra execução de estucamento em teto</v>
          </cell>
          <cell r="D715">
            <v>25</v>
          </cell>
        </row>
        <row r="716">
          <cell r="B716" t="str">
            <v>Mão de obra execução de Reboco em teto</v>
          </cell>
          <cell r="D716">
            <v>40</v>
          </cell>
        </row>
        <row r="717">
          <cell r="B717" t="str">
            <v>Revestimento cerâmico em tetos</v>
          </cell>
          <cell r="D717">
            <v>75</v>
          </cell>
        </row>
        <row r="718">
          <cell r="B718" t="str">
            <v>Mão de obra execução Piso de concreto</v>
          </cell>
          <cell r="D718">
            <v>25</v>
          </cell>
        </row>
        <row r="719">
          <cell r="B719" t="str">
            <v>Mão de obra execução regularização de Piso</v>
          </cell>
          <cell r="D719">
            <v>40</v>
          </cell>
        </row>
        <row r="720">
          <cell r="B720" t="str">
            <v>Mão de obra execução de massa para Drywall em paredes</v>
          </cell>
          <cell r="D720">
            <v>15</v>
          </cell>
        </row>
        <row r="721">
          <cell r="B721" t="str">
            <v>Mão de obra execução de massa de gesso em paredes</v>
          </cell>
          <cell r="D721">
            <v>15</v>
          </cell>
        </row>
        <row r="722">
          <cell r="B722" t="str">
            <v>Mão de obra execução de massa única em paredes interna, incluindo chapisco</v>
          </cell>
          <cell r="D722">
            <v>36</v>
          </cell>
        </row>
        <row r="723">
          <cell r="B723" t="str">
            <v>Mão de obra execução de piso elevado</v>
          </cell>
          <cell r="D723">
            <v>150</v>
          </cell>
        </row>
        <row r="724">
          <cell r="B724" t="str">
            <v>Mão de obra execução de piso Lajota</v>
          </cell>
          <cell r="D724">
            <v>80</v>
          </cell>
        </row>
        <row r="725">
          <cell r="B725" t="str">
            <v>Mão de obra para assentamento de Pedras Naturais em piso</v>
          </cell>
          <cell r="D725">
            <v>55</v>
          </cell>
        </row>
        <row r="726">
          <cell r="B726" t="str">
            <v>Mão de obra execução Piso Intertravado</v>
          </cell>
          <cell r="D726">
            <v>25</v>
          </cell>
        </row>
        <row r="727">
          <cell r="B727" t="str">
            <v>Mão de obra impermeabilização com emulsão Asfaltica</v>
          </cell>
          <cell r="D727">
            <v>28</v>
          </cell>
        </row>
        <row r="728">
          <cell r="B728" t="str">
            <v>Mão de obra impermeabilização com manta liquida em Fachadas</v>
          </cell>
          <cell r="D728">
            <v>30</v>
          </cell>
        </row>
        <row r="729">
          <cell r="B729" t="str">
            <v>Mão de obra impermeabilização com manta liquida em peitoris</v>
          </cell>
          <cell r="D729">
            <v>30</v>
          </cell>
        </row>
        <row r="730">
          <cell r="B730" t="str">
            <v>Mão de obra impermeabilização de argamassa polimérica</v>
          </cell>
          <cell r="D730">
            <v>30</v>
          </cell>
        </row>
        <row r="731">
          <cell r="B731" t="str">
            <v>Mão de obra impermeabilização com membrana de polimero</v>
          </cell>
          <cell r="D731">
            <v>30</v>
          </cell>
        </row>
        <row r="732">
          <cell r="B732" t="str">
            <v>Mão de obra impermeabilização de superfície com manta líquida</v>
          </cell>
          <cell r="D732">
            <v>30</v>
          </cell>
        </row>
        <row r="733">
          <cell r="B733" t="str">
            <v>Mão de obra impermeabilização de superfície com manta asfáltica</v>
          </cell>
          <cell r="D733">
            <v>45</v>
          </cell>
        </row>
        <row r="734">
          <cell r="B734" t="str">
            <v>Mão de obra instalação de forro de madeira</v>
          </cell>
          <cell r="D734">
            <v>150</v>
          </cell>
        </row>
        <row r="735">
          <cell r="B735" t="str">
            <v>Mão de obra instalação de Porcelanato no teto</v>
          </cell>
          <cell r="D735">
            <v>150</v>
          </cell>
        </row>
        <row r="736">
          <cell r="B736" t="str">
            <v>Mão de obra para aplicação de Pastilhas em paredes externas</v>
          </cell>
          <cell r="D736">
            <v>150</v>
          </cell>
        </row>
        <row r="737">
          <cell r="B737" t="str">
            <v>Mão de obra para execução de pedra natural em piso áreas externas</v>
          </cell>
          <cell r="D737">
            <v>150</v>
          </cell>
        </row>
        <row r="738">
          <cell r="B738" t="str">
            <v>Mão de obra para aplicação de Pedra Natural em paredes externas</v>
          </cell>
          <cell r="D738">
            <v>150</v>
          </cell>
        </row>
        <row r="739">
          <cell r="B739" t="str">
            <v>Mão de obra para aplicação de Pintura em paredes externas - 3 demãos</v>
          </cell>
          <cell r="D739">
            <v>58</v>
          </cell>
        </row>
        <row r="740">
          <cell r="B740" t="str">
            <v>Mão de obra para aplicação de Porcelanato em paredes externas</v>
          </cell>
          <cell r="D740">
            <v>190</v>
          </cell>
        </row>
        <row r="741">
          <cell r="B741" t="str">
            <v>Mão de Obra Aplicação de Revestimento Monolítico</v>
          </cell>
          <cell r="D741">
            <v>80</v>
          </cell>
        </row>
        <row r="742">
          <cell r="B742" t="str">
            <v>Mão de obra para execução de fachada ventilada</v>
          </cell>
          <cell r="D742">
            <v>175</v>
          </cell>
        </row>
        <row r="743">
          <cell r="B743" t="str">
            <v>Mão de obra para aplicação de textura em paredes externas - 1 demão</v>
          </cell>
          <cell r="D743">
            <v>58</v>
          </cell>
        </row>
        <row r="744">
          <cell r="B744" t="str">
            <v>Mão de obra para assentamento de blocos cerâmicos</v>
          </cell>
          <cell r="D744">
            <v>48</v>
          </cell>
        </row>
        <row r="745">
          <cell r="B745" t="str">
            <v>Mão de obra para assentamento de blocos concreto</v>
          </cell>
          <cell r="D745">
            <v>48</v>
          </cell>
        </row>
        <row r="746">
          <cell r="B746" t="str">
            <v>Mão de obra para assentamento de blocos concreto Estrutural</v>
          </cell>
          <cell r="D746">
            <v>48</v>
          </cell>
        </row>
        <row r="747">
          <cell r="B747" t="str">
            <v xml:space="preserve">Mão de obra para assentamento de blocos de Refratário </v>
          </cell>
          <cell r="D747">
            <v>48</v>
          </cell>
        </row>
        <row r="748">
          <cell r="B748" t="str">
            <v>Mão de obra para assentamento de blocos de silico calcarios</v>
          </cell>
          <cell r="D748">
            <v>48</v>
          </cell>
        </row>
        <row r="749">
          <cell r="B749" t="str">
            <v>Mão de obra para assentamento de Pastilhas em Piscina</v>
          </cell>
          <cell r="D749">
            <v>55</v>
          </cell>
        </row>
        <row r="750">
          <cell r="B750" t="str">
            <v>Mão de obra para assentamento de Pedras Naturais em parede</v>
          </cell>
          <cell r="D750">
            <v>55</v>
          </cell>
        </row>
        <row r="751">
          <cell r="B751" t="str">
            <v>Mão de obra para assentamento de revestimento cerâmico em parede</v>
          </cell>
          <cell r="D751">
            <v>75</v>
          </cell>
        </row>
        <row r="752">
          <cell r="B752" t="str">
            <v>Mão de obra para assentamento de requadros em portas de elevador</v>
          </cell>
          <cell r="D752">
            <v>50</v>
          </cell>
        </row>
        <row r="753">
          <cell r="B753" t="str">
            <v>Mão de obra para enchimento de EPS em piso</v>
          </cell>
          <cell r="D753">
            <v>60</v>
          </cell>
        </row>
        <row r="754">
          <cell r="B754" t="str">
            <v>Mão de obra para colocação de peitoril e pingadeira</v>
          </cell>
          <cell r="D754">
            <v>50</v>
          </cell>
        </row>
        <row r="755">
          <cell r="B755" t="str">
            <v>Mão de obra para instalação de portas de madeira</v>
          </cell>
          <cell r="D755">
            <v>300</v>
          </cell>
        </row>
        <row r="756">
          <cell r="B756" t="str">
            <v>Mão de obra para faixa de garagem em paredes internas, 1 demãos</v>
          </cell>
          <cell r="D756">
            <v>20</v>
          </cell>
        </row>
        <row r="757">
          <cell r="B757" t="str">
            <v>Mão de obra para pintura em paredes internas, 3 demãos</v>
          </cell>
          <cell r="D757">
            <v>40</v>
          </cell>
        </row>
        <row r="758">
          <cell r="B758" t="str">
            <v>Mão de obra para pintura em teto, 3 demãos</v>
          </cell>
          <cell r="D758">
            <v>40</v>
          </cell>
        </row>
        <row r="759">
          <cell r="B759" t="str">
            <v>Mão de obra para proteção mecânica</v>
          </cell>
          <cell r="D759">
            <v>35</v>
          </cell>
        </row>
        <row r="760">
          <cell r="B760" t="str">
            <v>Mao de obra para reboco externo - inclui chapisco</v>
          </cell>
          <cell r="D760">
            <v>58</v>
          </cell>
        </row>
        <row r="761">
          <cell r="B761" t="str">
            <v>MAO DE OBRA - IMPRMEABILIZAÇÃO CWS100</v>
          </cell>
          <cell r="D761">
            <v>27.4</v>
          </cell>
        </row>
        <row r="762">
          <cell r="B762" t="str">
            <v xml:space="preserve">Mão de obra para regularização de superfície </v>
          </cell>
          <cell r="D762">
            <v>20</v>
          </cell>
        </row>
        <row r="763">
          <cell r="B763" t="str">
            <v>Mão de Obra Pinturas das faixas de Pedestres</v>
          </cell>
          <cell r="D763">
            <v>20</v>
          </cell>
        </row>
        <row r="764">
          <cell r="B764" t="str">
            <v>Mão de Obra Pinturas das vias</v>
          </cell>
          <cell r="D764">
            <v>5</v>
          </cell>
        </row>
        <row r="765">
          <cell r="B765" t="str">
            <v>Mão de Obra Piso Porcenato/ Cerâmico</v>
          </cell>
          <cell r="D765">
            <v>75</v>
          </cell>
        </row>
        <row r="766">
          <cell r="B766" t="str">
            <v>Mão de obra tratamento de ralo com manta de poliéster</v>
          </cell>
          <cell r="D766">
            <v>50</v>
          </cell>
        </row>
        <row r="767">
          <cell r="B767" t="str">
            <v>Mão de obra para execução de supraestrutura de concreto armado</v>
          </cell>
          <cell r="D767">
            <v>290</v>
          </cell>
        </row>
        <row r="768">
          <cell r="B768" t="str">
            <v>Mão de Obra Polimento de piso</v>
          </cell>
          <cell r="D768">
            <v>25</v>
          </cell>
        </row>
        <row r="769">
          <cell r="B769" t="str">
            <v>Movimentação de terra para bota-fora - Escavação Vertical Terraplenagem</v>
          </cell>
          <cell r="D769">
            <v>45.45</v>
          </cell>
        </row>
        <row r="770">
          <cell r="B770" t="str">
            <v>Movimentação de terra para bota-fora - Escavação de Valas</v>
          </cell>
          <cell r="D770">
            <v>45.45</v>
          </cell>
        </row>
        <row r="771">
          <cell r="B771" t="str">
            <v>Movimentação de terra para bota-fora - Estacas</v>
          </cell>
          <cell r="D771">
            <v>68.180000000000007</v>
          </cell>
        </row>
        <row r="772">
          <cell r="B772" t="str">
            <v>Reaterro mecanizado com retroescavadeira</v>
          </cell>
          <cell r="D772">
            <v>75</v>
          </cell>
        </row>
        <row r="773">
          <cell r="B773" t="str">
            <v>Guarda Corpo de Vidro - fornecimento e instalação</v>
          </cell>
          <cell r="D773">
            <v>850</v>
          </cell>
        </row>
        <row r="774">
          <cell r="B774" t="str">
            <v>Sistema Brise Metalon com estrutura e suportes de alumínio e pintura eletrostática preta</v>
          </cell>
          <cell r="D774">
            <v>1200</v>
          </cell>
        </row>
        <row r="775">
          <cell r="B775" t="str">
            <v>Sistema Brise Sul Metais SMB30 (Cor Tabaco SM 7182)</v>
          </cell>
          <cell r="D775">
            <v>950</v>
          </cell>
        </row>
        <row r="776">
          <cell r="B776" t="str">
            <v>Sistema Gradil Sul Metais SMB30 (Cor Tabaco SM 7182)</v>
          </cell>
          <cell r="D776">
            <v>860</v>
          </cell>
        </row>
        <row r="777">
          <cell r="B777" t="str">
            <v>Corrimão Metálico Duplo - fornecimento e instalação</v>
          </cell>
          <cell r="D777">
            <v>98.79</v>
          </cell>
        </row>
        <row r="778">
          <cell r="B778" t="str">
            <v>Porta de madeira de abrir - 60x150cm (kit completo)</v>
          </cell>
          <cell r="D778">
            <v>1000</v>
          </cell>
        </row>
        <row r="779">
          <cell r="B779" t="str">
            <v>Porta de madeira de Correr - 70x210cm (kit completo)</v>
          </cell>
          <cell r="D779">
            <v>1358.5</v>
          </cell>
        </row>
        <row r="780">
          <cell r="B780" t="str">
            <v>Porta de madeira de Correr - 110x210cm (kit completo)</v>
          </cell>
          <cell r="D780">
            <v>1494.3500000000001</v>
          </cell>
        </row>
        <row r="781">
          <cell r="B781" t="str">
            <v>Porta de madeira de Correr - 120x210cm (kit completo)</v>
          </cell>
          <cell r="D781">
            <v>1494.3500000000001</v>
          </cell>
        </row>
        <row r="782">
          <cell r="B782" t="str">
            <v>Porta de madeira de Correr - 135x210cm (kit completo)</v>
          </cell>
          <cell r="D782">
            <v>1833.9750000000001</v>
          </cell>
        </row>
        <row r="783">
          <cell r="B783" t="str">
            <v>Porta de madeira de Correr - 150x210cm (kit completo)</v>
          </cell>
          <cell r="D783">
            <v>2037.75</v>
          </cell>
        </row>
        <row r="784">
          <cell r="B784" t="str">
            <v>Porta corta-fogo, 1 folha, 90x210 cm</v>
          </cell>
          <cell r="D784">
            <v>1237.5</v>
          </cell>
        </row>
        <row r="785">
          <cell r="B785" t="str">
            <v>Guarda Corpo metálico (gradil) - fornecimento e instalação</v>
          </cell>
          <cell r="D785">
            <v>600</v>
          </cell>
        </row>
        <row r="786">
          <cell r="B786" t="str">
            <v>Porta corta-fogo, 1 folha, 96x210 cm</v>
          </cell>
          <cell r="D786">
            <v>2530</v>
          </cell>
        </row>
        <row r="787">
          <cell r="B787" t="str">
            <v>Portão, 1 folha, 320x245 cm</v>
          </cell>
          <cell r="D787">
            <v>8681.8666666666668</v>
          </cell>
        </row>
        <row r="788">
          <cell r="B788" t="str">
            <v>Portão, 1 folha, 320x220 cm</v>
          </cell>
          <cell r="D788">
            <v>7795.9619047619053</v>
          </cell>
        </row>
        <row r="789">
          <cell r="B789" t="str">
            <v>Portão, 1 folha, 90x220 cm</v>
          </cell>
          <cell r="D789">
            <v>2192.6142857142859</v>
          </cell>
        </row>
        <row r="790">
          <cell r="B790" t="str">
            <v>Portão, 2 folha, 150x112 cm</v>
          </cell>
          <cell r="D790">
            <v>1860.4</v>
          </cell>
        </row>
        <row r="791">
          <cell r="B791" t="str">
            <v>Portão, 1 folha, 320x295 cm</v>
          </cell>
          <cell r="D791">
            <v>10453.67619047619</v>
          </cell>
        </row>
        <row r="792">
          <cell r="B792" t="str">
            <v>SERVICO - COLAGEM GESSO</v>
          </cell>
          <cell r="D792">
            <v>40</v>
          </cell>
        </row>
        <row r="793">
          <cell r="B793" t="str">
            <v>SERVICO - CONFECCAO SHAFT GESSO</v>
          </cell>
          <cell r="D793">
            <v>70</v>
          </cell>
        </row>
        <row r="794">
          <cell r="B794" t="str">
            <v>SERVICO - CONFECCAO FORRO MODULAR</v>
          </cell>
          <cell r="D794">
            <v>70</v>
          </cell>
        </row>
        <row r="795">
          <cell r="B795" t="str">
            <v>Serviço de Arrasamentode Estacas</v>
          </cell>
          <cell r="D795">
            <v>500</v>
          </cell>
        </row>
        <row r="796">
          <cell r="B796" t="str">
            <v>serviço de bombeamento</v>
          </cell>
          <cell r="D796">
            <v>40</v>
          </cell>
        </row>
        <row r="797">
          <cell r="B797" t="str">
            <v>serviço de bombeamento até 9º laje</v>
          </cell>
          <cell r="D797">
            <v>40</v>
          </cell>
        </row>
        <row r="798">
          <cell r="B798" t="str">
            <v>serviço de bombeamento acima da 10º laje</v>
          </cell>
          <cell r="D798">
            <v>45</v>
          </cell>
        </row>
        <row r="799">
          <cell r="B799" t="str">
            <v>Serviço de Instalação de Lajes pré-moldadas</v>
          </cell>
          <cell r="D799">
            <v>30</v>
          </cell>
        </row>
        <row r="800">
          <cell r="B800" t="str">
            <v>SERVICO EMP. - INST. PROVISORIA - CONFECCAO BAIA P/MATERIAL</v>
          </cell>
          <cell r="D800">
            <v>10.5</v>
          </cell>
        </row>
        <row r="801">
          <cell r="B801" t="str">
            <v>Serviço de fixação de contramarco de aluminio</v>
          </cell>
          <cell r="D801">
            <v>15</v>
          </cell>
        </row>
        <row r="802">
          <cell r="B802" t="str">
            <v>Serviço de fixação de contramarco de aço</v>
          </cell>
          <cell r="D802">
            <v>30</v>
          </cell>
        </row>
        <row r="803">
          <cell r="B803" t="str">
            <v>SERVICO INSTALAÇÃO BARRACAO ALMOXARIFADO</v>
          </cell>
          <cell r="D803">
            <v>50</v>
          </cell>
        </row>
        <row r="804">
          <cell r="B804" t="str">
            <v>SERVICO PAVIMENTACAO INTERNA C/INTERTRAVADO - EXECUCAO COMPLETA</v>
          </cell>
          <cell r="D804">
            <v>50</v>
          </cell>
        </row>
        <row r="805">
          <cell r="B805" t="str">
            <v>Mão de obra para instalação de portas corta-fogo</v>
          </cell>
          <cell r="D805">
            <v>300</v>
          </cell>
        </row>
        <row r="806">
          <cell r="B806" t="str">
            <v>Coralit Ultra Resistência Alto Brilho Imensidão Cinza</v>
          </cell>
          <cell r="D806">
            <v>34.719444444444441</v>
          </cell>
        </row>
        <row r="807">
          <cell r="B807" t="str">
            <v>Coralit Ultra Resistência Fosco Preto - Coral</v>
          </cell>
          <cell r="D807">
            <v>49.972222222222221</v>
          </cell>
        </row>
        <row r="808">
          <cell r="B808" t="str">
            <v>Selador acrilico opaco premium interno/externo</v>
          </cell>
          <cell r="D808">
            <v>6.47</v>
          </cell>
        </row>
        <row r="809">
          <cell r="B809" t="str">
            <v>Textura Acrílica Texturatto Premium Efeito Granulado</v>
          </cell>
          <cell r="D809">
            <v>12.78</v>
          </cell>
        </row>
        <row r="810">
          <cell r="B810" t="str">
            <v>MICROESFERAS DE VIDRO PARA SINALIZACAO HORIZONTAL VIARIA, TIPO II-A (DROP-ON) - NBR  16184</v>
          </cell>
          <cell r="D810">
            <v>40.25</v>
          </cell>
        </row>
        <row r="811">
          <cell r="B811" t="str">
            <v>MICROESFERAS DE VIDRO PARA SINALIZACAO HORIZONTAL VIARIA, TIPO I-B (PREMIX) - NBR  16184</v>
          </cell>
          <cell r="D811">
            <v>23.2</v>
          </cell>
        </row>
        <row r="812">
          <cell r="B812" t="str">
            <v>TINTA ESMALTE ACETINADO BASE SOLVENTE BRANCO NBR 15299</v>
          </cell>
          <cell r="D812">
            <v>10</v>
          </cell>
        </row>
        <row r="813">
          <cell r="B813" t="str">
            <v>TINTA LATEX ACRILICO FOSCO INT./EXT. PREMIUM PLUS BRANCO NBR 14942</v>
          </cell>
          <cell r="D813">
            <v>8.5</v>
          </cell>
        </row>
        <row r="814">
          <cell r="B814" t="str">
            <v>Tinta Esmalte Sintético Base Solvente Brilhante Pronta para Uso Amarelo 3,6L Luxens</v>
          </cell>
          <cell r="D814">
            <v>43.027777777777779</v>
          </cell>
        </row>
        <row r="815">
          <cell r="B815" t="str">
            <v>DILUENTE AGUARRAS</v>
          </cell>
          <cell r="D815">
            <v>21.99</v>
          </cell>
        </row>
        <row r="816">
          <cell r="B816" t="str">
            <v>Diluente Epoxi</v>
          </cell>
          <cell r="D816">
            <v>50.12</v>
          </cell>
        </row>
        <row r="817">
          <cell r="B817" t="str">
            <v>Primer Epoxi / Epoxidico</v>
          </cell>
          <cell r="D817">
            <v>137.24</v>
          </cell>
        </row>
        <row r="818">
          <cell r="B818" t="str">
            <v>Massa corrida para superfícies de ambientes internos</v>
          </cell>
          <cell r="D818">
            <v>4.8</v>
          </cell>
        </row>
        <row r="819">
          <cell r="B819" t="str">
            <v>Massa Plastica 400g</v>
          </cell>
          <cell r="D819">
            <v>17.329999999999998</v>
          </cell>
        </row>
        <row r="820">
          <cell r="B820" t="str">
            <v>MASSA PREMIUM PARA TEXTURA LISA DE BASE ACRILICA</v>
          </cell>
          <cell r="D820">
            <v>9.0909090909090917</v>
          </cell>
        </row>
        <row r="821">
          <cell r="B821" t="str">
            <v>Rende Muito Cinza Geada - Tinta Coral</v>
          </cell>
          <cell r="D821">
            <v>40.625</v>
          </cell>
        </row>
        <row r="822">
          <cell r="B822" t="str">
            <v>Selador Primer Ibratin - 4,2kg - 3,6L</v>
          </cell>
          <cell r="D822">
            <v>10.555555555555555</v>
          </cell>
        </row>
        <row r="823">
          <cell r="B823" t="str">
            <v>SELANTE ACRILICO PARA TRATAMENTO / ACABAMENTO SUPERFICIAL DE CONCRETO ESTAMPADO, APARENTE, PEDRAS E OUTROS</v>
          </cell>
          <cell r="D823">
            <v>25.26</v>
          </cell>
        </row>
        <row r="824">
          <cell r="B824" t="str">
            <v>Decora Efeitos Especiais Coral 2,1L - 2,1 L</v>
          </cell>
          <cell r="D824">
            <v>231.57142857142901</v>
          </cell>
        </row>
        <row r="825">
          <cell r="B825" t="str">
            <v>Revestimento monolítico acrílico (pronto)</v>
          </cell>
          <cell r="D825">
            <v>74.88000000000001</v>
          </cell>
        </row>
        <row r="826">
          <cell r="B826" t="str">
            <v>Textura Cimento Queimado 5KG Suvinil</v>
          </cell>
          <cell r="D826">
            <v>57.6</v>
          </cell>
        </row>
        <row r="827">
          <cell r="B827" t="str">
            <v>TINTA ACRILICA PREMIUM BRANCO GELO</v>
          </cell>
          <cell r="D827">
            <v>27.777777777777779</v>
          </cell>
        </row>
        <row r="828">
          <cell r="B828" t="str">
            <v>TINTA ACRILICA PREMIUM BRANCO ACETINADO</v>
          </cell>
          <cell r="D828">
            <v>36.166666666666664</v>
          </cell>
        </row>
        <row r="829">
          <cell r="B829" t="str">
            <v>TINTA ACRILICA PREMIUM ANFORA DE PRATA</v>
          </cell>
          <cell r="D829">
            <v>54.375</v>
          </cell>
        </row>
        <row r="830">
          <cell r="B830" t="str">
            <v>TINTA ACRILICA PREMIUM NEVOEIRO</v>
          </cell>
          <cell r="D830">
            <v>36.111111111111114</v>
          </cell>
        </row>
        <row r="831">
          <cell r="B831" t="str">
            <v>TINTA ACRILICA PREMIUM OURO BRANCO</v>
          </cell>
          <cell r="D831">
            <v>37.875</v>
          </cell>
        </row>
        <row r="832">
          <cell r="B832" t="str">
            <v>TINTA ACRILICA PREMIUM COR ELEFANTE</v>
          </cell>
          <cell r="D832">
            <v>36.111111111111114</v>
          </cell>
        </row>
        <row r="833">
          <cell r="B833" t="str">
            <v>TINTA ACRILICA PREMIUM COR BRANCO NEVE</v>
          </cell>
          <cell r="D833">
            <v>22.049999999999997</v>
          </cell>
        </row>
        <row r="834">
          <cell r="B834" t="str">
            <v>TINTA ACRILICA PREMIUM COR PORCELANA</v>
          </cell>
          <cell r="D834">
            <v>32.233125000000001</v>
          </cell>
        </row>
        <row r="835">
          <cell r="B835" t="str">
            <v>TINTA ACRILICA PREMIUM COR SALMÃO</v>
          </cell>
          <cell r="D835">
            <v>58.89875</v>
          </cell>
        </row>
        <row r="836">
          <cell r="B836" t="str">
            <v>TINTA ACRILICA PREMIUM COR MADEIRA ESFUMAÇADA</v>
          </cell>
          <cell r="D836">
            <v>70.478124999999991</v>
          </cell>
        </row>
        <row r="837">
          <cell r="B837" t="str">
            <v>TINTA ACRILICA PREMIUM COR BABOSA</v>
          </cell>
          <cell r="D837">
            <v>72.084374999999994</v>
          </cell>
        </row>
        <row r="838">
          <cell r="B838" t="str">
            <v>TINTA ACRILICA PREMIUM COR AREIA</v>
          </cell>
          <cell r="D838">
            <v>25.833333333333332</v>
          </cell>
        </row>
        <row r="839">
          <cell r="B839" t="str">
            <v>TINTA ACRILICA PREMIUM COR CAFÉ EXPRESSO</v>
          </cell>
          <cell r="D839">
            <v>88.262499999999989</v>
          </cell>
        </row>
        <row r="840">
          <cell r="B840" t="str">
            <v>TINTA ACRILICA PREMIUM COR ALGODÃO EGIPCIO</v>
          </cell>
          <cell r="D840">
            <v>28.833333333333332</v>
          </cell>
        </row>
        <row r="841">
          <cell r="B841" t="str">
            <v>TINTA ACRILICA PREMIUM COR PRETA</v>
          </cell>
          <cell r="D841">
            <v>69.444444444444443</v>
          </cell>
        </row>
        <row r="842">
          <cell r="B842" t="str">
            <v>TINTA ACRILICA PREMIUM COR PATATIVA</v>
          </cell>
          <cell r="D842">
            <v>62.432499999999997</v>
          </cell>
        </row>
        <row r="843">
          <cell r="B843" t="str">
            <v>TINTA ACRILICA PREMIUM COR CINZA ASFALTO</v>
          </cell>
          <cell r="D843">
            <v>38.277777777777779</v>
          </cell>
        </row>
        <row r="844">
          <cell r="B844" t="str">
            <v>SELANTE ELASTICO MONOCOMPONENTE A BASE DE POLIURETANO (PU) PARA JUNTAS DIVERSAS</v>
          </cell>
          <cell r="D844">
            <v>20.7</v>
          </cell>
        </row>
        <row r="845">
          <cell r="B845" t="str">
            <v>SELANTE ELASTICO MONOCOMPONENTE A BASE DE POLIURETANO (PU) PARA JUNTAS DIVERSAS</v>
          </cell>
          <cell r="D845">
            <v>20.7</v>
          </cell>
        </row>
        <row r="846">
          <cell r="B846" t="str">
            <v>SOLVENTE BASE THINNER P/TINTA NBR 14725</v>
          </cell>
          <cell r="D846">
            <v>16</v>
          </cell>
        </row>
        <row r="847">
          <cell r="B847" t="str">
            <v>Suvinil Texturatto Efeito Suave Textura 21kg</v>
          </cell>
          <cell r="D847">
            <v>6.666666666666667</v>
          </cell>
        </row>
        <row r="848">
          <cell r="B848" t="str">
            <v>Textura acrilica Cinza escura - Sto Brasil</v>
          </cell>
          <cell r="D848">
            <v>140</v>
          </cell>
        </row>
        <row r="849">
          <cell r="B849" t="str">
            <v>Textura acrilica branca - Coral</v>
          </cell>
          <cell r="D849">
            <v>8.3960000000000008</v>
          </cell>
        </row>
        <row r="850">
          <cell r="B850" t="str">
            <v>Textura Efeito Estrelado - Cor: Palha - 4,2kg</v>
          </cell>
          <cell r="D850">
            <v>21.19047619047619</v>
          </cell>
        </row>
        <row r="851">
          <cell r="B851" t="str">
            <v>Textura Ibratin: Effetti Branco</v>
          </cell>
          <cell r="D851">
            <v>28</v>
          </cell>
        </row>
        <row r="852">
          <cell r="B852" t="str">
            <v>TINTA ACRILICA A BASE DE SOLVENTE</v>
          </cell>
          <cell r="D852">
            <v>33.333333333333336</v>
          </cell>
        </row>
        <row r="853">
          <cell r="B853" t="str">
            <v>TINTA ACRILICA A BASE DE SOLVENTE, PARA SINALIZACAO HORIZONTAL VIARIA (NBR 11862)</v>
          </cell>
          <cell r="D853">
            <v>35.42</v>
          </cell>
        </row>
        <row r="854">
          <cell r="B854" t="str">
            <v>TINTA ACRILICA PREMIUM </v>
          </cell>
          <cell r="D854">
            <v>24.5</v>
          </cell>
        </row>
        <row r="855">
          <cell r="B855" t="str">
            <v>Tinta Epoxi Base Agua Premium</v>
          </cell>
          <cell r="D855">
            <v>81.944444444444443</v>
          </cell>
        </row>
        <row r="856">
          <cell r="B856" t="str">
            <v>Tinta Esmalte</v>
          </cell>
          <cell r="D856">
            <v>40.25</v>
          </cell>
        </row>
        <row r="857">
          <cell r="B857" t="str">
            <v>Tinta Piso</v>
          </cell>
          <cell r="D857">
            <v>20</v>
          </cell>
        </row>
        <row r="858">
          <cell r="B858" t="str">
            <v>TINTA ACRILICA PREMIUM COR AMARELA</v>
          </cell>
          <cell r="D858">
            <v>19.444444444444443</v>
          </cell>
        </row>
        <row r="859">
          <cell r="B859" t="str">
            <v>TINTA ACRILICA PREMIUM COR AZUL</v>
          </cell>
          <cell r="D859">
            <v>34.375</v>
          </cell>
        </row>
        <row r="860">
          <cell r="B860" t="str">
            <v>TINTA ACRILICA PREMIUM COR CHARCOAL</v>
          </cell>
          <cell r="D860">
            <v>55</v>
          </cell>
        </row>
        <row r="861">
          <cell r="B861" t="str">
            <v>TINTA ACRILICA PREMIUM COR DESEMPENA DE CONCRETO</v>
          </cell>
          <cell r="D861">
            <v>50</v>
          </cell>
        </row>
        <row r="862">
          <cell r="B862" t="str">
            <v>Suvinil Toque Acetinada Completo Pinhão</v>
          </cell>
          <cell r="D862">
            <v>66.21875</v>
          </cell>
        </row>
        <row r="863">
          <cell r="B863" t="str">
            <v>Suvinil Toque Acetinada Completo Sambaqui</v>
          </cell>
          <cell r="D863">
            <v>59.65625</v>
          </cell>
        </row>
        <row r="864">
          <cell r="B864" t="str">
            <v>Suvinil Toque Acetinada Completo Carvão mineral</v>
          </cell>
          <cell r="D864">
            <v>66.306250000000006</v>
          </cell>
        </row>
        <row r="865">
          <cell r="B865" t="str">
            <v>Suvinil Toque Fosco Completo Pinhão</v>
          </cell>
          <cell r="D865">
            <v>54.243749999999999</v>
          </cell>
        </row>
        <row r="866">
          <cell r="B866" t="str">
            <v>Suvinil Toque Fosco Completo Sambaqui</v>
          </cell>
          <cell r="D866">
            <v>45.618749999999999</v>
          </cell>
        </row>
        <row r="867">
          <cell r="B867" t="str">
            <v>Suvinil Toque Fosco Completo Carvão mineral</v>
          </cell>
          <cell r="D867">
            <v>55.431249999999999</v>
          </cell>
        </row>
        <row r="868">
          <cell r="B868" t="str">
            <v>Suvinil Toque Fosco Completo branco</v>
          </cell>
          <cell r="D868">
            <v>34.43888888888889</v>
          </cell>
        </row>
        <row r="869">
          <cell r="B869" t="str">
            <v>Tinta ACRÍLICO TOQUE DE SEDA ACETINADO</v>
          </cell>
          <cell r="D869">
            <v>42.772222222222219</v>
          </cell>
        </row>
        <row r="870">
          <cell r="B870" t="str">
            <v>Impermeabilizante Suviflex 18 Litros Branco Suvinil</v>
          </cell>
          <cell r="D870">
            <v>23.049999999999997</v>
          </cell>
        </row>
        <row r="871">
          <cell r="B871" t="str">
            <v>MICROESFERAS DE VIDRO PARA SINALIZACAO HORIZONTAL VIARIA, TIPO II-A (DROP-ON) - NBR  16184</v>
          </cell>
          <cell r="D871">
            <v>40.25</v>
          </cell>
        </row>
        <row r="872">
          <cell r="B872" t="str">
            <v>Cal hidratada CH-III (saco 20 kg)</v>
          </cell>
          <cell r="D872">
            <v>0.45</v>
          </cell>
        </row>
        <row r="873">
          <cell r="B873" t="str">
            <v>Textura acrílica pigmentada pronta</v>
          </cell>
          <cell r="D873">
            <v>13</v>
          </cell>
        </row>
        <row r="874">
          <cell r="B874" t="str">
            <v>Pigmento mineral (óxido de ferro / pó xadrez)</v>
          </cell>
          <cell r="D874">
            <v>18</v>
          </cell>
        </row>
        <row r="875">
          <cell r="B875" t="str">
            <v>Cola PVA (adesivo)</v>
          </cell>
          <cell r="D875">
            <v>12</v>
          </cell>
        </row>
        <row r="876">
          <cell r="B876" t="str">
            <v>MASSA TEXTURIZADA ACRÍLICA IBRATIN PADRÃO GRANELLI 898A0A MANCHESTER MÁXIMO - MARROM</v>
          </cell>
          <cell r="D876">
            <v>30</v>
          </cell>
        </row>
        <row r="877">
          <cell r="B877" t="str">
            <v xml:space="preserve"> MASSA TEXTURIZADA ACRÍLICA IBRATIN PADRÃO GRANELLI 898A0L MANCHESTER CLARO - BEGE CLARO</v>
          </cell>
          <cell r="D877">
            <v>25</v>
          </cell>
        </row>
        <row r="878">
          <cell r="B878" t="str">
            <v>MASSA TEXTURIZADA ACRÍLICA IBRATIN PADRÃO GRANELLI 898A0R MANCHESTER MÍNIMO - BEGE ESCURO</v>
          </cell>
          <cell r="D878">
            <v>26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3EED-EB7F-4187-B3B2-310D85E4FAEE}">
  <sheetPr>
    <tabColor rgb="FF00B050"/>
  </sheetPr>
  <dimension ref="A1:N43"/>
  <sheetViews>
    <sheetView showGridLines="0" zoomScale="85" zoomScaleNormal="85" workbookViewId="0">
      <selection activeCell="F10" sqref="F10"/>
    </sheetView>
  </sheetViews>
  <sheetFormatPr defaultColWidth="8.77734375" defaultRowHeight="14.4" x14ac:dyDescent="0.3"/>
  <cols>
    <col min="1" max="1" width="16.21875" customWidth="1"/>
    <col min="2" max="2" width="19.21875" customWidth="1"/>
    <col min="3" max="3" width="34.109375" customWidth="1"/>
    <col min="4" max="4" width="10.77734375" bestFit="1" customWidth="1"/>
    <col min="5" max="5" width="21.33203125" bestFit="1" customWidth="1"/>
    <col min="6" max="6" width="17.44140625" customWidth="1"/>
    <col min="7" max="8" width="12.5546875" customWidth="1"/>
    <col min="9" max="9" width="22.33203125" customWidth="1"/>
    <col min="10" max="10" width="19.77734375" hidden="1" customWidth="1"/>
    <col min="11" max="11" width="16.21875" hidden="1" customWidth="1"/>
    <col min="14" max="14" width="10.33203125" bestFit="1" customWidth="1"/>
  </cols>
  <sheetData>
    <row r="1" spans="1:14" ht="15" thickBot="1" x14ac:dyDescent="0.35">
      <c r="A1" s="71" t="s">
        <v>99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4" ht="15" customHeight="1" thickBot="1" x14ac:dyDescent="0.35">
      <c r="A2" s="4" t="s">
        <v>9</v>
      </c>
      <c r="B2" s="4" t="s">
        <v>10</v>
      </c>
      <c r="C2" s="4" t="s">
        <v>11</v>
      </c>
      <c r="D2" s="4" t="s">
        <v>12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0</v>
      </c>
      <c r="J2" s="4" t="s">
        <v>55</v>
      </c>
      <c r="K2" s="4" t="s">
        <v>56</v>
      </c>
    </row>
    <row r="3" spans="1:14" ht="15.45" customHeight="1" thickTop="1" x14ac:dyDescent="0.3">
      <c r="A3" s="1" t="s">
        <v>5</v>
      </c>
      <c r="B3" s="2" t="s">
        <v>1</v>
      </c>
      <c r="C3" s="2" t="s">
        <v>6</v>
      </c>
      <c r="D3" s="3" t="s">
        <v>7</v>
      </c>
      <c r="E3" s="2">
        <v>24432.700000000026</v>
      </c>
      <c r="F3" s="8">
        <f>SUMIF(composições!A:A,Resumo!A3,composições!H:H)</f>
        <v>144.37390099999999</v>
      </c>
      <c r="G3" s="8">
        <v>120</v>
      </c>
      <c r="H3" s="6">
        <f>SUM(F3:G3)</f>
        <v>264.37390099999999</v>
      </c>
      <c r="I3" s="7">
        <f>E3*H3</f>
        <v>6459368.2109627062</v>
      </c>
      <c r="J3" s="32">
        <v>200</v>
      </c>
      <c r="K3" s="33">
        <f>J3*E3</f>
        <v>4886540.0000000056</v>
      </c>
    </row>
    <row r="4" spans="1:14" ht="15.45" customHeight="1" x14ac:dyDescent="0.3">
      <c r="A4" s="1" t="s">
        <v>8</v>
      </c>
      <c r="B4" s="2" t="s">
        <v>2</v>
      </c>
      <c r="C4" s="2" t="s">
        <v>6</v>
      </c>
      <c r="D4" s="3" t="s">
        <v>7</v>
      </c>
      <c r="E4" s="2">
        <v>20748.200000000044</v>
      </c>
      <c r="F4" s="8">
        <f>SUMIF(composições!A:A,Resumo!A4,composições!H:H)</f>
        <v>158.989541</v>
      </c>
      <c r="G4" s="8">
        <v>120</v>
      </c>
      <c r="H4" s="6">
        <f t="shared" ref="H4:H6" si="0">SUM(F4:G4)</f>
        <v>278.98954100000003</v>
      </c>
      <c r="I4" s="7">
        <f t="shared" ref="I4:I5" si="1">E4*H4</f>
        <v>5788530.7945762128</v>
      </c>
      <c r="J4" s="32">
        <v>210</v>
      </c>
      <c r="K4" s="33">
        <f t="shared" ref="K4:K6" si="2">J4*E4</f>
        <v>4357122.0000000093</v>
      </c>
      <c r="N4" s="9"/>
    </row>
    <row r="5" spans="1:14" ht="15" customHeight="1" x14ac:dyDescent="0.3">
      <c r="A5" s="5" t="s">
        <v>13</v>
      </c>
      <c r="B5" s="2" t="s">
        <v>3</v>
      </c>
      <c r="C5" s="2" t="s">
        <v>14</v>
      </c>
      <c r="D5" s="3" t="s">
        <v>7</v>
      </c>
      <c r="E5" s="2">
        <v>35901.300000000025</v>
      </c>
      <c r="F5" s="8">
        <f>SUMIF(composições!A:A,Resumo!A5,composições!H:H)</f>
        <v>102.4394028</v>
      </c>
      <c r="G5" s="8">
        <v>120</v>
      </c>
      <c r="H5" s="6">
        <f t="shared" si="0"/>
        <v>222.43940279999998</v>
      </c>
      <c r="I5" s="7">
        <f t="shared" si="1"/>
        <v>7985863.7317436449</v>
      </c>
      <c r="J5" s="32">
        <v>170</v>
      </c>
      <c r="K5" s="33">
        <f t="shared" si="2"/>
        <v>6103221.0000000047</v>
      </c>
    </row>
    <row r="6" spans="1:14" ht="15" x14ac:dyDescent="0.3">
      <c r="A6" s="5" t="s">
        <v>15</v>
      </c>
      <c r="B6" s="2" t="s">
        <v>4</v>
      </c>
      <c r="C6" s="2" t="s">
        <v>14</v>
      </c>
      <c r="D6" s="3" t="s">
        <v>7</v>
      </c>
      <c r="E6" s="2">
        <v>12798.900000000025</v>
      </c>
      <c r="F6" s="8">
        <f>SUMIF(composições!A:A,Resumo!A6,composições!H:H)</f>
        <v>134.9279612</v>
      </c>
      <c r="G6" s="8">
        <v>120</v>
      </c>
      <c r="H6" s="6">
        <f t="shared" si="0"/>
        <v>254.9279612</v>
      </c>
      <c r="I6" s="7">
        <f>E6*H6</f>
        <v>3262797.4826026862</v>
      </c>
      <c r="J6" s="32">
        <v>200</v>
      </c>
      <c r="K6" s="33">
        <f t="shared" si="2"/>
        <v>2559780.0000000051</v>
      </c>
    </row>
    <row r="7" spans="1:14" ht="15" x14ac:dyDescent="0.3">
      <c r="A7" s="5" t="s">
        <v>57</v>
      </c>
      <c r="B7" s="2" t="s">
        <v>58</v>
      </c>
      <c r="C7" s="2" t="s">
        <v>14</v>
      </c>
      <c r="D7" s="3" t="s">
        <v>7</v>
      </c>
      <c r="E7" s="2">
        <v>10078.999999999973</v>
      </c>
      <c r="F7" s="8">
        <f>SUMIF(composições!A:A,Resumo!A7,composições!H:H)</f>
        <v>109.7472228</v>
      </c>
      <c r="G7" s="8">
        <v>120</v>
      </c>
      <c r="H7" s="6">
        <f t="shared" ref="H7" si="3">SUM(F7:G7)</f>
        <v>229.7472228</v>
      </c>
      <c r="I7" s="7">
        <f>E7*H7</f>
        <v>2315622.2586011938</v>
      </c>
      <c r="J7" s="32">
        <v>200</v>
      </c>
      <c r="K7" s="33">
        <f t="shared" ref="K7" si="4">J7*E7</f>
        <v>2015799.9999999946</v>
      </c>
    </row>
    <row r="8" spans="1:14" ht="15" customHeight="1" x14ac:dyDescent="0.3">
      <c r="A8" s="5" t="s">
        <v>61</v>
      </c>
      <c r="B8" s="2" t="s">
        <v>62</v>
      </c>
      <c r="C8" s="2" t="s">
        <v>14</v>
      </c>
      <c r="D8" s="3" t="s">
        <v>7</v>
      </c>
      <c r="E8" s="2">
        <v>4806</v>
      </c>
      <c r="F8" s="8">
        <f>SUMIF(composições!A:A,Resumo!A8,composições!H:H)</f>
        <v>238.01049566666671</v>
      </c>
      <c r="G8" s="8">
        <v>120</v>
      </c>
      <c r="H8" s="6">
        <f t="shared" ref="H8:H10" si="5">SUM(F8:G8)</f>
        <v>358.01049566666671</v>
      </c>
      <c r="I8" s="7">
        <f>E8*H8</f>
        <v>1720598.4421740002</v>
      </c>
      <c r="J8" s="32">
        <v>210</v>
      </c>
      <c r="K8" s="33">
        <f t="shared" ref="K8:K10" si="6">J8*E8</f>
        <v>1009260</v>
      </c>
    </row>
    <row r="9" spans="1:14" ht="15.45" customHeight="1" x14ac:dyDescent="0.3">
      <c r="A9" s="5" t="s">
        <v>59</v>
      </c>
      <c r="B9" s="2" t="s">
        <v>63</v>
      </c>
      <c r="C9" s="2" t="s">
        <v>64</v>
      </c>
      <c r="D9" s="3" t="s">
        <v>7</v>
      </c>
      <c r="E9" s="2">
        <v>6908.9999999999982</v>
      </c>
      <c r="F9" s="8">
        <f>SUMIF(composições!A:A,Resumo!A9,composições!H:H)</f>
        <v>94.648697999999996</v>
      </c>
      <c r="G9" s="8">
        <v>90</v>
      </c>
      <c r="H9" s="6">
        <f t="shared" si="5"/>
        <v>184.648698</v>
      </c>
      <c r="I9" s="7">
        <f>E9*H9</f>
        <v>1275737.8544819995</v>
      </c>
      <c r="J9" s="32">
        <v>170</v>
      </c>
      <c r="K9" s="33">
        <f t="shared" si="6"/>
        <v>1174529.9999999998</v>
      </c>
    </row>
    <row r="10" spans="1:14" ht="15.45" customHeight="1" x14ac:dyDescent="0.3">
      <c r="A10" s="5" t="s">
        <v>60</v>
      </c>
      <c r="B10" s="2" t="s">
        <v>65</v>
      </c>
      <c r="C10" s="2" t="s">
        <v>64</v>
      </c>
      <c r="D10" s="3" t="s">
        <v>7</v>
      </c>
      <c r="E10" s="2">
        <v>3554.8999999999951</v>
      </c>
      <c r="F10" s="8">
        <f>SUMIF(composições!A:A,Resumo!A10,composições!H:H)</f>
        <v>101.95651799999999</v>
      </c>
      <c r="G10" s="8">
        <v>90</v>
      </c>
      <c r="H10" s="6">
        <f t="shared" si="5"/>
        <v>191.95651799999999</v>
      </c>
      <c r="I10" s="7">
        <f>E10*H10</f>
        <v>682386.22583819903</v>
      </c>
      <c r="J10" s="32">
        <v>170</v>
      </c>
      <c r="K10" s="33">
        <f t="shared" si="6"/>
        <v>604332.99999999919</v>
      </c>
    </row>
    <row r="11" spans="1:14" ht="15.45" customHeight="1" thickBot="1" x14ac:dyDescent="0.35">
      <c r="K11" s="9"/>
    </row>
    <row r="12" spans="1:14" ht="16.2" thickBot="1" x14ac:dyDescent="0.35">
      <c r="H12" s="4" t="s">
        <v>0</v>
      </c>
      <c r="I12" s="7">
        <f>SUM(I3:I10)</f>
        <v>29490905.000980638</v>
      </c>
      <c r="K12" s="9">
        <f>SUM(K3:K10)</f>
        <v>22710586.000000019</v>
      </c>
    </row>
    <row r="13" spans="1:14" ht="15" thickTop="1" x14ac:dyDescent="0.3">
      <c r="K13" s="9"/>
    </row>
    <row r="14" spans="1:14" ht="15" thickBot="1" x14ac:dyDescent="0.35">
      <c r="A14" s="71" t="s">
        <v>98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</row>
    <row r="15" spans="1:14" ht="16.2" thickBot="1" x14ac:dyDescent="0.35">
      <c r="A15" s="4" t="s">
        <v>9</v>
      </c>
      <c r="B15" s="4" t="s">
        <v>10</v>
      </c>
      <c r="C15" s="4" t="s">
        <v>11</v>
      </c>
      <c r="D15" s="4" t="s">
        <v>12</v>
      </c>
      <c r="E15" s="4" t="s">
        <v>16</v>
      </c>
      <c r="F15" s="4" t="s">
        <v>17</v>
      </c>
      <c r="G15" s="4" t="s">
        <v>18</v>
      </c>
      <c r="H15" s="4" t="s">
        <v>19</v>
      </c>
      <c r="I15" s="4" t="s">
        <v>0</v>
      </c>
      <c r="J15" s="4" t="s">
        <v>55</v>
      </c>
      <c r="K15" s="4" t="s">
        <v>56</v>
      </c>
    </row>
    <row r="16" spans="1:14" ht="15.6" thickTop="1" x14ac:dyDescent="0.3">
      <c r="A16" s="45" t="s">
        <v>101</v>
      </c>
      <c r="B16" s="46" t="s">
        <v>100</v>
      </c>
      <c r="C16" s="46" t="s">
        <v>6</v>
      </c>
      <c r="D16" s="47" t="s">
        <v>7</v>
      </c>
      <c r="E16" s="46">
        <v>24432.700000000026</v>
      </c>
      <c r="F16" s="8">
        <f>SUMIF(composições!A:A,Resumo!A16,composições!H:H)</f>
        <v>121.44252399999999</v>
      </c>
      <c r="G16" s="8">
        <v>120</v>
      </c>
      <c r="H16" s="6">
        <f>SUM(F16:G16)</f>
        <v>241.44252399999999</v>
      </c>
      <c r="I16" s="7">
        <f>E16*H16</f>
        <v>5899092.7561348062</v>
      </c>
      <c r="J16" s="32">
        <v>200</v>
      </c>
      <c r="K16" s="33">
        <f>J16*E16</f>
        <v>4886540.0000000056</v>
      </c>
    </row>
    <row r="17" spans="1:11" ht="15" x14ac:dyDescent="0.3">
      <c r="A17" s="45" t="s">
        <v>110</v>
      </c>
      <c r="B17" s="46" t="s">
        <v>129</v>
      </c>
      <c r="C17" s="46" t="s">
        <v>6</v>
      </c>
      <c r="D17" s="47" t="s">
        <v>7</v>
      </c>
      <c r="E17" s="46">
        <v>20748.200000000044</v>
      </c>
      <c r="F17" s="8">
        <f>SUMIF(composições!A:A,Resumo!A17,composições!H:H)</f>
        <v>131.677684</v>
      </c>
      <c r="G17" s="8">
        <v>120</v>
      </c>
      <c r="H17" s="6">
        <f t="shared" ref="H17:H23" si="7">SUM(F17:G17)</f>
        <v>251.677684</v>
      </c>
      <c r="I17" s="7">
        <f t="shared" ref="I17:I18" si="8">E17*H17</f>
        <v>5221858.923168811</v>
      </c>
      <c r="J17" s="32">
        <v>210</v>
      </c>
      <c r="K17" s="33">
        <f t="shared" ref="K17:K23" si="9">J17*E17</f>
        <v>4357122.0000000093</v>
      </c>
    </row>
    <row r="18" spans="1:11" ht="15" x14ac:dyDescent="0.3">
      <c r="A18" s="48" t="s">
        <v>104</v>
      </c>
      <c r="B18" s="46" t="s">
        <v>109</v>
      </c>
      <c r="C18" s="46" t="s">
        <v>6</v>
      </c>
      <c r="D18" s="47" t="s">
        <v>7</v>
      </c>
      <c r="E18" s="46">
        <v>35901.300000000025</v>
      </c>
      <c r="F18" s="8">
        <f>SUMIF(composições!A:A,Resumo!A18,composições!H:H)</f>
        <v>63.177326000000015</v>
      </c>
      <c r="G18" s="8">
        <v>120</v>
      </c>
      <c r="H18" s="6">
        <f t="shared" si="7"/>
        <v>183.17732600000002</v>
      </c>
      <c r="I18" s="7">
        <f t="shared" si="8"/>
        <v>6576304.1339238053</v>
      </c>
      <c r="J18" s="32">
        <v>170</v>
      </c>
      <c r="K18" s="33">
        <f t="shared" si="9"/>
        <v>6103221.0000000047</v>
      </c>
    </row>
    <row r="19" spans="1:11" ht="15" x14ac:dyDescent="0.3">
      <c r="A19" s="48" t="s">
        <v>107</v>
      </c>
      <c r="B19" s="46" t="s">
        <v>108</v>
      </c>
      <c r="C19" s="46" t="s">
        <v>6</v>
      </c>
      <c r="D19" s="47" t="s">
        <v>7</v>
      </c>
      <c r="E19" s="46">
        <v>12798.900000000025</v>
      </c>
      <c r="F19" s="8">
        <f>SUMIF(composições!A:A,Resumo!A19,composições!H:H)</f>
        <v>77.272087999999997</v>
      </c>
      <c r="G19" s="8">
        <v>120</v>
      </c>
      <c r="H19" s="6">
        <f t="shared" si="7"/>
        <v>197.272088</v>
      </c>
      <c r="I19" s="7">
        <f>E19*H19</f>
        <v>2524865.7271032049</v>
      </c>
      <c r="J19" s="32">
        <v>200</v>
      </c>
      <c r="K19" s="33">
        <f t="shared" si="9"/>
        <v>2559780.0000000051</v>
      </c>
    </row>
    <row r="20" spans="1:11" ht="15" x14ac:dyDescent="0.3">
      <c r="A20" s="48" t="s">
        <v>114</v>
      </c>
      <c r="B20" s="46" t="s">
        <v>115</v>
      </c>
      <c r="C20" s="46" t="s">
        <v>6</v>
      </c>
      <c r="D20" s="47" t="s">
        <v>7</v>
      </c>
      <c r="E20" s="46">
        <v>10078.999999999973</v>
      </c>
      <c r="F20" s="8">
        <f>SUMIF(composições!A:A,Resumo!A20,composições!H:H)</f>
        <v>77.272087999999997</v>
      </c>
      <c r="G20" s="8">
        <v>120</v>
      </c>
      <c r="H20" s="6">
        <f t="shared" si="7"/>
        <v>197.272088</v>
      </c>
      <c r="I20" s="7">
        <f>E20*H20</f>
        <v>1988305.3749519945</v>
      </c>
      <c r="J20" s="32">
        <v>200</v>
      </c>
      <c r="K20" s="33">
        <f t="shared" si="9"/>
        <v>2015799.9999999946</v>
      </c>
    </row>
    <row r="21" spans="1:11" ht="15" x14ac:dyDescent="0.3">
      <c r="A21" s="48" t="s">
        <v>117</v>
      </c>
      <c r="B21" s="46" t="s">
        <v>127</v>
      </c>
      <c r="C21" s="46" t="s">
        <v>6</v>
      </c>
      <c r="D21" s="47" t="s">
        <v>7</v>
      </c>
      <c r="E21" s="46">
        <v>4806</v>
      </c>
      <c r="F21" s="8">
        <f>SUMIF(composições!A:A,Resumo!A21,composições!H:H)</f>
        <v>67.036928000000017</v>
      </c>
      <c r="G21" s="8">
        <v>120</v>
      </c>
      <c r="H21" s="6">
        <f t="shared" si="7"/>
        <v>187.03692800000002</v>
      </c>
      <c r="I21" s="7">
        <f>E21*H21</f>
        <v>898899.47596800013</v>
      </c>
      <c r="J21" s="32">
        <v>210</v>
      </c>
      <c r="K21" s="33">
        <f t="shared" si="9"/>
        <v>1009260</v>
      </c>
    </row>
    <row r="22" spans="1:11" ht="15" x14ac:dyDescent="0.3">
      <c r="A22" s="48" t="s">
        <v>118</v>
      </c>
      <c r="B22" s="46" t="s">
        <v>127</v>
      </c>
      <c r="C22" s="46" t="s">
        <v>6</v>
      </c>
      <c r="D22" s="47" t="s">
        <v>7</v>
      </c>
      <c r="E22" s="46">
        <v>6908.9999999999982</v>
      </c>
      <c r="F22" s="8">
        <f>SUMIF(composições!A:A,Resumo!A22,composições!H:H)</f>
        <v>67.036928000000017</v>
      </c>
      <c r="G22" s="8">
        <v>90</v>
      </c>
      <c r="H22" s="6">
        <f t="shared" si="7"/>
        <v>157.03692800000002</v>
      </c>
      <c r="I22" s="7">
        <f>E22*H22</f>
        <v>1084968.1355519998</v>
      </c>
      <c r="J22" s="32">
        <v>170</v>
      </c>
      <c r="K22" s="33">
        <f t="shared" si="9"/>
        <v>1174529.9999999998</v>
      </c>
    </row>
    <row r="23" spans="1:11" ht="15" x14ac:dyDescent="0.3">
      <c r="A23" s="48" t="s">
        <v>119</v>
      </c>
      <c r="B23" s="46" t="s">
        <v>115</v>
      </c>
      <c r="C23" s="46" t="s">
        <v>6</v>
      </c>
      <c r="D23" s="47" t="s">
        <v>7</v>
      </c>
      <c r="E23" s="46">
        <v>3554.8999999999951</v>
      </c>
      <c r="F23" s="8">
        <f>SUMIF(composições!A:A,Resumo!A23,composições!H:H)</f>
        <v>77.272087999999997</v>
      </c>
      <c r="G23" s="8">
        <v>90</v>
      </c>
      <c r="H23" s="6">
        <f t="shared" si="7"/>
        <v>167.272088</v>
      </c>
      <c r="I23" s="7">
        <f>E23*H23</f>
        <v>594635.54563119914</v>
      </c>
      <c r="J23" s="32">
        <v>170</v>
      </c>
      <c r="K23" s="33">
        <f t="shared" si="9"/>
        <v>604332.99999999919</v>
      </c>
    </row>
    <row r="25" spans="1:11" ht="15" thickBot="1" x14ac:dyDescent="0.35"/>
    <row r="26" spans="1:11" ht="16.2" thickBot="1" x14ac:dyDescent="0.35">
      <c r="H26" s="4" t="s">
        <v>0</v>
      </c>
      <c r="I26" s="7">
        <f>SUM(I16:I23)</f>
        <v>24788930.072433822</v>
      </c>
    </row>
    <row r="27" spans="1:11" ht="16.5" customHeight="1" thickTop="1" x14ac:dyDescent="0.3">
      <c r="I27" s="68">
        <f>I12-I26</f>
        <v>4701974.9285468161</v>
      </c>
    </row>
    <row r="28" spans="1:11" ht="18" x14ac:dyDescent="0.35">
      <c r="I28" s="69">
        <f>I27/I12</f>
        <v>0.15943813621150199</v>
      </c>
    </row>
    <row r="29" spans="1:11" ht="15" hidden="1" thickBot="1" x14ac:dyDescent="0.35">
      <c r="A29" s="72" t="s">
        <v>131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</row>
    <row r="30" spans="1:11" ht="16.2" hidden="1" thickBot="1" x14ac:dyDescent="0.35">
      <c r="A30" s="4" t="s">
        <v>9</v>
      </c>
      <c r="B30" s="4" t="s">
        <v>10</v>
      </c>
      <c r="C30" s="4" t="s">
        <v>11</v>
      </c>
      <c r="D30" s="4" t="s">
        <v>12</v>
      </c>
      <c r="E30" s="4" t="s">
        <v>16</v>
      </c>
      <c r="F30" s="4" t="s">
        <v>17</v>
      </c>
      <c r="G30" s="4" t="s">
        <v>18</v>
      </c>
      <c r="H30" s="4" t="s">
        <v>19</v>
      </c>
      <c r="I30" s="4" t="s">
        <v>0</v>
      </c>
      <c r="J30" s="4" t="s">
        <v>55</v>
      </c>
      <c r="K30" s="4" t="s">
        <v>56</v>
      </c>
    </row>
    <row r="31" spans="1:11" ht="15.6" hidden="1" thickTop="1" x14ac:dyDescent="0.3">
      <c r="A31" s="45" t="s">
        <v>133</v>
      </c>
      <c r="B31" s="46" t="s">
        <v>132</v>
      </c>
      <c r="C31" s="46" t="s">
        <v>6</v>
      </c>
      <c r="D31" s="47" t="s">
        <v>7</v>
      </c>
      <c r="E31" s="46">
        <v>24432.700000000026</v>
      </c>
      <c r="F31" s="8">
        <f>SUMIF(composições!A:A,Resumo!A31,composições!H:H)</f>
        <v>98.129103999999984</v>
      </c>
      <c r="G31" s="8">
        <v>120</v>
      </c>
      <c r="H31" s="6">
        <f>SUM(F31:G31)</f>
        <v>218.12910399999998</v>
      </c>
      <c r="I31" s="7">
        <f>E31*H31</f>
        <v>5329482.9593008049</v>
      </c>
      <c r="J31" s="32">
        <v>200</v>
      </c>
      <c r="K31" s="33">
        <f>J31*E31</f>
        <v>4886540.0000000056</v>
      </c>
    </row>
    <row r="32" spans="1:11" ht="15" hidden="1" x14ac:dyDescent="0.3">
      <c r="A32" s="45" t="s">
        <v>135</v>
      </c>
      <c r="B32" s="46" t="s">
        <v>129</v>
      </c>
      <c r="C32" s="46" t="s">
        <v>6</v>
      </c>
      <c r="D32" s="47" t="s">
        <v>7</v>
      </c>
      <c r="E32" s="46">
        <v>20748.200000000044</v>
      </c>
      <c r="F32" s="8">
        <f>SUMIF(composições!A:A,Resumo!A32,composições!H:H)</f>
        <v>105.436924</v>
      </c>
      <c r="G32" s="8">
        <v>120</v>
      </c>
      <c r="H32" s="6">
        <f t="shared" ref="H32:H38" si="10">SUM(F32:G32)</f>
        <v>225.436924</v>
      </c>
      <c r="I32" s="7">
        <f t="shared" ref="I32:I33" si="11">E32*H32</f>
        <v>4677410.3865368105</v>
      </c>
      <c r="J32" s="32">
        <v>210</v>
      </c>
      <c r="K32" s="33">
        <f t="shared" ref="K32:K38" si="12">J32*E32</f>
        <v>4357122.0000000093</v>
      </c>
    </row>
    <row r="33" spans="1:11" ht="15" hidden="1" x14ac:dyDescent="0.3">
      <c r="A33" s="48" t="s">
        <v>136</v>
      </c>
      <c r="B33" s="46" t="s">
        <v>109</v>
      </c>
      <c r="C33" s="46" t="s">
        <v>14</v>
      </c>
      <c r="D33" s="47" t="s">
        <v>7</v>
      </c>
      <c r="E33" s="46">
        <v>35901.300000000025</v>
      </c>
      <c r="F33" s="8">
        <f>SUMIF(composições!A:A,Resumo!A33,composições!H:H)</f>
        <v>72.749095999999994</v>
      </c>
      <c r="G33" s="8">
        <v>120</v>
      </c>
      <c r="H33" s="6">
        <f t="shared" si="10"/>
        <v>192.74909600000001</v>
      </c>
      <c r="I33" s="7">
        <f t="shared" si="11"/>
        <v>6919943.1202248046</v>
      </c>
      <c r="J33" s="32">
        <v>170</v>
      </c>
      <c r="K33" s="33">
        <f t="shared" si="12"/>
        <v>6103221.0000000047</v>
      </c>
    </row>
    <row r="34" spans="1:11" ht="15" hidden="1" x14ac:dyDescent="0.3">
      <c r="A34" s="48" t="s">
        <v>137</v>
      </c>
      <c r="B34" s="46" t="s">
        <v>108</v>
      </c>
      <c r="C34" s="46" t="s">
        <v>14</v>
      </c>
      <c r="D34" s="47" t="s">
        <v>7</v>
      </c>
      <c r="E34" s="46">
        <v>12798.900000000025</v>
      </c>
      <c r="F34" s="8">
        <f>SUMIF(composições!A:A,Resumo!A34,composições!H:H)</f>
        <v>77.272087999999997</v>
      </c>
      <c r="G34" s="8">
        <v>120</v>
      </c>
      <c r="H34" s="6">
        <f t="shared" si="10"/>
        <v>197.272088</v>
      </c>
      <c r="I34" s="7">
        <f>E34*H34</f>
        <v>2524865.7271032049</v>
      </c>
      <c r="J34" s="32">
        <v>200</v>
      </c>
      <c r="K34" s="33">
        <f t="shared" si="12"/>
        <v>2559780.0000000051</v>
      </c>
    </row>
    <row r="35" spans="1:11" ht="15" hidden="1" x14ac:dyDescent="0.3">
      <c r="A35" s="48" t="s">
        <v>138</v>
      </c>
      <c r="B35" s="46" t="s">
        <v>115</v>
      </c>
      <c r="C35" s="46" t="s">
        <v>14</v>
      </c>
      <c r="D35" s="47" t="s">
        <v>7</v>
      </c>
      <c r="E35" s="46">
        <v>10078.999999999973</v>
      </c>
      <c r="F35" s="8">
        <f>SUMIF(composições!A:A,Resumo!A35,composições!H:H)</f>
        <v>77.272087999999997</v>
      </c>
      <c r="G35" s="8">
        <v>120</v>
      </c>
      <c r="H35" s="6">
        <f t="shared" si="10"/>
        <v>197.272088</v>
      </c>
      <c r="I35" s="7">
        <f>E35*H35</f>
        <v>1988305.3749519945</v>
      </c>
      <c r="J35" s="32">
        <v>200</v>
      </c>
      <c r="K35" s="33">
        <f t="shared" si="12"/>
        <v>2015799.9999999946</v>
      </c>
    </row>
    <row r="36" spans="1:11" ht="15" hidden="1" x14ac:dyDescent="0.3">
      <c r="A36" s="48" t="s">
        <v>139</v>
      </c>
      <c r="B36" s="46" t="s">
        <v>127</v>
      </c>
      <c r="C36" s="46" t="s">
        <v>14</v>
      </c>
      <c r="D36" s="47" t="s">
        <v>7</v>
      </c>
      <c r="E36" s="46">
        <v>4806</v>
      </c>
      <c r="F36" s="8">
        <f>SUMIF(composições!A:A,Resumo!A36,composições!H:H)</f>
        <v>72.749095999999994</v>
      </c>
      <c r="G36" s="8">
        <v>120</v>
      </c>
      <c r="H36" s="6">
        <f t="shared" si="10"/>
        <v>192.74909600000001</v>
      </c>
      <c r="I36" s="7">
        <f>E36*H36</f>
        <v>926352.1553760001</v>
      </c>
      <c r="J36" s="32">
        <v>210</v>
      </c>
      <c r="K36" s="33">
        <f t="shared" si="12"/>
        <v>1009260</v>
      </c>
    </row>
    <row r="37" spans="1:11" ht="15" hidden="1" x14ac:dyDescent="0.3">
      <c r="A37" s="48" t="s">
        <v>140</v>
      </c>
      <c r="B37" s="46" t="s">
        <v>127</v>
      </c>
      <c r="C37" s="46" t="s">
        <v>64</v>
      </c>
      <c r="D37" s="47" t="s">
        <v>7</v>
      </c>
      <c r="E37" s="46">
        <v>6908.9999999999982</v>
      </c>
      <c r="F37" s="8">
        <f>SUMIF(composições!A:A,Resumo!A37,composições!H:H)</f>
        <v>76.60869799999999</v>
      </c>
      <c r="G37" s="8">
        <v>90</v>
      </c>
      <c r="H37" s="6">
        <f t="shared" si="10"/>
        <v>166.608698</v>
      </c>
      <c r="I37" s="7">
        <f>E37*H37</f>
        <v>1151099.4944819997</v>
      </c>
      <c r="J37" s="32">
        <v>170</v>
      </c>
      <c r="K37" s="33">
        <f t="shared" si="12"/>
        <v>1174529.9999999998</v>
      </c>
    </row>
    <row r="38" spans="1:11" ht="15" hidden="1" x14ac:dyDescent="0.3">
      <c r="A38" s="48" t="s">
        <v>141</v>
      </c>
      <c r="B38" s="46" t="s">
        <v>115</v>
      </c>
      <c r="C38" s="46" t="s">
        <v>64</v>
      </c>
      <c r="D38" s="47" t="s">
        <v>7</v>
      </c>
      <c r="E38" s="46">
        <v>3554.8999999999951</v>
      </c>
      <c r="F38" s="8">
        <f>SUMIF(composições!A:A,Resumo!A38,composições!H:H)</f>
        <v>62.688037999999999</v>
      </c>
      <c r="G38" s="8">
        <v>90</v>
      </c>
      <c r="H38" s="6">
        <f t="shared" si="10"/>
        <v>152.68803800000001</v>
      </c>
      <c r="I38" s="7">
        <f>E38*H38</f>
        <v>542790.70628619927</v>
      </c>
      <c r="J38" s="32">
        <v>170</v>
      </c>
      <c r="K38" s="33">
        <f t="shared" si="12"/>
        <v>604332.99999999919</v>
      </c>
    </row>
    <row r="40" spans="1:11" x14ac:dyDescent="0.3">
      <c r="I40" s="9"/>
    </row>
    <row r="41" spans="1:11" x14ac:dyDescent="0.3">
      <c r="I41" s="9"/>
    </row>
    <row r="42" spans="1:11" x14ac:dyDescent="0.3">
      <c r="I42" s="9"/>
    </row>
    <row r="43" spans="1:11" x14ac:dyDescent="0.3">
      <c r="I43" s="31"/>
    </row>
  </sheetData>
  <mergeCells count="3">
    <mergeCell ref="A14:K14"/>
    <mergeCell ref="A1:K1"/>
    <mergeCell ref="A29:K29"/>
  </mergeCells>
  <conditionalFormatting sqref="B23">
    <cfRule type="expression" dxfId="163" priority="3">
      <formula>$B23="Subetapa"</formula>
    </cfRule>
    <cfRule type="expression" dxfId="162" priority="4">
      <formula>$B23="Serviço"</formula>
    </cfRule>
  </conditionalFormatting>
  <conditionalFormatting sqref="B38">
    <cfRule type="expression" dxfId="161" priority="1">
      <formula>$B38="Subetapa"</formula>
    </cfRule>
    <cfRule type="expression" dxfId="160" priority="2">
      <formula>$B38="Serviço"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11D9-829D-43C0-8A8F-B1C3C8C92718}">
  <sheetPr>
    <tabColor rgb="FFFF0000"/>
  </sheetPr>
  <dimension ref="A1:F9"/>
  <sheetViews>
    <sheetView workbookViewId="0">
      <selection activeCell="E12" sqref="E12"/>
    </sheetView>
  </sheetViews>
  <sheetFormatPr defaultRowHeight="14.4" x14ac:dyDescent="0.3"/>
  <cols>
    <col min="1" max="1" width="17.21875" customWidth="1"/>
    <col min="2" max="2" width="22.33203125" bestFit="1" customWidth="1"/>
    <col min="3" max="3" width="24.33203125" bestFit="1" customWidth="1"/>
    <col min="4" max="4" width="24.33203125" customWidth="1"/>
    <col min="5" max="5" width="24.33203125" bestFit="1" customWidth="1"/>
    <col min="6" max="6" width="16.77734375" customWidth="1"/>
    <col min="7" max="7" width="15.6640625" customWidth="1"/>
    <col min="8" max="8" width="9.109375" bestFit="1" customWidth="1"/>
  </cols>
  <sheetData>
    <row r="1" spans="1:6" ht="15.6" x14ac:dyDescent="0.3">
      <c r="A1" s="66" t="s">
        <v>9</v>
      </c>
      <c r="B1" s="51" t="s">
        <v>149</v>
      </c>
      <c r="C1" s="51" t="s">
        <v>146</v>
      </c>
      <c r="D1" s="57" t="s">
        <v>150</v>
      </c>
      <c r="E1" s="57" t="s">
        <v>147</v>
      </c>
      <c r="F1" s="67" t="s">
        <v>148</v>
      </c>
    </row>
    <row r="2" spans="1:6" ht="15" customHeight="1" x14ac:dyDescent="0.3">
      <c r="A2" s="52" t="s">
        <v>5</v>
      </c>
      <c r="B2" s="62" t="s">
        <v>1</v>
      </c>
      <c r="C2" s="63">
        <v>133.99974099999997</v>
      </c>
      <c r="D2" s="58" t="s">
        <v>100</v>
      </c>
      <c r="E2" s="59">
        <v>109.67026399999997</v>
      </c>
      <c r="F2" s="55">
        <f>(C2-E2)/C2</f>
        <v>0.18156361212668315</v>
      </c>
    </row>
    <row r="3" spans="1:6" ht="15" x14ac:dyDescent="0.3">
      <c r="A3" s="52" t="s">
        <v>8</v>
      </c>
      <c r="B3" s="62" t="s">
        <v>2</v>
      </c>
      <c r="C3" s="63">
        <v>146.31984099999997</v>
      </c>
      <c r="D3" s="58" t="s">
        <v>129</v>
      </c>
      <c r="E3" s="59">
        <v>118.15744399999997</v>
      </c>
      <c r="F3" s="55">
        <f t="shared" ref="F3:F9" si="0">(C3-E3)/C3</f>
        <v>0.19247148443798545</v>
      </c>
    </row>
    <row r="4" spans="1:6" ht="15" x14ac:dyDescent="0.3">
      <c r="A4" s="53" t="s">
        <v>13</v>
      </c>
      <c r="B4" s="62" t="s">
        <v>3</v>
      </c>
      <c r="C4" s="63">
        <v>94.415822799999987</v>
      </c>
      <c r="D4" s="58" t="s">
        <v>109</v>
      </c>
      <c r="E4" s="59">
        <v>56.891196000000001</v>
      </c>
      <c r="F4" s="55">
        <f t="shared" si="0"/>
        <v>0.39744002315679644</v>
      </c>
    </row>
    <row r="5" spans="1:6" ht="15" x14ac:dyDescent="0.3">
      <c r="A5" s="53" t="s">
        <v>15</v>
      </c>
      <c r="B5" s="62" t="s">
        <v>4</v>
      </c>
      <c r="C5" s="63">
        <v>125.75661119999998</v>
      </c>
      <c r="D5" s="58" t="s">
        <v>108</v>
      </c>
      <c r="E5" s="59">
        <v>69.237977999999984</v>
      </c>
      <c r="F5" s="55">
        <f t="shared" si="0"/>
        <v>0.44942872315566978</v>
      </c>
    </row>
    <row r="6" spans="1:6" ht="15" x14ac:dyDescent="0.3">
      <c r="A6" s="53" t="s">
        <v>57</v>
      </c>
      <c r="B6" s="62" t="s">
        <v>58</v>
      </c>
      <c r="C6" s="63">
        <v>100.57587279999998</v>
      </c>
      <c r="D6" s="58" t="s">
        <v>115</v>
      </c>
      <c r="E6" s="59">
        <v>69.237977999999984</v>
      </c>
      <c r="F6" s="55">
        <f t="shared" si="0"/>
        <v>0.31158461694204664</v>
      </c>
    </row>
    <row r="7" spans="1:6" ht="15" x14ac:dyDescent="0.3">
      <c r="A7" s="53" t="s">
        <v>61</v>
      </c>
      <c r="B7" s="62" t="s">
        <v>62</v>
      </c>
      <c r="C7" s="63">
        <v>229.98691566666668</v>
      </c>
      <c r="D7" s="58" t="s">
        <v>127</v>
      </c>
      <c r="E7" s="59">
        <v>60.75079800000001</v>
      </c>
      <c r="F7" s="55">
        <f t="shared" si="0"/>
        <v>0.73585106864057581</v>
      </c>
    </row>
    <row r="8" spans="1:6" ht="15" x14ac:dyDescent="0.3">
      <c r="A8" s="53" t="s">
        <v>59</v>
      </c>
      <c r="B8" s="62" t="s">
        <v>63</v>
      </c>
      <c r="C8" s="63">
        <v>82.906384666666668</v>
      </c>
      <c r="D8" s="58" t="s">
        <v>127</v>
      </c>
      <c r="E8" s="59">
        <v>60.75079800000001</v>
      </c>
      <c r="F8" s="55">
        <f t="shared" si="0"/>
        <v>0.26723619363870937</v>
      </c>
    </row>
    <row r="9" spans="1:6" ht="15.6" thickBot="1" x14ac:dyDescent="0.35">
      <c r="A9" s="54" t="s">
        <v>60</v>
      </c>
      <c r="B9" s="64" t="s">
        <v>65</v>
      </c>
      <c r="C9" s="65">
        <v>89.066434666666652</v>
      </c>
      <c r="D9" s="60" t="s">
        <v>115</v>
      </c>
      <c r="E9" s="61">
        <v>69.237977999999984</v>
      </c>
      <c r="F9" s="56">
        <f t="shared" si="0"/>
        <v>0.22262546761723606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C60F-D70E-4E56-81FC-57EA368CA10F}">
  <dimension ref="A1:I310"/>
  <sheetViews>
    <sheetView tabSelected="1" topLeftCell="E1" zoomScale="80" zoomScaleNormal="80" workbookViewId="0">
      <selection activeCell="K136" sqref="K136"/>
    </sheetView>
  </sheetViews>
  <sheetFormatPr defaultRowHeight="14.4" outlineLevelRow="1" x14ac:dyDescent="0.3"/>
  <cols>
    <col min="1" max="1" width="15.109375" customWidth="1"/>
    <col min="3" max="3" width="34.6640625" customWidth="1"/>
    <col min="4" max="4" width="83" customWidth="1"/>
    <col min="5" max="5" width="5.44140625" customWidth="1"/>
    <col min="7" max="7" width="9.33203125" bestFit="1" customWidth="1"/>
    <col min="8" max="8" width="9.109375" bestFit="1" customWidth="1"/>
  </cols>
  <sheetData>
    <row r="1" spans="1:9" ht="15" thickBot="1" x14ac:dyDescent="0.35">
      <c r="A1" s="11" t="s">
        <v>48</v>
      </c>
      <c r="B1" s="11" t="s">
        <v>38</v>
      </c>
      <c r="C1" s="11" t="s">
        <v>39</v>
      </c>
      <c r="D1" s="11" t="s">
        <v>39</v>
      </c>
      <c r="E1" s="11" t="s">
        <v>40</v>
      </c>
      <c r="F1" s="11" t="s">
        <v>41</v>
      </c>
      <c r="G1" s="11" t="s">
        <v>42</v>
      </c>
      <c r="H1" s="11" t="s">
        <v>43</v>
      </c>
      <c r="I1" s="10"/>
    </row>
    <row r="2" spans="1:9" ht="19.8" thickBot="1" x14ac:dyDescent="0.35">
      <c r="A2" s="5" t="s">
        <v>15</v>
      </c>
      <c r="B2" s="21" t="s">
        <v>20</v>
      </c>
      <c r="C2" s="21" t="s">
        <v>21</v>
      </c>
      <c r="D2" s="30" t="s">
        <v>21</v>
      </c>
      <c r="E2" s="20" t="s">
        <v>22</v>
      </c>
      <c r="F2" s="20"/>
      <c r="G2" s="22" t="s">
        <v>34</v>
      </c>
      <c r="H2" s="23">
        <f>SUM(H3:H16)</f>
        <v>134.9279612</v>
      </c>
      <c r="I2" s="49" t="s">
        <v>153</v>
      </c>
    </row>
    <row r="3" spans="1:9" hidden="1" outlineLevel="1" x14ac:dyDescent="0.3">
      <c r="A3" s="12"/>
      <c r="B3" s="13" t="s">
        <v>23</v>
      </c>
      <c r="C3" s="13" t="s">
        <v>21</v>
      </c>
      <c r="D3" s="13" t="s">
        <v>24</v>
      </c>
      <c r="E3" s="13" t="s">
        <v>22</v>
      </c>
      <c r="F3" s="13">
        <v>1.0529999999999999</v>
      </c>
      <c r="G3" s="27">
        <v>20.16</v>
      </c>
      <c r="H3" s="15">
        <f>G3*F3</f>
        <v>21.228479999999998</v>
      </c>
    </row>
    <row r="4" spans="1:9" hidden="1" outlineLevel="1" x14ac:dyDescent="0.3">
      <c r="A4" s="12"/>
      <c r="B4" s="13" t="s">
        <v>23</v>
      </c>
      <c r="C4" s="13" t="s">
        <v>21</v>
      </c>
      <c r="D4" s="13" t="s">
        <v>25</v>
      </c>
      <c r="E4" s="13" t="s">
        <v>22</v>
      </c>
      <c r="F4" s="13">
        <v>1.0529999999999999</v>
      </c>
      <c r="G4" s="27">
        <v>27.1</v>
      </c>
      <c r="H4" s="15">
        <f t="shared" ref="H4:H16" si="0">G4*F4</f>
        <v>28.536300000000001</v>
      </c>
    </row>
    <row r="5" spans="1:9" hidden="1" outlineLevel="1" x14ac:dyDescent="0.3">
      <c r="A5" s="12"/>
      <c r="B5" s="13" t="s">
        <v>23</v>
      </c>
      <c r="C5" s="13" t="s">
        <v>21</v>
      </c>
      <c r="D5" s="13" t="s">
        <v>26</v>
      </c>
      <c r="E5" s="13" t="s">
        <v>35</v>
      </c>
      <c r="F5" s="13">
        <v>2.48</v>
      </c>
      <c r="G5" s="14">
        <v>0.504</v>
      </c>
      <c r="H5" s="15">
        <f t="shared" si="0"/>
        <v>1.2499199999999999</v>
      </c>
    </row>
    <row r="6" spans="1:9" hidden="1" outlineLevel="1" x14ac:dyDescent="0.3">
      <c r="A6" s="12"/>
      <c r="B6" s="13" t="s">
        <v>23</v>
      </c>
      <c r="C6" s="13" t="s">
        <v>21</v>
      </c>
      <c r="D6" s="13" t="s">
        <v>27</v>
      </c>
      <c r="E6" s="13" t="s">
        <v>36</v>
      </c>
      <c r="F6" s="13">
        <v>0.76239999999999997</v>
      </c>
      <c r="G6" s="27">
        <v>8.64</v>
      </c>
      <c r="H6" s="15">
        <f t="shared" si="0"/>
        <v>6.5871360000000001</v>
      </c>
    </row>
    <row r="7" spans="1:9" hidden="1" outlineLevel="1" x14ac:dyDescent="0.3">
      <c r="A7" s="12"/>
      <c r="B7" s="13" t="s">
        <v>23</v>
      </c>
      <c r="C7" s="13" t="s">
        <v>21</v>
      </c>
      <c r="D7" s="24" t="s">
        <v>94</v>
      </c>
      <c r="E7" s="13" t="s">
        <v>36</v>
      </c>
      <c r="F7" s="24">
        <f>0.7624*1.2</f>
        <v>0.91487999999999992</v>
      </c>
      <c r="G7" s="27">
        <v>8.64</v>
      </c>
      <c r="H7" s="15">
        <f t="shared" ref="H7" si="1">G7*F7</f>
        <v>7.9045632000000001</v>
      </c>
    </row>
    <row r="8" spans="1:9" hidden="1" outlineLevel="1" x14ac:dyDescent="0.3">
      <c r="A8" s="12"/>
      <c r="B8" s="13" t="s">
        <v>23</v>
      </c>
      <c r="C8" s="13" t="s">
        <v>21</v>
      </c>
      <c r="D8" s="24" t="s">
        <v>44</v>
      </c>
      <c r="E8" s="13" t="s">
        <v>36</v>
      </c>
      <c r="F8" s="24">
        <f>2.0006*2</f>
        <v>4.0011999999999999</v>
      </c>
      <c r="G8" s="27">
        <v>10.79</v>
      </c>
      <c r="H8" s="15">
        <f t="shared" si="0"/>
        <v>43.172947999999998</v>
      </c>
    </row>
    <row r="9" spans="1:9" hidden="1" outlineLevel="1" x14ac:dyDescent="0.3">
      <c r="A9" s="12"/>
      <c r="B9" s="13" t="s">
        <v>23</v>
      </c>
      <c r="C9" s="13" t="s">
        <v>21</v>
      </c>
      <c r="D9" s="13" t="s">
        <v>28</v>
      </c>
      <c r="E9" s="13" t="s">
        <v>37</v>
      </c>
      <c r="F9" s="13">
        <v>0.54890000000000005</v>
      </c>
      <c r="G9" s="14">
        <v>3.43</v>
      </c>
      <c r="H9" s="15">
        <f t="shared" si="0"/>
        <v>1.8827270000000003</v>
      </c>
    </row>
    <row r="10" spans="1:9" hidden="1" outlineLevel="1" x14ac:dyDescent="0.3">
      <c r="A10" s="12"/>
      <c r="B10" s="13" t="s">
        <v>23</v>
      </c>
      <c r="C10" s="13" t="s">
        <v>21</v>
      </c>
      <c r="D10" s="13" t="s">
        <v>29</v>
      </c>
      <c r="E10" s="13" t="s">
        <v>36</v>
      </c>
      <c r="F10" s="13">
        <v>1.2513000000000001</v>
      </c>
      <c r="G10" s="14">
        <v>0.31</v>
      </c>
      <c r="H10" s="15">
        <f t="shared" si="0"/>
        <v>0.387903</v>
      </c>
    </row>
    <row r="11" spans="1:9" hidden="1" outlineLevel="1" x14ac:dyDescent="0.3">
      <c r="A11" s="12"/>
      <c r="B11" s="13" t="s">
        <v>23</v>
      </c>
      <c r="C11" s="13" t="s">
        <v>21</v>
      </c>
      <c r="D11" s="13" t="s">
        <v>30</v>
      </c>
      <c r="E11" s="13" t="s">
        <v>36</v>
      </c>
      <c r="F11" s="13">
        <v>0.74070000000000003</v>
      </c>
      <c r="G11" s="14">
        <v>2.74</v>
      </c>
      <c r="H11" s="15">
        <f t="shared" si="0"/>
        <v>2.0295180000000004</v>
      </c>
    </row>
    <row r="12" spans="1:9" hidden="1" outlineLevel="1" x14ac:dyDescent="0.3">
      <c r="A12" s="12"/>
      <c r="B12" s="13" t="s">
        <v>23</v>
      </c>
      <c r="C12" s="13" t="s">
        <v>21</v>
      </c>
      <c r="D12" t="s">
        <v>113</v>
      </c>
      <c r="E12" s="13" t="s">
        <v>22</v>
      </c>
      <c r="F12" s="13">
        <v>1.1000000000000001</v>
      </c>
      <c r="G12" s="27">
        <v>16.399999999999999</v>
      </c>
      <c r="H12" s="15">
        <f t="shared" si="0"/>
        <v>18.04</v>
      </c>
    </row>
    <row r="13" spans="1:9" hidden="1" outlineLevel="1" x14ac:dyDescent="0.3">
      <c r="A13" s="12"/>
      <c r="B13" s="13" t="s">
        <v>23</v>
      </c>
      <c r="C13" s="13" t="s">
        <v>21</v>
      </c>
      <c r="D13" s="25" t="s">
        <v>46</v>
      </c>
      <c r="E13" s="13" t="s">
        <v>36</v>
      </c>
      <c r="F13" s="24">
        <v>0.8</v>
      </c>
      <c r="G13" s="14">
        <v>3</v>
      </c>
      <c r="H13" s="15">
        <f t="shared" ref="H13" si="2">G13*F13</f>
        <v>2.4000000000000004</v>
      </c>
    </row>
    <row r="14" spans="1:9" hidden="1" outlineLevel="1" x14ac:dyDescent="0.3">
      <c r="A14" s="12"/>
      <c r="B14" s="13" t="s">
        <v>23</v>
      </c>
      <c r="C14" s="13" t="s">
        <v>21</v>
      </c>
      <c r="D14" s="25" t="s">
        <v>47</v>
      </c>
      <c r="E14" s="13" t="s">
        <v>36</v>
      </c>
      <c r="F14" s="24">
        <v>0.84</v>
      </c>
      <c r="G14" s="14">
        <v>0.6</v>
      </c>
      <c r="H14" s="15">
        <f t="shared" ref="H14" si="3">G14*F14</f>
        <v>0.504</v>
      </c>
    </row>
    <row r="15" spans="1:9" hidden="1" outlineLevel="1" x14ac:dyDescent="0.3">
      <c r="A15" s="12"/>
      <c r="B15" s="13" t="s">
        <v>23</v>
      </c>
      <c r="C15" s="13" t="s">
        <v>21</v>
      </c>
      <c r="D15" s="13" t="s">
        <v>32</v>
      </c>
      <c r="E15" s="13" t="s">
        <v>35</v>
      </c>
      <c r="F15" s="13">
        <v>10.093400000000001</v>
      </c>
      <c r="G15" s="14">
        <v>0.09</v>
      </c>
      <c r="H15" s="15">
        <f t="shared" si="0"/>
        <v>0.90840600000000005</v>
      </c>
    </row>
    <row r="16" spans="1:9" ht="15" hidden="1" outlineLevel="1" thickBot="1" x14ac:dyDescent="0.35">
      <c r="A16" s="16"/>
      <c r="B16" s="17" t="s">
        <v>23</v>
      </c>
      <c r="C16" s="17" t="s">
        <v>21</v>
      </c>
      <c r="D16" s="17" t="s">
        <v>33</v>
      </c>
      <c r="E16" s="17" t="s">
        <v>35</v>
      </c>
      <c r="F16" s="17">
        <v>0.4803</v>
      </c>
      <c r="G16" s="18">
        <v>0.2</v>
      </c>
      <c r="H16" s="19">
        <f t="shared" si="0"/>
        <v>9.6060000000000006E-2</v>
      </c>
    </row>
    <row r="17" spans="1:9" ht="15.6" collapsed="1" thickBot="1" x14ac:dyDescent="0.35">
      <c r="A17" s="26" t="s">
        <v>13</v>
      </c>
      <c r="B17" s="21" t="s">
        <v>20</v>
      </c>
      <c r="C17" s="21" t="s">
        <v>49</v>
      </c>
      <c r="D17" s="21" t="s">
        <v>49</v>
      </c>
      <c r="E17" s="20" t="s">
        <v>22</v>
      </c>
      <c r="F17" s="20"/>
      <c r="G17" s="22" t="s">
        <v>34</v>
      </c>
      <c r="H17" s="23">
        <f>SUM(H18:H29)</f>
        <v>102.4394028</v>
      </c>
      <c r="I17" s="49" t="s">
        <v>153</v>
      </c>
    </row>
    <row r="18" spans="1:9" hidden="1" outlineLevel="1" x14ac:dyDescent="0.3">
      <c r="A18" s="13"/>
      <c r="B18" s="13" t="s">
        <v>23</v>
      </c>
      <c r="C18" s="13" t="str">
        <f t="shared" ref="C18:C27" si="4">IF(B18="serviço",D18,C17)</f>
        <v>Parede Com Sistema Em Chapas De Gesso Para Drywall, Uso Interno, Montante 70mm, Com Uma Face Dupla Standart (2S / 70)</v>
      </c>
      <c r="D18" s="13" t="s">
        <v>24</v>
      </c>
      <c r="E18" s="13" t="str">
        <f t="array" ref="E18">_xlfn.XLOOKUP(D18,[1]Insumos!B:B,[1]Insumos!C:$C)</f>
        <v>M2</v>
      </c>
      <c r="F18" s="13">
        <f>1.053*2</f>
        <v>2.1059999999999999</v>
      </c>
      <c r="G18" s="27">
        <v>20.16</v>
      </c>
      <c r="H18" s="15">
        <f>G18*F18</f>
        <v>42.456959999999995</v>
      </c>
    </row>
    <row r="19" spans="1:9" hidden="1" outlineLevel="1" x14ac:dyDescent="0.3">
      <c r="A19" s="13"/>
      <c r="B19" s="13" t="s">
        <v>23</v>
      </c>
      <c r="C19" s="13" t="str">
        <f t="shared" si="4"/>
        <v>Parede Com Sistema Em Chapas De Gesso Para Drywall, Uso Interno, Montante 70mm, Com Uma Face Dupla Standart (2S / 70)</v>
      </c>
      <c r="D19" s="13" t="s">
        <v>26</v>
      </c>
      <c r="E19" s="13" t="str">
        <f t="array" ref="E19">_xlfn.XLOOKUP(D19,[1]Insumos!B:B,[1]Insumos!C:$C)</f>
        <v>UN</v>
      </c>
      <c r="F19" s="13">
        <v>2.48</v>
      </c>
      <c r="G19" s="14">
        <f t="array" ref="G19">IF(B19="insumo",_xlfn.XLOOKUP($D19,[1]Insumos!$B$1:$B$878,[1]Insumos!$D$1:$D$878),"")</f>
        <v>0.504</v>
      </c>
      <c r="H19" s="15">
        <f t="shared" ref="H19:H29" si="5">G19*F19</f>
        <v>1.2499199999999999</v>
      </c>
    </row>
    <row r="20" spans="1:9" hidden="1" outlineLevel="1" x14ac:dyDescent="0.3">
      <c r="A20" s="12"/>
      <c r="B20" s="13" t="s">
        <v>23</v>
      </c>
      <c r="C20" s="13" t="s">
        <v>21</v>
      </c>
      <c r="D20" s="24" t="s">
        <v>45</v>
      </c>
      <c r="E20" s="13" t="s">
        <v>36</v>
      </c>
      <c r="F20" s="24">
        <f>0.7624*1.2</f>
        <v>0.91487999999999992</v>
      </c>
      <c r="G20" s="27">
        <v>7.46</v>
      </c>
      <c r="H20" s="15">
        <f t="shared" si="5"/>
        <v>6.8250047999999994</v>
      </c>
    </row>
    <row r="21" spans="1:9" hidden="1" outlineLevel="1" x14ac:dyDescent="0.3">
      <c r="A21" s="13"/>
      <c r="B21" s="13" t="s">
        <v>23</v>
      </c>
      <c r="C21" s="13" t="str">
        <f>IF(B21="serviço",D21,C19)</f>
        <v>Parede Com Sistema Em Chapas De Gesso Para Drywall, Uso Interno, Montante 70mm, Com Uma Face Dupla Standart (2S / 70)</v>
      </c>
      <c r="D21" s="24" t="s">
        <v>50</v>
      </c>
      <c r="E21" s="13" t="str">
        <f t="array" ref="E21">_xlfn.XLOOKUP(D21,[1]Insumos!B:B,[1]Insumos!C:$C)</f>
        <v>M</v>
      </c>
      <c r="F21" s="13">
        <v>0.76239999999999997</v>
      </c>
      <c r="G21" s="27">
        <v>7.46</v>
      </c>
      <c r="H21" s="15">
        <f t="shared" si="5"/>
        <v>5.6875039999999997</v>
      </c>
    </row>
    <row r="22" spans="1:9" hidden="1" outlineLevel="1" x14ac:dyDescent="0.3">
      <c r="A22" s="13"/>
      <c r="B22" s="13" t="s">
        <v>23</v>
      </c>
      <c r="C22" s="13" t="str">
        <f t="shared" si="4"/>
        <v>Parede Com Sistema Em Chapas De Gesso Para Drywall, Uso Interno, Montante 70mm, Com Uma Face Dupla Standart (2S / 70)</v>
      </c>
      <c r="D22" s="24" t="s">
        <v>52</v>
      </c>
      <c r="E22" s="13" t="s">
        <v>36</v>
      </c>
      <c r="F22" s="13">
        <f>2.0006*2</f>
        <v>4.0011999999999999</v>
      </c>
      <c r="G22" s="27">
        <v>9.5</v>
      </c>
      <c r="H22" s="15">
        <f t="shared" si="5"/>
        <v>38.011400000000002</v>
      </c>
    </row>
    <row r="23" spans="1:9" hidden="1" outlineLevel="1" x14ac:dyDescent="0.3">
      <c r="A23" s="13"/>
      <c r="B23" s="13" t="s">
        <v>23</v>
      </c>
      <c r="C23" s="13" t="str">
        <f t="shared" si="4"/>
        <v>Parede Com Sistema Em Chapas De Gesso Para Drywall, Uso Interno, Montante 70mm, Com Uma Face Dupla Standart (2S / 70)</v>
      </c>
      <c r="D23" s="13" t="s">
        <v>28</v>
      </c>
      <c r="E23" s="13" t="str">
        <f t="array" ref="E23">_xlfn.XLOOKUP(D23,[1]Insumos!B:B,[1]Insumos!C:$C)</f>
        <v>KG</v>
      </c>
      <c r="F23" s="13">
        <v>0.54890000000000005</v>
      </c>
      <c r="G23" s="14">
        <f t="array" ref="G23">IF(B23="insumo",_xlfn.XLOOKUP($D23,[1]Insumos!$B$1:$B$878,[1]Insumos!$D$1:$D$878),"")</f>
        <v>3.43</v>
      </c>
      <c r="H23" s="15">
        <f t="shared" si="5"/>
        <v>1.8827270000000003</v>
      </c>
    </row>
    <row r="24" spans="1:9" hidden="1" outlineLevel="1" x14ac:dyDescent="0.3">
      <c r="A24" s="13"/>
      <c r="B24" s="13" t="s">
        <v>23</v>
      </c>
      <c r="C24" s="13" t="str">
        <f t="shared" si="4"/>
        <v>Parede Com Sistema Em Chapas De Gesso Para Drywall, Uso Interno, Montante 70mm, Com Uma Face Dupla Standart (2S / 70)</v>
      </c>
      <c r="D24" s="13" t="s">
        <v>29</v>
      </c>
      <c r="E24" s="13" t="str">
        <f t="array" ref="E24">_xlfn.XLOOKUP(D24,[1]Insumos!B:B,[1]Insumos!C:$C)</f>
        <v>M</v>
      </c>
      <c r="F24" s="13">
        <v>1.2513000000000001</v>
      </c>
      <c r="G24" s="14">
        <f t="array" ref="G24">IF(B24="insumo",_xlfn.XLOOKUP($D24,[1]Insumos!$B$1:$B$878,[1]Insumos!$D$1:$D$878),"")</f>
        <v>0.31</v>
      </c>
      <c r="H24" s="15">
        <f t="shared" si="5"/>
        <v>0.387903</v>
      </c>
    </row>
    <row r="25" spans="1:9" hidden="1" outlineLevel="1" x14ac:dyDescent="0.3">
      <c r="A25" s="13"/>
      <c r="B25" s="13" t="s">
        <v>23</v>
      </c>
      <c r="C25" s="13" t="str">
        <f t="shared" si="4"/>
        <v>Parede Com Sistema Em Chapas De Gesso Para Drywall, Uso Interno, Montante 70mm, Com Uma Face Dupla Standart (2S / 70)</v>
      </c>
      <c r="D25" s="13" t="s">
        <v>30</v>
      </c>
      <c r="E25" s="13" t="str">
        <f t="array" ref="E25">_xlfn.XLOOKUP(D25,[1]Insumos!B:B,[1]Insumos!C:$C)</f>
        <v>M</v>
      </c>
      <c r="F25" s="13">
        <v>0.74070000000000003</v>
      </c>
      <c r="G25" s="14">
        <f t="array" ref="G25">IF(B25="insumo",_xlfn.XLOOKUP($D25,[1]Insumos!$B$1:$B$878,[1]Insumos!$D$1:$D$878),"")</f>
        <v>2.74</v>
      </c>
      <c r="H25" s="15">
        <f t="shared" si="5"/>
        <v>2.0295180000000004</v>
      </c>
    </row>
    <row r="26" spans="1:9" hidden="1" outlineLevel="1" x14ac:dyDescent="0.3">
      <c r="A26" s="13"/>
      <c r="B26" s="13" t="s">
        <v>23</v>
      </c>
      <c r="C26" s="13" t="str">
        <f t="shared" si="4"/>
        <v>Parede Com Sistema Em Chapas De Gesso Para Drywall, Uso Interno, Montante 70mm, Com Uma Face Dupla Standart (2S / 70)</v>
      </c>
      <c r="D26" s="13" t="s">
        <v>32</v>
      </c>
      <c r="E26" s="13" t="str">
        <f t="array" ref="E26">_xlfn.XLOOKUP(D26,[1]Insumos!B:B,[1]Insumos!C:$C)</f>
        <v>UN</v>
      </c>
      <c r="F26" s="13">
        <v>10.093400000000001</v>
      </c>
      <c r="G26" s="14">
        <f t="array" ref="G26">IF(B26="insumo",_xlfn.XLOOKUP($D26,[1]Insumos!$B$1:$B$878,[1]Insumos!$D$1:$D$878),"")</f>
        <v>0.09</v>
      </c>
      <c r="H26" s="15">
        <f t="shared" si="5"/>
        <v>0.90840600000000005</v>
      </c>
    </row>
    <row r="27" spans="1:9" hidden="1" outlineLevel="1" x14ac:dyDescent="0.3">
      <c r="A27" s="13"/>
      <c r="B27" s="13" t="s">
        <v>23</v>
      </c>
      <c r="C27" s="13" t="str">
        <f t="shared" si="4"/>
        <v>Parede Com Sistema Em Chapas De Gesso Para Drywall, Uso Interno, Montante 70mm, Com Uma Face Dupla Standart (2S / 70)</v>
      </c>
      <c r="D27" s="13" t="s">
        <v>33</v>
      </c>
      <c r="E27" s="13" t="str">
        <f t="array" ref="E27">_xlfn.XLOOKUP(D27,[1]Insumos!B:B,[1]Insumos!C:$C)</f>
        <v>UN</v>
      </c>
      <c r="F27" s="13">
        <v>0.4803</v>
      </c>
      <c r="G27" s="14">
        <f t="array" ref="G27">IF(B27="insumo",_xlfn.XLOOKUP($D27,[1]Insumos!$B$1:$B$878,[1]Insumos!$D$1:$D$878),"")</f>
        <v>0.2</v>
      </c>
      <c r="H27" s="15">
        <f t="shared" si="5"/>
        <v>9.6060000000000006E-2</v>
      </c>
    </row>
    <row r="28" spans="1:9" hidden="1" outlineLevel="1" x14ac:dyDescent="0.3">
      <c r="A28" s="12"/>
      <c r="B28" s="13" t="s">
        <v>23</v>
      </c>
      <c r="C28" s="13" t="s">
        <v>21</v>
      </c>
      <c r="D28" s="25" t="s">
        <v>46</v>
      </c>
      <c r="E28" s="13" t="s">
        <v>36</v>
      </c>
      <c r="F28" s="24">
        <v>0.8</v>
      </c>
      <c r="G28" s="14">
        <v>3</v>
      </c>
      <c r="H28" s="15">
        <f t="shared" si="5"/>
        <v>2.4000000000000004</v>
      </c>
    </row>
    <row r="29" spans="1:9" ht="13.95" hidden="1" customHeight="1" outlineLevel="1" thickBot="1" x14ac:dyDescent="0.35">
      <c r="A29" s="12"/>
      <c r="B29" s="13" t="s">
        <v>23</v>
      </c>
      <c r="C29" s="13" t="s">
        <v>21</v>
      </c>
      <c r="D29" s="25" t="s">
        <v>47</v>
      </c>
      <c r="E29" s="13" t="s">
        <v>36</v>
      </c>
      <c r="F29" s="24">
        <v>0.84</v>
      </c>
      <c r="G29" s="14">
        <v>0.6</v>
      </c>
      <c r="H29" s="15">
        <f t="shared" si="5"/>
        <v>0.504</v>
      </c>
    </row>
    <row r="30" spans="1:9" ht="19.8" collapsed="1" thickBot="1" x14ac:dyDescent="0.35">
      <c r="A30" s="26" t="s">
        <v>5</v>
      </c>
      <c r="B30" s="21" t="s">
        <v>20</v>
      </c>
      <c r="C30" s="21" t="str">
        <f>IF(B30="serviço",D30,#REF!)</f>
        <v>Parede Com Sistema Em Chapas De Gesso Para Drywall, Uso Interno, Montante 70mm, Com Duas Face Duplas Standart e Isolamento Lã de PET (2S / 70LP / 2S)</v>
      </c>
      <c r="D30" s="30" t="s">
        <v>53</v>
      </c>
      <c r="E30" s="21" t="s">
        <v>22</v>
      </c>
      <c r="F30" s="21"/>
      <c r="G30" s="21" t="str">
        <f t="array" ref="G30">IF(B30="insumo",_xlfn.XLOOKUP($D30,[1]Insumos!$B$1:$B$878,[1]Insumos!$D$1:$D$878),"")</f>
        <v/>
      </c>
      <c r="H30" s="23">
        <f>SUM(H31:H42)</f>
        <v>144.37390099999999</v>
      </c>
      <c r="I30" s="49" t="s">
        <v>153</v>
      </c>
    </row>
    <row r="31" spans="1:9" hidden="1" outlineLevel="1" x14ac:dyDescent="0.3">
      <c r="A31" s="12"/>
      <c r="B31" s="13" t="s">
        <v>23</v>
      </c>
      <c r="C31" s="13" t="s">
        <v>53</v>
      </c>
      <c r="D31" s="13" t="s">
        <v>24</v>
      </c>
      <c r="E31" s="13" t="s">
        <v>22</v>
      </c>
      <c r="F31" s="13">
        <v>4.2119999999999997</v>
      </c>
      <c r="G31" s="27">
        <v>20.16</v>
      </c>
      <c r="H31" s="15">
        <f>G31*F31</f>
        <v>84.91391999999999</v>
      </c>
    </row>
    <row r="32" spans="1:9" hidden="1" outlineLevel="1" x14ac:dyDescent="0.3">
      <c r="A32" s="12"/>
      <c r="B32" s="13" t="s">
        <v>23</v>
      </c>
      <c r="C32" s="13" t="s">
        <v>53</v>
      </c>
      <c r="D32" s="13" t="s">
        <v>26</v>
      </c>
      <c r="E32" s="13" t="s">
        <v>35</v>
      </c>
      <c r="F32" s="13">
        <v>4.95</v>
      </c>
      <c r="G32" s="14">
        <v>0.504</v>
      </c>
      <c r="H32" s="15">
        <f t="shared" ref="H32:H42" si="6">G32*F32</f>
        <v>2.4948000000000001</v>
      </c>
    </row>
    <row r="33" spans="1:9" hidden="1" outlineLevel="1" x14ac:dyDescent="0.3">
      <c r="A33" s="12"/>
      <c r="B33" s="13" t="s">
        <v>23</v>
      </c>
      <c r="C33" s="13" t="s">
        <v>53</v>
      </c>
      <c r="D33" s="24" t="s">
        <v>50</v>
      </c>
      <c r="E33" s="24" t="s">
        <v>36</v>
      </c>
      <c r="F33" s="13">
        <v>1.5247999999999999</v>
      </c>
      <c r="G33" s="27">
        <v>7.46</v>
      </c>
      <c r="H33" s="15">
        <f t="shared" si="6"/>
        <v>11.375007999999999</v>
      </c>
    </row>
    <row r="34" spans="1:9" hidden="1" outlineLevel="1" x14ac:dyDescent="0.3">
      <c r="A34" s="12"/>
      <c r="B34" s="13" t="s">
        <v>23</v>
      </c>
      <c r="C34" s="13" t="s">
        <v>53</v>
      </c>
      <c r="D34" s="24" t="s">
        <v>51</v>
      </c>
      <c r="E34" s="24" t="s">
        <v>36</v>
      </c>
      <c r="F34" s="24">
        <f>2.0006</f>
        <v>2.0005999999999999</v>
      </c>
      <c r="G34" s="27">
        <v>9.5</v>
      </c>
      <c r="H34" s="15">
        <f t="shared" si="6"/>
        <v>19.005700000000001</v>
      </c>
    </row>
    <row r="35" spans="1:9" hidden="1" outlineLevel="1" x14ac:dyDescent="0.3">
      <c r="A35" s="12"/>
      <c r="B35" s="13" t="s">
        <v>23</v>
      </c>
      <c r="C35" s="13" t="s">
        <v>53</v>
      </c>
      <c r="D35" s="13" t="s">
        <v>28</v>
      </c>
      <c r="E35" s="13" t="s">
        <v>37</v>
      </c>
      <c r="F35" s="13">
        <v>1.0978000000000001</v>
      </c>
      <c r="G35" s="14">
        <v>3.43</v>
      </c>
      <c r="H35" s="15">
        <f t="shared" si="6"/>
        <v>3.7654540000000005</v>
      </c>
    </row>
    <row r="36" spans="1:9" hidden="1" outlineLevel="1" x14ac:dyDescent="0.3">
      <c r="A36" s="12"/>
      <c r="B36" s="13" t="s">
        <v>23</v>
      </c>
      <c r="C36" s="13" t="s">
        <v>53</v>
      </c>
      <c r="D36" s="13" t="s">
        <v>29</v>
      </c>
      <c r="E36" s="13" t="s">
        <v>36</v>
      </c>
      <c r="F36" s="13">
        <v>2.5026999999999999</v>
      </c>
      <c r="G36" s="14">
        <v>0.31</v>
      </c>
      <c r="H36" s="15">
        <f t="shared" si="6"/>
        <v>0.775837</v>
      </c>
    </row>
    <row r="37" spans="1:9" hidden="1" outlineLevel="1" x14ac:dyDescent="0.3">
      <c r="A37" s="12"/>
      <c r="B37" s="13" t="s">
        <v>23</v>
      </c>
      <c r="C37" s="13" t="s">
        <v>53</v>
      </c>
      <c r="D37" s="13" t="s">
        <v>30</v>
      </c>
      <c r="E37" s="13" t="s">
        <v>36</v>
      </c>
      <c r="F37" s="13">
        <v>1.4815</v>
      </c>
      <c r="G37" s="14">
        <v>2.74</v>
      </c>
      <c r="H37" s="15">
        <f t="shared" si="6"/>
        <v>4.0593100000000009</v>
      </c>
    </row>
    <row r="38" spans="1:9" hidden="1" outlineLevel="1" x14ac:dyDescent="0.3">
      <c r="A38" s="12"/>
      <c r="B38" s="13" t="s">
        <v>23</v>
      </c>
      <c r="C38" s="13" t="s">
        <v>53</v>
      </c>
      <c r="D38" s="49" t="s">
        <v>113</v>
      </c>
      <c r="E38" s="24" t="s">
        <v>22</v>
      </c>
      <c r="F38" s="24">
        <v>1.1000000000000001</v>
      </c>
      <c r="G38" s="27">
        <v>11.97</v>
      </c>
      <c r="H38" s="50">
        <f t="shared" si="6"/>
        <v>13.167000000000002</v>
      </c>
    </row>
    <row r="39" spans="1:9" hidden="1" outlineLevel="1" x14ac:dyDescent="0.3">
      <c r="A39" s="12"/>
      <c r="B39" s="13" t="s">
        <v>23</v>
      </c>
      <c r="C39" s="13" t="s">
        <v>53</v>
      </c>
      <c r="D39" s="13" t="s">
        <v>32</v>
      </c>
      <c r="E39" s="13" t="s">
        <v>35</v>
      </c>
      <c r="F39" s="13">
        <v>20.186800000000002</v>
      </c>
      <c r="G39" s="14">
        <v>0.09</v>
      </c>
      <c r="H39" s="15">
        <f t="shared" si="6"/>
        <v>1.8168120000000001</v>
      </c>
    </row>
    <row r="40" spans="1:9" hidden="1" outlineLevel="1" x14ac:dyDescent="0.3">
      <c r="A40" s="12"/>
      <c r="B40" s="13" t="s">
        <v>23</v>
      </c>
      <c r="C40" s="13" t="s">
        <v>53</v>
      </c>
      <c r="D40" s="13" t="s">
        <v>33</v>
      </c>
      <c r="E40" s="13" t="s">
        <v>35</v>
      </c>
      <c r="F40" s="13">
        <v>0.4803</v>
      </c>
      <c r="G40" s="14">
        <v>0.2</v>
      </c>
      <c r="H40" s="15">
        <f t="shared" si="6"/>
        <v>9.6060000000000006E-2</v>
      </c>
    </row>
    <row r="41" spans="1:9" hidden="1" outlineLevel="1" x14ac:dyDescent="0.3">
      <c r="A41" s="12"/>
      <c r="B41" s="13" t="s">
        <v>23</v>
      </c>
      <c r="C41" s="13" t="s">
        <v>21</v>
      </c>
      <c r="D41" s="25" t="s">
        <v>46</v>
      </c>
      <c r="E41" s="13" t="s">
        <v>36</v>
      </c>
      <c r="F41" s="24">
        <v>0.8</v>
      </c>
      <c r="G41" s="14">
        <v>3</v>
      </c>
      <c r="H41" s="15">
        <f t="shared" si="6"/>
        <v>2.4000000000000004</v>
      </c>
    </row>
    <row r="42" spans="1:9" ht="15" hidden="1" outlineLevel="1" thickBot="1" x14ac:dyDescent="0.35">
      <c r="A42" s="16"/>
      <c r="B42" s="17" t="s">
        <v>23</v>
      </c>
      <c r="C42" s="17" t="s">
        <v>21</v>
      </c>
      <c r="D42" s="28" t="s">
        <v>47</v>
      </c>
      <c r="E42" s="17" t="s">
        <v>36</v>
      </c>
      <c r="F42" s="29">
        <v>0.84</v>
      </c>
      <c r="G42" s="18">
        <v>0.6</v>
      </c>
      <c r="H42" s="19">
        <f t="shared" si="6"/>
        <v>0.504</v>
      </c>
    </row>
    <row r="43" spans="1:9" ht="19.8" collapsed="1" thickBot="1" x14ac:dyDescent="0.35">
      <c r="A43" s="26" t="s">
        <v>8</v>
      </c>
      <c r="B43" s="21" t="s">
        <v>20</v>
      </c>
      <c r="C43" s="21" t="str">
        <f t="shared" ref="C43" si="7">IF(B43="serviço",D43,C42)</f>
        <v>Parede Com Sistema Em Chapas De Gesso Para Drywall, Uso Interno, Montante 70mm, Com Uma Face Dupla Standart e Uma Face Dupla Resistente a Umidade e Isolamento Lã de PET (2S / 70LP / SU)</v>
      </c>
      <c r="D43" s="30" t="s">
        <v>54</v>
      </c>
      <c r="E43" s="21" t="s">
        <v>22</v>
      </c>
      <c r="F43" s="21"/>
      <c r="G43" s="21" t="str">
        <f t="array" ref="G43">IF(B43="insumo",_xlfn.XLOOKUP($D43,[1]Insumos!$B$1:$B$878,[1]Insumos!$D$1:$D$878),"")</f>
        <v/>
      </c>
      <c r="H43" s="23">
        <f>SUM(H44:H56)</f>
        <v>158.989541</v>
      </c>
      <c r="I43" s="49" t="s">
        <v>153</v>
      </c>
    </row>
    <row r="44" spans="1:9" hidden="1" outlineLevel="1" x14ac:dyDescent="0.3">
      <c r="A44" s="12"/>
      <c r="B44" s="13" t="s">
        <v>23</v>
      </c>
      <c r="C44" s="13" t="s">
        <v>54</v>
      </c>
      <c r="D44" s="13" t="s">
        <v>24</v>
      </c>
      <c r="E44" s="13" t="s">
        <v>22</v>
      </c>
      <c r="F44" s="13">
        <v>2.1059999999999999</v>
      </c>
      <c r="G44" s="27">
        <v>20.16</v>
      </c>
      <c r="H44" s="15">
        <f>G44*F44</f>
        <v>42.456959999999995</v>
      </c>
    </row>
    <row r="45" spans="1:9" hidden="1" outlineLevel="1" x14ac:dyDescent="0.3">
      <c r="A45" s="12"/>
      <c r="B45" s="13" t="s">
        <v>23</v>
      </c>
      <c r="C45" s="13" t="s">
        <v>54</v>
      </c>
      <c r="D45" s="13" t="s">
        <v>25</v>
      </c>
      <c r="E45" s="13" t="s">
        <v>22</v>
      </c>
      <c r="F45" s="13">
        <v>2.1059999999999999</v>
      </c>
      <c r="G45" s="27">
        <v>27.1</v>
      </c>
      <c r="H45" s="15">
        <f t="shared" ref="H45:H56" si="8">G45*F45</f>
        <v>57.072600000000001</v>
      </c>
    </row>
    <row r="46" spans="1:9" hidden="1" outlineLevel="1" x14ac:dyDescent="0.3">
      <c r="A46" s="12"/>
      <c r="B46" s="13" t="s">
        <v>23</v>
      </c>
      <c r="C46" s="13" t="s">
        <v>54</v>
      </c>
      <c r="D46" s="13" t="s">
        <v>26</v>
      </c>
      <c r="E46" s="13" t="s">
        <v>35</v>
      </c>
      <c r="F46" s="13">
        <v>4.95</v>
      </c>
      <c r="G46" s="14">
        <v>0.504</v>
      </c>
      <c r="H46" s="15">
        <f t="shared" si="8"/>
        <v>2.4948000000000001</v>
      </c>
    </row>
    <row r="47" spans="1:9" hidden="1" outlineLevel="1" x14ac:dyDescent="0.3">
      <c r="A47" s="12"/>
      <c r="B47" s="13" t="s">
        <v>23</v>
      </c>
      <c r="C47" s="13" t="s">
        <v>54</v>
      </c>
      <c r="D47" s="24" t="s">
        <v>50</v>
      </c>
      <c r="E47" s="13" t="s">
        <v>36</v>
      </c>
      <c r="F47" s="13">
        <v>1.5247999999999999</v>
      </c>
      <c r="G47" s="27">
        <v>7.46</v>
      </c>
      <c r="H47" s="15">
        <f t="shared" si="8"/>
        <v>11.375007999999999</v>
      </c>
    </row>
    <row r="48" spans="1:9" hidden="1" outlineLevel="1" x14ac:dyDescent="0.3">
      <c r="A48" s="12"/>
      <c r="B48" s="13" t="s">
        <v>23</v>
      </c>
      <c r="C48" s="13" t="s">
        <v>54</v>
      </c>
      <c r="D48" s="24" t="s">
        <v>51</v>
      </c>
      <c r="E48" s="13" t="s">
        <v>36</v>
      </c>
      <c r="F48" s="24">
        <f>2.0006</f>
        <v>2.0005999999999999</v>
      </c>
      <c r="G48" s="27">
        <v>9.5</v>
      </c>
      <c r="H48" s="15">
        <f t="shared" si="8"/>
        <v>19.005700000000001</v>
      </c>
    </row>
    <row r="49" spans="1:9" hidden="1" outlineLevel="1" x14ac:dyDescent="0.3">
      <c r="A49" s="12"/>
      <c r="B49" s="13" t="s">
        <v>23</v>
      </c>
      <c r="C49" s="13" t="s">
        <v>54</v>
      </c>
      <c r="D49" s="13" t="s">
        <v>28</v>
      </c>
      <c r="E49" s="13" t="s">
        <v>37</v>
      </c>
      <c r="F49" s="13">
        <v>1.0978000000000001</v>
      </c>
      <c r="G49" s="14">
        <v>3.43</v>
      </c>
      <c r="H49" s="15">
        <f t="shared" si="8"/>
        <v>3.7654540000000005</v>
      </c>
    </row>
    <row r="50" spans="1:9" hidden="1" outlineLevel="1" x14ac:dyDescent="0.3">
      <c r="A50" s="12"/>
      <c r="B50" s="13" t="s">
        <v>23</v>
      </c>
      <c r="C50" s="13" t="s">
        <v>54</v>
      </c>
      <c r="D50" s="13" t="s">
        <v>29</v>
      </c>
      <c r="E50" s="13" t="s">
        <v>36</v>
      </c>
      <c r="F50" s="13">
        <v>2.5026999999999999</v>
      </c>
      <c r="G50" s="14">
        <v>0.31</v>
      </c>
      <c r="H50" s="15">
        <f t="shared" si="8"/>
        <v>0.775837</v>
      </c>
    </row>
    <row r="51" spans="1:9" hidden="1" outlineLevel="1" x14ac:dyDescent="0.3">
      <c r="A51" s="12"/>
      <c r="B51" s="13" t="s">
        <v>23</v>
      </c>
      <c r="C51" s="13" t="s">
        <v>54</v>
      </c>
      <c r="D51" s="13" t="s">
        <v>30</v>
      </c>
      <c r="E51" s="13" t="s">
        <v>36</v>
      </c>
      <c r="F51" s="13">
        <v>1.4815</v>
      </c>
      <c r="G51" s="14">
        <v>2.74</v>
      </c>
      <c r="H51" s="15">
        <f t="shared" si="8"/>
        <v>4.0593100000000009</v>
      </c>
    </row>
    <row r="52" spans="1:9" hidden="1" outlineLevel="1" x14ac:dyDescent="0.3">
      <c r="A52" s="12"/>
      <c r="B52" s="13" t="s">
        <v>23</v>
      </c>
      <c r="C52" s="13" t="s">
        <v>54</v>
      </c>
      <c r="D52" s="49" t="s">
        <v>113</v>
      </c>
      <c r="E52" s="24" t="s">
        <v>22</v>
      </c>
      <c r="F52" s="24">
        <v>1.1000000000000001</v>
      </c>
      <c r="G52" s="27">
        <v>11.97</v>
      </c>
      <c r="H52" s="50">
        <f t="shared" si="8"/>
        <v>13.167000000000002</v>
      </c>
    </row>
    <row r="53" spans="1:9" hidden="1" outlineLevel="1" x14ac:dyDescent="0.3">
      <c r="A53" s="12"/>
      <c r="B53" s="13" t="s">
        <v>23</v>
      </c>
      <c r="C53" s="13" t="s">
        <v>54</v>
      </c>
      <c r="D53" s="13" t="s">
        <v>32</v>
      </c>
      <c r="E53" s="13" t="s">
        <v>35</v>
      </c>
      <c r="F53" s="13">
        <v>20.186800000000002</v>
      </c>
      <c r="G53" s="14">
        <v>0.09</v>
      </c>
      <c r="H53" s="15">
        <f t="shared" si="8"/>
        <v>1.8168120000000001</v>
      </c>
    </row>
    <row r="54" spans="1:9" hidden="1" outlineLevel="1" x14ac:dyDescent="0.3">
      <c r="A54" s="12"/>
      <c r="B54" s="13" t="s">
        <v>23</v>
      </c>
      <c r="C54" s="13" t="s">
        <v>54</v>
      </c>
      <c r="D54" s="13" t="s">
        <v>33</v>
      </c>
      <c r="E54" s="13" t="s">
        <v>35</v>
      </c>
      <c r="F54" s="13">
        <v>0.4803</v>
      </c>
      <c r="G54" s="14">
        <v>0.2</v>
      </c>
      <c r="H54" s="15">
        <f t="shared" si="8"/>
        <v>9.6060000000000006E-2</v>
      </c>
    </row>
    <row r="55" spans="1:9" hidden="1" outlineLevel="1" x14ac:dyDescent="0.3">
      <c r="A55" s="12"/>
      <c r="B55" s="13" t="s">
        <v>23</v>
      </c>
      <c r="C55" s="13" t="s">
        <v>21</v>
      </c>
      <c r="D55" s="25" t="s">
        <v>46</v>
      </c>
      <c r="E55" s="13" t="s">
        <v>36</v>
      </c>
      <c r="F55" s="24">
        <v>0.8</v>
      </c>
      <c r="G55" s="14">
        <v>3</v>
      </c>
      <c r="H55" s="15">
        <f t="shared" si="8"/>
        <v>2.4000000000000004</v>
      </c>
    </row>
    <row r="56" spans="1:9" ht="15" hidden="1" outlineLevel="1" thickBot="1" x14ac:dyDescent="0.35">
      <c r="A56" s="16"/>
      <c r="B56" s="17" t="s">
        <v>23</v>
      </c>
      <c r="C56" s="17" t="s">
        <v>21</v>
      </c>
      <c r="D56" s="28" t="s">
        <v>47</v>
      </c>
      <c r="E56" s="17" t="s">
        <v>36</v>
      </c>
      <c r="F56" s="29">
        <v>0.84</v>
      </c>
      <c r="G56" s="18">
        <v>0.6</v>
      </c>
      <c r="H56" s="19">
        <f t="shared" si="8"/>
        <v>0.504</v>
      </c>
    </row>
    <row r="57" spans="1:9" ht="15.6" collapsed="1" thickBot="1" x14ac:dyDescent="0.35">
      <c r="A57" s="26" t="s">
        <v>57</v>
      </c>
      <c r="B57" s="21" t="s">
        <v>20</v>
      </c>
      <c r="C57" s="21" t="s">
        <v>49</v>
      </c>
      <c r="D57" s="21" t="s">
        <v>49</v>
      </c>
      <c r="E57" s="20" t="s">
        <v>22</v>
      </c>
      <c r="F57" s="20"/>
      <c r="G57" s="22" t="s">
        <v>34</v>
      </c>
      <c r="H57" s="23">
        <f>SUM(H58:H70)</f>
        <v>109.7472228</v>
      </c>
      <c r="I57" s="49" t="s">
        <v>153</v>
      </c>
    </row>
    <row r="58" spans="1:9" hidden="1" outlineLevel="1" x14ac:dyDescent="0.3">
      <c r="A58" s="13"/>
      <c r="B58" s="13" t="s">
        <v>23</v>
      </c>
      <c r="C58" s="13" t="str">
        <f t="shared" ref="C58" si="9">IF(B58="serviço",D58,C57)</f>
        <v>Parede Com Sistema Em Chapas De Gesso Para Drywall, Uso Interno, Montante 70mm, Com Uma Face Dupla Standart (2S / 70)</v>
      </c>
      <c r="D58" s="13" t="s">
        <v>24</v>
      </c>
      <c r="E58" s="13" t="str">
        <f t="array" ref="E58">_xlfn.XLOOKUP(D58,[1]Insumos!B:B,[1]Insumos!C:$C)</f>
        <v>M2</v>
      </c>
      <c r="F58" s="13">
        <f>1.053</f>
        <v>1.0529999999999999</v>
      </c>
      <c r="G58" s="27">
        <v>20.16</v>
      </c>
      <c r="H58" s="15">
        <f>G58*F58</f>
        <v>21.228479999999998</v>
      </c>
    </row>
    <row r="59" spans="1:9" hidden="1" outlineLevel="1" x14ac:dyDescent="0.3">
      <c r="A59" s="12"/>
      <c r="B59" s="13" t="s">
        <v>23</v>
      </c>
      <c r="C59" s="13" t="s">
        <v>54</v>
      </c>
      <c r="D59" s="13" t="s">
        <v>25</v>
      </c>
      <c r="E59" s="13" t="s">
        <v>22</v>
      </c>
      <c r="F59" s="13">
        <f>1.053</f>
        <v>1.0529999999999999</v>
      </c>
      <c r="G59" s="27">
        <v>27.1</v>
      </c>
      <c r="H59" s="15">
        <f t="shared" ref="H59" si="10">G59*F59</f>
        <v>28.536300000000001</v>
      </c>
    </row>
    <row r="60" spans="1:9" hidden="1" outlineLevel="1" x14ac:dyDescent="0.3">
      <c r="A60" s="13"/>
      <c r="B60" s="13" t="s">
        <v>23</v>
      </c>
      <c r="C60" s="13" t="str">
        <f>IF(B60="serviço",D60,C58)</f>
        <v>Parede Com Sistema Em Chapas De Gesso Para Drywall, Uso Interno, Montante 70mm, Com Uma Face Dupla Standart (2S / 70)</v>
      </c>
      <c r="D60" s="13" t="s">
        <v>26</v>
      </c>
      <c r="E60" s="13" t="str">
        <f t="array" ref="E60">_xlfn.XLOOKUP(D60,[1]Insumos!B:B,[1]Insumos!C:$C)</f>
        <v>UN</v>
      </c>
      <c r="F60" s="13">
        <v>2.48</v>
      </c>
      <c r="G60" s="14">
        <f t="array" ref="G60">IF(B60="insumo",_xlfn.XLOOKUP($D60,[1]Insumos!$B$1:$B$878,[1]Insumos!$D$1:$D$878),"")</f>
        <v>0.504</v>
      </c>
      <c r="H60" s="15">
        <f t="shared" ref="H60:H70" si="11">G60*F60</f>
        <v>1.2499199999999999</v>
      </c>
    </row>
    <row r="61" spans="1:9" hidden="1" outlineLevel="1" x14ac:dyDescent="0.3">
      <c r="A61" s="12"/>
      <c r="B61" s="13" t="s">
        <v>23</v>
      </c>
      <c r="C61" s="13" t="s">
        <v>21</v>
      </c>
      <c r="D61" s="24" t="s">
        <v>45</v>
      </c>
      <c r="E61" s="13" t="s">
        <v>36</v>
      </c>
      <c r="F61" s="24">
        <f>0.7624*1.2</f>
        <v>0.91487999999999992</v>
      </c>
      <c r="G61" s="27">
        <v>7.46</v>
      </c>
      <c r="H61" s="15">
        <f t="shared" si="11"/>
        <v>6.8250047999999994</v>
      </c>
    </row>
    <row r="62" spans="1:9" hidden="1" outlineLevel="1" x14ac:dyDescent="0.3">
      <c r="A62" s="13"/>
      <c r="B62" s="13" t="s">
        <v>23</v>
      </c>
      <c r="C62" s="13" t="str">
        <f>IF(B62="serviço",D62,C60)</f>
        <v>Parede Com Sistema Em Chapas De Gesso Para Drywall, Uso Interno, Montante 70mm, Com Uma Face Dupla Standart (2S / 70)</v>
      </c>
      <c r="D62" s="24" t="s">
        <v>50</v>
      </c>
      <c r="E62" s="13" t="str">
        <f t="array" ref="E62">_xlfn.XLOOKUP(D62,[1]Insumos!B:B,[1]Insumos!C:$C)</f>
        <v>M</v>
      </c>
      <c r="F62" s="13">
        <v>0.76239999999999997</v>
      </c>
      <c r="G62" s="27">
        <v>7.46</v>
      </c>
      <c r="H62" s="15">
        <f t="shared" si="11"/>
        <v>5.6875039999999997</v>
      </c>
    </row>
    <row r="63" spans="1:9" hidden="1" outlineLevel="1" x14ac:dyDescent="0.3">
      <c r="A63" s="13"/>
      <c r="B63" s="13" t="s">
        <v>23</v>
      </c>
      <c r="C63" s="13" t="str">
        <f t="shared" ref="C63:C68" si="12">IF(B63="serviço",D63,C62)</f>
        <v>Parede Com Sistema Em Chapas De Gesso Para Drywall, Uso Interno, Montante 70mm, Com Uma Face Dupla Standart (2S / 70)</v>
      </c>
      <c r="D63" s="24" t="s">
        <v>52</v>
      </c>
      <c r="E63" s="13" t="s">
        <v>36</v>
      </c>
      <c r="F63" s="13">
        <f>2.0006*2</f>
        <v>4.0011999999999999</v>
      </c>
      <c r="G63" s="27">
        <v>9.5</v>
      </c>
      <c r="H63" s="15">
        <f t="shared" si="11"/>
        <v>38.011400000000002</v>
      </c>
    </row>
    <row r="64" spans="1:9" hidden="1" outlineLevel="1" x14ac:dyDescent="0.3">
      <c r="A64" s="13"/>
      <c r="B64" s="13" t="s">
        <v>23</v>
      </c>
      <c r="C64" s="13" t="str">
        <f t="shared" si="12"/>
        <v>Parede Com Sistema Em Chapas De Gesso Para Drywall, Uso Interno, Montante 70mm, Com Uma Face Dupla Standart (2S / 70)</v>
      </c>
      <c r="D64" s="13" t="s">
        <v>28</v>
      </c>
      <c r="E64" s="13" t="str">
        <f t="array" ref="E64">_xlfn.XLOOKUP(D64,[1]Insumos!B:B,[1]Insumos!C:$C)</f>
        <v>KG</v>
      </c>
      <c r="F64" s="13">
        <v>0.54890000000000005</v>
      </c>
      <c r="G64" s="14">
        <f t="array" ref="G64">IF(B64="insumo",_xlfn.XLOOKUP($D64,[1]Insumos!$B$1:$B$878,[1]Insumos!$D$1:$D$878),"")</f>
        <v>3.43</v>
      </c>
      <c r="H64" s="15">
        <f t="shared" si="11"/>
        <v>1.8827270000000003</v>
      </c>
    </row>
    <row r="65" spans="1:9" hidden="1" outlineLevel="1" x14ac:dyDescent="0.3">
      <c r="A65" s="13"/>
      <c r="B65" s="13" t="s">
        <v>23</v>
      </c>
      <c r="C65" s="13" t="str">
        <f t="shared" si="12"/>
        <v>Parede Com Sistema Em Chapas De Gesso Para Drywall, Uso Interno, Montante 70mm, Com Uma Face Dupla Standart (2S / 70)</v>
      </c>
      <c r="D65" s="13" t="s">
        <v>29</v>
      </c>
      <c r="E65" s="13" t="str">
        <f t="array" ref="E65">_xlfn.XLOOKUP(D65,[1]Insumos!B:B,[1]Insumos!C:$C)</f>
        <v>M</v>
      </c>
      <c r="F65" s="13">
        <v>1.2513000000000001</v>
      </c>
      <c r="G65" s="14">
        <f t="array" ref="G65">IF(B65="insumo",_xlfn.XLOOKUP($D65,[1]Insumos!$B$1:$B$878,[1]Insumos!$D$1:$D$878),"")</f>
        <v>0.31</v>
      </c>
      <c r="H65" s="15">
        <f t="shared" si="11"/>
        <v>0.387903</v>
      </c>
    </row>
    <row r="66" spans="1:9" hidden="1" outlineLevel="1" x14ac:dyDescent="0.3">
      <c r="A66" s="13"/>
      <c r="B66" s="13" t="s">
        <v>23</v>
      </c>
      <c r="C66" s="13" t="str">
        <f t="shared" si="12"/>
        <v>Parede Com Sistema Em Chapas De Gesso Para Drywall, Uso Interno, Montante 70mm, Com Uma Face Dupla Standart (2S / 70)</v>
      </c>
      <c r="D66" s="13" t="s">
        <v>30</v>
      </c>
      <c r="E66" s="13" t="str">
        <f t="array" ref="E66">_xlfn.XLOOKUP(D66,[1]Insumos!B:B,[1]Insumos!C:$C)</f>
        <v>M</v>
      </c>
      <c r="F66" s="13">
        <v>0.74070000000000003</v>
      </c>
      <c r="G66" s="14">
        <f t="array" ref="G66">IF(B66="insumo",_xlfn.XLOOKUP($D66,[1]Insumos!$B$1:$B$878,[1]Insumos!$D$1:$D$878),"")</f>
        <v>2.74</v>
      </c>
      <c r="H66" s="15">
        <f t="shared" si="11"/>
        <v>2.0295180000000004</v>
      </c>
    </row>
    <row r="67" spans="1:9" hidden="1" outlineLevel="1" x14ac:dyDescent="0.3">
      <c r="A67" s="13"/>
      <c r="B67" s="13" t="s">
        <v>23</v>
      </c>
      <c r="C67" s="13" t="str">
        <f t="shared" si="12"/>
        <v>Parede Com Sistema Em Chapas De Gesso Para Drywall, Uso Interno, Montante 70mm, Com Uma Face Dupla Standart (2S / 70)</v>
      </c>
      <c r="D67" s="13" t="s">
        <v>32</v>
      </c>
      <c r="E67" s="13" t="str">
        <f t="array" ref="E67">_xlfn.XLOOKUP(D67,[1]Insumos!B:B,[1]Insumos!C:$C)</f>
        <v>UN</v>
      </c>
      <c r="F67" s="13">
        <v>10.093400000000001</v>
      </c>
      <c r="G67" s="14">
        <f t="array" ref="G67">IF(B67="insumo",_xlfn.XLOOKUP($D67,[1]Insumos!$B$1:$B$878,[1]Insumos!$D$1:$D$878),"")</f>
        <v>0.09</v>
      </c>
      <c r="H67" s="15">
        <f t="shared" si="11"/>
        <v>0.90840600000000005</v>
      </c>
    </row>
    <row r="68" spans="1:9" hidden="1" outlineLevel="1" x14ac:dyDescent="0.3">
      <c r="A68" s="13"/>
      <c r="B68" s="13" t="s">
        <v>23</v>
      </c>
      <c r="C68" s="13" t="str">
        <f t="shared" si="12"/>
        <v>Parede Com Sistema Em Chapas De Gesso Para Drywall, Uso Interno, Montante 70mm, Com Uma Face Dupla Standart (2S / 70)</v>
      </c>
      <c r="D68" s="13" t="s">
        <v>33</v>
      </c>
      <c r="E68" s="13" t="str">
        <f t="array" ref="E68">_xlfn.XLOOKUP(D68,[1]Insumos!B:B,[1]Insumos!C:$C)</f>
        <v>UN</v>
      </c>
      <c r="F68" s="13">
        <v>0.4803</v>
      </c>
      <c r="G68" s="14">
        <f t="array" ref="G68">IF(B68="insumo",_xlfn.XLOOKUP($D68,[1]Insumos!$B$1:$B$878,[1]Insumos!$D$1:$D$878),"")</f>
        <v>0.2</v>
      </c>
      <c r="H68" s="15">
        <f t="shared" si="11"/>
        <v>9.6060000000000006E-2</v>
      </c>
    </row>
    <row r="69" spans="1:9" hidden="1" outlineLevel="1" x14ac:dyDescent="0.3">
      <c r="A69" s="12"/>
      <c r="B69" s="13" t="s">
        <v>23</v>
      </c>
      <c r="C69" s="13" t="s">
        <v>21</v>
      </c>
      <c r="D69" s="25" t="s">
        <v>46</v>
      </c>
      <c r="E69" s="13" t="s">
        <v>36</v>
      </c>
      <c r="F69" s="24">
        <v>0.8</v>
      </c>
      <c r="G69" s="14">
        <v>3</v>
      </c>
      <c r="H69" s="15">
        <f t="shared" si="11"/>
        <v>2.4000000000000004</v>
      </c>
    </row>
    <row r="70" spans="1:9" ht="15" hidden="1" outlineLevel="1" thickBot="1" x14ac:dyDescent="0.35">
      <c r="A70" s="12"/>
      <c r="B70" s="13" t="s">
        <v>23</v>
      </c>
      <c r="C70" s="13" t="s">
        <v>21</v>
      </c>
      <c r="D70" s="25" t="s">
        <v>47</v>
      </c>
      <c r="E70" s="13" t="s">
        <v>36</v>
      </c>
      <c r="F70" s="24">
        <v>0.84</v>
      </c>
      <c r="G70" s="14">
        <v>0.6</v>
      </c>
      <c r="H70" s="15">
        <f t="shared" si="11"/>
        <v>0.504</v>
      </c>
    </row>
    <row r="71" spans="1:9" ht="15.6" collapsed="1" thickBot="1" x14ac:dyDescent="0.35">
      <c r="A71" s="26" t="s">
        <v>61</v>
      </c>
      <c r="B71" s="21" t="s">
        <v>20</v>
      </c>
      <c r="C71" s="21" t="s">
        <v>49</v>
      </c>
      <c r="D71" s="21" t="s">
        <v>66</v>
      </c>
      <c r="E71" s="20" t="s">
        <v>22</v>
      </c>
      <c r="F71" s="20"/>
      <c r="G71" s="22" t="s">
        <v>34</v>
      </c>
      <c r="H71" s="23">
        <f>SUM(H72:H82)</f>
        <v>238.01049566666671</v>
      </c>
      <c r="I71" s="75" t="s">
        <v>153</v>
      </c>
    </row>
    <row r="72" spans="1:9" hidden="1" outlineLevel="1" x14ac:dyDescent="0.3">
      <c r="A72" s="12"/>
      <c r="B72" s="13" t="s">
        <v>23</v>
      </c>
      <c r="C72" s="13" t="str">
        <f t="shared" ref="C72:C73" si="13">IF(B72="serviço",D72,C71)</f>
        <v>Parede Com Sistema Em Chapas De Gesso Para Drywall, Uso Interno, Montante 70mm, Com Uma Face Dupla Standart (2S / 70)</v>
      </c>
      <c r="D72" s="13" t="s">
        <v>24</v>
      </c>
      <c r="E72" s="13" t="s">
        <v>22</v>
      </c>
      <c r="F72" s="13">
        <v>2.1059999999999999</v>
      </c>
      <c r="G72" s="27">
        <v>20.16</v>
      </c>
      <c r="H72" s="15">
        <f>G72*F72</f>
        <v>42.456959999999995</v>
      </c>
    </row>
    <row r="73" spans="1:9" hidden="1" outlineLevel="1" x14ac:dyDescent="0.3">
      <c r="A73" s="12"/>
      <c r="B73" s="13" t="s">
        <v>23</v>
      </c>
      <c r="C73" s="13" t="str">
        <f t="shared" si="13"/>
        <v>Parede Com Sistema Em Chapas De Gesso Para Drywall, Uso Interno, Montante 70mm, Com Uma Face Dupla Standart (2S / 70)</v>
      </c>
      <c r="D73" s="13" t="s">
        <v>26</v>
      </c>
      <c r="E73" s="13" t="s">
        <v>35</v>
      </c>
      <c r="F73" s="13">
        <v>4.95</v>
      </c>
      <c r="G73" s="34">
        <v>0.504</v>
      </c>
      <c r="H73" s="15">
        <f t="shared" ref="H73:H82" si="14">G73*F73</f>
        <v>2.4948000000000001</v>
      </c>
    </row>
    <row r="74" spans="1:9" hidden="1" outlineLevel="1" x14ac:dyDescent="0.3">
      <c r="A74" s="12"/>
      <c r="B74" s="13" t="s">
        <v>23</v>
      </c>
      <c r="C74" s="13" t="s">
        <v>21</v>
      </c>
      <c r="D74" s="13" t="s">
        <v>67</v>
      </c>
      <c r="E74" s="13" t="s">
        <v>36</v>
      </c>
      <c r="F74" s="13">
        <v>1.5247999999999999</v>
      </c>
      <c r="G74" s="27">
        <v>23.52333333333333</v>
      </c>
      <c r="H74" s="15">
        <f t="shared" si="14"/>
        <v>35.868378666666658</v>
      </c>
    </row>
    <row r="75" spans="1:9" hidden="1" outlineLevel="1" x14ac:dyDescent="0.3">
      <c r="A75" s="12"/>
      <c r="B75" s="13" t="s">
        <v>23</v>
      </c>
      <c r="C75" s="13" t="str">
        <f>IF(B75="serviço",D75,C73)</f>
        <v>Parede Com Sistema Em Chapas De Gesso Para Drywall, Uso Interno, Montante 70mm, Com Uma Face Dupla Standart (2S / 70)</v>
      </c>
      <c r="D75" s="24" t="s">
        <v>96</v>
      </c>
      <c r="E75" s="13" t="s">
        <v>36</v>
      </c>
      <c r="F75" s="13">
        <v>4.0011000000000001</v>
      </c>
      <c r="G75" s="27">
        <v>17.72</v>
      </c>
      <c r="H75" s="15">
        <f t="shared" si="14"/>
        <v>70.899491999999995</v>
      </c>
    </row>
    <row r="76" spans="1:9" hidden="1" outlineLevel="1" x14ac:dyDescent="0.3">
      <c r="A76" s="12"/>
      <c r="B76" s="13" t="s">
        <v>23</v>
      </c>
      <c r="C76" s="13" t="str">
        <f t="shared" ref="C76:C80" si="15">IF(B76="serviço",D76,C75)</f>
        <v>Parede Com Sistema Em Chapas De Gesso Para Drywall, Uso Interno, Montante 70mm, Com Uma Face Dupla Standart (2S / 70)</v>
      </c>
      <c r="D76" s="13" t="s">
        <v>68</v>
      </c>
      <c r="E76" s="13" t="s">
        <v>37</v>
      </c>
      <c r="F76" s="13">
        <v>1.1000000000000001</v>
      </c>
      <c r="G76" s="34">
        <v>10.24</v>
      </c>
      <c r="H76" s="15">
        <f t="shared" si="14"/>
        <v>11.264000000000001</v>
      </c>
    </row>
    <row r="77" spans="1:9" hidden="1" outlineLevel="1" x14ac:dyDescent="0.3">
      <c r="A77" s="12"/>
      <c r="B77" s="13" t="s">
        <v>23</v>
      </c>
      <c r="C77" s="13" t="str">
        <f t="shared" si="15"/>
        <v>Parede Com Sistema Em Chapas De Gesso Para Drywall, Uso Interno, Montante 70mm, Com Uma Face Dupla Standart (2S / 70)</v>
      </c>
      <c r="D77" s="13" t="s">
        <v>69</v>
      </c>
      <c r="E77" s="13" t="s">
        <v>36</v>
      </c>
      <c r="F77" s="13">
        <v>3.5026999999999999</v>
      </c>
      <c r="G77" s="34">
        <v>9.6</v>
      </c>
      <c r="H77" s="15">
        <f t="shared" si="14"/>
        <v>33.625920000000001</v>
      </c>
    </row>
    <row r="78" spans="1:9" hidden="1" outlineLevel="1" x14ac:dyDescent="0.3">
      <c r="A78" s="12"/>
      <c r="B78" s="13" t="s">
        <v>23</v>
      </c>
      <c r="C78" s="13" t="str">
        <f t="shared" si="15"/>
        <v>Parede Com Sistema Em Chapas De Gesso Para Drywall, Uso Interno, Montante 70mm, Com Uma Face Dupla Standart (2S / 70)</v>
      </c>
      <c r="D78" s="13" t="s">
        <v>30</v>
      </c>
      <c r="E78" s="13" t="s">
        <v>36</v>
      </c>
      <c r="F78" s="13">
        <v>1.4815</v>
      </c>
      <c r="G78" s="34">
        <v>2.74</v>
      </c>
      <c r="H78" s="15">
        <f t="shared" si="14"/>
        <v>4.0593100000000009</v>
      </c>
    </row>
    <row r="79" spans="1:9" hidden="1" outlineLevel="1" x14ac:dyDescent="0.3">
      <c r="A79" s="12"/>
      <c r="B79" s="13" t="s">
        <v>23</v>
      </c>
      <c r="C79" s="13" t="str">
        <f t="shared" si="15"/>
        <v>Parede Com Sistema Em Chapas De Gesso Para Drywall, Uso Interno, Montante 70mm, Com Uma Face Dupla Standart (2S / 70)</v>
      </c>
      <c r="D79" s="13" t="s">
        <v>70</v>
      </c>
      <c r="E79" s="13" t="s">
        <v>35</v>
      </c>
      <c r="F79" s="13">
        <v>0.4803</v>
      </c>
      <c r="G79" s="34">
        <v>0.25</v>
      </c>
      <c r="H79" s="15">
        <f t="shared" si="14"/>
        <v>0.120075</v>
      </c>
    </row>
    <row r="80" spans="1:9" hidden="1" outlineLevel="1" x14ac:dyDescent="0.3">
      <c r="A80" s="12"/>
      <c r="B80" s="13" t="s">
        <v>23</v>
      </c>
      <c r="C80" s="13" t="str">
        <f t="shared" si="15"/>
        <v>Parede Com Sistema Em Chapas De Gesso Para Drywall, Uso Interno, Montante 70mm, Com Uma Face Dupla Standart (2S / 70)</v>
      </c>
      <c r="D80" s="13" t="s">
        <v>71</v>
      </c>
      <c r="E80" s="13" t="s">
        <v>35</v>
      </c>
      <c r="F80" s="13">
        <v>20.186800000000002</v>
      </c>
      <c r="G80" s="34">
        <v>1.7</v>
      </c>
      <c r="H80" s="15">
        <f t="shared" si="14"/>
        <v>34.31756</v>
      </c>
    </row>
    <row r="81" spans="1:9" hidden="1" outlineLevel="1" x14ac:dyDescent="0.3">
      <c r="A81" s="12"/>
      <c r="B81" s="13" t="s">
        <v>23</v>
      </c>
      <c r="C81" s="13" t="s">
        <v>21</v>
      </c>
      <c r="D81" s="25" t="s">
        <v>46</v>
      </c>
      <c r="E81" s="13" t="s">
        <v>36</v>
      </c>
      <c r="F81" s="13">
        <v>0.8</v>
      </c>
      <c r="G81" s="34">
        <v>3</v>
      </c>
      <c r="H81" s="15">
        <f t="shared" si="14"/>
        <v>2.4000000000000004</v>
      </c>
    </row>
    <row r="82" spans="1:9" ht="15" hidden="1" outlineLevel="1" thickBot="1" x14ac:dyDescent="0.35">
      <c r="A82" s="16"/>
      <c r="B82" s="17" t="s">
        <v>23</v>
      </c>
      <c r="C82" s="17" t="s">
        <v>21</v>
      </c>
      <c r="D82" s="28" t="s">
        <v>47</v>
      </c>
      <c r="E82" s="17" t="s">
        <v>36</v>
      </c>
      <c r="F82" s="17">
        <v>0.84</v>
      </c>
      <c r="G82" s="44">
        <v>0.6</v>
      </c>
      <c r="H82" s="19">
        <f t="shared" si="14"/>
        <v>0.504</v>
      </c>
    </row>
    <row r="83" spans="1:9" ht="15.6" collapsed="1" thickBot="1" x14ac:dyDescent="0.35">
      <c r="A83" s="26" t="s">
        <v>59</v>
      </c>
      <c r="B83" s="21" t="s">
        <v>20</v>
      </c>
      <c r="C83" s="21" t="s">
        <v>97</v>
      </c>
      <c r="E83" s="20" t="s">
        <v>22</v>
      </c>
      <c r="F83" s="20"/>
      <c r="G83" s="22" t="s">
        <v>34</v>
      </c>
      <c r="H83" s="23">
        <f>SUM(H84:H95)</f>
        <v>94.648697999999996</v>
      </c>
      <c r="I83" s="49" t="s">
        <v>153</v>
      </c>
    </row>
    <row r="84" spans="1:9" hidden="1" outlineLevel="1" x14ac:dyDescent="0.3">
      <c r="A84" s="12"/>
      <c r="B84" s="13" t="s">
        <v>23</v>
      </c>
      <c r="C84" s="13" t="s">
        <v>97</v>
      </c>
      <c r="D84" s="13" t="s">
        <v>24</v>
      </c>
      <c r="E84" s="13" t="s">
        <v>22</v>
      </c>
      <c r="F84" s="13">
        <v>2.1059999999999999</v>
      </c>
      <c r="G84" s="27">
        <v>20.16</v>
      </c>
      <c r="H84" s="15">
        <f>G84*F84</f>
        <v>42.456959999999995</v>
      </c>
    </row>
    <row r="85" spans="1:9" hidden="1" outlineLevel="1" x14ac:dyDescent="0.3">
      <c r="A85" s="12"/>
      <c r="B85" s="13" t="s">
        <v>23</v>
      </c>
      <c r="C85" s="13" t="s">
        <v>97</v>
      </c>
      <c r="D85" s="13" t="s">
        <v>26</v>
      </c>
      <c r="E85" s="13" t="s">
        <v>35</v>
      </c>
      <c r="F85" s="13">
        <v>2.48</v>
      </c>
      <c r="G85" s="34">
        <f t="array" ref="G85">IF(B85="insumo",_xlfn.XLOOKUP($D85,[2]Insumos!$B$1:$B$878,[2]Insumos!$D$1:$D$878),"")</f>
        <v>0.504</v>
      </c>
      <c r="H85" s="15">
        <f t="shared" ref="H85:H95" si="16">G85*F85</f>
        <v>1.2499199999999999</v>
      </c>
    </row>
    <row r="86" spans="1:9" hidden="1" outlineLevel="1" x14ac:dyDescent="0.3">
      <c r="A86" s="12"/>
      <c r="B86" s="13" t="s">
        <v>23</v>
      </c>
      <c r="C86" s="13" t="s">
        <v>97</v>
      </c>
      <c r="D86" s="13" t="s">
        <v>50</v>
      </c>
      <c r="E86" s="13" t="s">
        <v>36</v>
      </c>
      <c r="F86" s="13">
        <v>0.76239999999999997</v>
      </c>
      <c r="G86" s="27">
        <v>7.46</v>
      </c>
      <c r="H86" s="15">
        <f t="shared" si="16"/>
        <v>5.6875039999999997</v>
      </c>
    </row>
    <row r="87" spans="1:9" hidden="1" outlineLevel="1" x14ac:dyDescent="0.3">
      <c r="A87" s="12"/>
      <c r="B87" s="13" t="s">
        <v>23</v>
      </c>
      <c r="C87" s="13" t="s">
        <v>97</v>
      </c>
      <c r="D87" s="24" t="s">
        <v>51</v>
      </c>
      <c r="E87" s="13" t="s">
        <v>36</v>
      </c>
      <c r="F87" s="13">
        <v>2.0005999999999999</v>
      </c>
      <c r="G87" s="27">
        <v>9.5</v>
      </c>
      <c r="H87" s="15">
        <f t="shared" si="16"/>
        <v>19.005700000000001</v>
      </c>
    </row>
    <row r="88" spans="1:9" hidden="1" outlineLevel="1" x14ac:dyDescent="0.3">
      <c r="A88" s="12"/>
      <c r="B88" s="13" t="s">
        <v>23</v>
      </c>
      <c r="C88" s="13" t="s">
        <v>97</v>
      </c>
      <c r="D88" s="13" t="s">
        <v>28</v>
      </c>
      <c r="E88" s="13" t="s">
        <v>37</v>
      </c>
      <c r="F88" s="13">
        <v>0.54890000000000005</v>
      </c>
      <c r="G88" s="34">
        <f t="array" ref="G88">IF(B88="insumo",_xlfn.XLOOKUP($D88,[2]Insumos!$B$1:$B$878,[2]Insumos!$D$1:$D$878),"")</f>
        <v>3.43</v>
      </c>
      <c r="H88" s="15">
        <f t="shared" si="16"/>
        <v>1.8827270000000003</v>
      </c>
    </row>
    <row r="89" spans="1:9" hidden="1" outlineLevel="1" x14ac:dyDescent="0.3">
      <c r="A89" s="12"/>
      <c r="B89" s="13" t="s">
        <v>23</v>
      </c>
      <c r="C89" s="13" t="s">
        <v>97</v>
      </c>
      <c r="D89" s="13" t="s">
        <v>29</v>
      </c>
      <c r="E89" s="13" t="s">
        <v>36</v>
      </c>
      <c r="F89" s="13">
        <v>1.2513000000000001</v>
      </c>
      <c r="G89" s="34">
        <f t="array" ref="G89">IF(B89="insumo",_xlfn.XLOOKUP($D89,[2]Insumos!$B$1:$B$878,[2]Insumos!$D$1:$D$878),"")</f>
        <v>0.31</v>
      </c>
      <c r="H89" s="15">
        <f t="shared" si="16"/>
        <v>0.387903</v>
      </c>
    </row>
    <row r="90" spans="1:9" hidden="1" outlineLevel="1" x14ac:dyDescent="0.3">
      <c r="A90" s="12"/>
      <c r="B90" s="13" t="s">
        <v>23</v>
      </c>
      <c r="C90" s="13" t="s">
        <v>97</v>
      </c>
      <c r="D90" s="13" t="s">
        <v>30</v>
      </c>
      <c r="E90" s="13" t="s">
        <v>36</v>
      </c>
      <c r="F90" s="13">
        <v>0.74070000000000003</v>
      </c>
      <c r="G90" s="34">
        <f t="array" ref="G90">IF(B90="insumo",_xlfn.XLOOKUP($D90,[2]Insumos!$B$1:$B$878,[2]Insumos!$D$1:$D$878),"")</f>
        <v>2.74</v>
      </c>
      <c r="H90" s="15">
        <f t="shared" si="16"/>
        <v>2.0295180000000004</v>
      </c>
    </row>
    <row r="91" spans="1:9" hidden="1" outlineLevel="1" x14ac:dyDescent="0.3">
      <c r="A91" s="12"/>
      <c r="B91" s="13" t="s">
        <v>23</v>
      </c>
      <c r="C91" s="13" t="s">
        <v>97</v>
      </c>
      <c r="D91" s="13" t="s">
        <v>31</v>
      </c>
      <c r="E91" s="13" t="s">
        <v>22</v>
      </c>
      <c r="F91" s="13">
        <v>1.1000000000000001</v>
      </c>
      <c r="G91" s="27">
        <v>16.399999999999999</v>
      </c>
      <c r="H91" s="15">
        <f t="shared" si="16"/>
        <v>18.04</v>
      </c>
    </row>
    <row r="92" spans="1:9" hidden="1" outlineLevel="1" x14ac:dyDescent="0.3">
      <c r="A92" s="12"/>
      <c r="B92" s="13" t="s">
        <v>23</v>
      </c>
      <c r="C92" s="13" t="s">
        <v>97</v>
      </c>
      <c r="D92" s="13" t="s">
        <v>32</v>
      </c>
      <c r="E92" s="13" t="s">
        <v>35</v>
      </c>
      <c r="F92" s="13">
        <v>10.093400000000001</v>
      </c>
      <c r="G92" s="34">
        <f t="array" ref="G92">IF(B92="insumo",_xlfn.XLOOKUP($D92,[2]Insumos!$B$1:$B$878,[2]Insumos!$D$1:$D$878),"")</f>
        <v>0.09</v>
      </c>
      <c r="H92" s="15">
        <f t="shared" si="16"/>
        <v>0.90840600000000005</v>
      </c>
    </row>
    <row r="93" spans="1:9" ht="28.8" hidden="1" outlineLevel="1" x14ac:dyDescent="0.3">
      <c r="A93" s="12"/>
      <c r="B93" s="13" t="s">
        <v>23</v>
      </c>
      <c r="C93" s="13" t="s">
        <v>97</v>
      </c>
      <c r="D93" s="25" t="s">
        <v>33</v>
      </c>
      <c r="E93" s="13" t="s">
        <v>35</v>
      </c>
      <c r="F93" s="13">
        <v>0.4803</v>
      </c>
      <c r="G93" s="34">
        <f t="array" ref="G93">IF(B93="insumo",_xlfn.XLOOKUP($D93,[2]Insumos!$B$1:$B$878,[2]Insumos!$D$1:$D$878),"")</f>
        <v>0.2</v>
      </c>
      <c r="H93" s="15">
        <f t="shared" si="16"/>
        <v>9.6060000000000006E-2</v>
      </c>
    </row>
    <row r="94" spans="1:9" hidden="1" outlineLevel="1" x14ac:dyDescent="0.3">
      <c r="A94" s="12"/>
      <c r="B94" s="13" t="s">
        <v>23</v>
      </c>
      <c r="C94" s="13" t="s">
        <v>21</v>
      </c>
      <c r="D94" s="25" t="s">
        <v>46</v>
      </c>
      <c r="E94" s="13" t="s">
        <v>36</v>
      </c>
      <c r="F94" s="13">
        <v>0.8</v>
      </c>
      <c r="G94" s="34">
        <v>3</v>
      </c>
      <c r="H94" s="15">
        <f t="shared" si="16"/>
        <v>2.4000000000000004</v>
      </c>
    </row>
    <row r="95" spans="1:9" ht="15" hidden="1" outlineLevel="1" thickBot="1" x14ac:dyDescent="0.35">
      <c r="A95" s="16"/>
      <c r="B95" s="17" t="s">
        <v>23</v>
      </c>
      <c r="C95" s="17" t="s">
        <v>21</v>
      </c>
      <c r="D95" s="28" t="s">
        <v>47</v>
      </c>
      <c r="E95" s="17" t="s">
        <v>36</v>
      </c>
      <c r="F95" s="17">
        <v>0.84</v>
      </c>
      <c r="G95" s="44">
        <v>0.6</v>
      </c>
      <c r="H95" s="19">
        <f t="shared" si="16"/>
        <v>0.504</v>
      </c>
    </row>
    <row r="96" spans="1:9" ht="15.6" collapsed="1" thickBot="1" x14ac:dyDescent="0.35">
      <c r="A96" s="26" t="s">
        <v>60</v>
      </c>
      <c r="B96" s="21" t="s">
        <v>20</v>
      </c>
      <c r="C96" s="21" t="s">
        <v>97</v>
      </c>
      <c r="D96" s="21"/>
      <c r="E96" s="20" t="s">
        <v>22</v>
      </c>
      <c r="F96" s="20"/>
      <c r="G96" s="22" t="s">
        <v>34</v>
      </c>
      <c r="H96" s="23">
        <f>SUM(H97:H109)</f>
        <v>101.95651799999999</v>
      </c>
      <c r="I96" s="49" t="s">
        <v>153</v>
      </c>
    </row>
    <row r="97" spans="1:9" hidden="1" outlineLevel="1" x14ac:dyDescent="0.3">
      <c r="A97" s="12"/>
      <c r="B97" s="13" t="s">
        <v>23</v>
      </c>
      <c r="C97" s="13" t="s">
        <v>97</v>
      </c>
      <c r="D97" s="13" t="s">
        <v>24</v>
      </c>
      <c r="E97" s="13" t="s">
        <v>22</v>
      </c>
      <c r="F97" s="13">
        <f>1.053</f>
        <v>1.0529999999999999</v>
      </c>
      <c r="G97" s="27">
        <v>20.16</v>
      </c>
      <c r="H97" s="15">
        <f>G97*F97</f>
        <v>21.228479999999998</v>
      </c>
    </row>
    <row r="98" spans="1:9" hidden="1" outlineLevel="1" x14ac:dyDescent="0.3">
      <c r="A98" s="12"/>
      <c r="B98" s="13" t="s">
        <v>23</v>
      </c>
      <c r="C98" s="13" t="s">
        <v>54</v>
      </c>
      <c r="D98" s="13" t="s">
        <v>25</v>
      </c>
      <c r="E98" s="13" t="s">
        <v>22</v>
      </c>
      <c r="F98" s="13">
        <f>1.053</f>
        <v>1.0529999999999999</v>
      </c>
      <c r="G98" s="27">
        <v>27.1</v>
      </c>
      <c r="H98" s="15">
        <f t="shared" ref="H98" si="17">G98*F98</f>
        <v>28.536300000000001</v>
      </c>
    </row>
    <row r="99" spans="1:9" hidden="1" outlineLevel="1" x14ac:dyDescent="0.3">
      <c r="A99" s="12"/>
      <c r="B99" s="13" t="s">
        <v>23</v>
      </c>
      <c r="C99" s="13" t="s">
        <v>97</v>
      </c>
      <c r="D99" s="13" t="s">
        <v>26</v>
      </c>
      <c r="E99" s="13" t="s">
        <v>35</v>
      </c>
      <c r="F99" s="13">
        <v>2.48</v>
      </c>
      <c r="G99" s="34">
        <f t="array" ref="G99">IF(B99="insumo",_xlfn.XLOOKUP($D99,[2]Insumos!$B$1:$B$878,[2]Insumos!$D$1:$D$878),"")</f>
        <v>0.504</v>
      </c>
      <c r="H99" s="15">
        <f t="shared" ref="H99:H109" si="18">G99*F99</f>
        <v>1.2499199999999999</v>
      </c>
    </row>
    <row r="100" spans="1:9" hidden="1" outlineLevel="1" x14ac:dyDescent="0.3">
      <c r="A100" s="12"/>
      <c r="B100" s="13" t="s">
        <v>23</v>
      </c>
      <c r="C100" s="13" t="s">
        <v>97</v>
      </c>
      <c r="D100" s="13" t="s">
        <v>50</v>
      </c>
      <c r="E100" s="13" t="s">
        <v>36</v>
      </c>
      <c r="F100" s="13">
        <v>0.76239999999999997</v>
      </c>
      <c r="G100" s="27">
        <v>7.46</v>
      </c>
      <c r="H100" s="15">
        <f t="shared" si="18"/>
        <v>5.6875039999999997</v>
      </c>
    </row>
    <row r="101" spans="1:9" hidden="1" outlineLevel="1" x14ac:dyDescent="0.3">
      <c r="A101" s="12"/>
      <c r="B101" s="13" t="s">
        <v>23</v>
      </c>
      <c r="C101" s="13" t="s">
        <v>97</v>
      </c>
      <c r="D101" s="24" t="s">
        <v>51</v>
      </c>
      <c r="E101" s="13" t="s">
        <v>36</v>
      </c>
      <c r="F101" s="13">
        <v>2.0005999999999999</v>
      </c>
      <c r="G101" s="27">
        <v>9.5</v>
      </c>
      <c r="H101" s="15">
        <f t="shared" si="18"/>
        <v>19.005700000000001</v>
      </c>
    </row>
    <row r="102" spans="1:9" hidden="1" outlineLevel="1" x14ac:dyDescent="0.3">
      <c r="A102" s="12"/>
      <c r="B102" s="13" t="s">
        <v>23</v>
      </c>
      <c r="C102" s="13" t="s">
        <v>97</v>
      </c>
      <c r="D102" s="13" t="s">
        <v>28</v>
      </c>
      <c r="E102" s="13" t="s">
        <v>37</v>
      </c>
      <c r="F102" s="13">
        <v>0.54890000000000005</v>
      </c>
      <c r="G102" s="34">
        <f t="array" ref="G102">IF(B102="insumo",_xlfn.XLOOKUP($D102,[2]Insumos!$B$1:$B$878,[2]Insumos!$D$1:$D$878),"")</f>
        <v>3.43</v>
      </c>
      <c r="H102" s="15">
        <f t="shared" si="18"/>
        <v>1.8827270000000003</v>
      </c>
    </row>
    <row r="103" spans="1:9" hidden="1" outlineLevel="1" x14ac:dyDescent="0.3">
      <c r="A103" s="12"/>
      <c r="B103" s="13" t="s">
        <v>23</v>
      </c>
      <c r="C103" s="13" t="s">
        <v>97</v>
      </c>
      <c r="D103" s="13" t="s">
        <v>29</v>
      </c>
      <c r="E103" s="13" t="s">
        <v>36</v>
      </c>
      <c r="F103" s="13">
        <v>1.2513000000000001</v>
      </c>
      <c r="G103" s="34">
        <f t="array" ref="G103">IF(B103="insumo",_xlfn.XLOOKUP($D103,[2]Insumos!$B$1:$B$878,[2]Insumos!$D$1:$D$878),"")</f>
        <v>0.31</v>
      </c>
      <c r="H103" s="15">
        <f t="shared" si="18"/>
        <v>0.387903</v>
      </c>
    </row>
    <row r="104" spans="1:9" hidden="1" outlineLevel="1" x14ac:dyDescent="0.3">
      <c r="A104" s="12"/>
      <c r="B104" s="13" t="s">
        <v>23</v>
      </c>
      <c r="C104" s="13" t="s">
        <v>97</v>
      </c>
      <c r="D104" s="13" t="s">
        <v>30</v>
      </c>
      <c r="E104" s="13" t="s">
        <v>36</v>
      </c>
      <c r="F104" s="13">
        <v>0.74070000000000003</v>
      </c>
      <c r="G104" s="34">
        <f t="array" ref="G104">IF(B104="insumo",_xlfn.XLOOKUP($D104,[2]Insumos!$B$1:$B$878,[2]Insumos!$D$1:$D$878),"")</f>
        <v>2.74</v>
      </c>
      <c r="H104" s="15">
        <f t="shared" si="18"/>
        <v>2.0295180000000004</v>
      </c>
    </row>
    <row r="105" spans="1:9" hidden="1" outlineLevel="1" x14ac:dyDescent="0.3">
      <c r="A105" s="12"/>
      <c r="B105" s="13" t="s">
        <v>23</v>
      </c>
      <c r="C105" s="13" t="s">
        <v>97</v>
      </c>
      <c r="D105" s="13" t="s">
        <v>31</v>
      </c>
      <c r="E105" s="13" t="s">
        <v>22</v>
      </c>
      <c r="F105" s="13">
        <v>1.1000000000000001</v>
      </c>
      <c r="G105" s="27">
        <v>16.399999999999999</v>
      </c>
      <c r="H105" s="15">
        <f t="shared" si="18"/>
        <v>18.04</v>
      </c>
    </row>
    <row r="106" spans="1:9" hidden="1" outlineLevel="1" x14ac:dyDescent="0.3">
      <c r="A106" s="12"/>
      <c r="B106" s="13" t="s">
        <v>23</v>
      </c>
      <c r="C106" s="13" t="s">
        <v>97</v>
      </c>
      <c r="D106" s="13" t="s">
        <v>32</v>
      </c>
      <c r="E106" s="13" t="s">
        <v>35</v>
      </c>
      <c r="F106" s="13">
        <v>10.093400000000001</v>
      </c>
      <c r="G106" s="34">
        <f t="array" ref="G106">IF(B106="insumo",_xlfn.XLOOKUP($D106,[2]Insumos!$B$1:$B$878,[2]Insumos!$D$1:$D$878),"")</f>
        <v>0.09</v>
      </c>
      <c r="H106" s="15">
        <f t="shared" si="18"/>
        <v>0.90840600000000005</v>
      </c>
    </row>
    <row r="107" spans="1:9" ht="28.8" hidden="1" outlineLevel="1" x14ac:dyDescent="0.3">
      <c r="A107" s="12"/>
      <c r="B107" s="13" t="s">
        <v>23</v>
      </c>
      <c r="C107" s="13" t="s">
        <v>97</v>
      </c>
      <c r="D107" s="25" t="s">
        <v>33</v>
      </c>
      <c r="E107" s="13" t="s">
        <v>35</v>
      </c>
      <c r="F107" s="13">
        <v>0.4803</v>
      </c>
      <c r="G107" s="34">
        <f t="array" ref="G107">IF(B107="insumo",_xlfn.XLOOKUP($D107,[2]Insumos!$B$1:$B$878,[2]Insumos!$D$1:$D$878),"")</f>
        <v>0.2</v>
      </c>
      <c r="H107" s="15">
        <f t="shared" si="18"/>
        <v>9.6060000000000006E-2</v>
      </c>
    </row>
    <row r="108" spans="1:9" hidden="1" outlineLevel="1" x14ac:dyDescent="0.3">
      <c r="A108" s="12"/>
      <c r="B108" s="13" t="s">
        <v>23</v>
      </c>
      <c r="C108" s="13" t="s">
        <v>21</v>
      </c>
      <c r="D108" s="25" t="s">
        <v>46</v>
      </c>
      <c r="E108" s="13" t="s">
        <v>36</v>
      </c>
      <c r="F108" s="13">
        <v>0.8</v>
      </c>
      <c r="G108" s="34">
        <v>3</v>
      </c>
      <c r="H108" s="15">
        <f t="shared" si="18"/>
        <v>2.4000000000000004</v>
      </c>
    </row>
    <row r="109" spans="1:9" ht="15" hidden="1" outlineLevel="1" thickBot="1" x14ac:dyDescent="0.35">
      <c r="A109" s="16"/>
      <c r="B109" s="17" t="s">
        <v>23</v>
      </c>
      <c r="C109" s="17" t="s">
        <v>21</v>
      </c>
      <c r="D109" s="28" t="s">
        <v>47</v>
      </c>
      <c r="E109" s="17" t="s">
        <v>36</v>
      </c>
      <c r="F109" s="17">
        <v>0.84</v>
      </c>
      <c r="G109" s="44">
        <v>0.6</v>
      </c>
      <c r="H109" s="19">
        <f t="shared" si="18"/>
        <v>0.504</v>
      </c>
    </row>
    <row r="110" spans="1:9" ht="19.8" collapsed="1" thickBot="1" x14ac:dyDescent="0.35">
      <c r="A110" s="1" t="s">
        <v>101</v>
      </c>
      <c r="B110" s="21" t="s">
        <v>20</v>
      </c>
      <c r="C110" s="46" t="s">
        <v>100</v>
      </c>
      <c r="D110" s="30" t="s">
        <v>102</v>
      </c>
      <c r="E110" s="20" t="s">
        <v>22</v>
      </c>
      <c r="F110" s="20"/>
      <c r="G110" s="22" t="s">
        <v>34</v>
      </c>
      <c r="H110" s="23">
        <f>SUM(H111:H123)</f>
        <v>121.44252399999999</v>
      </c>
      <c r="I110" s="49"/>
    </row>
    <row r="111" spans="1:9" hidden="1" outlineLevel="1" x14ac:dyDescent="0.3">
      <c r="A111" s="12"/>
      <c r="B111" s="13" t="s">
        <v>23</v>
      </c>
      <c r="C111" s="13"/>
      <c r="D111" s="13" t="s">
        <v>103</v>
      </c>
      <c r="E111" s="13" t="s">
        <v>22</v>
      </c>
      <c r="F111" s="13">
        <v>1.0529999999999999</v>
      </c>
      <c r="G111" s="27">
        <v>31.23</v>
      </c>
      <c r="H111" s="15">
        <f>G111*F111</f>
        <v>32.885190000000001</v>
      </c>
    </row>
    <row r="112" spans="1:9" hidden="1" outlineLevel="1" x14ac:dyDescent="0.3">
      <c r="A112" s="12"/>
      <c r="B112" s="13" t="s">
        <v>23</v>
      </c>
      <c r="C112" s="13"/>
      <c r="D112" s="13" t="s">
        <v>103</v>
      </c>
      <c r="E112" s="13" t="s">
        <v>22</v>
      </c>
      <c r="F112" s="13">
        <v>1.0529999999999999</v>
      </c>
      <c r="G112" s="27">
        <v>31.23</v>
      </c>
      <c r="H112" s="15">
        <f t="shared" ref="H112:H123" si="19">G112*F112</f>
        <v>32.885190000000001</v>
      </c>
    </row>
    <row r="113" spans="1:8" hidden="1" outlineLevel="1" x14ac:dyDescent="0.3">
      <c r="A113" s="12"/>
      <c r="B113" s="13" t="s">
        <v>23</v>
      </c>
      <c r="C113" s="13"/>
      <c r="D113" s="13" t="s">
        <v>26</v>
      </c>
      <c r="E113" s="13" t="s">
        <v>35</v>
      </c>
      <c r="F113" s="13">
        <v>2.48</v>
      </c>
      <c r="G113" s="14">
        <v>0.504</v>
      </c>
      <c r="H113" s="15">
        <f t="shared" si="19"/>
        <v>1.2499199999999999</v>
      </c>
    </row>
    <row r="114" spans="1:8" hidden="1" outlineLevel="1" x14ac:dyDescent="0.3">
      <c r="A114" s="12"/>
      <c r="B114" s="13" t="s">
        <v>23</v>
      </c>
      <c r="C114" s="13"/>
      <c r="D114" s="13" t="s">
        <v>27</v>
      </c>
      <c r="E114" s="13" t="s">
        <v>36</v>
      </c>
      <c r="F114" s="13">
        <v>0.76239999999999997</v>
      </c>
      <c r="G114" s="27">
        <v>8.64</v>
      </c>
      <c r="H114" s="15">
        <f t="shared" si="19"/>
        <v>6.5871360000000001</v>
      </c>
    </row>
    <row r="115" spans="1:8" hidden="1" outlineLevel="1" x14ac:dyDescent="0.3">
      <c r="A115" s="12"/>
      <c r="B115" s="13" t="s">
        <v>23</v>
      </c>
      <c r="C115" s="13"/>
      <c r="D115" s="24" t="s">
        <v>44</v>
      </c>
      <c r="E115" s="13" t="s">
        <v>36</v>
      </c>
      <c r="F115" s="24">
        <f>2.0006</f>
        <v>2.0005999999999999</v>
      </c>
      <c r="G115" s="27">
        <v>10.79</v>
      </c>
      <c r="H115" s="15">
        <f t="shared" si="19"/>
        <v>21.586473999999999</v>
      </c>
    </row>
    <row r="116" spans="1:8" hidden="1" outlineLevel="1" x14ac:dyDescent="0.3">
      <c r="A116" s="12"/>
      <c r="B116" s="13" t="s">
        <v>23</v>
      </c>
      <c r="C116" s="13"/>
      <c r="D116" s="13" t="s">
        <v>28</v>
      </c>
      <c r="E116" s="13" t="s">
        <v>37</v>
      </c>
      <c r="F116" s="13">
        <v>0.54890000000000005</v>
      </c>
      <c r="G116" s="14">
        <v>3.43</v>
      </c>
      <c r="H116" s="15">
        <f t="shared" si="19"/>
        <v>1.8827270000000003</v>
      </c>
    </row>
    <row r="117" spans="1:8" hidden="1" outlineLevel="1" x14ac:dyDescent="0.3">
      <c r="A117" s="12"/>
      <c r="B117" s="13" t="s">
        <v>23</v>
      </c>
      <c r="C117" s="13"/>
      <c r="D117" s="13" t="s">
        <v>29</v>
      </c>
      <c r="E117" s="13" t="s">
        <v>36</v>
      </c>
      <c r="F117" s="13">
        <v>1.2513000000000001</v>
      </c>
      <c r="G117" s="14">
        <v>0.31</v>
      </c>
      <c r="H117" s="15">
        <f t="shared" si="19"/>
        <v>0.387903</v>
      </c>
    </row>
    <row r="118" spans="1:8" hidden="1" outlineLevel="1" x14ac:dyDescent="0.3">
      <c r="A118" s="12"/>
      <c r="B118" s="13" t="s">
        <v>23</v>
      </c>
      <c r="C118" s="13"/>
      <c r="D118" s="13" t="s">
        <v>30</v>
      </c>
      <c r="E118" s="13" t="s">
        <v>36</v>
      </c>
      <c r="F118" s="13">
        <v>0.74070000000000003</v>
      </c>
      <c r="G118" s="14">
        <v>2.74</v>
      </c>
      <c r="H118" s="15">
        <f t="shared" si="19"/>
        <v>2.0295180000000004</v>
      </c>
    </row>
    <row r="119" spans="1:8" hidden="1" outlineLevel="1" x14ac:dyDescent="0.3">
      <c r="A119" s="12"/>
      <c r="B119" s="13" t="s">
        <v>23</v>
      </c>
      <c r="C119" s="13"/>
      <c r="D119" s="13" t="s">
        <v>31</v>
      </c>
      <c r="E119" s="13" t="s">
        <v>22</v>
      </c>
      <c r="F119" s="13">
        <v>1.1000000000000001</v>
      </c>
      <c r="G119" s="27">
        <v>16.399999999999999</v>
      </c>
      <c r="H119" s="15">
        <f t="shared" si="19"/>
        <v>18.04</v>
      </c>
    </row>
    <row r="120" spans="1:8" hidden="1" outlineLevel="1" x14ac:dyDescent="0.3">
      <c r="A120" s="12"/>
      <c r="B120" s="13" t="s">
        <v>23</v>
      </c>
      <c r="C120" s="13"/>
      <c r="D120" s="25" t="s">
        <v>46</v>
      </c>
      <c r="E120" s="13" t="s">
        <v>36</v>
      </c>
      <c r="F120" s="24">
        <v>0.8</v>
      </c>
      <c r="G120" s="14">
        <v>3</v>
      </c>
      <c r="H120" s="15">
        <f t="shared" si="19"/>
        <v>2.4000000000000004</v>
      </c>
    </row>
    <row r="121" spans="1:8" hidden="1" outlineLevel="1" x14ac:dyDescent="0.3">
      <c r="A121" s="12"/>
      <c r="B121" s="13" t="s">
        <v>23</v>
      </c>
      <c r="C121" s="13"/>
      <c r="D121" s="25" t="s">
        <v>47</v>
      </c>
      <c r="E121" s="13" t="s">
        <v>36</v>
      </c>
      <c r="F121" s="24">
        <v>0.84</v>
      </c>
      <c r="G121" s="14">
        <v>0.6</v>
      </c>
      <c r="H121" s="15">
        <f t="shared" si="19"/>
        <v>0.504</v>
      </c>
    </row>
    <row r="122" spans="1:8" hidden="1" outlineLevel="1" x14ac:dyDescent="0.3">
      <c r="A122" s="12"/>
      <c r="B122" s="13" t="s">
        <v>23</v>
      </c>
      <c r="C122" s="13"/>
      <c r="D122" s="13" t="s">
        <v>32</v>
      </c>
      <c r="E122" s="13" t="s">
        <v>35</v>
      </c>
      <c r="F122" s="13">
        <v>10.093400000000001</v>
      </c>
      <c r="G122" s="14">
        <v>0.09</v>
      </c>
      <c r="H122" s="15">
        <f t="shared" si="19"/>
        <v>0.90840600000000005</v>
      </c>
    </row>
    <row r="123" spans="1:8" ht="15" hidden="1" outlineLevel="1" thickBot="1" x14ac:dyDescent="0.35">
      <c r="A123" s="16"/>
      <c r="B123" s="17" t="s">
        <v>23</v>
      </c>
      <c r="C123" s="17"/>
      <c r="D123" s="17" t="s">
        <v>33</v>
      </c>
      <c r="E123" s="17" t="s">
        <v>35</v>
      </c>
      <c r="F123" s="17">
        <v>0.4803</v>
      </c>
      <c r="G123" s="18">
        <v>0.2</v>
      </c>
      <c r="H123" s="19">
        <f t="shared" si="19"/>
        <v>9.6060000000000006E-2</v>
      </c>
    </row>
    <row r="124" spans="1:8" ht="15.6" collapsed="1" thickBot="1" x14ac:dyDescent="0.35">
      <c r="A124" s="26" t="s">
        <v>104</v>
      </c>
      <c r="B124" s="21" t="s">
        <v>20</v>
      </c>
      <c r="C124" s="46" t="s">
        <v>130</v>
      </c>
      <c r="D124" s="21" t="s">
        <v>116</v>
      </c>
      <c r="E124" s="20" t="s">
        <v>22</v>
      </c>
      <c r="F124" s="20"/>
      <c r="G124" s="22" t="s">
        <v>34</v>
      </c>
      <c r="H124" s="23">
        <f>SUM(H125:H135)</f>
        <v>63.177326000000015</v>
      </c>
    </row>
    <row r="125" spans="1:8" hidden="1" outlineLevel="1" x14ac:dyDescent="0.3">
      <c r="A125" s="13"/>
      <c r="B125" s="13" t="s">
        <v>23</v>
      </c>
      <c r="C125" s="13"/>
      <c r="D125" s="13" t="s">
        <v>103</v>
      </c>
      <c r="E125" s="13" t="s">
        <v>22</v>
      </c>
      <c r="F125" s="13">
        <f>1.053</f>
        <v>1.0529999999999999</v>
      </c>
      <c r="G125" s="27">
        <v>31.23</v>
      </c>
      <c r="H125" s="15">
        <f>G125*F125</f>
        <v>32.885190000000001</v>
      </c>
    </row>
    <row r="126" spans="1:8" hidden="1" outlineLevel="1" x14ac:dyDescent="0.3">
      <c r="A126" s="13"/>
      <c r="B126" s="13" t="s">
        <v>23</v>
      </c>
      <c r="C126" s="13"/>
      <c r="D126" s="13" t="s">
        <v>26</v>
      </c>
      <c r="E126" s="13" t="s">
        <v>22</v>
      </c>
      <c r="F126" s="13">
        <v>2.48</v>
      </c>
      <c r="G126" s="14">
        <f t="array" ref="G126">IF(B126="insumo",_xlfn.XLOOKUP($D126,[1]Insumos!$B$1:$B$878,[1]Insumos!$D$1:$D$878),"")</f>
        <v>0.504</v>
      </c>
      <c r="H126" s="15">
        <f t="shared" ref="H126:H135" si="20">G126*F126</f>
        <v>1.2499199999999999</v>
      </c>
    </row>
    <row r="127" spans="1:8" hidden="1" outlineLevel="1" x14ac:dyDescent="0.3">
      <c r="A127" s="13"/>
      <c r="B127" s="13" t="s">
        <v>23</v>
      </c>
      <c r="C127" s="13"/>
      <c r="D127" s="24" t="s">
        <v>105</v>
      </c>
      <c r="E127" s="13" t="s">
        <v>36</v>
      </c>
      <c r="F127" s="13">
        <v>0.76239999999999997</v>
      </c>
      <c r="G127" s="27">
        <v>6.15</v>
      </c>
      <c r="H127" s="15">
        <f t="shared" si="20"/>
        <v>4.6887600000000003</v>
      </c>
    </row>
    <row r="128" spans="1:8" hidden="1" outlineLevel="1" x14ac:dyDescent="0.3">
      <c r="A128" s="13"/>
      <c r="B128" s="13" t="s">
        <v>23</v>
      </c>
      <c r="C128" s="13"/>
      <c r="D128" s="24" t="s">
        <v>106</v>
      </c>
      <c r="E128" s="13" t="s">
        <v>36</v>
      </c>
      <c r="F128" s="13">
        <f>2.0006</f>
        <v>2.0005999999999999</v>
      </c>
      <c r="G128" s="27">
        <v>8.07</v>
      </c>
      <c r="H128" s="15">
        <f t="shared" si="20"/>
        <v>16.144842000000001</v>
      </c>
    </row>
    <row r="129" spans="1:8" hidden="1" outlineLevel="1" x14ac:dyDescent="0.3">
      <c r="A129" s="13"/>
      <c r="B129" s="13" t="s">
        <v>23</v>
      </c>
      <c r="C129" s="13"/>
      <c r="D129" s="13" t="s">
        <v>28</v>
      </c>
      <c r="E129" s="13" t="s">
        <v>37</v>
      </c>
      <c r="F129" s="13">
        <v>0.54890000000000005</v>
      </c>
      <c r="G129" s="14">
        <f t="array" ref="G129">IF(B129="insumo",_xlfn.XLOOKUP($D129,[1]Insumos!$B$1:$B$878,[1]Insumos!$D$1:$D$878),"")</f>
        <v>3.43</v>
      </c>
      <c r="H129" s="15">
        <f t="shared" si="20"/>
        <v>1.8827270000000003</v>
      </c>
    </row>
    <row r="130" spans="1:8" hidden="1" outlineLevel="1" x14ac:dyDescent="0.3">
      <c r="A130" s="13"/>
      <c r="B130" s="13" t="s">
        <v>23</v>
      </c>
      <c r="C130" s="13"/>
      <c r="D130" s="13" t="s">
        <v>29</v>
      </c>
      <c r="E130" s="13" t="s">
        <v>36</v>
      </c>
      <c r="F130" s="13">
        <v>1.2513000000000001</v>
      </c>
      <c r="G130" s="14">
        <f t="array" ref="G130">IF(B130="insumo",_xlfn.XLOOKUP($D130,[1]Insumos!$B$1:$B$878,[1]Insumos!$D$1:$D$878),"")</f>
        <v>0.31</v>
      </c>
      <c r="H130" s="15">
        <f t="shared" si="20"/>
        <v>0.387903</v>
      </c>
    </row>
    <row r="131" spans="1:8" hidden="1" outlineLevel="1" x14ac:dyDescent="0.3">
      <c r="A131" s="13"/>
      <c r="B131" s="13" t="s">
        <v>23</v>
      </c>
      <c r="C131" s="13"/>
      <c r="D131" s="13" t="s">
        <v>30</v>
      </c>
      <c r="E131" s="13" t="s">
        <v>36</v>
      </c>
      <c r="F131" s="13">
        <v>0.74070000000000003</v>
      </c>
      <c r="G131" s="14">
        <f t="array" ref="G131">IF(B131="insumo",_xlfn.XLOOKUP($D131,[1]Insumos!$B$1:$B$878,[1]Insumos!$D$1:$D$878),"")</f>
        <v>2.74</v>
      </c>
      <c r="H131" s="15">
        <f t="shared" si="20"/>
        <v>2.0295180000000004</v>
      </c>
    </row>
    <row r="132" spans="1:8" hidden="1" outlineLevel="1" x14ac:dyDescent="0.3">
      <c r="A132" s="13"/>
      <c r="B132" s="13" t="s">
        <v>23</v>
      </c>
      <c r="C132" s="13"/>
      <c r="D132" s="13" t="s">
        <v>32</v>
      </c>
      <c r="E132" s="13" t="s">
        <v>22</v>
      </c>
      <c r="F132" s="13">
        <v>10.093400000000001</v>
      </c>
      <c r="G132" s="14">
        <f t="array" ref="G132">IF(B132="insumo",_xlfn.XLOOKUP($D132,[1]Insumos!$B$1:$B$878,[1]Insumos!$D$1:$D$878),"")</f>
        <v>0.09</v>
      </c>
      <c r="H132" s="15">
        <f t="shared" si="20"/>
        <v>0.90840600000000005</v>
      </c>
    </row>
    <row r="133" spans="1:8" hidden="1" outlineLevel="1" x14ac:dyDescent="0.3">
      <c r="A133" s="13"/>
      <c r="B133" s="13" t="s">
        <v>23</v>
      </c>
      <c r="C133" s="13"/>
      <c r="D133" s="13" t="s">
        <v>33</v>
      </c>
      <c r="E133" s="13" t="s">
        <v>36</v>
      </c>
      <c r="F133" s="13">
        <v>0.4803</v>
      </c>
      <c r="G133" s="14">
        <f t="array" ref="G133">IF(B133="insumo",_xlfn.XLOOKUP($D133,[1]Insumos!$B$1:$B$878,[1]Insumos!$D$1:$D$878),"")</f>
        <v>0.2</v>
      </c>
      <c r="H133" s="15">
        <f t="shared" si="20"/>
        <v>9.6060000000000006E-2</v>
      </c>
    </row>
    <row r="134" spans="1:8" hidden="1" outlineLevel="1" x14ac:dyDescent="0.3">
      <c r="A134" s="12"/>
      <c r="B134" s="13" t="s">
        <v>23</v>
      </c>
      <c r="C134" s="13"/>
      <c r="D134" s="25" t="s">
        <v>46</v>
      </c>
      <c r="E134" s="13" t="s">
        <v>36</v>
      </c>
      <c r="F134" s="24">
        <v>0.8</v>
      </c>
      <c r="G134" s="14">
        <v>3</v>
      </c>
      <c r="H134" s="15">
        <f t="shared" si="20"/>
        <v>2.4000000000000004</v>
      </c>
    </row>
    <row r="135" spans="1:8" ht="15" hidden="1" outlineLevel="1" thickBot="1" x14ac:dyDescent="0.35">
      <c r="A135" s="12"/>
      <c r="B135" s="13" t="s">
        <v>23</v>
      </c>
      <c r="C135" s="13"/>
      <c r="D135" s="25" t="s">
        <v>47</v>
      </c>
      <c r="E135" s="13" t="s">
        <v>35</v>
      </c>
      <c r="F135" s="24">
        <v>0.84</v>
      </c>
      <c r="G135" s="14">
        <v>0.6</v>
      </c>
      <c r="H135" s="15">
        <f t="shared" si="20"/>
        <v>0.504</v>
      </c>
    </row>
    <row r="136" spans="1:8" ht="15" collapsed="1" x14ac:dyDescent="0.3">
      <c r="A136" s="26" t="s">
        <v>107</v>
      </c>
      <c r="B136" s="21" t="s">
        <v>20</v>
      </c>
      <c r="C136" s="46" t="s">
        <v>115</v>
      </c>
      <c r="D136" s="21" t="s">
        <v>122</v>
      </c>
      <c r="E136" s="20" t="s">
        <v>22</v>
      </c>
      <c r="F136" s="20"/>
      <c r="G136" s="22" t="s">
        <v>34</v>
      </c>
      <c r="H136" s="23">
        <f>SUM(H137:H147)</f>
        <v>77.272087999999997</v>
      </c>
    </row>
    <row r="137" spans="1:8" outlineLevel="1" x14ac:dyDescent="0.3">
      <c r="A137" s="12"/>
      <c r="B137" s="13" t="s">
        <v>23</v>
      </c>
      <c r="C137" s="13"/>
      <c r="D137" s="13" t="s">
        <v>112</v>
      </c>
      <c r="E137" s="13" t="s">
        <v>22</v>
      </c>
      <c r="F137" s="13">
        <f>1.053</f>
        <v>1.0529999999999999</v>
      </c>
      <c r="G137" s="27">
        <v>40.950000000000003</v>
      </c>
      <c r="H137" s="15">
        <f>G137*F137</f>
        <v>43.120350000000002</v>
      </c>
    </row>
    <row r="138" spans="1:8" outlineLevel="1" x14ac:dyDescent="0.3">
      <c r="A138" s="12"/>
      <c r="B138" s="13" t="s">
        <v>23</v>
      </c>
      <c r="C138" s="13"/>
      <c r="D138" s="13" t="s">
        <v>26</v>
      </c>
      <c r="E138" s="13" t="s">
        <v>22</v>
      </c>
      <c r="F138" s="13">
        <v>2.48</v>
      </c>
      <c r="G138" s="14">
        <f t="array" ref="G138">IF(B138="insumo",_xlfn.XLOOKUP($D138,[1]Insumos!$B$1:$B$878,[1]Insumos!$D$1:$D$878),"")</f>
        <v>0.504</v>
      </c>
      <c r="H138" s="15">
        <f t="shared" ref="H138:H147" si="21">G138*F138</f>
        <v>1.2499199999999999</v>
      </c>
    </row>
    <row r="139" spans="1:8" outlineLevel="1" x14ac:dyDescent="0.3">
      <c r="A139" s="12"/>
      <c r="B139" s="13" t="s">
        <v>23</v>
      </c>
      <c r="C139" s="13"/>
      <c r="D139" s="24" t="s">
        <v>50</v>
      </c>
      <c r="E139" s="13" t="s">
        <v>36</v>
      </c>
      <c r="F139" s="13">
        <v>0.76239999999999997</v>
      </c>
      <c r="G139" s="27">
        <v>7.46</v>
      </c>
      <c r="H139" s="15">
        <f t="shared" si="21"/>
        <v>5.6875039999999997</v>
      </c>
    </row>
    <row r="140" spans="1:8" outlineLevel="1" x14ac:dyDescent="0.3">
      <c r="A140" s="12"/>
      <c r="B140" s="13" t="s">
        <v>23</v>
      </c>
      <c r="C140" s="13"/>
      <c r="D140" s="24" t="s">
        <v>142</v>
      </c>
      <c r="E140" s="13" t="s">
        <v>36</v>
      </c>
      <c r="F140" s="13">
        <f>2.0006</f>
        <v>2.0005999999999999</v>
      </c>
      <c r="G140" s="27">
        <v>9.5</v>
      </c>
      <c r="H140" s="15">
        <f t="shared" si="21"/>
        <v>19.005700000000001</v>
      </c>
    </row>
    <row r="141" spans="1:8" outlineLevel="1" x14ac:dyDescent="0.3">
      <c r="A141" s="12"/>
      <c r="B141" s="13" t="s">
        <v>23</v>
      </c>
      <c r="C141" s="13"/>
      <c r="D141" s="13" t="s">
        <v>28</v>
      </c>
      <c r="E141" s="13" t="s">
        <v>37</v>
      </c>
      <c r="F141" s="13">
        <v>0.54890000000000005</v>
      </c>
      <c r="G141" s="14">
        <f t="array" ref="G141">IF(B141="insumo",_xlfn.XLOOKUP($D141,[1]Insumos!$B$1:$B$878,[1]Insumos!$D$1:$D$878),"")</f>
        <v>3.43</v>
      </c>
      <c r="H141" s="15">
        <f t="shared" si="21"/>
        <v>1.8827270000000003</v>
      </c>
    </row>
    <row r="142" spans="1:8" outlineLevel="1" x14ac:dyDescent="0.3">
      <c r="A142" s="12"/>
      <c r="B142" s="13" t="s">
        <v>23</v>
      </c>
      <c r="C142" s="13"/>
      <c r="D142" s="13" t="s">
        <v>29</v>
      </c>
      <c r="E142" s="13" t="s">
        <v>36</v>
      </c>
      <c r="F142" s="13">
        <v>1.2513000000000001</v>
      </c>
      <c r="G142" s="14">
        <f t="array" ref="G142">IF(B142="insumo",_xlfn.XLOOKUP($D142,[1]Insumos!$B$1:$B$878,[1]Insumos!$D$1:$D$878),"")</f>
        <v>0.31</v>
      </c>
      <c r="H142" s="15">
        <f t="shared" si="21"/>
        <v>0.387903</v>
      </c>
    </row>
    <row r="143" spans="1:8" outlineLevel="1" x14ac:dyDescent="0.3">
      <c r="A143" s="12"/>
      <c r="B143" s="13" t="s">
        <v>23</v>
      </c>
      <c r="C143" s="13"/>
      <c r="D143" s="13" t="s">
        <v>30</v>
      </c>
      <c r="E143" s="13" t="s">
        <v>36</v>
      </c>
      <c r="F143" s="13">
        <v>0.74070000000000003</v>
      </c>
      <c r="G143" s="14">
        <f t="array" ref="G143">IF(B143="insumo",_xlfn.XLOOKUP($D143,[1]Insumos!$B$1:$B$878,[1]Insumos!$D$1:$D$878),"")</f>
        <v>2.74</v>
      </c>
      <c r="H143" s="15">
        <f t="shared" si="21"/>
        <v>2.0295180000000004</v>
      </c>
    </row>
    <row r="144" spans="1:8" outlineLevel="1" x14ac:dyDescent="0.3">
      <c r="A144" s="12"/>
      <c r="B144" s="13" t="s">
        <v>23</v>
      </c>
      <c r="C144" s="13"/>
      <c r="D144" s="13" t="s">
        <v>32</v>
      </c>
      <c r="E144" s="13" t="s">
        <v>22</v>
      </c>
      <c r="F144" s="13">
        <v>10.093400000000001</v>
      </c>
      <c r="G144" s="14">
        <f t="array" ref="G144">IF(B144="insumo",_xlfn.XLOOKUP($D144,[1]Insumos!$B$1:$B$878,[1]Insumos!$D$1:$D$878),"")</f>
        <v>0.09</v>
      </c>
      <c r="H144" s="15">
        <f t="shared" si="21"/>
        <v>0.90840600000000005</v>
      </c>
    </row>
    <row r="145" spans="1:9" outlineLevel="1" x14ac:dyDescent="0.3">
      <c r="A145" s="12"/>
      <c r="B145" s="13" t="s">
        <v>23</v>
      </c>
      <c r="C145" s="13"/>
      <c r="D145" s="13" t="s">
        <v>33</v>
      </c>
      <c r="E145" s="13" t="s">
        <v>36</v>
      </c>
      <c r="F145" s="13">
        <v>0.4803</v>
      </c>
      <c r="G145" s="14">
        <f t="array" ref="G145">IF(B145="insumo",_xlfn.XLOOKUP($D145,[1]Insumos!$B$1:$B$878,[1]Insumos!$D$1:$D$878),"")</f>
        <v>0.2</v>
      </c>
      <c r="H145" s="15">
        <f t="shared" si="21"/>
        <v>9.6060000000000006E-2</v>
      </c>
    </row>
    <row r="146" spans="1:9" outlineLevel="1" x14ac:dyDescent="0.3">
      <c r="A146" s="12"/>
      <c r="B146" s="13" t="s">
        <v>23</v>
      </c>
      <c r="C146" s="13"/>
      <c r="D146" s="25" t="s">
        <v>46</v>
      </c>
      <c r="E146" s="13" t="s">
        <v>36</v>
      </c>
      <c r="F146" s="24">
        <v>0.8</v>
      </c>
      <c r="G146" s="14">
        <v>3</v>
      </c>
      <c r="H146" s="15">
        <f t="shared" si="21"/>
        <v>2.4000000000000004</v>
      </c>
    </row>
    <row r="147" spans="1:9" ht="15" outlineLevel="1" thickBot="1" x14ac:dyDescent="0.35">
      <c r="A147" s="16"/>
      <c r="B147" s="17" t="s">
        <v>23</v>
      </c>
      <c r="C147" s="17"/>
      <c r="D147" s="28" t="s">
        <v>47</v>
      </c>
      <c r="E147" s="17" t="s">
        <v>35</v>
      </c>
      <c r="F147" s="29">
        <v>0.84</v>
      </c>
      <c r="G147" s="18">
        <v>0.6</v>
      </c>
      <c r="H147" s="19">
        <f t="shared" si="21"/>
        <v>0.504</v>
      </c>
    </row>
    <row r="148" spans="1:9" ht="19.2" x14ac:dyDescent="0.3">
      <c r="A148" s="1" t="s">
        <v>110</v>
      </c>
      <c r="B148" s="21" t="s">
        <v>20</v>
      </c>
      <c r="C148" s="46" t="s">
        <v>128</v>
      </c>
      <c r="D148" s="30" t="s">
        <v>111</v>
      </c>
      <c r="E148" s="20" t="s">
        <v>22</v>
      </c>
      <c r="F148" s="20"/>
      <c r="G148" s="22" t="s">
        <v>34</v>
      </c>
      <c r="H148" s="23">
        <f>SUM(H149:H161)</f>
        <v>131.677684</v>
      </c>
      <c r="I148" s="49"/>
    </row>
    <row r="149" spans="1:9" outlineLevel="1" x14ac:dyDescent="0.3">
      <c r="A149" s="12"/>
      <c r="B149" s="13" t="s">
        <v>23</v>
      </c>
      <c r="C149" s="13"/>
      <c r="D149" s="13" t="s">
        <v>112</v>
      </c>
      <c r="E149" s="13" t="s">
        <v>22</v>
      </c>
      <c r="F149" s="13">
        <f>1.053</f>
        <v>1.0529999999999999</v>
      </c>
      <c r="G149" s="27">
        <v>40.950000000000003</v>
      </c>
      <c r="H149" s="15">
        <f>G149*F149</f>
        <v>43.120350000000002</v>
      </c>
    </row>
    <row r="150" spans="1:9" outlineLevel="1" x14ac:dyDescent="0.3">
      <c r="A150" s="12"/>
      <c r="B150" s="13" t="s">
        <v>23</v>
      </c>
      <c r="C150" s="13"/>
      <c r="D150" s="13" t="s">
        <v>103</v>
      </c>
      <c r="E150" s="13" t="s">
        <v>22</v>
      </c>
      <c r="F150" s="13">
        <v>1.0529999999999999</v>
      </c>
      <c r="G150" s="27">
        <v>31.23</v>
      </c>
      <c r="H150" s="15">
        <f t="shared" ref="H150:H161" si="22">G150*F150</f>
        <v>32.885190000000001</v>
      </c>
    </row>
    <row r="151" spans="1:9" outlineLevel="1" x14ac:dyDescent="0.3">
      <c r="A151" s="12"/>
      <c r="B151" s="13" t="s">
        <v>23</v>
      </c>
      <c r="C151" s="13"/>
      <c r="D151" s="13" t="s">
        <v>26</v>
      </c>
      <c r="E151" s="13" t="s">
        <v>35</v>
      </c>
      <c r="F151" s="13">
        <v>2.48</v>
      </c>
      <c r="G151" s="14">
        <v>0.504</v>
      </c>
      <c r="H151" s="15">
        <f t="shared" si="22"/>
        <v>1.2499199999999999</v>
      </c>
    </row>
    <row r="152" spans="1:9" outlineLevel="1" x14ac:dyDescent="0.3">
      <c r="A152" s="12"/>
      <c r="B152" s="13" t="s">
        <v>23</v>
      </c>
      <c r="C152" s="13"/>
      <c r="D152" s="13" t="s">
        <v>27</v>
      </c>
      <c r="E152" s="13" t="s">
        <v>36</v>
      </c>
      <c r="F152" s="13">
        <v>0.76239999999999997</v>
      </c>
      <c r="G152" s="27">
        <v>8.64</v>
      </c>
      <c r="H152" s="15">
        <f t="shared" si="22"/>
        <v>6.5871360000000001</v>
      </c>
    </row>
    <row r="153" spans="1:9" outlineLevel="1" x14ac:dyDescent="0.3">
      <c r="A153" s="12"/>
      <c r="B153" s="13" t="s">
        <v>23</v>
      </c>
      <c r="C153" s="13"/>
      <c r="D153" s="24" t="s">
        <v>44</v>
      </c>
      <c r="E153" s="13" t="s">
        <v>36</v>
      </c>
      <c r="F153" s="24">
        <f>2.0006</f>
        <v>2.0005999999999999</v>
      </c>
      <c r="G153" s="27">
        <v>10.79</v>
      </c>
      <c r="H153" s="15">
        <f t="shared" si="22"/>
        <v>21.586473999999999</v>
      </c>
    </row>
    <row r="154" spans="1:9" outlineLevel="1" x14ac:dyDescent="0.3">
      <c r="A154" s="12"/>
      <c r="B154" s="13" t="s">
        <v>23</v>
      </c>
      <c r="C154" s="13"/>
      <c r="D154" s="13" t="s">
        <v>28</v>
      </c>
      <c r="E154" s="13" t="s">
        <v>37</v>
      </c>
      <c r="F154" s="13">
        <v>0.54890000000000005</v>
      </c>
      <c r="G154" s="14">
        <v>3.43</v>
      </c>
      <c r="H154" s="15">
        <f t="shared" si="22"/>
        <v>1.8827270000000003</v>
      </c>
    </row>
    <row r="155" spans="1:9" outlineLevel="1" x14ac:dyDescent="0.3">
      <c r="A155" s="12"/>
      <c r="B155" s="13" t="s">
        <v>23</v>
      </c>
      <c r="C155" s="13"/>
      <c r="D155" s="13" t="s">
        <v>29</v>
      </c>
      <c r="E155" s="13" t="s">
        <v>36</v>
      </c>
      <c r="F155" s="13">
        <v>1.2513000000000001</v>
      </c>
      <c r="G155" s="14">
        <v>0.31</v>
      </c>
      <c r="H155" s="15">
        <f t="shared" si="22"/>
        <v>0.387903</v>
      </c>
    </row>
    <row r="156" spans="1:9" outlineLevel="1" x14ac:dyDescent="0.3">
      <c r="A156" s="12"/>
      <c r="B156" s="13" t="s">
        <v>23</v>
      </c>
      <c r="C156" s="13"/>
      <c r="D156" s="13" t="s">
        <v>30</v>
      </c>
      <c r="E156" s="13" t="s">
        <v>36</v>
      </c>
      <c r="F156" s="13">
        <v>0.74070000000000003</v>
      </c>
      <c r="G156" s="14">
        <v>2.74</v>
      </c>
      <c r="H156" s="15">
        <f t="shared" si="22"/>
        <v>2.0295180000000004</v>
      </c>
    </row>
    <row r="157" spans="1:9" outlineLevel="1" x14ac:dyDescent="0.3">
      <c r="A157" s="12"/>
      <c r="B157" s="13" t="s">
        <v>23</v>
      </c>
      <c r="C157" s="13"/>
      <c r="D157" t="s">
        <v>113</v>
      </c>
      <c r="E157" s="13" t="s">
        <v>22</v>
      </c>
      <c r="F157" s="13">
        <v>1.1000000000000001</v>
      </c>
      <c r="G157" s="27">
        <v>16.399999999999999</v>
      </c>
      <c r="H157" s="15">
        <f t="shared" si="22"/>
        <v>18.04</v>
      </c>
    </row>
    <row r="158" spans="1:9" outlineLevel="1" x14ac:dyDescent="0.3">
      <c r="A158" s="12"/>
      <c r="B158" s="13" t="s">
        <v>23</v>
      </c>
      <c r="C158" s="13"/>
      <c r="D158" s="25" t="s">
        <v>46</v>
      </c>
      <c r="E158" s="13" t="s">
        <v>36</v>
      </c>
      <c r="F158" s="24">
        <v>0.8</v>
      </c>
      <c r="G158" s="14">
        <v>3</v>
      </c>
      <c r="H158" s="15">
        <f t="shared" si="22"/>
        <v>2.4000000000000004</v>
      </c>
    </row>
    <row r="159" spans="1:9" outlineLevel="1" x14ac:dyDescent="0.3">
      <c r="A159" s="12"/>
      <c r="B159" s="13" t="s">
        <v>23</v>
      </c>
      <c r="C159" s="13"/>
      <c r="D159" s="25" t="s">
        <v>47</v>
      </c>
      <c r="E159" s="13" t="s">
        <v>36</v>
      </c>
      <c r="F159" s="24">
        <v>0.84</v>
      </c>
      <c r="G159" s="14">
        <v>0.6</v>
      </c>
      <c r="H159" s="15">
        <f t="shared" si="22"/>
        <v>0.504</v>
      </c>
    </row>
    <row r="160" spans="1:9" outlineLevel="1" x14ac:dyDescent="0.3">
      <c r="A160" s="12"/>
      <c r="B160" s="13" t="s">
        <v>23</v>
      </c>
      <c r="C160" s="13"/>
      <c r="D160" s="13" t="s">
        <v>32</v>
      </c>
      <c r="E160" s="13" t="s">
        <v>35</v>
      </c>
      <c r="F160" s="13">
        <v>10.093400000000001</v>
      </c>
      <c r="G160" s="14">
        <v>0.09</v>
      </c>
      <c r="H160" s="15">
        <f t="shared" si="22"/>
        <v>0.90840600000000005</v>
      </c>
    </row>
    <row r="161" spans="1:8" ht="15" outlineLevel="1" thickBot="1" x14ac:dyDescent="0.35">
      <c r="A161" s="16"/>
      <c r="B161" s="17" t="s">
        <v>23</v>
      </c>
      <c r="C161" s="17"/>
      <c r="D161" s="17" t="s">
        <v>33</v>
      </c>
      <c r="E161" s="17" t="s">
        <v>35</v>
      </c>
      <c r="F161" s="17">
        <v>0.4803</v>
      </c>
      <c r="G161" s="18">
        <v>0.2</v>
      </c>
      <c r="H161" s="19">
        <f t="shared" si="22"/>
        <v>9.6060000000000006E-2</v>
      </c>
    </row>
    <row r="162" spans="1:8" ht="15.6" thickBot="1" x14ac:dyDescent="0.35">
      <c r="A162" s="26" t="s">
        <v>114</v>
      </c>
      <c r="B162" s="21" t="s">
        <v>20</v>
      </c>
      <c r="C162" s="46" t="s">
        <v>115</v>
      </c>
      <c r="D162" s="21" t="s">
        <v>123</v>
      </c>
      <c r="E162" s="20" t="s">
        <v>22</v>
      </c>
      <c r="F162" s="20"/>
      <c r="G162" s="22" t="s">
        <v>34</v>
      </c>
      <c r="H162" s="23">
        <f>SUM(H163:H173)</f>
        <v>77.272087999999997</v>
      </c>
    </row>
    <row r="163" spans="1:8" hidden="1" outlineLevel="1" x14ac:dyDescent="0.3">
      <c r="A163" s="13"/>
      <c r="B163" s="13" t="s">
        <v>23</v>
      </c>
      <c r="C163" s="13"/>
      <c r="D163" s="13" t="s">
        <v>112</v>
      </c>
      <c r="E163" s="13" t="s">
        <v>22</v>
      </c>
      <c r="F163" s="13">
        <f>1.053</f>
        <v>1.0529999999999999</v>
      </c>
      <c r="G163" s="27">
        <v>40.950000000000003</v>
      </c>
      <c r="H163" s="15">
        <f>G163*F163</f>
        <v>43.120350000000002</v>
      </c>
    </row>
    <row r="164" spans="1:8" hidden="1" outlineLevel="1" x14ac:dyDescent="0.3">
      <c r="A164" s="13"/>
      <c r="B164" s="13" t="s">
        <v>23</v>
      </c>
      <c r="C164" s="13"/>
      <c r="D164" s="13" t="s">
        <v>26</v>
      </c>
      <c r="E164" s="13" t="s">
        <v>22</v>
      </c>
      <c r="F164" s="13">
        <v>2.48</v>
      </c>
      <c r="G164" s="14">
        <f t="array" ref="G164">IF(B164="insumo",_xlfn.XLOOKUP($D164,[1]Insumos!$B$1:$B$878,[1]Insumos!$D$1:$D$878),"")</f>
        <v>0.504</v>
      </c>
      <c r="H164" s="15">
        <f t="shared" ref="H164:H173" si="23">G164*F164</f>
        <v>1.2499199999999999</v>
      </c>
    </row>
    <row r="165" spans="1:8" hidden="1" outlineLevel="1" x14ac:dyDescent="0.3">
      <c r="A165" s="13"/>
      <c r="B165" s="13" t="s">
        <v>23</v>
      </c>
      <c r="C165" s="13"/>
      <c r="D165" s="24" t="s">
        <v>50</v>
      </c>
      <c r="E165" s="13" t="s">
        <v>36</v>
      </c>
      <c r="F165" s="13">
        <v>0.76239999999999997</v>
      </c>
      <c r="G165" s="27">
        <v>7.46</v>
      </c>
      <c r="H165" s="15">
        <f t="shared" si="23"/>
        <v>5.6875039999999997</v>
      </c>
    </row>
    <row r="166" spans="1:8" hidden="1" outlineLevel="1" x14ac:dyDescent="0.3">
      <c r="A166" s="13"/>
      <c r="B166" s="13" t="s">
        <v>23</v>
      </c>
      <c r="C166" s="13"/>
      <c r="D166" s="24" t="s">
        <v>52</v>
      </c>
      <c r="E166" s="13" t="s">
        <v>36</v>
      </c>
      <c r="F166" s="13">
        <f>2.0006</f>
        <v>2.0005999999999999</v>
      </c>
      <c r="G166" s="27">
        <v>9.5</v>
      </c>
      <c r="H166" s="15">
        <f t="shared" si="23"/>
        <v>19.005700000000001</v>
      </c>
    </row>
    <row r="167" spans="1:8" hidden="1" outlineLevel="1" x14ac:dyDescent="0.3">
      <c r="A167" s="13"/>
      <c r="B167" s="13" t="s">
        <v>23</v>
      </c>
      <c r="C167" s="13"/>
      <c r="D167" s="13" t="s">
        <v>28</v>
      </c>
      <c r="E167" s="13" t="s">
        <v>37</v>
      </c>
      <c r="F167" s="13">
        <v>0.54890000000000005</v>
      </c>
      <c r="G167" s="14">
        <f t="array" ref="G167">IF(B167="insumo",_xlfn.XLOOKUP($D167,[1]Insumos!$B$1:$B$878,[1]Insumos!$D$1:$D$878),"")</f>
        <v>3.43</v>
      </c>
      <c r="H167" s="15">
        <f t="shared" si="23"/>
        <v>1.8827270000000003</v>
      </c>
    </row>
    <row r="168" spans="1:8" hidden="1" outlineLevel="1" x14ac:dyDescent="0.3">
      <c r="A168" s="13"/>
      <c r="B168" s="13" t="s">
        <v>23</v>
      </c>
      <c r="C168" s="13"/>
      <c r="D168" s="13" t="s">
        <v>29</v>
      </c>
      <c r="E168" s="13" t="s">
        <v>36</v>
      </c>
      <c r="F168" s="13">
        <v>1.2513000000000001</v>
      </c>
      <c r="G168" s="14">
        <f t="array" ref="G168">IF(B168="insumo",_xlfn.XLOOKUP($D168,[1]Insumos!$B$1:$B$878,[1]Insumos!$D$1:$D$878),"")</f>
        <v>0.31</v>
      </c>
      <c r="H168" s="15">
        <f t="shared" si="23"/>
        <v>0.387903</v>
      </c>
    </row>
    <row r="169" spans="1:8" hidden="1" outlineLevel="1" x14ac:dyDescent="0.3">
      <c r="A169" s="13"/>
      <c r="B169" s="13" t="s">
        <v>23</v>
      </c>
      <c r="C169" s="13"/>
      <c r="D169" s="13" t="s">
        <v>30</v>
      </c>
      <c r="E169" s="13" t="s">
        <v>36</v>
      </c>
      <c r="F169" s="13">
        <v>0.74070000000000003</v>
      </c>
      <c r="G169" s="14">
        <f t="array" ref="G169">IF(B169="insumo",_xlfn.XLOOKUP($D169,[1]Insumos!$B$1:$B$878,[1]Insumos!$D$1:$D$878),"")</f>
        <v>2.74</v>
      </c>
      <c r="H169" s="15">
        <f t="shared" si="23"/>
        <v>2.0295180000000004</v>
      </c>
    </row>
    <row r="170" spans="1:8" hidden="1" outlineLevel="1" x14ac:dyDescent="0.3">
      <c r="A170" s="13"/>
      <c r="B170" s="13" t="s">
        <v>23</v>
      </c>
      <c r="C170" s="13"/>
      <c r="D170" s="13" t="s">
        <v>32</v>
      </c>
      <c r="E170" s="13" t="s">
        <v>22</v>
      </c>
      <c r="F170" s="13">
        <v>10.093400000000001</v>
      </c>
      <c r="G170" s="14">
        <f t="array" ref="G170">IF(B170="insumo",_xlfn.XLOOKUP($D170,[1]Insumos!$B$1:$B$878,[1]Insumos!$D$1:$D$878),"")</f>
        <v>0.09</v>
      </c>
      <c r="H170" s="15">
        <f t="shared" si="23"/>
        <v>0.90840600000000005</v>
      </c>
    </row>
    <row r="171" spans="1:8" hidden="1" outlineLevel="1" x14ac:dyDescent="0.3">
      <c r="A171" s="13"/>
      <c r="B171" s="13" t="s">
        <v>23</v>
      </c>
      <c r="C171" s="13"/>
      <c r="D171" s="13" t="s">
        <v>33</v>
      </c>
      <c r="E171" s="13" t="s">
        <v>36</v>
      </c>
      <c r="F171" s="13">
        <v>0.4803</v>
      </c>
      <c r="G171" s="14">
        <f t="array" ref="G171">IF(B171="insumo",_xlfn.XLOOKUP($D171,[1]Insumos!$B$1:$B$878,[1]Insumos!$D$1:$D$878),"")</f>
        <v>0.2</v>
      </c>
      <c r="H171" s="15">
        <f t="shared" si="23"/>
        <v>9.6060000000000006E-2</v>
      </c>
    </row>
    <row r="172" spans="1:8" hidden="1" outlineLevel="1" x14ac:dyDescent="0.3">
      <c r="A172" s="12"/>
      <c r="B172" s="13" t="s">
        <v>23</v>
      </c>
      <c r="C172" s="13"/>
      <c r="D172" s="25" t="s">
        <v>46</v>
      </c>
      <c r="E172" s="13" t="s">
        <v>36</v>
      </c>
      <c r="F172" s="24">
        <v>0.8</v>
      </c>
      <c r="G172" s="14">
        <v>3</v>
      </c>
      <c r="H172" s="15">
        <f t="shared" si="23"/>
        <v>2.4000000000000004</v>
      </c>
    </row>
    <row r="173" spans="1:8" ht="15" hidden="1" outlineLevel="1" thickBot="1" x14ac:dyDescent="0.35">
      <c r="A173" s="12"/>
      <c r="B173" s="13" t="s">
        <v>23</v>
      </c>
      <c r="C173" s="13"/>
      <c r="D173" s="25" t="s">
        <v>47</v>
      </c>
      <c r="E173" s="13" t="s">
        <v>35</v>
      </c>
      <c r="F173" s="24">
        <v>0.84</v>
      </c>
      <c r="G173" s="14">
        <v>0.6</v>
      </c>
      <c r="H173" s="15">
        <f t="shared" si="23"/>
        <v>0.504</v>
      </c>
    </row>
    <row r="174" spans="1:8" ht="15.6" collapsed="1" thickBot="1" x14ac:dyDescent="0.35">
      <c r="A174" s="26" t="s">
        <v>117</v>
      </c>
      <c r="B174" s="21" t="s">
        <v>20</v>
      </c>
      <c r="C174" s="46" t="s">
        <v>127</v>
      </c>
      <c r="D174" s="21" t="s">
        <v>125</v>
      </c>
      <c r="E174" s="20" t="s">
        <v>22</v>
      </c>
      <c r="F174" s="20"/>
      <c r="G174" s="22" t="s">
        <v>34</v>
      </c>
      <c r="H174" s="23">
        <f>SUM(H175:H185)</f>
        <v>67.036928000000017</v>
      </c>
    </row>
    <row r="175" spans="1:8" hidden="1" outlineLevel="1" x14ac:dyDescent="0.3">
      <c r="A175" s="12"/>
      <c r="B175" s="13" t="s">
        <v>23</v>
      </c>
      <c r="C175" s="13"/>
      <c r="D175" s="13" t="s">
        <v>103</v>
      </c>
      <c r="E175" s="13" t="s">
        <v>22</v>
      </c>
      <c r="F175" s="13">
        <f>1.053</f>
        <v>1.0529999999999999</v>
      </c>
      <c r="G175" s="27">
        <v>31.23</v>
      </c>
      <c r="H175" s="15">
        <f>G175*F175</f>
        <v>32.885190000000001</v>
      </c>
    </row>
    <row r="176" spans="1:8" hidden="1" outlineLevel="1" x14ac:dyDescent="0.3">
      <c r="A176" s="12"/>
      <c r="B176" s="13" t="s">
        <v>23</v>
      </c>
      <c r="C176" s="13"/>
      <c r="D176" s="13" t="s">
        <v>26</v>
      </c>
      <c r="E176" s="13" t="s">
        <v>22</v>
      </c>
      <c r="F176" s="13">
        <v>2.48</v>
      </c>
      <c r="G176" s="14">
        <f t="array" ref="G176">IF(B176="insumo",_xlfn.XLOOKUP($D176,[1]Insumos!$B$1:$B$878,[1]Insumos!$D$1:$D$878),"")</f>
        <v>0.504</v>
      </c>
      <c r="H176" s="15">
        <f t="shared" ref="H176:H185" si="24">G176*F176</f>
        <v>1.2499199999999999</v>
      </c>
    </row>
    <row r="177" spans="1:8" hidden="1" outlineLevel="1" x14ac:dyDescent="0.3">
      <c r="A177" s="12"/>
      <c r="B177" s="13" t="s">
        <v>23</v>
      </c>
      <c r="C177" s="13"/>
      <c r="D177" s="24" t="s">
        <v>126</v>
      </c>
      <c r="E177" s="13" t="s">
        <v>36</v>
      </c>
      <c r="F177" s="13">
        <v>0.76239999999999997</v>
      </c>
      <c r="G177" s="27">
        <v>7.46</v>
      </c>
      <c r="H177" s="15">
        <f t="shared" si="24"/>
        <v>5.6875039999999997</v>
      </c>
    </row>
    <row r="178" spans="1:8" hidden="1" outlineLevel="1" x14ac:dyDescent="0.3">
      <c r="A178" s="12"/>
      <c r="B178" s="13" t="s">
        <v>23</v>
      </c>
      <c r="C178" s="13"/>
      <c r="D178" s="24" t="s">
        <v>52</v>
      </c>
      <c r="E178" s="13" t="s">
        <v>36</v>
      </c>
      <c r="F178" s="13">
        <f>2.0006</f>
        <v>2.0005999999999999</v>
      </c>
      <c r="G178" s="27">
        <v>9.5</v>
      </c>
      <c r="H178" s="15">
        <f t="shared" si="24"/>
        <v>19.005700000000001</v>
      </c>
    </row>
    <row r="179" spans="1:8" hidden="1" outlineLevel="1" x14ac:dyDescent="0.3">
      <c r="A179" s="12"/>
      <c r="B179" s="13" t="s">
        <v>23</v>
      </c>
      <c r="C179" s="13"/>
      <c r="D179" s="13" t="s">
        <v>28</v>
      </c>
      <c r="E179" s="13" t="s">
        <v>37</v>
      </c>
      <c r="F179" s="13">
        <v>0.54890000000000005</v>
      </c>
      <c r="G179" s="14">
        <f t="array" ref="G179">IF(B179="insumo",_xlfn.XLOOKUP($D179,[1]Insumos!$B$1:$B$878,[1]Insumos!$D$1:$D$878),"")</f>
        <v>3.43</v>
      </c>
      <c r="H179" s="15">
        <f t="shared" si="24"/>
        <v>1.8827270000000003</v>
      </c>
    </row>
    <row r="180" spans="1:8" hidden="1" outlineLevel="1" x14ac:dyDescent="0.3">
      <c r="A180" s="12"/>
      <c r="B180" s="13" t="s">
        <v>23</v>
      </c>
      <c r="C180" s="13"/>
      <c r="D180" s="13" t="s">
        <v>29</v>
      </c>
      <c r="E180" s="13" t="s">
        <v>36</v>
      </c>
      <c r="F180" s="13">
        <v>1.2513000000000001</v>
      </c>
      <c r="G180" s="14">
        <f t="array" ref="G180">IF(B180="insumo",_xlfn.XLOOKUP($D180,[1]Insumos!$B$1:$B$878,[1]Insumos!$D$1:$D$878),"")</f>
        <v>0.31</v>
      </c>
      <c r="H180" s="15">
        <f t="shared" si="24"/>
        <v>0.387903</v>
      </c>
    </row>
    <row r="181" spans="1:8" hidden="1" outlineLevel="1" x14ac:dyDescent="0.3">
      <c r="A181" s="12"/>
      <c r="B181" s="13" t="s">
        <v>23</v>
      </c>
      <c r="C181" s="13"/>
      <c r="D181" s="13" t="s">
        <v>30</v>
      </c>
      <c r="E181" s="13" t="s">
        <v>36</v>
      </c>
      <c r="F181" s="13">
        <v>0.74070000000000003</v>
      </c>
      <c r="G181" s="14">
        <f t="array" ref="G181">IF(B181="insumo",_xlfn.XLOOKUP($D181,[1]Insumos!$B$1:$B$878,[1]Insumos!$D$1:$D$878),"")</f>
        <v>2.74</v>
      </c>
      <c r="H181" s="15">
        <f t="shared" si="24"/>
        <v>2.0295180000000004</v>
      </c>
    </row>
    <row r="182" spans="1:8" hidden="1" outlineLevel="1" x14ac:dyDescent="0.3">
      <c r="A182" s="12"/>
      <c r="B182" s="13" t="s">
        <v>23</v>
      </c>
      <c r="C182" s="13"/>
      <c r="D182" s="13" t="s">
        <v>32</v>
      </c>
      <c r="E182" s="13" t="s">
        <v>22</v>
      </c>
      <c r="F182" s="13">
        <v>10.093400000000001</v>
      </c>
      <c r="G182" s="14">
        <f t="array" ref="G182">IF(B182="insumo",_xlfn.XLOOKUP($D182,[1]Insumos!$B$1:$B$878,[1]Insumos!$D$1:$D$878),"")</f>
        <v>0.09</v>
      </c>
      <c r="H182" s="15">
        <f t="shared" si="24"/>
        <v>0.90840600000000005</v>
      </c>
    </row>
    <row r="183" spans="1:8" hidden="1" outlineLevel="1" x14ac:dyDescent="0.3">
      <c r="A183" s="12"/>
      <c r="B183" s="13" t="s">
        <v>23</v>
      </c>
      <c r="C183" s="13"/>
      <c r="D183" s="13" t="s">
        <v>33</v>
      </c>
      <c r="E183" s="13" t="s">
        <v>36</v>
      </c>
      <c r="F183" s="13">
        <v>0.4803</v>
      </c>
      <c r="G183" s="14">
        <f t="array" ref="G183">IF(B183="insumo",_xlfn.XLOOKUP($D183,[1]Insumos!$B$1:$B$878,[1]Insumos!$D$1:$D$878),"")</f>
        <v>0.2</v>
      </c>
      <c r="H183" s="15">
        <f t="shared" si="24"/>
        <v>9.6060000000000006E-2</v>
      </c>
    </row>
    <row r="184" spans="1:8" hidden="1" outlineLevel="1" x14ac:dyDescent="0.3">
      <c r="A184" s="12"/>
      <c r="B184" s="13" t="s">
        <v>23</v>
      </c>
      <c r="C184" s="13"/>
      <c r="D184" s="25" t="s">
        <v>46</v>
      </c>
      <c r="E184" s="13" t="s">
        <v>36</v>
      </c>
      <c r="F184" s="24">
        <v>0.8</v>
      </c>
      <c r="G184" s="14">
        <v>3</v>
      </c>
      <c r="H184" s="15">
        <f t="shared" si="24"/>
        <v>2.4000000000000004</v>
      </c>
    </row>
    <row r="185" spans="1:8" ht="15" hidden="1" outlineLevel="1" thickBot="1" x14ac:dyDescent="0.35">
      <c r="A185" s="16"/>
      <c r="B185" s="17" t="s">
        <v>23</v>
      </c>
      <c r="C185" s="17"/>
      <c r="D185" s="28" t="s">
        <v>47</v>
      </c>
      <c r="E185" s="17" t="s">
        <v>35</v>
      </c>
      <c r="F185" s="29">
        <v>0.84</v>
      </c>
      <c r="G185" s="18">
        <v>0.6</v>
      </c>
      <c r="H185" s="19">
        <f t="shared" si="24"/>
        <v>0.504</v>
      </c>
    </row>
    <row r="186" spans="1:8" ht="15.6" collapsed="1" thickBot="1" x14ac:dyDescent="0.35">
      <c r="A186" s="26" t="s">
        <v>118</v>
      </c>
      <c r="B186" s="21" t="s">
        <v>20</v>
      </c>
      <c r="C186" s="46" t="s">
        <v>121</v>
      </c>
      <c r="D186" s="21" t="s">
        <v>124</v>
      </c>
      <c r="E186" s="20" t="s">
        <v>22</v>
      </c>
      <c r="F186" s="20"/>
      <c r="G186" s="22" t="s">
        <v>34</v>
      </c>
      <c r="H186" s="23">
        <f>SUM(H187:H197)</f>
        <v>67.036928000000017</v>
      </c>
    </row>
    <row r="187" spans="1:8" hidden="1" outlineLevel="1" x14ac:dyDescent="0.3">
      <c r="A187" s="12"/>
      <c r="B187" s="13" t="s">
        <v>23</v>
      </c>
      <c r="C187" s="13"/>
      <c r="D187" s="13" t="s">
        <v>103</v>
      </c>
      <c r="E187" s="13" t="s">
        <v>22</v>
      </c>
      <c r="F187" s="13">
        <f>1.053</f>
        <v>1.0529999999999999</v>
      </c>
      <c r="G187" s="27">
        <v>31.23</v>
      </c>
      <c r="H187" s="15">
        <f>G187*F187</f>
        <v>32.885190000000001</v>
      </c>
    </row>
    <row r="188" spans="1:8" hidden="1" outlineLevel="1" x14ac:dyDescent="0.3">
      <c r="A188" s="12"/>
      <c r="B188" s="13" t="s">
        <v>23</v>
      </c>
      <c r="C188" s="13"/>
      <c r="D188" s="13" t="s">
        <v>26</v>
      </c>
      <c r="E188" s="13" t="s">
        <v>22</v>
      </c>
      <c r="F188" s="13">
        <v>2.48</v>
      </c>
      <c r="G188" s="14">
        <f t="array" ref="G188">IF(B188="insumo",_xlfn.XLOOKUP($D188,[1]Insumos!$B$1:$B$878,[1]Insumos!$D$1:$D$878),"")</f>
        <v>0.504</v>
      </c>
      <c r="H188" s="15">
        <f t="shared" ref="H188:H197" si="25">G188*F188</f>
        <v>1.2499199999999999</v>
      </c>
    </row>
    <row r="189" spans="1:8" hidden="1" outlineLevel="1" x14ac:dyDescent="0.3">
      <c r="A189" s="12"/>
      <c r="B189" s="13" t="s">
        <v>23</v>
      </c>
      <c r="C189" s="13"/>
      <c r="D189" s="24" t="s">
        <v>50</v>
      </c>
      <c r="E189" s="13" t="s">
        <v>36</v>
      </c>
      <c r="F189" s="13">
        <v>0.76239999999999997</v>
      </c>
      <c r="G189" s="27">
        <v>7.46</v>
      </c>
      <c r="H189" s="15">
        <f t="shared" si="25"/>
        <v>5.6875039999999997</v>
      </c>
    </row>
    <row r="190" spans="1:8" hidden="1" outlineLevel="1" x14ac:dyDescent="0.3">
      <c r="A190" s="12"/>
      <c r="B190" s="13" t="s">
        <v>23</v>
      </c>
      <c r="C190" s="13"/>
      <c r="D190" s="24" t="s">
        <v>52</v>
      </c>
      <c r="E190" s="13" t="s">
        <v>36</v>
      </c>
      <c r="F190" s="13">
        <f>2.0006</f>
        <v>2.0005999999999999</v>
      </c>
      <c r="G190" s="27">
        <v>9.5</v>
      </c>
      <c r="H190" s="15">
        <f t="shared" si="25"/>
        <v>19.005700000000001</v>
      </c>
    </row>
    <row r="191" spans="1:8" hidden="1" outlineLevel="1" x14ac:dyDescent="0.3">
      <c r="A191" s="12"/>
      <c r="B191" s="13" t="s">
        <v>23</v>
      </c>
      <c r="C191" s="13"/>
      <c r="D191" s="13" t="s">
        <v>28</v>
      </c>
      <c r="E191" s="13" t="s">
        <v>37</v>
      </c>
      <c r="F191" s="13">
        <v>0.54890000000000005</v>
      </c>
      <c r="G191" s="14">
        <f t="array" ref="G191">IF(B191="insumo",_xlfn.XLOOKUP($D191,[1]Insumos!$B$1:$B$878,[1]Insumos!$D$1:$D$878),"")</f>
        <v>3.43</v>
      </c>
      <c r="H191" s="15">
        <f t="shared" si="25"/>
        <v>1.8827270000000003</v>
      </c>
    </row>
    <row r="192" spans="1:8" hidden="1" outlineLevel="1" x14ac:dyDescent="0.3">
      <c r="A192" s="12"/>
      <c r="B192" s="13" t="s">
        <v>23</v>
      </c>
      <c r="C192" s="13"/>
      <c r="D192" s="13" t="s">
        <v>29</v>
      </c>
      <c r="E192" s="13" t="s">
        <v>36</v>
      </c>
      <c r="F192" s="13">
        <v>1.2513000000000001</v>
      </c>
      <c r="G192" s="14">
        <f t="array" ref="G192">IF(B192="insumo",_xlfn.XLOOKUP($D192,[1]Insumos!$B$1:$B$878,[1]Insumos!$D$1:$D$878),"")</f>
        <v>0.31</v>
      </c>
      <c r="H192" s="15">
        <f t="shared" si="25"/>
        <v>0.387903</v>
      </c>
    </row>
    <row r="193" spans="1:8" hidden="1" outlineLevel="1" x14ac:dyDescent="0.3">
      <c r="A193" s="12"/>
      <c r="B193" s="13" t="s">
        <v>23</v>
      </c>
      <c r="C193" s="13"/>
      <c r="D193" s="13" t="s">
        <v>30</v>
      </c>
      <c r="E193" s="13" t="s">
        <v>36</v>
      </c>
      <c r="F193" s="13">
        <v>0.74070000000000003</v>
      </c>
      <c r="G193" s="14">
        <f t="array" ref="G193">IF(B193="insumo",_xlfn.XLOOKUP($D193,[1]Insumos!$B$1:$B$878,[1]Insumos!$D$1:$D$878),"")</f>
        <v>2.74</v>
      </c>
      <c r="H193" s="15">
        <f t="shared" si="25"/>
        <v>2.0295180000000004</v>
      </c>
    </row>
    <row r="194" spans="1:8" hidden="1" outlineLevel="1" x14ac:dyDescent="0.3">
      <c r="A194" s="12"/>
      <c r="B194" s="13" t="s">
        <v>23</v>
      </c>
      <c r="C194" s="13"/>
      <c r="D194" s="13" t="s">
        <v>32</v>
      </c>
      <c r="E194" s="13" t="s">
        <v>22</v>
      </c>
      <c r="F194" s="13">
        <v>10.093400000000001</v>
      </c>
      <c r="G194" s="14">
        <f t="array" ref="G194">IF(B194="insumo",_xlfn.XLOOKUP($D194,[1]Insumos!$B$1:$B$878,[1]Insumos!$D$1:$D$878),"")</f>
        <v>0.09</v>
      </c>
      <c r="H194" s="15">
        <f t="shared" si="25"/>
        <v>0.90840600000000005</v>
      </c>
    </row>
    <row r="195" spans="1:8" hidden="1" outlineLevel="1" x14ac:dyDescent="0.3">
      <c r="A195" s="12"/>
      <c r="B195" s="13" t="s">
        <v>23</v>
      </c>
      <c r="C195" s="13"/>
      <c r="D195" s="13" t="s">
        <v>33</v>
      </c>
      <c r="E195" s="13" t="s">
        <v>36</v>
      </c>
      <c r="F195" s="13">
        <v>0.4803</v>
      </c>
      <c r="G195" s="14">
        <f t="array" ref="G195">IF(B195="insumo",_xlfn.XLOOKUP($D195,[1]Insumos!$B$1:$B$878,[1]Insumos!$D$1:$D$878),"")</f>
        <v>0.2</v>
      </c>
      <c r="H195" s="15">
        <f t="shared" si="25"/>
        <v>9.6060000000000006E-2</v>
      </c>
    </row>
    <row r="196" spans="1:8" hidden="1" outlineLevel="1" x14ac:dyDescent="0.3">
      <c r="A196" s="12"/>
      <c r="B196" s="13" t="s">
        <v>23</v>
      </c>
      <c r="C196" s="13"/>
      <c r="D196" s="25" t="s">
        <v>46</v>
      </c>
      <c r="E196" s="13" t="s">
        <v>36</v>
      </c>
      <c r="F196" s="24">
        <v>0.8</v>
      </c>
      <c r="G196" s="14">
        <v>3</v>
      </c>
      <c r="H196" s="15">
        <f t="shared" si="25"/>
        <v>2.4000000000000004</v>
      </c>
    </row>
    <row r="197" spans="1:8" ht="15" hidden="1" outlineLevel="1" thickBot="1" x14ac:dyDescent="0.35">
      <c r="A197" s="16"/>
      <c r="B197" s="17" t="s">
        <v>23</v>
      </c>
      <c r="C197" s="17"/>
      <c r="D197" s="28" t="s">
        <v>47</v>
      </c>
      <c r="E197" s="17" t="s">
        <v>35</v>
      </c>
      <c r="F197" s="29">
        <v>0.84</v>
      </c>
      <c r="G197" s="18">
        <v>0.6</v>
      </c>
      <c r="H197" s="19">
        <f t="shared" si="25"/>
        <v>0.504</v>
      </c>
    </row>
    <row r="198" spans="1:8" ht="15.6" collapsed="1" thickBot="1" x14ac:dyDescent="0.35">
      <c r="A198" s="26" t="s">
        <v>119</v>
      </c>
      <c r="B198" s="21" t="s">
        <v>20</v>
      </c>
      <c r="C198" s="46" t="s">
        <v>120</v>
      </c>
      <c r="D198" s="21" t="s">
        <v>124</v>
      </c>
      <c r="E198" s="20" t="s">
        <v>22</v>
      </c>
      <c r="F198" s="20"/>
      <c r="G198" s="22" t="s">
        <v>34</v>
      </c>
      <c r="H198" s="23">
        <f>SUM(H199:H209)</f>
        <v>77.272087999999997</v>
      </c>
    </row>
    <row r="199" spans="1:8" hidden="1" outlineLevel="1" x14ac:dyDescent="0.3">
      <c r="A199" s="12"/>
      <c r="B199" s="13" t="s">
        <v>23</v>
      </c>
      <c r="C199" s="13"/>
      <c r="D199" s="13" t="s">
        <v>112</v>
      </c>
      <c r="E199" s="13" t="s">
        <v>22</v>
      </c>
      <c r="F199" s="13">
        <f>1.053</f>
        <v>1.0529999999999999</v>
      </c>
      <c r="G199" s="27">
        <v>40.950000000000003</v>
      </c>
      <c r="H199" s="15">
        <f>G199*F199</f>
        <v>43.120350000000002</v>
      </c>
    </row>
    <row r="200" spans="1:8" hidden="1" outlineLevel="1" x14ac:dyDescent="0.3">
      <c r="A200" s="12"/>
      <c r="B200" s="13" t="s">
        <v>23</v>
      </c>
      <c r="C200" s="13"/>
      <c r="D200" s="13" t="s">
        <v>26</v>
      </c>
      <c r="E200" s="13" t="s">
        <v>22</v>
      </c>
      <c r="F200" s="13">
        <v>2.48</v>
      </c>
      <c r="G200" s="14">
        <f t="array" ref="G200">IF(B200="insumo",_xlfn.XLOOKUP($D200,[1]Insumos!$B$1:$B$878,[1]Insumos!$D$1:$D$878),"")</f>
        <v>0.504</v>
      </c>
      <c r="H200" s="15">
        <f t="shared" ref="H200:H209" si="26">G200*F200</f>
        <v>1.2499199999999999</v>
      </c>
    </row>
    <row r="201" spans="1:8" hidden="1" outlineLevel="1" x14ac:dyDescent="0.3">
      <c r="A201" s="12"/>
      <c r="B201" s="13" t="s">
        <v>23</v>
      </c>
      <c r="C201" s="13"/>
      <c r="D201" s="24" t="s">
        <v>50</v>
      </c>
      <c r="E201" s="13" t="s">
        <v>36</v>
      </c>
      <c r="F201" s="13">
        <v>0.76239999999999997</v>
      </c>
      <c r="G201" s="27">
        <v>7.46</v>
      </c>
      <c r="H201" s="15">
        <f t="shared" si="26"/>
        <v>5.6875039999999997</v>
      </c>
    </row>
    <row r="202" spans="1:8" hidden="1" outlineLevel="1" x14ac:dyDescent="0.3">
      <c r="A202" s="12"/>
      <c r="B202" s="13" t="s">
        <v>23</v>
      </c>
      <c r="C202" s="13"/>
      <c r="D202" s="24" t="s">
        <v>52</v>
      </c>
      <c r="E202" s="13" t="s">
        <v>36</v>
      </c>
      <c r="F202" s="13">
        <f>2.0006</f>
        <v>2.0005999999999999</v>
      </c>
      <c r="G202" s="27">
        <v>9.5</v>
      </c>
      <c r="H202" s="15">
        <f t="shared" si="26"/>
        <v>19.005700000000001</v>
      </c>
    </row>
    <row r="203" spans="1:8" hidden="1" outlineLevel="1" x14ac:dyDescent="0.3">
      <c r="A203" s="12"/>
      <c r="B203" s="13" t="s">
        <v>23</v>
      </c>
      <c r="C203" s="13"/>
      <c r="D203" s="13" t="s">
        <v>28</v>
      </c>
      <c r="E203" s="13" t="s">
        <v>37</v>
      </c>
      <c r="F203" s="13">
        <v>0.54890000000000005</v>
      </c>
      <c r="G203" s="14">
        <f t="array" ref="G203">IF(B203="insumo",_xlfn.XLOOKUP($D203,[1]Insumos!$B$1:$B$878,[1]Insumos!$D$1:$D$878),"")</f>
        <v>3.43</v>
      </c>
      <c r="H203" s="15">
        <f t="shared" si="26"/>
        <v>1.8827270000000003</v>
      </c>
    </row>
    <row r="204" spans="1:8" hidden="1" outlineLevel="1" x14ac:dyDescent="0.3">
      <c r="A204" s="12"/>
      <c r="B204" s="13" t="s">
        <v>23</v>
      </c>
      <c r="C204" s="13"/>
      <c r="D204" s="13" t="s">
        <v>29</v>
      </c>
      <c r="E204" s="13" t="s">
        <v>36</v>
      </c>
      <c r="F204" s="13">
        <v>1.2513000000000001</v>
      </c>
      <c r="G204" s="14">
        <f t="array" ref="G204">IF(B204="insumo",_xlfn.XLOOKUP($D204,[1]Insumos!$B$1:$B$878,[1]Insumos!$D$1:$D$878),"")</f>
        <v>0.31</v>
      </c>
      <c r="H204" s="15">
        <f t="shared" si="26"/>
        <v>0.387903</v>
      </c>
    </row>
    <row r="205" spans="1:8" hidden="1" outlineLevel="1" x14ac:dyDescent="0.3">
      <c r="A205" s="12"/>
      <c r="B205" s="13" t="s">
        <v>23</v>
      </c>
      <c r="C205" s="13"/>
      <c r="D205" s="13" t="s">
        <v>30</v>
      </c>
      <c r="E205" s="13" t="s">
        <v>36</v>
      </c>
      <c r="F205" s="13">
        <v>0.74070000000000003</v>
      </c>
      <c r="G205" s="14">
        <f t="array" ref="G205">IF(B205="insumo",_xlfn.XLOOKUP($D205,[1]Insumos!$B$1:$B$878,[1]Insumos!$D$1:$D$878),"")</f>
        <v>2.74</v>
      </c>
      <c r="H205" s="15">
        <f t="shared" si="26"/>
        <v>2.0295180000000004</v>
      </c>
    </row>
    <row r="206" spans="1:8" hidden="1" outlineLevel="1" x14ac:dyDescent="0.3">
      <c r="A206" s="12"/>
      <c r="B206" s="13" t="s">
        <v>23</v>
      </c>
      <c r="C206" s="13"/>
      <c r="D206" s="13" t="s">
        <v>32</v>
      </c>
      <c r="E206" s="13" t="s">
        <v>22</v>
      </c>
      <c r="F206" s="13">
        <v>10.093400000000001</v>
      </c>
      <c r="G206" s="14">
        <f t="array" ref="G206">IF(B206="insumo",_xlfn.XLOOKUP($D206,[1]Insumos!$B$1:$B$878,[1]Insumos!$D$1:$D$878),"")</f>
        <v>0.09</v>
      </c>
      <c r="H206" s="15">
        <f t="shared" si="26"/>
        <v>0.90840600000000005</v>
      </c>
    </row>
    <row r="207" spans="1:8" hidden="1" outlineLevel="1" x14ac:dyDescent="0.3">
      <c r="A207" s="12"/>
      <c r="B207" s="13" t="s">
        <v>23</v>
      </c>
      <c r="C207" s="13"/>
      <c r="D207" s="13" t="s">
        <v>33</v>
      </c>
      <c r="E207" s="13" t="s">
        <v>36</v>
      </c>
      <c r="F207" s="13">
        <v>0.4803</v>
      </c>
      <c r="G207" s="14">
        <f t="array" ref="G207">IF(B207="insumo",_xlfn.XLOOKUP($D207,[1]Insumos!$B$1:$B$878,[1]Insumos!$D$1:$D$878),"")</f>
        <v>0.2</v>
      </c>
      <c r="H207" s="15">
        <f t="shared" si="26"/>
        <v>9.6060000000000006E-2</v>
      </c>
    </row>
    <row r="208" spans="1:8" hidden="1" outlineLevel="1" x14ac:dyDescent="0.3">
      <c r="A208" s="12"/>
      <c r="B208" s="13" t="s">
        <v>23</v>
      </c>
      <c r="C208" s="13"/>
      <c r="D208" s="25" t="s">
        <v>46</v>
      </c>
      <c r="E208" s="13" t="s">
        <v>36</v>
      </c>
      <c r="F208" s="24">
        <v>0.8</v>
      </c>
      <c r="G208" s="14">
        <v>3</v>
      </c>
      <c r="H208" s="15">
        <f t="shared" si="26"/>
        <v>2.4000000000000004</v>
      </c>
    </row>
    <row r="209" spans="1:9" ht="15" hidden="1" outlineLevel="1" thickBot="1" x14ac:dyDescent="0.35">
      <c r="A209" s="16"/>
      <c r="B209" s="17" t="s">
        <v>23</v>
      </c>
      <c r="C209" s="17"/>
      <c r="D209" s="28" t="s">
        <v>47</v>
      </c>
      <c r="E209" s="17" t="s">
        <v>35</v>
      </c>
      <c r="F209" s="29">
        <v>0.84</v>
      </c>
      <c r="G209" s="18">
        <v>0.6</v>
      </c>
      <c r="H209" s="19">
        <f t="shared" si="26"/>
        <v>0.504</v>
      </c>
    </row>
    <row r="210" spans="1:9" ht="19.8" collapsed="1" thickBot="1" x14ac:dyDescent="0.35">
      <c r="A210" s="26" t="s">
        <v>133</v>
      </c>
      <c r="B210" s="21" t="s">
        <v>20</v>
      </c>
      <c r="C210" s="46" t="s">
        <v>132</v>
      </c>
      <c r="D210" s="30" t="s">
        <v>102</v>
      </c>
      <c r="E210" s="20" t="s">
        <v>22</v>
      </c>
      <c r="F210" s="20"/>
      <c r="G210" s="22" t="s">
        <v>34</v>
      </c>
      <c r="H210" s="23">
        <f>SUM(H211:H223)</f>
        <v>98.129103999999984</v>
      </c>
      <c r="I210" s="49"/>
    </row>
    <row r="211" spans="1:9" hidden="1" outlineLevel="1" x14ac:dyDescent="0.3">
      <c r="A211" s="12"/>
      <c r="B211" s="13" t="s">
        <v>23</v>
      </c>
      <c r="C211" s="13"/>
      <c r="D211" s="13" t="s">
        <v>24</v>
      </c>
      <c r="E211" s="13" t="s">
        <v>22</v>
      </c>
      <c r="F211" s="13">
        <f>2*1.053</f>
        <v>2.1059999999999999</v>
      </c>
      <c r="G211" s="27">
        <v>20.16</v>
      </c>
      <c r="H211" s="15">
        <f>G211*F211</f>
        <v>42.456959999999995</v>
      </c>
    </row>
    <row r="212" spans="1:9" hidden="1" outlineLevel="1" x14ac:dyDescent="0.3">
      <c r="A212" s="12"/>
      <c r="B212" s="13" t="s">
        <v>23</v>
      </c>
      <c r="C212" s="13"/>
      <c r="D212" s="13" t="s">
        <v>103</v>
      </c>
      <c r="E212" s="13" t="s">
        <v>22</v>
      </c>
      <c r="F212" s="13">
        <v>0</v>
      </c>
      <c r="G212" s="27">
        <v>31.23</v>
      </c>
      <c r="H212" s="15">
        <f t="shared" ref="H212:H223" si="27">G212*F212</f>
        <v>0</v>
      </c>
    </row>
    <row r="213" spans="1:9" hidden="1" outlineLevel="1" x14ac:dyDescent="0.3">
      <c r="A213" s="12"/>
      <c r="B213" s="13" t="s">
        <v>23</v>
      </c>
      <c r="C213" s="13"/>
      <c r="D213" s="13" t="s">
        <v>26</v>
      </c>
      <c r="E213" s="13" t="s">
        <v>35</v>
      </c>
      <c r="F213" s="13">
        <v>2.48</v>
      </c>
      <c r="G213" s="14">
        <v>0.504</v>
      </c>
      <c r="H213" s="15">
        <f t="shared" si="27"/>
        <v>1.2499199999999999</v>
      </c>
    </row>
    <row r="214" spans="1:9" hidden="1" outlineLevel="1" x14ac:dyDescent="0.3">
      <c r="A214" s="12"/>
      <c r="B214" s="13" t="s">
        <v>23</v>
      </c>
      <c r="C214" s="13"/>
      <c r="D214" s="13" t="s">
        <v>27</v>
      </c>
      <c r="E214" s="13" t="s">
        <v>36</v>
      </c>
      <c r="F214" s="13">
        <v>0.76239999999999997</v>
      </c>
      <c r="G214" s="27">
        <v>8.64</v>
      </c>
      <c r="H214" s="15">
        <f t="shared" si="27"/>
        <v>6.5871360000000001</v>
      </c>
    </row>
    <row r="215" spans="1:9" hidden="1" outlineLevel="1" x14ac:dyDescent="0.3">
      <c r="A215" s="12"/>
      <c r="B215" s="13" t="s">
        <v>23</v>
      </c>
      <c r="C215" s="13"/>
      <c r="D215" s="24" t="s">
        <v>44</v>
      </c>
      <c r="E215" s="13" t="s">
        <v>36</v>
      </c>
      <c r="F215" s="24">
        <f>2.0006</f>
        <v>2.0005999999999999</v>
      </c>
      <c r="G215" s="27">
        <v>10.79</v>
      </c>
      <c r="H215" s="15">
        <f t="shared" si="27"/>
        <v>21.586473999999999</v>
      </c>
    </row>
    <row r="216" spans="1:9" hidden="1" outlineLevel="1" x14ac:dyDescent="0.3">
      <c r="A216" s="12"/>
      <c r="B216" s="13" t="s">
        <v>23</v>
      </c>
      <c r="C216" s="13"/>
      <c r="D216" s="13" t="s">
        <v>28</v>
      </c>
      <c r="E216" s="13" t="s">
        <v>37</v>
      </c>
      <c r="F216" s="13">
        <v>0.54890000000000005</v>
      </c>
      <c r="G216" s="14">
        <v>3.43</v>
      </c>
      <c r="H216" s="15">
        <f t="shared" si="27"/>
        <v>1.8827270000000003</v>
      </c>
    </row>
    <row r="217" spans="1:9" hidden="1" outlineLevel="1" x14ac:dyDescent="0.3">
      <c r="A217" s="12"/>
      <c r="B217" s="13" t="s">
        <v>23</v>
      </c>
      <c r="C217" s="13"/>
      <c r="D217" s="13" t="s">
        <v>29</v>
      </c>
      <c r="E217" s="13" t="s">
        <v>36</v>
      </c>
      <c r="F217" s="13">
        <v>1.2513000000000001</v>
      </c>
      <c r="G217" s="14">
        <v>0.31</v>
      </c>
      <c r="H217" s="15">
        <f t="shared" si="27"/>
        <v>0.387903</v>
      </c>
    </row>
    <row r="218" spans="1:9" hidden="1" outlineLevel="1" x14ac:dyDescent="0.3">
      <c r="A218" s="12"/>
      <c r="B218" s="13" t="s">
        <v>23</v>
      </c>
      <c r="C218" s="13"/>
      <c r="D218" s="13" t="s">
        <v>30</v>
      </c>
      <c r="E218" s="13" t="s">
        <v>36</v>
      </c>
      <c r="F218" s="13">
        <v>0.74070000000000003</v>
      </c>
      <c r="G218" s="14">
        <v>2.74</v>
      </c>
      <c r="H218" s="15">
        <f t="shared" si="27"/>
        <v>2.0295180000000004</v>
      </c>
    </row>
    <row r="219" spans="1:9" hidden="1" outlineLevel="1" x14ac:dyDescent="0.3">
      <c r="A219" s="12"/>
      <c r="B219" s="13" t="s">
        <v>23</v>
      </c>
      <c r="C219" s="13"/>
      <c r="D219" s="13" t="s">
        <v>31</v>
      </c>
      <c r="E219" s="13" t="s">
        <v>22</v>
      </c>
      <c r="F219" s="13">
        <v>1.1000000000000001</v>
      </c>
      <c r="G219" s="27">
        <v>16.399999999999999</v>
      </c>
      <c r="H219" s="15">
        <f t="shared" si="27"/>
        <v>18.04</v>
      </c>
    </row>
    <row r="220" spans="1:9" hidden="1" outlineLevel="1" x14ac:dyDescent="0.3">
      <c r="A220" s="12"/>
      <c r="B220" s="13" t="s">
        <v>23</v>
      </c>
      <c r="C220" s="13"/>
      <c r="D220" s="25" t="s">
        <v>46</v>
      </c>
      <c r="E220" s="13" t="s">
        <v>36</v>
      </c>
      <c r="F220" s="24">
        <v>0.8</v>
      </c>
      <c r="G220" s="14">
        <v>3</v>
      </c>
      <c r="H220" s="15">
        <f t="shared" si="27"/>
        <v>2.4000000000000004</v>
      </c>
    </row>
    <row r="221" spans="1:9" hidden="1" outlineLevel="1" x14ac:dyDescent="0.3">
      <c r="A221" s="12"/>
      <c r="B221" s="13" t="s">
        <v>23</v>
      </c>
      <c r="C221" s="13"/>
      <c r="D221" s="25" t="s">
        <v>47</v>
      </c>
      <c r="E221" s="13" t="s">
        <v>36</v>
      </c>
      <c r="F221" s="24">
        <v>0.84</v>
      </c>
      <c r="G221" s="14">
        <v>0.6</v>
      </c>
      <c r="H221" s="15">
        <f t="shared" si="27"/>
        <v>0.504</v>
      </c>
    </row>
    <row r="222" spans="1:9" hidden="1" outlineLevel="1" x14ac:dyDescent="0.3">
      <c r="A222" s="12"/>
      <c r="B222" s="13" t="s">
        <v>23</v>
      </c>
      <c r="C222" s="13"/>
      <c r="D222" s="13" t="s">
        <v>32</v>
      </c>
      <c r="E222" s="13" t="s">
        <v>35</v>
      </c>
      <c r="F222" s="13">
        <v>10.093400000000001</v>
      </c>
      <c r="G222" s="14">
        <v>0.09</v>
      </c>
      <c r="H222" s="15">
        <f t="shared" si="27"/>
        <v>0.90840600000000005</v>
      </c>
    </row>
    <row r="223" spans="1:9" ht="15" hidden="1" outlineLevel="1" thickBot="1" x14ac:dyDescent="0.35">
      <c r="A223" s="16"/>
      <c r="B223" s="17" t="s">
        <v>23</v>
      </c>
      <c r="C223" s="17"/>
      <c r="D223" s="17" t="s">
        <v>33</v>
      </c>
      <c r="E223" s="17" t="s">
        <v>35</v>
      </c>
      <c r="F223" s="17">
        <v>0.4803</v>
      </c>
      <c r="G223" s="18">
        <v>0.2</v>
      </c>
      <c r="H223" s="19">
        <f t="shared" si="27"/>
        <v>9.6060000000000006E-2</v>
      </c>
    </row>
    <row r="224" spans="1:9" ht="15.6" collapsed="1" thickBot="1" x14ac:dyDescent="0.35">
      <c r="A224" s="26" t="s">
        <v>136</v>
      </c>
      <c r="B224" s="21" t="s">
        <v>20</v>
      </c>
      <c r="C224" s="46" t="s">
        <v>134</v>
      </c>
      <c r="D224" s="21" t="s">
        <v>116</v>
      </c>
      <c r="E224" s="20" t="s">
        <v>22</v>
      </c>
      <c r="F224" s="20"/>
      <c r="G224" s="22" t="s">
        <v>34</v>
      </c>
      <c r="H224" s="23">
        <f>SUM(H225:H235)</f>
        <v>72.749095999999994</v>
      </c>
    </row>
    <row r="225" spans="1:8" hidden="1" outlineLevel="1" x14ac:dyDescent="0.3">
      <c r="A225" s="13"/>
      <c r="B225" s="13" t="s">
        <v>23</v>
      </c>
      <c r="C225" s="13"/>
      <c r="D225" s="13" t="s">
        <v>24</v>
      </c>
      <c r="E225" s="13" t="s">
        <v>22</v>
      </c>
      <c r="F225" s="13">
        <v>2.1059999999999999</v>
      </c>
      <c r="G225" s="27">
        <v>20.16</v>
      </c>
      <c r="H225" s="15">
        <f>G225*F225</f>
        <v>42.456959999999995</v>
      </c>
    </row>
    <row r="226" spans="1:8" hidden="1" outlineLevel="1" x14ac:dyDescent="0.3">
      <c r="A226" s="13"/>
      <c r="B226" s="13" t="s">
        <v>23</v>
      </c>
      <c r="C226" s="13"/>
      <c r="D226" s="13" t="s">
        <v>26</v>
      </c>
      <c r="E226" s="13" t="s">
        <v>22</v>
      </c>
      <c r="F226" s="13">
        <v>2.48</v>
      </c>
      <c r="G226" s="14">
        <f t="array" ref="G226">IF(B226="insumo",_xlfn.XLOOKUP($D226,[1]Insumos!$B$1:$B$878,[1]Insumos!$D$1:$D$878),"")</f>
        <v>0.504</v>
      </c>
      <c r="H226" s="15">
        <f t="shared" ref="H226:H235" si="28">G226*F226</f>
        <v>1.2499199999999999</v>
      </c>
    </row>
    <row r="227" spans="1:8" hidden="1" outlineLevel="1" x14ac:dyDescent="0.3">
      <c r="A227" s="13"/>
      <c r="B227" s="13" t="s">
        <v>23</v>
      </c>
      <c r="C227" s="13"/>
      <c r="D227" s="24" t="s">
        <v>105</v>
      </c>
      <c r="E227" s="13" t="s">
        <v>36</v>
      </c>
      <c r="F227" s="13">
        <v>0.76239999999999997</v>
      </c>
      <c r="G227" s="27">
        <v>6.15</v>
      </c>
      <c r="H227" s="15">
        <f t="shared" si="28"/>
        <v>4.6887600000000003</v>
      </c>
    </row>
    <row r="228" spans="1:8" hidden="1" outlineLevel="1" x14ac:dyDescent="0.3">
      <c r="A228" s="13"/>
      <c r="B228" s="13" t="s">
        <v>23</v>
      </c>
      <c r="C228" s="13"/>
      <c r="D228" s="24" t="s">
        <v>106</v>
      </c>
      <c r="E228" s="13" t="s">
        <v>36</v>
      </c>
      <c r="F228" s="13">
        <f>2.0006</f>
        <v>2.0005999999999999</v>
      </c>
      <c r="G228" s="27">
        <v>8.07</v>
      </c>
      <c r="H228" s="15">
        <f t="shared" si="28"/>
        <v>16.144842000000001</v>
      </c>
    </row>
    <row r="229" spans="1:8" hidden="1" outlineLevel="1" x14ac:dyDescent="0.3">
      <c r="A229" s="13"/>
      <c r="B229" s="13" t="s">
        <v>23</v>
      </c>
      <c r="C229" s="13"/>
      <c r="D229" s="13" t="s">
        <v>28</v>
      </c>
      <c r="E229" s="13" t="s">
        <v>37</v>
      </c>
      <c r="F229" s="13">
        <v>0.54890000000000005</v>
      </c>
      <c r="G229" s="14">
        <f t="array" ref="G229">IF(B229="insumo",_xlfn.XLOOKUP($D229,[1]Insumos!$B$1:$B$878,[1]Insumos!$D$1:$D$878),"")</f>
        <v>3.43</v>
      </c>
      <c r="H229" s="15">
        <f t="shared" si="28"/>
        <v>1.8827270000000003</v>
      </c>
    </row>
    <row r="230" spans="1:8" hidden="1" outlineLevel="1" x14ac:dyDescent="0.3">
      <c r="A230" s="13"/>
      <c r="B230" s="13" t="s">
        <v>23</v>
      </c>
      <c r="C230" s="13"/>
      <c r="D230" s="13" t="s">
        <v>29</v>
      </c>
      <c r="E230" s="13" t="s">
        <v>36</v>
      </c>
      <c r="F230" s="13">
        <v>1.2513000000000001</v>
      </c>
      <c r="G230" s="14">
        <f t="array" ref="G230">IF(B230="insumo",_xlfn.XLOOKUP($D230,[1]Insumos!$B$1:$B$878,[1]Insumos!$D$1:$D$878),"")</f>
        <v>0.31</v>
      </c>
      <c r="H230" s="15">
        <f t="shared" si="28"/>
        <v>0.387903</v>
      </c>
    </row>
    <row r="231" spans="1:8" hidden="1" outlineLevel="1" x14ac:dyDescent="0.3">
      <c r="A231" s="13"/>
      <c r="B231" s="13" t="s">
        <v>23</v>
      </c>
      <c r="C231" s="13"/>
      <c r="D231" s="13" t="s">
        <v>30</v>
      </c>
      <c r="E231" s="13" t="s">
        <v>36</v>
      </c>
      <c r="F231" s="13">
        <v>0.74070000000000003</v>
      </c>
      <c r="G231" s="14">
        <f t="array" ref="G231">IF(B231="insumo",_xlfn.XLOOKUP($D231,[1]Insumos!$B$1:$B$878,[1]Insumos!$D$1:$D$878),"")</f>
        <v>2.74</v>
      </c>
      <c r="H231" s="15">
        <f t="shared" si="28"/>
        <v>2.0295180000000004</v>
      </c>
    </row>
    <row r="232" spans="1:8" hidden="1" outlineLevel="1" x14ac:dyDescent="0.3">
      <c r="A232" s="13"/>
      <c r="B232" s="13" t="s">
        <v>23</v>
      </c>
      <c r="C232" s="13"/>
      <c r="D232" s="13" t="s">
        <v>32</v>
      </c>
      <c r="E232" s="13" t="s">
        <v>22</v>
      </c>
      <c r="F232" s="13">
        <v>10.093400000000001</v>
      </c>
      <c r="G232" s="14">
        <f t="array" ref="G232">IF(B232="insumo",_xlfn.XLOOKUP($D232,[1]Insumos!$B$1:$B$878,[1]Insumos!$D$1:$D$878),"")</f>
        <v>0.09</v>
      </c>
      <c r="H232" s="15">
        <f t="shared" si="28"/>
        <v>0.90840600000000005</v>
      </c>
    </row>
    <row r="233" spans="1:8" hidden="1" outlineLevel="1" x14ac:dyDescent="0.3">
      <c r="A233" s="13"/>
      <c r="B233" s="13" t="s">
        <v>23</v>
      </c>
      <c r="C233" s="13"/>
      <c r="D233" s="13" t="s">
        <v>33</v>
      </c>
      <c r="E233" s="13" t="s">
        <v>36</v>
      </c>
      <c r="F233" s="13">
        <v>0.4803</v>
      </c>
      <c r="G233" s="14">
        <f t="array" ref="G233">IF(B233="insumo",_xlfn.XLOOKUP($D233,[1]Insumos!$B$1:$B$878,[1]Insumos!$D$1:$D$878),"")</f>
        <v>0.2</v>
      </c>
      <c r="H233" s="15">
        <f t="shared" si="28"/>
        <v>9.6060000000000006E-2</v>
      </c>
    </row>
    <row r="234" spans="1:8" hidden="1" outlineLevel="1" x14ac:dyDescent="0.3">
      <c r="A234" s="12"/>
      <c r="B234" s="13" t="s">
        <v>23</v>
      </c>
      <c r="C234" s="13"/>
      <c r="D234" s="25" t="s">
        <v>46</v>
      </c>
      <c r="E234" s="13" t="s">
        <v>36</v>
      </c>
      <c r="F234" s="24">
        <v>0.8</v>
      </c>
      <c r="G234" s="14">
        <v>3</v>
      </c>
      <c r="H234" s="15">
        <f t="shared" si="28"/>
        <v>2.4000000000000004</v>
      </c>
    </row>
    <row r="235" spans="1:8" ht="15" hidden="1" outlineLevel="1" thickBot="1" x14ac:dyDescent="0.35">
      <c r="A235" s="12"/>
      <c r="B235" s="13" t="s">
        <v>23</v>
      </c>
      <c r="C235" s="13"/>
      <c r="D235" s="25" t="s">
        <v>47</v>
      </c>
      <c r="E235" s="13" t="s">
        <v>35</v>
      </c>
      <c r="F235" s="24">
        <v>0.84</v>
      </c>
      <c r="G235" s="14">
        <v>0.6</v>
      </c>
      <c r="H235" s="15">
        <f t="shared" si="28"/>
        <v>0.504</v>
      </c>
    </row>
    <row r="236" spans="1:8" ht="15.6" collapsed="1" thickBot="1" x14ac:dyDescent="0.35">
      <c r="A236" s="26" t="s">
        <v>137</v>
      </c>
      <c r="B236" s="21" t="s">
        <v>20</v>
      </c>
      <c r="C236" s="46" t="s">
        <v>115</v>
      </c>
      <c r="D236" s="21" t="s">
        <v>122</v>
      </c>
      <c r="E236" s="20" t="s">
        <v>22</v>
      </c>
      <c r="F236" s="20"/>
      <c r="G236" s="22" t="s">
        <v>34</v>
      </c>
      <c r="H236" s="23">
        <f>SUM(H237:H247)</f>
        <v>77.272087999999997</v>
      </c>
    </row>
    <row r="237" spans="1:8" hidden="1" outlineLevel="1" x14ac:dyDescent="0.3">
      <c r="A237" s="12"/>
      <c r="B237" s="13" t="s">
        <v>23</v>
      </c>
      <c r="C237" s="13"/>
      <c r="D237" s="13" t="s">
        <v>112</v>
      </c>
      <c r="E237" s="13" t="s">
        <v>22</v>
      </c>
      <c r="F237" s="13">
        <f>1.053</f>
        <v>1.0529999999999999</v>
      </c>
      <c r="G237" s="27">
        <v>40.950000000000003</v>
      </c>
      <c r="H237" s="15">
        <f>G237*F237</f>
        <v>43.120350000000002</v>
      </c>
    </row>
    <row r="238" spans="1:8" hidden="1" outlineLevel="1" x14ac:dyDescent="0.3">
      <c r="A238" s="12"/>
      <c r="B238" s="13" t="s">
        <v>23</v>
      </c>
      <c r="C238" s="13"/>
      <c r="D238" s="13" t="s">
        <v>26</v>
      </c>
      <c r="E238" s="13" t="s">
        <v>22</v>
      </c>
      <c r="F238" s="13">
        <v>2.48</v>
      </c>
      <c r="G238" s="14">
        <f t="array" ref="G238">IF(B238="insumo",_xlfn.XLOOKUP($D238,[1]Insumos!$B$1:$B$878,[1]Insumos!$D$1:$D$878),"")</f>
        <v>0.504</v>
      </c>
      <c r="H238" s="15">
        <f t="shared" ref="H238:H247" si="29">G238*F238</f>
        <v>1.2499199999999999</v>
      </c>
    </row>
    <row r="239" spans="1:8" hidden="1" outlineLevel="1" x14ac:dyDescent="0.3">
      <c r="A239" s="12"/>
      <c r="B239" s="13" t="s">
        <v>23</v>
      </c>
      <c r="C239" s="13"/>
      <c r="D239" s="24" t="s">
        <v>50</v>
      </c>
      <c r="E239" s="13" t="s">
        <v>36</v>
      </c>
      <c r="F239" s="13">
        <v>0.76239999999999997</v>
      </c>
      <c r="G239" s="27">
        <v>7.46</v>
      </c>
      <c r="H239" s="15">
        <f t="shared" si="29"/>
        <v>5.6875039999999997</v>
      </c>
    </row>
    <row r="240" spans="1:8" hidden="1" outlineLevel="1" x14ac:dyDescent="0.3">
      <c r="A240" s="12"/>
      <c r="B240" s="13" t="s">
        <v>23</v>
      </c>
      <c r="C240" s="13"/>
      <c r="D240" s="24" t="s">
        <v>142</v>
      </c>
      <c r="E240" s="13" t="s">
        <v>36</v>
      </c>
      <c r="F240" s="13">
        <f>2.0006</f>
        <v>2.0005999999999999</v>
      </c>
      <c r="G240" s="27">
        <v>9.5</v>
      </c>
      <c r="H240" s="15">
        <f t="shared" si="29"/>
        <v>19.005700000000001</v>
      </c>
    </row>
    <row r="241" spans="1:9" hidden="1" outlineLevel="1" x14ac:dyDescent="0.3">
      <c r="A241" s="12"/>
      <c r="B241" s="13" t="s">
        <v>23</v>
      </c>
      <c r="C241" s="13"/>
      <c r="D241" s="13" t="s">
        <v>28</v>
      </c>
      <c r="E241" s="13" t="s">
        <v>37</v>
      </c>
      <c r="F241" s="13">
        <v>0.54890000000000005</v>
      </c>
      <c r="G241" s="14">
        <f t="array" ref="G241">IF(B241="insumo",_xlfn.XLOOKUP($D241,[1]Insumos!$B$1:$B$878,[1]Insumos!$D$1:$D$878),"")</f>
        <v>3.43</v>
      </c>
      <c r="H241" s="15">
        <f t="shared" si="29"/>
        <v>1.8827270000000003</v>
      </c>
    </row>
    <row r="242" spans="1:9" hidden="1" outlineLevel="1" x14ac:dyDescent="0.3">
      <c r="A242" s="12"/>
      <c r="B242" s="13" t="s">
        <v>23</v>
      </c>
      <c r="C242" s="13"/>
      <c r="D242" s="13" t="s">
        <v>29</v>
      </c>
      <c r="E242" s="13" t="s">
        <v>36</v>
      </c>
      <c r="F242" s="13">
        <v>1.2513000000000001</v>
      </c>
      <c r="G242" s="14">
        <f t="array" ref="G242">IF(B242="insumo",_xlfn.XLOOKUP($D242,[1]Insumos!$B$1:$B$878,[1]Insumos!$D$1:$D$878),"")</f>
        <v>0.31</v>
      </c>
      <c r="H242" s="15">
        <f t="shared" si="29"/>
        <v>0.387903</v>
      </c>
    </row>
    <row r="243" spans="1:9" hidden="1" outlineLevel="1" x14ac:dyDescent="0.3">
      <c r="A243" s="12"/>
      <c r="B243" s="13" t="s">
        <v>23</v>
      </c>
      <c r="C243" s="13"/>
      <c r="D243" s="13" t="s">
        <v>30</v>
      </c>
      <c r="E243" s="13" t="s">
        <v>36</v>
      </c>
      <c r="F243" s="13">
        <v>0.74070000000000003</v>
      </c>
      <c r="G243" s="14">
        <f t="array" ref="G243">IF(B243="insumo",_xlfn.XLOOKUP($D243,[1]Insumos!$B$1:$B$878,[1]Insumos!$D$1:$D$878),"")</f>
        <v>2.74</v>
      </c>
      <c r="H243" s="15">
        <f t="shared" si="29"/>
        <v>2.0295180000000004</v>
      </c>
    </row>
    <row r="244" spans="1:9" hidden="1" outlineLevel="1" x14ac:dyDescent="0.3">
      <c r="A244" s="12"/>
      <c r="B244" s="13" t="s">
        <v>23</v>
      </c>
      <c r="C244" s="13"/>
      <c r="D244" s="13" t="s">
        <v>32</v>
      </c>
      <c r="E244" s="13" t="s">
        <v>22</v>
      </c>
      <c r="F244" s="13">
        <v>10.093400000000001</v>
      </c>
      <c r="G244" s="14">
        <f t="array" ref="G244">IF(B244="insumo",_xlfn.XLOOKUP($D244,[1]Insumos!$B$1:$B$878,[1]Insumos!$D$1:$D$878),"")</f>
        <v>0.09</v>
      </c>
      <c r="H244" s="15">
        <f t="shared" si="29"/>
        <v>0.90840600000000005</v>
      </c>
    </row>
    <row r="245" spans="1:9" hidden="1" outlineLevel="1" x14ac:dyDescent="0.3">
      <c r="A245" s="12"/>
      <c r="B245" s="13" t="s">
        <v>23</v>
      </c>
      <c r="C245" s="13"/>
      <c r="D245" s="13" t="s">
        <v>33</v>
      </c>
      <c r="E245" s="13" t="s">
        <v>36</v>
      </c>
      <c r="F245" s="13">
        <v>0.4803</v>
      </c>
      <c r="G245" s="14">
        <f t="array" ref="G245">IF(B245="insumo",_xlfn.XLOOKUP($D245,[1]Insumos!$B$1:$B$878,[1]Insumos!$D$1:$D$878),"")</f>
        <v>0.2</v>
      </c>
      <c r="H245" s="15">
        <f t="shared" si="29"/>
        <v>9.6060000000000006E-2</v>
      </c>
    </row>
    <row r="246" spans="1:9" hidden="1" outlineLevel="1" x14ac:dyDescent="0.3">
      <c r="A246" s="12"/>
      <c r="B246" s="13" t="s">
        <v>23</v>
      </c>
      <c r="C246" s="13"/>
      <c r="D246" s="25" t="s">
        <v>46</v>
      </c>
      <c r="E246" s="13" t="s">
        <v>36</v>
      </c>
      <c r="F246" s="24">
        <v>0.8</v>
      </c>
      <c r="G246" s="14">
        <v>3</v>
      </c>
      <c r="H246" s="15">
        <f t="shared" si="29"/>
        <v>2.4000000000000004</v>
      </c>
    </row>
    <row r="247" spans="1:9" ht="15" hidden="1" outlineLevel="1" thickBot="1" x14ac:dyDescent="0.35">
      <c r="A247" s="16"/>
      <c r="B247" s="17" t="s">
        <v>23</v>
      </c>
      <c r="C247" s="17"/>
      <c r="D247" s="28" t="s">
        <v>47</v>
      </c>
      <c r="E247" s="17" t="s">
        <v>35</v>
      </c>
      <c r="F247" s="29">
        <v>0.84</v>
      </c>
      <c r="G247" s="18">
        <v>0.6</v>
      </c>
      <c r="H247" s="19">
        <f t="shared" si="29"/>
        <v>0.504</v>
      </c>
    </row>
    <row r="248" spans="1:9" ht="19.8" collapsed="1" thickBot="1" x14ac:dyDescent="0.35">
      <c r="A248" s="1" t="s">
        <v>135</v>
      </c>
      <c r="B248" s="21" t="s">
        <v>20</v>
      </c>
      <c r="C248" s="46" t="s">
        <v>151</v>
      </c>
      <c r="D248" s="30" t="s">
        <v>111</v>
      </c>
      <c r="E248" s="20" t="s">
        <v>22</v>
      </c>
      <c r="F248" s="20"/>
      <c r="G248" s="22" t="s">
        <v>34</v>
      </c>
      <c r="H248" s="23">
        <f>SUM(H249:H261)</f>
        <v>105.436924</v>
      </c>
      <c r="I248" s="49"/>
    </row>
    <row r="249" spans="1:9" hidden="1" outlineLevel="1" x14ac:dyDescent="0.3">
      <c r="A249" s="12"/>
      <c r="B249" s="13" t="s">
        <v>23</v>
      </c>
      <c r="C249" s="13"/>
      <c r="D249" s="13" t="s">
        <v>112</v>
      </c>
      <c r="E249" s="13" t="s">
        <v>22</v>
      </c>
      <c r="F249" s="13">
        <f>1.053</f>
        <v>1.0529999999999999</v>
      </c>
      <c r="G249" s="27">
        <v>20.16</v>
      </c>
      <c r="H249" s="15">
        <f>G249*F249</f>
        <v>21.228479999999998</v>
      </c>
    </row>
    <row r="250" spans="1:9" hidden="1" outlineLevel="1" x14ac:dyDescent="0.3">
      <c r="A250" s="12"/>
      <c r="B250" s="13" t="s">
        <v>23</v>
      </c>
      <c r="C250" s="13"/>
      <c r="D250" s="13" t="s">
        <v>25</v>
      </c>
      <c r="E250" s="13" t="s">
        <v>22</v>
      </c>
      <c r="F250" s="13">
        <f>1.053</f>
        <v>1.0529999999999999</v>
      </c>
      <c r="G250" s="27">
        <v>27.1</v>
      </c>
      <c r="H250" s="15">
        <f t="shared" ref="H250:H261" si="30">G250*F250</f>
        <v>28.536300000000001</v>
      </c>
    </row>
    <row r="251" spans="1:9" hidden="1" outlineLevel="1" x14ac:dyDescent="0.3">
      <c r="A251" s="12"/>
      <c r="B251" s="13" t="s">
        <v>23</v>
      </c>
      <c r="C251" s="13"/>
      <c r="D251" s="13" t="s">
        <v>26</v>
      </c>
      <c r="E251" s="13" t="s">
        <v>35</v>
      </c>
      <c r="F251" s="13">
        <v>2.48</v>
      </c>
      <c r="G251" s="14">
        <v>0.504</v>
      </c>
      <c r="H251" s="15">
        <f t="shared" si="30"/>
        <v>1.2499199999999999</v>
      </c>
    </row>
    <row r="252" spans="1:9" hidden="1" outlineLevel="1" x14ac:dyDescent="0.3">
      <c r="A252" s="12"/>
      <c r="B252" s="13" t="s">
        <v>23</v>
      </c>
      <c r="C252" s="13"/>
      <c r="D252" s="13" t="s">
        <v>27</v>
      </c>
      <c r="E252" s="13" t="s">
        <v>36</v>
      </c>
      <c r="F252" s="13">
        <v>0.76239999999999997</v>
      </c>
      <c r="G252" s="27">
        <v>8.64</v>
      </c>
      <c r="H252" s="15">
        <f t="shared" si="30"/>
        <v>6.5871360000000001</v>
      </c>
    </row>
    <row r="253" spans="1:9" hidden="1" outlineLevel="1" x14ac:dyDescent="0.3">
      <c r="A253" s="12"/>
      <c r="B253" s="13" t="s">
        <v>23</v>
      </c>
      <c r="C253" s="13"/>
      <c r="D253" s="24" t="s">
        <v>44</v>
      </c>
      <c r="E253" s="13" t="s">
        <v>36</v>
      </c>
      <c r="F253" s="24">
        <f>2.0006</f>
        <v>2.0005999999999999</v>
      </c>
      <c r="G253" s="27">
        <v>10.79</v>
      </c>
      <c r="H253" s="15">
        <f t="shared" si="30"/>
        <v>21.586473999999999</v>
      </c>
    </row>
    <row r="254" spans="1:9" hidden="1" outlineLevel="1" x14ac:dyDescent="0.3">
      <c r="A254" s="12"/>
      <c r="B254" s="13" t="s">
        <v>23</v>
      </c>
      <c r="C254" s="13"/>
      <c r="D254" s="13" t="s">
        <v>28</v>
      </c>
      <c r="E254" s="13" t="s">
        <v>37</v>
      </c>
      <c r="F254" s="13">
        <v>0.54890000000000005</v>
      </c>
      <c r="G254" s="14">
        <v>3.43</v>
      </c>
      <c r="H254" s="15">
        <f t="shared" si="30"/>
        <v>1.8827270000000003</v>
      </c>
    </row>
    <row r="255" spans="1:9" hidden="1" outlineLevel="1" x14ac:dyDescent="0.3">
      <c r="A255" s="12"/>
      <c r="B255" s="13" t="s">
        <v>23</v>
      </c>
      <c r="C255" s="13"/>
      <c r="D255" s="13" t="s">
        <v>29</v>
      </c>
      <c r="E255" s="13" t="s">
        <v>36</v>
      </c>
      <c r="F255" s="13">
        <v>1.2513000000000001</v>
      </c>
      <c r="G255" s="14">
        <v>0.31</v>
      </c>
      <c r="H255" s="15">
        <f t="shared" si="30"/>
        <v>0.387903</v>
      </c>
    </row>
    <row r="256" spans="1:9" hidden="1" outlineLevel="1" x14ac:dyDescent="0.3">
      <c r="A256" s="12"/>
      <c r="B256" s="13" t="s">
        <v>23</v>
      </c>
      <c r="C256" s="13"/>
      <c r="D256" s="13" t="s">
        <v>30</v>
      </c>
      <c r="E256" s="13" t="s">
        <v>36</v>
      </c>
      <c r="F256" s="13">
        <v>0.74070000000000003</v>
      </c>
      <c r="G256" s="14">
        <v>2.74</v>
      </c>
      <c r="H256" s="15">
        <f t="shared" si="30"/>
        <v>2.0295180000000004</v>
      </c>
    </row>
    <row r="257" spans="1:8" hidden="1" outlineLevel="1" x14ac:dyDescent="0.3">
      <c r="A257" s="12"/>
      <c r="B257" s="13" t="s">
        <v>23</v>
      </c>
      <c r="C257" s="13"/>
      <c r="D257" t="s">
        <v>113</v>
      </c>
      <c r="E257" s="13" t="s">
        <v>22</v>
      </c>
      <c r="F257" s="13">
        <v>1.1000000000000001</v>
      </c>
      <c r="G257" s="27">
        <v>16.399999999999999</v>
      </c>
      <c r="H257" s="15">
        <f t="shared" si="30"/>
        <v>18.04</v>
      </c>
    </row>
    <row r="258" spans="1:8" hidden="1" outlineLevel="1" x14ac:dyDescent="0.3">
      <c r="A258" s="12"/>
      <c r="B258" s="13" t="s">
        <v>23</v>
      </c>
      <c r="C258" s="13"/>
      <c r="D258" s="25" t="s">
        <v>46</v>
      </c>
      <c r="E258" s="13" t="s">
        <v>36</v>
      </c>
      <c r="F258" s="24">
        <v>0.8</v>
      </c>
      <c r="G258" s="14">
        <v>3</v>
      </c>
      <c r="H258" s="15">
        <f t="shared" si="30"/>
        <v>2.4000000000000004</v>
      </c>
    </row>
    <row r="259" spans="1:8" hidden="1" outlineLevel="1" x14ac:dyDescent="0.3">
      <c r="A259" s="12"/>
      <c r="B259" s="13" t="s">
        <v>23</v>
      </c>
      <c r="C259" s="13"/>
      <c r="D259" s="25" t="s">
        <v>47</v>
      </c>
      <c r="E259" s="13" t="s">
        <v>36</v>
      </c>
      <c r="F259" s="24">
        <v>0.84</v>
      </c>
      <c r="G259" s="14">
        <v>0.6</v>
      </c>
      <c r="H259" s="15">
        <f t="shared" si="30"/>
        <v>0.504</v>
      </c>
    </row>
    <row r="260" spans="1:8" hidden="1" outlineLevel="1" x14ac:dyDescent="0.3">
      <c r="A260" s="12"/>
      <c r="B260" s="13" t="s">
        <v>23</v>
      </c>
      <c r="C260" s="13"/>
      <c r="D260" s="13" t="s">
        <v>32</v>
      </c>
      <c r="E260" s="13" t="s">
        <v>35</v>
      </c>
      <c r="F260" s="13">
        <v>10.093400000000001</v>
      </c>
      <c r="G260" s="14">
        <v>0.09</v>
      </c>
      <c r="H260" s="15">
        <f t="shared" si="30"/>
        <v>0.90840600000000005</v>
      </c>
    </row>
    <row r="261" spans="1:8" ht="15" hidden="1" outlineLevel="1" thickBot="1" x14ac:dyDescent="0.35">
      <c r="A261" s="16"/>
      <c r="B261" s="17" t="s">
        <v>23</v>
      </c>
      <c r="C261" s="17"/>
      <c r="D261" s="17" t="s">
        <v>33</v>
      </c>
      <c r="E261" s="17" t="s">
        <v>35</v>
      </c>
      <c r="F261" s="17">
        <v>0.4803</v>
      </c>
      <c r="G261" s="18">
        <v>0.2</v>
      </c>
      <c r="H261" s="19">
        <f t="shared" si="30"/>
        <v>9.6060000000000006E-2</v>
      </c>
    </row>
    <row r="262" spans="1:8" ht="15.6" collapsed="1" thickBot="1" x14ac:dyDescent="0.35">
      <c r="A262" s="26" t="s">
        <v>138</v>
      </c>
      <c r="B262" s="21" t="s">
        <v>20</v>
      </c>
      <c r="C262" s="46" t="s">
        <v>115</v>
      </c>
      <c r="D262" s="21" t="s">
        <v>123</v>
      </c>
      <c r="E262" s="20" t="s">
        <v>22</v>
      </c>
      <c r="F262" s="20"/>
      <c r="G262" s="22" t="s">
        <v>34</v>
      </c>
      <c r="H262" s="23">
        <f>SUM(H263:H273)</f>
        <v>77.272087999999997</v>
      </c>
    </row>
    <row r="263" spans="1:8" hidden="1" outlineLevel="1" x14ac:dyDescent="0.3">
      <c r="A263" s="13"/>
      <c r="B263" s="13" t="s">
        <v>23</v>
      </c>
      <c r="C263" s="13"/>
      <c r="D263" s="13" t="s">
        <v>112</v>
      </c>
      <c r="E263" s="13" t="s">
        <v>22</v>
      </c>
      <c r="F263" s="13">
        <f>1.053</f>
        <v>1.0529999999999999</v>
      </c>
      <c r="G263" s="27">
        <v>40.950000000000003</v>
      </c>
      <c r="H263" s="15">
        <f>G263*F263</f>
        <v>43.120350000000002</v>
      </c>
    </row>
    <row r="264" spans="1:8" hidden="1" outlineLevel="1" x14ac:dyDescent="0.3">
      <c r="A264" s="13"/>
      <c r="B264" s="13" t="s">
        <v>23</v>
      </c>
      <c r="C264" s="13"/>
      <c r="D264" s="13" t="s">
        <v>26</v>
      </c>
      <c r="E264" s="13" t="s">
        <v>22</v>
      </c>
      <c r="F264" s="13">
        <v>2.48</v>
      </c>
      <c r="G264" s="14">
        <f t="array" ref="G264">IF(B264="insumo",_xlfn.XLOOKUP($D264,[1]Insumos!$B$1:$B$878,[1]Insumos!$D$1:$D$878),"")</f>
        <v>0.504</v>
      </c>
      <c r="H264" s="15">
        <f t="shared" ref="H264:H273" si="31">G264*F264</f>
        <v>1.2499199999999999</v>
      </c>
    </row>
    <row r="265" spans="1:8" hidden="1" outlineLevel="1" x14ac:dyDescent="0.3">
      <c r="A265" s="13"/>
      <c r="B265" s="13" t="s">
        <v>23</v>
      </c>
      <c r="C265" s="13"/>
      <c r="D265" s="24" t="s">
        <v>50</v>
      </c>
      <c r="E265" s="13" t="s">
        <v>36</v>
      </c>
      <c r="F265" s="13">
        <v>0.76239999999999997</v>
      </c>
      <c r="G265" s="27">
        <v>7.46</v>
      </c>
      <c r="H265" s="15">
        <f t="shared" si="31"/>
        <v>5.6875039999999997</v>
      </c>
    </row>
    <row r="266" spans="1:8" hidden="1" outlineLevel="1" x14ac:dyDescent="0.3">
      <c r="A266" s="13"/>
      <c r="B266" s="13" t="s">
        <v>23</v>
      </c>
      <c r="C266" s="13"/>
      <c r="D266" s="24" t="s">
        <v>52</v>
      </c>
      <c r="E266" s="13" t="s">
        <v>36</v>
      </c>
      <c r="F266" s="13">
        <f>2.0006</f>
        <v>2.0005999999999999</v>
      </c>
      <c r="G266" s="27">
        <v>9.5</v>
      </c>
      <c r="H266" s="15">
        <f t="shared" si="31"/>
        <v>19.005700000000001</v>
      </c>
    </row>
    <row r="267" spans="1:8" hidden="1" outlineLevel="1" x14ac:dyDescent="0.3">
      <c r="A267" s="13"/>
      <c r="B267" s="13" t="s">
        <v>23</v>
      </c>
      <c r="C267" s="13"/>
      <c r="D267" s="13" t="s">
        <v>28</v>
      </c>
      <c r="E267" s="13" t="s">
        <v>37</v>
      </c>
      <c r="F267" s="13">
        <v>0.54890000000000005</v>
      </c>
      <c r="G267" s="14">
        <f t="array" ref="G267">IF(B267="insumo",_xlfn.XLOOKUP($D267,[1]Insumos!$B$1:$B$878,[1]Insumos!$D$1:$D$878),"")</f>
        <v>3.43</v>
      </c>
      <c r="H267" s="15">
        <f t="shared" si="31"/>
        <v>1.8827270000000003</v>
      </c>
    </row>
    <row r="268" spans="1:8" hidden="1" outlineLevel="1" x14ac:dyDescent="0.3">
      <c r="A268" s="13"/>
      <c r="B268" s="13" t="s">
        <v>23</v>
      </c>
      <c r="C268" s="13"/>
      <c r="D268" s="13" t="s">
        <v>29</v>
      </c>
      <c r="E268" s="13" t="s">
        <v>36</v>
      </c>
      <c r="F268" s="13">
        <v>1.2513000000000001</v>
      </c>
      <c r="G268" s="14">
        <f t="array" ref="G268">IF(B268="insumo",_xlfn.XLOOKUP($D268,[1]Insumos!$B$1:$B$878,[1]Insumos!$D$1:$D$878),"")</f>
        <v>0.31</v>
      </c>
      <c r="H268" s="15">
        <f t="shared" si="31"/>
        <v>0.387903</v>
      </c>
    </row>
    <row r="269" spans="1:8" hidden="1" outlineLevel="1" x14ac:dyDescent="0.3">
      <c r="A269" s="13"/>
      <c r="B269" s="13" t="s">
        <v>23</v>
      </c>
      <c r="C269" s="13"/>
      <c r="D269" s="13" t="s">
        <v>30</v>
      </c>
      <c r="E269" s="13" t="s">
        <v>36</v>
      </c>
      <c r="F269" s="13">
        <v>0.74070000000000003</v>
      </c>
      <c r="G269" s="14">
        <f t="array" ref="G269">IF(B269="insumo",_xlfn.XLOOKUP($D269,[1]Insumos!$B$1:$B$878,[1]Insumos!$D$1:$D$878),"")</f>
        <v>2.74</v>
      </c>
      <c r="H269" s="15">
        <f t="shared" si="31"/>
        <v>2.0295180000000004</v>
      </c>
    </row>
    <row r="270" spans="1:8" hidden="1" outlineLevel="1" x14ac:dyDescent="0.3">
      <c r="A270" s="13"/>
      <c r="B270" s="13" t="s">
        <v>23</v>
      </c>
      <c r="C270" s="13"/>
      <c r="D270" s="13" t="s">
        <v>32</v>
      </c>
      <c r="E270" s="13" t="s">
        <v>22</v>
      </c>
      <c r="F270" s="13">
        <v>10.093400000000001</v>
      </c>
      <c r="G270" s="14">
        <f t="array" ref="G270">IF(B270="insumo",_xlfn.XLOOKUP($D270,[1]Insumos!$B$1:$B$878,[1]Insumos!$D$1:$D$878),"")</f>
        <v>0.09</v>
      </c>
      <c r="H270" s="15">
        <f t="shared" si="31"/>
        <v>0.90840600000000005</v>
      </c>
    </row>
    <row r="271" spans="1:8" hidden="1" outlineLevel="1" x14ac:dyDescent="0.3">
      <c r="A271" s="13"/>
      <c r="B271" s="13" t="s">
        <v>23</v>
      </c>
      <c r="C271" s="13"/>
      <c r="D271" s="13" t="s">
        <v>33</v>
      </c>
      <c r="E271" s="13" t="s">
        <v>36</v>
      </c>
      <c r="F271" s="13">
        <v>0.4803</v>
      </c>
      <c r="G271" s="14">
        <f t="array" ref="G271">IF(B271="insumo",_xlfn.XLOOKUP($D271,[1]Insumos!$B$1:$B$878,[1]Insumos!$D$1:$D$878),"")</f>
        <v>0.2</v>
      </c>
      <c r="H271" s="15">
        <f t="shared" si="31"/>
        <v>9.6060000000000006E-2</v>
      </c>
    </row>
    <row r="272" spans="1:8" hidden="1" outlineLevel="1" x14ac:dyDescent="0.3">
      <c r="A272" s="12"/>
      <c r="B272" s="13" t="s">
        <v>23</v>
      </c>
      <c r="C272" s="13"/>
      <c r="D272" s="25" t="s">
        <v>46</v>
      </c>
      <c r="E272" s="13" t="s">
        <v>36</v>
      </c>
      <c r="F272" s="24">
        <v>0.8</v>
      </c>
      <c r="G272" s="14">
        <v>3</v>
      </c>
      <c r="H272" s="15">
        <f t="shared" si="31"/>
        <v>2.4000000000000004</v>
      </c>
    </row>
    <row r="273" spans="1:8" ht="15" hidden="1" outlineLevel="1" thickBot="1" x14ac:dyDescent="0.35">
      <c r="A273" s="12"/>
      <c r="B273" s="13" t="s">
        <v>23</v>
      </c>
      <c r="C273" s="13"/>
      <c r="D273" s="25" t="s">
        <v>47</v>
      </c>
      <c r="E273" s="13" t="s">
        <v>35</v>
      </c>
      <c r="F273" s="24">
        <v>0.84</v>
      </c>
      <c r="G273" s="14">
        <v>0.6</v>
      </c>
      <c r="H273" s="15">
        <f t="shared" si="31"/>
        <v>0.504</v>
      </c>
    </row>
    <row r="274" spans="1:8" ht="15.6" collapsed="1" thickBot="1" x14ac:dyDescent="0.35">
      <c r="A274" s="26" t="s">
        <v>139</v>
      </c>
      <c r="B274" s="21" t="s">
        <v>20</v>
      </c>
      <c r="C274" s="46" t="s">
        <v>143</v>
      </c>
      <c r="D274" s="21" t="s">
        <v>125</v>
      </c>
      <c r="E274" s="20" t="s">
        <v>22</v>
      </c>
      <c r="F274" s="20"/>
      <c r="G274" s="22" t="s">
        <v>34</v>
      </c>
      <c r="H274" s="23">
        <f>SUM(H275:H285)</f>
        <v>72.749095999999994</v>
      </c>
    </row>
    <row r="275" spans="1:8" hidden="1" outlineLevel="1" x14ac:dyDescent="0.3">
      <c r="A275" s="12"/>
      <c r="B275" s="13" t="s">
        <v>23</v>
      </c>
      <c r="C275" s="13"/>
      <c r="D275" s="13" t="s">
        <v>24</v>
      </c>
      <c r="E275" s="13" t="s">
        <v>22</v>
      </c>
      <c r="F275" s="13">
        <v>2.1059999999999999</v>
      </c>
      <c r="G275" s="27">
        <v>20.16</v>
      </c>
      <c r="H275" s="15">
        <f>G275*F275</f>
        <v>42.456959999999995</v>
      </c>
    </row>
    <row r="276" spans="1:8" hidden="1" outlineLevel="1" x14ac:dyDescent="0.3">
      <c r="A276" s="12"/>
      <c r="B276" s="13" t="s">
        <v>23</v>
      </c>
      <c r="C276" s="13"/>
      <c r="D276" s="13" t="s">
        <v>26</v>
      </c>
      <c r="E276" s="13" t="s">
        <v>22</v>
      </c>
      <c r="F276" s="13">
        <v>2.48</v>
      </c>
      <c r="G276" s="14">
        <f t="array" ref="G276">IF(B276="insumo",_xlfn.XLOOKUP($D276,[1]Insumos!$B$1:$B$878,[1]Insumos!$D$1:$D$878),"")</f>
        <v>0.504</v>
      </c>
      <c r="H276" s="15">
        <f t="shared" ref="H276:H285" si="32">G276*F276</f>
        <v>1.2499199999999999</v>
      </c>
    </row>
    <row r="277" spans="1:8" hidden="1" outlineLevel="1" x14ac:dyDescent="0.3">
      <c r="A277" s="12"/>
      <c r="B277" s="13" t="s">
        <v>23</v>
      </c>
      <c r="C277" s="13"/>
      <c r="D277" s="24" t="s">
        <v>105</v>
      </c>
      <c r="E277" s="13" t="s">
        <v>36</v>
      </c>
      <c r="F277" s="13">
        <v>0.76239999999999997</v>
      </c>
      <c r="G277" s="27">
        <v>6.15</v>
      </c>
      <c r="H277" s="15">
        <f t="shared" si="32"/>
        <v>4.6887600000000003</v>
      </c>
    </row>
    <row r="278" spans="1:8" hidden="1" outlineLevel="1" x14ac:dyDescent="0.3">
      <c r="A278" s="12"/>
      <c r="B278" s="13" t="s">
        <v>23</v>
      </c>
      <c r="C278" s="13"/>
      <c r="D278" s="24" t="s">
        <v>106</v>
      </c>
      <c r="E278" s="13" t="s">
        <v>36</v>
      </c>
      <c r="F278" s="13">
        <f>2.0006</f>
        <v>2.0005999999999999</v>
      </c>
      <c r="G278" s="27">
        <v>8.07</v>
      </c>
      <c r="H278" s="15">
        <f t="shared" si="32"/>
        <v>16.144842000000001</v>
      </c>
    </row>
    <row r="279" spans="1:8" hidden="1" outlineLevel="1" x14ac:dyDescent="0.3">
      <c r="A279" s="12"/>
      <c r="B279" s="13" t="s">
        <v>23</v>
      </c>
      <c r="C279" s="13"/>
      <c r="D279" s="13" t="s">
        <v>28</v>
      </c>
      <c r="E279" s="13" t="s">
        <v>37</v>
      </c>
      <c r="F279" s="13">
        <v>0.54890000000000005</v>
      </c>
      <c r="G279" s="14">
        <f t="array" ref="G279">IF(B279="insumo",_xlfn.XLOOKUP($D279,[1]Insumos!$B$1:$B$878,[1]Insumos!$D$1:$D$878),"")</f>
        <v>3.43</v>
      </c>
      <c r="H279" s="15">
        <f t="shared" si="32"/>
        <v>1.8827270000000003</v>
      </c>
    </row>
    <row r="280" spans="1:8" hidden="1" outlineLevel="1" x14ac:dyDescent="0.3">
      <c r="A280" s="12"/>
      <c r="B280" s="13" t="s">
        <v>23</v>
      </c>
      <c r="C280" s="13"/>
      <c r="D280" s="13" t="s">
        <v>29</v>
      </c>
      <c r="E280" s="13" t="s">
        <v>36</v>
      </c>
      <c r="F280" s="13">
        <v>1.2513000000000001</v>
      </c>
      <c r="G280" s="14">
        <f t="array" ref="G280">IF(B280="insumo",_xlfn.XLOOKUP($D280,[1]Insumos!$B$1:$B$878,[1]Insumos!$D$1:$D$878),"")</f>
        <v>0.31</v>
      </c>
      <c r="H280" s="15">
        <f t="shared" si="32"/>
        <v>0.387903</v>
      </c>
    </row>
    <row r="281" spans="1:8" hidden="1" outlineLevel="1" x14ac:dyDescent="0.3">
      <c r="A281" s="12"/>
      <c r="B281" s="13" t="s">
        <v>23</v>
      </c>
      <c r="C281" s="13"/>
      <c r="D281" s="13" t="s">
        <v>30</v>
      </c>
      <c r="E281" s="13" t="s">
        <v>36</v>
      </c>
      <c r="F281" s="13">
        <v>0.74070000000000003</v>
      </c>
      <c r="G281" s="14">
        <f t="array" ref="G281">IF(B281="insumo",_xlfn.XLOOKUP($D281,[1]Insumos!$B$1:$B$878,[1]Insumos!$D$1:$D$878),"")</f>
        <v>2.74</v>
      </c>
      <c r="H281" s="15">
        <f t="shared" si="32"/>
        <v>2.0295180000000004</v>
      </c>
    </row>
    <row r="282" spans="1:8" hidden="1" outlineLevel="1" x14ac:dyDescent="0.3">
      <c r="A282" s="12"/>
      <c r="B282" s="13" t="s">
        <v>23</v>
      </c>
      <c r="C282" s="13"/>
      <c r="D282" s="13" t="s">
        <v>32</v>
      </c>
      <c r="E282" s="13" t="s">
        <v>22</v>
      </c>
      <c r="F282" s="13">
        <v>10.093400000000001</v>
      </c>
      <c r="G282" s="14">
        <f t="array" ref="G282">IF(B282="insumo",_xlfn.XLOOKUP($D282,[1]Insumos!$B$1:$B$878,[1]Insumos!$D$1:$D$878),"")</f>
        <v>0.09</v>
      </c>
      <c r="H282" s="15">
        <f t="shared" si="32"/>
        <v>0.90840600000000005</v>
      </c>
    </row>
    <row r="283" spans="1:8" hidden="1" outlineLevel="1" x14ac:dyDescent="0.3">
      <c r="A283" s="12"/>
      <c r="B283" s="13" t="s">
        <v>23</v>
      </c>
      <c r="C283" s="13"/>
      <c r="D283" s="13" t="s">
        <v>33</v>
      </c>
      <c r="E283" s="13" t="s">
        <v>36</v>
      </c>
      <c r="F283" s="13">
        <v>0.4803</v>
      </c>
      <c r="G283" s="14">
        <f t="array" ref="G283">IF(B283="insumo",_xlfn.XLOOKUP($D283,[1]Insumos!$B$1:$B$878,[1]Insumos!$D$1:$D$878),"")</f>
        <v>0.2</v>
      </c>
      <c r="H283" s="15">
        <f t="shared" si="32"/>
        <v>9.6060000000000006E-2</v>
      </c>
    </row>
    <row r="284" spans="1:8" hidden="1" outlineLevel="1" x14ac:dyDescent="0.3">
      <c r="A284" s="12"/>
      <c r="B284" s="13" t="s">
        <v>23</v>
      </c>
      <c r="C284" s="13"/>
      <c r="D284" s="25" t="s">
        <v>46</v>
      </c>
      <c r="E284" s="13" t="s">
        <v>36</v>
      </c>
      <c r="F284" s="24">
        <v>0.8</v>
      </c>
      <c r="G284" s="14">
        <v>3</v>
      </c>
      <c r="H284" s="15">
        <f t="shared" si="32"/>
        <v>2.4000000000000004</v>
      </c>
    </row>
    <row r="285" spans="1:8" ht="15" hidden="1" outlineLevel="1" thickBot="1" x14ac:dyDescent="0.35">
      <c r="A285" s="16"/>
      <c r="B285" s="17" t="s">
        <v>23</v>
      </c>
      <c r="C285" s="17"/>
      <c r="D285" s="28" t="s">
        <v>47</v>
      </c>
      <c r="E285" s="17" t="s">
        <v>35</v>
      </c>
      <c r="F285" s="29">
        <v>0.84</v>
      </c>
      <c r="G285" s="18">
        <v>0.6</v>
      </c>
      <c r="H285" s="19">
        <f t="shared" si="32"/>
        <v>0.504</v>
      </c>
    </row>
    <row r="286" spans="1:8" ht="15.6" collapsed="1" thickBot="1" x14ac:dyDescent="0.35">
      <c r="A286" s="26" t="s">
        <v>140</v>
      </c>
      <c r="B286" s="21" t="s">
        <v>20</v>
      </c>
      <c r="C286" s="46" t="s">
        <v>144</v>
      </c>
      <c r="D286" s="21" t="s">
        <v>124</v>
      </c>
      <c r="E286" s="20" t="s">
        <v>22</v>
      </c>
      <c r="F286" s="20"/>
      <c r="G286" s="22" t="s">
        <v>34</v>
      </c>
      <c r="H286" s="23">
        <f>SUM(H287:H297)</f>
        <v>76.60869799999999</v>
      </c>
    </row>
    <row r="287" spans="1:8" hidden="1" outlineLevel="1" x14ac:dyDescent="0.3">
      <c r="A287" s="12"/>
      <c r="B287" s="13" t="s">
        <v>23</v>
      </c>
      <c r="C287" s="13"/>
      <c r="D287" s="13" t="s">
        <v>24</v>
      </c>
      <c r="E287" s="13" t="s">
        <v>22</v>
      </c>
      <c r="F287" s="13">
        <v>2.1059999999999999</v>
      </c>
      <c r="G287" s="27">
        <v>20.16</v>
      </c>
      <c r="H287" s="15">
        <f>G287*F287</f>
        <v>42.456959999999995</v>
      </c>
    </row>
    <row r="288" spans="1:8" hidden="1" outlineLevel="1" x14ac:dyDescent="0.3">
      <c r="A288" s="12"/>
      <c r="B288" s="13" t="s">
        <v>23</v>
      </c>
      <c r="C288" s="13"/>
      <c r="D288" s="13" t="s">
        <v>26</v>
      </c>
      <c r="E288" s="13" t="s">
        <v>22</v>
      </c>
      <c r="F288" s="13">
        <v>2.48</v>
      </c>
      <c r="G288" s="14">
        <f t="array" ref="G288">IF(B288="insumo",_xlfn.XLOOKUP($D288,[1]Insumos!$B$1:$B$878,[1]Insumos!$D$1:$D$878),"")</f>
        <v>0.504</v>
      </c>
      <c r="H288" s="15">
        <f t="shared" ref="H288:H297" si="33">G288*F288</f>
        <v>1.2499199999999999</v>
      </c>
    </row>
    <row r="289" spans="1:8" hidden="1" outlineLevel="1" x14ac:dyDescent="0.3">
      <c r="A289" s="12"/>
      <c r="B289" s="13" t="s">
        <v>23</v>
      </c>
      <c r="C289" s="13"/>
      <c r="D289" s="24" t="s">
        <v>50</v>
      </c>
      <c r="E289" s="13" t="s">
        <v>36</v>
      </c>
      <c r="F289" s="13">
        <v>0.76239999999999997</v>
      </c>
      <c r="G289" s="27">
        <v>7.46</v>
      </c>
      <c r="H289" s="15">
        <f t="shared" si="33"/>
        <v>5.6875039999999997</v>
      </c>
    </row>
    <row r="290" spans="1:8" hidden="1" outlineLevel="1" x14ac:dyDescent="0.3">
      <c r="A290" s="12"/>
      <c r="B290" s="13" t="s">
        <v>23</v>
      </c>
      <c r="C290" s="13"/>
      <c r="D290" s="24" t="s">
        <v>52</v>
      </c>
      <c r="E290" s="13" t="s">
        <v>36</v>
      </c>
      <c r="F290" s="13">
        <f>2.0006</f>
        <v>2.0005999999999999</v>
      </c>
      <c r="G290" s="27">
        <v>9.5</v>
      </c>
      <c r="H290" s="15">
        <f t="shared" si="33"/>
        <v>19.005700000000001</v>
      </c>
    </row>
    <row r="291" spans="1:8" hidden="1" outlineLevel="1" x14ac:dyDescent="0.3">
      <c r="A291" s="12"/>
      <c r="B291" s="13" t="s">
        <v>23</v>
      </c>
      <c r="C291" s="13"/>
      <c r="D291" s="13" t="s">
        <v>28</v>
      </c>
      <c r="E291" s="13" t="s">
        <v>37</v>
      </c>
      <c r="F291" s="13">
        <v>0.54890000000000005</v>
      </c>
      <c r="G291" s="14">
        <f t="array" ref="G291">IF(B291="insumo",_xlfn.XLOOKUP($D291,[1]Insumos!$B$1:$B$878,[1]Insumos!$D$1:$D$878),"")</f>
        <v>3.43</v>
      </c>
      <c r="H291" s="15">
        <f t="shared" si="33"/>
        <v>1.8827270000000003</v>
      </c>
    </row>
    <row r="292" spans="1:8" hidden="1" outlineLevel="1" x14ac:dyDescent="0.3">
      <c r="A292" s="12"/>
      <c r="B292" s="13" t="s">
        <v>23</v>
      </c>
      <c r="C292" s="13"/>
      <c r="D292" s="13" t="s">
        <v>29</v>
      </c>
      <c r="E292" s="13" t="s">
        <v>36</v>
      </c>
      <c r="F292" s="13">
        <v>1.2513000000000001</v>
      </c>
      <c r="G292" s="14">
        <f t="array" ref="G292">IF(B292="insumo",_xlfn.XLOOKUP($D292,[1]Insumos!$B$1:$B$878,[1]Insumos!$D$1:$D$878),"")</f>
        <v>0.31</v>
      </c>
      <c r="H292" s="15">
        <f t="shared" si="33"/>
        <v>0.387903</v>
      </c>
    </row>
    <row r="293" spans="1:8" hidden="1" outlineLevel="1" x14ac:dyDescent="0.3">
      <c r="A293" s="12"/>
      <c r="B293" s="13" t="s">
        <v>23</v>
      </c>
      <c r="C293" s="13"/>
      <c r="D293" s="13" t="s">
        <v>30</v>
      </c>
      <c r="E293" s="13" t="s">
        <v>36</v>
      </c>
      <c r="F293" s="13">
        <v>0.74070000000000003</v>
      </c>
      <c r="G293" s="14">
        <f t="array" ref="G293">IF(B293="insumo",_xlfn.XLOOKUP($D293,[1]Insumos!$B$1:$B$878,[1]Insumos!$D$1:$D$878),"")</f>
        <v>2.74</v>
      </c>
      <c r="H293" s="15">
        <f t="shared" si="33"/>
        <v>2.0295180000000004</v>
      </c>
    </row>
    <row r="294" spans="1:8" hidden="1" outlineLevel="1" x14ac:dyDescent="0.3">
      <c r="A294" s="12"/>
      <c r="B294" s="13" t="s">
        <v>23</v>
      </c>
      <c r="C294" s="13"/>
      <c r="D294" s="13" t="s">
        <v>32</v>
      </c>
      <c r="E294" s="13" t="s">
        <v>22</v>
      </c>
      <c r="F294" s="13">
        <v>10.093400000000001</v>
      </c>
      <c r="G294" s="14">
        <f t="array" ref="G294">IF(B294="insumo",_xlfn.XLOOKUP($D294,[1]Insumos!$B$1:$B$878,[1]Insumos!$D$1:$D$878),"")</f>
        <v>0.09</v>
      </c>
      <c r="H294" s="15">
        <f t="shared" si="33"/>
        <v>0.90840600000000005</v>
      </c>
    </row>
    <row r="295" spans="1:8" hidden="1" outlineLevel="1" x14ac:dyDescent="0.3">
      <c r="A295" s="12"/>
      <c r="B295" s="13" t="s">
        <v>23</v>
      </c>
      <c r="C295" s="13"/>
      <c r="D295" s="13" t="s">
        <v>33</v>
      </c>
      <c r="E295" s="13" t="s">
        <v>36</v>
      </c>
      <c r="F295" s="13">
        <v>0.4803</v>
      </c>
      <c r="G295" s="14">
        <f t="array" ref="G295">IF(B295="insumo",_xlfn.XLOOKUP($D295,[1]Insumos!$B$1:$B$878,[1]Insumos!$D$1:$D$878),"")</f>
        <v>0.2</v>
      </c>
      <c r="H295" s="15">
        <f t="shared" si="33"/>
        <v>9.6060000000000006E-2</v>
      </c>
    </row>
    <row r="296" spans="1:8" hidden="1" outlineLevel="1" x14ac:dyDescent="0.3">
      <c r="A296" s="12"/>
      <c r="B296" s="13" t="s">
        <v>23</v>
      </c>
      <c r="C296" s="13"/>
      <c r="D296" s="25" t="s">
        <v>46</v>
      </c>
      <c r="E296" s="13" t="s">
        <v>36</v>
      </c>
      <c r="F296" s="24">
        <v>0.8</v>
      </c>
      <c r="G296" s="14">
        <v>3</v>
      </c>
      <c r="H296" s="15">
        <f t="shared" si="33"/>
        <v>2.4000000000000004</v>
      </c>
    </row>
    <row r="297" spans="1:8" ht="15" hidden="1" outlineLevel="1" thickBot="1" x14ac:dyDescent="0.35">
      <c r="A297" s="16"/>
      <c r="B297" s="17" t="s">
        <v>23</v>
      </c>
      <c r="C297" s="17"/>
      <c r="D297" s="28" t="s">
        <v>47</v>
      </c>
      <c r="E297" s="17" t="s">
        <v>35</v>
      </c>
      <c r="F297" s="29">
        <v>0.84</v>
      </c>
      <c r="G297" s="18">
        <v>0.6</v>
      </c>
      <c r="H297" s="19">
        <f t="shared" si="33"/>
        <v>0.504</v>
      </c>
    </row>
    <row r="298" spans="1:8" ht="15" collapsed="1" x14ac:dyDescent="0.3">
      <c r="A298" s="26" t="s">
        <v>141</v>
      </c>
      <c r="B298" s="21" t="s">
        <v>20</v>
      </c>
      <c r="C298" s="46" t="s">
        <v>145</v>
      </c>
      <c r="D298" s="21" t="s">
        <v>124</v>
      </c>
      <c r="E298" s="20" t="s">
        <v>22</v>
      </c>
      <c r="F298" s="20"/>
      <c r="G298" s="22" t="s">
        <v>34</v>
      </c>
      <c r="H298" s="23">
        <f>SUM(H299:H309)</f>
        <v>62.688037999999999</v>
      </c>
    </row>
    <row r="299" spans="1:8" hidden="1" outlineLevel="1" x14ac:dyDescent="0.3">
      <c r="A299" s="12"/>
      <c r="B299" s="13" t="s">
        <v>23</v>
      </c>
      <c r="C299" s="13"/>
      <c r="D299" s="13" t="s">
        <v>25</v>
      </c>
      <c r="E299" s="13" t="s">
        <v>22</v>
      </c>
      <c r="F299" s="13">
        <v>1.0529999999999999</v>
      </c>
      <c r="G299" s="27">
        <v>27.1</v>
      </c>
      <c r="H299" s="15">
        <f>G299*F299</f>
        <v>28.536300000000001</v>
      </c>
    </row>
    <row r="300" spans="1:8" hidden="1" outlineLevel="1" x14ac:dyDescent="0.3">
      <c r="A300" s="12"/>
      <c r="B300" s="13" t="s">
        <v>23</v>
      </c>
      <c r="C300" s="13"/>
      <c r="D300" s="13" t="s">
        <v>26</v>
      </c>
      <c r="E300" s="13" t="s">
        <v>22</v>
      </c>
      <c r="F300" s="13">
        <v>2.48</v>
      </c>
      <c r="G300" s="14">
        <f t="array" ref="G300">IF(B300="insumo",_xlfn.XLOOKUP($D300,[1]Insumos!$B$1:$B$878,[1]Insumos!$D$1:$D$878),"")</f>
        <v>0.504</v>
      </c>
      <c r="H300" s="15">
        <f t="shared" ref="H300:H309" si="34">G300*F300</f>
        <v>1.2499199999999999</v>
      </c>
    </row>
    <row r="301" spans="1:8" hidden="1" outlineLevel="1" x14ac:dyDescent="0.3">
      <c r="A301" s="12"/>
      <c r="B301" s="13" t="s">
        <v>23</v>
      </c>
      <c r="C301" s="13"/>
      <c r="D301" s="24" t="s">
        <v>50</v>
      </c>
      <c r="E301" s="13" t="s">
        <v>36</v>
      </c>
      <c r="F301" s="13">
        <v>0.76239999999999997</v>
      </c>
      <c r="G301" s="27">
        <v>7.46</v>
      </c>
      <c r="H301" s="15">
        <f t="shared" si="34"/>
        <v>5.6875039999999997</v>
      </c>
    </row>
    <row r="302" spans="1:8" hidden="1" outlineLevel="1" x14ac:dyDescent="0.3">
      <c r="A302" s="12"/>
      <c r="B302" s="13" t="s">
        <v>23</v>
      </c>
      <c r="C302" s="13"/>
      <c r="D302" s="24" t="s">
        <v>52</v>
      </c>
      <c r="E302" s="13" t="s">
        <v>36</v>
      </c>
      <c r="F302" s="13">
        <f>2.0006</f>
        <v>2.0005999999999999</v>
      </c>
      <c r="G302" s="27">
        <v>9.5</v>
      </c>
      <c r="H302" s="15">
        <f t="shared" si="34"/>
        <v>19.005700000000001</v>
      </c>
    </row>
    <row r="303" spans="1:8" hidden="1" outlineLevel="1" x14ac:dyDescent="0.3">
      <c r="A303" s="12"/>
      <c r="B303" s="13" t="s">
        <v>23</v>
      </c>
      <c r="C303" s="13"/>
      <c r="D303" s="13" t="s">
        <v>28</v>
      </c>
      <c r="E303" s="13" t="s">
        <v>37</v>
      </c>
      <c r="F303" s="13">
        <v>0.54890000000000005</v>
      </c>
      <c r="G303" s="14">
        <f t="array" ref="G303">IF(B303="insumo",_xlfn.XLOOKUP($D303,[1]Insumos!$B$1:$B$878,[1]Insumos!$D$1:$D$878),"")</f>
        <v>3.43</v>
      </c>
      <c r="H303" s="15">
        <f t="shared" si="34"/>
        <v>1.8827270000000003</v>
      </c>
    </row>
    <row r="304" spans="1:8" hidden="1" outlineLevel="1" x14ac:dyDescent="0.3">
      <c r="A304" s="12"/>
      <c r="B304" s="13" t="s">
        <v>23</v>
      </c>
      <c r="C304" s="13"/>
      <c r="D304" s="13" t="s">
        <v>29</v>
      </c>
      <c r="E304" s="13" t="s">
        <v>36</v>
      </c>
      <c r="F304" s="13">
        <v>1.2513000000000001</v>
      </c>
      <c r="G304" s="14">
        <f t="array" ref="G304">IF(B304="insumo",_xlfn.XLOOKUP($D304,[1]Insumos!$B$1:$B$878,[1]Insumos!$D$1:$D$878),"")</f>
        <v>0.31</v>
      </c>
      <c r="H304" s="15">
        <f t="shared" si="34"/>
        <v>0.387903</v>
      </c>
    </row>
    <row r="305" spans="1:8" hidden="1" outlineLevel="1" x14ac:dyDescent="0.3">
      <c r="A305" s="12"/>
      <c r="B305" s="13" t="s">
        <v>23</v>
      </c>
      <c r="C305" s="13"/>
      <c r="D305" s="13" t="s">
        <v>30</v>
      </c>
      <c r="E305" s="13" t="s">
        <v>36</v>
      </c>
      <c r="F305" s="13">
        <v>0.74070000000000003</v>
      </c>
      <c r="G305" s="14">
        <f t="array" ref="G305">IF(B305="insumo",_xlfn.XLOOKUP($D305,[1]Insumos!$B$1:$B$878,[1]Insumos!$D$1:$D$878),"")</f>
        <v>2.74</v>
      </c>
      <c r="H305" s="15">
        <f t="shared" si="34"/>
        <v>2.0295180000000004</v>
      </c>
    </row>
    <row r="306" spans="1:8" hidden="1" outlineLevel="1" x14ac:dyDescent="0.3">
      <c r="A306" s="12"/>
      <c r="B306" s="13" t="s">
        <v>23</v>
      </c>
      <c r="C306" s="13"/>
      <c r="D306" s="13" t="s">
        <v>32</v>
      </c>
      <c r="E306" s="13" t="s">
        <v>22</v>
      </c>
      <c r="F306" s="13">
        <v>10.093400000000001</v>
      </c>
      <c r="G306" s="14">
        <f t="array" ref="G306">IF(B306="insumo",_xlfn.XLOOKUP($D306,[1]Insumos!$B$1:$B$878,[1]Insumos!$D$1:$D$878),"")</f>
        <v>0.09</v>
      </c>
      <c r="H306" s="15">
        <f t="shared" si="34"/>
        <v>0.90840600000000005</v>
      </c>
    </row>
    <row r="307" spans="1:8" hidden="1" outlineLevel="1" x14ac:dyDescent="0.3">
      <c r="A307" s="12"/>
      <c r="B307" s="13" t="s">
        <v>23</v>
      </c>
      <c r="C307" s="13"/>
      <c r="D307" s="13" t="s">
        <v>33</v>
      </c>
      <c r="E307" s="13" t="s">
        <v>36</v>
      </c>
      <c r="F307" s="13">
        <v>0.4803</v>
      </c>
      <c r="G307" s="14">
        <f t="array" ref="G307">IF(B307="insumo",_xlfn.XLOOKUP($D307,[1]Insumos!$B$1:$B$878,[1]Insumos!$D$1:$D$878),"")</f>
        <v>0.2</v>
      </c>
      <c r="H307" s="15">
        <f t="shared" si="34"/>
        <v>9.6060000000000006E-2</v>
      </c>
    </row>
    <row r="308" spans="1:8" hidden="1" outlineLevel="1" x14ac:dyDescent="0.3">
      <c r="A308" s="12"/>
      <c r="B308" s="13" t="s">
        <v>23</v>
      </c>
      <c r="C308" s="13"/>
      <c r="D308" s="25" t="s">
        <v>46</v>
      </c>
      <c r="E308" s="13" t="s">
        <v>36</v>
      </c>
      <c r="F308" s="24">
        <v>0.8</v>
      </c>
      <c r="G308" s="14">
        <v>3</v>
      </c>
      <c r="H308" s="15">
        <f t="shared" si="34"/>
        <v>2.4000000000000004</v>
      </c>
    </row>
    <row r="309" spans="1:8" ht="15" hidden="1" outlineLevel="1" thickBot="1" x14ac:dyDescent="0.35">
      <c r="A309" s="16"/>
      <c r="B309" s="17" t="s">
        <v>23</v>
      </c>
      <c r="C309" s="17"/>
      <c r="D309" s="28" t="s">
        <v>47</v>
      </c>
      <c r="E309" s="17" t="s">
        <v>35</v>
      </c>
      <c r="F309" s="29">
        <v>0.84</v>
      </c>
      <c r="G309" s="18">
        <v>0.6</v>
      </c>
      <c r="H309" s="19">
        <f t="shared" si="34"/>
        <v>0.504</v>
      </c>
    </row>
    <row r="310" spans="1:8" collapsed="1" x14ac:dyDescent="0.3"/>
  </sheetData>
  <conditionalFormatting sqref="A2:D2 A83:C83">
    <cfRule type="expression" dxfId="159" priority="186">
      <formula>$B2="Subetapa"</formula>
    </cfRule>
    <cfRule type="expression" dxfId="158" priority="187">
      <formula>$B2="Serviço"</formula>
    </cfRule>
  </conditionalFormatting>
  <conditionalFormatting sqref="A17:D17">
    <cfRule type="expression" dxfId="157" priority="188">
      <formula>$B17="Subetapa"</formula>
    </cfRule>
    <cfRule type="expression" dxfId="156" priority="189">
      <formula>$B17="Serviço"</formula>
    </cfRule>
  </conditionalFormatting>
  <conditionalFormatting sqref="A57:D57">
    <cfRule type="expression" dxfId="155" priority="172">
      <formula>$B57="Subetapa"</formula>
    </cfRule>
    <cfRule type="expression" dxfId="154" priority="173">
      <formula>$B57="Serviço"</formula>
    </cfRule>
  </conditionalFormatting>
  <conditionalFormatting sqref="A71:D71">
    <cfRule type="expression" dxfId="153" priority="165">
      <formula>$B71="Subetapa"</formula>
    </cfRule>
    <cfRule type="expression" dxfId="152" priority="166">
      <formula>$B71="Serviço"</formula>
    </cfRule>
  </conditionalFormatting>
  <conditionalFormatting sqref="A96:D96">
    <cfRule type="expression" dxfId="151" priority="145">
      <formula>$B96="Subetapa"</formula>
    </cfRule>
    <cfRule type="expression" dxfId="150" priority="146">
      <formula>$B96="Serviço"</formula>
    </cfRule>
  </conditionalFormatting>
  <conditionalFormatting sqref="A110:D110">
    <cfRule type="expression" dxfId="149" priority="73">
      <formula>$B110="Subetapa"</formula>
    </cfRule>
    <cfRule type="expression" dxfId="148" priority="74">
      <formula>$B110="Serviço"</formula>
    </cfRule>
  </conditionalFormatting>
  <conditionalFormatting sqref="A124:D124">
    <cfRule type="expression" dxfId="147" priority="75">
      <formula>$B124="Subetapa"</formula>
    </cfRule>
    <cfRule type="expression" dxfId="146" priority="76">
      <formula>$B124="Serviço"</formula>
    </cfRule>
  </conditionalFormatting>
  <conditionalFormatting sqref="A136:D136">
    <cfRule type="expression" dxfId="145" priority="77">
      <formula>$B136="Subetapa"</formula>
    </cfRule>
    <cfRule type="expression" dxfId="144" priority="78">
      <formula>$B136="Serviço"</formula>
    </cfRule>
  </conditionalFormatting>
  <conditionalFormatting sqref="A148:D148">
    <cfRule type="expression" dxfId="143" priority="79">
      <formula>$B148="Subetapa"</formula>
    </cfRule>
    <cfRule type="expression" dxfId="142" priority="80">
      <formula>$B148="Serviço"</formula>
    </cfRule>
  </conditionalFormatting>
  <conditionalFormatting sqref="A162:D162">
    <cfRule type="expression" dxfId="141" priority="81">
      <formula>$B162="Subetapa"</formula>
    </cfRule>
    <cfRule type="expression" dxfId="140" priority="82">
      <formula>$B162="Serviço"</formula>
    </cfRule>
  </conditionalFormatting>
  <conditionalFormatting sqref="A174:D174">
    <cfRule type="expression" dxfId="139" priority="83">
      <formula>$B174="Subetapa"</formula>
    </cfRule>
    <cfRule type="expression" dxfId="138" priority="84">
      <formula>$B174="Serviço"</formula>
    </cfRule>
  </conditionalFormatting>
  <conditionalFormatting sqref="A186:D186">
    <cfRule type="expression" dxfId="137" priority="85">
      <formula>$B186="Subetapa"</formula>
    </cfRule>
    <cfRule type="expression" dxfId="136" priority="86">
      <formula>$B186="Serviço"</formula>
    </cfRule>
  </conditionalFormatting>
  <conditionalFormatting sqref="A198:D198">
    <cfRule type="expression" dxfId="135" priority="87">
      <formula>$B198="Subetapa"</formula>
    </cfRule>
    <cfRule type="expression" dxfId="134" priority="88">
      <formula>$B198="Serviço"</formula>
    </cfRule>
  </conditionalFormatting>
  <conditionalFormatting sqref="A210:D210">
    <cfRule type="expression" dxfId="133" priority="1">
      <formula>$B210="Subetapa"</formula>
    </cfRule>
    <cfRule type="expression" dxfId="132" priority="2">
      <formula>$B210="Serviço"</formula>
    </cfRule>
  </conditionalFormatting>
  <conditionalFormatting sqref="A224:D224">
    <cfRule type="expression" dxfId="131" priority="5">
      <formula>$B224="Subetapa"</formula>
    </cfRule>
    <cfRule type="expression" dxfId="130" priority="6">
      <formula>$B224="Serviço"</formula>
    </cfRule>
  </conditionalFormatting>
  <conditionalFormatting sqref="A236:D236">
    <cfRule type="expression" dxfId="129" priority="7">
      <formula>$B236="Subetapa"</formula>
    </cfRule>
    <cfRule type="expression" dxfId="128" priority="8">
      <formula>$B236="Serviço"</formula>
    </cfRule>
  </conditionalFormatting>
  <conditionalFormatting sqref="A248:D248">
    <cfRule type="expression" dxfId="127" priority="9">
      <formula>$B248="Subetapa"</formula>
    </cfRule>
    <cfRule type="expression" dxfId="126" priority="10">
      <formula>$B248="Serviço"</formula>
    </cfRule>
  </conditionalFormatting>
  <conditionalFormatting sqref="A262:D262">
    <cfRule type="expression" dxfId="125" priority="11">
      <formula>$B262="Subetapa"</formula>
    </cfRule>
    <cfRule type="expression" dxfId="124" priority="12">
      <formula>$B262="Serviço"</formula>
    </cfRule>
  </conditionalFormatting>
  <conditionalFormatting sqref="A274:D274">
    <cfRule type="expression" dxfId="123" priority="13">
      <formula>$B274="Subetapa"</formula>
    </cfRule>
    <cfRule type="expression" dxfId="122" priority="14">
      <formula>$B274="Serviço"</formula>
    </cfRule>
  </conditionalFormatting>
  <conditionalFormatting sqref="A286:D286">
    <cfRule type="expression" dxfId="121" priority="15">
      <formula>$B286="Subetapa"</formula>
    </cfRule>
    <cfRule type="expression" dxfId="120" priority="16">
      <formula>$B286="Serviço"</formula>
    </cfRule>
  </conditionalFormatting>
  <conditionalFormatting sqref="A298:D298">
    <cfRule type="expression" dxfId="119" priority="17">
      <formula>$B298="Subetapa"</formula>
    </cfRule>
    <cfRule type="expression" dxfId="118" priority="18">
      <formula>$B298="Serviço"</formula>
    </cfRule>
  </conditionalFormatting>
  <conditionalFormatting sqref="A1:H1">
    <cfRule type="expression" dxfId="117" priority="264">
      <formula>$B1="Serviço"</formula>
    </cfRule>
    <cfRule type="expression" dxfId="116" priority="265">
      <formula>$B1="Subetapa"</formula>
    </cfRule>
  </conditionalFormatting>
  <conditionalFormatting sqref="A30:H30">
    <cfRule type="expression" dxfId="115" priority="220">
      <formula>$B30="Subetapa"</formula>
    </cfRule>
    <cfRule type="expression" dxfId="114" priority="221">
      <formula>$B30="Serviço"</formula>
    </cfRule>
  </conditionalFormatting>
  <conditionalFormatting sqref="A43:H43">
    <cfRule type="expression" dxfId="113" priority="184">
      <formula>$B43="Subetapa"</formula>
    </cfRule>
    <cfRule type="expression" dxfId="112" priority="185">
      <formula>$B43="Serviço"</formula>
    </cfRule>
  </conditionalFormatting>
  <conditionalFormatting sqref="E2:F2">
    <cfRule type="expression" dxfId="111" priority="269">
      <formula>$B2="Serviço"</formula>
    </cfRule>
  </conditionalFormatting>
  <conditionalFormatting sqref="E17:F17">
    <cfRule type="expression" dxfId="110" priority="261">
      <formula>$B17="Serviço"</formula>
    </cfRule>
  </conditionalFormatting>
  <conditionalFormatting sqref="E57:F57">
    <cfRule type="expression" dxfId="109" priority="181">
      <formula>$B57="Serviço"</formula>
    </cfRule>
  </conditionalFormatting>
  <conditionalFormatting sqref="E71:F71">
    <cfRule type="expression" dxfId="108" priority="171">
      <formula>$B71="Serviço"</formula>
    </cfRule>
  </conditionalFormatting>
  <conditionalFormatting sqref="E83:F83">
    <cfRule type="expression" dxfId="107" priority="162">
      <formula>$B83="Serviço"</formula>
    </cfRule>
  </conditionalFormatting>
  <conditionalFormatting sqref="E96:F96">
    <cfRule type="expression" dxfId="106" priority="149">
      <formula>$B96="Serviço"</formula>
    </cfRule>
  </conditionalFormatting>
  <conditionalFormatting sqref="E110:F110">
    <cfRule type="expression" dxfId="105" priority="140">
      <formula>$B110="Serviço"</formula>
    </cfRule>
  </conditionalFormatting>
  <conditionalFormatting sqref="E124:F124">
    <cfRule type="expression" dxfId="104" priority="135">
      <formula>$B124="Serviço"</formula>
    </cfRule>
  </conditionalFormatting>
  <conditionalFormatting sqref="E136:F136">
    <cfRule type="expression" dxfId="103" priority="128">
      <formula>$B136="Serviço"</formula>
    </cfRule>
  </conditionalFormatting>
  <conditionalFormatting sqref="E148:F148">
    <cfRule type="expression" dxfId="102" priority="119">
      <formula>$B148="Serviço"</formula>
    </cfRule>
  </conditionalFormatting>
  <conditionalFormatting sqref="E162:F162">
    <cfRule type="expression" dxfId="101" priority="114">
      <formula>$B162="Serviço"</formula>
    </cfRule>
  </conditionalFormatting>
  <conditionalFormatting sqref="E174:F174">
    <cfRule type="expression" dxfId="100" priority="107">
      <formula>$B174="Serviço"</formula>
    </cfRule>
  </conditionalFormatting>
  <conditionalFormatting sqref="E186:F186">
    <cfRule type="expression" dxfId="99" priority="100">
      <formula>$B186="Serviço"</formula>
    </cfRule>
  </conditionalFormatting>
  <conditionalFormatting sqref="E198:F198">
    <cfRule type="expression" dxfId="98" priority="93">
      <formula>$B198="Serviço"</formula>
    </cfRule>
  </conditionalFormatting>
  <conditionalFormatting sqref="E210:F210">
    <cfRule type="expression" dxfId="97" priority="70">
      <formula>$B210="Serviço"</formula>
    </cfRule>
  </conditionalFormatting>
  <conditionalFormatting sqref="E224:F224">
    <cfRule type="expression" dxfId="96" priority="65">
      <formula>$B224="Serviço"</formula>
    </cfRule>
  </conditionalFormatting>
  <conditionalFormatting sqref="E236:F236">
    <cfRule type="expression" dxfId="95" priority="58">
      <formula>$B236="Serviço"</formula>
    </cfRule>
  </conditionalFormatting>
  <conditionalFormatting sqref="E248:F248">
    <cfRule type="expression" dxfId="94" priority="49">
      <formula>$B248="Serviço"</formula>
    </cfRule>
  </conditionalFormatting>
  <conditionalFormatting sqref="E262:F262">
    <cfRule type="expression" dxfId="93" priority="44">
      <formula>$B262="Serviço"</formula>
    </cfRule>
  </conditionalFormatting>
  <conditionalFormatting sqref="E274:F274">
    <cfRule type="expression" dxfId="92" priority="37">
      <formula>$B274="Serviço"</formula>
    </cfRule>
  </conditionalFormatting>
  <conditionalFormatting sqref="E286:F286">
    <cfRule type="expression" dxfId="91" priority="30">
      <formula>$B286="Serviço"</formula>
    </cfRule>
  </conditionalFormatting>
  <conditionalFormatting sqref="E298:F298">
    <cfRule type="expression" dxfId="90" priority="23">
      <formula>$B298="Serviço"</formula>
    </cfRule>
  </conditionalFormatting>
  <conditionalFormatting sqref="E2:G2">
    <cfRule type="expression" dxfId="89" priority="267">
      <formula>$B2="Subetapa"</formula>
    </cfRule>
  </conditionalFormatting>
  <conditionalFormatting sqref="E17:G17">
    <cfRule type="expression" dxfId="88" priority="259">
      <formula>$B17="Subetapa"</formula>
    </cfRule>
  </conditionalFormatting>
  <conditionalFormatting sqref="E57:G57">
    <cfRule type="expression" dxfId="87" priority="179">
      <formula>$B57="Subetapa"</formula>
    </cfRule>
  </conditionalFormatting>
  <conditionalFormatting sqref="E71:G71">
    <cfRule type="expression" dxfId="86" priority="170">
      <formula>$B71="Subetapa"</formula>
    </cfRule>
  </conditionalFormatting>
  <conditionalFormatting sqref="E83:G83">
    <cfRule type="expression" dxfId="85" priority="161">
      <formula>$B83="Subetapa"</formula>
    </cfRule>
  </conditionalFormatting>
  <conditionalFormatting sqref="E96:G96">
    <cfRule type="expression" dxfId="84" priority="148">
      <formula>$B96="Subetapa"</formula>
    </cfRule>
  </conditionalFormatting>
  <conditionalFormatting sqref="E110:G110">
    <cfRule type="expression" dxfId="83" priority="139">
      <formula>$B110="Subetapa"</formula>
    </cfRule>
  </conditionalFormatting>
  <conditionalFormatting sqref="E124:G124">
    <cfRule type="expression" dxfId="82" priority="134">
      <formula>$B124="Subetapa"</formula>
    </cfRule>
  </conditionalFormatting>
  <conditionalFormatting sqref="E136:G136">
    <cfRule type="expression" dxfId="81" priority="127">
      <formula>$B136="Subetapa"</formula>
    </cfRule>
  </conditionalFormatting>
  <conditionalFormatting sqref="E148:G148">
    <cfRule type="expression" dxfId="80" priority="118">
      <formula>$B148="Subetapa"</formula>
    </cfRule>
  </conditionalFormatting>
  <conditionalFormatting sqref="E162:G162">
    <cfRule type="expression" dxfId="79" priority="113">
      <formula>$B162="Subetapa"</formula>
    </cfRule>
  </conditionalFormatting>
  <conditionalFormatting sqref="E174:G174">
    <cfRule type="expression" dxfId="78" priority="106">
      <formula>$B174="Subetapa"</formula>
    </cfRule>
  </conditionalFormatting>
  <conditionalFormatting sqref="E186:G186">
    <cfRule type="expression" dxfId="77" priority="99">
      <formula>$B186="Subetapa"</formula>
    </cfRule>
  </conditionalFormatting>
  <conditionalFormatting sqref="E198:G198">
    <cfRule type="expression" dxfId="76" priority="92">
      <formula>$B198="Subetapa"</formula>
    </cfRule>
  </conditionalFormatting>
  <conditionalFormatting sqref="E210:G210">
    <cfRule type="expression" dxfId="75" priority="69">
      <formula>$B210="Subetapa"</formula>
    </cfRule>
  </conditionalFormatting>
  <conditionalFormatting sqref="E224:G224">
    <cfRule type="expression" dxfId="74" priority="64">
      <formula>$B224="Subetapa"</formula>
    </cfRule>
  </conditionalFormatting>
  <conditionalFormatting sqref="E236:G236">
    <cfRule type="expression" dxfId="73" priority="57">
      <formula>$B236="Subetapa"</formula>
    </cfRule>
  </conditionalFormatting>
  <conditionalFormatting sqref="E248:G248">
    <cfRule type="expression" dxfId="72" priority="48">
      <formula>$B248="Subetapa"</formula>
    </cfRule>
  </conditionalFormatting>
  <conditionalFormatting sqref="E262:G262">
    <cfRule type="expression" dxfId="71" priority="43">
      <formula>$B262="Subetapa"</formula>
    </cfRule>
  </conditionalFormatting>
  <conditionalFormatting sqref="E274:G274">
    <cfRule type="expression" dxfId="70" priority="36">
      <formula>$B274="Subetapa"</formula>
    </cfRule>
  </conditionalFormatting>
  <conditionalFormatting sqref="E286:G286">
    <cfRule type="expression" dxfId="69" priority="29">
      <formula>$B286="Subetapa"</formula>
    </cfRule>
  </conditionalFormatting>
  <conditionalFormatting sqref="E298:G298">
    <cfRule type="expression" dxfId="68" priority="22">
      <formula>$B298="Subetapa"</formula>
    </cfRule>
  </conditionalFormatting>
  <conditionalFormatting sqref="G2">
    <cfRule type="expression" dxfId="67" priority="266">
      <formula>$B2="Serviço"</formula>
    </cfRule>
  </conditionalFormatting>
  <conditionalFormatting sqref="G17">
    <cfRule type="expression" dxfId="66" priority="258">
      <formula>$B17="Serviço"</formula>
    </cfRule>
  </conditionalFormatting>
  <conditionalFormatting sqref="G57">
    <cfRule type="expression" dxfId="65" priority="178">
      <formula>$B57="Serviço"</formula>
    </cfRule>
  </conditionalFormatting>
  <conditionalFormatting sqref="G71">
    <cfRule type="expression" dxfId="64" priority="169">
      <formula>$B71="Serviço"</formula>
    </cfRule>
  </conditionalFormatting>
  <conditionalFormatting sqref="G83">
    <cfRule type="expression" dxfId="63" priority="160">
      <formula>$B83="Serviço"</formula>
    </cfRule>
  </conditionalFormatting>
  <conditionalFormatting sqref="G96">
    <cfRule type="expression" dxfId="62" priority="147">
      <formula>$B96="Serviço"</formula>
    </cfRule>
  </conditionalFormatting>
  <conditionalFormatting sqref="G110">
    <cfRule type="expression" dxfId="61" priority="138">
      <formula>$B110="Serviço"</formula>
    </cfRule>
  </conditionalFormatting>
  <conditionalFormatting sqref="G124">
    <cfRule type="expression" dxfId="60" priority="133">
      <formula>$B124="Serviço"</formula>
    </cfRule>
  </conditionalFormatting>
  <conditionalFormatting sqref="G136">
    <cfRule type="expression" dxfId="59" priority="126">
      <formula>$B136="Serviço"</formula>
    </cfRule>
  </conditionalFormatting>
  <conditionalFormatting sqref="G148">
    <cfRule type="expression" dxfId="58" priority="117">
      <formula>$B148="Serviço"</formula>
    </cfRule>
  </conditionalFormatting>
  <conditionalFormatting sqref="G162">
    <cfRule type="expression" dxfId="57" priority="112">
      <formula>$B162="Serviço"</formula>
    </cfRule>
  </conditionalFormatting>
  <conditionalFormatting sqref="G174">
    <cfRule type="expression" dxfId="56" priority="105">
      <formula>$B174="Serviço"</formula>
    </cfRule>
  </conditionalFormatting>
  <conditionalFormatting sqref="G186">
    <cfRule type="expression" dxfId="55" priority="98">
      <formula>$B186="Serviço"</formula>
    </cfRule>
  </conditionalFormatting>
  <conditionalFormatting sqref="G198">
    <cfRule type="expression" dxfId="54" priority="91">
      <formula>$B198="Serviço"</formula>
    </cfRule>
  </conditionalFormatting>
  <conditionalFormatting sqref="G210">
    <cfRule type="expression" dxfId="53" priority="68">
      <formula>$B210="Serviço"</formula>
    </cfRule>
  </conditionalFormatting>
  <conditionalFormatting sqref="G224">
    <cfRule type="expression" dxfId="52" priority="63">
      <formula>$B224="Serviço"</formula>
    </cfRule>
  </conditionalFormatting>
  <conditionalFormatting sqref="G236">
    <cfRule type="expression" dxfId="51" priority="56">
      <formula>$B236="Serviço"</formula>
    </cfRule>
  </conditionalFormatting>
  <conditionalFormatting sqref="G248">
    <cfRule type="expression" dxfId="50" priority="47">
      <formula>$B248="Serviço"</formula>
    </cfRule>
  </conditionalFormatting>
  <conditionalFormatting sqref="G262">
    <cfRule type="expression" dxfId="49" priority="42">
      <formula>$B262="Serviço"</formula>
    </cfRule>
  </conditionalFormatting>
  <conditionalFormatting sqref="G274">
    <cfRule type="expression" dxfId="48" priority="35">
      <formula>$B274="Serviço"</formula>
    </cfRule>
  </conditionalFormatting>
  <conditionalFormatting sqref="G286">
    <cfRule type="expression" dxfId="47" priority="28">
      <formula>$B286="Serviço"</formula>
    </cfRule>
  </conditionalFormatting>
  <conditionalFormatting sqref="G298">
    <cfRule type="expression" dxfId="46" priority="21">
      <formula>$B298="Serviço"</formula>
    </cfRule>
  </conditionalFormatting>
  <conditionalFormatting sqref="H2">
    <cfRule type="expression" dxfId="45" priority="274">
      <formula>$B2="Subetapa"</formula>
    </cfRule>
    <cfRule type="expression" dxfId="44" priority="275">
      <formula>$B2="Serviço"</formula>
    </cfRule>
  </conditionalFormatting>
  <conditionalFormatting sqref="H17">
    <cfRule type="expression" dxfId="43" priority="244">
      <formula>$B17="Subetapa"</formula>
    </cfRule>
    <cfRule type="expression" dxfId="42" priority="245">
      <formula>$B17="Serviço"</formula>
    </cfRule>
  </conditionalFormatting>
  <conditionalFormatting sqref="H57">
    <cfRule type="expression" dxfId="41" priority="174">
      <formula>$B57="Subetapa"</formula>
    </cfRule>
    <cfRule type="expression" dxfId="40" priority="175">
      <formula>$B57="Serviço"</formula>
    </cfRule>
  </conditionalFormatting>
  <conditionalFormatting sqref="H71">
    <cfRule type="expression" dxfId="39" priority="163">
      <formula>$B71="Subetapa"</formula>
    </cfRule>
    <cfRule type="expression" dxfId="38" priority="164">
      <formula>$B71="Serviço"</formula>
    </cfRule>
  </conditionalFormatting>
  <conditionalFormatting sqref="H83">
    <cfRule type="expression" dxfId="37" priority="156">
      <formula>$B83="Subetapa"</formula>
    </cfRule>
    <cfRule type="expression" dxfId="36" priority="157">
      <formula>$B83="Serviço"</formula>
    </cfRule>
  </conditionalFormatting>
  <conditionalFormatting sqref="H96">
    <cfRule type="expression" dxfId="35" priority="143">
      <formula>$B96="Subetapa"</formula>
    </cfRule>
    <cfRule type="expression" dxfId="34" priority="144">
      <formula>$B96="Serviço"</formula>
    </cfRule>
  </conditionalFormatting>
  <conditionalFormatting sqref="H110">
    <cfRule type="expression" dxfId="33" priority="141">
      <formula>$B110="Subetapa"</formula>
    </cfRule>
    <cfRule type="expression" dxfId="32" priority="142">
      <formula>$B110="Serviço"</formula>
    </cfRule>
  </conditionalFormatting>
  <conditionalFormatting sqref="H124">
    <cfRule type="expression" dxfId="31" priority="131">
      <formula>$B124="Subetapa"</formula>
    </cfRule>
    <cfRule type="expression" dxfId="30" priority="132">
      <formula>$B124="Serviço"</formula>
    </cfRule>
  </conditionalFormatting>
  <conditionalFormatting sqref="H136">
    <cfRule type="expression" dxfId="29" priority="124">
      <formula>$B136="Subetapa"</formula>
    </cfRule>
    <cfRule type="expression" dxfId="28" priority="125">
      <formula>$B136="Serviço"</formula>
    </cfRule>
  </conditionalFormatting>
  <conditionalFormatting sqref="H148">
    <cfRule type="expression" dxfId="27" priority="120">
      <formula>$B148="Subetapa"</formula>
    </cfRule>
    <cfRule type="expression" dxfId="26" priority="121">
      <formula>$B148="Serviço"</formula>
    </cfRule>
  </conditionalFormatting>
  <conditionalFormatting sqref="H162">
    <cfRule type="expression" dxfId="25" priority="110">
      <formula>$B162="Subetapa"</formula>
    </cfRule>
    <cfRule type="expression" dxfId="24" priority="111">
      <formula>$B162="Serviço"</formula>
    </cfRule>
  </conditionalFormatting>
  <conditionalFormatting sqref="H174">
    <cfRule type="expression" dxfId="23" priority="103">
      <formula>$B174="Subetapa"</formula>
    </cfRule>
    <cfRule type="expression" dxfId="22" priority="104">
      <formula>$B174="Serviço"</formula>
    </cfRule>
  </conditionalFormatting>
  <conditionalFormatting sqref="H186">
    <cfRule type="expression" dxfId="21" priority="96">
      <formula>$B186="Subetapa"</formula>
    </cfRule>
    <cfRule type="expression" dxfId="20" priority="97">
      <formula>$B186="Serviço"</formula>
    </cfRule>
  </conditionalFormatting>
  <conditionalFormatting sqref="H198">
    <cfRule type="expression" dxfId="19" priority="89">
      <formula>$B198="Subetapa"</formula>
    </cfRule>
    <cfRule type="expression" dxfId="18" priority="90">
      <formula>$B198="Serviço"</formula>
    </cfRule>
  </conditionalFormatting>
  <conditionalFormatting sqref="H210">
    <cfRule type="expression" dxfId="17" priority="71">
      <formula>$B210="Subetapa"</formula>
    </cfRule>
    <cfRule type="expression" dxfId="16" priority="72">
      <formula>$B210="Serviço"</formula>
    </cfRule>
  </conditionalFormatting>
  <conditionalFormatting sqref="H224">
    <cfRule type="expression" dxfId="15" priority="61">
      <formula>$B224="Subetapa"</formula>
    </cfRule>
    <cfRule type="expression" dxfId="14" priority="62">
      <formula>$B224="Serviço"</formula>
    </cfRule>
  </conditionalFormatting>
  <conditionalFormatting sqref="H236">
    <cfRule type="expression" dxfId="13" priority="54">
      <formula>$B236="Subetapa"</formula>
    </cfRule>
    <cfRule type="expression" dxfId="12" priority="55">
      <formula>$B236="Serviço"</formula>
    </cfRule>
  </conditionalFormatting>
  <conditionalFormatting sqref="H248">
    <cfRule type="expression" dxfId="11" priority="50">
      <formula>$B248="Subetapa"</formula>
    </cfRule>
    <cfRule type="expression" dxfId="10" priority="51">
      <formula>$B248="Serviço"</formula>
    </cfRule>
  </conditionalFormatting>
  <conditionalFormatting sqref="H262">
    <cfRule type="expression" dxfId="9" priority="40">
      <formula>$B262="Subetapa"</formula>
    </cfRule>
    <cfRule type="expression" dxfId="8" priority="41">
      <formula>$B262="Serviço"</formula>
    </cfRule>
  </conditionalFormatting>
  <conditionalFormatting sqref="H274">
    <cfRule type="expression" dxfId="7" priority="33">
      <formula>$B274="Subetapa"</formula>
    </cfRule>
    <cfRule type="expression" dxfId="6" priority="34">
      <formula>$B274="Serviço"</formula>
    </cfRule>
  </conditionalFormatting>
  <conditionalFormatting sqref="H286">
    <cfRule type="expression" dxfId="5" priority="26">
      <formula>$B286="Subetapa"</formula>
    </cfRule>
    <cfRule type="expression" dxfId="4" priority="27">
      <formula>$B286="Serviço"</formula>
    </cfRule>
  </conditionalFormatting>
  <conditionalFormatting sqref="H298">
    <cfRule type="expression" dxfId="3" priority="19">
      <formula>$B298="Subetapa"</formula>
    </cfRule>
    <cfRule type="expression" dxfId="2" priority="20">
      <formula>$B298="Serviço"</formula>
    </cfRule>
  </conditionalFormatting>
  <conditionalFormatting sqref="D96">
    <cfRule type="expression" dxfId="1" priority="278">
      <formula>$B83="Subetapa"</formula>
    </cfRule>
    <cfRule type="expression" dxfId="0" priority="279">
      <formula>$B83="Serviço"</formula>
    </cfRule>
  </conditionalFormatting>
  <dataValidations disablePrompts="1" count="1">
    <dataValidation type="list" allowBlank="1" showInputMessage="1" showErrorMessage="1" sqref="B18:B19 B21:B27 B30:B40 B43:B54 B62:B68 B58:B60 B72:B73 B75:B80 B84:B85 B87:B92 B101:B106 B97:B99 B125:B133 B137:B145 B163:B171 B175:B183 B187:B195 B199:B207 B225:B233 B237:B245 B263:B271 B275:B283 B287:B295 B299:B307" xr:uid="{CB96643B-6A70-4B09-95BF-9B59BD956EAB}">
      <formula1>"Unidade Construtiva,Célula Construtiva,Etapa,Subetapa,Serviço,Insumo,Complemento do Insumo"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F926-5BCD-49FF-A3E6-D67A390B8423}">
  <dimension ref="A1:D27"/>
  <sheetViews>
    <sheetView topLeftCell="A2" zoomScaleNormal="100" workbookViewId="0">
      <selection activeCell="D20" sqref="D20"/>
    </sheetView>
  </sheetViews>
  <sheetFormatPr defaultColWidth="8.77734375" defaultRowHeight="14.4" x14ac:dyDescent="0.3"/>
  <cols>
    <col min="1" max="1" width="46.109375" customWidth="1"/>
    <col min="2" max="2" width="16.21875" customWidth="1"/>
    <col min="3" max="3" width="16.33203125" customWidth="1"/>
    <col min="4" max="4" width="18.6640625" customWidth="1"/>
  </cols>
  <sheetData>
    <row r="1" spans="1:3" ht="21" x14ac:dyDescent="0.4">
      <c r="A1" s="73" t="s">
        <v>72</v>
      </c>
      <c r="B1" s="39"/>
      <c r="C1" s="39"/>
    </row>
    <row r="2" spans="1:3" ht="61.05" customHeight="1" x14ac:dyDescent="0.3">
      <c r="A2" s="74"/>
      <c r="B2" s="40" t="s">
        <v>93</v>
      </c>
      <c r="C2" s="40" t="s">
        <v>82</v>
      </c>
    </row>
    <row r="3" spans="1:3" ht="21" x14ac:dyDescent="0.4">
      <c r="A3" s="35" t="s">
        <v>73</v>
      </c>
      <c r="B3" s="36">
        <v>12.3</v>
      </c>
      <c r="C3" s="36">
        <f t="shared" ref="C3:C8" si="0">B3/2</f>
        <v>6.15</v>
      </c>
    </row>
    <row r="4" spans="1:3" ht="21" x14ac:dyDescent="0.4">
      <c r="A4" s="35" t="s">
        <v>74</v>
      </c>
      <c r="B4" s="36">
        <v>14.91</v>
      </c>
      <c r="C4" s="36">
        <f t="shared" si="0"/>
        <v>7.4550000000000001</v>
      </c>
    </row>
    <row r="5" spans="1:3" ht="21" x14ac:dyDescent="0.4">
      <c r="A5" s="35" t="s">
        <v>75</v>
      </c>
      <c r="B5" s="36">
        <v>17.28</v>
      </c>
      <c r="C5" s="36">
        <f t="shared" si="0"/>
        <v>8.64</v>
      </c>
    </row>
    <row r="6" spans="1:3" ht="21" x14ac:dyDescent="0.4">
      <c r="A6" s="35" t="s">
        <v>76</v>
      </c>
      <c r="B6" s="36">
        <v>16.13</v>
      </c>
      <c r="C6" s="36">
        <f t="shared" si="0"/>
        <v>8.0649999999999995</v>
      </c>
    </row>
    <row r="7" spans="1:3" ht="21" x14ac:dyDescent="0.4">
      <c r="A7" s="35" t="s">
        <v>77</v>
      </c>
      <c r="B7" s="36">
        <v>19.007999999999999</v>
      </c>
      <c r="C7" s="36">
        <f t="shared" si="0"/>
        <v>9.5039999999999996</v>
      </c>
    </row>
    <row r="8" spans="1:3" ht="21" x14ac:dyDescent="0.4">
      <c r="A8" s="35" t="s">
        <v>78</v>
      </c>
      <c r="B8" s="36">
        <v>21.58</v>
      </c>
      <c r="C8" s="36">
        <f t="shared" si="0"/>
        <v>10.79</v>
      </c>
    </row>
    <row r="9" spans="1:3" ht="21" x14ac:dyDescent="0.4">
      <c r="A9" s="35" t="s">
        <v>79</v>
      </c>
      <c r="B9" s="36">
        <v>125.66</v>
      </c>
      <c r="C9" s="36">
        <f>B9/6</f>
        <v>20.943333333333332</v>
      </c>
    </row>
    <row r="10" spans="1:3" ht="21" x14ac:dyDescent="0.4">
      <c r="A10" s="35" t="s">
        <v>80</v>
      </c>
      <c r="B10" s="36">
        <v>106.32</v>
      </c>
      <c r="C10" s="36">
        <f t="shared" ref="C10:C11" si="1">B10/6</f>
        <v>17.72</v>
      </c>
    </row>
    <row r="11" spans="1:3" ht="21.6" thickBot="1" x14ac:dyDescent="0.45">
      <c r="A11" s="37" t="s">
        <v>81</v>
      </c>
      <c r="B11" s="38">
        <v>141.13999999999999</v>
      </c>
      <c r="C11" s="36">
        <f t="shared" si="1"/>
        <v>23.52333333333333</v>
      </c>
    </row>
    <row r="14" spans="1:3" ht="15" thickBot="1" x14ac:dyDescent="0.35"/>
    <row r="15" spans="1:3" ht="21" x14ac:dyDescent="0.3">
      <c r="A15" s="41" t="s">
        <v>83</v>
      </c>
      <c r="B15" s="40" t="s">
        <v>93</v>
      </c>
      <c r="C15" s="40" t="s">
        <v>152</v>
      </c>
    </row>
    <row r="16" spans="1:3" ht="21" x14ac:dyDescent="0.4">
      <c r="A16" s="42" t="s">
        <v>84</v>
      </c>
      <c r="B16" s="36">
        <v>16.733000959999998</v>
      </c>
      <c r="C16" s="36">
        <v>20.16</v>
      </c>
    </row>
    <row r="17" spans="1:4" ht="21" x14ac:dyDescent="0.4">
      <c r="A17" s="42" t="s">
        <v>85</v>
      </c>
      <c r="B17" s="36">
        <v>16.733000959999998</v>
      </c>
      <c r="C17" s="36">
        <v>20.16</v>
      </c>
    </row>
    <row r="18" spans="1:4" ht="21" x14ac:dyDescent="0.4">
      <c r="A18" s="42" t="s">
        <v>86</v>
      </c>
      <c r="B18" s="36">
        <v>22.581752959999999</v>
      </c>
      <c r="C18" s="36">
        <v>27.098103551999998</v>
      </c>
    </row>
    <row r="19" spans="1:4" ht="21" x14ac:dyDescent="0.4">
      <c r="A19" s="42" t="s">
        <v>87</v>
      </c>
      <c r="B19" s="36">
        <v>22.581752959999999</v>
      </c>
      <c r="C19" s="36">
        <v>27.098103551999998</v>
      </c>
    </row>
    <row r="20" spans="1:4" ht="21" x14ac:dyDescent="0.4">
      <c r="A20" s="42" t="s">
        <v>88</v>
      </c>
      <c r="B20" s="36">
        <v>26.024161280000001</v>
      </c>
      <c r="C20" s="36">
        <v>31.228993536000001</v>
      </c>
      <c r="D20" s="70"/>
    </row>
    <row r="21" spans="1:4" ht="21" x14ac:dyDescent="0.4">
      <c r="A21" s="42" t="s">
        <v>89</v>
      </c>
      <c r="B21" s="36">
        <v>26.024161280000001</v>
      </c>
      <c r="C21" s="36">
        <v>31.228993536000001</v>
      </c>
      <c r="D21" s="70"/>
    </row>
    <row r="22" spans="1:4" ht="21" x14ac:dyDescent="0.4">
      <c r="A22" s="42" t="s">
        <v>90</v>
      </c>
      <c r="B22" s="36">
        <v>34.078728320000003</v>
      </c>
      <c r="C22" s="36">
        <v>40.950000000000003</v>
      </c>
    </row>
    <row r="23" spans="1:4" ht="21" x14ac:dyDescent="0.4">
      <c r="A23" s="42" t="s">
        <v>91</v>
      </c>
      <c r="B23" s="36">
        <v>34.078728320000003</v>
      </c>
      <c r="C23" s="36">
        <v>40.894473984000001</v>
      </c>
      <c r="D23" s="70"/>
    </row>
    <row r="24" spans="1:4" ht="42.6" thickBot="1" x14ac:dyDescent="0.45">
      <c r="A24" s="43" t="s">
        <v>92</v>
      </c>
      <c r="B24" s="36">
        <v>74.752620800000003</v>
      </c>
      <c r="C24" s="36">
        <v>89.703144960000003</v>
      </c>
      <c r="D24" s="70"/>
    </row>
    <row r="27" spans="1:4" x14ac:dyDescent="0.3">
      <c r="A27" s="13" t="s">
        <v>95</v>
      </c>
      <c r="B27" s="27">
        <v>16.399999999999999</v>
      </c>
      <c r="C27" s="13"/>
    </row>
  </sheetData>
  <mergeCells count="1">
    <mergeCell ref="A1:A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40A1540E3F82469AA9DB2153535174" ma:contentTypeVersion="9" ma:contentTypeDescription="Create a new document." ma:contentTypeScope="" ma:versionID="5f8fa9c000b428ae997ccd413c3397ba">
  <xsd:schema xmlns:xsd="http://www.w3.org/2001/XMLSchema" xmlns:xs="http://www.w3.org/2001/XMLSchema" xmlns:p="http://schemas.microsoft.com/office/2006/metadata/properties" xmlns:ns3="5db23f4c-80d7-41fd-8af2-d094e12e6ec7" targetNamespace="http://schemas.microsoft.com/office/2006/metadata/properties" ma:root="true" ma:fieldsID="bf668720a71b433b40b306905e6cb12f" ns3:_="">
    <xsd:import namespace="5db23f4c-80d7-41fd-8af2-d094e12e6e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23f4c-80d7-41fd-8af2-d094e12e6e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b23f4c-80d7-41fd-8af2-d094e12e6ec7" xsi:nil="true"/>
  </documentManagement>
</p:properties>
</file>

<file path=customXml/itemProps1.xml><?xml version="1.0" encoding="utf-8"?>
<ds:datastoreItem xmlns:ds="http://schemas.openxmlformats.org/officeDocument/2006/customXml" ds:itemID="{A954090B-7019-4484-8829-698C0B72B6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2FA63E-1F7D-44DB-A319-CC49F14947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b23f4c-80d7-41fd-8af2-d094e12e6e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E0E98F-E24D-4299-A7FA-86900CDE10E1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5db23f4c-80d7-41fd-8af2-d094e12e6ec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Analise </vt:lpstr>
      <vt:lpstr>composições</vt:lpstr>
      <vt:lpstr>PROPOSTA VIGENTE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 / João Vitor Moreira Penido</dc:creator>
  <cp:lastModifiedBy>Patricia Bragatto</cp:lastModifiedBy>
  <dcterms:created xsi:type="dcterms:W3CDTF">2026-01-26T11:55:20Z</dcterms:created>
  <dcterms:modified xsi:type="dcterms:W3CDTF">2026-02-12T11:52:36Z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0x0101004540A1540E3F82469AA9DB2153535174</vt:lpwstr>
  </property>
</Properties>
</file>