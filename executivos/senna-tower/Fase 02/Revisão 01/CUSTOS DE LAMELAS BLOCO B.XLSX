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oao.penido\Desktop\Base de comando\01 - ORÇAMENTO\orçamento Senna\Fechamento de custo\Fechamento parcial - Parede diafragma setor B\"/>
    </mc:Choice>
  </mc:AlternateContent>
  <xr:revisionPtr revIDLastSave="0" documentId="13_ncr:1_{9448CC63-4EC6-4317-8B3D-5B7B075D15B4}" xr6:coauthVersionLast="47" xr6:coauthVersionMax="47" xr10:uidLastSave="{00000000-0000-0000-0000-000000000000}"/>
  <bookViews>
    <workbookView xWindow="-41388" yWindow="-4368" windowWidth="41496" windowHeight="16776" xr2:uid="{00000000-000D-0000-FFFF-FFFF00000000}"/>
  </bookViews>
  <sheets>
    <sheet name="Plan1" sheetId="1" r:id="rId1"/>
  </sheets>
  <definedNames>
    <definedName name="_xlnm._FilterDatabase" localSheetId="0" hidden="1">Plan1!$B$5:$G$5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E30" i="1"/>
  <c r="E25" i="1"/>
  <c r="E26" i="1"/>
  <c r="E27" i="1"/>
  <c r="E28" i="1"/>
  <c r="E24" i="1"/>
  <c r="H7" i="1"/>
  <c r="H18" i="1" s="1"/>
  <c r="G13" i="1" l="1"/>
  <c r="G14" i="1"/>
  <c r="G11" i="1" l="1"/>
  <c r="G9" i="1" l="1"/>
  <c r="G8" i="1"/>
  <c r="F6" i="1" l="1"/>
  <c r="G6" i="1" s="1"/>
  <c r="G12" i="1" l="1"/>
  <c r="G7" i="1"/>
  <c r="G10" i="1"/>
  <c r="G17" i="1"/>
  <c r="G1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FG / Matheus Thiago Clemente</author>
  </authors>
  <commentList>
    <comment ref="B6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FG / Matheus Thiago Clemente:</t>
        </r>
        <r>
          <rPr>
            <sz val="9"/>
            <color indexed="81"/>
            <rFont val="Segoe UI"/>
            <family val="2"/>
          </rPr>
          <t xml:space="preserve">
5775 - ARCELOR MITTAL BRASIL S.A.                                      </t>
        </r>
        <r>
          <rPr>
            <b/>
            <sz val="9"/>
            <color indexed="81"/>
            <rFont val="Segoe UI"/>
            <family val="2"/>
          </rPr>
          <t xml:space="preserve"> R$ 344.392,25</t>
        </r>
        <r>
          <rPr>
            <sz val="9"/>
            <color indexed="81"/>
            <rFont val="Segoe UI"/>
            <family val="2"/>
          </rPr>
          <t xml:space="preserve">
11485 - INDUSTRIA NACIONAL DE AÇO PRONTO LTDA         </t>
        </r>
        <r>
          <rPr>
            <b/>
            <sz val="9"/>
            <color indexed="81"/>
            <rFont val="Segoe UI"/>
            <family val="2"/>
          </rPr>
          <t>R$ 99.765,18
Tivemos alteração no projeto, algumas lamelas ficaram com barra C70 de 25mm e outras com C70 de 20mm</t>
        </r>
      </text>
    </comment>
    <comment ref="D6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FG / Matheus Thiago Clemente:</t>
        </r>
        <r>
          <rPr>
            <sz val="9"/>
            <color indexed="81"/>
            <rFont val="Segoe UI"/>
            <family val="2"/>
          </rPr>
          <t xml:space="preserve">
Foi produzido uma lamela a mais que esta na obra guardada</t>
        </r>
      </text>
    </comment>
    <comment ref="B23" authorId="0" shapeId="0" xr:uid="{5D184C5E-9C94-4D9B-B846-141A28F03E7A}">
      <text>
        <r>
          <rPr>
            <b/>
            <sz val="9"/>
            <color indexed="81"/>
            <rFont val="Segoe UI"/>
            <family val="2"/>
          </rPr>
          <t>FG / Matheus Thiago Clemente:</t>
        </r>
        <r>
          <rPr>
            <sz val="9"/>
            <color indexed="81"/>
            <rFont val="Segoe UI"/>
            <family val="2"/>
          </rPr>
          <t xml:space="preserve">
5775 - ARCELOR MITTAL BRASIL S.A.                                      </t>
        </r>
        <r>
          <rPr>
            <b/>
            <sz val="9"/>
            <color indexed="81"/>
            <rFont val="Segoe UI"/>
            <family val="2"/>
          </rPr>
          <t xml:space="preserve"> R$ 344.392,25</t>
        </r>
        <r>
          <rPr>
            <sz val="9"/>
            <color indexed="81"/>
            <rFont val="Segoe UI"/>
            <family val="2"/>
          </rPr>
          <t xml:space="preserve">
11485 - INDUSTRIA NACIONAL DE AÇO PRONTO LTDA         </t>
        </r>
        <r>
          <rPr>
            <b/>
            <sz val="9"/>
            <color indexed="81"/>
            <rFont val="Segoe UI"/>
            <family val="2"/>
          </rPr>
          <t>R$ 99.765,18
Tivemos alteração no projeto, algumas lamelas ficaram com barra C70 de 25mm e outras com C70 de 20mm</t>
        </r>
      </text>
    </comment>
  </commentList>
</comments>
</file>

<file path=xl/sharedStrings.xml><?xml version="1.0" encoding="utf-8"?>
<sst xmlns="http://schemas.openxmlformats.org/spreadsheetml/2006/main" count="40" uniqueCount="31">
  <si>
    <t>Descrição</t>
  </si>
  <si>
    <t>Quantidade</t>
  </si>
  <si>
    <t>Custos unitários</t>
  </si>
  <si>
    <t>Valor Total</t>
  </si>
  <si>
    <t>Fornecedor</t>
  </si>
  <si>
    <t>Arcelor + Belgo</t>
  </si>
  <si>
    <t>Max Mohr</t>
  </si>
  <si>
    <t>Terra Brasil</t>
  </si>
  <si>
    <t>Maquina Retroescavadeira R260</t>
  </si>
  <si>
    <t>Material Bota Fora</t>
  </si>
  <si>
    <t>unidade</t>
  </si>
  <si>
    <t>vb</t>
  </si>
  <si>
    <t>m³</t>
  </si>
  <si>
    <t>diaria</t>
  </si>
  <si>
    <t xml:space="preserve">CUSTOS EXECUÇÃO DE LAMELAS BLOCO B </t>
  </si>
  <si>
    <t xml:space="preserve">
Custos Concreto 11m  / 28m (29% méida sobreconsumo)     impermeabilizante</t>
  </si>
  <si>
    <t xml:space="preserve">
Custos Concreto 11m  / 28m (29% méida sobreconsumo)   sem  impermeabilizante</t>
  </si>
  <si>
    <t xml:space="preserve">
Custos Bombeamento + taxas  Concreto</t>
  </si>
  <si>
    <t>Custos Execução  - FURO</t>
  </si>
  <si>
    <t>PRETECH</t>
  </si>
  <si>
    <t>Descarte Polimero esvaziando cilos</t>
  </si>
  <si>
    <t>Esgomafra</t>
  </si>
  <si>
    <t>Água para uso misturador</t>
  </si>
  <si>
    <t>Aririba Água</t>
  </si>
  <si>
    <t>cargas</t>
  </si>
  <si>
    <t xml:space="preserve">Material Aço + Montagem </t>
  </si>
  <si>
    <t>Orçamento</t>
  </si>
  <si>
    <t>Gerador</t>
  </si>
  <si>
    <t>Guindaste</t>
  </si>
  <si>
    <t xml:space="preserve">reajustar o sobreconsumo </t>
  </si>
  <si>
    <t>acresentar estes dois topicos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</si>
</sst>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44" fontId="0" fillId="0" borderId="1" xfId="0" applyNumberFormat="1" applyBorder="1"/>
    <xf numFmtId="0" fontId="1" fillId="4" borderId="1" xfId="0" applyFont="1" applyFill="1" applyBorder="1" applyAlignment="1">
      <alignment horizontal="center"/>
    </xf>
    <xf numFmtId="44" fontId="5" fillId="3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44" fontId="6" fillId="0" borderId="1" xfId="0" applyNumberFormat="1" applyFont="1" applyBorder="1"/>
    <xf numFmtId="0" fontId="6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44" fontId="0" fillId="0" borderId="0" xfId="1" applyFont="1"/>
    <xf numFmtId="44" fontId="0" fillId="0" borderId="0" xfId="0" applyNumberFormat="1"/>
    <xf numFmtId="10" fontId="0" fillId="0" borderId="0" xfId="2" applyNumberFormat="1" applyFont="1"/>
    <xf numFmtId="0" fontId="0" fillId="3" borderId="1" xfId="0" applyFill="1" applyBorder="1"/>
    <xf numFmtId="0" fontId="0" fillId="3" borderId="0" xfId="0" applyFill="1"/>
    <xf numFmtId="0" fontId="2" fillId="2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0"/>
  <sheetViews>
    <sheetView tabSelected="1" workbookViewId="0">
      <selection activeCell="B12" sqref="B12:H12"/>
    </sheetView>
  </sheetViews>
  <sheetFormatPr defaultRowHeight="14.5" x14ac:dyDescent="0.35"/>
  <cols>
    <col min="1" max="1" width="3.90625" customWidth="1"/>
    <col min="2" max="2" width="76.08984375" customWidth="1"/>
    <col min="3" max="3" width="19.08984375" customWidth="1"/>
    <col min="4" max="4" width="15.36328125" customWidth="1"/>
    <col min="5" max="5" width="13.90625" customWidth="1"/>
    <col min="6" max="6" width="20.90625" customWidth="1"/>
    <col min="7" max="7" width="18.453125" customWidth="1"/>
    <col min="8" max="8" width="18" customWidth="1"/>
  </cols>
  <sheetData>
    <row r="2" spans="2:9" ht="14.4" customHeight="1" x14ac:dyDescent="0.35">
      <c r="B2" s="18" t="s">
        <v>14</v>
      </c>
      <c r="C2" s="18"/>
      <c r="D2" s="18"/>
      <c r="E2" s="18"/>
      <c r="F2" s="18"/>
      <c r="G2" s="18"/>
      <c r="H2" s="18"/>
    </row>
    <row r="3" spans="2:9" ht="14.4" customHeight="1" x14ac:dyDescent="0.35">
      <c r="B3" s="18"/>
      <c r="C3" s="18"/>
      <c r="D3" s="18"/>
      <c r="E3" s="18"/>
      <c r="F3" s="18"/>
      <c r="G3" s="18"/>
      <c r="H3" s="18"/>
    </row>
    <row r="4" spans="2:9" ht="14.4" customHeight="1" x14ac:dyDescent="0.35">
      <c r="B4" s="18"/>
      <c r="C4" s="18"/>
      <c r="D4" s="18"/>
      <c r="E4" s="18"/>
      <c r="F4" s="18"/>
      <c r="G4" s="18"/>
      <c r="H4" s="18"/>
    </row>
    <row r="5" spans="2:9" x14ac:dyDescent="0.35">
      <c r="B5" s="4" t="s">
        <v>0</v>
      </c>
      <c r="C5" s="4" t="s">
        <v>4</v>
      </c>
      <c r="D5" s="4" t="s">
        <v>1</v>
      </c>
      <c r="E5" s="4" t="s">
        <v>10</v>
      </c>
      <c r="F5" s="4" t="s">
        <v>2</v>
      </c>
      <c r="G5" s="4" t="s">
        <v>3</v>
      </c>
      <c r="H5" s="12" t="s">
        <v>26</v>
      </c>
    </row>
    <row r="6" spans="2:9" x14ac:dyDescent="0.35">
      <c r="B6" s="9" t="s">
        <v>25</v>
      </c>
      <c r="C6" s="10" t="s">
        <v>5</v>
      </c>
      <c r="D6" s="2">
        <v>35</v>
      </c>
      <c r="E6" s="2" t="s">
        <v>11</v>
      </c>
      <c r="F6" s="3">
        <f>344392.25+99765.18</f>
        <v>444157.43</v>
      </c>
      <c r="G6" s="3">
        <f>F6</f>
        <v>444157.43</v>
      </c>
      <c r="H6" s="13">
        <v>302280</v>
      </c>
    </row>
    <row r="7" spans="2:9" x14ac:dyDescent="0.35">
      <c r="B7" s="1" t="s">
        <v>15</v>
      </c>
      <c r="C7" s="2" t="s">
        <v>6</v>
      </c>
      <c r="D7" s="2">
        <v>156</v>
      </c>
      <c r="E7" s="2" t="s">
        <v>12</v>
      </c>
      <c r="F7" s="3">
        <v>616.79</v>
      </c>
      <c r="G7" s="3">
        <f t="shared" ref="G7:G17" si="0">F7*D7</f>
        <v>96219.239999999991</v>
      </c>
      <c r="H7" s="13">
        <f>475*647.1</f>
        <v>307372.5</v>
      </c>
      <c r="I7" s="17" t="s">
        <v>29</v>
      </c>
    </row>
    <row r="8" spans="2:9" x14ac:dyDescent="0.35">
      <c r="B8" s="1" t="s">
        <v>16</v>
      </c>
      <c r="C8" s="2" t="s">
        <v>6</v>
      </c>
      <c r="D8" s="2">
        <v>479.5</v>
      </c>
      <c r="E8" s="2" t="s">
        <v>12</v>
      </c>
      <c r="F8" s="3">
        <v>503.5</v>
      </c>
      <c r="G8" s="3">
        <f t="shared" ref="G8" si="1">F8*D8</f>
        <v>241428.25</v>
      </c>
      <c r="H8" s="13"/>
    </row>
    <row r="9" spans="2:9" x14ac:dyDescent="0.35">
      <c r="B9" s="1" t="s">
        <v>17</v>
      </c>
      <c r="C9" s="2" t="s">
        <v>6</v>
      </c>
      <c r="D9" s="2">
        <v>600</v>
      </c>
      <c r="E9" s="2" t="s">
        <v>12</v>
      </c>
      <c r="F9" s="3">
        <v>40</v>
      </c>
      <c r="G9" s="3">
        <f t="shared" ref="G9" si="2">F9*D9</f>
        <v>24000</v>
      </c>
      <c r="H9" s="13"/>
    </row>
    <row r="10" spans="2:9" x14ac:dyDescent="0.35">
      <c r="B10" s="1" t="s">
        <v>18</v>
      </c>
      <c r="C10" s="2" t="s">
        <v>19</v>
      </c>
      <c r="D10" s="2">
        <v>1</v>
      </c>
      <c r="E10" s="2" t="s">
        <v>11</v>
      </c>
      <c r="F10" s="3">
        <v>356438</v>
      </c>
      <c r="G10" s="3">
        <f t="shared" si="0"/>
        <v>356438</v>
      </c>
      <c r="H10" s="13">
        <v>453553.83</v>
      </c>
    </row>
    <row r="11" spans="2:9" x14ac:dyDescent="0.35">
      <c r="B11" s="1" t="s">
        <v>8</v>
      </c>
      <c r="C11" s="2" t="s">
        <v>7</v>
      </c>
      <c r="D11" s="11">
        <v>18</v>
      </c>
      <c r="E11" s="11" t="s">
        <v>13</v>
      </c>
      <c r="F11" s="3">
        <v>4800</v>
      </c>
      <c r="G11" s="3">
        <f t="shared" ref="G11" si="3">F11*D11</f>
        <v>86400</v>
      </c>
      <c r="H11" s="13">
        <v>124800</v>
      </c>
    </row>
    <row r="12" spans="2:9" x14ac:dyDescent="0.35">
      <c r="B12" s="1" t="s">
        <v>9</v>
      </c>
      <c r="C12" s="2" t="s">
        <v>7</v>
      </c>
      <c r="D12" s="2">
        <v>608</v>
      </c>
      <c r="E12" s="2" t="s">
        <v>12</v>
      </c>
      <c r="F12" s="3">
        <v>50</v>
      </c>
      <c r="G12" s="3">
        <f t="shared" si="0"/>
        <v>30400</v>
      </c>
      <c r="H12" s="13">
        <v>29315</v>
      </c>
    </row>
    <row r="13" spans="2:9" x14ac:dyDescent="0.35">
      <c r="B13" s="16" t="s">
        <v>20</v>
      </c>
      <c r="C13" s="2" t="s">
        <v>21</v>
      </c>
      <c r="D13" s="2">
        <v>135</v>
      </c>
      <c r="E13" s="2" t="s">
        <v>12</v>
      </c>
      <c r="F13" s="3">
        <v>600</v>
      </c>
      <c r="G13" s="3">
        <f t="shared" ref="G13:G14" si="4">F13*D13</f>
        <v>81000</v>
      </c>
      <c r="H13" s="13"/>
      <c r="I13" s="17" t="s">
        <v>30</v>
      </c>
    </row>
    <row r="14" spans="2:9" x14ac:dyDescent="0.35">
      <c r="B14" s="16" t="s">
        <v>22</v>
      </c>
      <c r="C14" s="2" t="s">
        <v>23</v>
      </c>
      <c r="D14" s="2">
        <v>12</v>
      </c>
      <c r="E14" s="2" t="s">
        <v>24</v>
      </c>
      <c r="F14" s="3">
        <v>950</v>
      </c>
      <c r="G14" s="3">
        <f t="shared" si="4"/>
        <v>11400</v>
      </c>
      <c r="H14" s="13"/>
    </row>
    <row r="15" spans="2:9" x14ac:dyDescent="0.35">
      <c r="B15" s="8" t="s">
        <v>27</v>
      </c>
      <c r="C15" s="6"/>
      <c r="D15" s="6"/>
      <c r="E15" s="6"/>
      <c r="F15" s="7"/>
      <c r="G15" s="7"/>
      <c r="H15" s="13">
        <v>35000</v>
      </c>
    </row>
    <row r="16" spans="2:9" x14ac:dyDescent="0.35">
      <c r="B16" s="8" t="s">
        <v>28</v>
      </c>
      <c r="C16" s="6"/>
      <c r="D16" s="6"/>
      <c r="E16" s="6"/>
      <c r="F16" s="7"/>
      <c r="G16" s="7"/>
      <c r="H16" s="13">
        <v>65000</v>
      </c>
    </row>
    <row r="17" spans="2:8" x14ac:dyDescent="0.35">
      <c r="B17" s="1"/>
      <c r="C17" s="1"/>
      <c r="D17" s="2"/>
      <c r="E17" s="2"/>
      <c r="F17" s="3"/>
      <c r="G17" s="3">
        <f t="shared" si="0"/>
        <v>0</v>
      </c>
      <c r="H17" s="13"/>
    </row>
    <row r="18" spans="2:8" ht="25.75" customHeight="1" x14ac:dyDescent="0.35">
      <c r="B18" s="1"/>
      <c r="C18" s="1"/>
      <c r="D18" s="2"/>
      <c r="E18" s="2"/>
      <c r="F18" s="3"/>
      <c r="G18" s="5">
        <f>SUM(G6:G17)</f>
        <v>1371442.92</v>
      </c>
      <c r="H18" s="5">
        <f>SUM(H6:H17)</f>
        <v>1317321.33</v>
      </c>
    </row>
    <row r="19" spans="2:8" ht="25.75" customHeight="1" x14ac:dyDescent="0.35">
      <c r="H19" s="15">
        <f>H18/G18</f>
        <v>0.96053675350921652</v>
      </c>
    </row>
    <row r="23" spans="2:8" x14ac:dyDescent="0.35">
      <c r="B23" s="9" t="s">
        <v>25</v>
      </c>
    </row>
    <row r="24" spans="2:8" x14ac:dyDescent="0.35">
      <c r="B24">
        <v>20</v>
      </c>
      <c r="C24" s="13">
        <v>7.86</v>
      </c>
      <c r="D24">
        <v>16505</v>
      </c>
      <c r="E24" s="13">
        <f>D24*C24</f>
        <v>129729.3</v>
      </c>
    </row>
    <row r="25" spans="2:8" x14ac:dyDescent="0.35">
      <c r="B25">
        <v>16</v>
      </c>
      <c r="C25" s="13">
        <v>7.86</v>
      </c>
      <c r="D25">
        <v>10561</v>
      </c>
      <c r="E25" s="13">
        <f t="shared" ref="E25:E28" si="5">D25*C25</f>
        <v>83009.460000000006</v>
      </c>
    </row>
    <row r="26" spans="2:8" x14ac:dyDescent="0.35">
      <c r="B26">
        <v>12.5</v>
      </c>
      <c r="C26" s="13">
        <v>7.86</v>
      </c>
      <c r="D26">
        <v>1878</v>
      </c>
      <c r="E26" s="13">
        <f t="shared" si="5"/>
        <v>14761.08</v>
      </c>
    </row>
    <row r="27" spans="2:8" x14ac:dyDescent="0.35">
      <c r="B27">
        <v>8</v>
      </c>
      <c r="C27" s="13">
        <v>8.32</v>
      </c>
      <c r="D27">
        <v>166</v>
      </c>
      <c r="E27" s="13">
        <f t="shared" si="5"/>
        <v>1381.1200000000001</v>
      </c>
    </row>
    <row r="28" spans="2:8" x14ac:dyDescent="0.35">
      <c r="B28">
        <v>6.3</v>
      </c>
      <c r="C28" s="13">
        <v>8.32</v>
      </c>
      <c r="D28">
        <v>8822</v>
      </c>
      <c r="E28" s="13">
        <f t="shared" si="5"/>
        <v>73399.040000000008</v>
      </c>
    </row>
    <row r="30" spans="2:8" x14ac:dyDescent="0.35">
      <c r="E30" s="14">
        <f>SUM(E24:E28)</f>
        <v>302280</v>
      </c>
    </row>
  </sheetData>
  <autoFilter ref="B5:G5" xr:uid="{00000000-0009-0000-0000-000000000000}"/>
  <mergeCells count="1">
    <mergeCell ref="B2:H4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FG / Matheus Thiago Clemente</dc:creator>
  <cp:lastModifiedBy>FG / João Vitor Moreira Penido</cp:lastModifiedBy>
  <dcterms:created xsi:type="dcterms:W3CDTF">2025-12-03T12:43:51Z</dcterms:created>
  <dcterms:modified xsi:type="dcterms:W3CDTF">2026-01-23T20:36:18Z</dcterms:modified>
</cp:coreProperties>
</file>