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Fase 02\Revisão 01\"/>
    </mc:Choice>
  </mc:AlternateContent>
  <xr:revisionPtr revIDLastSave="0" documentId="13_ncr:1_{DFF5DE1D-9037-488F-AB4E-42475C29A269}" xr6:coauthVersionLast="47" xr6:coauthVersionMax="47" xr10:uidLastSave="{00000000-0000-0000-0000-000000000000}"/>
  <bookViews>
    <workbookView xWindow="-108" yWindow="-108" windowWidth="23256" windowHeight="12456" xr2:uid="{3B28CD3A-3FF7-44AA-9EB4-6ABE973E9E43}"/>
  </bookViews>
  <sheets>
    <sheet name="Orçamento" sheetId="2" r:id="rId1"/>
    <sheet name="Composições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3" l="1"/>
  <c r="D39" i="3"/>
  <c r="D18" i="3"/>
  <c r="B50" i="3"/>
  <c r="B48" i="3"/>
  <c r="D50" i="3"/>
  <c r="C50" i="3"/>
  <c r="C48" i="3"/>
  <c r="G9" i="3"/>
  <c r="F9" i="3"/>
  <c r="B38" i="3"/>
  <c r="B28" i="3"/>
  <c r="B44" i="3"/>
  <c r="B49" i="3" s="1"/>
  <c r="I5" i="2"/>
  <c r="I6" i="2" s="1"/>
  <c r="C40" i="3"/>
  <c r="C38" i="3"/>
  <c r="C17" i="3"/>
  <c r="B17" i="3"/>
  <c r="B34" i="3"/>
  <c r="B39" i="3" s="1"/>
  <c r="I4" i="2"/>
  <c r="I3" i="2"/>
  <c r="B24" i="3"/>
  <c r="C39" i="3" l="1"/>
  <c r="D49" i="3"/>
  <c r="C42" i="3"/>
  <c r="C49" i="3"/>
  <c r="E32" i="3"/>
  <c r="F5" i="2" s="1"/>
  <c r="B29" i="3"/>
  <c r="E22" i="3" s="1"/>
  <c r="E42" i="3" l="1"/>
  <c r="F6" i="2" s="1"/>
  <c r="F4" i="2"/>
  <c r="F3" i="2"/>
  <c r="C18" i="3" l="1"/>
  <c r="B18" i="3"/>
  <c r="E11" i="3" s="1"/>
  <c r="F2" i="2" s="1"/>
  <c r="B12" i="3"/>
  <c r="B6" i="2"/>
  <c r="B5" i="2"/>
  <c r="B4" i="2"/>
  <c r="H4" i="2" s="1"/>
  <c r="J4" i="2" s="1"/>
  <c r="K4" i="2" s="1"/>
  <c r="B3" i="2"/>
  <c r="B2" i="2"/>
  <c r="C5" i="2" l="1"/>
  <c r="H5" i="2"/>
  <c r="J5" i="2" s="1"/>
  <c r="K5" i="2" s="1"/>
  <c r="B33" i="3"/>
  <c r="E5" i="2"/>
  <c r="B35" i="3" s="1"/>
  <c r="E6" i="2"/>
  <c r="B45" i="3" s="1"/>
  <c r="C6" i="2"/>
  <c r="H6" i="2"/>
  <c r="J6" i="2" s="1"/>
  <c r="K6" i="2" s="1"/>
  <c r="B43" i="3"/>
  <c r="E2" i="2"/>
  <c r="B14" i="3" s="1"/>
  <c r="C2" i="2"/>
  <c r="E3" i="2"/>
  <c r="B25" i="3" s="1"/>
  <c r="B23" i="3"/>
  <c r="H3" i="2"/>
  <c r="J3" i="2" s="1"/>
  <c r="K3" i="2" s="1"/>
  <c r="H2" i="2"/>
  <c r="J2" i="2" s="1"/>
  <c r="E4" i="2"/>
  <c r="F8" i="3"/>
  <c r="G8" i="3" s="1"/>
  <c r="F7" i="3"/>
  <c r="G7" i="3" s="1"/>
  <c r="F6" i="3"/>
  <c r="G6" i="3" s="1"/>
  <c r="F5" i="3"/>
  <c r="F4" i="3"/>
  <c r="B40" i="3" s="1"/>
  <c r="C32" i="3" s="1"/>
  <c r="F3" i="3"/>
  <c r="G3" i="3" s="1"/>
  <c r="F2" i="3"/>
  <c r="G2" i="3" s="1"/>
  <c r="J8" i="2" l="1"/>
  <c r="K2" i="2"/>
  <c r="G4" i="3"/>
  <c r="B30" i="3"/>
  <c r="C22" i="3" s="1"/>
  <c r="C19" i="3"/>
  <c r="G5" i="3"/>
  <c r="B19" i="3"/>
  <c r="C11" i="3" s="1"/>
</calcChain>
</file>

<file path=xl/sharedStrings.xml><?xml version="1.0" encoding="utf-8"?>
<sst xmlns="http://schemas.openxmlformats.org/spreadsheetml/2006/main" count="101" uniqueCount="55">
  <si>
    <t>Bota fora - custo unitário</t>
  </si>
  <si>
    <t>Bota fora - custo total</t>
  </si>
  <si>
    <t>Escavação 1ª etapa - Setor C</t>
  </si>
  <si>
    <t>R220LC-9A</t>
  </si>
  <si>
    <t>R260LC-9A</t>
  </si>
  <si>
    <t>R80CR-9A</t>
  </si>
  <si>
    <t>R35Z-9A</t>
  </si>
  <si>
    <t>R220LCR-9A (Long Reach)</t>
  </si>
  <si>
    <t>Modelo</t>
  </si>
  <si>
    <t>Capacidade do Balde (m³)</t>
  </si>
  <si>
    <t>Volume Estimado por Hora (m³/h)</t>
  </si>
  <si>
    <t>média considerada (m³/h)</t>
  </si>
  <si>
    <t>m³ dia</t>
  </si>
  <si>
    <t>R$/m³</t>
  </si>
  <si>
    <t>R140W-9A</t>
  </si>
  <si>
    <t>0,6 - 0,8</t>
  </si>
  <si>
    <t>12. - 30</t>
  </si>
  <si>
    <t>R200LC-9A</t>
  </si>
  <si>
    <t>1,0 - 1,2</t>
  </si>
  <si>
    <t>20 - 30</t>
  </si>
  <si>
    <t>1,2 - 1,5</t>
  </si>
  <si>
    <t>25 - 40</t>
  </si>
  <si>
    <t>1,5 - 1,7 (padrão; até 2,0 com opções)</t>
  </si>
  <si>
    <t>35 - 50+</t>
  </si>
  <si>
    <t>0,045 - 0,12</t>
  </si>
  <si>
    <t>1 - 3 m³/h</t>
  </si>
  <si>
    <t>R50-9A</t>
  </si>
  <si>
    <t>0,13 - 0,16</t>
  </si>
  <si>
    <t>3 - 5 m³/h</t>
  </si>
  <si>
    <t>0,18 - 0,30</t>
  </si>
  <si>
    <t>5 - 8 m³/h</t>
  </si>
  <si>
    <t>Volume Total</t>
  </si>
  <si>
    <t>Etapa</t>
  </si>
  <si>
    <t>m³/dia</t>
  </si>
  <si>
    <t>Duração Estimada (dias)</t>
  </si>
  <si>
    <t>Custo equipamentos</t>
  </si>
  <si>
    <t>Escavação 1ª etapa - Setor D</t>
  </si>
  <si>
    <t>Escavação 1ª etapa - Setor B</t>
  </si>
  <si>
    <t>Escavação 2ª etapa - Setor C</t>
  </si>
  <si>
    <t>Escavação 3ª etapa - Setor C</t>
  </si>
  <si>
    <t>Composição 01</t>
  </si>
  <si>
    <t>Equipamentos</t>
  </si>
  <si>
    <t>QTD Equipamentos</t>
  </si>
  <si>
    <t>CUSTO DIARIO</t>
  </si>
  <si>
    <t>Custo total</t>
  </si>
  <si>
    <t>total</t>
  </si>
  <si>
    <t>capcidade diaria</t>
  </si>
  <si>
    <t>Capacidade diaria (m³/dia)</t>
  </si>
  <si>
    <t>MO (Apoio a infra)</t>
  </si>
  <si>
    <t>Composição 02</t>
  </si>
  <si>
    <t>Composição 03</t>
  </si>
  <si>
    <t>Composição 04</t>
  </si>
  <si>
    <t>TOTAL</t>
  </si>
  <si>
    <t>CUSTO PARCIAL</t>
  </si>
  <si>
    <t>colar arrasador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</si>
</sst>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n">
        <color indexed="64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44" fontId="0" fillId="3" borderId="1" xfId="0" applyNumberFormat="1" applyFill="1" applyBorder="1"/>
    <xf numFmtId="0" fontId="0" fillId="4" borderId="1" xfId="0" applyFill="1" applyBorder="1"/>
    <xf numFmtId="44" fontId="0" fillId="4" borderId="1" xfId="0" applyNumberFormat="1" applyFill="1" applyBorder="1"/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center" wrapText="1"/>
    </xf>
    <xf numFmtId="44" fontId="0" fillId="0" borderId="3" xfId="1" applyFont="1" applyBorder="1"/>
    <xf numFmtId="44" fontId="0" fillId="0" borderId="3" xfId="0" applyNumberFormat="1" applyBorder="1"/>
    <xf numFmtId="0" fontId="0" fillId="0" borderId="3" xfId="0" applyBorder="1"/>
    <xf numFmtId="44" fontId="0" fillId="0" borderId="0" xfId="0" applyNumberFormat="1"/>
    <xf numFmtId="0" fontId="0" fillId="4" borderId="3" xfId="0" applyFill="1" applyBorder="1"/>
    <xf numFmtId="44" fontId="0" fillId="4" borderId="3" xfId="0" applyNumberFormat="1" applyFill="1" applyBorder="1"/>
    <xf numFmtId="0" fontId="2" fillId="2" borderId="3" xfId="0" applyFont="1" applyFill="1" applyBorder="1" applyAlignment="1">
      <alignment horizontal="center"/>
    </xf>
    <xf numFmtId="0" fontId="0" fillId="4" borderId="3" xfId="0" applyFill="1" applyBorder="1" applyAlignment="1">
      <alignment vertical="center" wrapText="1"/>
    </xf>
    <xf numFmtId="44" fontId="0" fillId="4" borderId="3" xfId="1" applyFont="1" applyFill="1" applyBorder="1"/>
    <xf numFmtId="0" fontId="2" fillId="2" borderId="4" xfId="0" applyFont="1" applyFill="1" applyBorder="1" applyAlignment="1">
      <alignment horizontal="center"/>
    </xf>
    <xf numFmtId="2" fontId="0" fillId="4" borderId="1" xfId="0" applyNumberFormat="1" applyFill="1" applyBorder="1"/>
    <xf numFmtId="2" fontId="0" fillId="3" borderId="1" xfId="0" applyNumberFormat="1" applyFill="1" applyBorder="1"/>
    <xf numFmtId="0" fontId="2" fillId="5" borderId="1" xfId="0" applyFont="1" applyFill="1" applyBorder="1" applyAlignment="1">
      <alignment horizontal="center"/>
    </xf>
    <xf numFmtId="0" fontId="0" fillId="4" borderId="6" xfId="0" applyFill="1" applyBorder="1" applyAlignment="1">
      <alignment vertical="center" wrapText="1"/>
    </xf>
    <xf numFmtId="44" fontId="0" fillId="4" borderId="5" xfId="0" applyNumberFormat="1" applyFill="1" applyBorder="1"/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/>
    <xf numFmtId="0" fontId="2" fillId="5" borderId="9" xfId="0" applyFont="1" applyFill="1" applyBorder="1"/>
    <xf numFmtId="0" fontId="2" fillId="5" borderId="2" xfId="0" applyFont="1" applyFill="1" applyBorder="1" applyAlignment="1">
      <alignment horizontal="center"/>
    </xf>
    <xf numFmtId="44" fontId="2" fillId="5" borderId="2" xfId="0" applyNumberFormat="1" applyFont="1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3" xfId="0" applyFill="1" applyBorder="1"/>
    <xf numFmtId="44" fontId="0" fillId="4" borderId="6" xfId="0" applyNumberFormat="1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44" fontId="0" fillId="3" borderId="1" xfId="1" applyFont="1" applyFill="1" applyBorder="1"/>
    <xf numFmtId="44" fontId="0" fillId="6" borderId="1" xfId="0" applyNumberFormat="1" applyFill="1" applyBorder="1"/>
    <xf numFmtId="2" fontId="0" fillId="4" borderId="6" xfId="0" applyNumberFormat="1" applyFill="1" applyBorder="1"/>
    <xf numFmtId="44" fontId="0" fillId="4" borderId="1" xfId="1" applyFont="1" applyFill="1" applyBorder="1"/>
    <xf numFmtId="44" fontId="0" fillId="3" borderId="1" xfId="0" applyNumberFormat="1" applyFill="1" applyBorder="1" applyAlignment="1">
      <alignment wrapText="1"/>
    </xf>
    <xf numFmtId="44" fontId="0" fillId="6" borderId="1" xfId="0" applyNumberFormat="1" applyFill="1" applyBorder="1" applyAlignment="1">
      <alignment wrapText="1"/>
    </xf>
    <xf numFmtId="44" fontId="0" fillId="0" borderId="3" xfId="1" applyFont="1" applyFill="1" applyBorder="1"/>
    <xf numFmtId="4" fontId="0" fillId="0" borderId="0" xfId="0" applyNumberFormat="1"/>
    <xf numFmtId="8" fontId="0" fillId="0" borderId="0" xfId="0" applyNumberFormat="1"/>
    <xf numFmtId="0" fontId="2" fillId="5" borderId="9" xfId="0" applyFont="1" applyFill="1" applyBorder="1" applyAlignment="1">
      <alignment horizontal="left"/>
    </xf>
    <xf numFmtId="44" fontId="2" fillId="2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34FE-23BF-49D1-B7A7-AF42D3570928}">
  <dimension ref="A1:K12"/>
  <sheetViews>
    <sheetView showGridLines="0" tabSelected="1" workbookViewId="0">
      <selection activeCell="C9" sqref="C9"/>
    </sheetView>
  </sheetViews>
  <sheetFormatPr defaultColWidth="42" defaultRowHeight="14.4" x14ac:dyDescent="0.3"/>
  <cols>
    <col min="1" max="1" width="25.33203125" customWidth="1"/>
    <col min="2" max="3" width="16.6640625" customWidth="1"/>
    <col min="4" max="4" width="20.21875" customWidth="1"/>
    <col min="5" max="5" width="22.21875" customWidth="1"/>
    <col min="6" max="6" width="18.33203125" bestFit="1" customWidth="1"/>
    <col min="7" max="7" width="24.109375" customWidth="1"/>
    <col min="8" max="8" width="18.5546875" bestFit="1" customWidth="1"/>
    <col min="9" max="9" width="15.5546875" customWidth="1"/>
    <col min="10" max="10" width="23.33203125" customWidth="1"/>
  </cols>
  <sheetData>
    <row r="1" spans="1:11" x14ac:dyDescent="0.3">
      <c r="A1" s="1" t="s">
        <v>32</v>
      </c>
      <c r="B1" s="1" t="s">
        <v>31</v>
      </c>
      <c r="C1" s="1"/>
      <c r="D1" s="1" t="s">
        <v>34</v>
      </c>
      <c r="E1" s="1" t="s">
        <v>33</v>
      </c>
      <c r="F1" s="17" t="s">
        <v>35</v>
      </c>
      <c r="G1" s="17" t="s">
        <v>0</v>
      </c>
      <c r="H1" s="17" t="s">
        <v>1</v>
      </c>
      <c r="I1" s="17" t="s">
        <v>48</v>
      </c>
      <c r="J1" s="1" t="s">
        <v>53</v>
      </c>
    </row>
    <row r="2" spans="1:11" ht="15" customHeight="1" x14ac:dyDescent="0.3">
      <c r="A2" s="2" t="s">
        <v>2</v>
      </c>
      <c r="B2" s="2">
        <f>5200*1.3</f>
        <v>6760</v>
      </c>
      <c r="C2" s="2">
        <f>B2/1.3</f>
        <v>5200</v>
      </c>
      <c r="D2" s="2">
        <v>30</v>
      </c>
      <c r="E2" s="2">
        <f>B2/D2</f>
        <v>225.33333333333334</v>
      </c>
      <c r="F2" s="3">
        <f>Composições!E11</f>
        <v>280000</v>
      </c>
      <c r="G2" s="38">
        <v>40</v>
      </c>
      <c r="H2" s="3">
        <f>G2*B2</f>
        <v>270400</v>
      </c>
      <c r="I2" s="39">
        <v>75548.100000000006</v>
      </c>
      <c r="J2" s="3">
        <f>SUM(H2,F2)</f>
        <v>550400</v>
      </c>
      <c r="K2" s="11">
        <f t="shared" ref="K2:K5" si="0">J2/B2</f>
        <v>81.42011834319527</v>
      </c>
    </row>
    <row r="3" spans="1:11" ht="15" customHeight="1" x14ac:dyDescent="0.3">
      <c r="A3" s="4" t="s">
        <v>36</v>
      </c>
      <c r="B3" s="4">
        <f>4151*1.3</f>
        <v>5396.3</v>
      </c>
      <c r="C3" s="4"/>
      <c r="D3" s="4">
        <v>16</v>
      </c>
      <c r="E3" s="18">
        <f>B3/D3</f>
        <v>337.26875000000001</v>
      </c>
      <c r="F3" s="5">
        <f>Composições!E22</f>
        <v>153600</v>
      </c>
      <c r="G3" s="5">
        <v>40</v>
      </c>
      <c r="H3" s="5">
        <f>G3*B3</f>
        <v>215852</v>
      </c>
      <c r="I3" s="39">
        <f>75548.1/2</f>
        <v>37774.050000000003</v>
      </c>
      <c r="J3" s="41">
        <f>SUM(H3,F3)</f>
        <v>369452</v>
      </c>
      <c r="K3" s="11">
        <f t="shared" si="0"/>
        <v>68.463947519596758</v>
      </c>
    </row>
    <row r="4" spans="1:11" x14ac:dyDescent="0.3">
      <c r="A4" s="4" t="s">
        <v>37</v>
      </c>
      <c r="B4" s="4">
        <f>3420*1.3</f>
        <v>4446</v>
      </c>
      <c r="C4" s="4"/>
      <c r="D4" s="4">
        <v>14</v>
      </c>
      <c r="E4" s="18">
        <f t="shared" ref="E4:E6" si="1">B4/D4</f>
        <v>317.57142857142856</v>
      </c>
      <c r="F4" s="5">
        <f>Composições!E22</f>
        <v>153600</v>
      </c>
      <c r="G4" s="5">
        <v>40</v>
      </c>
      <c r="H4" s="5">
        <f>G4*B4</f>
        <v>177840</v>
      </c>
      <c r="I4" s="39">
        <f>75548.1/2</f>
        <v>37774.050000000003</v>
      </c>
      <c r="J4" s="41">
        <f>SUM(H4,F4)</f>
        <v>331440</v>
      </c>
      <c r="K4" s="11">
        <f t="shared" si="0"/>
        <v>74.547908232118758</v>
      </c>
    </row>
    <row r="5" spans="1:11" x14ac:dyDescent="0.3">
      <c r="A5" s="6" t="s">
        <v>38</v>
      </c>
      <c r="B5" s="6">
        <f>3600*1.3</f>
        <v>4680</v>
      </c>
      <c r="C5" s="2">
        <f>B5/1.3</f>
        <v>3600</v>
      </c>
      <c r="D5" s="6">
        <v>30</v>
      </c>
      <c r="E5" s="2">
        <f t="shared" si="1"/>
        <v>156</v>
      </c>
      <c r="F5" s="42">
        <f>Composições!E32</f>
        <v>342000</v>
      </c>
      <c r="G5" s="38">
        <v>40</v>
      </c>
      <c r="H5" s="3">
        <f>G5*B5</f>
        <v>187200</v>
      </c>
      <c r="I5" s="39">
        <f>75548.1*2</f>
        <v>151096.20000000001</v>
      </c>
      <c r="J5" s="3">
        <f>SUM(H5,F5)</f>
        <v>529200</v>
      </c>
      <c r="K5" s="11">
        <f t="shared" si="0"/>
        <v>113.07692307692308</v>
      </c>
    </row>
    <row r="6" spans="1:11" x14ac:dyDescent="0.3">
      <c r="A6" s="6" t="s">
        <v>39</v>
      </c>
      <c r="B6" s="6">
        <f>10144*1.3</f>
        <v>13187.2</v>
      </c>
      <c r="C6" s="2">
        <f>B6/1.3</f>
        <v>10144</v>
      </c>
      <c r="D6" s="6">
        <v>50</v>
      </c>
      <c r="E6" s="19">
        <f t="shared" si="1"/>
        <v>263.74400000000003</v>
      </c>
      <c r="F6" s="42">
        <f>Composições!E42</f>
        <v>680000</v>
      </c>
      <c r="G6" s="38">
        <v>40</v>
      </c>
      <c r="H6" s="3">
        <f>G6*B6</f>
        <v>527488</v>
      </c>
      <c r="I6" s="43">
        <f>I5*2.5</f>
        <v>377740.5</v>
      </c>
      <c r="J6" s="3">
        <f>SUM(H6,F6)</f>
        <v>1207488</v>
      </c>
      <c r="K6" s="11">
        <f>J6/B6</f>
        <v>91.565154088813387</v>
      </c>
    </row>
    <row r="8" spans="1:11" x14ac:dyDescent="0.3">
      <c r="I8" s="1" t="s">
        <v>52</v>
      </c>
      <c r="J8" s="48">
        <f>SUM(J2:J6)</f>
        <v>2987980</v>
      </c>
    </row>
    <row r="9" spans="1:11" x14ac:dyDescent="0.3">
      <c r="I9" s="45"/>
      <c r="J9" s="46"/>
    </row>
    <row r="10" spans="1:11" x14ac:dyDescent="0.3">
      <c r="G10" s="11"/>
    </row>
    <row r="12" spans="1:11" x14ac:dyDescent="0.3">
      <c r="G12" s="11"/>
      <c r="J12" s="4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1939-185A-46A4-8C3B-F5EEAFE83512}">
  <dimension ref="A1:G50"/>
  <sheetViews>
    <sheetView topLeftCell="A15" workbookViewId="0">
      <selection activeCell="F45" sqref="F45"/>
    </sheetView>
  </sheetViews>
  <sheetFormatPr defaultRowHeight="14.4" x14ac:dyDescent="0.3"/>
  <cols>
    <col min="1" max="1" width="26.77734375" customWidth="1"/>
    <col min="2" max="2" width="24" customWidth="1"/>
    <col min="3" max="3" width="22.77734375" bestFit="1" customWidth="1"/>
    <col min="4" max="4" width="16.33203125" customWidth="1"/>
    <col min="5" max="5" width="16" customWidth="1"/>
    <col min="6" max="6" width="8.21875" customWidth="1"/>
    <col min="7" max="7" width="13.77734375" bestFit="1" customWidth="1"/>
  </cols>
  <sheetData>
    <row r="1" spans="1:7" x14ac:dyDescent="0.3">
      <c r="A1" s="14" t="s">
        <v>8</v>
      </c>
      <c r="B1" s="14" t="s">
        <v>9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</row>
    <row r="2" spans="1:7" x14ac:dyDescent="0.3">
      <c r="A2" s="7" t="s">
        <v>14</v>
      </c>
      <c r="B2" s="8">
        <v>2500</v>
      </c>
      <c r="C2" s="7" t="s">
        <v>15</v>
      </c>
      <c r="D2" s="7" t="s">
        <v>16</v>
      </c>
      <c r="E2" s="7">
        <v>20</v>
      </c>
      <c r="F2" s="10">
        <f t="shared" ref="F2:F9" si="0">E2*7</f>
        <v>140</v>
      </c>
      <c r="G2" s="9">
        <f>B2/F2</f>
        <v>17.857142857142858</v>
      </c>
    </row>
    <row r="3" spans="1:7" x14ac:dyDescent="0.3">
      <c r="A3" s="7" t="s">
        <v>17</v>
      </c>
      <c r="B3" s="8">
        <v>3200</v>
      </c>
      <c r="C3" s="7" t="s">
        <v>18</v>
      </c>
      <c r="D3" s="7" t="s">
        <v>19</v>
      </c>
      <c r="E3" s="7">
        <v>25</v>
      </c>
      <c r="F3" s="10">
        <f t="shared" si="0"/>
        <v>175</v>
      </c>
      <c r="G3" s="9">
        <f t="shared" ref="G3:G7" si="1">B3/F3</f>
        <v>18.285714285714285</v>
      </c>
    </row>
    <row r="4" spans="1:7" x14ac:dyDescent="0.3">
      <c r="A4" s="15" t="s">
        <v>3</v>
      </c>
      <c r="B4" s="16">
        <v>3500</v>
      </c>
      <c r="C4" s="15" t="s">
        <v>20</v>
      </c>
      <c r="D4" s="15" t="s">
        <v>21</v>
      </c>
      <c r="E4" s="15">
        <v>30</v>
      </c>
      <c r="F4" s="12">
        <f t="shared" si="0"/>
        <v>210</v>
      </c>
      <c r="G4" s="13">
        <f t="shared" si="1"/>
        <v>16.666666666666668</v>
      </c>
    </row>
    <row r="5" spans="1:7" ht="28.8" x14ac:dyDescent="0.3">
      <c r="A5" s="7" t="s">
        <v>4</v>
      </c>
      <c r="B5" s="8">
        <v>4800</v>
      </c>
      <c r="C5" s="7" t="s">
        <v>22</v>
      </c>
      <c r="D5" s="7" t="s">
        <v>23</v>
      </c>
      <c r="E5" s="7">
        <v>40</v>
      </c>
      <c r="F5" s="10">
        <f t="shared" si="0"/>
        <v>280</v>
      </c>
      <c r="G5" s="9">
        <f t="shared" si="1"/>
        <v>17.142857142857142</v>
      </c>
    </row>
    <row r="6" spans="1:7" x14ac:dyDescent="0.3">
      <c r="A6" s="7" t="s">
        <v>6</v>
      </c>
      <c r="B6" s="8">
        <v>2200</v>
      </c>
      <c r="C6" s="7" t="s">
        <v>24</v>
      </c>
      <c r="D6" s="7" t="s">
        <v>25</v>
      </c>
      <c r="E6" s="7">
        <v>2</v>
      </c>
      <c r="F6" s="10">
        <f t="shared" si="0"/>
        <v>14</v>
      </c>
      <c r="G6" s="9">
        <f t="shared" si="1"/>
        <v>157.14285714285714</v>
      </c>
    </row>
    <row r="7" spans="1:7" x14ac:dyDescent="0.3">
      <c r="A7" s="7" t="s">
        <v>26</v>
      </c>
      <c r="B7" s="8">
        <v>2200</v>
      </c>
      <c r="C7" s="7" t="s">
        <v>27</v>
      </c>
      <c r="D7" s="7" t="s">
        <v>28</v>
      </c>
      <c r="E7" s="7">
        <v>4</v>
      </c>
      <c r="F7" s="10">
        <f t="shared" si="0"/>
        <v>28</v>
      </c>
      <c r="G7" s="9">
        <f t="shared" si="1"/>
        <v>78.571428571428569</v>
      </c>
    </row>
    <row r="8" spans="1:7" x14ac:dyDescent="0.3">
      <c r="A8" s="15" t="s">
        <v>5</v>
      </c>
      <c r="B8" s="16">
        <v>2200</v>
      </c>
      <c r="C8" s="15" t="s">
        <v>29</v>
      </c>
      <c r="D8" s="15" t="s">
        <v>30</v>
      </c>
      <c r="E8" s="15">
        <v>6.5</v>
      </c>
      <c r="F8" s="12">
        <f t="shared" si="0"/>
        <v>45.5</v>
      </c>
      <c r="G8" s="13">
        <f>B8/F8</f>
        <v>48.35164835164835</v>
      </c>
    </row>
    <row r="9" spans="1:7" x14ac:dyDescent="0.3">
      <c r="A9" s="10" t="s">
        <v>7</v>
      </c>
      <c r="B9" s="44">
        <v>7000</v>
      </c>
      <c r="C9" s="7" t="s">
        <v>20</v>
      </c>
      <c r="D9" s="7" t="s">
        <v>21</v>
      </c>
      <c r="E9" s="7">
        <v>30</v>
      </c>
      <c r="F9" s="10">
        <f t="shared" si="0"/>
        <v>210</v>
      </c>
      <c r="G9" s="9">
        <f>B9/F9</f>
        <v>33.333333333333336</v>
      </c>
    </row>
    <row r="11" spans="1:7" x14ac:dyDescent="0.3">
      <c r="A11" s="20" t="s">
        <v>40</v>
      </c>
      <c r="B11" s="24" t="s">
        <v>47</v>
      </c>
      <c r="C11" s="47">
        <f>SUM(B19:C19)</f>
        <v>700</v>
      </c>
      <c r="D11" s="26" t="s">
        <v>45</v>
      </c>
      <c r="E11" s="27">
        <f>SUM(B18:G18)</f>
        <v>280000</v>
      </c>
    </row>
    <row r="12" spans="1:7" x14ac:dyDescent="0.3">
      <c r="A12" s="23" t="s">
        <v>31</v>
      </c>
      <c r="B12" s="28">
        <f>Orçamento!B2</f>
        <v>6760</v>
      </c>
      <c r="C12" s="29"/>
      <c r="D12" s="29"/>
      <c r="E12" s="29"/>
    </row>
    <row r="13" spans="1:7" x14ac:dyDescent="0.3">
      <c r="A13" s="23" t="s">
        <v>34</v>
      </c>
      <c r="B13" s="31">
        <v>20</v>
      </c>
      <c r="C13" s="4"/>
      <c r="D13" s="4"/>
      <c r="E13" s="4"/>
    </row>
    <row r="14" spans="1:7" x14ac:dyDescent="0.3">
      <c r="A14" s="23" t="s">
        <v>33</v>
      </c>
      <c r="B14" s="31">
        <f>Orçamento!E2</f>
        <v>225.33333333333334</v>
      </c>
      <c r="C14" s="4"/>
      <c r="D14" s="4"/>
      <c r="E14" s="4"/>
    </row>
    <row r="15" spans="1:7" x14ac:dyDescent="0.3">
      <c r="A15" s="23" t="s">
        <v>42</v>
      </c>
      <c r="B15" s="31">
        <v>1</v>
      </c>
      <c r="C15" s="4">
        <v>2</v>
      </c>
      <c r="D15" s="4">
        <v>1</v>
      </c>
      <c r="E15" s="4"/>
    </row>
    <row r="16" spans="1:7" x14ac:dyDescent="0.3">
      <c r="A16" s="23" t="s">
        <v>41</v>
      </c>
      <c r="B16" s="21" t="s">
        <v>4</v>
      </c>
      <c r="C16" s="21" t="s">
        <v>3</v>
      </c>
      <c r="D16" s="4" t="s">
        <v>54</v>
      </c>
      <c r="E16" s="4"/>
    </row>
    <row r="17" spans="1:7" x14ac:dyDescent="0.3">
      <c r="A17" s="23" t="s">
        <v>43</v>
      </c>
      <c r="B17" s="33">
        <f>$B$5</f>
        <v>4800</v>
      </c>
      <c r="C17" s="5">
        <f>$B$4</f>
        <v>3500</v>
      </c>
      <c r="D17" s="4">
        <v>2200</v>
      </c>
      <c r="E17" s="4"/>
    </row>
    <row r="18" spans="1:7" x14ac:dyDescent="0.3">
      <c r="A18" s="23" t="s">
        <v>44</v>
      </c>
      <c r="B18" s="33">
        <f>B17*B13*B15</f>
        <v>96000</v>
      </c>
      <c r="C18" s="22">
        <f>C17*B13*C15</f>
        <v>140000</v>
      </c>
      <c r="D18" s="22">
        <f>D17*B13*D15</f>
        <v>44000</v>
      </c>
      <c r="E18" s="4"/>
    </row>
    <row r="19" spans="1:7" x14ac:dyDescent="0.3">
      <c r="A19" s="23" t="s">
        <v>46</v>
      </c>
      <c r="B19" s="34">
        <f>B15*$F$5</f>
        <v>280</v>
      </c>
      <c r="C19" s="35">
        <f>C15*$F$4</f>
        <v>420</v>
      </c>
      <c r="D19" s="36"/>
      <c r="E19" s="35"/>
    </row>
    <row r="22" spans="1:7" x14ac:dyDescent="0.3">
      <c r="A22" s="20" t="s">
        <v>49</v>
      </c>
      <c r="B22" s="24" t="s">
        <v>47</v>
      </c>
      <c r="C22" s="25">
        <f>SUM(B30:B30)</f>
        <v>420</v>
      </c>
      <c r="D22" s="26" t="s">
        <v>45</v>
      </c>
      <c r="E22" s="27">
        <f>SUM(B29:G29)</f>
        <v>153600</v>
      </c>
    </row>
    <row r="23" spans="1:7" x14ac:dyDescent="0.3">
      <c r="A23" s="23" t="s">
        <v>31</v>
      </c>
      <c r="B23" s="28">
        <f>Orçamento!B3</f>
        <v>5396.3</v>
      </c>
      <c r="C23" s="29"/>
      <c r="D23" s="29"/>
      <c r="E23" s="29"/>
      <c r="F23" s="29"/>
      <c r="G23" s="30"/>
    </row>
    <row r="24" spans="1:7" x14ac:dyDescent="0.3">
      <c r="A24" s="23" t="s">
        <v>34</v>
      </c>
      <c r="B24" s="31">
        <f>Orçamento!D3</f>
        <v>16</v>
      </c>
      <c r="C24" s="4"/>
      <c r="D24" s="4"/>
      <c r="E24" s="4"/>
      <c r="F24" s="4"/>
      <c r="G24" s="32"/>
    </row>
    <row r="25" spans="1:7" x14ac:dyDescent="0.3">
      <c r="A25" s="23" t="s">
        <v>33</v>
      </c>
      <c r="B25" s="40">
        <f>Orçamento!E3</f>
        <v>337.26875000000001</v>
      </c>
      <c r="C25" s="4"/>
      <c r="D25" s="4"/>
      <c r="E25" s="4"/>
      <c r="F25" s="4"/>
      <c r="G25" s="32"/>
    </row>
    <row r="26" spans="1:7" x14ac:dyDescent="0.3">
      <c r="A26" s="23" t="s">
        <v>42</v>
      </c>
      <c r="B26" s="31">
        <v>2</v>
      </c>
      <c r="C26" s="4"/>
      <c r="D26" s="4"/>
      <c r="E26" s="4"/>
      <c r="F26" s="4"/>
      <c r="G26" s="32"/>
    </row>
    <row r="27" spans="1:7" x14ac:dyDescent="0.3">
      <c r="A27" s="23" t="s">
        <v>41</v>
      </c>
      <c r="B27" s="21" t="s">
        <v>4</v>
      </c>
      <c r="C27" s="4"/>
      <c r="D27" s="4"/>
      <c r="E27" s="4"/>
      <c r="F27" s="4"/>
      <c r="G27" s="32"/>
    </row>
    <row r="28" spans="1:7" x14ac:dyDescent="0.3">
      <c r="A28" s="23" t="s">
        <v>43</v>
      </c>
      <c r="B28" s="33">
        <f>$B$5</f>
        <v>4800</v>
      </c>
      <c r="C28" s="4"/>
      <c r="D28" s="4"/>
      <c r="E28" s="4"/>
      <c r="F28" s="4"/>
      <c r="G28" s="32"/>
    </row>
    <row r="29" spans="1:7" x14ac:dyDescent="0.3">
      <c r="A29" s="23" t="s">
        <v>44</v>
      </c>
      <c r="B29" s="33">
        <f>B28*B24*B26</f>
        <v>153600</v>
      </c>
      <c r="C29" s="4"/>
      <c r="D29" s="22"/>
      <c r="E29" s="4"/>
      <c r="F29" s="4"/>
      <c r="G29" s="32"/>
    </row>
    <row r="30" spans="1:7" x14ac:dyDescent="0.3">
      <c r="A30" s="23" t="s">
        <v>46</v>
      </c>
      <c r="B30" s="34">
        <f>B26*$F$4</f>
        <v>420</v>
      </c>
      <c r="C30" s="35"/>
      <c r="D30" s="36"/>
      <c r="E30" s="35"/>
      <c r="F30" s="36"/>
      <c r="G30" s="37"/>
    </row>
    <row r="32" spans="1:7" x14ac:dyDescent="0.3">
      <c r="A32" s="20" t="s">
        <v>50</v>
      </c>
      <c r="B32" s="24" t="s">
        <v>47</v>
      </c>
      <c r="C32" s="25">
        <f>SUM(B40:G40)</f>
        <v>223</v>
      </c>
      <c r="D32" s="26" t="s">
        <v>45</v>
      </c>
      <c r="E32" s="27">
        <f>SUM(B39:G39)</f>
        <v>342000</v>
      </c>
    </row>
    <row r="33" spans="1:7" x14ac:dyDescent="0.3">
      <c r="A33" s="23" t="s">
        <v>31</v>
      </c>
      <c r="B33" s="28">
        <f>Orçamento!B5</f>
        <v>4680</v>
      </c>
      <c r="C33" s="29"/>
      <c r="D33" s="29"/>
      <c r="E33" s="29"/>
      <c r="F33" s="29"/>
      <c r="G33" s="30"/>
    </row>
    <row r="34" spans="1:7" x14ac:dyDescent="0.3">
      <c r="A34" s="23" t="s">
        <v>34</v>
      </c>
      <c r="B34" s="31">
        <f>Orçamento!D5</f>
        <v>30</v>
      </c>
      <c r="C34" s="4"/>
      <c r="D34" s="4"/>
      <c r="E34" s="4"/>
      <c r="F34" s="4"/>
      <c r="G34" s="32"/>
    </row>
    <row r="35" spans="1:7" x14ac:dyDescent="0.3">
      <c r="A35" s="23" t="s">
        <v>33</v>
      </c>
      <c r="B35" s="40">
        <f>Orçamento!E5</f>
        <v>156</v>
      </c>
      <c r="C35" s="4"/>
      <c r="D35" s="4"/>
      <c r="E35" s="4"/>
      <c r="F35" s="4"/>
      <c r="G35" s="32"/>
    </row>
    <row r="36" spans="1:7" x14ac:dyDescent="0.3">
      <c r="A36" s="23" t="s">
        <v>42</v>
      </c>
      <c r="B36" s="31">
        <v>1</v>
      </c>
      <c r="C36" s="4">
        <v>2</v>
      </c>
      <c r="D36" s="4">
        <v>1</v>
      </c>
      <c r="E36" s="4"/>
      <c r="F36" s="4"/>
      <c r="G36" s="32"/>
    </row>
    <row r="37" spans="1:7" x14ac:dyDescent="0.3">
      <c r="A37" s="23" t="s">
        <v>41</v>
      </c>
      <c r="B37" s="21" t="s">
        <v>4</v>
      </c>
      <c r="C37" s="4" t="s">
        <v>5</v>
      </c>
      <c r="D37" s="4" t="s">
        <v>54</v>
      </c>
      <c r="E37" s="4"/>
      <c r="F37" s="4"/>
      <c r="G37" s="32"/>
    </row>
    <row r="38" spans="1:7" x14ac:dyDescent="0.3">
      <c r="A38" s="23" t="s">
        <v>43</v>
      </c>
      <c r="B38" s="33">
        <f>$B$5</f>
        <v>4800</v>
      </c>
      <c r="C38" s="5">
        <f>B8</f>
        <v>2200</v>
      </c>
      <c r="D38" s="4">
        <v>2200</v>
      </c>
      <c r="E38" s="4"/>
      <c r="F38" s="4"/>
      <c r="G38" s="32"/>
    </row>
    <row r="39" spans="1:7" x14ac:dyDescent="0.3">
      <c r="A39" s="23" t="s">
        <v>44</v>
      </c>
      <c r="B39" s="33">
        <f>B38*B34*B36</f>
        <v>144000</v>
      </c>
      <c r="C39" s="22">
        <f>C38*C36*B34</f>
        <v>132000</v>
      </c>
      <c r="D39" s="22">
        <f>D38*B34*D36</f>
        <v>66000</v>
      </c>
      <c r="E39" s="4"/>
      <c r="F39" s="4"/>
      <c r="G39" s="32"/>
    </row>
    <row r="40" spans="1:7" x14ac:dyDescent="0.3">
      <c r="A40" s="23" t="s">
        <v>46</v>
      </c>
      <c r="B40" s="34">
        <f>B36*$F$4</f>
        <v>210</v>
      </c>
      <c r="C40" s="36">
        <f>C36*E8</f>
        <v>13</v>
      </c>
      <c r="D40" s="36"/>
      <c r="E40" s="35"/>
      <c r="F40" s="36"/>
      <c r="G40" s="37"/>
    </row>
    <row r="42" spans="1:7" x14ac:dyDescent="0.3">
      <c r="A42" s="20" t="s">
        <v>51</v>
      </c>
      <c r="B42" s="24" t="s">
        <v>47</v>
      </c>
      <c r="C42" s="25">
        <f>SUM(B50:G50)</f>
        <v>218.5</v>
      </c>
      <c r="D42" s="26" t="s">
        <v>45</v>
      </c>
      <c r="E42" s="27">
        <f>SUM(B49:G49)</f>
        <v>680000</v>
      </c>
    </row>
    <row r="43" spans="1:7" x14ac:dyDescent="0.3">
      <c r="A43" s="23" t="s">
        <v>31</v>
      </c>
      <c r="B43" s="28">
        <f>Orçamento!B6</f>
        <v>13187.2</v>
      </c>
      <c r="C43" s="29"/>
      <c r="D43" s="29"/>
      <c r="E43" s="29"/>
      <c r="F43" s="29"/>
      <c r="G43" s="30"/>
    </row>
    <row r="44" spans="1:7" x14ac:dyDescent="0.3">
      <c r="A44" s="23" t="s">
        <v>34</v>
      </c>
      <c r="B44" s="31">
        <f>Orçamento!D6</f>
        <v>50</v>
      </c>
      <c r="C44" s="4"/>
      <c r="D44" s="4"/>
      <c r="E44" s="4"/>
      <c r="F44" s="4"/>
      <c r="G44" s="32"/>
    </row>
    <row r="45" spans="1:7" x14ac:dyDescent="0.3">
      <c r="A45" s="23" t="s">
        <v>33</v>
      </c>
      <c r="B45" s="40">
        <f>Orçamento!E6</f>
        <v>263.74400000000003</v>
      </c>
      <c r="C45" s="4"/>
      <c r="D45" s="4"/>
      <c r="E45" s="4"/>
      <c r="F45" s="4"/>
      <c r="G45" s="32"/>
    </row>
    <row r="46" spans="1:7" x14ac:dyDescent="0.3">
      <c r="A46" s="23" t="s">
        <v>42</v>
      </c>
      <c r="B46" s="31">
        <v>1</v>
      </c>
      <c r="C46" s="4">
        <v>1</v>
      </c>
      <c r="D46" s="4">
        <v>2</v>
      </c>
      <c r="E46" s="4">
        <v>1</v>
      </c>
      <c r="F46" s="4"/>
      <c r="G46" s="32"/>
    </row>
    <row r="47" spans="1:7" x14ac:dyDescent="0.3">
      <c r="A47" s="23" t="s">
        <v>41</v>
      </c>
      <c r="B47" s="4" t="s">
        <v>6</v>
      </c>
      <c r="C47" s="4" t="s">
        <v>5</v>
      </c>
      <c r="D47" s="4" t="s">
        <v>7</v>
      </c>
      <c r="E47" s="4" t="s">
        <v>54</v>
      </c>
      <c r="F47" s="4"/>
      <c r="G47" s="32"/>
    </row>
    <row r="48" spans="1:7" x14ac:dyDescent="0.3">
      <c r="A48" s="23" t="s">
        <v>43</v>
      </c>
      <c r="B48" s="33">
        <f>B8</f>
        <v>2200</v>
      </c>
      <c r="C48" s="5">
        <f>B8</f>
        <v>2200</v>
      </c>
      <c r="D48" s="5">
        <v>7000</v>
      </c>
      <c r="E48" s="4">
        <v>2200</v>
      </c>
      <c r="F48" s="4"/>
      <c r="G48" s="32"/>
    </row>
    <row r="49" spans="1:7" x14ac:dyDescent="0.3">
      <c r="A49" s="23" t="s">
        <v>44</v>
      </c>
      <c r="B49" s="33">
        <f>B48*B44*B46</f>
        <v>110000</v>
      </c>
      <c r="C49" s="22">
        <f>C48*C46*B44</f>
        <v>110000</v>
      </c>
      <c r="D49" s="22">
        <f>D48*B44</f>
        <v>350000</v>
      </c>
      <c r="E49" s="22">
        <f>E48*B44*E46</f>
        <v>110000</v>
      </c>
      <c r="F49" s="4"/>
      <c r="G49" s="32"/>
    </row>
    <row r="50" spans="1:7" x14ac:dyDescent="0.3">
      <c r="A50" s="23" t="s">
        <v>46</v>
      </c>
      <c r="B50" s="34">
        <f>E6</f>
        <v>2</v>
      </c>
      <c r="C50" s="36">
        <f>C46*E8</f>
        <v>6.5</v>
      </c>
      <c r="D50" s="36">
        <f>F9</f>
        <v>210</v>
      </c>
      <c r="E50" s="35"/>
      <c r="F50" s="36"/>
      <c r="G50" s="3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b23f4c-80d7-41fd-8af2-d094e12e6e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0A1540E3F82469AA9DB2153535174" ma:contentTypeVersion="9" ma:contentTypeDescription="Create a new document." ma:contentTypeScope="" ma:versionID="5f8fa9c000b428ae997ccd413c3397ba">
  <xsd:schema xmlns:xsd="http://www.w3.org/2001/XMLSchema" xmlns:xs="http://www.w3.org/2001/XMLSchema" xmlns:p="http://schemas.microsoft.com/office/2006/metadata/properties" xmlns:ns3="5db23f4c-80d7-41fd-8af2-d094e12e6ec7" targetNamespace="http://schemas.microsoft.com/office/2006/metadata/properties" ma:root="true" ma:fieldsID="bf668720a71b433b40b306905e6cb12f" ns3:_="">
    <xsd:import namespace="5db23f4c-80d7-41fd-8af2-d094e12e6e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23f4c-80d7-41fd-8af2-d094e12e6e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3F111-CC73-4B20-A561-4BCCEED35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41A026-DA0D-4480-8580-EF60AC9D5769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5db23f4c-80d7-41fd-8af2-d094e12e6ec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E56FCDC-5B79-4B8F-BC8C-71486635A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23f4c-80d7-41fd-8af2-d094e12e6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</vt:lpstr>
      <vt:lpstr>Composições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/ João Vitor Moreira Penido</dc:creator>
  <cp:lastModifiedBy>Patricia Bragatto</cp:lastModifiedBy>
  <dcterms:created xsi:type="dcterms:W3CDTF">2026-01-14T19:33:13Z</dcterms:created>
  <dcterms:modified xsi:type="dcterms:W3CDTF">2026-02-11T10:49:17Z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0x0101004540A1540E3F82469AA9DB2153535174</vt:lpwstr>
  </property>
</Properties>
</file>