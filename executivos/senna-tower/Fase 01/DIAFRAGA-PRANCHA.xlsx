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"/>
    </mc:Choice>
  </mc:AlternateContent>
  <xr:revisionPtr revIDLastSave="0" documentId="8_{D46A5F9B-7CD9-4B99-BF5A-8C447D8E3B94}" xr6:coauthVersionLast="47" xr6:coauthVersionMax="47" xr10:uidLastSave="{00000000-0000-0000-0000-000000000000}"/>
  <bookViews>
    <workbookView xWindow="-23148" yWindow="-48" windowWidth="23256" windowHeight="12456" xr2:uid="{85910ABA-917C-4358-AF37-FEAF2C5BE4E0}"/>
  </bookViews>
  <sheets>
    <sheet name="Planilha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8" i="1" s="1"/>
  <c r="D16" i="1"/>
  <c r="D15" i="1"/>
  <c r="F14" i="1" s="1"/>
  <c r="D14" i="1"/>
  <c r="D13" i="1"/>
  <c r="D17" i="1" s="1"/>
  <c r="F19" i="1"/>
  <c r="F20" i="1"/>
  <c r="F10" i="1"/>
  <c r="D11" i="1"/>
  <c r="D12" i="1" s="1"/>
  <c r="F12" i="1" s="1"/>
  <c r="D4" i="1"/>
  <c r="F11" i="1" l="1"/>
  <c r="D19" i="1"/>
  <c r="F17" i="1" s="1"/>
  <c r="E14" i="1" l="1"/>
  <c r="F13" i="1" s="1"/>
  <c r="E16" i="1"/>
  <c r="F16" i="1" s="1"/>
  <c r="E15" i="1"/>
  <c r="F15" i="1" s="1"/>
</calcChain>
</file>

<file path=xl/sharedStrings.xml><?xml version="1.0" encoding="utf-8"?>
<sst xmlns="http://schemas.openxmlformats.org/spreadsheetml/2006/main" count="18" uniqueCount="18">
  <si>
    <t>AREA</t>
  </si>
  <si>
    <t>Taxa de mobilização da estaca prancha</t>
  </si>
  <si>
    <t>Estaca prancha AZ 17-700 12m</t>
  </si>
  <si>
    <t>Serviço esppeciaizado para cravação de estacas prancha</t>
  </si>
  <si>
    <t>ESTAA PRANCHA</t>
  </si>
  <si>
    <t>PAREDE DIAFRAGMA</t>
  </si>
  <si>
    <t>Taxa de mobilização equipamentos de contneção</t>
  </si>
  <si>
    <t>Execução de parede diafragma 40cm (M.O. e equipamentos)</t>
  </si>
  <si>
    <t>Destino resíduo diafragma</t>
  </si>
  <si>
    <t>Gerador</t>
  </si>
  <si>
    <t>Guindaste</t>
  </si>
  <si>
    <t xml:space="preserve">Maquina Escavadeira R260 </t>
  </si>
  <si>
    <t>Armação aço CA-50 ø 16,0mm para Contenções (corte e dobra em indústria)</t>
  </si>
  <si>
    <t>Concreto Usinado bombeável 40MPa para infraestrutura - incluindo serviço de bombeamento</t>
  </si>
  <si>
    <t>Concreto Usinado bombeável 40MPa para lamelas - incluindo serviço de bombeamento e cristalizante</t>
  </si>
  <si>
    <t>Corte e Preparo de Cabeça de Lamelas</t>
  </si>
  <si>
    <t>Execução de mureta guia (M.O. e equipamentos)</t>
  </si>
  <si>
    <t>Armação aço CA-50 ø 10,0mm para Apoio Contenções (corte e dobra em indústria)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</si>
</sst>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2" applyFont="1"/>
    <xf numFmtId="44" fontId="0" fillId="0" borderId="0" xfId="0" applyNumberFormat="1"/>
    <xf numFmtId="43" fontId="0" fillId="0" borderId="0" xfId="1" applyFont="1"/>
  </cellXfs>
  <cellStyles count="3">
    <cellStyle name="Moeda" xfId="2" builtinId="4"/>
    <cellStyle name="Normal" xfId="0" builtinId="0"/>
    <cellStyle name="Vírgula" xfId="1" builtinId="3"/>
  </cellStyles>
  <dxfs count="6"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FG%20Empreendimentos\2025.11%20-%20Senna%20Tower\04.%20Custo\04.2%20Custo%20-%20Preliminar\02%20-%20Elabora&#231;&#227;o\CTN-FGE_SEN%20-%20Or&#231;amento%20Executivo_R00.xlsx" TargetMode="External"/><Relationship Id="rId2" Type="http://schemas.microsoft.com/office/2019/04/relationships/externalLinkLongPath" Target="CTN-FGE_SEN%20-%20Or&#231;amento%20Executivo_R00.xlsx?7A9954AD" TargetMode="External"/><Relationship Id="rId1" Type="http://schemas.openxmlformats.org/officeDocument/2006/relationships/externalLinkPath" Target="file:///\\7A9954AD\CTN-FGE_SEN%20-%20Or&#231;amento%20Executiv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"/>
      <sheetName val="DIF PARAMETRICO"/>
      <sheetName val="EAP Análise"/>
      <sheetName val="PROJETOS"/>
      <sheetName val="EPC FG"/>
      <sheetName val="MO EPC FG"/>
      <sheetName val="Ger_Tec e Adm"/>
      <sheetName val="Ger_Executivo"/>
      <sheetName val="EPCs"/>
      <sheetName val="CANTEIRO"/>
      <sheetName val="BASES"/>
      <sheetName val="CPU"/>
      <sheetName val="Insumos"/>
      <sheetName val="Ensaios"/>
      <sheetName val="Estacas"/>
      <sheetName val="Fund. Rasa | Contenção"/>
      <sheetName val="RESUMO CUSTOS ESTACAS "/>
      <sheetName val="ESTRUTURA FG"/>
      <sheetName val="BLOCO A"/>
      <sheetName val="Estrutura"/>
      <sheetName val="Resumo Estrutura"/>
      <sheetName val="Drywall"/>
      <sheetName val="Equipamentos Especiais"/>
      <sheetName val="ARQUITETURA"/>
      <sheetName val="LOUÇAS E METAIS"/>
      <sheetName val="ESQUADRIAS"/>
      <sheetName val="Exautão e Climatiz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0">
          <cell r="L90">
            <v>2905</v>
          </cell>
        </row>
        <row r="91">
          <cell r="L91">
            <v>5235</v>
          </cell>
        </row>
        <row r="96">
          <cell r="N96">
            <v>180000</v>
          </cell>
        </row>
        <row r="97">
          <cell r="N97">
            <v>325000</v>
          </cell>
        </row>
        <row r="98">
          <cell r="N98">
            <v>624000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7B9F-0F46-49AB-8C5A-086C34C5038C}">
  <dimension ref="C3:F21"/>
  <sheetViews>
    <sheetView tabSelected="1" topLeftCell="A4" workbookViewId="0">
      <selection activeCell="D19" sqref="D19"/>
    </sheetView>
  </sheetViews>
  <sheetFormatPr defaultRowHeight="15" x14ac:dyDescent="0.25"/>
  <cols>
    <col min="3" max="3" width="38" customWidth="1"/>
    <col min="4" max="4" width="15.85546875" bestFit="1" customWidth="1"/>
    <col min="5" max="5" width="14.42578125" customWidth="1"/>
    <col min="6" max="6" width="11" bestFit="1" customWidth="1"/>
  </cols>
  <sheetData>
    <row r="3" spans="3:6" x14ac:dyDescent="0.25">
      <c r="C3" t="s">
        <v>0</v>
      </c>
      <c r="D3">
        <v>991.19999999999993</v>
      </c>
    </row>
    <row r="4" spans="3:6" x14ac:dyDescent="0.25">
      <c r="C4" t="s">
        <v>4</v>
      </c>
      <c r="D4" s="2">
        <f>SUM(D5:D7)</f>
        <v>2052727.2472950041</v>
      </c>
    </row>
    <row r="5" spans="3:6" x14ac:dyDescent="0.25">
      <c r="C5" t="s">
        <v>1</v>
      </c>
      <c r="D5" s="1">
        <v>185000</v>
      </c>
    </row>
    <row r="6" spans="3:6" x14ac:dyDescent="0.25">
      <c r="C6" t="s">
        <v>2</v>
      </c>
      <c r="D6" s="1">
        <v>1523020.1472</v>
      </c>
    </row>
    <row r="7" spans="3:6" x14ac:dyDescent="0.25">
      <c r="C7" t="s">
        <v>3</v>
      </c>
      <c r="D7" s="1">
        <v>344707.10009500408</v>
      </c>
    </row>
    <row r="9" spans="3:6" x14ac:dyDescent="0.25">
      <c r="C9" t="s">
        <v>5</v>
      </c>
    </row>
    <row r="10" spans="3:6" x14ac:dyDescent="0.25">
      <c r="C10" t="s">
        <v>6</v>
      </c>
      <c r="D10" s="3">
        <v>1</v>
      </c>
      <c r="E10" s="1">
        <v>65000</v>
      </c>
      <c r="F10">
        <f>E10*D10</f>
        <v>65000</v>
      </c>
    </row>
    <row r="11" spans="3:6" x14ac:dyDescent="0.25">
      <c r="C11" t="s">
        <v>7</v>
      </c>
      <c r="D11">
        <f>D3</f>
        <v>991.19999999999993</v>
      </c>
      <c r="E11">
        <v>344.31</v>
      </c>
      <c r="F11">
        <f>E11*D11</f>
        <v>341280.07199999999</v>
      </c>
    </row>
    <row r="12" spans="3:6" x14ac:dyDescent="0.25">
      <c r="C12" t="s">
        <v>8</v>
      </c>
      <c r="D12">
        <f>D11*0.4</f>
        <v>396.48</v>
      </c>
      <c r="E12">
        <v>50</v>
      </c>
      <c r="F12">
        <f t="shared" ref="F12" si="0">E12*D12</f>
        <v>19824</v>
      </c>
    </row>
    <row r="13" spans="3:6" x14ac:dyDescent="0.25">
      <c r="C13" t="s">
        <v>16</v>
      </c>
      <c r="D13">
        <f>1.4*59</f>
        <v>82.6</v>
      </c>
      <c r="E13">
        <v>250</v>
      </c>
      <c r="F13">
        <f>E13*E14</f>
        <v>5528.2555282555277</v>
      </c>
    </row>
    <row r="14" spans="3:6" x14ac:dyDescent="0.25">
      <c r="C14" t="s">
        <v>9</v>
      </c>
      <c r="D14">
        <f>D3</f>
        <v>991.19999999999993</v>
      </c>
      <c r="E14">
        <f>[1]Ger_Executivo!$N$96/([1]Ger_Executivo!$L$90+[1]Ger_Executivo!$L$91)</f>
        <v>22.113022113022112</v>
      </c>
      <c r="F14" t="e">
        <f>#REF!*D15</f>
        <v>#REF!</v>
      </c>
    </row>
    <row r="15" spans="3:6" x14ac:dyDescent="0.25">
      <c r="C15" t="s">
        <v>10</v>
      </c>
      <c r="D15">
        <f>D3</f>
        <v>991.19999999999993</v>
      </c>
      <c r="E15">
        <f>[1]Ger_Executivo!$N$97/([1]Ger_Executivo!$L$90+[1]Ger_Executivo!$L$91)</f>
        <v>39.926289926289925</v>
      </c>
      <c r="F15">
        <f>E15*D16</f>
        <v>39574.938574938569</v>
      </c>
    </row>
    <row r="16" spans="3:6" x14ac:dyDescent="0.25">
      <c r="C16" t="s">
        <v>11</v>
      </c>
      <c r="D16">
        <f>D3</f>
        <v>991.19999999999993</v>
      </c>
      <c r="E16">
        <f>[1]Ger_Executivo!$N$98/([1]Ger_Executivo!$L$90+[1]Ger_Executivo!$L$91)</f>
        <v>76.658476658476658</v>
      </c>
      <c r="F16">
        <f>E16*D17</f>
        <v>357757.44471744471</v>
      </c>
    </row>
    <row r="17" spans="3:6" x14ac:dyDescent="0.25">
      <c r="C17" t="s">
        <v>17</v>
      </c>
      <c r="D17">
        <f>D13*56.5</f>
        <v>4666.8999999999996</v>
      </c>
      <c r="E17">
        <v>7.9</v>
      </c>
      <c r="F17">
        <f>E17*D19</f>
        <v>1128.8942</v>
      </c>
    </row>
    <row r="18" spans="3:6" x14ac:dyDescent="0.25">
      <c r="C18" t="s">
        <v>12</v>
      </c>
      <c r="D18">
        <f>142*D20</f>
        <v>56300.160000000003</v>
      </c>
      <c r="E18">
        <v>7.9</v>
      </c>
    </row>
    <row r="19" spans="3:6" x14ac:dyDescent="0.25">
      <c r="C19" t="s">
        <v>13</v>
      </c>
      <c r="D19">
        <f>1.73*D13</f>
        <v>142.898</v>
      </c>
      <c r="E19">
        <v>603.72</v>
      </c>
      <c r="F19">
        <f>E19*D20</f>
        <v>239362.90560000003</v>
      </c>
    </row>
    <row r="20" spans="3:6" x14ac:dyDescent="0.25">
      <c r="C20" t="s">
        <v>14</v>
      </c>
      <c r="D20">
        <f>D3*0.4</f>
        <v>396.48</v>
      </c>
      <c r="E20">
        <v>650</v>
      </c>
      <c r="F20">
        <f>E20*D21</f>
        <v>0</v>
      </c>
    </row>
    <row r="21" spans="3:6" x14ac:dyDescent="0.25">
      <c r="C2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dcterms:created xsi:type="dcterms:W3CDTF">2025-12-16T14:46:19Z</dcterms:created>
  <dcterms:modified xsi:type="dcterms:W3CDTF">2025-12-16T14:53:25Z</dcterms:modified>
</cp:coreProperties>
</file>