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2"/>
  <workbookPr/>
  <mc:AlternateContent xmlns:mc="http://schemas.openxmlformats.org/markup-compatibility/2006">
    <mc:Choice Requires="x15">
      <x15ac:absPath xmlns:x15ac="http://schemas.microsoft.com/office/spreadsheetml/2010/11/ac" url="U:\Projetos SuperTall - Restrito\2. SENNA TOWER\05. FORNECEDORES\02. ESTRUTURA\OPTIMA - Embasamento\03. Recebidos\2025-10-01 Estimativa de consumos Bloco A\"/>
    </mc:Choice>
  </mc:AlternateContent>
  <xr:revisionPtr revIDLastSave="6" documentId="8_{10B72288-535D-4B1F-BA51-CABA5E60F150}" xr6:coauthVersionLast="47" xr6:coauthVersionMax="47" xr10:uidLastSave="{3184F05D-4589-44E4-9B59-566A3E6227BD}"/>
  <bookViews>
    <workbookView xWindow="-120" yWindow="-120" windowWidth="51840" windowHeight="21120" xr2:uid="{37FC674A-59C8-44F5-87C1-6A532900BAA5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1" i="1" l="1"/>
  <c r="D10" i="1"/>
  <c r="D9" i="1"/>
  <c r="D8" i="1"/>
  <c r="D5" i="1"/>
  <c r="D4" i="1"/>
  <c r="B17" i="1"/>
  <c r="B15" i="1"/>
  <c r="C13" i="1"/>
  <c r="E13" i="1"/>
  <c r="F13" i="1"/>
  <c r="G13" i="1"/>
  <c r="H13" i="1"/>
  <c r="B13" i="1"/>
  <c r="G5" i="1"/>
  <c r="G6" i="1"/>
  <c r="G7" i="1"/>
  <c r="G8" i="1"/>
  <c r="G9" i="1"/>
  <c r="G10" i="1"/>
  <c r="G11" i="1"/>
  <c r="G4" i="1"/>
  <c r="D6" i="1"/>
  <c r="D7" i="1"/>
  <c r="H11" i="1"/>
  <c r="F11" i="1"/>
  <c r="H10" i="1"/>
  <c r="F10" i="1"/>
  <c r="H9" i="1"/>
  <c r="F9" i="1"/>
  <c r="H8" i="1"/>
  <c r="F8" i="1"/>
  <c r="H7" i="1"/>
  <c r="F7" i="1"/>
  <c r="H6" i="1"/>
  <c r="F6" i="1"/>
  <c r="H5" i="1"/>
  <c r="F5" i="1"/>
  <c r="H4" i="1"/>
  <c r="F4" i="1"/>
  <c r="D13" i="1" l="1"/>
  <c r="B16" i="1" s="1"/>
</calcChain>
</file>

<file path=xl/sharedStrings.xml><?xml version="1.0" encoding="utf-8"?>
<sst xmlns="http://schemas.openxmlformats.org/spreadsheetml/2006/main" count="23" uniqueCount="20">
  <si>
    <t>Senna Tower - Bloco A - Qtt Preliminar - Concreto Armado - Lajes h=22 cm</t>
  </si>
  <si>
    <t>Pavimento</t>
  </si>
  <si>
    <t>Área Est.</t>
  </si>
  <si>
    <t>Pilares</t>
  </si>
  <si>
    <t>Lajes/Vigas</t>
  </si>
  <si>
    <t>C40</t>
  </si>
  <si>
    <t>Aço CA50</t>
  </si>
  <si>
    <t>Fôrmas</t>
  </si>
  <si>
    <t>Térreo</t>
  </si>
  <si>
    <t>2º Pav</t>
  </si>
  <si>
    <t>3º Pav</t>
  </si>
  <si>
    <t>Cob. 3º Pav</t>
  </si>
  <si>
    <t>4º Pav</t>
  </si>
  <si>
    <t>Cob. 4º Pav</t>
  </si>
  <si>
    <t>5º Pav</t>
  </si>
  <si>
    <t>Coroa</t>
  </si>
  <si>
    <t>TOTAL</t>
  </si>
  <si>
    <t>Total C40</t>
  </si>
  <si>
    <t>Total Aço</t>
  </si>
  <si>
    <t>Total Formas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</si>
</sst>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&quot; m²&quot;"/>
    <numFmt numFmtId="165" formatCode="#,##0&quot; m³&quot;"/>
    <numFmt numFmtId="166" formatCode="#,##0&quot; kg&quot;"/>
  </numFmts>
  <fonts count="2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</fills>
  <borders count="7">
    <border>
      <left/>
      <right/>
      <top/>
      <bottom/>
      <diagonal/>
    </border>
    <border>
      <left style="thin">
        <color theme="3" tint="0.499984740745262"/>
      </left>
      <right/>
      <top style="thin">
        <color theme="3" tint="0.499984740745262"/>
      </top>
      <bottom style="thin">
        <color theme="3" tint="0.499984740745262"/>
      </bottom>
      <diagonal/>
    </border>
    <border>
      <left/>
      <right/>
      <top style="thin">
        <color theme="3" tint="0.499984740745262"/>
      </top>
      <bottom style="thin">
        <color theme="3" tint="0.499984740745262"/>
      </bottom>
      <diagonal/>
    </border>
    <border>
      <left/>
      <right style="thin">
        <color theme="3" tint="0.499984740745262"/>
      </right>
      <top style="thin">
        <color theme="3" tint="0.499984740745262"/>
      </top>
      <bottom style="thin">
        <color theme="3" tint="0.499984740745262"/>
      </bottom>
      <diagonal/>
    </border>
    <border>
      <left style="thin">
        <color theme="3" tint="0.499984740745262"/>
      </left>
      <right style="thin">
        <color theme="3" tint="0.499984740745262"/>
      </right>
      <top style="thin">
        <color theme="3" tint="0.499984740745262"/>
      </top>
      <bottom style="thin">
        <color theme="3" tint="0.499984740745262"/>
      </bottom>
      <diagonal/>
    </border>
    <border>
      <left style="thin">
        <color theme="3" tint="0.499984740745262"/>
      </left>
      <right style="thin">
        <color theme="3" tint="0.499984740745262"/>
      </right>
      <top style="thin">
        <color theme="3" tint="0.499984740745262"/>
      </top>
      <bottom/>
      <diagonal/>
    </border>
    <border>
      <left style="thin">
        <color theme="3" tint="0.499984740745262"/>
      </left>
      <right style="thin">
        <color theme="3" tint="0.499984740745262"/>
      </right>
      <top/>
      <bottom style="thin">
        <color theme="3" tint="0.499984740745262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4" xfId="0" applyBorder="1"/>
    <xf numFmtId="164" fontId="0" fillId="0" borderId="4" xfId="0" applyNumberFormat="1" applyBorder="1"/>
    <xf numFmtId="165" fontId="0" fillId="0" borderId="4" xfId="0" applyNumberFormat="1" applyBorder="1"/>
    <xf numFmtId="166" fontId="0" fillId="0" borderId="4" xfId="0" applyNumberFormat="1" applyBorder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0" fillId="2" borderId="4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4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BDCA8-8306-4872-8496-78B5C1E295F8}">
  <dimension ref="A1:K17"/>
  <sheetViews>
    <sheetView tabSelected="1" zoomScale="115" zoomScaleNormal="115" workbookViewId="0">
      <selection activeCell="O6" sqref="O6"/>
    </sheetView>
  </sheetViews>
  <sheetFormatPr defaultRowHeight="15"/>
  <cols>
    <col min="1" max="1" width="11.28515625" bestFit="1" customWidth="1"/>
    <col min="2" max="2" width="10.28515625" customWidth="1"/>
    <col min="3" max="3" width="9.85546875" customWidth="1"/>
    <col min="4" max="4" width="8.5703125" bestFit="1" customWidth="1"/>
    <col min="5" max="5" width="9" customWidth="1"/>
    <col min="6" max="6" width="7.85546875" bestFit="1" customWidth="1"/>
    <col min="7" max="7" width="9.5703125" bestFit="1" customWidth="1"/>
    <col min="8" max="8" width="10.85546875" customWidth="1"/>
  </cols>
  <sheetData>
    <row r="1" spans="1:11">
      <c r="A1" s="9" t="s">
        <v>0</v>
      </c>
      <c r="B1" s="10"/>
      <c r="C1" s="10"/>
      <c r="D1" s="10"/>
      <c r="E1" s="10"/>
      <c r="F1" s="10"/>
      <c r="G1" s="10"/>
      <c r="H1" s="11"/>
    </row>
    <row r="2" spans="1:11">
      <c r="A2" s="12" t="s">
        <v>1</v>
      </c>
      <c r="B2" s="13" t="s">
        <v>2</v>
      </c>
      <c r="C2" s="15" t="s">
        <v>3</v>
      </c>
      <c r="D2" s="15"/>
      <c r="E2" s="15"/>
      <c r="F2" s="15" t="s">
        <v>4</v>
      </c>
      <c r="G2" s="15"/>
      <c r="H2" s="15"/>
    </row>
    <row r="3" spans="1:11">
      <c r="A3" s="12"/>
      <c r="B3" s="14"/>
      <c r="C3" s="8" t="s">
        <v>5</v>
      </c>
      <c r="D3" s="8" t="s">
        <v>6</v>
      </c>
      <c r="E3" s="8" t="s">
        <v>7</v>
      </c>
      <c r="F3" s="8" t="s">
        <v>5</v>
      </c>
      <c r="G3" s="8" t="s">
        <v>6</v>
      </c>
      <c r="H3" s="8" t="s">
        <v>7</v>
      </c>
      <c r="J3" s="8"/>
      <c r="K3" s="8"/>
    </row>
    <row r="4" spans="1:11">
      <c r="A4" s="1" t="s">
        <v>8</v>
      </c>
      <c r="B4" s="2">
        <v>193</v>
      </c>
      <c r="C4" s="3">
        <v>1</v>
      </c>
      <c r="D4" s="4">
        <f>100*C4</f>
        <v>100</v>
      </c>
      <c r="E4" s="2">
        <v>10</v>
      </c>
      <c r="F4" s="3">
        <f>47-C4</f>
        <v>46</v>
      </c>
      <c r="G4" s="4">
        <f>80*F4</f>
        <v>3680</v>
      </c>
      <c r="H4" s="2">
        <f>329-E4</f>
        <v>319</v>
      </c>
      <c r="J4" s="6"/>
      <c r="K4" s="7"/>
    </row>
    <row r="5" spans="1:11">
      <c r="A5" s="1" t="s">
        <v>9</v>
      </c>
      <c r="B5" s="2">
        <v>149</v>
      </c>
      <c r="C5" s="3">
        <v>11</v>
      </c>
      <c r="D5" s="4">
        <f>100*C5</f>
        <v>1100</v>
      </c>
      <c r="E5" s="2">
        <v>142</v>
      </c>
      <c r="F5" s="3">
        <f>49-C5</f>
        <v>38</v>
      </c>
      <c r="G5" s="4">
        <f t="shared" ref="G5:G11" si="0">80*F5</f>
        <v>3040</v>
      </c>
      <c r="H5" s="2">
        <f>389-E5</f>
        <v>247</v>
      </c>
      <c r="J5" s="6"/>
      <c r="K5" s="7"/>
    </row>
    <row r="6" spans="1:11">
      <c r="A6" s="1" t="s">
        <v>10</v>
      </c>
      <c r="B6" s="2">
        <v>144</v>
      </c>
      <c r="C6" s="3">
        <v>6</v>
      </c>
      <c r="D6" s="4">
        <f t="shared" ref="D6:D7" si="1">90*C6</f>
        <v>540</v>
      </c>
      <c r="E6" s="2">
        <v>79</v>
      </c>
      <c r="F6" s="3">
        <f>43-C6</f>
        <v>37</v>
      </c>
      <c r="G6" s="4">
        <f t="shared" si="0"/>
        <v>2960</v>
      </c>
      <c r="H6" s="2">
        <f>299-E6</f>
        <v>220</v>
      </c>
      <c r="J6" s="6"/>
      <c r="K6" s="7"/>
    </row>
    <row r="7" spans="1:11">
      <c r="A7" s="1" t="s">
        <v>11</v>
      </c>
      <c r="B7" s="2">
        <v>32</v>
      </c>
      <c r="C7" s="3">
        <v>6</v>
      </c>
      <c r="D7" s="4">
        <f t="shared" si="1"/>
        <v>540</v>
      </c>
      <c r="E7" s="2">
        <v>70</v>
      </c>
      <c r="F7" s="3">
        <f>16-C7</f>
        <v>10</v>
      </c>
      <c r="G7" s="4">
        <f t="shared" si="0"/>
        <v>800</v>
      </c>
      <c r="H7" s="2">
        <f>148-E7</f>
        <v>78</v>
      </c>
      <c r="J7" s="6"/>
      <c r="K7" s="7"/>
    </row>
    <row r="8" spans="1:11">
      <c r="A8" s="1" t="s">
        <v>12</v>
      </c>
      <c r="B8" s="2">
        <v>133</v>
      </c>
      <c r="C8" s="3">
        <v>1</v>
      </c>
      <c r="D8" s="4">
        <f>80*C8</f>
        <v>80</v>
      </c>
      <c r="E8" s="2">
        <v>10</v>
      </c>
      <c r="F8" s="3">
        <f>26-C8</f>
        <v>25</v>
      </c>
      <c r="G8" s="4">
        <f t="shared" si="0"/>
        <v>2000</v>
      </c>
      <c r="H8" s="2">
        <f>217-E8</f>
        <v>207</v>
      </c>
      <c r="J8" s="6"/>
      <c r="K8" s="7"/>
    </row>
    <row r="9" spans="1:11">
      <c r="A9" s="1" t="s">
        <v>13</v>
      </c>
      <c r="B9" s="2">
        <v>20</v>
      </c>
      <c r="C9" s="3">
        <v>6</v>
      </c>
      <c r="D9" s="4">
        <f>80*C9</f>
        <v>480</v>
      </c>
      <c r="E9" s="2">
        <v>73</v>
      </c>
      <c r="F9" s="3">
        <f>11-C9</f>
        <v>5</v>
      </c>
      <c r="G9" s="4">
        <f t="shared" si="0"/>
        <v>400</v>
      </c>
      <c r="H9" s="2">
        <f>111-E9</f>
        <v>38</v>
      </c>
      <c r="J9" s="6"/>
      <c r="K9" s="7"/>
    </row>
    <row r="10" spans="1:11">
      <c r="A10" s="1" t="s">
        <v>14</v>
      </c>
      <c r="B10" s="2">
        <v>137</v>
      </c>
      <c r="C10" s="3">
        <v>1</v>
      </c>
      <c r="D10" s="4">
        <f>80*C10</f>
        <v>80</v>
      </c>
      <c r="E10" s="2">
        <v>11</v>
      </c>
      <c r="F10" s="3">
        <f>36-C10</f>
        <v>35</v>
      </c>
      <c r="G10" s="4">
        <f t="shared" si="0"/>
        <v>2800</v>
      </c>
      <c r="H10" s="2">
        <f>219-E10</f>
        <v>208</v>
      </c>
      <c r="J10" s="6"/>
      <c r="K10" s="7"/>
    </row>
    <row r="11" spans="1:11">
      <c r="A11" s="1" t="s">
        <v>15</v>
      </c>
      <c r="B11" s="2">
        <v>33</v>
      </c>
      <c r="C11" s="3">
        <v>4</v>
      </c>
      <c r="D11" s="4">
        <f>80*C11</f>
        <v>320</v>
      </c>
      <c r="E11" s="2">
        <v>53</v>
      </c>
      <c r="F11" s="3">
        <f>11-C11</f>
        <v>7</v>
      </c>
      <c r="G11" s="4">
        <f t="shared" si="0"/>
        <v>560</v>
      </c>
      <c r="H11" s="2">
        <f>110-E11</f>
        <v>57</v>
      </c>
      <c r="J11" s="6"/>
      <c r="K11" s="7"/>
    </row>
    <row r="13" spans="1:11">
      <c r="A13" t="s">
        <v>16</v>
      </c>
      <c r="B13" s="2">
        <f>SUM(B4:B11)</f>
        <v>841</v>
      </c>
      <c r="C13" s="3">
        <f t="shared" ref="C13:H13" si="2">SUM(C4:C11)</f>
        <v>36</v>
      </c>
      <c r="D13" s="4">
        <f t="shared" si="2"/>
        <v>3240</v>
      </c>
      <c r="E13" s="2">
        <f t="shared" si="2"/>
        <v>448</v>
      </c>
      <c r="F13" s="3">
        <f t="shared" si="2"/>
        <v>203</v>
      </c>
      <c r="G13" s="4">
        <f t="shared" si="2"/>
        <v>16240</v>
      </c>
      <c r="H13" s="2">
        <f t="shared" si="2"/>
        <v>1374</v>
      </c>
    </row>
    <row r="15" spans="1:11">
      <c r="A15" t="s">
        <v>17</v>
      </c>
      <c r="B15" s="6">
        <f>C13+F13</f>
        <v>239</v>
      </c>
    </row>
    <row r="16" spans="1:11">
      <c r="A16" t="s">
        <v>18</v>
      </c>
      <c r="B16" s="7">
        <f>D13+G13</f>
        <v>19480</v>
      </c>
    </row>
    <row r="17" spans="1:2">
      <c r="A17" t="s">
        <v>19</v>
      </c>
      <c r="B17" s="5">
        <f>E13+H13</f>
        <v>1822</v>
      </c>
    </row>
  </sheetData>
  <mergeCells count="5">
    <mergeCell ref="A1:H1"/>
    <mergeCell ref="A2:A3"/>
    <mergeCell ref="B2:B3"/>
    <mergeCell ref="C2:E2"/>
    <mergeCell ref="F2:H2"/>
  </mergeCells>
  <phoneticPr fontId="1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Guilherme Laini</dc:creator>
  <cp:keywords/>
  <dc:description/>
  <cp:lastModifiedBy>João Penido</cp:lastModifiedBy>
  <cp:revision/>
  <dcterms:created xsi:type="dcterms:W3CDTF">2025-10-01T19:45:35Z</dcterms:created>
  <dcterms:modified xsi:type="dcterms:W3CDTF">2025-12-11T20:24:14Z</dcterms:modified>
  <cp:category/>
  <cp:contentStatus/>
</cp:coreProperties>
</file>