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EA – Gestão Equipe\Documentos\13.Executivos\SENNA TOWER\Projetos\Estudo cremalheira e grua\"/>
    </mc:Choice>
  </mc:AlternateContent>
  <bookViews>
    <workbookView xWindow="0" yWindow="0" windowWidth="23040" windowHeight="8964"/>
  </bookViews>
  <sheets>
    <sheet name="RESUMO POTÊNCIAS" sheetId="3" r:id="rId1"/>
    <sheet name="gruas" sheetId="1" r:id="rId2"/>
    <sheet name="elevaores" sheetId="2" r:id="rId3"/>
    <sheet name="lnaçador concreto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6" i="2" l="1"/>
  <c r="C32" i="2" l="1"/>
  <c r="C66" i="2" l="1"/>
</calcChain>
</file>

<file path=xl/sharedStrings.xml><?xml version="1.0" encoding="utf-8"?>
<sst xmlns="http://schemas.openxmlformats.org/spreadsheetml/2006/main" count="395" uniqueCount="161">
  <si>
    <t>Modelo Grua</t>
  </si>
  <si>
    <t>Tipo</t>
  </si>
  <si>
    <t>Comprimento máximo da lança</t>
  </si>
  <si>
    <t>Capacidade de carga máxima na ponta</t>
  </si>
  <si>
    <t>Capacidade de carga máxima com 2 cabos</t>
  </si>
  <si>
    <t>Capacidade de carga máxima com 1 cabo</t>
  </si>
  <si>
    <t>Tipo de torre</t>
  </si>
  <si>
    <t>Altura da torre</t>
  </si>
  <si>
    <t>Altura final de içamento</t>
  </si>
  <si>
    <t>Tamanho da bobina de cabo de içamento</t>
  </si>
  <si>
    <t>Cabo extra para inicío da obra</t>
  </si>
  <si>
    <t>Cabo de energia (condutor elétrico)</t>
  </si>
  <si>
    <t>Potência total</t>
  </si>
  <si>
    <t>Quadros ascensores e vigas de apoio</t>
  </si>
  <si>
    <t>Chumbadores</t>
  </si>
  <si>
    <t>Contrapesos</t>
  </si>
  <si>
    <t>Cabine do operador</t>
  </si>
  <si>
    <t>Velocidade máxima de içamento</t>
  </si>
  <si>
    <t>Acabamento</t>
  </si>
  <si>
    <t>D5023-8 Luffing Jib</t>
  </si>
  <si>
    <t>Ascensional interno ou externo</t>
  </si>
  <si>
    <t>50m</t>
  </si>
  <si>
    <t>2,3 t</t>
  </si>
  <si>
    <t>8 t</t>
  </si>
  <si>
    <t>4 t</t>
  </si>
  <si>
    <t>2x2m (L65B2)</t>
  </si>
  <si>
    <t>38,3m</t>
  </si>
  <si>
    <t>550m</t>
  </si>
  <si>
    <t>1300m</t>
  </si>
  <si>
    <t>600m</t>
  </si>
  <si>
    <t>230m</t>
  </si>
  <si>
    <t>120KW (380V 50hz)</t>
  </si>
  <si>
    <t>Inclusos (3conjuntos)</t>
  </si>
  <si>
    <t xml:space="preserve">Inclusos </t>
  </si>
  <si>
    <t>Exclusos (incluso projeto)</t>
  </si>
  <si>
    <t>Incluso, climatizada</t>
  </si>
  <si>
    <t>80m/min</t>
  </si>
  <si>
    <t>Pintura na cor do cliente</t>
  </si>
  <si>
    <t>CIF Grua (sem estrutura externa de apoio)</t>
  </si>
  <si>
    <t>Quant. Cotainers</t>
  </si>
  <si>
    <t>Total FOB</t>
  </si>
  <si>
    <t>Porto</t>
  </si>
  <si>
    <t>$                                             168.560,00</t>
  </si>
  <si>
    <t>SHEKOU / CHINA</t>
  </si>
  <si>
    <t>Dolar estimado</t>
  </si>
  <si>
    <t>Valor Estimado nacionalizado (importação por encomenda)</t>
  </si>
  <si>
    <t>Assessoria de importação, responsabilidade técnica,
viagens de certificação e liberação, amostras de 
componentes para liberação da segurança, montagem,
instalação, documentação e treinamentos</t>
  </si>
  <si>
    <r>
      <t xml:space="preserve">Total geral estimado da grua </t>
    </r>
    <r>
      <rPr>
        <b/>
        <u/>
        <sz val="9"/>
        <color rgb="FFFF0000"/>
        <rFont val="Arial"/>
        <family val="2"/>
      </rPr>
      <t>sem suporte</t>
    </r>
  </si>
  <si>
    <r>
      <rPr>
        <b/>
        <sz val="9"/>
        <color rgb="FFFF0000"/>
        <rFont val="Arial"/>
        <family val="2"/>
      </rPr>
      <t>7*40"HQ"</t>
    </r>
    <r>
      <rPr>
        <sz val="9"/>
        <color theme="1"/>
        <rFont val="Arial"/>
        <family val="2"/>
      </rPr>
      <t xml:space="preserve"> (~7*U$3.000,00 05/03/25)</t>
    </r>
  </si>
  <si>
    <r>
      <t xml:space="preserve">$                                         </t>
    </r>
    <r>
      <rPr>
        <b/>
        <sz val="9"/>
        <color rgb="FFFF0000"/>
        <rFont val="Arial"/>
        <family val="2"/>
      </rPr>
      <t xml:space="preserve">    147.000,00</t>
    </r>
  </si>
  <si>
    <t>ESTRUTURA METÁLICA EXTERNA PARA ASCENSÃO</t>
  </si>
  <si>
    <t>Incluso- 3 suportes especiais</t>
  </si>
  <si>
    <r>
      <rPr>
        <b/>
        <sz val="9"/>
        <color rgb="FFFF0000"/>
        <rFont val="Arial"/>
        <family val="2"/>
      </rPr>
      <t>8*40"HQ"</t>
    </r>
    <r>
      <rPr>
        <sz val="9"/>
        <color theme="1"/>
        <rFont val="Arial"/>
        <family val="2"/>
      </rPr>
      <t xml:space="preserve"> (~7*U$3.000,00 05/03/25)</t>
    </r>
  </si>
  <si>
    <t>CIF ESTRUTURA METÁLICA EXTERNA PARA ASCENSÃO</t>
  </si>
  <si>
    <r>
      <t xml:space="preserve">$                                         </t>
    </r>
    <r>
      <rPr>
        <b/>
        <sz val="9"/>
        <color rgb="FFFF0000"/>
        <rFont val="Arial"/>
        <family val="2"/>
      </rPr>
      <t xml:space="preserve">      77.000,00</t>
    </r>
  </si>
  <si>
    <t>$                                             248.640,00</t>
  </si>
  <si>
    <t>Etapa 01</t>
  </si>
  <si>
    <t>1 conj. de elevador cremalheira cab.dupla higt speed com 169,5m de altura SC 270/270</t>
  </si>
  <si>
    <t>Modelo</t>
  </si>
  <si>
    <t>Capacidade de carga</t>
  </si>
  <si>
    <t>Velociade nominal</t>
  </si>
  <si>
    <t>Tamanho cabines</t>
  </si>
  <si>
    <t>Inversor</t>
  </si>
  <si>
    <t>Motores / Redutores</t>
  </si>
  <si>
    <t xml:space="preserve">Freio de emergência </t>
  </si>
  <si>
    <t>Altura total</t>
  </si>
  <si>
    <t xml:space="preserve">Condutor elétrico </t>
  </si>
  <si>
    <t>Potência</t>
  </si>
  <si>
    <t>Tensão</t>
  </si>
  <si>
    <t>SC 270/270 cabine dupla (GEDA modelo EUA)</t>
  </si>
  <si>
    <t>2700 Kg por cabine</t>
  </si>
  <si>
    <t>96m/min</t>
  </si>
  <si>
    <t>4m de comp.,1,5m de largura, 2,5m de altura</t>
  </si>
  <si>
    <t>Siemens 2*132KW</t>
  </si>
  <si>
    <t>SEW 2*3*22KW</t>
  </si>
  <si>
    <t>SAJ70-2.0</t>
  </si>
  <si>
    <t>169,5m de torre com módulos de 10mm (113 pçs)</t>
  </si>
  <si>
    <t>Barramento de 60mm² (169,5m)</t>
  </si>
  <si>
    <t>250KVA por conjunto</t>
  </si>
  <si>
    <t>380V - Trifásico - 60HZ</t>
  </si>
  <si>
    <t>CIF Elevador SC270/270 Etapa 1</t>
  </si>
  <si>
    <t>CIF Peças de reposição</t>
  </si>
  <si>
    <t>CIF Cancelas e chamadores (90*U$465)</t>
  </si>
  <si>
    <t>Total CIF</t>
  </si>
  <si>
    <t>Quant. Conatiners</t>
  </si>
  <si>
    <r>
      <t xml:space="preserve">$                                         </t>
    </r>
    <r>
      <rPr>
        <b/>
        <sz val="9"/>
        <color rgb="FFFF0000"/>
        <rFont val="Arial"/>
        <family val="2"/>
      </rPr>
      <t xml:space="preserve">                                          147.000,00</t>
    </r>
  </si>
  <si>
    <r>
      <t xml:space="preserve">$                                         </t>
    </r>
    <r>
      <rPr>
        <b/>
        <sz val="9"/>
        <color rgb="FFFF0000"/>
        <rFont val="Arial"/>
        <family val="2"/>
      </rPr>
      <t xml:space="preserve">                                            24.000,00</t>
    </r>
  </si>
  <si>
    <t>3*40"HQ (~3*U$3.000,00 05/03/2025)</t>
  </si>
  <si>
    <t xml:space="preserve">TIANJIN / CHINA </t>
  </si>
  <si>
    <t>$                                                                                     41.850,00</t>
  </si>
  <si>
    <r>
      <t xml:space="preserve">$                                         </t>
    </r>
    <r>
      <rPr>
        <b/>
        <sz val="9"/>
        <color theme="1"/>
        <rFont val="Arial"/>
        <family val="2"/>
      </rPr>
      <t xml:space="preserve">                                          212.850,00</t>
    </r>
  </si>
  <si>
    <r>
      <t xml:space="preserve">$                                         </t>
    </r>
    <r>
      <rPr>
        <b/>
        <sz val="9"/>
        <color theme="1"/>
        <rFont val="Arial"/>
        <family val="2"/>
      </rPr>
      <t xml:space="preserve">                                          221.850,00</t>
    </r>
  </si>
  <si>
    <t>Valor Estimado nacionalizado 
(importação por encomenda)</t>
  </si>
  <si>
    <t>Assessoria de importação, responsabilidade técnica, viagens de certificação e liberação, amostras de componentes para liberação da segurança, montagem, instalação, documentação e treinamentos</t>
  </si>
  <si>
    <t>Total geral estimado (ETAPA 1)</t>
  </si>
  <si>
    <t>Etapa 02</t>
  </si>
  <si>
    <t>CIF Elevador SC270/270 Etapa 2</t>
  </si>
  <si>
    <t>Etapa 03</t>
  </si>
  <si>
    <r>
      <t xml:space="preserve">Torres, barramentos e cancelas para 2 conjuntos de elevadores SC270/270 de </t>
    </r>
    <r>
      <rPr>
        <b/>
        <sz val="11"/>
        <color rgb="FFFF0000"/>
        <rFont val="Calibri"/>
        <family val="2"/>
        <scheme val="minor"/>
      </rPr>
      <t>pav. 45</t>
    </r>
    <r>
      <rPr>
        <sz val="11"/>
        <color theme="1"/>
        <rFont val="Calibri"/>
        <family val="2"/>
        <scheme val="minor"/>
      </rPr>
      <t xml:space="preserve"> até </t>
    </r>
    <r>
      <rPr>
        <b/>
        <sz val="11"/>
        <color rgb="FFFF0000"/>
        <rFont val="Calibri"/>
        <family val="2"/>
        <scheme val="minor"/>
      </rPr>
      <t>pav. 151</t>
    </r>
  </si>
  <si>
    <t>Módulos da torre de 10mm</t>
  </si>
  <si>
    <t>Módulos da torre de 8mm</t>
  </si>
  <si>
    <t>Módulos da torre de 6mm</t>
  </si>
  <si>
    <t>Módulos da torre de 4,3mm</t>
  </si>
  <si>
    <t>Gravatas de estaiamento</t>
  </si>
  <si>
    <t>Barramento blindado 60mm²</t>
  </si>
  <si>
    <t>Cancelas e chamadores</t>
  </si>
  <si>
    <t>Todos já entregue nas etapas 1 e 2</t>
  </si>
  <si>
    <t>80*2 = 160pçs</t>
  </si>
  <si>
    <t>93*2 = 186pçs</t>
  </si>
  <si>
    <t>48*2 = 96pçs</t>
  </si>
  <si>
    <t>Saldo (340,5*2) = 681 m</t>
  </si>
  <si>
    <t>106*2=212</t>
  </si>
  <si>
    <t>CIF Etapa 3</t>
  </si>
  <si>
    <r>
      <t xml:space="preserve">$                                         </t>
    </r>
    <r>
      <rPr>
        <b/>
        <sz val="9"/>
        <color rgb="FFFF0000"/>
        <rFont val="Arial"/>
        <family val="2"/>
      </rPr>
      <t xml:space="preserve">                                          182.000,00</t>
    </r>
  </si>
  <si>
    <r>
      <t xml:space="preserve">$                                         </t>
    </r>
    <r>
      <rPr>
        <b/>
        <sz val="9"/>
        <color rgb="FFFF0000"/>
        <rFont val="Arial"/>
        <family val="2"/>
      </rPr>
      <t xml:space="preserve">                                            98.580,00</t>
    </r>
  </si>
  <si>
    <r>
      <t xml:space="preserve">$                                         </t>
    </r>
    <r>
      <rPr>
        <b/>
        <sz val="9"/>
        <color theme="1"/>
        <rFont val="Arial"/>
        <family val="2"/>
      </rPr>
      <t xml:space="preserve">                                          280.580,00</t>
    </r>
  </si>
  <si>
    <t>9*40"HQ (~9*U$3.000,00 05/03/2025)</t>
  </si>
  <si>
    <r>
      <t xml:space="preserve">$                                         </t>
    </r>
    <r>
      <rPr>
        <b/>
        <sz val="9"/>
        <color theme="1"/>
        <rFont val="Arial"/>
        <family val="2"/>
      </rPr>
      <t xml:space="preserve">                                         308.300,00</t>
    </r>
  </si>
  <si>
    <t>Qtd</t>
  </si>
  <si>
    <t>-</t>
  </si>
  <si>
    <t>GRUAS</t>
  </si>
  <si>
    <t>Total</t>
  </si>
  <si>
    <r>
      <t xml:space="preserve">Total geral estimado da grua </t>
    </r>
    <r>
      <rPr>
        <b/>
        <u/>
        <sz val="9"/>
        <color rgb="FFFF0000"/>
        <rFont val="Arial"/>
        <family val="2"/>
      </rPr>
      <t>com suporte</t>
    </r>
  </si>
  <si>
    <t>120KW (380V 50hz) * 3</t>
  </si>
  <si>
    <t>Etapa 01 / 02 / 03</t>
  </si>
  <si>
    <t>(Siemens 2*132KW)*3</t>
  </si>
  <si>
    <t>380V - Trifásico - 60HZ *2</t>
  </si>
  <si>
    <t>250KVA por conjunto *2</t>
  </si>
  <si>
    <t>Total geral estimado (ETAPA 3)</t>
  </si>
  <si>
    <t>ELEVADORES</t>
  </si>
  <si>
    <t xml:space="preserve">TRUEMAX CONCRETE PLACING BOOM
</t>
  </si>
  <si>
    <t xml:space="preserve">Braço de lançar Concreto </t>
  </si>
  <si>
    <t>TRUEMAX CONCRETE PLACING BOOM PB28A-3R-II</t>
  </si>
  <si>
    <t xml:space="preserve">Tipo </t>
  </si>
  <si>
    <t xml:space="preserve">Tipo de Coluna e Escalada  </t>
  </si>
  <si>
    <t>Coluna</t>
  </si>
  <si>
    <t xml:space="preserve">Coluna reforçada de 2*9,4m  </t>
  </si>
  <si>
    <t>Tipo de Braço</t>
  </si>
  <si>
    <t xml:space="preserve">3 seções; Braço tipo R dobrável </t>
  </si>
  <si>
    <t>Raio máximo de colocação</t>
  </si>
  <si>
    <t xml:space="preserve">27,7m  </t>
  </si>
  <si>
    <t>Operação</t>
  </si>
  <si>
    <t xml:space="preserve">Por cabo e controle remoto sem fio  </t>
  </si>
  <si>
    <t>Tipo de Escalada</t>
  </si>
  <si>
    <t xml:space="preserve">Escalada com estrutura de andar  </t>
  </si>
  <si>
    <t xml:space="preserve">11kw /440V / 60Hz / 3P  </t>
  </si>
  <si>
    <t xml:space="preserve"> Mangueira de entrega</t>
  </si>
  <si>
    <t xml:space="preserve">3m  </t>
  </si>
  <si>
    <t>Contrapeso</t>
  </si>
  <si>
    <t xml:space="preserve">Sem contrapeso; Subestrutura + fundação: Sem  </t>
  </si>
  <si>
    <t>Container</t>
  </si>
  <si>
    <t>2*40HQ/unidade</t>
  </si>
  <si>
    <r>
      <t xml:space="preserve">$                                         </t>
    </r>
    <r>
      <rPr>
        <b/>
        <sz val="9"/>
        <color theme="1"/>
        <rFont val="Arial"/>
        <family val="2"/>
      </rPr>
      <t xml:space="preserve">                                            65.500,00</t>
    </r>
  </si>
  <si>
    <t>SHANGHAI</t>
  </si>
  <si>
    <t xml:space="preserve">Total geral estimado </t>
  </si>
  <si>
    <t>Data de mobilização</t>
  </si>
  <si>
    <t>MOBILIZAÇÃO 1° CREMALHEIRA</t>
  </si>
  <si>
    <t>MOBILIZAÇÃO 2° CREMALHEIRA</t>
  </si>
  <si>
    <t>MOBILIZAÇÃO 1° GRUA</t>
  </si>
  <si>
    <t>MOBILIZAÇÃO 2° GRUA</t>
  </si>
  <si>
    <t>MOBILIZAÇÃO 3° GRUA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</si>
</sst>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/>
    <xf numFmtId="44" fontId="1" fillId="2" borderId="9" xfId="0" applyNumberFormat="1" applyFont="1" applyFill="1" applyBorder="1" applyAlignment="1">
      <alignment horizontal="left"/>
    </xf>
    <xf numFmtId="0" fontId="1" fillId="2" borderId="8" xfId="0" applyFont="1" applyFill="1" applyBorder="1" applyAlignment="1">
      <alignment vertical="center"/>
    </xf>
    <xf numFmtId="44" fontId="1" fillId="2" borderId="9" xfId="0" applyNumberFormat="1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top" wrapText="1"/>
    </xf>
    <xf numFmtId="0" fontId="2" fillId="2" borderId="8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/>
    <xf numFmtId="44" fontId="5" fillId="2" borderId="9" xfId="0" applyNumberFormat="1" applyFont="1" applyFill="1" applyBorder="1" applyAlignment="1">
      <alignment horizontal="left" vertical="center"/>
    </xf>
    <xf numFmtId="0" fontId="0" fillId="3" borderId="0" xfId="0" applyFill="1"/>
    <xf numFmtId="0" fontId="2" fillId="2" borderId="5" xfId="0" applyFont="1" applyFill="1" applyBorder="1"/>
    <xf numFmtId="0" fontId="1" fillId="2" borderId="10" xfId="0" applyFont="1" applyFill="1" applyBorder="1"/>
    <xf numFmtId="0" fontId="1" fillId="2" borderId="1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4" xfId="0" applyFont="1" applyFill="1" applyBorder="1"/>
    <xf numFmtId="0" fontId="1" fillId="2" borderId="15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left" vertical="center"/>
    </xf>
    <xf numFmtId="0" fontId="0" fillId="4" borderId="0" xfId="0" applyFill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" fontId="0" fillId="0" borderId="0" xfId="0" applyNumberFormat="1"/>
    <xf numFmtId="0" fontId="4" fillId="2" borderId="18" xfId="0" applyFont="1" applyFill="1" applyBorder="1" applyAlignment="1">
      <alignment horizontal="left"/>
    </xf>
    <xf numFmtId="0" fontId="1" fillId="0" borderId="2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vertical="center"/>
    </xf>
    <xf numFmtId="14" fontId="2" fillId="6" borderId="6" xfId="0" applyNumberFormat="1" applyFont="1" applyFill="1" applyBorder="1" applyAlignment="1">
      <alignment horizontal="left" vertical="center"/>
    </xf>
    <xf numFmtId="0" fontId="9" fillId="6" borderId="5" xfId="0" applyFont="1" applyFill="1" applyBorder="1" applyAlignment="1">
      <alignment vertical="center"/>
    </xf>
    <xf numFmtId="14" fontId="9" fillId="6" borderId="6" xfId="0" applyNumberFormat="1" applyFont="1" applyFill="1" applyBorder="1" applyAlignment="1">
      <alignment horizontal="left" vertical="center"/>
    </xf>
    <xf numFmtId="0" fontId="2" fillId="6" borderId="3" xfId="0" applyFont="1" applyFill="1" applyBorder="1"/>
    <xf numFmtId="14" fontId="2" fillId="6" borderId="1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13</xdr:row>
      <xdr:rowOff>129540</xdr:rowOff>
    </xdr:from>
    <xdr:to>
      <xdr:col>6</xdr:col>
      <xdr:colOff>548640</xdr:colOff>
      <xdr:row>15</xdr:row>
      <xdr:rowOff>60960</xdr:rowOff>
    </xdr:to>
    <xdr:sp macro="" textlink="">
      <xdr:nvSpPr>
        <xdr:cNvPr id="2" name="Seta para a esquerda 1"/>
        <xdr:cNvSpPr/>
      </xdr:nvSpPr>
      <xdr:spPr>
        <a:xfrm>
          <a:off x="8328660" y="3002280"/>
          <a:ext cx="1104900" cy="297180"/>
        </a:xfrm>
        <a:prstGeom prst="leftArrow">
          <a:avLst/>
        </a:prstGeom>
        <a:solidFill>
          <a:srgbClr val="FF0000"/>
        </a:solidFill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190500</xdr:colOff>
      <xdr:row>38</xdr:row>
      <xdr:rowOff>91440</xdr:rowOff>
    </xdr:from>
    <xdr:to>
      <xdr:col>7</xdr:col>
      <xdr:colOff>76200</xdr:colOff>
      <xdr:row>42</xdr:row>
      <xdr:rowOff>22860</xdr:rowOff>
    </xdr:to>
    <xdr:sp macro="" textlink="">
      <xdr:nvSpPr>
        <xdr:cNvPr id="3" name="Seta para a esquerda 2"/>
        <xdr:cNvSpPr/>
      </xdr:nvSpPr>
      <xdr:spPr>
        <a:xfrm>
          <a:off x="8465820" y="11925300"/>
          <a:ext cx="1104900" cy="297180"/>
        </a:xfrm>
        <a:prstGeom prst="leftArrow">
          <a:avLst/>
        </a:prstGeom>
        <a:solidFill>
          <a:srgbClr val="FF0000"/>
        </a:solidFill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190500</xdr:colOff>
      <xdr:row>39</xdr:row>
      <xdr:rowOff>160020</xdr:rowOff>
    </xdr:from>
    <xdr:to>
      <xdr:col>7</xdr:col>
      <xdr:colOff>76200</xdr:colOff>
      <xdr:row>43</xdr:row>
      <xdr:rowOff>83820</xdr:rowOff>
    </xdr:to>
    <xdr:sp macro="" textlink="">
      <xdr:nvSpPr>
        <xdr:cNvPr id="4" name="Seta para a esquerda 3"/>
        <xdr:cNvSpPr/>
      </xdr:nvSpPr>
      <xdr:spPr>
        <a:xfrm>
          <a:off x="8465820" y="12176760"/>
          <a:ext cx="1104900" cy="297180"/>
        </a:xfrm>
        <a:prstGeom prst="leftArrow">
          <a:avLst/>
        </a:prstGeom>
        <a:solidFill>
          <a:srgbClr val="FF0000"/>
        </a:solidFill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59"/>
  <sheetViews>
    <sheetView showGridLines="0" tabSelected="1" workbookViewId="0">
      <selection activeCell="B1" sqref="B1"/>
    </sheetView>
  </sheetViews>
  <sheetFormatPr defaultRowHeight="14.4" x14ac:dyDescent="0.3"/>
  <cols>
    <col min="1" max="1" width="4.77734375" customWidth="1"/>
    <col min="2" max="2" width="38.5546875" customWidth="1"/>
    <col min="3" max="3" width="46.5546875" customWidth="1"/>
    <col min="4" max="4" width="10" customWidth="1"/>
    <col min="5" max="5" width="20" customWidth="1"/>
  </cols>
  <sheetData>
    <row r="1" spans="2:5" ht="32.4" customHeight="1" thickBot="1" x14ac:dyDescent="0.35"/>
    <row r="2" spans="2:5" ht="35.4" customHeight="1" thickBot="1" x14ac:dyDescent="0.35">
      <c r="B2" s="54" t="s">
        <v>120</v>
      </c>
      <c r="C2" s="55"/>
      <c r="D2" s="44" t="s">
        <v>118</v>
      </c>
      <c r="E2" s="44" t="s">
        <v>121</v>
      </c>
    </row>
    <row r="3" spans="2:5" x14ac:dyDescent="0.3">
      <c r="B3" s="1" t="s">
        <v>0</v>
      </c>
      <c r="C3" s="39" t="s">
        <v>19</v>
      </c>
      <c r="D3" s="43">
        <v>3</v>
      </c>
      <c r="E3" s="43" t="s">
        <v>119</v>
      </c>
    </row>
    <row r="4" spans="2:5" x14ac:dyDescent="0.3">
      <c r="B4" s="3" t="s">
        <v>1</v>
      </c>
      <c r="C4" s="40" t="s">
        <v>20</v>
      </c>
      <c r="D4" s="43">
        <v>3</v>
      </c>
      <c r="E4" s="43" t="s">
        <v>119</v>
      </c>
    </row>
    <row r="5" spans="2:5" x14ac:dyDescent="0.3">
      <c r="B5" s="3" t="s">
        <v>2</v>
      </c>
      <c r="C5" s="40" t="s">
        <v>21</v>
      </c>
      <c r="D5" s="43">
        <v>3</v>
      </c>
      <c r="E5" s="43" t="s">
        <v>119</v>
      </c>
    </row>
    <row r="6" spans="2:5" x14ac:dyDescent="0.3">
      <c r="B6" s="3" t="s">
        <v>3</v>
      </c>
      <c r="C6" s="40" t="s">
        <v>22</v>
      </c>
      <c r="D6" s="43">
        <v>3</v>
      </c>
      <c r="E6" s="43" t="s">
        <v>119</v>
      </c>
    </row>
    <row r="7" spans="2:5" x14ac:dyDescent="0.3">
      <c r="B7" s="3" t="s">
        <v>4</v>
      </c>
      <c r="C7" s="40" t="s">
        <v>23</v>
      </c>
      <c r="D7" s="43">
        <v>3</v>
      </c>
      <c r="E7" s="43" t="s">
        <v>119</v>
      </c>
    </row>
    <row r="8" spans="2:5" x14ac:dyDescent="0.3">
      <c r="B8" s="3" t="s">
        <v>5</v>
      </c>
      <c r="C8" s="40" t="s">
        <v>24</v>
      </c>
      <c r="D8" s="43">
        <v>3</v>
      </c>
      <c r="E8" s="43" t="s">
        <v>119</v>
      </c>
    </row>
    <row r="9" spans="2:5" x14ac:dyDescent="0.3">
      <c r="B9" s="3" t="s">
        <v>6</v>
      </c>
      <c r="C9" s="40" t="s">
        <v>25</v>
      </c>
      <c r="D9" s="43">
        <v>3</v>
      </c>
      <c r="E9" s="43" t="s">
        <v>119</v>
      </c>
    </row>
    <row r="10" spans="2:5" x14ac:dyDescent="0.3">
      <c r="B10" s="3" t="s">
        <v>7</v>
      </c>
      <c r="C10" s="40" t="s">
        <v>26</v>
      </c>
      <c r="D10" s="43">
        <v>3</v>
      </c>
      <c r="E10" s="43" t="s">
        <v>119</v>
      </c>
    </row>
    <row r="11" spans="2:5" x14ac:dyDescent="0.3">
      <c r="B11" s="3" t="s">
        <v>8</v>
      </c>
      <c r="C11" s="40" t="s">
        <v>27</v>
      </c>
      <c r="D11" s="43">
        <v>3</v>
      </c>
      <c r="E11" s="43" t="s">
        <v>119</v>
      </c>
    </row>
    <row r="12" spans="2:5" x14ac:dyDescent="0.3">
      <c r="B12" s="3" t="s">
        <v>9</v>
      </c>
      <c r="C12" s="40" t="s">
        <v>28</v>
      </c>
      <c r="D12" s="43">
        <v>3</v>
      </c>
      <c r="E12" s="43" t="s">
        <v>119</v>
      </c>
    </row>
    <row r="13" spans="2:5" x14ac:dyDescent="0.3">
      <c r="B13" s="3" t="s">
        <v>10</v>
      </c>
      <c r="C13" s="40" t="s">
        <v>29</v>
      </c>
      <c r="D13" s="43">
        <v>3</v>
      </c>
      <c r="E13" s="43" t="s">
        <v>119</v>
      </c>
    </row>
    <row r="14" spans="2:5" x14ac:dyDescent="0.3">
      <c r="B14" s="3" t="s">
        <v>11</v>
      </c>
      <c r="C14" s="40" t="s">
        <v>30</v>
      </c>
      <c r="D14" s="43">
        <v>3</v>
      </c>
      <c r="E14" s="43" t="s">
        <v>119</v>
      </c>
    </row>
    <row r="15" spans="2:5" x14ac:dyDescent="0.3">
      <c r="B15" s="16" t="s">
        <v>12</v>
      </c>
      <c r="C15" s="41" t="s">
        <v>31</v>
      </c>
      <c r="D15" s="43">
        <v>3</v>
      </c>
      <c r="E15" s="41" t="s">
        <v>123</v>
      </c>
    </row>
    <row r="16" spans="2:5" x14ac:dyDescent="0.3">
      <c r="B16" s="3" t="s">
        <v>13</v>
      </c>
      <c r="C16" s="40" t="s">
        <v>32</v>
      </c>
      <c r="D16" s="43">
        <v>3</v>
      </c>
      <c r="E16" s="43" t="s">
        <v>119</v>
      </c>
    </row>
    <row r="17" spans="2:5" x14ac:dyDescent="0.3">
      <c r="B17" s="3" t="s">
        <v>14</v>
      </c>
      <c r="C17" s="40" t="s">
        <v>33</v>
      </c>
      <c r="D17" s="43">
        <v>3</v>
      </c>
      <c r="E17" s="43" t="s">
        <v>119</v>
      </c>
    </row>
    <row r="18" spans="2:5" x14ac:dyDescent="0.3">
      <c r="B18" s="3" t="s">
        <v>15</v>
      </c>
      <c r="C18" s="40" t="s">
        <v>34</v>
      </c>
      <c r="D18" s="43">
        <v>3</v>
      </c>
      <c r="E18" s="43" t="s">
        <v>119</v>
      </c>
    </row>
    <row r="19" spans="2:5" x14ac:dyDescent="0.3">
      <c r="B19" s="3" t="s">
        <v>16</v>
      </c>
      <c r="C19" s="40" t="s">
        <v>35</v>
      </c>
      <c r="D19" s="43">
        <v>3</v>
      </c>
      <c r="E19" s="43" t="s">
        <v>119</v>
      </c>
    </row>
    <row r="20" spans="2:5" x14ac:dyDescent="0.3">
      <c r="B20" s="3" t="s">
        <v>17</v>
      </c>
      <c r="C20" s="40" t="s">
        <v>36</v>
      </c>
      <c r="D20" s="43">
        <v>3</v>
      </c>
      <c r="E20" s="43" t="s">
        <v>119</v>
      </c>
    </row>
    <row r="21" spans="2:5" ht="15" thickBot="1" x14ac:dyDescent="0.35">
      <c r="B21" s="5" t="s">
        <v>18</v>
      </c>
      <c r="C21" s="42" t="s">
        <v>37</v>
      </c>
      <c r="D21" s="43">
        <v>3</v>
      </c>
      <c r="E21" s="43" t="s">
        <v>119</v>
      </c>
    </row>
    <row r="22" spans="2:5" x14ac:dyDescent="0.3">
      <c r="B22" s="63" t="s">
        <v>158</v>
      </c>
      <c r="C22" s="64">
        <v>46560</v>
      </c>
      <c r="D22" s="43"/>
      <c r="E22" s="43" t="s">
        <v>119</v>
      </c>
    </row>
    <row r="23" spans="2:5" x14ac:dyDescent="0.3">
      <c r="B23" s="63" t="s">
        <v>159</v>
      </c>
      <c r="C23" s="64">
        <v>46560</v>
      </c>
      <c r="D23" s="43"/>
      <c r="E23" s="43" t="s">
        <v>119</v>
      </c>
    </row>
    <row r="24" spans="2:5" ht="15" thickBot="1" x14ac:dyDescent="0.35">
      <c r="B24" s="63" t="s">
        <v>160</v>
      </c>
      <c r="C24" s="64">
        <v>46560</v>
      </c>
      <c r="D24" s="43"/>
      <c r="E24" s="43" t="s">
        <v>119</v>
      </c>
    </row>
    <row r="25" spans="2:5" ht="50.4" customHeight="1" thickBot="1" x14ac:dyDescent="0.35">
      <c r="B25" s="54" t="s">
        <v>129</v>
      </c>
      <c r="C25" s="55"/>
    </row>
    <row r="26" spans="2:5" ht="9.6" customHeight="1" thickBot="1" x14ac:dyDescent="0.35"/>
    <row r="27" spans="2:5" ht="15" thickBot="1" x14ac:dyDescent="0.35">
      <c r="B27" s="56" t="s">
        <v>124</v>
      </c>
      <c r="C27" s="53"/>
      <c r="D27" s="44" t="s">
        <v>118</v>
      </c>
      <c r="E27" s="44" t="s">
        <v>121</v>
      </c>
    </row>
    <row r="28" spans="2:5" ht="15" thickBot="1" x14ac:dyDescent="0.35">
      <c r="D28" s="43"/>
      <c r="E28" s="43" t="s">
        <v>119</v>
      </c>
    </row>
    <row r="29" spans="2:5" ht="15" thickBot="1" x14ac:dyDescent="0.35">
      <c r="B29" s="56" t="s">
        <v>57</v>
      </c>
      <c r="C29" s="53"/>
      <c r="D29" s="43">
        <v>2</v>
      </c>
      <c r="E29" s="43" t="s">
        <v>119</v>
      </c>
    </row>
    <row r="30" spans="2:5" ht="15" thickBot="1" x14ac:dyDescent="0.35">
      <c r="D30" s="43"/>
      <c r="E30" s="43"/>
    </row>
    <row r="31" spans="2:5" x14ac:dyDescent="0.3">
      <c r="B31" s="26" t="s">
        <v>58</v>
      </c>
      <c r="C31" s="24" t="s">
        <v>69</v>
      </c>
      <c r="D31" s="43">
        <v>2</v>
      </c>
      <c r="E31" s="43" t="s">
        <v>119</v>
      </c>
    </row>
    <row r="32" spans="2:5" x14ac:dyDescent="0.3">
      <c r="B32" s="27" t="s">
        <v>59</v>
      </c>
      <c r="C32" s="32" t="s">
        <v>70</v>
      </c>
      <c r="D32" s="43">
        <v>2</v>
      </c>
      <c r="E32" s="43" t="s">
        <v>119</v>
      </c>
    </row>
    <row r="33" spans="2:5" x14ac:dyDescent="0.3">
      <c r="B33" s="27" t="s">
        <v>60</v>
      </c>
      <c r="C33" s="25" t="s">
        <v>71</v>
      </c>
      <c r="D33" s="43">
        <v>2</v>
      </c>
      <c r="E33" s="43" t="s">
        <v>119</v>
      </c>
    </row>
    <row r="34" spans="2:5" x14ac:dyDescent="0.3">
      <c r="B34" s="27" t="s">
        <v>61</v>
      </c>
      <c r="C34" s="25" t="s">
        <v>72</v>
      </c>
      <c r="D34" s="43">
        <v>2</v>
      </c>
      <c r="E34" s="43" t="s">
        <v>119</v>
      </c>
    </row>
    <row r="35" spans="2:5" x14ac:dyDescent="0.3">
      <c r="B35" s="27" t="s">
        <v>62</v>
      </c>
      <c r="C35" s="32" t="s">
        <v>73</v>
      </c>
      <c r="D35" s="43">
        <v>2</v>
      </c>
      <c r="E35" s="43" t="s">
        <v>125</v>
      </c>
    </row>
    <row r="36" spans="2:5" x14ac:dyDescent="0.3">
      <c r="B36" s="27" t="s">
        <v>63</v>
      </c>
      <c r="C36" s="25" t="s">
        <v>74</v>
      </c>
      <c r="D36" s="43">
        <v>2</v>
      </c>
      <c r="E36" s="43" t="s">
        <v>119</v>
      </c>
    </row>
    <row r="37" spans="2:5" x14ac:dyDescent="0.3">
      <c r="B37" s="27" t="s">
        <v>64</v>
      </c>
      <c r="C37" s="25" t="s">
        <v>75</v>
      </c>
      <c r="D37" s="43">
        <v>2</v>
      </c>
      <c r="E37" s="43" t="s">
        <v>119</v>
      </c>
    </row>
    <row r="38" spans="2:5" x14ac:dyDescent="0.3">
      <c r="B38" s="27" t="s">
        <v>65</v>
      </c>
      <c r="C38" s="25" t="s">
        <v>76</v>
      </c>
      <c r="D38" s="43">
        <v>2</v>
      </c>
      <c r="E38" s="43" t="s">
        <v>119</v>
      </c>
    </row>
    <row r="39" spans="2:5" x14ac:dyDescent="0.3">
      <c r="B39" s="27" t="s">
        <v>66</v>
      </c>
      <c r="C39" s="25" t="s">
        <v>77</v>
      </c>
      <c r="D39" s="43">
        <v>2</v>
      </c>
      <c r="E39" s="43" t="s">
        <v>119</v>
      </c>
    </row>
    <row r="40" spans="2:5" x14ac:dyDescent="0.3">
      <c r="B40" s="27" t="s">
        <v>67</v>
      </c>
      <c r="C40" s="32" t="s">
        <v>78</v>
      </c>
      <c r="D40" s="43">
        <v>2</v>
      </c>
      <c r="E40" s="47" t="s">
        <v>127</v>
      </c>
    </row>
    <row r="41" spans="2:5" ht="15" thickBot="1" x14ac:dyDescent="0.35">
      <c r="B41" s="28" t="s">
        <v>68</v>
      </c>
      <c r="C41" s="37" t="s">
        <v>79</v>
      </c>
      <c r="D41" s="43">
        <v>2</v>
      </c>
      <c r="E41" s="47" t="s">
        <v>126</v>
      </c>
    </row>
    <row r="42" spans="2:5" ht="15" thickBot="1" x14ac:dyDescent="0.35">
      <c r="B42" s="61" t="s">
        <v>156</v>
      </c>
      <c r="C42" s="62">
        <v>46625</v>
      </c>
      <c r="D42" s="43"/>
      <c r="E42" s="47"/>
    </row>
    <row r="43" spans="2:5" ht="15" thickBot="1" x14ac:dyDescent="0.35">
      <c r="B43" s="61" t="s">
        <v>157</v>
      </c>
      <c r="C43" s="62">
        <v>47081</v>
      </c>
      <c r="D43" s="43"/>
      <c r="E43" s="47"/>
    </row>
    <row r="44" spans="2:5" ht="15" thickBot="1" x14ac:dyDescent="0.35">
      <c r="D44" s="43"/>
      <c r="E44" s="48"/>
    </row>
    <row r="45" spans="2:5" ht="40.200000000000003" customHeight="1" thickBot="1" x14ac:dyDescent="0.35">
      <c r="B45" s="57" t="s">
        <v>131</v>
      </c>
      <c r="C45" s="58"/>
    </row>
    <row r="46" spans="2:5" ht="15" thickBot="1" x14ac:dyDescent="0.35">
      <c r="B46" s="52" t="s">
        <v>130</v>
      </c>
      <c r="C46" s="53"/>
    </row>
    <row r="47" spans="2:5" ht="15" thickBot="1" x14ac:dyDescent="0.35"/>
    <row r="48" spans="2:5" x14ac:dyDescent="0.3">
      <c r="B48" s="26" t="s">
        <v>58</v>
      </c>
      <c r="C48" s="24" t="s">
        <v>132</v>
      </c>
      <c r="D48" s="45">
        <v>1</v>
      </c>
      <c r="E48" s="43" t="s">
        <v>119</v>
      </c>
    </row>
    <row r="49" spans="2:5" x14ac:dyDescent="0.3">
      <c r="B49" s="27" t="s">
        <v>133</v>
      </c>
      <c r="C49" s="25" t="s">
        <v>134</v>
      </c>
      <c r="D49" s="45">
        <v>1</v>
      </c>
      <c r="E49" s="43" t="s">
        <v>119</v>
      </c>
    </row>
    <row r="50" spans="2:5" x14ac:dyDescent="0.3">
      <c r="B50" s="27" t="s">
        <v>135</v>
      </c>
      <c r="C50" s="25" t="s">
        <v>136</v>
      </c>
      <c r="D50" s="45">
        <v>1</v>
      </c>
      <c r="E50" s="43" t="s">
        <v>119</v>
      </c>
    </row>
    <row r="51" spans="2:5" x14ac:dyDescent="0.3">
      <c r="B51" s="27" t="s">
        <v>137</v>
      </c>
      <c r="C51" s="25" t="s">
        <v>138</v>
      </c>
      <c r="D51" s="45">
        <v>1</v>
      </c>
      <c r="E51" s="43" t="s">
        <v>119</v>
      </c>
    </row>
    <row r="52" spans="2:5" x14ac:dyDescent="0.3">
      <c r="B52" s="27" t="s">
        <v>139</v>
      </c>
      <c r="C52" s="25" t="s">
        <v>140</v>
      </c>
      <c r="D52" s="45">
        <v>1</v>
      </c>
      <c r="E52" s="43" t="s">
        <v>119</v>
      </c>
    </row>
    <row r="53" spans="2:5" x14ac:dyDescent="0.3">
      <c r="B53" s="27" t="s">
        <v>141</v>
      </c>
      <c r="C53" s="25" t="s">
        <v>142</v>
      </c>
      <c r="D53" s="45">
        <v>1</v>
      </c>
      <c r="E53" s="43" t="s">
        <v>119</v>
      </c>
    </row>
    <row r="54" spans="2:5" x14ac:dyDescent="0.3">
      <c r="B54" s="27" t="s">
        <v>143</v>
      </c>
      <c r="C54" s="25" t="s">
        <v>144</v>
      </c>
      <c r="D54" s="45">
        <v>7</v>
      </c>
      <c r="E54" s="43" t="s">
        <v>119</v>
      </c>
    </row>
    <row r="55" spans="2:5" x14ac:dyDescent="0.3">
      <c r="B55" s="27" t="s">
        <v>146</v>
      </c>
      <c r="C55" s="25" t="s">
        <v>147</v>
      </c>
      <c r="D55" s="45">
        <v>1</v>
      </c>
      <c r="E55" s="43" t="s">
        <v>119</v>
      </c>
    </row>
    <row r="56" spans="2:5" x14ac:dyDescent="0.3">
      <c r="B56" s="27" t="s">
        <v>148</v>
      </c>
      <c r="C56" s="25" t="s">
        <v>149</v>
      </c>
      <c r="D56" s="45">
        <v>1</v>
      </c>
      <c r="E56" s="43" t="s">
        <v>119</v>
      </c>
    </row>
    <row r="57" spans="2:5" x14ac:dyDescent="0.3">
      <c r="B57" s="27" t="s">
        <v>67</v>
      </c>
      <c r="C57" s="25" t="s">
        <v>145</v>
      </c>
      <c r="D57" s="45">
        <v>1</v>
      </c>
      <c r="E57" s="43" t="s">
        <v>119</v>
      </c>
    </row>
    <row r="58" spans="2:5" ht="15" thickBot="1" x14ac:dyDescent="0.35">
      <c r="B58" s="28" t="s">
        <v>150</v>
      </c>
      <c r="C58" s="50" t="s">
        <v>151</v>
      </c>
      <c r="D58" s="45">
        <v>1</v>
      </c>
      <c r="E58" s="43" t="s">
        <v>119</v>
      </c>
    </row>
    <row r="59" spans="2:5" ht="15" thickBot="1" x14ac:dyDescent="0.35">
      <c r="B59" s="59" t="s">
        <v>155</v>
      </c>
      <c r="C59" s="60">
        <v>46569</v>
      </c>
      <c r="D59" s="45">
        <v>1</v>
      </c>
      <c r="E59" s="43" t="s">
        <v>119</v>
      </c>
    </row>
  </sheetData>
  <mergeCells count="6">
    <mergeCell ref="B46:C46"/>
    <mergeCell ref="B2:C2"/>
    <mergeCell ref="B27:C27"/>
    <mergeCell ref="B29:C29"/>
    <mergeCell ref="B25:C25"/>
    <mergeCell ref="B45:C45"/>
  </mergeCells>
  <pageMargins left="0.511811024" right="0.511811024" top="0.78740157499999996" bottom="0.78740157499999996" header="0.31496062000000002" footer="0.31496062000000002"/>
  <pageSetup scale="64" fitToHeight="0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showGridLines="0" topLeftCell="A10" zoomScaleNormal="100" workbookViewId="0">
      <selection activeCell="G64" sqref="G63:G64"/>
    </sheetView>
  </sheetViews>
  <sheetFormatPr defaultRowHeight="14.4" x14ac:dyDescent="0.3"/>
  <cols>
    <col min="1" max="1" width="3.5546875" customWidth="1"/>
    <col min="2" max="2" width="44.44140625" bestFit="1" customWidth="1"/>
    <col min="3" max="3" width="29.6640625" customWidth="1"/>
    <col min="4" max="4" width="2.109375" customWidth="1"/>
  </cols>
  <sheetData>
    <row r="1" spans="2:3" ht="15" thickBot="1" x14ac:dyDescent="0.35"/>
    <row r="2" spans="2:3" x14ac:dyDescent="0.3">
      <c r="B2" s="1" t="s">
        <v>0</v>
      </c>
      <c r="C2" s="2" t="s">
        <v>19</v>
      </c>
    </row>
    <row r="3" spans="2:3" x14ac:dyDescent="0.3">
      <c r="B3" s="3" t="s">
        <v>1</v>
      </c>
      <c r="C3" s="4" t="s">
        <v>20</v>
      </c>
    </row>
    <row r="4" spans="2:3" x14ac:dyDescent="0.3">
      <c r="B4" s="3" t="s">
        <v>2</v>
      </c>
      <c r="C4" s="4" t="s">
        <v>21</v>
      </c>
    </row>
    <row r="5" spans="2:3" x14ac:dyDescent="0.3">
      <c r="B5" s="3" t="s">
        <v>3</v>
      </c>
      <c r="C5" s="4" t="s">
        <v>22</v>
      </c>
    </row>
    <row r="6" spans="2:3" x14ac:dyDescent="0.3">
      <c r="B6" s="3" t="s">
        <v>4</v>
      </c>
      <c r="C6" s="4" t="s">
        <v>23</v>
      </c>
    </row>
    <row r="7" spans="2:3" x14ac:dyDescent="0.3">
      <c r="B7" s="3" t="s">
        <v>5</v>
      </c>
      <c r="C7" s="4" t="s">
        <v>24</v>
      </c>
    </row>
    <row r="8" spans="2:3" x14ac:dyDescent="0.3">
      <c r="B8" s="3" t="s">
        <v>6</v>
      </c>
      <c r="C8" s="4" t="s">
        <v>25</v>
      </c>
    </row>
    <row r="9" spans="2:3" x14ac:dyDescent="0.3">
      <c r="B9" s="3" t="s">
        <v>7</v>
      </c>
      <c r="C9" s="4" t="s">
        <v>26</v>
      </c>
    </row>
    <row r="10" spans="2:3" x14ac:dyDescent="0.3">
      <c r="B10" s="3" t="s">
        <v>8</v>
      </c>
      <c r="C10" s="4" t="s">
        <v>27</v>
      </c>
    </row>
    <row r="11" spans="2:3" x14ac:dyDescent="0.3">
      <c r="B11" s="3" t="s">
        <v>9</v>
      </c>
      <c r="C11" s="4" t="s">
        <v>28</v>
      </c>
    </row>
    <row r="12" spans="2:3" x14ac:dyDescent="0.3">
      <c r="B12" s="3" t="s">
        <v>10</v>
      </c>
      <c r="C12" s="4" t="s">
        <v>29</v>
      </c>
    </row>
    <row r="13" spans="2:3" x14ac:dyDescent="0.3">
      <c r="B13" s="3" t="s">
        <v>11</v>
      </c>
      <c r="C13" s="4" t="s">
        <v>30</v>
      </c>
    </row>
    <row r="14" spans="2:3" x14ac:dyDescent="0.3">
      <c r="B14" s="16" t="s">
        <v>12</v>
      </c>
      <c r="C14" s="15" t="s">
        <v>31</v>
      </c>
    </row>
    <row r="15" spans="2:3" x14ac:dyDescent="0.3">
      <c r="B15" s="3" t="s">
        <v>13</v>
      </c>
      <c r="C15" s="4" t="s">
        <v>32</v>
      </c>
    </row>
    <row r="16" spans="2:3" x14ac:dyDescent="0.3">
      <c r="B16" s="3" t="s">
        <v>14</v>
      </c>
      <c r="C16" s="4" t="s">
        <v>33</v>
      </c>
    </row>
    <row r="17" spans="2:3" x14ac:dyDescent="0.3">
      <c r="B17" s="3" t="s">
        <v>15</v>
      </c>
      <c r="C17" s="4" t="s">
        <v>34</v>
      </c>
    </row>
    <row r="18" spans="2:3" x14ac:dyDescent="0.3">
      <c r="B18" s="3" t="s">
        <v>16</v>
      </c>
      <c r="C18" s="4" t="s">
        <v>35</v>
      </c>
    </row>
    <row r="19" spans="2:3" x14ac:dyDescent="0.3">
      <c r="B19" s="3" t="s">
        <v>17</v>
      </c>
      <c r="C19" s="4" t="s">
        <v>36</v>
      </c>
    </row>
    <row r="20" spans="2:3" ht="15" thickBot="1" x14ac:dyDescent="0.35">
      <c r="B20" s="5" t="s">
        <v>18</v>
      </c>
      <c r="C20" s="6" t="s">
        <v>37</v>
      </c>
    </row>
    <row r="21" spans="2:3" ht="15" thickBot="1" x14ac:dyDescent="0.35"/>
    <row r="22" spans="2:3" x14ac:dyDescent="0.3">
      <c r="B22" s="1" t="s">
        <v>38</v>
      </c>
      <c r="C22" s="7" t="s">
        <v>49</v>
      </c>
    </row>
    <row r="23" spans="2:3" x14ac:dyDescent="0.3">
      <c r="B23" s="3" t="s">
        <v>39</v>
      </c>
      <c r="C23" s="4" t="s">
        <v>48</v>
      </c>
    </row>
    <row r="24" spans="2:3" x14ac:dyDescent="0.3">
      <c r="B24" s="3" t="s">
        <v>40</v>
      </c>
      <c r="C24" s="8" t="s">
        <v>42</v>
      </c>
    </row>
    <row r="25" spans="2:3" ht="15" thickBot="1" x14ac:dyDescent="0.35">
      <c r="B25" s="5" t="s">
        <v>41</v>
      </c>
      <c r="C25" s="6" t="s">
        <v>43</v>
      </c>
    </row>
    <row r="26" spans="2:3" ht="15" thickBot="1" x14ac:dyDescent="0.35"/>
    <row r="27" spans="2:3" ht="15" thickBot="1" x14ac:dyDescent="0.35">
      <c r="B27" s="9" t="s">
        <v>44</v>
      </c>
      <c r="C27" s="10">
        <v>5.9</v>
      </c>
    </row>
    <row r="28" spans="2:3" ht="15" thickBot="1" x14ac:dyDescent="0.35"/>
    <row r="29" spans="2:3" ht="17.399999999999999" customHeight="1" thickBot="1" x14ac:dyDescent="0.35">
      <c r="B29" s="11" t="s">
        <v>45</v>
      </c>
      <c r="C29" s="17">
        <v>1456000</v>
      </c>
    </row>
    <row r="30" spans="2:3" ht="15" thickBot="1" x14ac:dyDescent="0.35"/>
    <row r="31" spans="2:3" ht="46.8" customHeight="1" thickBot="1" x14ac:dyDescent="0.35">
      <c r="B31" s="13" t="s">
        <v>46</v>
      </c>
      <c r="C31" s="12">
        <v>350000</v>
      </c>
    </row>
    <row r="32" spans="2:3" ht="15" thickBot="1" x14ac:dyDescent="0.35"/>
    <row r="33" spans="1:4" ht="15" thickBot="1" x14ac:dyDescent="0.35">
      <c r="B33" s="14" t="s">
        <v>47</v>
      </c>
      <c r="C33" s="17">
        <v>1806000</v>
      </c>
    </row>
    <row r="36" spans="1:4" x14ac:dyDescent="0.3">
      <c r="A36" s="18"/>
      <c r="B36" s="18"/>
      <c r="C36" s="18"/>
      <c r="D36" s="18"/>
    </row>
    <row r="37" spans="1:4" ht="15" thickBot="1" x14ac:dyDescent="0.35"/>
    <row r="38" spans="1:4" x14ac:dyDescent="0.3">
      <c r="B38" s="1" t="s">
        <v>0</v>
      </c>
      <c r="C38" s="2" t="s">
        <v>19</v>
      </c>
    </row>
    <row r="39" spans="1:4" x14ac:dyDescent="0.3">
      <c r="B39" s="3" t="s">
        <v>1</v>
      </c>
      <c r="C39" s="4" t="s">
        <v>20</v>
      </c>
    </row>
    <row r="40" spans="1:4" x14ac:dyDescent="0.3">
      <c r="B40" s="3" t="s">
        <v>2</v>
      </c>
      <c r="C40" s="4" t="s">
        <v>21</v>
      </c>
    </row>
    <row r="41" spans="1:4" x14ac:dyDescent="0.3">
      <c r="B41" s="3" t="s">
        <v>3</v>
      </c>
      <c r="C41" s="4" t="s">
        <v>22</v>
      </c>
    </row>
    <row r="42" spans="1:4" x14ac:dyDescent="0.3">
      <c r="B42" s="3" t="s">
        <v>4</v>
      </c>
      <c r="C42" s="4" t="s">
        <v>23</v>
      </c>
    </row>
    <row r="43" spans="1:4" x14ac:dyDescent="0.3">
      <c r="B43" s="3" t="s">
        <v>5</v>
      </c>
      <c r="C43" s="4" t="s">
        <v>24</v>
      </c>
    </row>
    <row r="44" spans="1:4" x14ac:dyDescent="0.3">
      <c r="B44" s="3" t="s">
        <v>6</v>
      </c>
      <c r="C44" s="4" t="s">
        <v>25</v>
      </c>
    </row>
    <row r="45" spans="1:4" x14ac:dyDescent="0.3">
      <c r="B45" s="3" t="s">
        <v>7</v>
      </c>
      <c r="C45" s="4" t="s">
        <v>26</v>
      </c>
    </row>
    <row r="46" spans="1:4" x14ac:dyDescent="0.3">
      <c r="B46" s="3" t="s">
        <v>8</v>
      </c>
      <c r="C46" s="4" t="s">
        <v>27</v>
      </c>
    </row>
    <row r="47" spans="1:4" x14ac:dyDescent="0.3">
      <c r="B47" s="3" t="s">
        <v>9</v>
      </c>
      <c r="C47" s="4" t="s">
        <v>28</v>
      </c>
    </row>
    <row r="48" spans="1:4" x14ac:dyDescent="0.3">
      <c r="B48" s="3" t="s">
        <v>10</v>
      </c>
      <c r="C48" s="4" t="s">
        <v>29</v>
      </c>
    </row>
    <row r="49" spans="2:3" x14ac:dyDescent="0.3">
      <c r="B49" s="3" t="s">
        <v>11</v>
      </c>
      <c r="C49" s="4" t="s">
        <v>30</v>
      </c>
    </row>
    <row r="50" spans="2:3" x14ac:dyDescent="0.3">
      <c r="B50" s="16" t="s">
        <v>12</v>
      </c>
      <c r="C50" s="15" t="s">
        <v>31</v>
      </c>
    </row>
    <row r="51" spans="2:3" x14ac:dyDescent="0.3">
      <c r="B51" s="3" t="s">
        <v>13</v>
      </c>
      <c r="C51" s="4" t="s">
        <v>32</v>
      </c>
    </row>
    <row r="52" spans="2:3" x14ac:dyDescent="0.3">
      <c r="B52" s="3" t="s">
        <v>14</v>
      </c>
      <c r="C52" s="4" t="s">
        <v>33</v>
      </c>
    </row>
    <row r="53" spans="2:3" x14ac:dyDescent="0.3">
      <c r="B53" s="3" t="s">
        <v>15</v>
      </c>
      <c r="C53" s="4" t="s">
        <v>34</v>
      </c>
    </row>
    <row r="54" spans="2:3" x14ac:dyDescent="0.3">
      <c r="B54" s="3" t="s">
        <v>16</v>
      </c>
      <c r="C54" s="4" t="s">
        <v>35</v>
      </c>
    </row>
    <row r="55" spans="2:3" x14ac:dyDescent="0.3">
      <c r="B55" s="3" t="s">
        <v>17</v>
      </c>
      <c r="C55" s="4" t="s">
        <v>36</v>
      </c>
    </row>
    <row r="56" spans="2:3" x14ac:dyDescent="0.3">
      <c r="B56" s="20" t="s">
        <v>18</v>
      </c>
      <c r="C56" s="21" t="s">
        <v>37</v>
      </c>
    </row>
    <row r="57" spans="2:3" ht="15" thickBot="1" x14ac:dyDescent="0.35">
      <c r="B57" s="19" t="s">
        <v>50</v>
      </c>
      <c r="C57" s="22" t="s">
        <v>51</v>
      </c>
    </row>
    <row r="58" spans="2:3" ht="15" thickBot="1" x14ac:dyDescent="0.35"/>
    <row r="59" spans="2:3" x14ac:dyDescent="0.3">
      <c r="B59" s="1" t="s">
        <v>38</v>
      </c>
      <c r="C59" s="7" t="s">
        <v>49</v>
      </c>
    </row>
    <row r="60" spans="2:3" x14ac:dyDescent="0.3">
      <c r="B60" s="3" t="s">
        <v>53</v>
      </c>
      <c r="C60" s="23" t="s">
        <v>54</v>
      </c>
    </row>
    <row r="61" spans="2:3" x14ac:dyDescent="0.3">
      <c r="B61" s="3" t="s">
        <v>39</v>
      </c>
      <c r="C61" s="4" t="s">
        <v>52</v>
      </c>
    </row>
    <row r="62" spans="2:3" x14ac:dyDescent="0.3">
      <c r="B62" s="3" t="s">
        <v>40</v>
      </c>
      <c r="C62" s="23" t="s">
        <v>55</v>
      </c>
    </row>
    <row r="63" spans="2:3" ht="15" thickBot="1" x14ac:dyDescent="0.35">
      <c r="B63" s="5" t="s">
        <v>41</v>
      </c>
      <c r="C63" s="6" t="s">
        <v>43</v>
      </c>
    </row>
    <row r="64" spans="2:3" ht="15" thickBot="1" x14ac:dyDescent="0.35"/>
    <row r="65" spans="2:3" ht="15" thickBot="1" x14ac:dyDescent="0.35">
      <c r="B65" s="9" t="s">
        <v>44</v>
      </c>
      <c r="C65" s="10">
        <v>5.9</v>
      </c>
    </row>
    <row r="66" spans="2:3" ht="15" thickBot="1" x14ac:dyDescent="0.35"/>
    <row r="67" spans="2:3" ht="15" thickBot="1" x14ac:dyDescent="0.35">
      <c r="B67" s="11" t="s">
        <v>45</v>
      </c>
      <c r="C67" s="17">
        <v>2121000</v>
      </c>
    </row>
    <row r="68" spans="2:3" ht="15" thickBot="1" x14ac:dyDescent="0.35"/>
    <row r="69" spans="2:3" ht="46.2" thickBot="1" x14ac:dyDescent="0.35">
      <c r="B69" s="13" t="s">
        <v>46</v>
      </c>
      <c r="C69" s="12">
        <v>350000</v>
      </c>
    </row>
    <row r="70" spans="2:3" ht="15" thickBot="1" x14ac:dyDescent="0.35"/>
    <row r="71" spans="2:3" ht="15" thickBot="1" x14ac:dyDescent="0.35">
      <c r="B71" s="14" t="s">
        <v>122</v>
      </c>
      <c r="C71" s="17">
        <v>2471000</v>
      </c>
    </row>
    <row r="73" spans="2:3" x14ac:dyDescent="0.3">
      <c r="C73" s="46"/>
    </row>
  </sheetData>
  <pageMargins left="0.511811024" right="0.511811024" top="0.78740157499999996" bottom="0.78740157499999996" header="0.31496062000000002" footer="0.31496062000000002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zoomScaleNormal="100" workbookViewId="0">
      <selection activeCell="C6" sqref="C6"/>
    </sheetView>
  </sheetViews>
  <sheetFormatPr defaultRowHeight="14.4" x14ac:dyDescent="0.3"/>
  <cols>
    <col min="1" max="1" width="3.5546875" customWidth="1"/>
    <col min="2" max="2" width="35.21875" customWidth="1"/>
    <col min="3" max="3" width="46.5546875" customWidth="1"/>
    <col min="4" max="4" width="2.109375" customWidth="1"/>
  </cols>
  <sheetData>
    <row r="1" spans="2:3" ht="15" thickBot="1" x14ac:dyDescent="0.35"/>
    <row r="2" spans="2:3" ht="15" thickBot="1" x14ac:dyDescent="0.35">
      <c r="B2" s="56" t="s">
        <v>56</v>
      </c>
      <c r="C2" s="53"/>
    </row>
    <row r="3" spans="2:3" ht="15" thickBot="1" x14ac:dyDescent="0.35"/>
    <row r="4" spans="2:3" ht="15" thickBot="1" x14ac:dyDescent="0.35">
      <c r="B4" s="56" t="s">
        <v>57</v>
      </c>
      <c r="C4" s="53"/>
    </row>
    <row r="5" spans="2:3" ht="15" thickBot="1" x14ac:dyDescent="0.35"/>
    <row r="6" spans="2:3" x14ac:dyDescent="0.3">
      <c r="B6" s="26" t="s">
        <v>58</v>
      </c>
      <c r="C6" s="24" t="s">
        <v>69</v>
      </c>
    </row>
    <row r="7" spans="2:3" x14ac:dyDescent="0.3">
      <c r="B7" s="27" t="s">
        <v>59</v>
      </c>
      <c r="C7" s="32" t="s">
        <v>70</v>
      </c>
    </row>
    <row r="8" spans="2:3" x14ac:dyDescent="0.3">
      <c r="B8" s="27" t="s">
        <v>60</v>
      </c>
      <c r="C8" s="25" t="s">
        <v>71</v>
      </c>
    </row>
    <row r="9" spans="2:3" x14ac:dyDescent="0.3">
      <c r="B9" s="27" t="s">
        <v>61</v>
      </c>
      <c r="C9" s="25" t="s">
        <v>72</v>
      </c>
    </row>
    <row r="10" spans="2:3" x14ac:dyDescent="0.3">
      <c r="B10" s="27" t="s">
        <v>62</v>
      </c>
      <c r="C10" s="32" t="s">
        <v>73</v>
      </c>
    </row>
    <row r="11" spans="2:3" x14ac:dyDescent="0.3">
      <c r="B11" s="27" t="s">
        <v>63</v>
      </c>
      <c r="C11" s="25" t="s">
        <v>74</v>
      </c>
    </row>
    <row r="12" spans="2:3" x14ac:dyDescent="0.3">
      <c r="B12" s="27" t="s">
        <v>64</v>
      </c>
      <c r="C12" s="25" t="s">
        <v>75</v>
      </c>
    </row>
    <row r="13" spans="2:3" x14ac:dyDescent="0.3">
      <c r="B13" s="27" t="s">
        <v>65</v>
      </c>
      <c r="C13" s="25" t="s">
        <v>76</v>
      </c>
    </row>
    <row r="14" spans="2:3" x14ac:dyDescent="0.3">
      <c r="B14" s="27" t="s">
        <v>66</v>
      </c>
      <c r="C14" s="25" t="s">
        <v>77</v>
      </c>
    </row>
    <row r="15" spans="2:3" x14ac:dyDescent="0.3">
      <c r="B15" s="27" t="s">
        <v>67</v>
      </c>
      <c r="C15" s="32" t="s">
        <v>78</v>
      </c>
    </row>
    <row r="16" spans="2:3" ht="15" thickBot="1" x14ac:dyDescent="0.35">
      <c r="B16" s="28" t="s">
        <v>68</v>
      </c>
      <c r="C16" s="37" t="s">
        <v>79</v>
      </c>
    </row>
    <row r="17" spans="2:3" ht="15" thickBot="1" x14ac:dyDescent="0.35"/>
    <row r="18" spans="2:3" x14ac:dyDescent="0.3">
      <c r="B18" s="29" t="s">
        <v>80</v>
      </c>
      <c r="C18" s="33" t="s">
        <v>85</v>
      </c>
    </row>
    <row r="19" spans="2:3" x14ac:dyDescent="0.3">
      <c r="B19" s="30" t="s">
        <v>81</v>
      </c>
      <c r="C19" s="32" t="s">
        <v>86</v>
      </c>
    </row>
    <row r="20" spans="2:3" x14ac:dyDescent="0.3">
      <c r="B20" s="30" t="s">
        <v>82</v>
      </c>
      <c r="C20" s="35" t="s">
        <v>89</v>
      </c>
    </row>
    <row r="21" spans="2:3" x14ac:dyDescent="0.3">
      <c r="B21" s="30" t="s">
        <v>83</v>
      </c>
      <c r="C21" s="25" t="s">
        <v>90</v>
      </c>
    </row>
    <row r="22" spans="2:3" x14ac:dyDescent="0.3">
      <c r="B22" s="30" t="s">
        <v>84</v>
      </c>
      <c r="C22" s="31" t="s">
        <v>87</v>
      </c>
    </row>
    <row r="23" spans="2:3" x14ac:dyDescent="0.3">
      <c r="B23" s="3" t="s">
        <v>40</v>
      </c>
      <c r="C23" s="25" t="s">
        <v>91</v>
      </c>
    </row>
    <row r="24" spans="2:3" ht="15" thickBot="1" x14ac:dyDescent="0.35">
      <c r="B24" s="5" t="s">
        <v>41</v>
      </c>
      <c r="C24" s="34" t="s">
        <v>88</v>
      </c>
    </row>
    <row r="25" spans="2:3" ht="15" thickBot="1" x14ac:dyDescent="0.35"/>
    <row r="26" spans="2:3" ht="15" thickBot="1" x14ac:dyDescent="0.35">
      <c r="B26" s="9" t="s">
        <v>44</v>
      </c>
      <c r="C26" s="10">
        <v>5.9</v>
      </c>
    </row>
    <row r="27" spans="2:3" ht="11.4" customHeight="1" thickBot="1" x14ac:dyDescent="0.35"/>
    <row r="28" spans="2:3" ht="23.4" thickBot="1" x14ac:dyDescent="0.35">
      <c r="B28" s="36" t="s">
        <v>92</v>
      </c>
      <c r="C28" s="17">
        <v>1835000</v>
      </c>
    </row>
    <row r="29" spans="2:3" ht="10.199999999999999" customHeight="1" thickBot="1" x14ac:dyDescent="0.35"/>
    <row r="30" spans="2:3" ht="57.6" thickBot="1" x14ac:dyDescent="0.35">
      <c r="B30" s="13" t="s">
        <v>93</v>
      </c>
      <c r="C30" s="12">
        <v>310000</v>
      </c>
    </row>
    <row r="31" spans="2:3" ht="15" thickBot="1" x14ac:dyDescent="0.35"/>
    <row r="32" spans="2:3" ht="15" thickBot="1" x14ac:dyDescent="0.35">
      <c r="B32" s="14" t="s">
        <v>94</v>
      </c>
      <c r="C32" s="17">
        <f>C30+C28</f>
        <v>2145000</v>
      </c>
    </row>
    <row r="34" spans="1:13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5" thickBot="1" x14ac:dyDescent="0.35"/>
    <row r="36" spans="1:13" ht="15" thickBot="1" x14ac:dyDescent="0.35">
      <c r="B36" s="56" t="s">
        <v>95</v>
      </c>
      <c r="C36" s="53"/>
    </row>
    <row r="37" spans="1:13" ht="15" thickBot="1" x14ac:dyDescent="0.35"/>
    <row r="38" spans="1:13" ht="15" thickBot="1" x14ac:dyDescent="0.35">
      <c r="B38" s="56" t="s">
        <v>57</v>
      </c>
      <c r="C38" s="53"/>
    </row>
    <row r="39" spans="1:13" ht="15" thickBot="1" x14ac:dyDescent="0.35"/>
    <row r="40" spans="1:13" x14ac:dyDescent="0.3">
      <c r="B40" s="26" t="s">
        <v>58</v>
      </c>
      <c r="C40" s="24" t="s">
        <v>69</v>
      </c>
    </row>
    <row r="41" spans="1:13" x14ac:dyDescent="0.3">
      <c r="B41" s="27" t="s">
        <v>59</v>
      </c>
      <c r="C41" s="32" t="s">
        <v>70</v>
      </c>
    </row>
    <row r="42" spans="1:13" x14ac:dyDescent="0.3">
      <c r="B42" s="27" t="s">
        <v>60</v>
      </c>
      <c r="C42" s="25" t="s">
        <v>71</v>
      </c>
    </row>
    <row r="43" spans="1:13" x14ac:dyDescent="0.3">
      <c r="B43" s="27" t="s">
        <v>61</v>
      </c>
      <c r="C43" s="25" t="s">
        <v>72</v>
      </c>
    </row>
    <row r="44" spans="1:13" x14ac:dyDescent="0.3">
      <c r="B44" s="27" t="s">
        <v>62</v>
      </c>
      <c r="C44" s="32" t="s">
        <v>73</v>
      </c>
    </row>
    <row r="45" spans="1:13" x14ac:dyDescent="0.3">
      <c r="B45" s="27" t="s">
        <v>63</v>
      </c>
      <c r="C45" s="25" t="s">
        <v>74</v>
      </c>
    </row>
    <row r="46" spans="1:13" x14ac:dyDescent="0.3">
      <c r="B46" s="27" t="s">
        <v>64</v>
      </c>
      <c r="C46" s="25" t="s">
        <v>75</v>
      </c>
    </row>
    <row r="47" spans="1:13" x14ac:dyDescent="0.3">
      <c r="B47" s="27" t="s">
        <v>65</v>
      </c>
      <c r="C47" s="25" t="s">
        <v>76</v>
      </c>
    </row>
    <row r="48" spans="1:13" x14ac:dyDescent="0.3">
      <c r="B48" s="27" t="s">
        <v>66</v>
      </c>
      <c r="C48" s="25" t="s">
        <v>77</v>
      </c>
    </row>
    <row r="49" spans="2:3" x14ac:dyDescent="0.3">
      <c r="B49" s="27" t="s">
        <v>67</v>
      </c>
      <c r="C49" s="32" t="s">
        <v>78</v>
      </c>
    </row>
    <row r="50" spans="2:3" ht="15" thickBot="1" x14ac:dyDescent="0.35">
      <c r="B50" s="28" t="s">
        <v>68</v>
      </c>
      <c r="C50" s="37" t="s">
        <v>79</v>
      </c>
    </row>
    <row r="51" spans="2:3" ht="15" thickBot="1" x14ac:dyDescent="0.35"/>
    <row r="52" spans="2:3" x14ac:dyDescent="0.3">
      <c r="B52" s="29" t="s">
        <v>96</v>
      </c>
      <c r="C52" s="33" t="s">
        <v>85</v>
      </c>
    </row>
    <row r="53" spans="2:3" x14ac:dyDescent="0.3">
      <c r="B53" s="30" t="s">
        <v>81</v>
      </c>
      <c r="C53" s="32" t="s">
        <v>86</v>
      </c>
    </row>
    <row r="54" spans="2:3" x14ac:dyDescent="0.3">
      <c r="B54" s="30" t="s">
        <v>82</v>
      </c>
      <c r="C54" s="35" t="s">
        <v>89</v>
      </c>
    </row>
    <row r="55" spans="2:3" x14ac:dyDescent="0.3">
      <c r="B55" s="30" t="s">
        <v>83</v>
      </c>
      <c r="C55" s="25" t="s">
        <v>90</v>
      </c>
    </row>
    <row r="56" spans="2:3" x14ac:dyDescent="0.3">
      <c r="B56" s="30" t="s">
        <v>84</v>
      </c>
      <c r="C56" s="31" t="s">
        <v>87</v>
      </c>
    </row>
    <row r="57" spans="2:3" x14ac:dyDescent="0.3">
      <c r="B57" s="3" t="s">
        <v>40</v>
      </c>
      <c r="C57" s="25" t="s">
        <v>91</v>
      </c>
    </row>
    <row r="58" spans="2:3" ht="15" thickBot="1" x14ac:dyDescent="0.35">
      <c r="B58" s="5" t="s">
        <v>41</v>
      </c>
      <c r="C58" s="34" t="s">
        <v>88</v>
      </c>
    </row>
    <row r="59" spans="2:3" ht="15" thickBot="1" x14ac:dyDescent="0.35"/>
    <row r="60" spans="2:3" ht="15" thickBot="1" x14ac:dyDescent="0.35">
      <c r="B60" s="9" t="s">
        <v>44</v>
      </c>
      <c r="C60" s="10">
        <v>5.9</v>
      </c>
    </row>
    <row r="61" spans="2:3" ht="15" thickBot="1" x14ac:dyDescent="0.35"/>
    <row r="62" spans="2:3" ht="23.4" thickBot="1" x14ac:dyDescent="0.35">
      <c r="B62" s="36" t="s">
        <v>92</v>
      </c>
      <c r="C62" s="17">
        <v>1835000</v>
      </c>
    </row>
    <row r="63" spans="2:3" ht="15" thickBot="1" x14ac:dyDescent="0.35"/>
    <row r="64" spans="2:3" ht="57.6" thickBot="1" x14ac:dyDescent="0.35">
      <c r="B64" s="13" t="s">
        <v>93</v>
      </c>
      <c r="C64" s="12">
        <v>310000</v>
      </c>
    </row>
    <row r="65" spans="1:4" ht="15" thickBot="1" x14ac:dyDescent="0.35"/>
    <row r="66" spans="1:4" ht="15" thickBot="1" x14ac:dyDescent="0.35">
      <c r="B66" s="14" t="s">
        <v>94</v>
      </c>
      <c r="C66" s="17">
        <f>C64+C62</f>
        <v>2145000</v>
      </c>
    </row>
    <row r="68" spans="1:4" x14ac:dyDescent="0.3">
      <c r="A68" s="38"/>
      <c r="B68" s="38"/>
      <c r="C68" s="38"/>
      <c r="D68" s="38"/>
    </row>
    <row r="69" spans="1:4" ht="15" thickBot="1" x14ac:dyDescent="0.35"/>
    <row r="70" spans="1:4" ht="15" thickBot="1" x14ac:dyDescent="0.35">
      <c r="B70" s="56" t="s">
        <v>97</v>
      </c>
      <c r="C70" s="53"/>
    </row>
    <row r="71" spans="1:4" ht="15" thickBot="1" x14ac:dyDescent="0.35"/>
    <row r="72" spans="1:4" ht="15" thickBot="1" x14ac:dyDescent="0.35">
      <c r="B72" s="56" t="s">
        <v>98</v>
      </c>
      <c r="C72" s="53"/>
    </row>
    <row r="73" spans="1:4" ht="15" thickBot="1" x14ac:dyDescent="0.35"/>
    <row r="74" spans="1:4" x14ac:dyDescent="0.3">
      <c r="B74" s="26" t="s">
        <v>99</v>
      </c>
      <c r="C74" s="24" t="s">
        <v>106</v>
      </c>
    </row>
    <row r="75" spans="1:4" x14ac:dyDescent="0.3">
      <c r="B75" s="30" t="s">
        <v>100</v>
      </c>
      <c r="C75" s="25" t="s">
        <v>107</v>
      </c>
    </row>
    <row r="76" spans="1:4" x14ac:dyDescent="0.3">
      <c r="B76" s="30" t="s">
        <v>101</v>
      </c>
      <c r="C76" s="25" t="s">
        <v>107</v>
      </c>
    </row>
    <row r="77" spans="1:4" x14ac:dyDescent="0.3">
      <c r="B77" s="30" t="s">
        <v>102</v>
      </c>
      <c r="C77" s="25" t="s">
        <v>108</v>
      </c>
    </row>
    <row r="78" spans="1:4" x14ac:dyDescent="0.3">
      <c r="B78" s="30" t="s">
        <v>103</v>
      </c>
      <c r="C78" s="25" t="s">
        <v>109</v>
      </c>
    </row>
    <row r="79" spans="1:4" x14ac:dyDescent="0.3">
      <c r="B79" s="30" t="s">
        <v>104</v>
      </c>
      <c r="C79" s="25" t="s">
        <v>110</v>
      </c>
    </row>
    <row r="80" spans="1:4" x14ac:dyDescent="0.3">
      <c r="B80" s="30" t="s">
        <v>105</v>
      </c>
      <c r="C80" s="25" t="s">
        <v>111</v>
      </c>
    </row>
    <row r="81" spans="2:3" ht="15" thickBot="1" x14ac:dyDescent="0.35"/>
    <row r="82" spans="2:3" x14ac:dyDescent="0.3">
      <c r="B82" s="29" t="s">
        <v>112</v>
      </c>
      <c r="C82" s="33" t="s">
        <v>113</v>
      </c>
    </row>
    <row r="83" spans="2:3" x14ac:dyDescent="0.3">
      <c r="B83" s="30" t="s">
        <v>82</v>
      </c>
      <c r="C83" s="32" t="s">
        <v>114</v>
      </c>
    </row>
    <row r="84" spans="2:3" x14ac:dyDescent="0.3">
      <c r="B84" s="30" t="s">
        <v>83</v>
      </c>
      <c r="C84" s="25" t="s">
        <v>115</v>
      </c>
    </row>
    <row r="85" spans="2:3" x14ac:dyDescent="0.3">
      <c r="B85" s="30"/>
      <c r="C85" s="25"/>
    </row>
    <row r="86" spans="2:3" x14ac:dyDescent="0.3">
      <c r="B86" s="30" t="s">
        <v>84</v>
      </c>
      <c r="C86" s="31" t="s">
        <v>116</v>
      </c>
    </row>
    <row r="87" spans="2:3" x14ac:dyDescent="0.3">
      <c r="B87" s="3" t="s">
        <v>40</v>
      </c>
      <c r="C87" s="25" t="s">
        <v>117</v>
      </c>
    </row>
    <row r="88" spans="2:3" ht="15" thickBot="1" x14ac:dyDescent="0.35">
      <c r="B88" s="5" t="s">
        <v>41</v>
      </c>
      <c r="C88" s="34" t="s">
        <v>88</v>
      </c>
    </row>
    <row r="89" spans="2:3" ht="15" thickBot="1" x14ac:dyDescent="0.35"/>
    <row r="90" spans="2:3" ht="15" thickBot="1" x14ac:dyDescent="0.35">
      <c r="B90" s="9" t="s">
        <v>44</v>
      </c>
      <c r="C90" s="10">
        <v>5.9</v>
      </c>
    </row>
    <row r="91" spans="2:3" ht="15" thickBot="1" x14ac:dyDescent="0.35"/>
    <row r="92" spans="2:3" ht="23.4" thickBot="1" x14ac:dyDescent="0.35">
      <c r="B92" s="36" t="s">
        <v>92</v>
      </c>
      <c r="C92" s="17">
        <v>2580000</v>
      </c>
    </row>
    <row r="93" spans="2:3" ht="15" thickBot="1" x14ac:dyDescent="0.35"/>
    <row r="94" spans="2:3" ht="57.6" thickBot="1" x14ac:dyDescent="0.35">
      <c r="B94" s="13" t="s">
        <v>93</v>
      </c>
      <c r="C94" s="12">
        <v>310000</v>
      </c>
    </row>
    <row r="95" spans="2:3" ht="15" thickBot="1" x14ac:dyDescent="0.35"/>
    <row r="96" spans="2:3" ht="15" thickBot="1" x14ac:dyDescent="0.35">
      <c r="B96" s="14" t="s">
        <v>128</v>
      </c>
      <c r="C96" s="17">
        <f>C94+C92</f>
        <v>2890000</v>
      </c>
    </row>
  </sheetData>
  <mergeCells count="6">
    <mergeCell ref="B36:C36"/>
    <mergeCell ref="B38:C38"/>
    <mergeCell ref="B70:C70"/>
    <mergeCell ref="B72:C72"/>
    <mergeCell ref="B2:C2"/>
    <mergeCell ref="B4:C4"/>
  </mergeCells>
  <pageMargins left="0.511811024" right="0.511811024" top="0.78740157499999996" bottom="0.78740157499999996" header="0.31496062000000002" footer="0.31496062000000002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showGridLines="0" zoomScaleNormal="100" workbookViewId="0">
      <selection activeCell="I16" sqref="H16:I18"/>
    </sheetView>
  </sheetViews>
  <sheetFormatPr defaultRowHeight="14.4" x14ac:dyDescent="0.3"/>
  <cols>
    <col min="1" max="1" width="3.5546875" customWidth="1"/>
    <col min="2" max="2" width="35.21875" customWidth="1"/>
    <col min="3" max="3" width="46.5546875" customWidth="1"/>
    <col min="4" max="4" width="2.109375" customWidth="1"/>
  </cols>
  <sheetData>
    <row r="1" spans="2:10" ht="15" thickBot="1" x14ac:dyDescent="0.35"/>
    <row r="2" spans="2:10" ht="15" thickBot="1" x14ac:dyDescent="0.35">
      <c r="B2" s="56" t="s">
        <v>131</v>
      </c>
      <c r="C2" s="53"/>
    </row>
    <row r="3" spans="2:10" ht="15" thickBot="1" x14ac:dyDescent="0.35"/>
    <row r="4" spans="2:10" ht="15" thickBot="1" x14ac:dyDescent="0.35">
      <c r="B4" s="52" t="s">
        <v>130</v>
      </c>
      <c r="C4" s="53"/>
    </row>
    <row r="5" spans="2:10" ht="15" thickBot="1" x14ac:dyDescent="0.35"/>
    <row r="6" spans="2:10" x14ac:dyDescent="0.3">
      <c r="B6" s="26" t="s">
        <v>58</v>
      </c>
      <c r="C6" s="24" t="s">
        <v>132</v>
      </c>
    </row>
    <row r="7" spans="2:10" x14ac:dyDescent="0.3">
      <c r="B7" s="27" t="s">
        <v>133</v>
      </c>
      <c r="C7" s="25" t="s">
        <v>134</v>
      </c>
    </row>
    <row r="8" spans="2:10" x14ac:dyDescent="0.3">
      <c r="B8" s="27" t="s">
        <v>135</v>
      </c>
      <c r="C8" s="25" t="s">
        <v>136</v>
      </c>
      <c r="J8" s="49"/>
    </row>
    <row r="9" spans="2:10" x14ac:dyDescent="0.3">
      <c r="B9" s="27" t="s">
        <v>137</v>
      </c>
      <c r="C9" s="25" t="s">
        <v>138</v>
      </c>
    </row>
    <row r="10" spans="2:10" x14ac:dyDescent="0.3">
      <c r="B10" s="27" t="s">
        <v>139</v>
      </c>
      <c r="C10" s="25" t="s">
        <v>140</v>
      </c>
    </row>
    <row r="11" spans="2:10" x14ac:dyDescent="0.3">
      <c r="B11" s="27" t="s">
        <v>141</v>
      </c>
      <c r="C11" s="25" t="s">
        <v>142</v>
      </c>
    </row>
    <row r="12" spans="2:10" x14ac:dyDescent="0.3">
      <c r="B12" s="27" t="s">
        <v>143</v>
      </c>
      <c r="C12" s="25" t="s">
        <v>144</v>
      </c>
    </row>
    <row r="13" spans="2:10" x14ac:dyDescent="0.3">
      <c r="B13" s="27" t="s">
        <v>146</v>
      </c>
      <c r="C13" s="25" t="s">
        <v>147</v>
      </c>
    </row>
    <row r="14" spans="2:10" x14ac:dyDescent="0.3">
      <c r="B14" s="27" t="s">
        <v>148</v>
      </c>
      <c r="C14" s="25" t="s">
        <v>149</v>
      </c>
    </row>
    <row r="15" spans="2:10" x14ac:dyDescent="0.3">
      <c r="B15" s="27" t="s">
        <v>67</v>
      </c>
      <c r="C15" s="25" t="s">
        <v>145</v>
      </c>
    </row>
    <row r="16" spans="2:10" ht="15" thickBot="1" x14ac:dyDescent="0.35">
      <c r="B16" s="51" t="s">
        <v>150</v>
      </c>
      <c r="C16" s="37" t="s">
        <v>151</v>
      </c>
    </row>
    <row r="18" spans="2:3" x14ac:dyDescent="0.3">
      <c r="B18" s="3" t="s">
        <v>40</v>
      </c>
      <c r="C18" s="25" t="s">
        <v>152</v>
      </c>
    </row>
    <row r="19" spans="2:3" ht="15" thickBot="1" x14ac:dyDescent="0.35">
      <c r="B19" s="5" t="s">
        <v>41</v>
      </c>
      <c r="C19" s="34" t="s">
        <v>153</v>
      </c>
    </row>
    <row r="20" spans="2:3" ht="15" thickBot="1" x14ac:dyDescent="0.35"/>
    <row r="21" spans="2:3" ht="15" thickBot="1" x14ac:dyDescent="0.35">
      <c r="B21" s="9" t="s">
        <v>44</v>
      </c>
      <c r="C21" s="10">
        <v>5.9</v>
      </c>
    </row>
    <row r="22" spans="2:3" ht="11.4" customHeight="1" x14ac:dyDescent="0.3"/>
    <row r="23" spans="2:3" ht="15" thickBot="1" x14ac:dyDescent="0.35"/>
    <row r="24" spans="2:3" ht="15" thickBot="1" x14ac:dyDescent="0.35">
      <c r="B24" s="14" t="s">
        <v>154</v>
      </c>
      <c r="C24" s="17">
        <v>500000</v>
      </c>
    </row>
  </sheetData>
  <mergeCells count="2">
    <mergeCell ref="B2:C2"/>
    <mergeCell ref="B4:C4"/>
  </mergeCells>
  <pageMargins left="0.511811024" right="0.511811024" top="0.78740157499999996" bottom="0.78740157499999996" header="0.31496062000000002" footer="0.31496062000000002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 POTÊNCIAS</vt:lpstr>
      <vt:lpstr>gruas</vt:lpstr>
      <vt:lpstr>elevaores</vt:lpstr>
      <vt:lpstr>lnaçador concreto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 / Matheus Thiago Clemente</dc:creator>
  <cp:lastModifiedBy>FG / João Vitor Moreira Penido</cp:lastModifiedBy>
  <cp:lastPrinted>2025-03-17T12:46:35Z</cp:lastPrinted>
  <dcterms:created xsi:type="dcterms:W3CDTF">2025-03-08T14:58:58Z</dcterms:created>
  <dcterms:modified xsi:type="dcterms:W3CDTF">2025-11-07T19:41:29Z</dcterms:modified>
</cp:coreProperties>
</file>