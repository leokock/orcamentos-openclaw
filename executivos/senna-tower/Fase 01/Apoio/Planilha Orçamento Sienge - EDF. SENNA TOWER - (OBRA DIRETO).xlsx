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5.11 - Senna Tower\04. Custo\04.2 Custo - Preliminar\02 - Elaboração\Apoio\"/>
    </mc:Choice>
  </mc:AlternateContent>
  <xr:revisionPtr revIDLastSave="0" documentId="13_ncr:1_{F22C3453-8108-4B1D-A57B-B3C132A6B2BD}" xr6:coauthVersionLast="47" xr6:coauthVersionMax="47" xr10:uidLastSave="{00000000-0000-0000-0000-000000000000}"/>
  <bookViews>
    <workbookView xWindow="-23148" yWindow="-48" windowWidth="23256" windowHeight="12456" xr2:uid="{54F4CE6A-55A5-4AFB-A2A5-E27FB5ACB795}"/>
  </bookViews>
  <sheets>
    <sheet name="Planilha Orçamento Sienge - E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1" i="1" l="1"/>
  <c r="I74" i="1"/>
  <c r="H131" i="1"/>
  <c r="H143" i="1"/>
</calcChain>
</file>

<file path=xl/sharedStrings.xml><?xml version="1.0" encoding="utf-8"?>
<sst xmlns="http://schemas.openxmlformats.org/spreadsheetml/2006/main" count="1257" uniqueCount="539">
  <si>
    <t>Nível</t>
  </si>
  <si>
    <t>Referência</t>
  </si>
  <si>
    <t>Descrição</t>
  </si>
  <si>
    <t>Qtde. orçada</t>
  </si>
  <si>
    <t>Unidade</t>
  </si>
  <si>
    <t>Preço total</t>
  </si>
  <si>
    <t>BDI(%)</t>
  </si>
  <si>
    <t>INDIRETOS</t>
  </si>
  <si>
    <t>PROJETOS E CONSULTORIAS</t>
  </si>
  <si>
    <t>Projetos e consultorias</t>
  </si>
  <si>
    <t>Projetos e consultorias global</t>
  </si>
  <si>
    <t>m2</t>
  </si>
  <si>
    <t>LEED</t>
  </si>
  <si>
    <t>Certificação Leed</t>
  </si>
  <si>
    <t>SERVIÇOS TÉCNICOS</t>
  </si>
  <si>
    <t>Serviço topográfico</t>
  </si>
  <si>
    <t>vb</t>
  </si>
  <si>
    <t>Ensaios e Laudos</t>
  </si>
  <si>
    <t>Serviço Topográfico + Ensaios e Laudos</t>
  </si>
  <si>
    <t>SERVIÇOS PRELIMINARES E CANTEIRO DE OBRA</t>
  </si>
  <si>
    <t>Serviços Preliminares</t>
  </si>
  <si>
    <t>Placa de obra</t>
  </si>
  <si>
    <t>Tapume especial, calçada provisória, placa de obra e portões (estimado)</t>
  </si>
  <si>
    <t>m</t>
  </si>
  <si>
    <t>Plotagens e impressões</t>
  </si>
  <si>
    <t>Construção de Canteiro de Obras</t>
  </si>
  <si>
    <t>Construções e sinalizações provisórias</t>
  </si>
  <si>
    <t>Mobiliário e equipamentos para obra</t>
  </si>
  <si>
    <t>Plano logístico de canteiro</t>
  </si>
  <si>
    <t>Instalações provisórias hidrossanitárias (Material e M.O.)</t>
  </si>
  <si>
    <t>Instalações provisórias hidrossanitárias (Material)</t>
  </si>
  <si>
    <t>Sistema de bombeamento provisório</t>
  </si>
  <si>
    <t>un</t>
  </si>
  <si>
    <t>Sistema para tratamento de efluentes de tinta e argamassa</t>
  </si>
  <si>
    <t>Instalações Provisórias Elétrica (Material e M.O.)</t>
  </si>
  <si>
    <t>Instalações provisórias elétricas</t>
  </si>
  <si>
    <t>Instalações Provisórias Preventivo (Material e M.O.)</t>
  </si>
  <si>
    <t>Instalações provisórias preventivo</t>
  </si>
  <si>
    <t>Refeitório para funcionários</t>
  </si>
  <si>
    <t>Sala do cliente</t>
  </si>
  <si>
    <t>Sala do cliente (incluso EPIs, equipamentos, parte civil e manutenção)</t>
  </si>
  <si>
    <t>Seguro de obra</t>
  </si>
  <si>
    <t>CUSTOS DE OPERAÇÃO</t>
  </si>
  <si>
    <t>Despesas Faturas Água, Luz, Lixo</t>
  </si>
  <si>
    <t>Despesas com faturas (água, luz, lixo)</t>
  </si>
  <si>
    <t>mês</t>
  </si>
  <si>
    <t>Despesas Administr. De Consumo, Escritório e Limpeza</t>
  </si>
  <si>
    <t>Despesas com material de escritório</t>
  </si>
  <si>
    <t>Material de limpeza, higiene e uso</t>
  </si>
  <si>
    <t>Despesas Administr. Diretas da Obra (M.O.)</t>
  </si>
  <si>
    <t>Administração direta (incluso EPIs e ferramentas manuais)</t>
  </si>
  <si>
    <t>Taxas e ART's</t>
  </si>
  <si>
    <t>Despesas Administr. De apoio a Obra (M.O.)</t>
  </si>
  <si>
    <t>Mão de obra de apoio a produção (incluso EPIs e ferramentas manuais)</t>
  </si>
  <si>
    <t>Custos de Vigilância e Portaria</t>
  </si>
  <si>
    <t>Serviço de vigilância eletrônica</t>
  </si>
  <si>
    <t>Serviço de portaria diurna</t>
  </si>
  <si>
    <t>Serviço de vigilância noturna</t>
  </si>
  <si>
    <t>Despesas com Manutenções de tapume e calçada</t>
  </si>
  <si>
    <t>Manutenção de tapume e calçada</t>
  </si>
  <si>
    <t>Limpeza Diária da Obra</t>
  </si>
  <si>
    <t>Mão de obra para limpeza geral da obra</t>
  </si>
  <si>
    <t>Verba para remoção de entulho</t>
  </si>
  <si>
    <t>Equipamentos de Proteção Coletivas</t>
  </si>
  <si>
    <t>Equipamentos de Proteção Coletiva - EPC</t>
  </si>
  <si>
    <t>EQUIPAMENOS DE OBRA</t>
  </si>
  <si>
    <t>Elevador de Obra</t>
  </si>
  <si>
    <t>Elevador cremalheira / poço - inclusive manutenção preventiva e corretiva, ascensão, montagem e desmontagem - Compra</t>
  </si>
  <si>
    <t>und</t>
  </si>
  <si>
    <t>Grua</t>
  </si>
  <si>
    <t>Grua c/ suporte - inclusive manutenção preventiva e corretiva, ascensão, montagem, desmontagem - Estimativa p/ compra</t>
  </si>
  <si>
    <t>Grua convencional - inclusive manutenção preventiva e corretiva, ascensão, montagem, desmontagem</t>
  </si>
  <si>
    <t>Acessórios para grua (corda luminosa, bandeira, logo..)</t>
  </si>
  <si>
    <t>Sistemas de suporte para trabalho em altura para fachada</t>
  </si>
  <si>
    <t>Balancim elétrico - inclusive manutenção preventiva e corretiva, montagem, desmontagem</t>
  </si>
  <si>
    <t>Braço para lançamento de concreto</t>
  </si>
  <si>
    <t>Braço para lançamento de concreto - Tipo de Coluna e Escalada</t>
  </si>
  <si>
    <t>Logística de obra (M.O. e equipamentos)</t>
  </si>
  <si>
    <t>Equipamentos para logística de materiais - Bongo, munck e empilhadeira</t>
  </si>
  <si>
    <t>INFRAESTRUTURA</t>
  </si>
  <si>
    <t>SERVIÇOS EM TERRA</t>
  </si>
  <si>
    <t>Serviços em terra</t>
  </si>
  <si>
    <t>Serviços em terra - Parametrizado</t>
  </si>
  <si>
    <t>m3</t>
  </si>
  <si>
    <t>FUNDAÇÕES PROFUNDAS - BLOCO CENTRAL</t>
  </si>
  <si>
    <t>Execução de estacas (M.O, equipamentos e acessórios)</t>
  </si>
  <si>
    <t>Taxa de mobilização da hélice contínua</t>
  </si>
  <si>
    <t>Execução de estaca hélice contínua Ø60cm &gt; 32m (M.O. e equipamentos)</t>
  </si>
  <si>
    <t>Destino resíduo hélice</t>
  </si>
  <si>
    <t>Armação e Espaçadores (Material)</t>
  </si>
  <si>
    <t>Armadura 8,0mm estacas (material)</t>
  </si>
  <si>
    <t>kg</t>
  </si>
  <si>
    <t>Clipe para amarração de aço</t>
  </si>
  <si>
    <t>Espaçadores estacas</t>
  </si>
  <si>
    <t>Concreto/argamassa (Material, M.O. e Equipamentos)</t>
  </si>
  <si>
    <t>Argamassa 70MPa 40 Gpa estacas (material, M.O. e equipamentos)</t>
  </si>
  <si>
    <t>Arrasamento de estaca</t>
  </si>
  <si>
    <t>Arrasamento de estacas</t>
  </si>
  <si>
    <t>FUNDAÇÕES PROFUNDAS - EMBASAMENTO</t>
  </si>
  <si>
    <t>Execução de estaca hélice contínua Ø60cm &gt; 32m em solo padrão (M.O. e equipamentos)</t>
  </si>
  <si>
    <t>Armadura 6,3mm estacas (material)</t>
  </si>
  <si>
    <t>Armadura 20,0mm estacas (material)</t>
  </si>
  <si>
    <t>Concreto usinado 40MPa 40 Gpa estacas (material, M.O. e equipamentos)</t>
  </si>
  <si>
    <t>CONTENÇÃO</t>
  </si>
  <si>
    <t>Contenção - Parametrizado</t>
  </si>
  <si>
    <t>Contenção, mureta-guia, concreto, aço, impermeabilização das juntas e demais serviços relacionados - Estimativa</t>
  </si>
  <si>
    <t>BLOCOS COROAMENTO - BLOCO PRINCIPAL</t>
  </si>
  <si>
    <t>Formas blocos (Material)</t>
  </si>
  <si>
    <t>Lastro concreto magro para vigas e blocos (material)</t>
  </si>
  <si>
    <t>Montagem fôrmas para fundação - (material)</t>
  </si>
  <si>
    <t>Armadura 6,3mm (material)</t>
  </si>
  <si>
    <t>Espaçadores blocos - bloco principal</t>
  </si>
  <si>
    <t>Concreto (Material e M.O.)</t>
  </si>
  <si>
    <t>Concreto usinado 70MPa 40Gpa (material, M.O. e equipamentos)</t>
  </si>
  <si>
    <t>Infra-Estrutura (M.O.)</t>
  </si>
  <si>
    <t>M.O. para execução da infraestrutura</t>
  </si>
  <si>
    <t>BLOCOS COROAMENTO - DEMAIS BLOCOS</t>
  </si>
  <si>
    <t>Rebaixamento do Lençol Freático</t>
  </si>
  <si>
    <t>Instalação de ponteiras</t>
  </si>
  <si>
    <t>Espaçadores blocos - blocos embasamento</t>
  </si>
  <si>
    <t>Concreto usinado 40MPa 40Gpa (material, M.O. e equipamentos)</t>
  </si>
  <si>
    <t>SUPRAESTRUTURA</t>
  </si>
  <si>
    <t>SUPRAESTRUTURA EMBASAMENTO</t>
  </si>
  <si>
    <t>Passagens shaft (Material)</t>
  </si>
  <si>
    <t>Passagem dos shafts em laje</t>
  </si>
  <si>
    <t>Espaçadores embasamento</t>
  </si>
  <si>
    <t>Concreto (Material, M.O. e Equipamentos)</t>
  </si>
  <si>
    <t>Concreto usinado 75MPa 45Gpa (material, M.O. e equipamentos)</t>
  </si>
  <si>
    <t>Concreto usinado 100MPa 50Gpa (material, M.O. e equipamentos)</t>
  </si>
  <si>
    <t>Aditivo cristalizante adição concreto</t>
  </si>
  <si>
    <t>Supra Estrutura , formas e escoras (M.O.)</t>
  </si>
  <si>
    <t>M.O. para execução da supraestrutura embasamento - incluso formas e escoramento</t>
  </si>
  <si>
    <t>SUPRAESTRUTURA TORRE</t>
  </si>
  <si>
    <t>Espaçadores torre</t>
  </si>
  <si>
    <t>Concreto usinado 50MPa 40Gpa (material, M.O. e equipamentos)</t>
  </si>
  <si>
    <t>Concreto usinado 60MPa 40Gpa (material, M.O. e equipamentos)</t>
  </si>
  <si>
    <t>Concreto usinado 65MPa 40Gpa (material, M.O. e equipamentos)</t>
  </si>
  <si>
    <t>Concreto usinado 70MPa 45Gpa (material, M.O. e equipamentos)</t>
  </si>
  <si>
    <t>Concreto usinado 80MPa 45Gpa (material, M.O. e equipamentos)</t>
  </si>
  <si>
    <t>Concreto usinado 90MPa 45Gpa (material, M.O. e equipamentos)</t>
  </si>
  <si>
    <t>M.O. para execução da supraestrutura torre - incluso formas e escoramento</t>
  </si>
  <si>
    <t>SUPRAESTRUTURA PAVIMENTOS TÉCNICOS</t>
  </si>
  <si>
    <t>Espaçadores técnicos</t>
  </si>
  <si>
    <t>M.O. para execução da supraestrutura técnicos - incluso formas e escoramento</t>
  </si>
  <si>
    <t>Mass Damper (Material e M.O.)</t>
  </si>
  <si>
    <t>Mass Damper (Material)</t>
  </si>
  <si>
    <t>Mass Damper (M.O. e Equipamentos)</t>
  </si>
  <si>
    <t>PAREDES E DIVISÓRIAS</t>
  </si>
  <si>
    <t>PAREDES E DIVISÓRIAS ÁREA COMUM</t>
  </si>
  <si>
    <t>Alvenaria de Tijolo Ceramico e Concreto Celular (Material)</t>
  </si>
  <si>
    <t>Divisória de concreto celular e=15 cm (material)</t>
  </si>
  <si>
    <t>Bloco celular para mureta e=10cm (material)</t>
  </si>
  <si>
    <t>Alvenaria (M.O.)</t>
  </si>
  <si>
    <t>Divisória de concreto celular e=15 cm (M.O.)</t>
  </si>
  <si>
    <t>Bloco celular para mureta e=10cm (M.O.)</t>
  </si>
  <si>
    <t>Divisória de Gesso Acartonado (Material)</t>
  </si>
  <si>
    <t>Revestimento de parede em gesso acartonado (material)</t>
  </si>
  <si>
    <t>Vedação estruturada em gesso acartonado (material)</t>
  </si>
  <si>
    <t>Divisória de Gesso Acartonado (M.O.)</t>
  </si>
  <si>
    <t>Revestimento de parede em gesso acartonado (M.O.)</t>
  </si>
  <si>
    <t>Vedação estruturada em gesso acartonado (M.O.)</t>
  </si>
  <si>
    <t>PAREDES E DIVISÓRIAS EMBASAMENTO</t>
  </si>
  <si>
    <t>PAREDES E DIVISÓRIAS PAVIMENTOS TORRE</t>
  </si>
  <si>
    <t>Bloco celular para mureta e=10cm (Material)</t>
  </si>
  <si>
    <t>PAREDES E DIVISÓRIAS PAVIMENTOS TÉCNICOS</t>
  </si>
  <si>
    <t>INSTALAÇÕES HIDROSSANITÁRIAS</t>
  </si>
  <si>
    <t>INSTALAÇÕES HIDROSSANITÁRIAS (MATERIAL)</t>
  </si>
  <si>
    <t>Ramais e Distribuição (Material)</t>
  </si>
  <si>
    <t>Hidrômetro</t>
  </si>
  <si>
    <t>Tubulação ventilação forçada</t>
  </si>
  <si>
    <t>Instalações hidrossanitárias (Material)</t>
  </si>
  <si>
    <t>Instalação hidrossanitária (material) - Cotação Temon</t>
  </si>
  <si>
    <t>INSTALAÇÕES HIDROSSANITÁRIAS (M.O.)</t>
  </si>
  <si>
    <t>Instalações Hidrossanitárias (M.O.)</t>
  </si>
  <si>
    <t>Instalações provisórias hidrossanitárias (M.O.)</t>
  </si>
  <si>
    <t>Entrada de água e alimentação das torneiras (M.O.)</t>
  </si>
  <si>
    <t>Marcação de instalações na laje e passagens (M.O.)</t>
  </si>
  <si>
    <t>Hidrômetro (M.O.)</t>
  </si>
  <si>
    <t>Tubulação ventilação forçada (M.O.)</t>
  </si>
  <si>
    <t>Acabamentos colocação de louças e metais apartamentos (M.O.)</t>
  </si>
  <si>
    <t>Acabamentos colocação de louças e metais área comum (M.O.)</t>
  </si>
  <si>
    <t>Instalação hidrossanitária (M.O.) - Cotação Temon</t>
  </si>
  <si>
    <t>INSTALAÇÕES ELÉTRICAS, LÓGICAS E TELEFÔNICAS</t>
  </si>
  <si>
    <t>INSTALAÇÕES ELÉTRICAS, LÓGICAS E TELEFÔNICAS EDIFÍCIO</t>
  </si>
  <si>
    <t>Entrada de energia, subestação e barramento blindado (Material)</t>
  </si>
  <si>
    <t>Melhoria de rede</t>
  </si>
  <si>
    <t>Estações de recarga carros elétricos (Material)</t>
  </si>
  <si>
    <t>Estação de recarga veicular</t>
  </si>
  <si>
    <t>INSTALAÇÕES ELÉTRICAS, LÓGICAS E TELEFÔNICAS PAVIMENTOS (MATERIAL)</t>
  </si>
  <si>
    <t>Exaustores</t>
  </si>
  <si>
    <t>Exaustão forçada - Ventokit apartamentos (material)</t>
  </si>
  <si>
    <t>Exaustão forçada e renovação de ar (material)</t>
  </si>
  <si>
    <t>Exaustor para churrasqueira a carvão</t>
  </si>
  <si>
    <t>Exaustor para churrasqueira a gas</t>
  </si>
  <si>
    <t>Exaustor para coifa</t>
  </si>
  <si>
    <t>Ventilação garagem (material)</t>
  </si>
  <si>
    <t>Instalações Elétricas (Material)</t>
  </si>
  <si>
    <t>Instalação elétrica e telefonia (material) - Cotação Temon</t>
  </si>
  <si>
    <t>INSTALAÇÕES ELÉTRICAS, LÓGICAS E TELEFÔNICAS (M.O.)</t>
  </si>
  <si>
    <t>Instalações Elétricas (M.O.)</t>
  </si>
  <si>
    <t>Instalações provisórias elétricas (M.O.)</t>
  </si>
  <si>
    <t>Exaustão forçada - Ventokit apartamentos (M.O.)</t>
  </si>
  <si>
    <t>Exaustão forçada e renovação de ar (M.O.)</t>
  </si>
  <si>
    <t>Exaustor para churrasqueira (M.O.)</t>
  </si>
  <si>
    <t>Exaustores ventilação garagens (M.O.)</t>
  </si>
  <si>
    <t>Instalação elétrica e telefonia (M.O.) - Cotação Temon</t>
  </si>
  <si>
    <t>REVESTIMENTOS EM ARGAMASSA DE PISO, PAREDE E TETO</t>
  </si>
  <si>
    <t>REVESTIMENTOS EM ARGAMASSA DE PISO, PAREDE E TETO ÁREA COMUM</t>
  </si>
  <si>
    <t>Contrapiso (Material)</t>
  </si>
  <si>
    <t>Contrapiso e=3,5cm (material)</t>
  </si>
  <si>
    <t>Contrapiso estruturado e=5,0cm (material)</t>
  </si>
  <si>
    <t>Manta acústica (material)</t>
  </si>
  <si>
    <t>Contrapiso (M.O.)</t>
  </si>
  <si>
    <t>Contrapiso e=3,5cm para drywall  (M.O.)</t>
  </si>
  <si>
    <t>Contrapiso estruturado e=5,0cm (M.O.)</t>
  </si>
  <si>
    <t>Manta acústica (M.O.)</t>
  </si>
  <si>
    <t>Revestimento Interno (Material)</t>
  </si>
  <si>
    <t>Chapisco / reboco paredes internas c/ arg. projetada e=2,0cm (material)</t>
  </si>
  <si>
    <t>Regularização  de superfícies (pilares, vigas e teto) (material)</t>
  </si>
  <si>
    <t>Revestimento Interno (M.O.)</t>
  </si>
  <si>
    <t>Chapisco / reboco paredes internas c/ arg. projetada e=2,0cm (M.O.)</t>
  </si>
  <si>
    <t>Regularização  de superfícies (pilares, vigas e teto) (M.O.)</t>
  </si>
  <si>
    <t>Regularização de superfície escadaria e ante-câmara (M.O.)</t>
  </si>
  <si>
    <t>Revestimento Fachada (Material)</t>
  </si>
  <si>
    <t>Reboco paredes externas c/ arg. projetada e=3,5cm (material)</t>
  </si>
  <si>
    <t>Revestimento Fachada (M.O.)</t>
  </si>
  <si>
    <t>Reboco paredes externas c/ arg. projetada e=3,5cm (M.O.)</t>
  </si>
  <si>
    <t>REVESTIMENTOS EM ARGAMASSA DE PISO, PAREDE E TETO EMBASAMENTO</t>
  </si>
  <si>
    <t>REVESTIMENTOS EM ARGAMASSA DE PISO, PAREDE E TETO PAVIMENTOS TORRE</t>
  </si>
  <si>
    <t>REVESTIMENTOS EM ARGAMASSA DE PISO, PAREDE E TETO PAVIMENTOS TÉCNICOS</t>
  </si>
  <si>
    <t>FORRO</t>
  </si>
  <si>
    <t>FORRO ÁREA COMUM</t>
  </si>
  <si>
    <t>Revestimento de Gesso (Material)</t>
  </si>
  <si>
    <t>Forro de gesso acartonado - diluído custo de sancas, cortineiros e demais detalhes (material)</t>
  </si>
  <si>
    <t>Revestimento de Gesso (M.O.)</t>
  </si>
  <si>
    <t>Forro de gesso acartonado - diluído custo de sancas, cortineiros e demais detalhes (M.O.)</t>
  </si>
  <si>
    <t>Revestimento de ACM (Material)</t>
  </si>
  <si>
    <t>Forro em ACM (material)</t>
  </si>
  <si>
    <t>Revestimento de ACM (M.O.)</t>
  </si>
  <si>
    <t>Forro em ACM (M.O)</t>
  </si>
  <si>
    <t>FORRO EMBASAMENTO</t>
  </si>
  <si>
    <t>FORRO PAVIMENTOS TORRE</t>
  </si>
  <si>
    <t>FORRO PAVIMENTOS TÉCNICOS</t>
  </si>
  <si>
    <t>IMPERMEABILIZAÇÕES</t>
  </si>
  <si>
    <t>Impermeabilizações (Material e M.O.)</t>
  </si>
  <si>
    <t>Impermeabilização parametrizada (Material e M.O.)</t>
  </si>
  <si>
    <t>PINTURA</t>
  </si>
  <si>
    <t>PINTURA ÁREA COMUM</t>
  </si>
  <si>
    <t>Pintura (Material)</t>
  </si>
  <si>
    <t>Pintura sobre drywall seco (material)</t>
  </si>
  <si>
    <t>Pintura sobre reboco (material)</t>
  </si>
  <si>
    <t>Pintura de deck de madeira (material)</t>
  </si>
  <si>
    <t>Pintura epóxi de piso (material)</t>
  </si>
  <si>
    <t>Pintura de rodapé epóxi 10cm (material)</t>
  </si>
  <si>
    <t>Pintura de corrimão (material)</t>
  </si>
  <si>
    <t>Pintura de tubulação da garagem (material)</t>
  </si>
  <si>
    <t>Pintura de faixas de garagem (material)</t>
  </si>
  <si>
    <t>Textura interna (material)</t>
  </si>
  <si>
    <t>Textura interna - Box de praia (material)</t>
  </si>
  <si>
    <t>Textura externa (material)</t>
  </si>
  <si>
    <t>Pintura (M.O.)</t>
  </si>
  <si>
    <t>Pintura de faixas de garagem (M.O.)</t>
  </si>
  <si>
    <t>Pintura sobre gesso seco (M.O.)</t>
  </si>
  <si>
    <t>Pintura de deck de madeira (M.O.)</t>
  </si>
  <si>
    <t>Pintura sobre reboco (M.O.)</t>
  </si>
  <si>
    <t>Pintura de piso e rodapé (M.O.)</t>
  </si>
  <si>
    <t>Pintura de corrimão (M.O.)</t>
  </si>
  <si>
    <t>Pintura de tubulação da garagem (M.O.)</t>
  </si>
  <si>
    <t>Textura interna (M.O.)</t>
  </si>
  <si>
    <t>Textura box de praia (M.O.)</t>
  </si>
  <si>
    <t>Textura externa do edifício por empreitada pela área de vista frontal (M.O.)</t>
  </si>
  <si>
    <t>PINTURA EMBASAMENTO</t>
  </si>
  <si>
    <t>PINTURA PAVIMENTOS TORRE</t>
  </si>
  <si>
    <t>PINTURA PAVIMENTOS TÉCNICOS</t>
  </si>
  <si>
    <t>Pintura sobre gesso seco (material)</t>
  </si>
  <si>
    <t>ACABAMENTOS DE PISO E PAREDE</t>
  </si>
  <si>
    <t>ACABAMENTOS DE PISO E PAREDE ÁREA COMUM</t>
  </si>
  <si>
    <t>Acabamento de Piso (Material)</t>
  </si>
  <si>
    <t>Acabamento de piso vinílico Embasamento padrão Atlântica (material)</t>
  </si>
  <si>
    <t>Acabamento de piso porcelanato 14,5 X 14,5m (material)</t>
  </si>
  <si>
    <t>Acabamento de piso porcelanato 60 x 60cm (material)</t>
  </si>
  <si>
    <t>Acabamento de piso porcelanato 120 x 120cm (material)</t>
  </si>
  <si>
    <t>Acabamento de piso porcelanato 120 x 120cm com rejunte especial (material)</t>
  </si>
  <si>
    <t>Acabamento de piso pedra Infinity Concret Light com rejunte especial (material)</t>
  </si>
  <si>
    <t>Proteção mecânica piso modular</t>
  </si>
  <si>
    <t>Deck de madeira (material)</t>
  </si>
  <si>
    <t>Revestimento escadas especiais (comum) (material)</t>
  </si>
  <si>
    <t>Piso elevado com acabamento em porcelanato 60 x 60cm antiderrapante  (material)</t>
  </si>
  <si>
    <t>Rodapé 15cm de porcelanato 60 x 60cm (material)</t>
  </si>
  <si>
    <t>Rodapé 20cm de porcelanato 1,20 x 1,20m (material)</t>
  </si>
  <si>
    <t>Rodapé 20cm de granito (material)</t>
  </si>
  <si>
    <t>Acabamento de Piso (M.O.)</t>
  </si>
  <si>
    <t>Assentamento vinílico (M.O.)</t>
  </si>
  <si>
    <t>Assentamento de porcelanato, cerâmica, lajota, pedra &lt;= 0,99 m²  (M.O.)</t>
  </si>
  <si>
    <t>Assentamento de porcelanato, cerâmica, lajota, pedra de 1,1 a 1,44 m² (M.O.)</t>
  </si>
  <si>
    <t>Assentamento de porcelanato, cerâmica, lajota, pedra de 2,26 a 4,50 m² (M.O.)</t>
  </si>
  <si>
    <t>Deck de madeira (M.O.)</t>
  </si>
  <si>
    <t>Assentamento de porcelanato com rejunte epóxi (M.O.)</t>
  </si>
  <si>
    <t>Revestimento escadas especiais (privativa) (M.O.)</t>
  </si>
  <si>
    <t>Execução de piso elevado com acabamento em porcelanato 60 x 60cm antiderrapante (M.O.)</t>
  </si>
  <si>
    <t>Colocação de rodapé de cerâmica/porcelanato (M.O.)</t>
  </si>
  <si>
    <t>Colocação de rodapé de granito (M.O.)</t>
  </si>
  <si>
    <t>Detalhes em Granito (Material)</t>
  </si>
  <si>
    <t>Soleiras de granito branco ceará (material)</t>
  </si>
  <si>
    <t>Borda de granito piscinas Limestone 40cm (material)</t>
  </si>
  <si>
    <t>Detalhes em Granito (M.O.)</t>
  </si>
  <si>
    <t>Soleiras de granito (M.O.)</t>
  </si>
  <si>
    <t>Execução borda de granito piscinas (M.O.)</t>
  </si>
  <si>
    <t>Acabamento de Parede Interna (Material)</t>
  </si>
  <si>
    <t>Acabamento de parede - porcelanato 14,5 X 14,5m (material)</t>
  </si>
  <si>
    <t>Acabamento de Parede Interna (M.O.)</t>
  </si>
  <si>
    <t>Acabamento de Parede Externa (Material)</t>
  </si>
  <si>
    <t>Acabamento de parede externa - porcelanato 60 X 120cm (material)</t>
  </si>
  <si>
    <t>Revestimento para fachada ventilada (material)</t>
  </si>
  <si>
    <t>Sistema de fachada ventilada (material)</t>
  </si>
  <si>
    <t>Acabamento de Parede Externa (M.O.)</t>
  </si>
  <si>
    <t>Sistema de fachada ventilada (M.O.)</t>
  </si>
  <si>
    <t>ACABAMENTOS DE PISO E PAREDE EMBASAMENTO</t>
  </si>
  <si>
    <t>Acabamento de Piso de Garagem (Material)</t>
  </si>
  <si>
    <t>Pintura epóxi de piso garagens (material)</t>
  </si>
  <si>
    <t>Pintura demarcação de vagas de garagem (material e M.O.)</t>
  </si>
  <si>
    <t>Acabamento de piso - lajotas (rampa das garagens) (material)</t>
  </si>
  <si>
    <t>Rodapé 10cm de lajota rampa (material)</t>
  </si>
  <si>
    <t>Acabamento de Piso de Garagem (M.O.)</t>
  </si>
  <si>
    <t>Polimento de piso de concreto aparente (M.O.)</t>
  </si>
  <si>
    <t>Preparação e pintura do piso (M.O.)</t>
  </si>
  <si>
    <t>Pintura de rodapé 10cm (M.O.)</t>
  </si>
  <si>
    <t>Assentamento de lajota rampa (M.O.)</t>
  </si>
  <si>
    <t>Acabamento de Piso de Calçadas (Material)</t>
  </si>
  <si>
    <t>Calçada externa definitiva concreto estampado - inclusive meio fio (material)</t>
  </si>
  <si>
    <t>Acabamento de Piso de Calçadas (M.O.)</t>
  </si>
  <si>
    <t>Calçada externa definitiva concreto estampado - inclusive meio fio (M.O.)</t>
  </si>
  <si>
    <t>ACABAMENTOS DE PISO E PAREDE TORRE</t>
  </si>
  <si>
    <t>Acabamento de piso vinílico Torre (material)</t>
  </si>
  <si>
    <t>Proteção mecânica em manta</t>
  </si>
  <si>
    <t>Revestimento escadas especiais (privativa) (material)</t>
  </si>
  <si>
    <t>Rodapé 20cm de madeira (material)</t>
  </si>
  <si>
    <t>Colocação de rodapé de madeira (M.O.)</t>
  </si>
  <si>
    <t>Filete de Nanoglass (material)</t>
  </si>
  <si>
    <t>Borda de granito piscinas Limestone (material)</t>
  </si>
  <si>
    <t>Acabamento de parede - porcelanato 60 X 120cm Polido (material)</t>
  </si>
  <si>
    <t>Acabamento de parede - revestimento de nichos (material)</t>
  </si>
  <si>
    <t>Assentamento de porcelanato nichos (M.O.)</t>
  </si>
  <si>
    <t>ACABAMENTOS DE PISO E PAREDE PAVIMENTOS TÉCNICOS</t>
  </si>
  <si>
    <t>ESQUADRIAS</t>
  </si>
  <si>
    <t>ESQUADRIAS DE ALUMÍNIO</t>
  </si>
  <si>
    <t>Esquadrias de Alumínio Edifício (Material e M.O.)</t>
  </si>
  <si>
    <t>Pele entre vigas - vidro laminado refletivo (material)</t>
  </si>
  <si>
    <t>Pele passante  - vidro laminado refletivo (material)</t>
  </si>
  <si>
    <t>Porta janela - vidro laminado refletivo (material)</t>
  </si>
  <si>
    <t>Vidro temperado translúcido (material)</t>
  </si>
  <si>
    <t>Porta blindada (material)</t>
  </si>
  <si>
    <t>Vidro encaixilhado translúcido (material)</t>
  </si>
  <si>
    <t>Portão alumínio (material)</t>
  </si>
  <si>
    <t>Guarda corpo autoportante - vidro laminado refletivo (material)</t>
  </si>
  <si>
    <t>Veneziana de alumínio (material)</t>
  </si>
  <si>
    <t>Brises de alumínio unitizado (material)</t>
  </si>
  <si>
    <t>Brises de alumínio decorativo (material)</t>
  </si>
  <si>
    <t>Fechadura digital fenner</t>
  </si>
  <si>
    <t>Compartimentação vertical nas esquadrias (Material e M.O.)</t>
  </si>
  <si>
    <t>ESQUADRIA DE MADEIRA</t>
  </si>
  <si>
    <t>Esquadrias de Madeira Embasamento (Material)</t>
  </si>
  <si>
    <t>Porta de madeira abrir 0,70x2,10m (material)</t>
  </si>
  <si>
    <t>Porta de madeira abrir 0,80x2,10m (material)</t>
  </si>
  <si>
    <t>Porta de madeira abrir RU 0,80x2,10m (material)</t>
  </si>
  <si>
    <t>Porta de madeira abrir 0,90x2,10m (material)</t>
  </si>
  <si>
    <t>Porta de madeira abrir RU 0,90x2,10m (material)</t>
  </si>
  <si>
    <t>Esquadrias de Madeira Embasamento (M.O.)</t>
  </si>
  <si>
    <t>Instalação de porta de madeira abrir 0,70x2,10m (M.O.)</t>
  </si>
  <si>
    <t>Instalação de porta de madeira abrir 0,80x2,10m (M.O.)</t>
  </si>
  <si>
    <t>Instalação de porta de madeira abrir 0,90x2,10m (M.O.)</t>
  </si>
  <si>
    <t>Esquadrias de Madeira Área Comum (Material)</t>
  </si>
  <si>
    <t>Porta de madeira abrir RU 0,60x2,10m com apliques (material)</t>
  </si>
  <si>
    <t>Porta de madeira abrir 0,70x2,10m com apliques (material)</t>
  </si>
  <si>
    <t>Porta de madeira abrir RU 0,70x2,10m com apliques (material)</t>
  </si>
  <si>
    <t>Porta de madeira abrir 0,80x2,10m com apliques (material)</t>
  </si>
  <si>
    <t>Porta de madeira abrir RU 0,80x2,10m com apliques (material)</t>
  </si>
  <si>
    <t>Porta de madeira abrir 0,90x2,10m com apliques (material)</t>
  </si>
  <si>
    <t>Porta de madeira abrir RU 0,90x2,10m com apliques (material)</t>
  </si>
  <si>
    <t>Porta de madeira abrir 1,00x2,10m (material)</t>
  </si>
  <si>
    <t>Esquadrias de Madeira Área Comum (M.O.)</t>
  </si>
  <si>
    <t>Instalação de porta de madeira abrir 0,60x2,10m (M.O.)</t>
  </si>
  <si>
    <t>Instalação de porta de madeira abrir 1,00x2,10m (M.O.)</t>
  </si>
  <si>
    <t>Esquadrias de Madeira Torre (Material)</t>
  </si>
  <si>
    <t>Porta de madeira PRF-30 abrir 1,10x2,10m com biometria (material)</t>
  </si>
  <si>
    <t>Porta de madeira PRF-30 abrir 1,20x2,10m com biometria (material)</t>
  </si>
  <si>
    <t>Esquadrias de Madeira Torre (M.O.)</t>
  </si>
  <si>
    <t>Instalação de porta de madeira abrir 1,10x2,10m (M.O.)</t>
  </si>
  <si>
    <t>Instalação de porta de madeira abrir 1,20x2,10m (M.O.)</t>
  </si>
  <si>
    <t>Esquadrias de Madeira Técnicos (Material)</t>
  </si>
  <si>
    <t>Esquadrias de Madeira Técnicos (M.O.)</t>
  </si>
  <si>
    <t>PORTAS CORTA FOGO</t>
  </si>
  <si>
    <t>Portas Corta Fogo Área comum (Material)</t>
  </si>
  <si>
    <t>Porta corta fogo pintura epóxi 0,90x2,10m (material)</t>
  </si>
  <si>
    <t>Porta corta fogo epóxi dupla 1,60x2,10m (material)</t>
  </si>
  <si>
    <t>Portas Corta Fogo Área Comum (M.O.)</t>
  </si>
  <si>
    <t>Instalação de porta corta fogo pintura epóxi 0,90x2,10m (M.O.)</t>
  </si>
  <si>
    <t>Instalação de porta corta fogo inox dupla 1,60x2,10m (M.O.)</t>
  </si>
  <si>
    <t>Portas Corta Fogo Embasamento (Material)</t>
  </si>
  <si>
    <t>Portas Corta Fogo Embasamento (M.O.)</t>
  </si>
  <si>
    <t>Portas Corta Fogo Torre (Material)</t>
  </si>
  <si>
    <t>Portas Corta Fogo Torre (M.O.)</t>
  </si>
  <si>
    <t>Portas Corta Fogo Técnicos (Material)</t>
  </si>
  <si>
    <t>Portas Corta Fogo Técnicos (M.O.)</t>
  </si>
  <si>
    <t>Instalação de porta corta fogo inox 0,90x2,10m (M.O.)</t>
  </si>
  <si>
    <t>SISTEMAS E INSTALAÇÕES ESPECIAIS</t>
  </si>
  <si>
    <t>SISTEMAS CONTRA INCÊNDIO</t>
  </si>
  <si>
    <t>Escada pressurizada (Material e M.O.)</t>
  </si>
  <si>
    <t>Escada pressurizada</t>
  </si>
  <si>
    <t>Desenfumagem (Material e M.O.)</t>
  </si>
  <si>
    <t>Desenfumagem</t>
  </si>
  <si>
    <t>Sistema de detecção e alarme (Material e M.O.)</t>
  </si>
  <si>
    <t>Cabeamento e equipamentos alarme de incêndio</t>
  </si>
  <si>
    <t>Extintores e placas de sinalização</t>
  </si>
  <si>
    <t>Automação iluminação de emergência (Material e M.O.)</t>
  </si>
  <si>
    <t>Automação iluminação de emergência</t>
  </si>
  <si>
    <t>Firestop passagens tubulações</t>
  </si>
  <si>
    <t>Envelopamento prumada (material e M.O.)</t>
  </si>
  <si>
    <t>Mão de obra parte civil e acessórios (preventivo)</t>
  </si>
  <si>
    <t>Preventivo contra incêndio (material)</t>
  </si>
  <si>
    <t>Preventivo (material) - Cotação Temon</t>
  </si>
  <si>
    <t>Preventivo contra incêndio (M.O.)</t>
  </si>
  <si>
    <t>Preventivo (M.O.) - Cotação Temon</t>
  </si>
  <si>
    <t>ELEVADORES</t>
  </si>
  <si>
    <t>Elevadores</t>
  </si>
  <si>
    <t>Elevadores sociais - Faseado</t>
  </si>
  <si>
    <t>Elevadores serviços e emergência - Faseado</t>
  </si>
  <si>
    <t>Elevadores secundários (museu, sala comercial, públicos e restaurante)</t>
  </si>
  <si>
    <t>Elevadores montacarga</t>
  </si>
  <si>
    <t>Elevadores delivery</t>
  </si>
  <si>
    <t>Elevador Heliponto</t>
  </si>
  <si>
    <t>Elevadores automotivo</t>
  </si>
  <si>
    <t>Elevadores automotivo panorâmico</t>
  </si>
  <si>
    <t>Escadas rolantes</t>
  </si>
  <si>
    <t>Manutenção de elevador</t>
  </si>
  <si>
    <t>INFRAESTRUTURA CLIMATIZAÇÃO</t>
  </si>
  <si>
    <t>Infra Climatização (Material)</t>
  </si>
  <si>
    <t>Infraestrutura de climatização na alvenaria/estrutura torre (material)</t>
  </si>
  <si>
    <t>pto</t>
  </si>
  <si>
    <t>Infra Climatização (M.O.)</t>
  </si>
  <si>
    <t>Execução de infraestrutura de climatização na alvenaria/estrutura torre (M.O.)</t>
  </si>
  <si>
    <t>Infra Climatização (Material e M.O.)</t>
  </si>
  <si>
    <t>Infraestrutura de climatização na alvenaria/estrutura área comum (material e M.O.) - Estimativa</t>
  </si>
  <si>
    <t>GÁS</t>
  </si>
  <si>
    <t>Gás Piso (Material)</t>
  </si>
  <si>
    <t>Gás piso (material)</t>
  </si>
  <si>
    <t>Gás Piso (M.O.)</t>
  </si>
  <si>
    <t>Instalação gás piso</t>
  </si>
  <si>
    <t>Gás Prumada e Acessórios (Material)</t>
  </si>
  <si>
    <t>Gás prumada e Acessórios (material)</t>
  </si>
  <si>
    <t>Gás  Prumada e Acessórios (M.O.)</t>
  </si>
  <si>
    <t>Instalação gás prumadas e acessórios</t>
  </si>
  <si>
    <t>INSTALAÇÕES ESPECIAIS</t>
  </si>
  <si>
    <t>Infra sistemas de exaustão (Material e M.O.)</t>
  </si>
  <si>
    <t>Dutos churrasqueira a carvão</t>
  </si>
  <si>
    <t>Dutos churrasqueira a gas</t>
  </si>
  <si>
    <t>Dutos aquecedor</t>
  </si>
  <si>
    <t>Saída aquecedor</t>
  </si>
  <si>
    <t>Dutos coifas do fogão</t>
  </si>
  <si>
    <t>Automação (Material e M.O.)</t>
  </si>
  <si>
    <t>Sistema de automação - Parametrizado</t>
  </si>
  <si>
    <t>Equipamentos Climatização (Material e M.O.)</t>
  </si>
  <si>
    <t>Equipamentos de climatização - Estimativa (material e M.O.)</t>
  </si>
  <si>
    <t>SERVIÇOS COMPLEMENTARES</t>
  </si>
  <si>
    <t>LOUÇAS E METAIS</t>
  </si>
  <si>
    <t>Louças Área comum</t>
  </si>
  <si>
    <t>Bacio sanitário c/ caixa acoplada modelo gap</t>
  </si>
  <si>
    <t>Bacia suspensa c/caixa de descarga, válvula e assento</t>
  </si>
  <si>
    <t>Bacio sanitário c/ caixa acoplada (bwc deficiente) c/ assento e barras de apoio</t>
  </si>
  <si>
    <t>Assento e tampa bacio sanitário modelo gap</t>
  </si>
  <si>
    <t>Cubas em louça - Área comum</t>
  </si>
  <si>
    <t>Metais e Acessórios Área comum</t>
  </si>
  <si>
    <t>Metais e acessórios - Área comum</t>
  </si>
  <si>
    <t>Louças Embasamento</t>
  </si>
  <si>
    <t>Cubas em louça - Estimado</t>
  </si>
  <si>
    <t>Metais e Acessórios Embasamento</t>
  </si>
  <si>
    <t>Ralos, acabamento registros e cubas - Estimado</t>
  </si>
  <si>
    <t>Louças Torre</t>
  </si>
  <si>
    <t>Metais e Acessórios Torre</t>
  </si>
  <si>
    <t>Acabamento de pontos hidráulicos</t>
  </si>
  <si>
    <t>Ralos (parametrizado)</t>
  </si>
  <si>
    <t>Corrimão de Escadas (Material e M.O.)</t>
  </si>
  <si>
    <t>Corrimão de madeira fixo em parede (material)</t>
  </si>
  <si>
    <t>Colocação de corrimão de madeira (M.O.)</t>
  </si>
  <si>
    <t>Guarda corpo escadaria (material e M.O.)</t>
  </si>
  <si>
    <t>Serviços Complementares</t>
  </si>
  <si>
    <t>Sistema piso aquecido</t>
  </si>
  <si>
    <t>Sistema de suporte para manutenção de fachada</t>
  </si>
  <si>
    <t>Iluminação Embasamento (Av. Normando Tedesco)</t>
  </si>
  <si>
    <t>Iluminação S (Av. Normando Tedesco)</t>
  </si>
  <si>
    <t>Iluminação "Geodésia" (Av. Brasil)</t>
  </si>
  <si>
    <t>Iluminação torre - Base Boreal</t>
  </si>
  <si>
    <t>Iluminação coroamento</t>
  </si>
  <si>
    <t>Quadra esportiva com piso modular, alambrado em inox, iluminação, redes de proteção e equipamentos</t>
  </si>
  <si>
    <t>Churrasqueira a carvão</t>
  </si>
  <si>
    <t>Piscinas, saunas, banheiras e SPA's</t>
  </si>
  <si>
    <t>Equipamentos piscinas moldadas in loco</t>
  </si>
  <si>
    <t>Piscinas Igui Unlimited (aquecida)</t>
  </si>
  <si>
    <t>Sistema de desumidificador para piscinas</t>
  </si>
  <si>
    <t>Espelhos d'água, fontes, chafariz</t>
  </si>
  <si>
    <t>Cascata</t>
  </si>
  <si>
    <t>Banheiras</t>
  </si>
  <si>
    <t>Spas Igui Unlimited</t>
  </si>
  <si>
    <t>Spas</t>
  </si>
  <si>
    <t>Saunas</t>
  </si>
  <si>
    <t>Serviços de Serralheria</t>
  </si>
  <si>
    <t>Serviço de serralheria (grelha, tampa, escada marinheiro)</t>
  </si>
  <si>
    <t>Escadas pré moldadas (Material e M.O.)</t>
  </si>
  <si>
    <t>Escadas especiais (privativa)</t>
  </si>
  <si>
    <t>Escadas especiais (comum)</t>
  </si>
  <si>
    <t>Balizador e acessórios pináculo</t>
  </si>
  <si>
    <t>Balizador - Pináculo</t>
  </si>
  <si>
    <t>Estruturas metálicas</t>
  </si>
  <si>
    <t>Estrutura metálica térreo e lazer (sem vidro e acm) - Brafer</t>
  </si>
  <si>
    <t>Estrutura metálica "S" (material e M.O.)</t>
  </si>
  <si>
    <t>Estrutura metálica coroamento estimado (material e M.O.) - Solutec</t>
  </si>
  <si>
    <t>Acabamento estrutura metálica térreo (Material e M.O.) - Estimativa</t>
  </si>
  <si>
    <t>Acabamento estrutura metálica em S (Material e M.O.) - Estimativa</t>
  </si>
  <si>
    <t>Acm especial coroamento (material)</t>
  </si>
  <si>
    <t>Acm especial coroamento (M.O.)</t>
  </si>
  <si>
    <t>Fechamentos em vidro - Geodésias e passarela - Térreo e L1 - Estimativa</t>
  </si>
  <si>
    <t>Laudos e equipamentos de entrega para o condomínio</t>
  </si>
  <si>
    <t>As Built Digital</t>
  </si>
  <si>
    <t>Laudo de entrega do empreendimento</t>
  </si>
  <si>
    <t>Equipamentos para condomínio</t>
  </si>
  <si>
    <t>Máquinas para lavação do piso da garagem</t>
  </si>
  <si>
    <t>Mobilização e Desmobilização</t>
  </si>
  <si>
    <t>Verba p/ demolição de plantão e tapume</t>
  </si>
  <si>
    <t>LIMPEZA FINAL DE OBRA</t>
  </si>
  <si>
    <t>Limpeza Final de Obra</t>
  </si>
  <si>
    <t>Limpeza grossa da obra</t>
  </si>
  <si>
    <t>Limpeza fina da obra</t>
  </si>
  <si>
    <t>Limpeza pós vistorias da obra</t>
  </si>
  <si>
    <t>Limpeza de ralos</t>
  </si>
  <si>
    <t>Lavação fachada (material e M.O.)</t>
  </si>
  <si>
    <t>DECORAÇÃO E MOBILIÁRIO ÁREA COMUM</t>
  </si>
  <si>
    <t>Decoração e mobiliário área comum</t>
  </si>
  <si>
    <t>Decoração e mobiliário área comum - Parametrizado</t>
  </si>
  <si>
    <t>Paisagismo especial de fachada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</si>
</sst>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3" fontId="0" fillId="33" borderId="0" xfId="0" applyNumberFormat="1" applyFill="1"/>
    <xf numFmtId="4" fontId="0" fillId="33" borderId="0" xfId="0" applyNumberFormat="1" applyFill="1"/>
    <xf numFmtId="44" fontId="0" fillId="33" borderId="0" xfId="1" applyFont="1" applyFill="1"/>
    <xf numFmtId="0" fontId="0" fillId="34" borderId="0" xfId="0" applyFill="1"/>
    <xf numFmtId="3" fontId="0" fillId="34" borderId="0" xfId="0" applyNumberFormat="1" applyFill="1"/>
    <xf numFmtId="4" fontId="0" fillId="34" borderId="0" xfId="0" applyNumberFormat="1" applyFill="1"/>
    <xf numFmtId="0" fontId="14" fillId="34" borderId="0" xfId="0" applyFont="1" applyFill="1"/>
    <xf numFmtId="3" fontId="14" fillId="34" borderId="0" xfId="0" applyNumberFormat="1" applyFont="1" applyFill="1"/>
    <xf numFmtId="4" fontId="14" fillId="34" borderId="0" xfId="0" applyNumberFormat="1" applyFont="1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7334-06CF-45C9-89AF-DFF938002586}">
  <dimension ref="A1:I761"/>
  <sheetViews>
    <sheetView tabSelected="1" workbookViewId="0">
      <selection activeCell="F237" activeCellId="2" sqref="F235:F236 F240 F237"/>
    </sheetView>
  </sheetViews>
  <sheetFormatPr defaultRowHeight="15" x14ac:dyDescent="0.25"/>
  <cols>
    <col min="2" max="2" width="13.85546875" bestFit="1" customWidth="1"/>
    <col min="3" max="3" width="64.140625" customWidth="1"/>
    <col min="4" max="4" width="14" customWidth="1"/>
    <col min="6" max="6" width="18.140625" bestFit="1" customWidth="1"/>
    <col min="8" max="8" width="12" bestFit="1" customWidth="1"/>
    <col min="9" max="9" width="13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>
        <v>1</v>
      </c>
      <c r="B2" s="1">
        <v>1</v>
      </c>
      <c r="C2" s="1" t="s">
        <v>7</v>
      </c>
    </row>
    <row r="3" spans="1:7" s="1" customFormat="1" x14ac:dyDescent="0.25">
      <c r="A3" s="1">
        <v>2</v>
      </c>
      <c r="B3" s="2">
        <v>1001</v>
      </c>
      <c r="C3" s="1" t="s">
        <v>8</v>
      </c>
    </row>
    <row r="4" spans="1:7" s="1" customFormat="1" x14ac:dyDescent="0.25">
      <c r="A4" s="1">
        <v>3</v>
      </c>
      <c r="B4" s="2">
        <v>1001001</v>
      </c>
      <c r="C4" s="1" t="s">
        <v>9</v>
      </c>
    </row>
    <row r="5" spans="1:7" s="1" customFormat="1" x14ac:dyDescent="0.25">
      <c r="A5" s="1">
        <v>4</v>
      </c>
      <c r="B5" s="2">
        <v>1001001001</v>
      </c>
      <c r="C5" s="1" t="s">
        <v>10</v>
      </c>
      <c r="D5" s="1">
        <v>0</v>
      </c>
      <c r="E5" s="1" t="s">
        <v>11</v>
      </c>
      <c r="F5" s="1">
        <v>0</v>
      </c>
      <c r="G5" s="1">
        <v>0</v>
      </c>
    </row>
    <row r="6" spans="1:7" s="1" customFormat="1" x14ac:dyDescent="0.25">
      <c r="A6" s="1">
        <v>3</v>
      </c>
      <c r="B6" s="2">
        <v>1001002</v>
      </c>
      <c r="C6" s="1" t="s">
        <v>12</v>
      </c>
    </row>
    <row r="7" spans="1:7" s="1" customFormat="1" x14ac:dyDescent="0.25">
      <c r="A7" s="1">
        <v>4</v>
      </c>
      <c r="B7" s="2">
        <v>1001002001</v>
      </c>
      <c r="C7" s="1" t="s">
        <v>13</v>
      </c>
      <c r="D7" s="1">
        <v>1</v>
      </c>
      <c r="E7" s="1" t="s">
        <v>11</v>
      </c>
      <c r="F7" s="3">
        <v>8829512.6099999994</v>
      </c>
      <c r="G7" s="1">
        <v>0</v>
      </c>
    </row>
    <row r="8" spans="1:7" s="1" customFormat="1" x14ac:dyDescent="0.25">
      <c r="A8" s="1">
        <v>2</v>
      </c>
      <c r="B8" s="2">
        <v>1002</v>
      </c>
      <c r="C8" s="1" t="s">
        <v>14</v>
      </c>
    </row>
    <row r="9" spans="1:7" s="1" customFormat="1" x14ac:dyDescent="0.25">
      <c r="A9" s="1">
        <v>3</v>
      </c>
      <c r="B9" s="2">
        <v>1002001</v>
      </c>
      <c r="C9" s="1" t="s">
        <v>15</v>
      </c>
    </row>
    <row r="10" spans="1:7" s="1" customFormat="1" x14ac:dyDescent="0.25">
      <c r="A10" s="1">
        <v>4</v>
      </c>
      <c r="B10" s="2">
        <v>1002001001</v>
      </c>
      <c r="C10" s="1" t="s">
        <v>15</v>
      </c>
      <c r="D10" s="1">
        <v>1</v>
      </c>
      <c r="E10" s="1" t="s">
        <v>16</v>
      </c>
      <c r="F10" s="1">
        <v>0</v>
      </c>
      <c r="G10" s="1">
        <v>0</v>
      </c>
    </row>
    <row r="11" spans="1:7" s="1" customFormat="1" x14ac:dyDescent="0.25">
      <c r="A11" s="1">
        <v>3</v>
      </c>
      <c r="B11" s="2">
        <v>1002002</v>
      </c>
      <c r="C11" s="1" t="s">
        <v>17</v>
      </c>
    </row>
    <row r="12" spans="1:7" s="1" customFormat="1" x14ac:dyDescent="0.25">
      <c r="A12" s="1">
        <v>4</v>
      </c>
      <c r="B12" s="2">
        <v>1002002001</v>
      </c>
      <c r="C12" s="1" t="s">
        <v>18</v>
      </c>
      <c r="D12" s="3">
        <v>144739.79999999999</v>
      </c>
      <c r="E12" s="1" t="s">
        <v>11</v>
      </c>
      <c r="F12" s="3">
        <v>5262883.87</v>
      </c>
      <c r="G12" s="1">
        <v>0</v>
      </c>
    </row>
    <row r="13" spans="1:7" s="1" customFormat="1" x14ac:dyDescent="0.25">
      <c r="A13" s="1">
        <v>2</v>
      </c>
      <c r="B13" s="2">
        <v>1003</v>
      </c>
      <c r="C13" s="1" t="s">
        <v>19</v>
      </c>
    </row>
    <row r="14" spans="1:7" s="1" customFormat="1" x14ac:dyDescent="0.25">
      <c r="A14" s="1">
        <v>3</v>
      </c>
      <c r="B14" s="2">
        <v>1003001</v>
      </c>
      <c r="C14" s="1" t="s">
        <v>20</v>
      </c>
    </row>
    <row r="15" spans="1:7" s="1" customFormat="1" x14ac:dyDescent="0.25">
      <c r="A15" s="1">
        <v>4</v>
      </c>
      <c r="B15" s="2">
        <v>1003001001</v>
      </c>
      <c r="C15" s="1" t="s">
        <v>21</v>
      </c>
      <c r="D15" s="1">
        <v>1</v>
      </c>
      <c r="E15" s="1" t="s">
        <v>16</v>
      </c>
      <c r="F15" s="3">
        <v>2771.76</v>
      </c>
      <c r="G15" s="1">
        <v>0</v>
      </c>
    </row>
    <row r="16" spans="1:7" s="1" customFormat="1" x14ac:dyDescent="0.25">
      <c r="A16" s="1">
        <v>4</v>
      </c>
      <c r="B16" s="2">
        <v>1003001002</v>
      </c>
      <c r="C16" s="1" t="s">
        <v>22</v>
      </c>
      <c r="D16" s="1">
        <v>127.25</v>
      </c>
      <c r="E16" s="1" t="s">
        <v>23</v>
      </c>
      <c r="F16" s="3">
        <v>520115.29</v>
      </c>
      <c r="G16" s="1">
        <v>0</v>
      </c>
    </row>
    <row r="17" spans="1:7" s="1" customFormat="1" x14ac:dyDescent="0.25">
      <c r="A17" s="1">
        <v>4</v>
      </c>
      <c r="B17" s="2">
        <v>1003001003</v>
      </c>
      <c r="C17" s="1" t="s">
        <v>24</v>
      </c>
      <c r="D17" s="1">
        <v>0.25</v>
      </c>
      <c r="E17" s="1" t="s">
        <v>16</v>
      </c>
      <c r="F17" s="3">
        <v>80692.44</v>
      </c>
      <c r="G17" s="1">
        <v>0</v>
      </c>
    </row>
    <row r="18" spans="1:7" s="1" customFormat="1" x14ac:dyDescent="0.25">
      <c r="A18" s="1">
        <v>3</v>
      </c>
      <c r="B18" s="2">
        <v>1003002</v>
      </c>
      <c r="C18" s="1" t="s">
        <v>25</v>
      </c>
    </row>
    <row r="19" spans="1:7" s="1" customFormat="1" x14ac:dyDescent="0.25">
      <c r="A19" s="1">
        <v>4</v>
      </c>
      <c r="B19" s="2">
        <v>1003002001</v>
      </c>
      <c r="C19" s="1" t="s">
        <v>26</v>
      </c>
      <c r="D19" s="1">
        <v>1</v>
      </c>
      <c r="E19" s="1" t="s">
        <v>16</v>
      </c>
      <c r="F19" s="3">
        <v>3353775.17</v>
      </c>
      <c r="G19" s="1">
        <v>0</v>
      </c>
    </row>
    <row r="20" spans="1:7" s="1" customFormat="1" x14ac:dyDescent="0.25">
      <c r="A20" s="1">
        <v>4</v>
      </c>
      <c r="B20" s="2">
        <v>1003002002</v>
      </c>
      <c r="C20" s="1" t="s">
        <v>27</v>
      </c>
      <c r="D20" s="1">
        <v>1</v>
      </c>
      <c r="E20" s="1" t="s">
        <v>16</v>
      </c>
      <c r="F20" s="3">
        <v>1437332.22</v>
      </c>
      <c r="G20" s="1">
        <v>0</v>
      </c>
    </row>
    <row r="21" spans="1:7" s="1" customFormat="1" x14ac:dyDescent="0.25">
      <c r="A21" s="1">
        <v>4</v>
      </c>
      <c r="B21" s="2">
        <v>1003002003</v>
      </c>
      <c r="C21" s="1" t="s">
        <v>28</v>
      </c>
      <c r="D21" s="3">
        <v>144739.79999999999</v>
      </c>
      <c r="E21" s="1" t="s">
        <v>11</v>
      </c>
      <c r="F21" s="3">
        <v>228688.88</v>
      </c>
      <c r="G21" s="1">
        <v>0</v>
      </c>
    </row>
    <row r="22" spans="1:7" s="1" customFormat="1" x14ac:dyDescent="0.25">
      <c r="A22" s="1">
        <v>3</v>
      </c>
      <c r="B22" s="2">
        <v>1003003</v>
      </c>
      <c r="C22" s="1" t="s">
        <v>29</v>
      </c>
    </row>
    <row r="23" spans="1:7" s="1" customFormat="1" x14ac:dyDescent="0.25">
      <c r="A23" s="1">
        <v>4</v>
      </c>
      <c r="B23" s="2">
        <v>1003003001</v>
      </c>
      <c r="C23" s="1" t="s">
        <v>30</v>
      </c>
      <c r="D23" s="1">
        <v>1</v>
      </c>
      <c r="E23" s="1" t="s">
        <v>16</v>
      </c>
      <c r="F23" s="3">
        <v>251533.14</v>
      </c>
      <c r="G23" s="1">
        <v>0</v>
      </c>
    </row>
    <row r="24" spans="1:7" s="1" customFormat="1" x14ac:dyDescent="0.25">
      <c r="A24" s="1">
        <v>4</v>
      </c>
      <c r="B24" s="2">
        <v>1003003002</v>
      </c>
      <c r="C24" s="1" t="s">
        <v>31</v>
      </c>
      <c r="D24" s="1">
        <v>1</v>
      </c>
      <c r="E24" s="1" t="s">
        <v>32</v>
      </c>
      <c r="F24" s="3">
        <v>68263.199999999997</v>
      </c>
      <c r="G24" s="1">
        <v>0</v>
      </c>
    </row>
    <row r="25" spans="1:7" s="1" customFormat="1" x14ac:dyDescent="0.25">
      <c r="A25" s="1">
        <v>4</v>
      </c>
      <c r="B25" s="2">
        <v>1003003003</v>
      </c>
      <c r="C25" s="1" t="s">
        <v>33</v>
      </c>
      <c r="D25" s="1">
        <v>1</v>
      </c>
      <c r="E25" s="1" t="s">
        <v>16</v>
      </c>
      <c r="F25" s="3">
        <v>83598.95</v>
      </c>
      <c r="G25" s="1">
        <v>0</v>
      </c>
    </row>
    <row r="26" spans="1:7" s="1" customFormat="1" x14ac:dyDescent="0.25">
      <c r="A26" s="1">
        <v>3</v>
      </c>
      <c r="B26" s="2">
        <v>1003004</v>
      </c>
      <c r="C26" s="1" t="s">
        <v>34</v>
      </c>
    </row>
    <row r="27" spans="1:7" s="1" customFormat="1" x14ac:dyDescent="0.25">
      <c r="A27" s="1">
        <v>4</v>
      </c>
      <c r="B27" s="2">
        <v>1003004001</v>
      </c>
      <c r="C27" s="1" t="s">
        <v>35</v>
      </c>
      <c r="D27" s="1">
        <v>1</v>
      </c>
      <c r="E27" s="1" t="s">
        <v>16</v>
      </c>
      <c r="F27" s="3">
        <v>337182.8</v>
      </c>
      <c r="G27" s="1">
        <v>0</v>
      </c>
    </row>
    <row r="28" spans="1:7" s="1" customFormat="1" x14ac:dyDescent="0.25">
      <c r="A28" s="1">
        <v>3</v>
      </c>
      <c r="B28" s="2">
        <v>1003005</v>
      </c>
      <c r="C28" s="1" t="s">
        <v>36</v>
      </c>
    </row>
    <row r="29" spans="1:7" s="1" customFormat="1" x14ac:dyDescent="0.25">
      <c r="A29" s="1">
        <v>4</v>
      </c>
      <c r="B29" s="2">
        <v>1003005001</v>
      </c>
      <c r="C29" s="1" t="s">
        <v>37</v>
      </c>
      <c r="D29" s="1">
        <v>1</v>
      </c>
      <c r="E29" s="1" t="s">
        <v>16</v>
      </c>
      <c r="F29" s="3">
        <v>125766.57</v>
      </c>
      <c r="G29" s="1">
        <v>0</v>
      </c>
    </row>
    <row r="30" spans="1:7" s="1" customFormat="1" x14ac:dyDescent="0.25">
      <c r="A30" s="1">
        <v>3</v>
      </c>
      <c r="B30" s="2">
        <v>1003006</v>
      </c>
      <c r="C30" s="1" t="s">
        <v>38</v>
      </c>
    </row>
    <row r="31" spans="1:7" s="1" customFormat="1" x14ac:dyDescent="0.25">
      <c r="A31" s="1">
        <v>4</v>
      </c>
      <c r="B31" s="2">
        <v>1003006001</v>
      </c>
      <c r="C31" s="1" t="s">
        <v>38</v>
      </c>
      <c r="D31" s="1">
        <v>4</v>
      </c>
      <c r="E31" s="1" t="s">
        <v>16</v>
      </c>
      <c r="F31" s="3">
        <v>345167.2</v>
      </c>
      <c r="G31" s="1">
        <v>0</v>
      </c>
    </row>
    <row r="32" spans="1:7" s="1" customFormat="1" x14ac:dyDescent="0.25">
      <c r="A32" s="1">
        <v>3</v>
      </c>
      <c r="B32" s="2">
        <v>1003007</v>
      </c>
      <c r="C32" s="1" t="s">
        <v>39</v>
      </c>
    </row>
    <row r="33" spans="1:7" s="1" customFormat="1" x14ac:dyDescent="0.25">
      <c r="A33" s="1">
        <v>4</v>
      </c>
      <c r="B33" s="2">
        <v>1003007001</v>
      </c>
      <c r="C33" s="1" t="s">
        <v>40</v>
      </c>
      <c r="D33" s="1">
        <v>2</v>
      </c>
      <c r="E33" s="1" t="s">
        <v>16</v>
      </c>
      <c r="F33" s="3">
        <v>59657.64</v>
      </c>
      <c r="G33" s="1">
        <v>0</v>
      </c>
    </row>
    <row r="34" spans="1:7" s="1" customFormat="1" x14ac:dyDescent="0.25">
      <c r="A34" s="1">
        <v>3</v>
      </c>
      <c r="B34" s="2">
        <v>1003008</v>
      </c>
      <c r="C34" s="1" t="s">
        <v>41</v>
      </c>
    </row>
    <row r="35" spans="1:7" s="1" customFormat="1" x14ac:dyDescent="0.25">
      <c r="A35" s="1">
        <v>4</v>
      </c>
      <c r="B35" s="2">
        <v>1003008001</v>
      </c>
      <c r="C35" s="1" t="s">
        <v>41</v>
      </c>
      <c r="D35" s="3">
        <v>144739.79999999999</v>
      </c>
      <c r="E35" s="1" t="s">
        <v>11</v>
      </c>
      <c r="F35" s="3">
        <v>1075416.71</v>
      </c>
      <c r="G35" s="1">
        <v>0</v>
      </c>
    </row>
    <row r="36" spans="1:7" s="1" customFormat="1" x14ac:dyDescent="0.25">
      <c r="A36" s="1">
        <v>2</v>
      </c>
      <c r="B36" s="2">
        <v>1004</v>
      </c>
      <c r="C36" s="1" t="s">
        <v>42</v>
      </c>
    </row>
    <row r="37" spans="1:7" s="1" customFormat="1" x14ac:dyDescent="0.25">
      <c r="A37" s="1">
        <v>3</v>
      </c>
      <c r="B37" s="2">
        <v>1004001</v>
      </c>
      <c r="C37" s="1" t="s">
        <v>43</v>
      </c>
    </row>
    <row r="38" spans="1:7" s="1" customFormat="1" x14ac:dyDescent="0.25">
      <c r="A38" s="1">
        <v>4</v>
      </c>
      <c r="B38" s="2">
        <v>1004001001</v>
      </c>
      <c r="C38" s="1" t="s">
        <v>44</v>
      </c>
      <c r="D38" s="1">
        <v>131</v>
      </c>
      <c r="E38" s="1" t="s">
        <v>45</v>
      </c>
      <c r="F38" s="3">
        <v>2579680.8199999998</v>
      </c>
      <c r="G38" s="1">
        <v>0</v>
      </c>
    </row>
    <row r="39" spans="1:7" s="1" customFormat="1" x14ac:dyDescent="0.25">
      <c r="A39" s="1">
        <v>3</v>
      </c>
      <c r="B39" s="2">
        <v>1004002</v>
      </c>
      <c r="C39" s="1" t="s">
        <v>46</v>
      </c>
    </row>
    <row r="40" spans="1:7" s="1" customFormat="1" x14ac:dyDescent="0.25">
      <c r="A40" s="1">
        <v>4</v>
      </c>
      <c r="B40" s="2">
        <v>1004002001</v>
      </c>
      <c r="C40" s="1" t="s">
        <v>47</v>
      </c>
      <c r="D40" s="1">
        <v>131</v>
      </c>
      <c r="E40" s="1" t="s">
        <v>45</v>
      </c>
      <c r="F40" s="3">
        <v>448450.99</v>
      </c>
      <c r="G40" s="1">
        <v>0</v>
      </c>
    </row>
    <row r="41" spans="1:7" s="1" customFormat="1" x14ac:dyDescent="0.25">
      <c r="A41" s="1">
        <v>4</v>
      </c>
      <c r="B41" s="2">
        <v>1004002002</v>
      </c>
      <c r="C41" s="1" t="s">
        <v>48</v>
      </c>
      <c r="D41" s="1">
        <v>131</v>
      </c>
      <c r="E41" s="1" t="s">
        <v>45</v>
      </c>
      <c r="F41" s="3">
        <v>1345351.66</v>
      </c>
      <c r="G41" s="1">
        <v>0</v>
      </c>
    </row>
    <row r="42" spans="1:7" s="1" customFormat="1" x14ac:dyDescent="0.25">
      <c r="A42" s="1">
        <v>3</v>
      </c>
      <c r="B42" s="2">
        <v>1004003</v>
      </c>
      <c r="C42" s="1" t="s">
        <v>49</v>
      </c>
    </row>
    <row r="43" spans="1:7" s="1" customFormat="1" x14ac:dyDescent="0.25">
      <c r="A43" s="1">
        <v>4</v>
      </c>
      <c r="B43" s="2">
        <v>1004003001</v>
      </c>
      <c r="C43" s="1" t="s">
        <v>50</v>
      </c>
      <c r="D43" s="1">
        <v>1</v>
      </c>
      <c r="E43" s="1" t="s">
        <v>16</v>
      </c>
      <c r="F43" s="3">
        <v>41437398.030000001</v>
      </c>
      <c r="G43" s="1">
        <v>0</v>
      </c>
    </row>
    <row r="44" spans="1:7" s="1" customFormat="1" x14ac:dyDescent="0.25">
      <c r="A44" s="1">
        <v>4</v>
      </c>
      <c r="B44" s="2">
        <v>1004003002</v>
      </c>
      <c r="C44" s="1" t="s">
        <v>51</v>
      </c>
      <c r="D44" s="1">
        <v>1</v>
      </c>
      <c r="E44" s="1" t="s">
        <v>16</v>
      </c>
      <c r="F44" s="3">
        <v>3976.92</v>
      </c>
      <c r="G44" s="1">
        <v>0</v>
      </c>
    </row>
    <row r="45" spans="1:7" s="1" customFormat="1" x14ac:dyDescent="0.25">
      <c r="A45" s="1">
        <v>3</v>
      </c>
      <c r="B45" s="2">
        <v>1004004</v>
      </c>
      <c r="C45" s="1" t="s">
        <v>52</v>
      </c>
    </row>
    <row r="46" spans="1:7" s="1" customFormat="1" x14ac:dyDescent="0.25">
      <c r="A46" s="1">
        <v>4</v>
      </c>
      <c r="B46" s="2">
        <v>1004004001</v>
      </c>
      <c r="C46" s="1" t="s">
        <v>53</v>
      </c>
      <c r="D46" s="1">
        <v>1</v>
      </c>
      <c r="E46" s="1" t="s">
        <v>16</v>
      </c>
      <c r="F46" s="3">
        <v>13056644.970000001</v>
      </c>
      <c r="G46" s="1">
        <v>0</v>
      </c>
    </row>
    <row r="47" spans="1:7" s="1" customFormat="1" x14ac:dyDescent="0.25">
      <c r="A47" s="1">
        <v>3</v>
      </c>
      <c r="B47" s="2">
        <v>1004005</v>
      </c>
      <c r="C47" s="1" t="s">
        <v>54</v>
      </c>
    </row>
    <row r="48" spans="1:7" s="1" customFormat="1" x14ac:dyDescent="0.25">
      <c r="A48" s="1">
        <v>4</v>
      </c>
      <c r="B48" s="2">
        <v>1004005001</v>
      </c>
      <c r="C48" s="1" t="s">
        <v>55</v>
      </c>
      <c r="D48" s="1">
        <v>131</v>
      </c>
      <c r="E48" s="1" t="s">
        <v>45</v>
      </c>
      <c r="F48" s="3">
        <v>249461.99</v>
      </c>
      <c r="G48" s="1">
        <v>0</v>
      </c>
    </row>
    <row r="49" spans="1:7" s="1" customFormat="1" x14ac:dyDescent="0.25">
      <c r="A49" s="1">
        <v>4</v>
      </c>
      <c r="B49" s="2">
        <v>1004005002</v>
      </c>
      <c r="C49" s="1" t="s">
        <v>56</v>
      </c>
      <c r="D49" s="1">
        <v>131</v>
      </c>
      <c r="E49" s="1" t="s">
        <v>45</v>
      </c>
      <c r="F49" s="3">
        <v>1446143.06</v>
      </c>
      <c r="G49" s="1">
        <v>0</v>
      </c>
    </row>
    <row r="50" spans="1:7" s="1" customFormat="1" x14ac:dyDescent="0.25">
      <c r="A50" s="1">
        <v>4</v>
      </c>
      <c r="B50" s="2">
        <v>1004005003</v>
      </c>
      <c r="C50" s="1" t="s">
        <v>57</v>
      </c>
      <c r="D50" s="1">
        <v>22</v>
      </c>
      <c r="E50" s="1" t="s">
        <v>45</v>
      </c>
      <c r="F50" s="3">
        <v>328573.96000000002</v>
      </c>
      <c r="G50" s="1">
        <v>0</v>
      </c>
    </row>
    <row r="51" spans="1:7" s="1" customFormat="1" x14ac:dyDescent="0.25">
      <c r="A51" s="1">
        <v>3</v>
      </c>
      <c r="B51" s="2">
        <v>1004006</v>
      </c>
      <c r="C51" s="1" t="s">
        <v>58</v>
      </c>
    </row>
    <row r="52" spans="1:7" s="1" customFormat="1" x14ac:dyDescent="0.25">
      <c r="A52" s="1">
        <v>4</v>
      </c>
      <c r="B52" s="2">
        <v>1004006001</v>
      </c>
      <c r="C52" s="1" t="s">
        <v>59</v>
      </c>
      <c r="D52" s="1">
        <v>131</v>
      </c>
      <c r="E52" s="1" t="s">
        <v>45</v>
      </c>
      <c r="F52" s="3">
        <v>85658.62</v>
      </c>
      <c r="G52" s="1">
        <v>0</v>
      </c>
    </row>
    <row r="53" spans="1:7" s="1" customFormat="1" x14ac:dyDescent="0.25">
      <c r="A53" s="1">
        <v>3</v>
      </c>
      <c r="B53" s="2">
        <v>1004007</v>
      </c>
      <c r="C53" s="1" t="s">
        <v>60</v>
      </c>
    </row>
    <row r="54" spans="1:7" s="1" customFormat="1" x14ac:dyDescent="0.25">
      <c r="A54" s="1">
        <v>4</v>
      </c>
      <c r="B54" s="2">
        <v>1004007001</v>
      </c>
      <c r="C54" s="1" t="s">
        <v>61</v>
      </c>
      <c r="D54" s="1">
        <v>131</v>
      </c>
      <c r="E54" s="1" t="s">
        <v>45</v>
      </c>
      <c r="F54" s="3">
        <v>4193836.62</v>
      </c>
      <c r="G54" s="1">
        <v>0</v>
      </c>
    </row>
    <row r="55" spans="1:7" s="1" customFormat="1" x14ac:dyDescent="0.25">
      <c r="A55" s="1">
        <v>4</v>
      </c>
      <c r="B55" s="2">
        <v>1004007002</v>
      </c>
      <c r="C55" s="1" t="s">
        <v>62</v>
      </c>
      <c r="D55" s="1">
        <v>131</v>
      </c>
      <c r="E55" s="1" t="s">
        <v>45</v>
      </c>
      <c r="F55" s="3">
        <v>2694355.6</v>
      </c>
      <c r="G55" s="1">
        <v>0</v>
      </c>
    </row>
    <row r="56" spans="1:7" s="1" customFormat="1" x14ac:dyDescent="0.25">
      <c r="A56" s="1">
        <v>3</v>
      </c>
      <c r="B56" s="2">
        <v>1004008</v>
      </c>
      <c r="C56" s="1" t="s">
        <v>63</v>
      </c>
    </row>
    <row r="57" spans="1:7" s="1" customFormat="1" x14ac:dyDescent="0.25">
      <c r="A57" s="1">
        <v>4</v>
      </c>
      <c r="B57" s="2">
        <v>1004008001</v>
      </c>
      <c r="C57" s="1" t="s">
        <v>64</v>
      </c>
      <c r="D57" s="1">
        <v>1</v>
      </c>
      <c r="E57" s="1" t="s">
        <v>16</v>
      </c>
      <c r="F57" s="3">
        <v>18047467.18</v>
      </c>
      <c r="G57" s="1">
        <v>0</v>
      </c>
    </row>
    <row r="58" spans="1:7" s="1" customFormat="1" x14ac:dyDescent="0.25">
      <c r="A58" s="1">
        <v>2</v>
      </c>
      <c r="B58" s="2">
        <v>1005</v>
      </c>
      <c r="C58" s="1" t="s">
        <v>65</v>
      </c>
    </row>
    <row r="59" spans="1:7" s="1" customFormat="1" x14ac:dyDescent="0.25">
      <c r="A59" s="1">
        <v>3</v>
      </c>
      <c r="B59" s="2">
        <v>1005001</v>
      </c>
      <c r="C59" s="1" t="s">
        <v>66</v>
      </c>
    </row>
    <row r="60" spans="1:7" s="1" customFormat="1" x14ac:dyDescent="0.25">
      <c r="A60" s="1">
        <v>4</v>
      </c>
      <c r="B60" s="2">
        <v>1005001001</v>
      </c>
      <c r="C60" s="1" t="s">
        <v>67</v>
      </c>
      <c r="D60" s="1">
        <v>2</v>
      </c>
      <c r="E60" s="1" t="s">
        <v>68</v>
      </c>
      <c r="F60" s="3">
        <v>8342000</v>
      </c>
      <c r="G60" s="1">
        <v>0</v>
      </c>
    </row>
    <row r="61" spans="1:7" s="1" customFormat="1" x14ac:dyDescent="0.25">
      <c r="A61" s="1">
        <v>3</v>
      </c>
      <c r="B61" s="2">
        <v>1005002</v>
      </c>
      <c r="C61" s="1" t="s">
        <v>69</v>
      </c>
    </row>
    <row r="62" spans="1:7" s="1" customFormat="1" x14ac:dyDescent="0.25">
      <c r="A62" s="1">
        <v>4</v>
      </c>
      <c r="B62" s="2">
        <v>1005002001</v>
      </c>
      <c r="C62" s="1" t="s">
        <v>70</v>
      </c>
      <c r="D62" s="1">
        <v>3</v>
      </c>
      <c r="E62" s="1" t="s">
        <v>32</v>
      </c>
      <c r="F62" s="3">
        <v>11793300</v>
      </c>
      <c r="G62" s="1">
        <v>0</v>
      </c>
    </row>
    <row r="63" spans="1:7" s="1" customFormat="1" x14ac:dyDescent="0.25">
      <c r="A63" s="1">
        <v>4</v>
      </c>
      <c r="B63" s="2">
        <v>1005002002</v>
      </c>
      <c r="C63" s="1" t="s">
        <v>71</v>
      </c>
      <c r="D63" s="1">
        <v>82</v>
      </c>
      <c r="E63" s="1" t="s">
        <v>45</v>
      </c>
      <c r="F63" s="3">
        <v>2494487.56</v>
      </c>
      <c r="G63" s="1">
        <v>0</v>
      </c>
    </row>
    <row r="64" spans="1:7" s="1" customFormat="1" x14ac:dyDescent="0.25">
      <c r="A64" s="1">
        <v>4</v>
      </c>
      <c r="B64" s="2">
        <v>1005002003</v>
      </c>
      <c r="C64" s="1" t="s">
        <v>72</v>
      </c>
      <c r="D64" s="1">
        <v>3</v>
      </c>
      <c r="E64" s="1" t="s">
        <v>68</v>
      </c>
      <c r="F64" s="3">
        <v>122707.98</v>
      </c>
      <c r="G64" s="1">
        <v>0</v>
      </c>
    </row>
    <row r="65" spans="1:9" s="1" customFormat="1" x14ac:dyDescent="0.25">
      <c r="A65" s="1">
        <v>3</v>
      </c>
      <c r="B65" s="2">
        <v>1005003</v>
      </c>
      <c r="C65" s="1" t="s">
        <v>73</v>
      </c>
    </row>
    <row r="66" spans="1:9" s="1" customFormat="1" x14ac:dyDescent="0.25">
      <c r="A66" s="1">
        <v>4</v>
      </c>
      <c r="B66" s="2">
        <v>1005003001</v>
      </c>
      <c r="C66" s="1" t="s">
        <v>74</v>
      </c>
      <c r="D66" s="1">
        <v>1</v>
      </c>
      <c r="E66" s="1" t="s">
        <v>16</v>
      </c>
      <c r="F66" s="3">
        <v>400000</v>
      </c>
      <c r="G66" s="1">
        <v>0</v>
      </c>
    </row>
    <row r="67" spans="1:9" s="1" customFormat="1" x14ac:dyDescent="0.25">
      <c r="A67" s="1">
        <v>3</v>
      </c>
      <c r="B67" s="2">
        <v>1005004</v>
      </c>
      <c r="C67" s="1" t="s">
        <v>75</v>
      </c>
    </row>
    <row r="68" spans="1:9" s="1" customFormat="1" x14ac:dyDescent="0.25">
      <c r="A68" s="1">
        <v>4</v>
      </c>
      <c r="B68" s="2">
        <v>1005004001</v>
      </c>
      <c r="C68" s="1" t="s">
        <v>76</v>
      </c>
      <c r="D68" s="1">
        <v>1</v>
      </c>
      <c r="E68" s="1" t="s">
        <v>16</v>
      </c>
      <c r="F68" s="3">
        <v>1105700</v>
      </c>
      <c r="G68" s="1">
        <v>0</v>
      </c>
    </row>
    <row r="69" spans="1:9" s="1" customFormat="1" x14ac:dyDescent="0.25">
      <c r="A69" s="1">
        <v>3</v>
      </c>
      <c r="B69" s="2">
        <v>1005005</v>
      </c>
      <c r="C69" s="1" t="s">
        <v>77</v>
      </c>
    </row>
    <row r="70" spans="1:9" s="1" customFormat="1" x14ac:dyDescent="0.25">
      <c r="A70" s="1">
        <v>4</v>
      </c>
      <c r="B70" s="2">
        <v>1005005001</v>
      </c>
      <c r="C70" s="1" t="s">
        <v>78</v>
      </c>
      <c r="D70" s="1">
        <v>131</v>
      </c>
      <c r="E70" s="1" t="s">
        <v>45</v>
      </c>
      <c r="F70" s="3">
        <v>3764410.76</v>
      </c>
      <c r="G70" s="1">
        <v>0</v>
      </c>
    </row>
    <row r="71" spans="1:9" s="1" customFormat="1" x14ac:dyDescent="0.25">
      <c r="A71" s="1">
        <v>1</v>
      </c>
      <c r="B71" s="1">
        <v>2</v>
      </c>
      <c r="C71" s="1" t="s">
        <v>79</v>
      </c>
      <c r="F71" s="4"/>
    </row>
    <row r="72" spans="1:9" s="1" customFormat="1" x14ac:dyDescent="0.25">
      <c r="A72" s="1">
        <v>2</v>
      </c>
      <c r="B72" s="2">
        <v>2001</v>
      </c>
      <c r="C72" s="1" t="s">
        <v>80</v>
      </c>
    </row>
    <row r="73" spans="1:9" s="1" customFormat="1" x14ac:dyDescent="0.25">
      <c r="A73" s="1">
        <v>3</v>
      </c>
      <c r="B73" s="2">
        <v>2001001</v>
      </c>
      <c r="C73" s="1" t="s">
        <v>81</v>
      </c>
    </row>
    <row r="74" spans="1:9" s="1" customFormat="1" x14ac:dyDescent="0.25">
      <c r="A74" s="1">
        <v>4</v>
      </c>
      <c r="B74" s="2">
        <v>2001001001</v>
      </c>
      <c r="C74" s="1" t="s">
        <v>82</v>
      </c>
      <c r="D74" s="3">
        <v>16226.85</v>
      </c>
      <c r="E74" s="1" t="s">
        <v>83</v>
      </c>
      <c r="F74" s="3">
        <v>8833408.6999999993</v>
      </c>
      <c r="G74" s="1">
        <v>0</v>
      </c>
      <c r="I74" s="3">
        <f>SUM(F77:F100,F105:F127)</f>
        <v>65589282.229999989</v>
      </c>
    </row>
    <row r="75" spans="1:9" s="1" customFormat="1" x14ac:dyDescent="0.25">
      <c r="A75" s="1">
        <v>2</v>
      </c>
      <c r="B75" s="2">
        <v>2002</v>
      </c>
      <c r="C75" s="1" t="s">
        <v>84</v>
      </c>
      <c r="F75" s="4"/>
    </row>
    <row r="76" spans="1:9" s="1" customFormat="1" x14ac:dyDescent="0.25">
      <c r="A76" s="1">
        <v>3</v>
      </c>
      <c r="B76" s="2">
        <v>2002001</v>
      </c>
      <c r="C76" s="1" t="s">
        <v>85</v>
      </c>
    </row>
    <row r="77" spans="1:9" s="1" customFormat="1" x14ac:dyDescent="0.25">
      <c r="A77" s="1">
        <v>4</v>
      </c>
      <c r="B77" s="2">
        <v>2002001001</v>
      </c>
      <c r="C77" s="1" t="s">
        <v>86</v>
      </c>
      <c r="D77" s="1">
        <v>1</v>
      </c>
      <c r="E77" s="1" t="s">
        <v>16</v>
      </c>
      <c r="F77" s="3">
        <v>24040.46</v>
      </c>
      <c r="G77" s="1">
        <v>0</v>
      </c>
    </row>
    <row r="78" spans="1:9" s="1" customFormat="1" x14ac:dyDescent="0.25">
      <c r="A78" s="1">
        <v>4</v>
      </c>
      <c r="B78" s="2">
        <v>2002001002</v>
      </c>
      <c r="C78" s="1" t="s">
        <v>87</v>
      </c>
      <c r="D78" s="3">
        <v>30400</v>
      </c>
      <c r="E78" s="1" t="s">
        <v>23</v>
      </c>
      <c r="F78" s="3">
        <v>8630560</v>
      </c>
      <c r="G78" s="1">
        <v>0</v>
      </c>
    </row>
    <row r="79" spans="1:9" s="1" customFormat="1" x14ac:dyDescent="0.25">
      <c r="A79" s="1">
        <v>4</v>
      </c>
      <c r="B79" s="2">
        <v>2002001003</v>
      </c>
      <c r="C79" s="1" t="s">
        <v>88</v>
      </c>
      <c r="D79" s="1">
        <v>760</v>
      </c>
      <c r="E79" s="1" t="s">
        <v>32</v>
      </c>
      <c r="F79" s="3">
        <v>554116</v>
      </c>
      <c r="G79" s="1">
        <v>0</v>
      </c>
    </row>
    <row r="80" spans="1:9" s="1" customFormat="1" x14ac:dyDescent="0.25">
      <c r="A80" s="1">
        <v>3</v>
      </c>
      <c r="B80" s="2">
        <v>2002002</v>
      </c>
      <c r="C80" s="1" t="s">
        <v>89</v>
      </c>
    </row>
    <row r="81" spans="1:7" s="1" customFormat="1" x14ac:dyDescent="0.25">
      <c r="A81" s="1">
        <v>4</v>
      </c>
      <c r="B81" s="2">
        <v>2002002001</v>
      </c>
      <c r="C81" s="1" t="s">
        <v>90</v>
      </c>
      <c r="D81" s="3">
        <v>1360129</v>
      </c>
      <c r="E81" s="1" t="s">
        <v>91</v>
      </c>
      <c r="F81" s="3">
        <v>12348203.15</v>
      </c>
      <c r="G81" s="1">
        <v>0</v>
      </c>
    </row>
    <row r="82" spans="1:7" s="1" customFormat="1" x14ac:dyDescent="0.25">
      <c r="A82" s="1">
        <v>4</v>
      </c>
      <c r="B82" s="2">
        <v>2002002002</v>
      </c>
      <c r="C82" s="1" t="s">
        <v>92</v>
      </c>
      <c r="D82" s="3">
        <v>18240</v>
      </c>
      <c r="E82" s="1" t="s">
        <v>32</v>
      </c>
      <c r="F82" s="3">
        <v>66576</v>
      </c>
      <c r="G82" s="1">
        <v>0</v>
      </c>
    </row>
    <row r="83" spans="1:7" s="1" customFormat="1" x14ac:dyDescent="0.25">
      <c r="A83" s="1">
        <v>4</v>
      </c>
      <c r="B83" s="2">
        <v>2002002003</v>
      </c>
      <c r="C83" s="1" t="s">
        <v>93</v>
      </c>
      <c r="D83" s="3">
        <v>45600</v>
      </c>
      <c r="E83" s="1" t="s">
        <v>32</v>
      </c>
      <c r="F83" s="3">
        <v>78432</v>
      </c>
      <c r="G83" s="1">
        <v>0</v>
      </c>
    </row>
    <row r="84" spans="1:7" s="1" customFormat="1" x14ac:dyDescent="0.25">
      <c r="A84" s="1">
        <v>3</v>
      </c>
      <c r="B84" s="2">
        <v>2002003</v>
      </c>
      <c r="C84" s="1" t="s">
        <v>94</v>
      </c>
    </row>
    <row r="85" spans="1:7" s="1" customFormat="1" x14ac:dyDescent="0.25">
      <c r="A85" s="1">
        <v>4</v>
      </c>
      <c r="B85" s="2">
        <v>2002003001</v>
      </c>
      <c r="C85" s="1" t="s">
        <v>95</v>
      </c>
      <c r="D85" s="3">
        <v>8595.4</v>
      </c>
      <c r="E85" s="1" t="s">
        <v>83</v>
      </c>
      <c r="F85" s="3">
        <v>12286596.41</v>
      </c>
      <c r="G85" s="1">
        <v>0</v>
      </c>
    </row>
    <row r="86" spans="1:7" s="1" customFormat="1" x14ac:dyDescent="0.25">
      <c r="A86" s="1">
        <v>3</v>
      </c>
      <c r="B86" s="2">
        <v>2002004</v>
      </c>
      <c r="C86" s="1" t="s">
        <v>96</v>
      </c>
    </row>
    <row r="87" spans="1:7" s="1" customFormat="1" x14ac:dyDescent="0.25">
      <c r="A87" s="1">
        <v>4</v>
      </c>
      <c r="B87" s="2">
        <v>2002004001</v>
      </c>
      <c r="C87" s="1" t="s">
        <v>97</v>
      </c>
      <c r="D87" s="3">
        <v>1933.96</v>
      </c>
      <c r="E87" s="1" t="s">
        <v>83</v>
      </c>
      <c r="F87" s="3">
        <v>1776056.21</v>
      </c>
      <c r="G87" s="1">
        <v>0</v>
      </c>
    </row>
    <row r="88" spans="1:7" s="1" customFormat="1" x14ac:dyDescent="0.25">
      <c r="A88" s="1">
        <v>2</v>
      </c>
      <c r="B88" s="2">
        <v>2003</v>
      </c>
      <c r="C88" s="1" t="s">
        <v>98</v>
      </c>
    </row>
    <row r="89" spans="1:7" s="1" customFormat="1" x14ac:dyDescent="0.25">
      <c r="A89" s="1">
        <v>3</v>
      </c>
      <c r="B89" s="2">
        <v>2003001</v>
      </c>
      <c r="C89" s="1" t="s">
        <v>85</v>
      </c>
    </row>
    <row r="90" spans="1:7" s="1" customFormat="1" x14ac:dyDescent="0.25">
      <c r="A90" s="1">
        <v>4</v>
      </c>
      <c r="B90" s="2">
        <v>2003001001</v>
      </c>
      <c r="C90" s="1" t="s">
        <v>86</v>
      </c>
      <c r="D90" s="1">
        <v>1</v>
      </c>
      <c r="E90" s="1" t="s">
        <v>16</v>
      </c>
      <c r="F90" s="3">
        <v>24040.46</v>
      </c>
      <c r="G90" s="1">
        <v>0</v>
      </c>
    </row>
    <row r="91" spans="1:7" s="1" customFormat="1" x14ac:dyDescent="0.25">
      <c r="A91" s="1">
        <v>4</v>
      </c>
      <c r="B91" s="2">
        <v>2003001002</v>
      </c>
      <c r="C91" s="1" t="s">
        <v>99</v>
      </c>
      <c r="D91" s="3">
        <v>8604</v>
      </c>
      <c r="E91" s="1" t="s">
        <v>23</v>
      </c>
      <c r="F91" s="3">
        <v>774360</v>
      </c>
      <c r="G91" s="1">
        <v>0</v>
      </c>
    </row>
    <row r="92" spans="1:7" s="1" customFormat="1" x14ac:dyDescent="0.25">
      <c r="A92" s="1">
        <v>4</v>
      </c>
      <c r="B92" s="2">
        <v>2003001003</v>
      </c>
      <c r="C92" s="1" t="s">
        <v>88</v>
      </c>
      <c r="D92" s="1">
        <v>239</v>
      </c>
      <c r="E92" s="1" t="s">
        <v>32</v>
      </c>
      <c r="F92" s="3">
        <v>174254.9</v>
      </c>
      <c r="G92" s="1">
        <v>0</v>
      </c>
    </row>
    <row r="93" spans="1:7" s="1" customFormat="1" x14ac:dyDescent="0.25">
      <c r="A93" s="1">
        <v>3</v>
      </c>
      <c r="B93" s="2">
        <v>2003002</v>
      </c>
      <c r="C93" s="1" t="s">
        <v>89</v>
      </c>
    </row>
    <row r="94" spans="1:7" s="1" customFormat="1" x14ac:dyDescent="0.25">
      <c r="A94" s="1">
        <v>4</v>
      </c>
      <c r="B94" s="2">
        <v>2003002001</v>
      </c>
      <c r="C94" s="1" t="s">
        <v>100</v>
      </c>
      <c r="D94" s="3">
        <v>3060</v>
      </c>
      <c r="E94" s="1" t="s">
        <v>91</v>
      </c>
      <c r="F94" s="3">
        <v>25397.08</v>
      </c>
      <c r="G94" s="1">
        <v>0</v>
      </c>
    </row>
    <row r="95" spans="1:7" s="1" customFormat="1" x14ac:dyDescent="0.25">
      <c r="A95" s="1">
        <v>4</v>
      </c>
      <c r="B95" s="2">
        <v>2003002002</v>
      </c>
      <c r="C95" s="1" t="s">
        <v>101</v>
      </c>
      <c r="D95" s="3">
        <v>18742</v>
      </c>
      <c r="E95" s="1" t="s">
        <v>91</v>
      </c>
      <c r="F95" s="3">
        <v>146107.01</v>
      </c>
      <c r="G95" s="1">
        <v>0</v>
      </c>
    </row>
    <row r="96" spans="1:7" s="1" customFormat="1" x14ac:dyDescent="0.25">
      <c r="A96" s="1">
        <v>4</v>
      </c>
      <c r="B96" s="2">
        <v>2003002003</v>
      </c>
      <c r="C96" s="1" t="s">
        <v>93</v>
      </c>
      <c r="D96" s="3">
        <v>2151</v>
      </c>
      <c r="E96" s="1" t="s">
        <v>32</v>
      </c>
      <c r="F96" s="3">
        <v>3699.72</v>
      </c>
      <c r="G96" s="1">
        <v>0</v>
      </c>
    </row>
    <row r="97" spans="1:7" s="1" customFormat="1" x14ac:dyDescent="0.25">
      <c r="A97" s="1">
        <v>3</v>
      </c>
      <c r="B97" s="2">
        <v>2003003</v>
      </c>
      <c r="C97" s="1" t="s">
        <v>94</v>
      </c>
    </row>
    <row r="98" spans="1:7" s="1" customFormat="1" x14ac:dyDescent="0.25">
      <c r="A98" s="1">
        <v>4</v>
      </c>
      <c r="B98" s="2">
        <v>2003003001</v>
      </c>
      <c r="C98" s="1" t="s">
        <v>102</v>
      </c>
      <c r="D98" s="3">
        <v>2432.7199999999998</v>
      </c>
      <c r="E98" s="1" t="s">
        <v>83</v>
      </c>
      <c r="F98" s="3">
        <v>2619413.35</v>
      </c>
      <c r="G98" s="1">
        <v>0</v>
      </c>
    </row>
    <row r="99" spans="1:7" s="1" customFormat="1" x14ac:dyDescent="0.25">
      <c r="A99" s="1">
        <v>3</v>
      </c>
      <c r="B99" s="2">
        <v>2003004</v>
      </c>
      <c r="C99" s="1" t="s">
        <v>96</v>
      </c>
    </row>
    <row r="100" spans="1:7" s="1" customFormat="1" x14ac:dyDescent="0.25">
      <c r="A100" s="1">
        <v>4</v>
      </c>
      <c r="B100" s="2">
        <v>2003004001</v>
      </c>
      <c r="C100" s="1" t="s">
        <v>97</v>
      </c>
      <c r="D100" s="1">
        <v>405.45389999999998</v>
      </c>
      <c r="E100" s="1" t="s">
        <v>83</v>
      </c>
      <c r="F100" s="3">
        <v>372348.59</v>
      </c>
      <c r="G100" s="1">
        <v>0</v>
      </c>
    </row>
    <row r="101" spans="1:7" s="1" customFormat="1" x14ac:dyDescent="0.25">
      <c r="A101" s="1">
        <v>2</v>
      </c>
      <c r="B101" s="2">
        <v>2004</v>
      </c>
      <c r="C101" s="1" t="s">
        <v>103</v>
      </c>
    </row>
    <row r="102" spans="1:7" s="1" customFormat="1" x14ac:dyDescent="0.25">
      <c r="A102" s="1">
        <v>3</v>
      </c>
      <c r="B102" s="2">
        <v>2004001</v>
      </c>
      <c r="C102" s="1" t="s">
        <v>104</v>
      </c>
    </row>
    <row r="103" spans="1:7" s="1" customFormat="1" x14ac:dyDescent="0.25">
      <c r="A103" s="1">
        <v>4</v>
      </c>
      <c r="B103" s="2">
        <v>2004001001</v>
      </c>
      <c r="C103" s="1" t="s">
        <v>105</v>
      </c>
      <c r="D103" s="3">
        <v>5331.95</v>
      </c>
      <c r="E103" s="1" t="s">
        <v>83</v>
      </c>
      <c r="F103" s="3">
        <v>22351913.739999998</v>
      </c>
      <c r="G103" s="1">
        <v>0</v>
      </c>
    </row>
    <row r="104" spans="1:7" s="1" customFormat="1" x14ac:dyDescent="0.25">
      <c r="A104" s="1">
        <v>2</v>
      </c>
      <c r="B104" s="2">
        <v>2005</v>
      </c>
      <c r="C104" s="1" t="s">
        <v>106</v>
      </c>
    </row>
    <row r="105" spans="1:7" s="1" customFormat="1" x14ac:dyDescent="0.25">
      <c r="A105" s="1">
        <v>3</v>
      </c>
      <c r="B105" s="2">
        <v>2005001</v>
      </c>
      <c r="C105" s="1" t="s">
        <v>107</v>
      </c>
    </row>
    <row r="106" spans="1:7" s="1" customFormat="1" x14ac:dyDescent="0.25">
      <c r="A106" s="1">
        <v>4</v>
      </c>
      <c r="B106" s="2">
        <v>2005001001</v>
      </c>
      <c r="C106" s="1" t="s">
        <v>108</v>
      </c>
      <c r="D106" s="3">
        <v>1468.96</v>
      </c>
      <c r="E106" s="1" t="s">
        <v>11</v>
      </c>
      <c r="F106" s="3">
        <v>90241.64</v>
      </c>
      <c r="G106" s="1">
        <v>0</v>
      </c>
    </row>
    <row r="107" spans="1:7" s="1" customFormat="1" x14ac:dyDescent="0.25">
      <c r="A107" s="1">
        <v>4</v>
      </c>
      <c r="B107" s="2">
        <v>2005001002</v>
      </c>
      <c r="C107" s="1" t="s">
        <v>109</v>
      </c>
      <c r="D107" s="3">
        <v>1599</v>
      </c>
      <c r="E107" s="1" t="s">
        <v>11</v>
      </c>
      <c r="F107" s="3">
        <v>125425.56</v>
      </c>
      <c r="G107" s="1">
        <v>0</v>
      </c>
    </row>
    <row r="108" spans="1:7" s="1" customFormat="1" x14ac:dyDescent="0.25">
      <c r="A108" s="1">
        <v>3</v>
      </c>
      <c r="B108" s="2">
        <v>2005002</v>
      </c>
      <c r="C108" s="1" t="s">
        <v>89</v>
      </c>
    </row>
    <row r="109" spans="1:7" s="1" customFormat="1" x14ac:dyDescent="0.25">
      <c r="A109" s="1">
        <v>4</v>
      </c>
      <c r="B109" s="2">
        <v>2005002001</v>
      </c>
      <c r="C109" s="1" t="s">
        <v>110</v>
      </c>
      <c r="D109" s="3">
        <v>433268</v>
      </c>
      <c r="E109" s="1" t="s">
        <v>91</v>
      </c>
      <c r="F109" s="3">
        <v>2777117.9</v>
      </c>
      <c r="G109" s="1">
        <v>0</v>
      </c>
    </row>
    <row r="110" spans="1:7" s="1" customFormat="1" x14ac:dyDescent="0.25">
      <c r="A110" s="1">
        <v>4</v>
      </c>
      <c r="B110" s="2">
        <v>2005002002</v>
      </c>
      <c r="C110" s="1" t="s">
        <v>111</v>
      </c>
      <c r="D110" s="1">
        <v>1</v>
      </c>
      <c r="E110" s="1" t="s">
        <v>16</v>
      </c>
      <c r="F110" s="3">
        <v>145578.04999999999</v>
      </c>
      <c r="G110" s="1">
        <v>0</v>
      </c>
    </row>
    <row r="111" spans="1:7" s="1" customFormat="1" x14ac:dyDescent="0.25">
      <c r="A111" s="1">
        <v>3</v>
      </c>
      <c r="B111" s="2">
        <v>2005003</v>
      </c>
      <c r="C111" s="1" t="s">
        <v>112</v>
      </c>
    </row>
    <row r="112" spans="1:7" s="1" customFormat="1" x14ac:dyDescent="0.25">
      <c r="A112" s="1">
        <v>4</v>
      </c>
      <c r="B112" s="2">
        <v>2005003001</v>
      </c>
      <c r="C112" s="1" t="s">
        <v>113</v>
      </c>
      <c r="D112" s="3">
        <v>6993</v>
      </c>
      <c r="E112" s="1" t="s">
        <v>83</v>
      </c>
      <c r="F112" s="3">
        <v>6556913.0199999996</v>
      </c>
      <c r="G112" s="1">
        <v>0</v>
      </c>
    </row>
    <row r="113" spans="1:7" s="1" customFormat="1" x14ac:dyDescent="0.25">
      <c r="A113" s="1">
        <v>3</v>
      </c>
      <c r="B113" s="2">
        <v>2005004</v>
      </c>
      <c r="C113" s="1" t="s">
        <v>114</v>
      </c>
    </row>
    <row r="114" spans="1:7" s="1" customFormat="1" x14ac:dyDescent="0.25">
      <c r="A114" s="1">
        <v>4</v>
      </c>
      <c r="B114" s="2">
        <v>2005004001</v>
      </c>
      <c r="C114" s="1" t="s">
        <v>115</v>
      </c>
      <c r="D114" s="3">
        <v>6993</v>
      </c>
      <c r="E114" s="1" t="s">
        <v>83</v>
      </c>
      <c r="F114" s="3">
        <v>6326916.75</v>
      </c>
      <c r="G114" s="1">
        <v>0</v>
      </c>
    </row>
    <row r="115" spans="1:7" s="1" customFormat="1" x14ac:dyDescent="0.25">
      <c r="A115" s="1">
        <v>2</v>
      </c>
      <c r="B115" s="2">
        <v>2006</v>
      </c>
      <c r="C115" s="1" t="s">
        <v>116</v>
      </c>
    </row>
    <row r="116" spans="1:7" s="1" customFormat="1" x14ac:dyDescent="0.25">
      <c r="A116" s="1">
        <v>3</v>
      </c>
      <c r="B116" s="2">
        <v>2006001</v>
      </c>
      <c r="C116" s="1" t="s">
        <v>117</v>
      </c>
    </row>
    <row r="117" spans="1:7" s="1" customFormat="1" x14ac:dyDescent="0.25">
      <c r="A117" s="1">
        <v>4</v>
      </c>
      <c r="B117" s="2">
        <v>2006001001</v>
      </c>
      <c r="C117" s="1" t="s">
        <v>118</v>
      </c>
      <c r="D117" s="1">
        <v>1</v>
      </c>
      <c r="E117" s="1" t="s">
        <v>16</v>
      </c>
      <c r="F117" s="3">
        <v>244784</v>
      </c>
      <c r="G117" s="1">
        <v>0</v>
      </c>
    </row>
    <row r="118" spans="1:7" s="1" customFormat="1" x14ac:dyDescent="0.25">
      <c r="A118" s="1">
        <v>3</v>
      </c>
      <c r="B118" s="2">
        <v>2006002</v>
      </c>
      <c r="C118" s="1" t="s">
        <v>107</v>
      </c>
    </row>
    <row r="119" spans="1:7" s="1" customFormat="1" x14ac:dyDescent="0.25">
      <c r="A119" s="1">
        <v>4</v>
      </c>
      <c r="B119" s="2">
        <v>2006002001</v>
      </c>
      <c r="C119" s="1" t="s">
        <v>108</v>
      </c>
      <c r="D119" s="3">
        <v>1180.8</v>
      </c>
      <c r="E119" s="1" t="s">
        <v>11</v>
      </c>
      <c r="F119" s="3">
        <v>72539.5</v>
      </c>
      <c r="G119" s="1">
        <v>0</v>
      </c>
    </row>
    <row r="120" spans="1:7" s="1" customFormat="1" x14ac:dyDescent="0.25">
      <c r="A120" s="1">
        <v>4</v>
      </c>
      <c r="B120" s="2">
        <v>2006002002</v>
      </c>
      <c r="C120" s="1" t="s">
        <v>109</v>
      </c>
      <c r="D120" s="3">
        <v>1747.54</v>
      </c>
      <c r="E120" s="1" t="s">
        <v>11</v>
      </c>
      <c r="F120" s="3">
        <v>137076.72</v>
      </c>
      <c r="G120" s="1">
        <v>0</v>
      </c>
    </row>
    <row r="121" spans="1:7" s="1" customFormat="1" x14ac:dyDescent="0.25">
      <c r="A121" s="1">
        <v>3</v>
      </c>
      <c r="B121" s="2">
        <v>2006003</v>
      </c>
      <c r="C121" s="1" t="s">
        <v>89</v>
      </c>
    </row>
    <row r="122" spans="1:7" s="1" customFormat="1" x14ac:dyDescent="0.25">
      <c r="A122" s="1">
        <v>4</v>
      </c>
      <c r="B122" s="2">
        <v>2006003001</v>
      </c>
      <c r="C122" s="1" t="s">
        <v>110</v>
      </c>
      <c r="D122" s="3">
        <v>472500</v>
      </c>
      <c r="E122" s="1" t="s">
        <v>91</v>
      </c>
      <c r="F122" s="3">
        <v>3028583.25</v>
      </c>
      <c r="G122" s="1">
        <v>0</v>
      </c>
    </row>
    <row r="123" spans="1:7" s="1" customFormat="1" x14ac:dyDescent="0.25">
      <c r="A123" s="1">
        <v>4</v>
      </c>
      <c r="B123" s="2">
        <v>2006003002</v>
      </c>
      <c r="C123" s="1" t="s">
        <v>119</v>
      </c>
      <c r="D123" s="1">
        <v>1</v>
      </c>
      <c r="E123" s="1" t="s">
        <v>16</v>
      </c>
      <c r="F123" s="3">
        <v>158760</v>
      </c>
      <c r="G123" s="1">
        <v>0</v>
      </c>
    </row>
    <row r="124" spans="1:7" s="1" customFormat="1" x14ac:dyDescent="0.25">
      <c r="A124" s="1">
        <v>3</v>
      </c>
      <c r="B124" s="2">
        <v>2006004</v>
      </c>
      <c r="C124" s="1" t="s">
        <v>112</v>
      </c>
    </row>
    <row r="125" spans="1:7" s="1" customFormat="1" x14ac:dyDescent="0.25">
      <c r="A125" s="1">
        <v>4</v>
      </c>
      <c r="B125" s="2">
        <v>2006004001</v>
      </c>
      <c r="C125" s="1" t="s">
        <v>120</v>
      </c>
      <c r="D125" s="3">
        <v>3500</v>
      </c>
      <c r="E125" s="1" t="s">
        <v>83</v>
      </c>
      <c r="F125" s="3">
        <v>2854519.5</v>
      </c>
      <c r="G125" s="1">
        <v>0</v>
      </c>
    </row>
    <row r="126" spans="1:7" s="1" customFormat="1" x14ac:dyDescent="0.25">
      <c r="A126" s="1">
        <v>3</v>
      </c>
      <c r="B126" s="2">
        <v>2006005</v>
      </c>
      <c r="C126" s="1" t="s">
        <v>114</v>
      </c>
    </row>
    <row r="127" spans="1:7" s="1" customFormat="1" x14ac:dyDescent="0.25">
      <c r="A127" s="1">
        <v>4</v>
      </c>
      <c r="B127" s="2">
        <v>2006005001</v>
      </c>
      <c r="C127" s="1" t="s">
        <v>115</v>
      </c>
      <c r="D127" s="3">
        <v>3500</v>
      </c>
      <c r="E127" s="1" t="s">
        <v>83</v>
      </c>
      <c r="F127" s="3">
        <v>3166625</v>
      </c>
      <c r="G127" s="1">
        <v>0</v>
      </c>
    </row>
    <row r="128" spans="1:7" s="1" customFormat="1" x14ac:dyDescent="0.25">
      <c r="A128" s="1">
        <v>1</v>
      </c>
      <c r="B128" s="1">
        <v>3</v>
      </c>
      <c r="C128" s="1" t="s">
        <v>121</v>
      </c>
      <c r="F128" s="4"/>
    </row>
    <row r="129" spans="1:8" s="1" customFormat="1" x14ac:dyDescent="0.25">
      <c r="A129" s="1">
        <v>2</v>
      </c>
      <c r="B129" s="2">
        <v>3001</v>
      </c>
      <c r="C129" s="1" t="s">
        <v>122</v>
      </c>
    </row>
    <row r="130" spans="1:8" s="1" customFormat="1" x14ac:dyDescent="0.25">
      <c r="A130" s="1">
        <v>3</v>
      </c>
      <c r="B130" s="2">
        <v>3001001</v>
      </c>
      <c r="C130" s="1" t="s">
        <v>123</v>
      </c>
    </row>
    <row r="131" spans="1:8" s="1" customFormat="1" x14ac:dyDescent="0.25">
      <c r="A131" s="1">
        <v>4</v>
      </c>
      <c r="B131" s="2">
        <v>3001001001</v>
      </c>
      <c r="C131" s="1" t="s">
        <v>124</v>
      </c>
      <c r="D131" s="3">
        <v>43472.25</v>
      </c>
      <c r="E131" s="1" t="s">
        <v>11</v>
      </c>
      <c r="F131" s="3">
        <v>242140.43</v>
      </c>
      <c r="G131" s="1">
        <v>0</v>
      </c>
      <c r="H131" s="1">
        <f>F131/D131</f>
        <v>5.569999942492049</v>
      </c>
    </row>
    <row r="132" spans="1:8" s="1" customFormat="1" x14ac:dyDescent="0.25">
      <c r="A132" s="1">
        <v>3</v>
      </c>
      <c r="B132" s="2">
        <v>3001002</v>
      </c>
      <c r="C132" s="1" t="s">
        <v>89</v>
      </c>
    </row>
    <row r="133" spans="1:8" s="1" customFormat="1" x14ac:dyDescent="0.25">
      <c r="A133" s="1">
        <v>4</v>
      </c>
      <c r="B133" s="2">
        <v>3001002001</v>
      </c>
      <c r="C133" s="1" t="s">
        <v>110</v>
      </c>
      <c r="D133" s="3">
        <v>8815464</v>
      </c>
      <c r="E133" s="1" t="s">
        <v>91</v>
      </c>
      <c r="F133" s="3">
        <v>56504479.600000001</v>
      </c>
      <c r="G133" s="1">
        <v>0</v>
      </c>
    </row>
    <row r="134" spans="1:8" s="1" customFormat="1" x14ac:dyDescent="0.25">
      <c r="A134" s="1">
        <v>4</v>
      </c>
      <c r="B134" s="2">
        <v>3001002002</v>
      </c>
      <c r="C134" s="1" t="s">
        <v>125</v>
      </c>
      <c r="D134" s="1">
        <v>1</v>
      </c>
      <c r="E134" s="1" t="s">
        <v>16</v>
      </c>
      <c r="F134" s="3">
        <v>4654564.99</v>
      </c>
      <c r="G134" s="1">
        <v>0</v>
      </c>
    </row>
    <row r="135" spans="1:8" s="1" customFormat="1" x14ac:dyDescent="0.25">
      <c r="A135" s="1">
        <v>3</v>
      </c>
      <c r="B135" s="2">
        <v>3001003</v>
      </c>
      <c r="C135" s="1" t="s">
        <v>126</v>
      </c>
    </row>
    <row r="136" spans="1:8" s="1" customFormat="1" x14ac:dyDescent="0.25">
      <c r="A136" s="1">
        <v>4</v>
      </c>
      <c r="B136" s="2">
        <v>3001003001</v>
      </c>
      <c r="C136" s="1" t="s">
        <v>127</v>
      </c>
      <c r="D136" s="3">
        <v>12027</v>
      </c>
      <c r="E136" s="1" t="s">
        <v>83</v>
      </c>
      <c r="F136" s="3">
        <v>11992620.82</v>
      </c>
      <c r="G136" s="1">
        <v>0</v>
      </c>
    </row>
    <row r="137" spans="1:8" s="1" customFormat="1" x14ac:dyDescent="0.25">
      <c r="A137" s="1">
        <v>4</v>
      </c>
      <c r="B137" s="2">
        <v>3001003002</v>
      </c>
      <c r="C137" s="1" t="s">
        <v>128</v>
      </c>
      <c r="D137" s="3">
        <v>12567</v>
      </c>
      <c r="E137" s="1" t="s">
        <v>83</v>
      </c>
      <c r="F137" s="3">
        <v>14677960.68</v>
      </c>
      <c r="G137" s="1">
        <v>0</v>
      </c>
    </row>
    <row r="138" spans="1:8" s="1" customFormat="1" x14ac:dyDescent="0.25">
      <c r="A138" s="1">
        <v>4</v>
      </c>
      <c r="B138" s="2">
        <v>3001003003</v>
      </c>
      <c r="C138" s="1" t="s">
        <v>129</v>
      </c>
      <c r="D138" s="3">
        <v>1744.63</v>
      </c>
      <c r="E138" s="1" t="s">
        <v>83</v>
      </c>
      <c r="F138" s="3">
        <v>109548.62</v>
      </c>
      <c r="G138" s="1">
        <v>0</v>
      </c>
    </row>
    <row r="139" spans="1:8" s="1" customFormat="1" x14ac:dyDescent="0.25">
      <c r="A139" s="1">
        <v>3</v>
      </c>
      <c r="B139" s="2">
        <v>3001004</v>
      </c>
      <c r="C139" s="1" t="s">
        <v>130</v>
      </c>
    </row>
    <row r="140" spans="1:8" s="1" customFormat="1" x14ac:dyDescent="0.25">
      <c r="A140" s="1">
        <v>4</v>
      </c>
      <c r="B140" s="2">
        <v>3001004001</v>
      </c>
      <c r="C140" s="1" t="s">
        <v>131</v>
      </c>
      <c r="D140" s="3">
        <v>24594</v>
      </c>
      <c r="E140" s="1" t="s">
        <v>83</v>
      </c>
      <c r="F140" s="3">
        <v>37316476.200000003</v>
      </c>
      <c r="G140" s="1">
        <v>0</v>
      </c>
    </row>
    <row r="141" spans="1:8" s="1" customFormat="1" x14ac:dyDescent="0.25">
      <c r="A141" s="1">
        <v>2</v>
      </c>
      <c r="B141" s="2">
        <v>3002</v>
      </c>
      <c r="C141" s="1" t="s">
        <v>132</v>
      </c>
    </row>
    <row r="142" spans="1:8" s="1" customFormat="1" x14ac:dyDescent="0.25">
      <c r="A142" s="1">
        <v>3</v>
      </c>
      <c r="B142" s="2">
        <v>3002001</v>
      </c>
      <c r="C142" s="1" t="s">
        <v>123</v>
      </c>
    </row>
    <row r="143" spans="1:8" s="1" customFormat="1" x14ac:dyDescent="0.25">
      <c r="A143" s="1">
        <v>4</v>
      </c>
      <c r="B143" s="2">
        <v>3002001001</v>
      </c>
      <c r="C143" s="1" t="s">
        <v>124</v>
      </c>
      <c r="D143" s="3">
        <v>95801.37</v>
      </c>
      <c r="E143" s="1" t="s">
        <v>11</v>
      </c>
      <c r="F143" s="3">
        <v>533613.63</v>
      </c>
      <c r="G143" s="1">
        <v>0</v>
      </c>
      <c r="H143" s="1">
        <f>F143/D143</f>
        <v>5.5699999906055631</v>
      </c>
    </row>
    <row r="144" spans="1:8" s="1" customFormat="1" x14ac:dyDescent="0.25">
      <c r="A144" s="1">
        <v>3</v>
      </c>
      <c r="B144" s="2">
        <v>3002002</v>
      </c>
      <c r="C144" s="1" t="s">
        <v>89</v>
      </c>
    </row>
    <row r="145" spans="1:7" s="1" customFormat="1" x14ac:dyDescent="0.25">
      <c r="A145" s="1">
        <v>4</v>
      </c>
      <c r="B145" s="2">
        <v>3002002001</v>
      </c>
      <c r="C145" s="1" t="s">
        <v>110</v>
      </c>
      <c r="D145" s="3">
        <v>14868061</v>
      </c>
      <c r="E145" s="1" t="s">
        <v>91</v>
      </c>
      <c r="F145" s="3">
        <v>95299810.590000004</v>
      </c>
      <c r="G145" s="1">
        <v>0</v>
      </c>
    </row>
    <row r="146" spans="1:7" s="1" customFormat="1" x14ac:dyDescent="0.25">
      <c r="A146" s="1">
        <v>4</v>
      </c>
      <c r="B146" s="2">
        <v>3002002002</v>
      </c>
      <c r="C146" s="1" t="s">
        <v>133</v>
      </c>
      <c r="D146" s="1">
        <v>1</v>
      </c>
      <c r="E146" s="1" t="s">
        <v>16</v>
      </c>
      <c r="F146" s="3">
        <v>7850336.21</v>
      </c>
      <c r="G146" s="1">
        <v>0</v>
      </c>
    </row>
    <row r="147" spans="1:7" s="1" customFormat="1" x14ac:dyDescent="0.25">
      <c r="A147" s="1">
        <v>3</v>
      </c>
      <c r="B147" s="2">
        <v>3002003</v>
      </c>
      <c r="C147" s="1" t="s">
        <v>126</v>
      </c>
    </row>
    <row r="148" spans="1:7" s="1" customFormat="1" x14ac:dyDescent="0.25">
      <c r="A148" s="1">
        <v>4</v>
      </c>
      <c r="B148" s="2">
        <v>3002003001</v>
      </c>
      <c r="C148" s="1" t="s">
        <v>134</v>
      </c>
      <c r="D148" s="3">
        <v>5351</v>
      </c>
      <c r="E148" s="1" t="s">
        <v>83</v>
      </c>
      <c r="F148" s="3">
        <v>4883691.82</v>
      </c>
      <c r="G148" s="1">
        <v>0</v>
      </c>
    </row>
    <row r="149" spans="1:7" s="1" customFormat="1" x14ac:dyDescent="0.25">
      <c r="A149" s="1">
        <v>4</v>
      </c>
      <c r="B149" s="2">
        <v>3002003002</v>
      </c>
      <c r="C149" s="1" t="s">
        <v>135</v>
      </c>
      <c r="D149" s="3">
        <v>9644</v>
      </c>
      <c r="E149" s="1" t="s">
        <v>83</v>
      </c>
      <c r="F149" s="3">
        <v>8992962.4900000002</v>
      </c>
      <c r="G149" s="1">
        <v>0</v>
      </c>
    </row>
    <row r="150" spans="1:7" s="1" customFormat="1" x14ac:dyDescent="0.25">
      <c r="A150" s="1">
        <v>4</v>
      </c>
      <c r="B150" s="2">
        <v>3002003003</v>
      </c>
      <c r="C150" s="1" t="s">
        <v>136</v>
      </c>
      <c r="D150" s="3">
        <v>6271</v>
      </c>
      <c r="E150" s="1" t="s">
        <v>83</v>
      </c>
      <c r="F150" s="3">
        <v>5975667.2599999998</v>
      </c>
      <c r="G150" s="1">
        <v>0</v>
      </c>
    </row>
    <row r="151" spans="1:7" s="1" customFormat="1" x14ac:dyDescent="0.25">
      <c r="A151" s="1">
        <v>4</v>
      </c>
      <c r="B151" s="2">
        <v>3002003004</v>
      </c>
      <c r="C151" s="1" t="s">
        <v>137</v>
      </c>
      <c r="D151" s="3">
        <v>4445</v>
      </c>
      <c r="E151" s="1" t="s">
        <v>83</v>
      </c>
      <c r="F151" s="3">
        <v>4325507.29</v>
      </c>
      <c r="G151" s="1">
        <v>0</v>
      </c>
    </row>
    <row r="152" spans="1:7" s="1" customFormat="1" x14ac:dyDescent="0.25">
      <c r="A152" s="1">
        <v>4</v>
      </c>
      <c r="B152" s="2">
        <v>3002003005</v>
      </c>
      <c r="C152" s="1" t="s">
        <v>127</v>
      </c>
      <c r="D152" s="3">
        <v>2160</v>
      </c>
      <c r="E152" s="1" t="s">
        <v>83</v>
      </c>
      <c r="F152" s="3">
        <v>2153825.64</v>
      </c>
      <c r="G152" s="1">
        <v>0</v>
      </c>
    </row>
    <row r="153" spans="1:7" s="1" customFormat="1" x14ac:dyDescent="0.25">
      <c r="A153" s="1">
        <v>4</v>
      </c>
      <c r="B153" s="2">
        <v>3002003006</v>
      </c>
      <c r="C153" s="1" t="s">
        <v>138</v>
      </c>
      <c r="D153" s="3">
        <v>13069</v>
      </c>
      <c r="E153" s="1" t="s">
        <v>83</v>
      </c>
      <c r="F153" s="3">
        <v>13337104</v>
      </c>
      <c r="G153" s="1">
        <v>0</v>
      </c>
    </row>
    <row r="154" spans="1:7" s="1" customFormat="1" x14ac:dyDescent="0.25">
      <c r="A154" s="1">
        <v>4</v>
      </c>
      <c r="B154" s="2">
        <v>3002003007</v>
      </c>
      <c r="C154" s="1" t="s">
        <v>139</v>
      </c>
      <c r="D154" s="3">
        <v>15860</v>
      </c>
      <c r="E154" s="1" t="s">
        <v>83</v>
      </c>
      <c r="F154" s="3">
        <v>17739417.93</v>
      </c>
      <c r="G154" s="1">
        <v>0</v>
      </c>
    </row>
    <row r="155" spans="1:7" s="1" customFormat="1" x14ac:dyDescent="0.25">
      <c r="A155" s="1">
        <v>4</v>
      </c>
      <c r="B155" s="2">
        <v>3002003008</v>
      </c>
      <c r="C155" s="1" t="s">
        <v>128</v>
      </c>
      <c r="D155" s="3">
        <v>7299</v>
      </c>
      <c r="E155" s="1" t="s">
        <v>83</v>
      </c>
      <c r="F155" s="3">
        <v>8525060.4700000007</v>
      </c>
      <c r="G155" s="1">
        <v>0</v>
      </c>
    </row>
    <row r="156" spans="1:7" s="1" customFormat="1" x14ac:dyDescent="0.25">
      <c r="A156" s="1">
        <v>4</v>
      </c>
      <c r="B156" s="2">
        <v>3002003009</v>
      </c>
      <c r="C156" s="1" t="s">
        <v>129</v>
      </c>
      <c r="D156" s="1">
        <v>229.47839999999999</v>
      </c>
      <c r="E156" s="1" t="s">
        <v>83</v>
      </c>
      <c r="F156" s="3">
        <v>14409.41</v>
      </c>
      <c r="G156" s="1">
        <v>0</v>
      </c>
    </row>
    <row r="157" spans="1:7" s="1" customFormat="1" x14ac:dyDescent="0.25">
      <c r="A157" s="1">
        <v>3</v>
      </c>
      <c r="B157" s="2">
        <v>3002004</v>
      </c>
      <c r="C157" s="1" t="s">
        <v>130</v>
      </c>
    </row>
    <row r="158" spans="1:7" s="1" customFormat="1" x14ac:dyDescent="0.25">
      <c r="A158" s="1">
        <v>4</v>
      </c>
      <c r="B158" s="2">
        <v>3002004001</v>
      </c>
      <c r="C158" s="1" t="s">
        <v>140</v>
      </c>
      <c r="D158" s="3">
        <v>64099</v>
      </c>
      <c r="E158" s="1" t="s">
        <v>83</v>
      </c>
      <c r="F158" s="3">
        <v>72942098.040000007</v>
      </c>
      <c r="G158" s="1">
        <v>0</v>
      </c>
    </row>
    <row r="159" spans="1:7" s="1" customFormat="1" x14ac:dyDescent="0.25">
      <c r="A159" s="1">
        <v>2</v>
      </c>
      <c r="B159" s="2">
        <v>3003</v>
      </c>
      <c r="C159" s="1" t="s">
        <v>141</v>
      </c>
    </row>
    <row r="160" spans="1:7" s="1" customFormat="1" x14ac:dyDescent="0.25">
      <c r="A160" s="1">
        <v>3</v>
      </c>
      <c r="B160" s="2">
        <v>3003001</v>
      </c>
      <c r="C160" s="1" t="s">
        <v>123</v>
      </c>
    </row>
    <row r="161" spans="1:7" s="1" customFormat="1" x14ac:dyDescent="0.25">
      <c r="A161" s="1">
        <v>4</v>
      </c>
      <c r="B161" s="2">
        <v>3003001001</v>
      </c>
      <c r="C161" s="1" t="s">
        <v>124</v>
      </c>
      <c r="D161" s="3">
        <v>5466.18</v>
      </c>
      <c r="E161" s="1" t="s">
        <v>11</v>
      </c>
      <c r="F161" s="3">
        <v>30446.62</v>
      </c>
      <c r="G161" s="1">
        <v>0</v>
      </c>
    </row>
    <row r="162" spans="1:7" s="1" customFormat="1" x14ac:dyDescent="0.25">
      <c r="A162" s="1">
        <v>3</v>
      </c>
      <c r="B162" s="2">
        <v>3003002</v>
      </c>
      <c r="C162" s="1" t="s">
        <v>89</v>
      </c>
    </row>
    <row r="163" spans="1:7" s="1" customFormat="1" x14ac:dyDescent="0.25">
      <c r="A163" s="1">
        <v>4</v>
      </c>
      <c r="B163" s="2">
        <v>3003002001</v>
      </c>
      <c r="C163" s="1" t="s">
        <v>110</v>
      </c>
      <c r="D163" s="3">
        <v>494531</v>
      </c>
      <c r="E163" s="1" t="s">
        <v>91</v>
      </c>
      <c r="F163" s="3">
        <v>3169795.35</v>
      </c>
      <c r="G163" s="1">
        <v>0</v>
      </c>
    </row>
    <row r="164" spans="1:7" s="1" customFormat="1" x14ac:dyDescent="0.25">
      <c r="A164" s="1">
        <v>4</v>
      </c>
      <c r="B164" s="2">
        <v>3003002002</v>
      </c>
      <c r="C164" s="1" t="s">
        <v>142</v>
      </c>
      <c r="D164" s="1">
        <v>1</v>
      </c>
      <c r="E164" s="1" t="s">
        <v>16</v>
      </c>
      <c r="F164" s="3">
        <v>261112.37</v>
      </c>
      <c r="G164" s="1">
        <v>0</v>
      </c>
    </row>
    <row r="165" spans="1:7" s="1" customFormat="1" x14ac:dyDescent="0.25">
      <c r="A165" s="1">
        <v>3</v>
      </c>
      <c r="B165" s="2">
        <v>3003003</v>
      </c>
      <c r="C165" s="1" t="s">
        <v>126</v>
      </c>
    </row>
    <row r="166" spans="1:7" s="1" customFormat="1" x14ac:dyDescent="0.25">
      <c r="A166" s="1">
        <v>4</v>
      </c>
      <c r="B166" s="2">
        <v>3003003001</v>
      </c>
      <c r="C166" s="1" t="s">
        <v>134</v>
      </c>
      <c r="D166" s="3">
        <v>1752</v>
      </c>
      <c r="E166" s="1" t="s">
        <v>83</v>
      </c>
      <c r="F166" s="3">
        <v>1598996.09</v>
      </c>
      <c r="G166" s="1">
        <v>0</v>
      </c>
    </row>
    <row r="167" spans="1:7" s="1" customFormat="1" x14ac:dyDescent="0.25">
      <c r="A167" s="1">
        <v>4</v>
      </c>
      <c r="B167" s="2">
        <v>3003003002</v>
      </c>
      <c r="C167" s="1" t="s">
        <v>135</v>
      </c>
      <c r="D167" s="3">
        <v>1530</v>
      </c>
      <c r="E167" s="1" t="s">
        <v>83</v>
      </c>
      <c r="F167" s="3">
        <v>1426714.29</v>
      </c>
      <c r="G167" s="1">
        <v>0</v>
      </c>
    </row>
    <row r="168" spans="1:7" s="1" customFormat="1" x14ac:dyDescent="0.25">
      <c r="A168" s="1">
        <v>3</v>
      </c>
      <c r="B168" s="2">
        <v>3003004</v>
      </c>
      <c r="C168" s="1" t="s">
        <v>130</v>
      </c>
    </row>
    <row r="169" spans="1:7" s="1" customFormat="1" x14ac:dyDescent="0.25">
      <c r="A169" s="1">
        <v>4</v>
      </c>
      <c r="B169" s="2">
        <v>3003004001</v>
      </c>
      <c r="C169" s="1" t="s">
        <v>143</v>
      </c>
      <c r="D169" s="3">
        <v>3282</v>
      </c>
      <c r="E169" s="1" t="s">
        <v>83</v>
      </c>
      <c r="F169" s="3">
        <v>4598180.46</v>
      </c>
      <c r="G169" s="1">
        <v>0</v>
      </c>
    </row>
    <row r="170" spans="1:7" s="1" customFormat="1" x14ac:dyDescent="0.25">
      <c r="A170" s="1">
        <v>3</v>
      </c>
      <c r="B170" s="2">
        <v>3003005</v>
      </c>
      <c r="C170" s="1" t="s">
        <v>144</v>
      </c>
    </row>
    <row r="171" spans="1:7" s="1" customFormat="1" x14ac:dyDescent="0.25">
      <c r="A171" s="1">
        <v>4</v>
      </c>
      <c r="B171" s="2">
        <v>3003005001</v>
      </c>
      <c r="C171" s="1" t="s">
        <v>145</v>
      </c>
      <c r="D171" s="1">
        <v>1</v>
      </c>
      <c r="E171" s="1" t="s">
        <v>16</v>
      </c>
      <c r="F171" s="3">
        <v>90485685</v>
      </c>
      <c r="G171" s="1">
        <v>0</v>
      </c>
    </row>
    <row r="172" spans="1:7" s="1" customFormat="1" x14ac:dyDescent="0.25">
      <c r="A172" s="1">
        <v>4</v>
      </c>
      <c r="B172" s="2">
        <v>3003005002</v>
      </c>
      <c r="C172" s="1" t="s">
        <v>146</v>
      </c>
      <c r="D172" s="1">
        <v>1</v>
      </c>
      <c r="E172" s="1" t="s">
        <v>16</v>
      </c>
      <c r="F172" s="3">
        <v>27145705.5</v>
      </c>
      <c r="G172" s="1">
        <v>0</v>
      </c>
    </row>
    <row r="173" spans="1:7" x14ac:dyDescent="0.25">
      <c r="A173">
        <v>1</v>
      </c>
      <c r="B173">
        <v>4</v>
      </c>
      <c r="C173" t="s">
        <v>147</v>
      </c>
    </row>
    <row r="174" spans="1:7" s="5" customFormat="1" x14ac:dyDescent="0.25">
      <c r="A174" s="5">
        <v>2</v>
      </c>
      <c r="B174" s="6">
        <v>4001</v>
      </c>
      <c r="C174" s="5" t="s">
        <v>148</v>
      </c>
    </row>
    <row r="175" spans="1:7" s="5" customFormat="1" x14ac:dyDescent="0.25">
      <c r="A175" s="5">
        <v>3</v>
      </c>
      <c r="B175" s="6">
        <v>4001001</v>
      </c>
      <c r="C175" s="5" t="s">
        <v>149</v>
      </c>
    </row>
    <row r="176" spans="1:7" s="5" customFormat="1" x14ac:dyDescent="0.25">
      <c r="A176" s="5">
        <v>4</v>
      </c>
      <c r="B176" s="6">
        <v>4001001001</v>
      </c>
      <c r="C176" s="5" t="s">
        <v>150</v>
      </c>
      <c r="D176" s="7">
        <v>7016.01</v>
      </c>
      <c r="E176" s="5" t="s">
        <v>11</v>
      </c>
      <c r="F176" s="7">
        <v>679967.13</v>
      </c>
      <c r="G176" s="5">
        <v>0</v>
      </c>
    </row>
    <row r="177" spans="1:7" s="5" customFormat="1" x14ac:dyDescent="0.25">
      <c r="A177" s="5">
        <v>4</v>
      </c>
      <c r="B177" s="6">
        <v>4001001002</v>
      </c>
      <c r="C177" s="5" t="s">
        <v>151</v>
      </c>
      <c r="D177" s="5">
        <v>284.04599999999999</v>
      </c>
      <c r="E177" s="5" t="s">
        <v>11</v>
      </c>
      <c r="F177" s="7">
        <v>3702.17</v>
      </c>
      <c r="G177" s="5">
        <v>0</v>
      </c>
    </row>
    <row r="178" spans="1:7" s="5" customFormat="1" x14ac:dyDescent="0.25">
      <c r="A178" s="5">
        <v>3</v>
      </c>
      <c r="B178" s="6">
        <v>4001002</v>
      </c>
      <c r="C178" s="5" t="s">
        <v>152</v>
      </c>
    </row>
    <row r="179" spans="1:7" s="5" customFormat="1" x14ac:dyDescent="0.25">
      <c r="A179" s="5">
        <v>4</v>
      </c>
      <c r="B179" s="6">
        <v>4001002001</v>
      </c>
      <c r="C179" s="5" t="s">
        <v>153</v>
      </c>
      <c r="D179" s="7">
        <v>7016.01</v>
      </c>
      <c r="E179" s="5" t="s">
        <v>11</v>
      </c>
      <c r="F179" s="7">
        <v>361929.3</v>
      </c>
      <c r="G179" s="5">
        <v>0</v>
      </c>
    </row>
    <row r="180" spans="1:7" s="5" customFormat="1" x14ac:dyDescent="0.25">
      <c r="A180" s="5">
        <v>4</v>
      </c>
      <c r="B180" s="6">
        <v>4001002002</v>
      </c>
      <c r="C180" s="5" t="s">
        <v>154</v>
      </c>
      <c r="D180" s="5">
        <v>946.82</v>
      </c>
      <c r="E180" s="5" t="s">
        <v>23</v>
      </c>
      <c r="F180" s="7">
        <v>63361.19</v>
      </c>
      <c r="G180" s="5">
        <v>0</v>
      </c>
    </row>
    <row r="181" spans="1:7" s="1" customFormat="1" x14ac:dyDescent="0.25">
      <c r="A181" s="1">
        <v>3</v>
      </c>
      <c r="B181" s="2">
        <v>4001003</v>
      </c>
      <c r="C181" s="1" t="s">
        <v>155</v>
      </c>
    </row>
    <row r="182" spans="1:7" s="1" customFormat="1" x14ac:dyDescent="0.25">
      <c r="A182" s="1">
        <v>4</v>
      </c>
      <c r="B182" s="2">
        <v>4001003001</v>
      </c>
      <c r="C182" s="1" t="s">
        <v>156</v>
      </c>
      <c r="D182" s="3">
        <v>10429.620000000001</v>
      </c>
      <c r="E182" s="1" t="s">
        <v>11</v>
      </c>
      <c r="F182" s="3">
        <v>856271.8</v>
      </c>
      <c r="G182" s="1">
        <v>0</v>
      </c>
    </row>
    <row r="183" spans="1:7" s="1" customFormat="1" x14ac:dyDescent="0.25">
      <c r="A183" s="1">
        <v>4</v>
      </c>
      <c r="B183" s="2">
        <v>4001003002</v>
      </c>
      <c r="C183" s="1" t="s">
        <v>157</v>
      </c>
      <c r="D183" s="3">
        <v>4315.6899999999996</v>
      </c>
      <c r="E183" s="1" t="s">
        <v>11</v>
      </c>
      <c r="F183" s="3">
        <v>566218.53</v>
      </c>
      <c r="G183" s="1">
        <v>0</v>
      </c>
    </row>
    <row r="184" spans="1:7" s="1" customFormat="1" x14ac:dyDescent="0.25">
      <c r="A184" s="1">
        <v>3</v>
      </c>
      <c r="B184" s="2">
        <v>4001004</v>
      </c>
      <c r="C184" s="1" t="s">
        <v>158</v>
      </c>
    </row>
    <row r="185" spans="1:7" s="1" customFormat="1" x14ac:dyDescent="0.25">
      <c r="A185" s="1">
        <v>4</v>
      </c>
      <c r="B185" s="2">
        <v>4001004001</v>
      </c>
      <c r="C185" s="1" t="s">
        <v>159</v>
      </c>
      <c r="D185" s="3">
        <v>10429.620000000001</v>
      </c>
      <c r="E185" s="1" t="s">
        <v>11</v>
      </c>
      <c r="F185" s="3">
        <v>812780.29</v>
      </c>
      <c r="G185" s="1">
        <v>0</v>
      </c>
    </row>
    <row r="186" spans="1:7" s="1" customFormat="1" x14ac:dyDescent="0.25">
      <c r="A186" s="1">
        <v>4</v>
      </c>
      <c r="B186" s="2">
        <v>4001004002</v>
      </c>
      <c r="C186" s="1" t="s">
        <v>160</v>
      </c>
      <c r="D186" s="3">
        <v>4315.6899999999996</v>
      </c>
      <c r="E186" s="1" t="s">
        <v>11</v>
      </c>
      <c r="F186" s="3">
        <v>457290.51</v>
      </c>
      <c r="G186" s="1">
        <v>0</v>
      </c>
    </row>
    <row r="187" spans="1:7" s="5" customFormat="1" x14ac:dyDescent="0.25">
      <c r="A187" s="5">
        <v>2</v>
      </c>
      <c r="B187" s="6">
        <v>4002</v>
      </c>
      <c r="C187" s="5" t="s">
        <v>161</v>
      </c>
    </row>
    <row r="188" spans="1:7" s="5" customFormat="1" x14ac:dyDescent="0.25">
      <c r="A188" s="5">
        <v>3</v>
      </c>
      <c r="B188" s="6">
        <v>4002001</v>
      </c>
      <c r="C188" s="5" t="s">
        <v>149</v>
      </c>
    </row>
    <row r="189" spans="1:7" s="5" customFormat="1" x14ac:dyDescent="0.25">
      <c r="A189" s="5">
        <v>4</v>
      </c>
      <c r="B189" s="6">
        <v>4002001001</v>
      </c>
      <c r="C189" s="5" t="s">
        <v>150</v>
      </c>
      <c r="D189" s="7">
        <v>9618.5</v>
      </c>
      <c r="E189" s="5" t="s">
        <v>11</v>
      </c>
      <c r="F189" s="7">
        <v>932191.36</v>
      </c>
      <c r="G189" s="5">
        <v>0</v>
      </c>
    </row>
    <row r="190" spans="1:7" s="5" customFormat="1" x14ac:dyDescent="0.25">
      <c r="A190" s="5">
        <v>4</v>
      </c>
      <c r="B190" s="6">
        <v>4002001002</v>
      </c>
      <c r="C190" s="5" t="s">
        <v>151</v>
      </c>
      <c r="D190" s="5">
        <v>16.812000000000001</v>
      </c>
      <c r="E190" s="5" t="s">
        <v>11</v>
      </c>
      <c r="F190" s="5">
        <v>219.12</v>
      </c>
      <c r="G190" s="5">
        <v>0</v>
      </c>
    </row>
    <row r="191" spans="1:7" s="5" customFormat="1" x14ac:dyDescent="0.25">
      <c r="A191" s="5">
        <v>3</v>
      </c>
      <c r="B191" s="6">
        <v>4002002</v>
      </c>
      <c r="C191" s="5" t="s">
        <v>152</v>
      </c>
    </row>
    <row r="192" spans="1:7" s="5" customFormat="1" x14ac:dyDescent="0.25">
      <c r="A192" s="5">
        <v>4</v>
      </c>
      <c r="B192" s="6">
        <v>4002002001</v>
      </c>
      <c r="C192" s="5" t="s">
        <v>153</v>
      </c>
      <c r="D192" s="7">
        <v>9618.5</v>
      </c>
      <c r="E192" s="5" t="s">
        <v>11</v>
      </c>
      <c r="F192" s="7">
        <v>496181.86</v>
      </c>
      <c r="G192" s="5">
        <v>0</v>
      </c>
    </row>
    <row r="193" spans="1:7" s="5" customFormat="1" x14ac:dyDescent="0.25">
      <c r="A193" s="5">
        <v>4</v>
      </c>
      <c r="B193" s="6">
        <v>4002002002</v>
      </c>
      <c r="C193" s="5" t="s">
        <v>154</v>
      </c>
      <c r="D193" s="5">
        <v>56.04</v>
      </c>
      <c r="E193" s="5" t="s">
        <v>23</v>
      </c>
      <c r="F193" s="7">
        <v>3750.2</v>
      </c>
      <c r="G193" s="5">
        <v>0</v>
      </c>
    </row>
    <row r="194" spans="1:7" s="1" customFormat="1" x14ac:dyDescent="0.25">
      <c r="A194" s="1">
        <v>3</v>
      </c>
      <c r="B194" s="2">
        <v>4002003</v>
      </c>
      <c r="C194" s="1" t="s">
        <v>155</v>
      </c>
    </row>
    <row r="195" spans="1:7" s="1" customFormat="1" x14ac:dyDescent="0.25">
      <c r="A195" s="1">
        <v>4</v>
      </c>
      <c r="B195" s="2">
        <v>4002003001</v>
      </c>
      <c r="C195" s="1" t="s">
        <v>156</v>
      </c>
      <c r="D195" s="3">
        <v>2297.69</v>
      </c>
      <c r="E195" s="1" t="s">
        <v>11</v>
      </c>
      <c r="F195" s="3">
        <v>188640.35</v>
      </c>
      <c r="G195" s="1">
        <v>0</v>
      </c>
    </row>
    <row r="196" spans="1:7" s="1" customFormat="1" x14ac:dyDescent="0.25">
      <c r="A196" s="1">
        <v>4</v>
      </c>
      <c r="B196" s="2">
        <v>4002003002</v>
      </c>
      <c r="C196" s="1" t="s">
        <v>157</v>
      </c>
      <c r="D196" s="1">
        <v>469.85</v>
      </c>
      <c r="E196" s="1" t="s">
        <v>11</v>
      </c>
      <c r="F196" s="3">
        <v>61644.32</v>
      </c>
      <c r="G196" s="1">
        <v>0</v>
      </c>
    </row>
    <row r="197" spans="1:7" s="1" customFormat="1" x14ac:dyDescent="0.25">
      <c r="A197" s="1">
        <v>3</v>
      </c>
      <c r="B197" s="2">
        <v>4002004</v>
      </c>
      <c r="C197" s="1" t="s">
        <v>158</v>
      </c>
    </row>
    <row r="198" spans="1:7" s="1" customFormat="1" x14ac:dyDescent="0.25">
      <c r="A198" s="1">
        <v>4</v>
      </c>
      <c r="B198" s="2">
        <v>4002004001</v>
      </c>
      <c r="C198" s="1" t="s">
        <v>159</v>
      </c>
      <c r="D198" s="3">
        <v>2297.69</v>
      </c>
      <c r="E198" s="1" t="s">
        <v>11</v>
      </c>
      <c r="F198" s="3">
        <v>179058.98</v>
      </c>
      <c r="G198" s="1">
        <v>0</v>
      </c>
    </row>
    <row r="199" spans="1:7" s="1" customFormat="1" x14ac:dyDescent="0.25">
      <c r="A199" s="1">
        <v>4</v>
      </c>
      <c r="B199" s="2">
        <v>4002004002</v>
      </c>
      <c r="C199" s="1" t="s">
        <v>160</v>
      </c>
      <c r="D199" s="1">
        <v>469.85</v>
      </c>
      <c r="E199" s="1" t="s">
        <v>11</v>
      </c>
      <c r="F199" s="3">
        <v>49785.31</v>
      </c>
      <c r="G199" s="1">
        <v>0</v>
      </c>
    </row>
    <row r="200" spans="1:7" s="5" customFormat="1" x14ac:dyDescent="0.25">
      <c r="A200" s="5">
        <v>2</v>
      </c>
      <c r="B200" s="6">
        <v>4003</v>
      </c>
      <c r="C200" s="5" t="s">
        <v>162</v>
      </c>
    </row>
    <row r="201" spans="1:7" s="5" customFormat="1" x14ac:dyDescent="0.25">
      <c r="A201" s="5">
        <v>3</v>
      </c>
      <c r="B201" s="6">
        <v>4003001</v>
      </c>
      <c r="C201" s="5" t="s">
        <v>149</v>
      </c>
    </row>
    <row r="202" spans="1:7" s="5" customFormat="1" x14ac:dyDescent="0.25">
      <c r="A202" s="5">
        <v>4</v>
      </c>
      <c r="B202" s="6">
        <v>4003001001</v>
      </c>
      <c r="C202" s="5" t="s">
        <v>150</v>
      </c>
      <c r="D202" s="7">
        <v>23963.040000000001</v>
      </c>
      <c r="E202" s="5" t="s">
        <v>11</v>
      </c>
      <c r="F202" s="7">
        <v>2322413.9700000002</v>
      </c>
      <c r="G202" s="5">
        <v>0</v>
      </c>
    </row>
    <row r="203" spans="1:7" s="5" customFormat="1" x14ac:dyDescent="0.25">
      <c r="A203" s="5">
        <v>4</v>
      </c>
      <c r="B203" s="6">
        <v>4003001002</v>
      </c>
      <c r="C203" s="5" t="s">
        <v>163</v>
      </c>
      <c r="D203" s="5">
        <v>89.201999999999998</v>
      </c>
      <c r="E203" s="5" t="s">
        <v>11</v>
      </c>
      <c r="F203" s="7">
        <v>1162.6300000000001</v>
      </c>
      <c r="G203" s="5">
        <v>0</v>
      </c>
    </row>
    <row r="204" spans="1:7" s="5" customFormat="1" x14ac:dyDescent="0.25">
      <c r="A204" s="5">
        <v>3</v>
      </c>
      <c r="B204" s="6">
        <v>4003002</v>
      </c>
      <c r="C204" s="5" t="s">
        <v>152</v>
      </c>
    </row>
    <row r="205" spans="1:7" s="5" customFormat="1" x14ac:dyDescent="0.25">
      <c r="A205" s="5">
        <v>4</v>
      </c>
      <c r="B205" s="6">
        <v>4003002001</v>
      </c>
      <c r="C205" s="5" t="s">
        <v>153</v>
      </c>
      <c r="D205" s="7">
        <v>23963.040000000001</v>
      </c>
      <c r="E205" s="5" t="s">
        <v>11</v>
      </c>
      <c r="F205" s="7">
        <v>1236162.17</v>
      </c>
      <c r="G205" s="5">
        <v>0</v>
      </c>
    </row>
    <row r="206" spans="1:7" s="5" customFormat="1" x14ac:dyDescent="0.25">
      <c r="A206" s="5">
        <v>4</v>
      </c>
      <c r="B206" s="6">
        <v>4003002002</v>
      </c>
      <c r="C206" s="5" t="s">
        <v>154</v>
      </c>
      <c r="D206" s="5">
        <v>297.33999999999997</v>
      </c>
      <c r="E206" s="5" t="s">
        <v>23</v>
      </c>
      <c r="F206" s="7">
        <v>19897.990000000002</v>
      </c>
      <c r="G206" s="5">
        <v>0</v>
      </c>
    </row>
    <row r="207" spans="1:7" s="1" customFormat="1" x14ac:dyDescent="0.25">
      <c r="A207" s="1">
        <v>3</v>
      </c>
      <c r="B207" s="2">
        <v>4003003</v>
      </c>
      <c r="C207" s="1" t="s">
        <v>155</v>
      </c>
    </row>
    <row r="208" spans="1:7" s="1" customFormat="1" x14ac:dyDescent="0.25">
      <c r="A208" s="1">
        <v>4</v>
      </c>
      <c r="B208" s="2">
        <v>4003003001</v>
      </c>
      <c r="C208" s="1" t="s">
        <v>156</v>
      </c>
      <c r="D208" s="3">
        <v>10422.58</v>
      </c>
      <c r="E208" s="1" t="s">
        <v>11</v>
      </c>
      <c r="F208" s="3">
        <v>855693.82</v>
      </c>
      <c r="G208" s="1">
        <v>0</v>
      </c>
    </row>
    <row r="209" spans="1:7" s="1" customFormat="1" x14ac:dyDescent="0.25">
      <c r="A209" s="1">
        <v>4</v>
      </c>
      <c r="B209" s="2">
        <v>4003003002</v>
      </c>
      <c r="C209" s="1" t="s">
        <v>157</v>
      </c>
      <c r="D209" s="3">
        <v>120312.12</v>
      </c>
      <c r="E209" s="1" t="s">
        <v>11</v>
      </c>
      <c r="F209" s="3">
        <v>15784950.140000001</v>
      </c>
      <c r="G209" s="1">
        <v>0</v>
      </c>
    </row>
    <row r="210" spans="1:7" s="1" customFormat="1" x14ac:dyDescent="0.25">
      <c r="A210" s="1">
        <v>3</v>
      </c>
      <c r="B210" s="2">
        <v>4003004</v>
      </c>
      <c r="C210" s="1" t="s">
        <v>158</v>
      </c>
    </row>
    <row r="211" spans="1:7" s="1" customFormat="1" x14ac:dyDescent="0.25">
      <c r="A211" s="1">
        <v>4</v>
      </c>
      <c r="B211" s="2">
        <v>4003004001</v>
      </c>
      <c r="C211" s="1" t="s">
        <v>159</v>
      </c>
      <c r="D211" s="3">
        <v>10422.58</v>
      </c>
      <c r="E211" s="1" t="s">
        <v>11</v>
      </c>
      <c r="F211" s="3">
        <v>812231.66</v>
      </c>
      <c r="G211" s="1">
        <v>0</v>
      </c>
    </row>
    <row r="212" spans="1:7" s="1" customFormat="1" x14ac:dyDescent="0.25">
      <c r="A212" s="1">
        <v>4</v>
      </c>
      <c r="B212" s="2">
        <v>4003004002</v>
      </c>
      <c r="C212" s="1" t="s">
        <v>160</v>
      </c>
      <c r="D212" s="3">
        <v>120312.12</v>
      </c>
      <c r="E212" s="1" t="s">
        <v>11</v>
      </c>
      <c r="F212" s="3">
        <v>12748272.24</v>
      </c>
      <c r="G212" s="1">
        <v>0</v>
      </c>
    </row>
    <row r="213" spans="1:7" s="5" customFormat="1" x14ac:dyDescent="0.25">
      <c r="A213" s="5">
        <v>2</v>
      </c>
      <c r="B213" s="6">
        <v>4004</v>
      </c>
      <c r="C213" s="5" t="s">
        <v>164</v>
      </c>
    </row>
    <row r="214" spans="1:7" s="5" customFormat="1" x14ac:dyDescent="0.25">
      <c r="A214" s="5">
        <v>3</v>
      </c>
      <c r="B214" s="6">
        <v>4004001</v>
      </c>
      <c r="C214" s="5" t="s">
        <v>149</v>
      </c>
    </row>
    <row r="215" spans="1:7" s="5" customFormat="1" x14ac:dyDescent="0.25">
      <c r="A215" s="5">
        <v>4</v>
      </c>
      <c r="B215" s="6">
        <v>4004001001</v>
      </c>
      <c r="C215" s="5" t="s">
        <v>150</v>
      </c>
      <c r="D215" s="7">
        <v>4074.57</v>
      </c>
      <c r="E215" s="5" t="s">
        <v>11</v>
      </c>
      <c r="F215" s="7">
        <v>394893.06</v>
      </c>
      <c r="G215" s="5">
        <v>0</v>
      </c>
    </row>
    <row r="216" spans="1:7" s="5" customFormat="1" x14ac:dyDescent="0.25">
      <c r="A216" s="5">
        <v>3</v>
      </c>
      <c r="B216" s="6">
        <v>4004002</v>
      </c>
      <c r="C216" s="5" t="s">
        <v>152</v>
      </c>
    </row>
    <row r="217" spans="1:7" s="5" customFormat="1" x14ac:dyDescent="0.25">
      <c r="A217" s="5">
        <v>4</v>
      </c>
      <c r="B217" s="6">
        <v>4004002001</v>
      </c>
      <c r="C217" s="5" t="s">
        <v>153</v>
      </c>
      <c r="D217" s="7">
        <v>4074.57</v>
      </c>
      <c r="E217" s="5" t="s">
        <v>11</v>
      </c>
      <c r="F217" s="7">
        <v>210191.58</v>
      </c>
      <c r="G217" s="5">
        <v>0</v>
      </c>
    </row>
    <row r="218" spans="1:7" s="1" customFormat="1" x14ac:dyDescent="0.25">
      <c r="A218" s="1">
        <v>3</v>
      </c>
      <c r="B218" s="2">
        <v>4004003</v>
      </c>
      <c r="C218" s="1" t="s">
        <v>155</v>
      </c>
    </row>
    <row r="219" spans="1:7" s="1" customFormat="1" x14ac:dyDescent="0.25">
      <c r="A219" s="1">
        <v>4</v>
      </c>
      <c r="B219" s="2">
        <v>4004003001</v>
      </c>
      <c r="C219" s="1" t="s">
        <v>156</v>
      </c>
      <c r="D219" s="3">
        <v>2059.77</v>
      </c>
      <c r="E219" s="1" t="s">
        <v>11</v>
      </c>
      <c r="F219" s="3">
        <v>169107.12</v>
      </c>
      <c r="G219" s="1">
        <v>0</v>
      </c>
    </row>
    <row r="220" spans="1:7" s="1" customFormat="1" x14ac:dyDescent="0.25">
      <c r="A220" s="1">
        <v>4</v>
      </c>
      <c r="B220" s="2">
        <v>4004003002</v>
      </c>
      <c r="C220" s="1" t="s">
        <v>157</v>
      </c>
      <c r="D220" s="1">
        <v>78.180000000000007</v>
      </c>
      <c r="E220" s="1" t="s">
        <v>11</v>
      </c>
      <c r="F220" s="3">
        <v>10257.219999999999</v>
      </c>
      <c r="G220" s="1">
        <v>0</v>
      </c>
    </row>
    <row r="221" spans="1:7" s="1" customFormat="1" x14ac:dyDescent="0.25">
      <c r="A221" s="1">
        <v>3</v>
      </c>
      <c r="B221" s="2">
        <v>4004004</v>
      </c>
      <c r="C221" s="1" t="s">
        <v>158</v>
      </c>
    </row>
    <row r="222" spans="1:7" s="1" customFormat="1" x14ac:dyDescent="0.25">
      <c r="A222" s="1">
        <v>4</v>
      </c>
      <c r="B222" s="2">
        <v>4004004001</v>
      </c>
      <c r="C222" s="1" t="s">
        <v>159</v>
      </c>
      <c r="D222" s="3">
        <v>2059.77</v>
      </c>
      <c r="E222" s="1" t="s">
        <v>11</v>
      </c>
      <c r="F222" s="3">
        <v>160517.88</v>
      </c>
      <c r="G222" s="1">
        <v>0</v>
      </c>
    </row>
    <row r="223" spans="1:7" s="1" customFormat="1" x14ac:dyDescent="0.25">
      <c r="A223" s="1">
        <v>4</v>
      </c>
      <c r="B223" s="2">
        <v>4004004002</v>
      </c>
      <c r="C223" s="1" t="s">
        <v>160</v>
      </c>
      <c r="D223" s="1">
        <v>78.180000000000007</v>
      </c>
      <c r="E223" s="1" t="s">
        <v>11</v>
      </c>
      <c r="F223" s="3">
        <v>8283.9500000000007</v>
      </c>
      <c r="G223" s="1">
        <v>0</v>
      </c>
    </row>
    <row r="224" spans="1:7" s="5" customFormat="1" x14ac:dyDescent="0.25">
      <c r="A224" s="5">
        <v>1</v>
      </c>
      <c r="B224" s="5">
        <v>5</v>
      </c>
      <c r="C224" s="5" t="s">
        <v>165</v>
      </c>
    </row>
    <row r="225" spans="1:7" s="5" customFormat="1" x14ac:dyDescent="0.25">
      <c r="A225" s="5">
        <v>2</v>
      </c>
      <c r="B225" s="6">
        <v>5001</v>
      </c>
      <c r="C225" s="5" t="s">
        <v>166</v>
      </c>
    </row>
    <row r="226" spans="1:7" s="5" customFormat="1" x14ac:dyDescent="0.25">
      <c r="A226" s="5">
        <v>3</v>
      </c>
      <c r="B226" s="6">
        <v>5001001</v>
      </c>
      <c r="C226" s="5" t="s">
        <v>167</v>
      </c>
    </row>
    <row r="227" spans="1:7" s="5" customFormat="1" x14ac:dyDescent="0.25">
      <c r="A227" s="5">
        <v>4</v>
      </c>
      <c r="B227" s="6">
        <v>5001001001</v>
      </c>
      <c r="C227" s="5" t="s">
        <v>168</v>
      </c>
      <c r="D227" s="7">
        <v>144739.79999999999</v>
      </c>
      <c r="E227" s="5" t="s">
        <v>11</v>
      </c>
      <c r="F227" s="7">
        <v>544583.5</v>
      </c>
      <c r="G227" s="5">
        <v>0</v>
      </c>
    </row>
    <row r="228" spans="1:7" s="5" customFormat="1" x14ac:dyDescent="0.25">
      <c r="A228" s="5">
        <v>4</v>
      </c>
      <c r="B228" s="6">
        <v>5001001002</v>
      </c>
      <c r="C228" s="5" t="s">
        <v>169</v>
      </c>
      <c r="D228" s="7">
        <v>144739.79999999999</v>
      </c>
      <c r="E228" s="5" t="s">
        <v>11</v>
      </c>
      <c r="F228" s="7">
        <v>544583.5</v>
      </c>
      <c r="G228" s="5">
        <v>0</v>
      </c>
    </row>
    <row r="229" spans="1:7" s="5" customFormat="1" x14ac:dyDescent="0.25">
      <c r="A229" s="5">
        <v>3</v>
      </c>
      <c r="B229" s="6">
        <v>5001002</v>
      </c>
      <c r="C229" s="5" t="s">
        <v>170</v>
      </c>
    </row>
    <row r="230" spans="1:7" s="5" customFormat="1" x14ac:dyDescent="0.25">
      <c r="A230" s="5">
        <v>4</v>
      </c>
      <c r="B230" s="6">
        <v>5001002001</v>
      </c>
      <c r="C230" s="5" t="s">
        <v>171</v>
      </c>
      <c r="D230" s="7">
        <v>144739.79999999999</v>
      </c>
      <c r="E230" s="5" t="s">
        <v>11</v>
      </c>
      <c r="F230" s="7">
        <v>26940665.030000001</v>
      </c>
      <c r="G230" s="5">
        <v>0</v>
      </c>
    </row>
    <row r="231" spans="1:7" s="5" customFormat="1" x14ac:dyDescent="0.25">
      <c r="A231" s="5">
        <v>2</v>
      </c>
      <c r="B231" s="6">
        <v>5002</v>
      </c>
      <c r="C231" s="5" t="s">
        <v>172</v>
      </c>
    </row>
    <row r="232" spans="1:7" s="5" customFormat="1" x14ac:dyDescent="0.25">
      <c r="A232" s="5">
        <v>3</v>
      </c>
      <c r="B232" s="6">
        <v>5002001</v>
      </c>
      <c r="C232" s="5" t="s">
        <v>173</v>
      </c>
    </row>
    <row r="233" spans="1:7" s="5" customFormat="1" x14ac:dyDescent="0.25">
      <c r="A233" s="5">
        <v>4</v>
      </c>
      <c r="B233" s="6">
        <v>5002001001</v>
      </c>
      <c r="C233" s="5" t="s">
        <v>174</v>
      </c>
      <c r="D233" s="5">
        <v>1</v>
      </c>
      <c r="E233" s="5" t="s">
        <v>16</v>
      </c>
      <c r="F233" s="7">
        <v>77795.56</v>
      </c>
      <c r="G233" s="5">
        <v>0</v>
      </c>
    </row>
    <row r="234" spans="1:7" s="5" customFormat="1" x14ac:dyDescent="0.25">
      <c r="A234" s="5">
        <v>4</v>
      </c>
      <c r="B234" s="6">
        <v>5002001002</v>
      </c>
      <c r="C234" s="5" t="s">
        <v>175</v>
      </c>
      <c r="D234" s="7">
        <v>144739.79999999999</v>
      </c>
      <c r="E234" s="5" t="s">
        <v>11</v>
      </c>
      <c r="F234" s="7">
        <v>363760.07</v>
      </c>
      <c r="G234" s="5">
        <v>0</v>
      </c>
    </row>
    <row r="235" spans="1:7" s="5" customFormat="1" x14ac:dyDescent="0.25">
      <c r="A235" s="5">
        <v>4</v>
      </c>
      <c r="B235" s="6">
        <v>5002001003</v>
      </c>
      <c r="C235" s="5" t="s">
        <v>176</v>
      </c>
      <c r="D235" s="7">
        <v>144739.79999999999</v>
      </c>
      <c r="E235" s="5" t="s">
        <v>11</v>
      </c>
      <c r="F235" s="7">
        <v>626462.80000000005</v>
      </c>
      <c r="G235" s="5">
        <v>0</v>
      </c>
    </row>
    <row r="236" spans="1:7" s="5" customFormat="1" x14ac:dyDescent="0.25">
      <c r="A236" s="5">
        <v>4</v>
      </c>
      <c r="B236" s="6">
        <v>5002001004</v>
      </c>
      <c r="C236" s="5" t="s">
        <v>177</v>
      </c>
      <c r="D236" s="7">
        <v>144739.79999999999</v>
      </c>
      <c r="E236" s="5" t="s">
        <v>11</v>
      </c>
      <c r="F236" s="7">
        <v>505214.27</v>
      </c>
      <c r="G236" s="5">
        <v>0</v>
      </c>
    </row>
    <row r="237" spans="1:7" s="5" customFormat="1" x14ac:dyDescent="0.25">
      <c r="A237" s="5">
        <v>4</v>
      </c>
      <c r="B237" s="6">
        <v>5002001005</v>
      </c>
      <c r="C237" s="5" t="s">
        <v>178</v>
      </c>
      <c r="D237" s="7">
        <v>144739.79999999999</v>
      </c>
      <c r="E237" s="5" t="s">
        <v>11</v>
      </c>
      <c r="F237" s="7">
        <v>303128.56</v>
      </c>
      <c r="G237" s="5">
        <v>0</v>
      </c>
    </row>
    <row r="238" spans="1:7" s="5" customFormat="1" x14ac:dyDescent="0.25">
      <c r="A238" s="5">
        <v>4</v>
      </c>
      <c r="B238" s="6">
        <v>5002001006</v>
      </c>
      <c r="C238" s="5" t="s">
        <v>179</v>
      </c>
      <c r="D238" s="7">
        <v>1672</v>
      </c>
      <c r="E238" s="5" t="s">
        <v>32</v>
      </c>
      <c r="F238" s="7">
        <v>377286.8</v>
      </c>
      <c r="G238" s="5">
        <v>0</v>
      </c>
    </row>
    <row r="239" spans="1:7" s="5" customFormat="1" x14ac:dyDescent="0.25">
      <c r="A239" s="5">
        <v>4</v>
      </c>
      <c r="B239" s="6">
        <v>5002001007</v>
      </c>
      <c r="C239" s="5" t="s">
        <v>180</v>
      </c>
      <c r="D239" s="5">
        <v>22.8</v>
      </c>
      <c r="E239" s="5" t="s">
        <v>32</v>
      </c>
      <c r="F239" s="7">
        <v>7717.23</v>
      </c>
      <c r="G239" s="5">
        <v>0</v>
      </c>
    </row>
    <row r="240" spans="1:7" s="5" customFormat="1" x14ac:dyDescent="0.25">
      <c r="A240" s="5">
        <v>4</v>
      </c>
      <c r="B240" s="6">
        <v>5002001008</v>
      </c>
      <c r="C240" s="5" t="s">
        <v>181</v>
      </c>
      <c r="D240" s="7">
        <v>144739.79999999999</v>
      </c>
      <c r="E240" s="5" t="s">
        <v>11</v>
      </c>
      <c r="F240" s="7">
        <v>16036561.93</v>
      </c>
      <c r="G240" s="5">
        <v>0</v>
      </c>
    </row>
    <row r="241" spans="1:7" s="5" customFormat="1" x14ac:dyDescent="0.25">
      <c r="A241" s="5">
        <v>1</v>
      </c>
      <c r="B241" s="5">
        <v>6</v>
      </c>
      <c r="C241" s="5" t="s">
        <v>182</v>
      </c>
    </row>
    <row r="242" spans="1:7" s="5" customFormat="1" x14ac:dyDescent="0.25">
      <c r="A242" s="5">
        <v>2</v>
      </c>
      <c r="B242" s="6">
        <v>6001</v>
      </c>
      <c r="C242" s="5" t="s">
        <v>183</v>
      </c>
    </row>
    <row r="243" spans="1:7" s="5" customFormat="1" x14ac:dyDescent="0.25">
      <c r="A243" s="5">
        <v>3</v>
      </c>
      <c r="B243" s="6">
        <v>6001001</v>
      </c>
      <c r="C243" s="5" t="s">
        <v>184</v>
      </c>
    </row>
    <row r="244" spans="1:7" s="5" customFormat="1" x14ac:dyDescent="0.25">
      <c r="A244" s="5">
        <v>4</v>
      </c>
      <c r="B244" s="6">
        <v>6001001001</v>
      </c>
      <c r="C244" s="5" t="s">
        <v>185</v>
      </c>
      <c r="D244" s="5">
        <v>1</v>
      </c>
      <c r="E244" s="5" t="s">
        <v>16</v>
      </c>
      <c r="F244" s="7">
        <v>257694.56</v>
      </c>
      <c r="G244" s="5">
        <v>0</v>
      </c>
    </row>
    <row r="245" spans="1:7" s="5" customFormat="1" x14ac:dyDescent="0.25">
      <c r="A245" s="5">
        <v>3</v>
      </c>
      <c r="B245" s="6">
        <v>6001002</v>
      </c>
      <c r="C245" s="5" t="s">
        <v>186</v>
      </c>
    </row>
    <row r="246" spans="1:7" s="5" customFormat="1" x14ac:dyDescent="0.25">
      <c r="A246" s="5">
        <v>4</v>
      </c>
      <c r="B246" s="6">
        <v>6001002001</v>
      </c>
      <c r="C246" s="5" t="s">
        <v>187</v>
      </c>
      <c r="D246" s="5">
        <v>20</v>
      </c>
      <c r="E246" s="5" t="s">
        <v>32</v>
      </c>
      <c r="F246" s="7">
        <v>765790</v>
      </c>
      <c r="G246" s="5">
        <v>0</v>
      </c>
    </row>
    <row r="247" spans="1:7" s="5" customFormat="1" x14ac:dyDescent="0.25">
      <c r="A247" s="5">
        <v>2</v>
      </c>
      <c r="B247" s="6">
        <v>6002</v>
      </c>
      <c r="C247" s="5" t="s">
        <v>188</v>
      </c>
    </row>
    <row r="248" spans="1:7" s="5" customFormat="1" x14ac:dyDescent="0.25">
      <c r="A248" s="5">
        <v>3</v>
      </c>
      <c r="B248" s="6">
        <v>6002001</v>
      </c>
      <c r="C248" s="5" t="s">
        <v>189</v>
      </c>
    </row>
    <row r="249" spans="1:7" s="5" customFormat="1" x14ac:dyDescent="0.25">
      <c r="A249" s="5">
        <v>4</v>
      </c>
      <c r="B249" s="6">
        <v>6002001001</v>
      </c>
      <c r="C249" s="5" t="s">
        <v>190</v>
      </c>
      <c r="D249" s="7">
        <v>1706</v>
      </c>
      <c r="E249" s="5" t="s">
        <v>32</v>
      </c>
      <c r="F249" s="7">
        <v>811083.58</v>
      </c>
      <c r="G249" s="5">
        <v>0</v>
      </c>
    </row>
    <row r="250" spans="1:7" s="5" customFormat="1" x14ac:dyDescent="0.25">
      <c r="A250" s="5">
        <v>4</v>
      </c>
      <c r="B250" s="6">
        <v>6002001002</v>
      </c>
      <c r="C250" s="5" t="s">
        <v>191</v>
      </c>
      <c r="D250" s="7">
        <v>11474.37</v>
      </c>
      <c r="E250" s="5" t="s">
        <v>11</v>
      </c>
      <c r="F250" s="7">
        <v>919613.38</v>
      </c>
      <c r="G250" s="5">
        <v>0</v>
      </c>
    </row>
    <row r="251" spans="1:7" s="5" customFormat="1" x14ac:dyDescent="0.25">
      <c r="A251" s="5">
        <v>4</v>
      </c>
      <c r="B251" s="6">
        <v>6002001003</v>
      </c>
      <c r="C251" s="5" t="s">
        <v>192</v>
      </c>
      <c r="D251" s="5">
        <v>10</v>
      </c>
      <c r="E251" s="5" t="s">
        <v>32</v>
      </c>
      <c r="F251" s="7">
        <v>21071</v>
      </c>
      <c r="G251" s="5">
        <v>0</v>
      </c>
    </row>
    <row r="252" spans="1:7" s="5" customFormat="1" x14ac:dyDescent="0.25">
      <c r="A252" s="5">
        <v>4</v>
      </c>
      <c r="B252" s="6">
        <v>6002001004</v>
      </c>
      <c r="C252" s="5" t="s">
        <v>193</v>
      </c>
      <c r="D252" s="5">
        <v>236</v>
      </c>
      <c r="E252" s="5" t="s">
        <v>32</v>
      </c>
      <c r="F252" s="7">
        <v>497275.6</v>
      </c>
      <c r="G252" s="5">
        <v>0</v>
      </c>
    </row>
    <row r="253" spans="1:7" s="5" customFormat="1" x14ac:dyDescent="0.25">
      <c r="A253" s="5">
        <v>4</v>
      </c>
      <c r="B253" s="6">
        <v>6002001005</v>
      </c>
      <c r="C253" s="5" t="s">
        <v>194</v>
      </c>
      <c r="D253" s="5">
        <v>254</v>
      </c>
      <c r="E253" s="5" t="s">
        <v>32</v>
      </c>
      <c r="F253" s="7">
        <v>286903.15999999997</v>
      </c>
      <c r="G253" s="5">
        <v>0</v>
      </c>
    </row>
    <row r="254" spans="1:7" s="5" customFormat="1" x14ac:dyDescent="0.25">
      <c r="A254" s="5">
        <v>4</v>
      </c>
      <c r="B254" s="6">
        <v>6002001006</v>
      </c>
      <c r="C254" s="5" t="s">
        <v>195</v>
      </c>
      <c r="D254" s="7">
        <v>28351.97</v>
      </c>
      <c r="E254" s="5" t="s">
        <v>11</v>
      </c>
      <c r="F254" s="7">
        <v>458791.61</v>
      </c>
      <c r="G254" s="5">
        <v>0</v>
      </c>
    </row>
    <row r="255" spans="1:7" s="5" customFormat="1" x14ac:dyDescent="0.25">
      <c r="A255" s="5">
        <v>3</v>
      </c>
      <c r="B255" s="6">
        <v>6002002</v>
      </c>
      <c r="C255" s="5" t="s">
        <v>196</v>
      </c>
    </row>
    <row r="256" spans="1:7" s="5" customFormat="1" x14ac:dyDescent="0.25">
      <c r="A256" s="5">
        <v>4</v>
      </c>
      <c r="B256" s="6">
        <v>6002002001</v>
      </c>
      <c r="C256" s="5" t="s">
        <v>197</v>
      </c>
      <c r="D256" s="7">
        <v>144739.79999999999</v>
      </c>
      <c r="E256" s="5" t="s">
        <v>11</v>
      </c>
      <c r="F256" s="7">
        <v>72398486.109999999</v>
      </c>
      <c r="G256" s="5">
        <v>0</v>
      </c>
    </row>
    <row r="257" spans="1:7" s="5" customFormat="1" x14ac:dyDescent="0.25">
      <c r="A257" s="5">
        <v>2</v>
      </c>
      <c r="B257" s="6">
        <v>6003</v>
      </c>
      <c r="C257" s="5" t="s">
        <v>198</v>
      </c>
    </row>
    <row r="258" spans="1:7" s="5" customFormat="1" x14ac:dyDescent="0.25">
      <c r="A258" s="5">
        <v>3</v>
      </c>
      <c r="B258" s="6">
        <v>6003001</v>
      </c>
      <c r="C258" s="5" t="s">
        <v>199</v>
      </c>
    </row>
    <row r="259" spans="1:7" s="5" customFormat="1" x14ac:dyDescent="0.25">
      <c r="A259" s="5">
        <v>4</v>
      </c>
      <c r="B259" s="6">
        <v>6003001001</v>
      </c>
      <c r="C259" s="5" t="s">
        <v>200</v>
      </c>
      <c r="D259" s="5">
        <v>1</v>
      </c>
      <c r="E259" s="5" t="s">
        <v>16</v>
      </c>
      <c r="F259" s="7">
        <v>26286.87</v>
      </c>
      <c r="G259" s="5">
        <v>0</v>
      </c>
    </row>
    <row r="260" spans="1:7" s="5" customFormat="1" x14ac:dyDescent="0.25">
      <c r="A260" s="5">
        <v>4</v>
      </c>
      <c r="B260" s="6">
        <v>6003001002</v>
      </c>
      <c r="C260" s="5" t="s">
        <v>201</v>
      </c>
      <c r="D260" s="7">
        <v>1706</v>
      </c>
      <c r="E260" s="5" t="s">
        <v>32</v>
      </c>
      <c r="F260" s="7">
        <v>978083.92</v>
      </c>
      <c r="G260" s="5">
        <v>0</v>
      </c>
    </row>
    <row r="261" spans="1:7" s="5" customFormat="1" x14ac:dyDescent="0.25">
      <c r="A261" s="5">
        <v>4</v>
      </c>
      <c r="B261" s="6">
        <v>6003001003</v>
      </c>
      <c r="C261" s="5" t="s">
        <v>202</v>
      </c>
      <c r="D261" s="7">
        <v>11474.37</v>
      </c>
      <c r="E261" s="5" t="s">
        <v>11</v>
      </c>
      <c r="F261" s="7">
        <v>1061321.8500000001</v>
      </c>
      <c r="G261" s="5">
        <v>0</v>
      </c>
    </row>
    <row r="262" spans="1:7" s="5" customFormat="1" x14ac:dyDescent="0.25">
      <c r="A262" s="5">
        <v>4</v>
      </c>
      <c r="B262" s="6">
        <v>6003001004</v>
      </c>
      <c r="C262" s="5" t="s">
        <v>203</v>
      </c>
      <c r="D262" s="5">
        <v>246</v>
      </c>
      <c r="E262" s="5" t="s">
        <v>32</v>
      </c>
      <c r="F262" s="7">
        <v>25614.5</v>
      </c>
      <c r="G262" s="5">
        <v>0</v>
      </c>
    </row>
    <row r="263" spans="1:7" s="5" customFormat="1" x14ac:dyDescent="0.25">
      <c r="A263" s="5">
        <v>4</v>
      </c>
      <c r="B263" s="6">
        <v>6003001005</v>
      </c>
      <c r="C263" s="5" t="s">
        <v>204</v>
      </c>
      <c r="D263" s="7">
        <v>28351.97</v>
      </c>
      <c r="E263" s="5" t="s">
        <v>11</v>
      </c>
      <c r="F263" s="7">
        <v>305861.07</v>
      </c>
      <c r="G263" s="5">
        <v>0</v>
      </c>
    </row>
    <row r="264" spans="1:7" s="5" customFormat="1" x14ac:dyDescent="0.25">
      <c r="A264" s="5">
        <v>4</v>
      </c>
      <c r="B264" s="6">
        <v>6003001006</v>
      </c>
      <c r="C264" s="5" t="s">
        <v>205</v>
      </c>
      <c r="D264" s="7">
        <v>144739.79999999999</v>
      </c>
      <c r="E264" s="5" t="s">
        <v>11</v>
      </c>
      <c r="F264" s="7">
        <v>42986606.100000001</v>
      </c>
      <c r="G264" s="5">
        <v>0</v>
      </c>
    </row>
    <row r="265" spans="1:7" s="5" customFormat="1" x14ac:dyDescent="0.25">
      <c r="A265" s="5">
        <v>1</v>
      </c>
      <c r="B265" s="5">
        <v>7</v>
      </c>
      <c r="C265" s="5" t="s">
        <v>206</v>
      </c>
    </row>
    <row r="266" spans="1:7" s="5" customFormat="1" x14ac:dyDescent="0.25">
      <c r="A266" s="5">
        <v>2</v>
      </c>
      <c r="B266" s="6">
        <v>7001</v>
      </c>
      <c r="C266" s="5" t="s">
        <v>207</v>
      </c>
    </row>
    <row r="267" spans="1:7" s="5" customFormat="1" x14ac:dyDescent="0.25">
      <c r="A267" s="5">
        <v>3</v>
      </c>
      <c r="B267" s="6">
        <v>7001001</v>
      </c>
      <c r="C267" s="5" t="s">
        <v>208</v>
      </c>
    </row>
    <row r="268" spans="1:7" s="5" customFormat="1" x14ac:dyDescent="0.25">
      <c r="A268" s="5">
        <v>4</v>
      </c>
      <c r="B268" s="6">
        <v>7001001001</v>
      </c>
      <c r="C268" s="5" t="s">
        <v>209</v>
      </c>
      <c r="D268" s="7">
        <v>12467.68</v>
      </c>
      <c r="E268" s="5" t="s">
        <v>11</v>
      </c>
      <c r="F268" s="7">
        <v>482039.16</v>
      </c>
      <c r="G268" s="5">
        <v>0</v>
      </c>
    </row>
    <row r="269" spans="1:7" s="5" customFormat="1" x14ac:dyDescent="0.25">
      <c r="A269" s="5">
        <v>4</v>
      </c>
      <c r="B269" s="6">
        <v>7001001002</v>
      </c>
      <c r="C269" s="5" t="s">
        <v>210</v>
      </c>
      <c r="D269" s="5">
        <v>491.95</v>
      </c>
      <c r="E269" s="5" t="s">
        <v>11</v>
      </c>
      <c r="F269" s="7">
        <v>34097.449999999997</v>
      </c>
      <c r="G269" s="5">
        <v>0</v>
      </c>
    </row>
    <row r="270" spans="1:7" s="5" customFormat="1" x14ac:dyDescent="0.25">
      <c r="A270" s="5">
        <v>4</v>
      </c>
      <c r="B270" s="6">
        <v>7001001003</v>
      </c>
      <c r="C270" s="5" t="s">
        <v>211</v>
      </c>
      <c r="D270" s="7">
        <v>11457.6</v>
      </c>
      <c r="E270" s="5" t="s">
        <v>11</v>
      </c>
      <c r="F270" s="7">
        <v>405938.18</v>
      </c>
      <c r="G270" s="5">
        <v>0</v>
      </c>
    </row>
    <row r="271" spans="1:7" s="5" customFormat="1" x14ac:dyDescent="0.25">
      <c r="A271" s="5">
        <v>3</v>
      </c>
      <c r="B271" s="6">
        <v>7001002</v>
      </c>
      <c r="C271" s="5" t="s">
        <v>212</v>
      </c>
    </row>
    <row r="272" spans="1:7" s="5" customFormat="1" x14ac:dyDescent="0.25">
      <c r="A272" s="5">
        <v>4</v>
      </c>
      <c r="B272" s="6">
        <v>7001002001</v>
      </c>
      <c r="C272" s="5" t="s">
        <v>213</v>
      </c>
      <c r="D272" s="7">
        <v>12467.68</v>
      </c>
      <c r="E272" s="5" t="s">
        <v>11</v>
      </c>
      <c r="F272" s="7">
        <v>500203.32</v>
      </c>
      <c r="G272" s="5">
        <v>0</v>
      </c>
    </row>
    <row r="273" spans="1:7" s="5" customFormat="1" x14ac:dyDescent="0.25">
      <c r="A273" s="5">
        <v>4</v>
      </c>
      <c r="B273" s="6">
        <v>7001002002</v>
      </c>
      <c r="C273" s="5" t="s">
        <v>214</v>
      </c>
      <c r="D273" s="5">
        <v>491.95</v>
      </c>
      <c r="E273" s="5" t="s">
        <v>11</v>
      </c>
      <c r="F273" s="7">
        <v>19737.03</v>
      </c>
      <c r="G273" s="5">
        <v>0</v>
      </c>
    </row>
    <row r="274" spans="1:7" s="5" customFormat="1" x14ac:dyDescent="0.25">
      <c r="A274" s="5">
        <v>4</v>
      </c>
      <c r="B274" s="6">
        <v>7001002003</v>
      </c>
      <c r="C274" s="5" t="s">
        <v>215</v>
      </c>
      <c r="D274" s="7">
        <v>11457.6</v>
      </c>
      <c r="E274" s="5" t="s">
        <v>11</v>
      </c>
      <c r="F274" s="7">
        <v>97045.87</v>
      </c>
      <c r="G274" s="5">
        <v>0</v>
      </c>
    </row>
    <row r="275" spans="1:7" s="5" customFormat="1" x14ac:dyDescent="0.25">
      <c r="A275" s="5">
        <v>3</v>
      </c>
      <c r="B275" s="6">
        <v>7001003</v>
      </c>
      <c r="C275" s="5" t="s">
        <v>216</v>
      </c>
    </row>
    <row r="276" spans="1:7" s="5" customFormat="1" x14ac:dyDescent="0.25">
      <c r="A276" s="5">
        <v>4</v>
      </c>
      <c r="B276" s="6">
        <v>7001003001</v>
      </c>
      <c r="C276" s="5" t="s">
        <v>217</v>
      </c>
      <c r="D276" s="7">
        <v>1082.24</v>
      </c>
      <c r="E276" s="5" t="s">
        <v>11</v>
      </c>
      <c r="F276" s="7">
        <v>16991.599999999999</v>
      </c>
      <c r="G276" s="5">
        <v>0</v>
      </c>
    </row>
    <row r="277" spans="1:7" s="5" customFormat="1" x14ac:dyDescent="0.25">
      <c r="A277" s="5">
        <v>4</v>
      </c>
      <c r="B277" s="6">
        <v>7001003002</v>
      </c>
      <c r="C277" s="5" t="s">
        <v>218</v>
      </c>
      <c r="D277" s="7">
        <v>11178.1</v>
      </c>
      <c r="E277" s="5" t="s">
        <v>11</v>
      </c>
      <c r="F277" s="7">
        <v>68351.850000000006</v>
      </c>
      <c r="G277" s="5">
        <v>0</v>
      </c>
    </row>
    <row r="278" spans="1:7" s="5" customFormat="1" x14ac:dyDescent="0.25">
      <c r="A278" s="5">
        <v>3</v>
      </c>
      <c r="B278" s="6">
        <v>7001004</v>
      </c>
      <c r="C278" s="5" t="s">
        <v>219</v>
      </c>
    </row>
    <row r="279" spans="1:7" s="5" customFormat="1" x14ac:dyDescent="0.25">
      <c r="A279" s="5">
        <v>4</v>
      </c>
      <c r="B279" s="6">
        <v>7001004001</v>
      </c>
      <c r="C279" s="5" t="s">
        <v>220</v>
      </c>
      <c r="D279" s="7">
        <v>1082.24</v>
      </c>
      <c r="E279" s="5" t="s">
        <v>11</v>
      </c>
      <c r="F279" s="7">
        <v>43267.96</v>
      </c>
      <c r="G279" s="5">
        <v>0</v>
      </c>
    </row>
    <row r="280" spans="1:7" s="5" customFormat="1" x14ac:dyDescent="0.25">
      <c r="A280" s="5">
        <v>4</v>
      </c>
      <c r="B280" s="6">
        <v>7001004002</v>
      </c>
      <c r="C280" s="5" t="s">
        <v>221</v>
      </c>
      <c r="D280" s="7">
        <v>11178.1</v>
      </c>
      <c r="E280" s="5" t="s">
        <v>11</v>
      </c>
      <c r="F280" s="7">
        <v>280123.19</v>
      </c>
      <c r="G280" s="5">
        <v>0</v>
      </c>
    </row>
    <row r="281" spans="1:7" s="5" customFormat="1" x14ac:dyDescent="0.25">
      <c r="A281" s="5">
        <v>4</v>
      </c>
      <c r="B281" s="6">
        <v>7001004003</v>
      </c>
      <c r="C281" s="5" t="s">
        <v>222</v>
      </c>
      <c r="D281" s="5">
        <v>19</v>
      </c>
      <c r="E281" s="5" t="s">
        <v>32</v>
      </c>
      <c r="F281" s="7">
        <v>32840.74</v>
      </c>
      <c r="G281" s="5">
        <v>0</v>
      </c>
    </row>
    <row r="282" spans="1:7" s="5" customFormat="1" x14ac:dyDescent="0.25">
      <c r="A282" s="5">
        <v>3</v>
      </c>
      <c r="B282" s="6">
        <v>7001005</v>
      </c>
      <c r="C282" s="5" t="s">
        <v>223</v>
      </c>
    </row>
    <row r="283" spans="1:7" s="5" customFormat="1" x14ac:dyDescent="0.25">
      <c r="A283" s="5">
        <v>4</v>
      </c>
      <c r="B283" s="6">
        <v>7001005001</v>
      </c>
      <c r="C283" s="5" t="s">
        <v>224</v>
      </c>
      <c r="D283" s="5">
        <v>950.12</v>
      </c>
      <c r="E283" s="5" t="s">
        <v>11</v>
      </c>
      <c r="F283" s="7">
        <v>56944.02</v>
      </c>
      <c r="G283" s="5">
        <v>0</v>
      </c>
    </row>
    <row r="284" spans="1:7" s="5" customFormat="1" x14ac:dyDescent="0.25">
      <c r="A284" s="5">
        <v>3</v>
      </c>
      <c r="B284" s="6">
        <v>7001006</v>
      </c>
      <c r="C284" s="5" t="s">
        <v>225</v>
      </c>
    </row>
    <row r="285" spans="1:7" s="5" customFormat="1" x14ac:dyDescent="0.25">
      <c r="A285" s="5">
        <v>4</v>
      </c>
      <c r="B285" s="6">
        <v>7001006001</v>
      </c>
      <c r="C285" s="5" t="s">
        <v>226</v>
      </c>
      <c r="D285" s="5">
        <v>950.12</v>
      </c>
      <c r="E285" s="5" t="s">
        <v>11</v>
      </c>
      <c r="F285" s="7">
        <v>63420.51</v>
      </c>
      <c r="G285" s="5">
        <v>0</v>
      </c>
    </row>
    <row r="286" spans="1:7" s="5" customFormat="1" x14ac:dyDescent="0.25">
      <c r="A286" s="5">
        <v>2</v>
      </c>
      <c r="B286" s="6">
        <v>7002</v>
      </c>
      <c r="C286" s="5" t="s">
        <v>227</v>
      </c>
    </row>
    <row r="287" spans="1:7" s="5" customFormat="1" x14ac:dyDescent="0.25">
      <c r="A287" s="5">
        <v>3</v>
      </c>
      <c r="B287" s="6">
        <v>7002001</v>
      </c>
      <c r="C287" s="5" t="s">
        <v>208</v>
      </c>
    </row>
    <row r="288" spans="1:7" s="5" customFormat="1" x14ac:dyDescent="0.25">
      <c r="A288" s="5">
        <v>4</v>
      </c>
      <c r="B288" s="6">
        <v>7002001001</v>
      </c>
      <c r="C288" s="5" t="s">
        <v>209</v>
      </c>
      <c r="D288" s="7">
        <v>4183.1899999999996</v>
      </c>
      <c r="E288" s="5" t="s">
        <v>11</v>
      </c>
      <c r="F288" s="7">
        <v>161735.09</v>
      </c>
      <c r="G288" s="5">
        <v>0</v>
      </c>
    </row>
    <row r="289" spans="1:7" s="5" customFormat="1" x14ac:dyDescent="0.25">
      <c r="A289" s="5">
        <v>4</v>
      </c>
      <c r="B289" s="6">
        <v>7002001002</v>
      </c>
      <c r="C289" s="5" t="s">
        <v>211</v>
      </c>
      <c r="D289" s="7">
        <v>1094.44</v>
      </c>
      <c r="E289" s="5" t="s">
        <v>11</v>
      </c>
      <c r="F289" s="7">
        <v>38775.57</v>
      </c>
      <c r="G289" s="5">
        <v>0</v>
      </c>
    </row>
    <row r="290" spans="1:7" s="5" customFormat="1" x14ac:dyDescent="0.25">
      <c r="A290" s="5">
        <v>3</v>
      </c>
      <c r="B290" s="6">
        <v>7002002</v>
      </c>
      <c r="C290" s="5" t="s">
        <v>212</v>
      </c>
    </row>
    <row r="291" spans="1:7" s="5" customFormat="1" x14ac:dyDescent="0.25">
      <c r="A291" s="5">
        <v>4</v>
      </c>
      <c r="B291" s="6">
        <v>7002002001</v>
      </c>
      <c r="C291" s="5" t="s">
        <v>213</v>
      </c>
      <c r="D291" s="7">
        <v>4183.1899999999996</v>
      </c>
      <c r="E291" s="5" t="s">
        <v>11</v>
      </c>
      <c r="F291" s="7">
        <v>167829.58</v>
      </c>
      <c r="G291" s="5">
        <v>0</v>
      </c>
    </row>
    <row r="292" spans="1:7" s="5" customFormat="1" x14ac:dyDescent="0.25">
      <c r="A292" s="5">
        <v>4</v>
      </c>
      <c r="B292" s="6">
        <v>7002002002</v>
      </c>
      <c r="C292" s="5" t="s">
        <v>215</v>
      </c>
      <c r="D292" s="7">
        <v>1094.44</v>
      </c>
      <c r="E292" s="5" t="s">
        <v>11</v>
      </c>
      <c r="F292" s="7">
        <v>9269.91</v>
      </c>
      <c r="G292" s="5">
        <v>0</v>
      </c>
    </row>
    <row r="293" spans="1:7" s="5" customFormat="1" x14ac:dyDescent="0.25">
      <c r="A293" s="5">
        <v>3</v>
      </c>
      <c r="B293" s="6">
        <v>7002003</v>
      </c>
      <c r="C293" s="5" t="s">
        <v>216</v>
      </c>
    </row>
    <row r="294" spans="1:7" s="5" customFormat="1" x14ac:dyDescent="0.25">
      <c r="A294" s="5">
        <v>4</v>
      </c>
      <c r="B294" s="6">
        <v>7002003001</v>
      </c>
      <c r="C294" s="5" t="s">
        <v>217</v>
      </c>
      <c r="D294" s="7">
        <v>6326.8</v>
      </c>
      <c r="E294" s="5" t="s">
        <v>11</v>
      </c>
      <c r="F294" s="7">
        <v>99333.29</v>
      </c>
      <c r="G294" s="5">
        <v>0</v>
      </c>
    </row>
    <row r="295" spans="1:7" s="5" customFormat="1" x14ac:dyDescent="0.25">
      <c r="A295" s="5">
        <v>4</v>
      </c>
      <c r="B295" s="6">
        <v>7002003002</v>
      </c>
      <c r="C295" s="5" t="s">
        <v>218</v>
      </c>
      <c r="D295" s="7">
        <v>38170.21</v>
      </c>
      <c r="E295" s="5" t="s">
        <v>11</v>
      </c>
      <c r="F295" s="7">
        <v>233403.2</v>
      </c>
      <c r="G295" s="5">
        <v>0</v>
      </c>
    </row>
    <row r="296" spans="1:7" s="5" customFormat="1" x14ac:dyDescent="0.25">
      <c r="A296" s="5">
        <v>3</v>
      </c>
      <c r="B296" s="6">
        <v>7002004</v>
      </c>
      <c r="C296" s="5" t="s">
        <v>219</v>
      </c>
    </row>
    <row r="297" spans="1:7" s="5" customFormat="1" x14ac:dyDescent="0.25">
      <c r="A297" s="5">
        <v>4</v>
      </c>
      <c r="B297" s="6">
        <v>7002004001</v>
      </c>
      <c r="C297" s="5" t="s">
        <v>220</v>
      </c>
      <c r="D297" s="7">
        <v>6326.8</v>
      </c>
      <c r="E297" s="5" t="s">
        <v>11</v>
      </c>
      <c r="F297" s="7">
        <v>252945.46</v>
      </c>
      <c r="G297" s="5">
        <v>0</v>
      </c>
    </row>
    <row r="298" spans="1:7" s="5" customFormat="1" x14ac:dyDescent="0.25">
      <c r="A298" s="5">
        <v>4</v>
      </c>
      <c r="B298" s="6">
        <v>7002004002</v>
      </c>
      <c r="C298" s="5" t="s">
        <v>221</v>
      </c>
      <c r="D298" s="7">
        <v>38170.21</v>
      </c>
      <c r="E298" s="5" t="s">
        <v>11</v>
      </c>
      <c r="F298" s="7">
        <v>956545.46</v>
      </c>
      <c r="G298" s="5">
        <v>0</v>
      </c>
    </row>
    <row r="299" spans="1:7" s="5" customFormat="1" x14ac:dyDescent="0.25">
      <c r="A299" s="5">
        <v>4</v>
      </c>
      <c r="B299" s="6">
        <v>7002004003</v>
      </c>
      <c r="C299" s="5" t="s">
        <v>222</v>
      </c>
      <c r="D299" s="5">
        <v>40</v>
      </c>
      <c r="E299" s="5" t="s">
        <v>32</v>
      </c>
      <c r="F299" s="7">
        <v>69138.399999999994</v>
      </c>
      <c r="G299" s="5">
        <v>0</v>
      </c>
    </row>
    <row r="300" spans="1:7" s="5" customFormat="1" x14ac:dyDescent="0.25">
      <c r="A300" s="5">
        <v>3</v>
      </c>
      <c r="B300" s="6">
        <v>7002005</v>
      </c>
      <c r="C300" s="5" t="s">
        <v>223</v>
      </c>
    </row>
    <row r="301" spans="1:7" s="5" customFormat="1" x14ac:dyDescent="0.25">
      <c r="A301" s="5">
        <v>4</v>
      </c>
      <c r="B301" s="6">
        <v>7002005001</v>
      </c>
      <c r="C301" s="5" t="s">
        <v>224</v>
      </c>
      <c r="D301" s="7">
        <v>2813.21</v>
      </c>
      <c r="E301" s="5" t="s">
        <v>11</v>
      </c>
      <c r="F301" s="7">
        <v>168605.52</v>
      </c>
      <c r="G301" s="5">
        <v>0</v>
      </c>
    </row>
    <row r="302" spans="1:7" s="5" customFormat="1" x14ac:dyDescent="0.25">
      <c r="A302" s="5">
        <v>3</v>
      </c>
      <c r="B302" s="6">
        <v>7002006</v>
      </c>
      <c r="C302" s="5" t="s">
        <v>225</v>
      </c>
    </row>
    <row r="303" spans="1:7" s="5" customFormat="1" x14ac:dyDescent="0.25">
      <c r="A303" s="5">
        <v>4</v>
      </c>
      <c r="B303" s="6">
        <v>7002006001</v>
      </c>
      <c r="C303" s="5" t="s">
        <v>226</v>
      </c>
      <c r="D303" s="7">
        <v>2813.21</v>
      </c>
      <c r="E303" s="5" t="s">
        <v>11</v>
      </c>
      <c r="F303" s="7">
        <v>187781.77</v>
      </c>
      <c r="G303" s="5">
        <v>0</v>
      </c>
    </row>
    <row r="304" spans="1:7" s="5" customFormat="1" x14ac:dyDescent="0.25">
      <c r="A304" s="5">
        <v>2</v>
      </c>
      <c r="B304" s="6">
        <v>7003</v>
      </c>
      <c r="C304" s="5" t="s">
        <v>228</v>
      </c>
    </row>
    <row r="305" spans="1:7" s="5" customFormat="1" x14ac:dyDescent="0.25">
      <c r="A305" s="5">
        <v>3</v>
      </c>
      <c r="B305" s="6">
        <v>7003001</v>
      </c>
      <c r="C305" s="5" t="s">
        <v>208</v>
      </c>
    </row>
    <row r="306" spans="1:7" s="5" customFormat="1" x14ac:dyDescent="0.25">
      <c r="A306" s="5">
        <v>4</v>
      </c>
      <c r="B306" s="6">
        <v>7003001001</v>
      </c>
      <c r="C306" s="5" t="s">
        <v>209</v>
      </c>
      <c r="D306" s="7">
        <v>95866.42</v>
      </c>
      <c r="E306" s="5" t="s">
        <v>11</v>
      </c>
      <c r="F306" s="7">
        <v>3706492.98</v>
      </c>
      <c r="G306" s="5">
        <v>0</v>
      </c>
    </row>
    <row r="307" spans="1:7" s="5" customFormat="1" x14ac:dyDescent="0.25">
      <c r="A307" s="5">
        <v>4</v>
      </c>
      <c r="B307" s="6">
        <v>7003001002</v>
      </c>
      <c r="C307" s="5" t="s">
        <v>211</v>
      </c>
      <c r="D307" s="7">
        <v>71609.039999999994</v>
      </c>
      <c r="E307" s="5" t="s">
        <v>11</v>
      </c>
      <c r="F307" s="7">
        <v>2537079.64</v>
      </c>
      <c r="G307" s="5">
        <v>0</v>
      </c>
    </row>
    <row r="308" spans="1:7" s="5" customFormat="1" x14ac:dyDescent="0.25">
      <c r="A308" s="5">
        <v>3</v>
      </c>
      <c r="B308" s="6">
        <v>7003002</v>
      </c>
      <c r="C308" s="5" t="s">
        <v>212</v>
      </c>
    </row>
    <row r="309" spans="1:7" s="5" customFormat="1" x14ac:dyDescent="0.25">
      <c r="A309" s="5">
        <v>4</v>
      </c>
      <c r="B309" s="6">
        <v>7003002001</v>
      </c>
      <c r="C309" s="5" t="s">
        <v>213</v>
      </c>
      <c r="D309" s="7">
        <v>95866.42</v>
      </c>
      <c r="E309" s="5" t="s">
        <v>11</v>
      </c>
      <c r="F309" s="7">
        <v>3846160.77</v>
      </c>
      <c r="G309" s="5">
        <v>0</v>
      </c>
    </row>
    <row r="310" spans="1:7" s="5" customFormat="1" x14ac:dyDescent="0.25">
      <c r="A310" s="5">
        <v>4</v>
      </c>
      <c r="B310" s="6">
        <v>7003002002</v>
      </c>
      <c r="C310" s="5" t="s">
        <v>215</v>
      </c>
      <c r="D310" s="7">
        <v>71609.039999999994</v>
      </c>
      <c r="E310" s="5" t="s">
        <v>11</v>
      </c>
      <c r="F310" s="7">
        <v>606528.56999999995</v>
      </c>
      <c r="G310" s="5">
        <v>0</v>
      </c>
    </row>
    <row r="311" spans="1:7" s="5" customFormat="1" x14ac:dyDescent="0.25">
      <c r="A311" s="5">
        <v>3</v>
      </c>
      <c r="B311" s="6">
        <v>7003003</v>
      </c>
      <c r="C311" s="5" t="s">
        <v>216</v>
      </c>
    </row>
    <row r="312" spans="1:7" s="5" customFormat="1" x14ac:dyDescent="0.25">
      <c r="A312" s="5">
        <v>4</v>
      </c>
      <c r="B312" s="6">
        <v>7003003001</v>
      </c>
      <c r="C312" s="5" t="s">
        <v>218</v>
      </c>
      <c r="D312" s="7">
        <v>77890.23</v>
      </c>
      <c r="E312" s="5" t="s">
        <v>11</v>
      </c>
      <c r="F312" s="7">
        <v>476283.18</v>
      </c>
      <c r="G312" s="5">
        <v>0</v>
      </c>
    </row>
    <row r="313" spans="1:7" s="5" customFormat="1" x14ac:dyDescent="0.25">
      <c r="A313" s="5">
        <v>3</v>
      </c>
      <c r="B313" s="6">
        <v>7003004</v>
      </c>
      <c r="C313" s="5" t="s">
        <v>219</v>
      </c>
    </row>
    <row r="314" spans="1:7" s="5" customFormat="1" x14ac:dyDescent="0.25">
      <c r="A314" s="5">
        <v>4</v>
      </c>
      <c r="B314" s="6">
        <v>7003004001</v>
      </c>
      <c r="C314" s="5" t="s">
        <v>221</v>
      </c>
      <c r="D314" s="7">
        <v>77890.23</v>
      </c>
      <c r="E314" s="5" t="s">
        <v>11</v>
      </c>
      <c r="F314" s="7">
        <v>1951929.16</v>
      </c>
      <c r="G314" s="5">
        <v>0</v>
      </c>
    </row>
    <row r="315" spans="1:7" s="5" customFormat="1" x14ac:dyDescent="0.25">
      <c r="A315" s="5">
        <v>4</v>
      </c>
      <c r="B315" s="6">
        <v>7003004002</v>
      </c>
      <c r="C315" s="5" t="s">
        <v>222</v>
      </c>
      <c r="D315" s="5">
        <v>130</v>
      </c>
      <c r="E315" s="5" t="s">
        <v>32</v>
      </c>
      <c r="F315" s="7">
        <v>224699.8</v>
      </c>
      <c r="G315" s="5">
        <v>0</v>
      </c>
    </row>
    <row r="316" spans="1:7" s="5" customFormat="1" x14ac:dyDescent="0.25">
      <c r="A316" s="5">
        <v>2</v>
      </c>
      <c r="B316" s="6">
        <v>7004</v>
      </c>
      <c r="C316" s="5" t="s">
        <v>229</v>
      </c>
    </row>
    <row r="317" spans="1:7" s="5" customFormat="1" x14ac:dyDescent="0.25">
      <c r="A317" s="5">
        <v>3</v>
      </c>
      <c r="B317" s="6">
        <v>7004001</v>
      </c>
      <c r="C317" s="5" t="s">
        <v>208</v>
      </c>
    </row>
    <row r="318" spans="1:7" s="5" customFormat="1" x14ac:dyDescent="0.25">
      <c r="A318" s="5">
        <v>4</v>
      </c>
      <c r="B318" s="6">
        <v>7004001001</v>
      </c>
      <c r="C318" s="5" t="s">
        <v>209</v>
      </c>
      <c r="D318" s="7">
        <v>3165.98</v>
      </c>
      <c r="E318" s="5" t="s">
        <v>11</v>
      </c>
      <c r="F318" s="7">
        <v>122406.6</v>
      </c>
      <c r="G318" s="5">
        <v>0</v>
      </c>
    </row>
    <row r="319" spans="1:7" s="5" customFormat="1" x14ac:dyDescent="0.25">
      <c r="A319" s="5">
        <v>3</v>
      </c>
      <c r="B319" s="6">
        <v>7004002</v>
      </c>
      <c r="C319" s="5" t="s">
        <v>212</v>
      </c>
    </row>
    <row r="320" spans="1:7" s="5" customFormat="1" x14ac:dyDescent="0.25">
      <c r="A320" s="5">
        <v>4</v>
      </c>
      <c r="B320" s="6">
        <v>7004002001</v>
      </c>
      <c r="C320" s="5" t="s">
        <v>213</v>
      </c>
      <c r="D320" s="7">
        <v>3165.98</v>
      </c>
      <c r="E320" s="5" t="s">
        <v>11</v>
      </c>
      <c r="F320" s="7">
        <v>127019.12</v>
      </c>
      <c r="G320" s="5">
        <v>0</v>
      </c>
    </row>
    <row r="321" spans="1:7" s="5" customFormat="1" x14ac:dyDescent="0.25">
      <c r="A321" s="5">
        <v>3</v>
      </c>
      <c r="B321" s="6">
        <v>7004003</v>
      </c>
      <c r="C321" s="5" t="s">
        <v>216</v>
      </c>
    </row>
    <row r="322" spans="1:7" s="5" customFormat="1" x14ac:dyDescent="0.25">
      <c r="A322" s="5">
        <v>4</v>
      </c>
      <c r="B322" s="6">
        <v>7004003001</v>
      </c>
      <c r="C322" s="5" t="s">
        <v>218</v>
      </c>
      <c r="D322" s="7">
        <v>13833.94</v>
      </c>
      <c r="E322" s="5" t="s">
        <v>11</v>
      </c>
      <c r="F322" s="7">
        <v>84591.78</v>
      </c>
      <c r="G322" s="5">
        <v>0</v>
      </c>
    </row>
    <row r="323" spans="1:7" s="5" customFormat="1" x14ac:dyDescent="0.25">
      <c r="A323" s="5">
        <v>3</v>
      </c>
      <c r="B323" s="6">
        <v>7004004</v>
      </c>
      <c r="C323" s="5" t="s">
        <v>219</v>
      </c>
    </row>
    <row r="324" spans="1:7" s="5" customFormat="1" x14ac:dyDescent="0.25">
      <c r="A324" s="5">
        <v>4</v>
      </c>
      <c r="B324" s="6">
        <v>7004004001</v>
      </c>
      <c r="C324" s="5" t="s">
        <v>221</v>
      </c>
      <c r="D324" s="7">
        <v>13833.94</v>
      </c>
      <c r="E324" s="5" t="s">
        <v>11</v>
      </c>
      <c r="F324" s="7">
        <v>346678.54</v>
      </c>
      <c r="G324" s="5">
        <v>0</v>
      </c>
    </row>
    <row r="325" spans="1:7" s="5" customFormat="1" x14ac:dyDescent="0.25">
      <c r="A325" s="5">
        <v>4</v>
      </c>
      <c r="B325" s="6">
        <v>7004004002</v>
      </c>
      <c r="C325" s="5" t="s">
        <v>222</v>
      </c>
      <c r="D325" s="5">
        <v>13</v>
      </c>
      <c r="E325" s="5" t="s">
        <v>32</v>
      </c>
      <c r="F325" s="7">
        <v>22469.98</v>
      </c>
      <c r="G325" s="5">
        <v>0</v>
      </c>
    </row>
    <row r="326" spans="1:7" s="5" customFormat="1" x14ac:dyDescent="0.25">
      <c r="A326" s="5">
        <v>1</v>
      </c>
      <c r="B326" s="5">
        <v>8</v>
      </c>
      <c r="C326" s="5" t="s">
        <v>230</v>
      </c>
    </row>
    <row r="327" spans="1:7" s="5" customFormat="1" x14ac:dyDescent="0.25">
      <c r="A327" s="5">
        <v>2</v>
      </c>
      <c r="B327" s="6">
        <v>8001</v>
      </c>
      <c r="C327" s="5" t="s">
        <v>231</v>
      </c>
    </row>
    <row r="328" spans="1:7" s="5" customFormat="1" x14ac:dyDescent="0.25">
      <c r="A328" s="5">
        <v>3</v>
      </c>
      <c r="B328" s="6">
        <v>8001001</v>
      </c>
      <c r="C328" s="5" t="s">
        <v>232</v>
      </c>
    </row>
    <row r="329" spans="1:7" s="5" customFormat="1" x14ac:dyDescent="0.25">
      <c r="A329" s="5">
        <v>4</v>
      </c>
      <c r="B329" s="6">
        <v>8001001001</v>
      </c>
      <c r="C329" s="5" t="s">
        <v>233</v>
      </c>
      <c r="D329" s="7">
        <v>6563.86</v>
      </c>
      <c r="E329" s="5" t="s">
        <v>11</v>
      </c>
      <c r="F329" s="7">
        <v>445029.71</v>
      </c>
      <c r="G329" s="5">
        <v>0</v>
      </c>
    </row>
    <row r="330" spans="1:7" s="5" customFormat="1" x14ac:dyDescent="0.25">
      <c r="A330" s="5">
        <v>3</v>
      </c>
      <c r="B330" s="6">
        <v>8001002</v>
      </c>
      <c r="C330" s="5" t="s">
        <v>234</v>
      </c>
    </row>
    <row r="331" spans="1:7" s="5" customFormat="1" x14ac:dyDescent="0.25">
      <c r="A331" s="5">
        <v>4</v>
      </c>
      <c r="B331" s="6">
        <v>8001002001</v>
      </c>
      <c r="C331" s="5" t="s">
        <v>235</v>
      </c>
      <c r="D331" s="7">
        <v>6563.86</v>
      </c>
      <c r="E331" s="5" t="s">
        <v>11</v>
      </c>
      <c r="F331" s="7">
        <v>505154.67</v>
      </c>
      <c r="G331" s="5">
        <v>0</v>
      </c>
    </row>
    <row r="332" spans="1:7" s="5" customFormat="1" x14ac:dyDescent="0.25">
      <c r="A332" s="5">
        <v>3</v>
      </c>
      <c r="B332" s="6">
        <v>8001003</v>
      </c>
      <c r="C332" s="5" t="s">
        <v>236</v>
      </c>
    </row>
    <row r="333" spans="1:7" s="5" customFormat="1" x14ac:dyDescent="0.25">
      <c r="A333" s="5">
        <v>4</v>
      </c>
      <c r="B333" s="6">
        <v>8001003001</v>
      </c>
      <c r="C333" s="5" t="s">
        <v>237</v>
      </c>
      <c r="D333" s="7">
        <v>1463.29</v>
      </c>
      <c r="E333" s="5" t="s">
        <v>11</v>
      </c>
      <c r="F333" s="7">
        <v>943703.52</v>
      </c>
      <c r="G333" s="5">
        <v>0</v>
      </c>
    </row>
    <row r="334" spans="1:7" s="5" customFormat="1" x14ac:dyDescent="0.25">
      <c r="A334" s="5">
        <v>3</v>
      </c>
      <c r="B334" s="6">
        <v>8001004</v>
      </c>
      <c r="C334" s="5" t="s">
        <v>238</v>
      </c>
    </row>
    <row r="335" spans="1:7" s="5" customFormat="1" x14ac:dyDescent="0.25">
      <c r="A335" s="5">
        <v>4</v>
      </c>
      <c r="B335" s="6">
        <v>8001004001</v>
      </c>
      <c r="C335" s="5" t="s">
        <v>239</v>
      </c>
      <c r="D335" s="7">
        <v>1463.29</v>
      </c>
      <c r="E335" s="5" t="s">
        <v>11</v>
      </c>
      <c r="F335" s="7">
        <v>943703.52</v>
      </c>
      <c r="G335" s="5">
        <v>0</v>
      </c>
    </row>
    <row r="336" spans="1:7" s="5" customFormat="1" x14ac:dyDescent="0.25">
      <c r="A336" s="5">
        <v>2</v>
      </c>
      <c r="B336" s="6">
        <v>8002</v>
      </c>
      <c r="C336" s="5" t="s">
        <v>240</v>
      </c>
    </row>
    <row r="337" spans="1:7" s="5" customFormat="1" x14ac:dyDescent="0.25">
      <c r="A337" s="5">
        <v>3</v>
      </c>
      <c r="B337" s="6">
        <v>8002001</v>
      </c>
      <c r="C337" s="5" t="s">
        <v>232</v>
      </c>
    </row>
    <row r="338" spans="1:7" s="5" customFormat="1" x14ac:dyDescent="0.25">
      <c r="A338" s="5">
        <v>4</v>
      </c>
      <c r="B338" s="6">
        <v>8002001001</v>
      </c>
      <c r="C338" s="5" t="s">
        <v>233</v>
      </c>
      <c r="D338" s="5">
        <v>786.42</v>
      </c>
      <c r="E338" s="5" t="s">
        <v>11</v>
      </c>
      <c r="F338" s="7">
        <v>53319.28</v>
      </c>
      <c r="G338" s="5">
        <v>0</v>
      </c>
    </row>
    <row r="339" spans="1:7" s="5" customFormat="1" x14ac:dyDescent="0.25">
      <c r="A339" s="5">
        <v>3</v>
      </c>
      <c r="B339" s="6">
        <v>8002002</v>
      </c>
      <c r="C339" s="5" t="s">
        <v>234</v>
      </c>
    </row>
    <row r="340" spans="1:7" s="5" customFormat="1" x14ac:dyDescent="0.25">
      <c r="A340" s="5">
        <v>4</v>
      </c>
      <c r="B340" s="6">
        <v>8002002001</v>
      </c>
      <c r="C340" s="5" t="s">
        <v>235</v>
      </c>
      <c r="D340" s="5">
        <v>786.42</v>
      </c>
      <c r="E340" s="5" t="s">
        <v>11</v>
      </c>
      <c r="F340" s="7">
        <v>60522.879999999997</v>
      </c>
      <c r="G340" s="5">
        <v>0</v>
      </c>
    </row>
    <row r="341" spans="1:7" s="5" customFormat="1" x14ac:dyDescent="0.25">
      <c r="A341" s="5">
        <v>2</v>
      </c>
      <c r="B341" s="6">
        <v>8003</v>
      </c>
      <c r="C341" s="5" t="s">
        <v>241</v>
      </c>
    </row>
    <row r="342" spans="1:7" s="5" customFormat="1" x14ac:dyDescent="0.25">
      <c r="A342" s="5">
        <v>3</v>
      </c>
      <c r="B342" s="6">
        <v>8003001</v>
      </c>
      <c r="C342" s="5" t="s">
        <v>232</v>
      </c>
    </row>
    <row r="343" spans="1:7" s="5" customFormat="1" x14ac:dyDescent="0.25">
      <c r="A343" s="5">
        <v>4</v>
      </c>
      <c r="B343" s="6">
        <v>8003001001</v>
      </c>
      <c r="C343" s="5" t="s">
        <v>233</v>
      </c>
      <c r="D343" s="7">
        <v>70523.56</v>
      </c>
      <c r="E343" s="5" t="s">
        <v>11</v>
      </c>
      <c r="F343" s="7">
        <v>4781497.37</v>
      </c>
      <c r="G343" s="5">
        <v>0</v>
      </c>
    </row>
    <row r="344" spans="1:7" s="5" customFormat="1" x14ac:dyDescent="0.25">
      <c r="A344" s="5">
        <v>4</v>
      </c>
      <c r="B344" s="6">
        <v>8003001002</v>
      </c>
      <c r="C344" s="5" t="s">
        <v>237</v>
      </c>
      <c r="D344" s="5">
        <v>925.03</v>
      </c>
      <c r="E344" s="5" t="s">
        <v>11</v>
      </c>
      <c r="F344" s="7">
        <v>596569.42000000004</v>
      </c>
      <c r="G344" s="5">
        <v>0</v>
      </c>
    </row>
    <row r="345" spans="1:7" s="5" customFormat="1" x14ac:dyDescent="0.25">
      <c r="A345" s="5">
        <v>3</v>
      </c>
      <c r="B345" s="6">
        <v>8003002</v>
      </c>
      <c r="C345" s="5" t="s">
        <v>234</v>
      </c>
    </row>
    <row r="346" spans="1:7" s="5" customFormat="1" x14ac:dyDescent="0.25">
      <c r="A346" s="5">
        <v>4</v>
      </c>
      <c r="B346" s="6">
        <v>8003002001</v>
      </c>
      <c r="C346" s="5" t="s">
        <v>235</v>
      </c>
      <c r="D346" s="7">
        <v>70523.56</v>
      </c>
      <c r="E346" s="5" t="s">
        <v>11</v>
      </c>
      <c r="F346" s="7">
        <v>5427493.1799999997</v>
      </c>
      <c r="G346" s="5">
        <v>0</v>
      </c>
    </row>
    <row r="347" spans="1:7" s="5" customFormat="1" x14ac:dyDescent="0.25">
      <c r="A347" s="5">
        <v>4</v>
      </c>
      <c r="B347" s="6">
        <v>8003002002</v>
      </c>
      <c r="C347" s="5" t="s">
        <v>239</v>
      </c>
      <c r="D347" s="5">
        <v>925.03</v>
      </c>
      <c r="E347" s="5" t="s">
        <v>11</v>
      </c>
      <c r="F347" s="7">
        <v>596569.42000000004</v>
      </c>
      <c r="G347" s="5">
        <v>0</v>
      </c>
    </row>
    <row r="348" spans="1:7" s="5" customFormat="1" x14ac:dyDescent="0.25">
      <c r="A348" s="5">
        <v>2</v>
      </c>
      <c r="B348" s="6">
        <v>8004</v>
      </c>
      <c r="C348" s="5" t="s">
        <v>242</v>
      </c>
    </row>
    <row r="349" spans="1:7" s="5" customFormat="1" x14ac:dyDescent="0.25">
      <c r="A349" s="5">
        <v>3</v>
      </c>
      <c r="B349" s="6">
        <v>8004001</v>
      </c>
      <c r="C349" s="5" t="s">
        <v>232</v>
      </c>
    </row>
    <row r="350" spans="1:7" s="5" customFormat="1" x14ac:dyDescent="0.25">
      <c r="A350" s="5">
        <v>4</v>
      </c>
      <c r="B350" s="6">
        <v>8004001001</v>
      </c>
      <c r="C350" s="5" t="s">
        <v>233</v>
      </c>
      <c r="D350" s="5">
        <v>132.52000000000001</v>
      </c>
      <c r="E350" s="5" t="s">
        <v>11</v>
      </c>
      <c r="F350" s="7">
        <v>8984.86</v>
      </c>
      <c r="G350" s="5">
        <v>0</v>
      </c>
    </row>
    <row r="351" spans="1:7" s="5" customFormat="1" x14ac:dyDescent="0.25">
      <c r="A351" s="5">
        <v>3</v>
      </c>
      <c r="B351" s="6">
        <v>8004002</v>
      </c>
      <c r="C351" s="5" t="s">
        <v>234</v>
      </c>
    </row>
    <row r="352" spans="1:7" s="5" customFormat="1" x14ac:dyDescent="0.25">
      <c r="A352" s="5">
        <v>4</v>
      </c>
      <c r="B352" s="6">
        <v>8004002001</v>
      </c>
      <c r="C352" s="5" t="s">
        <v>235</v>
      </c>
      <c r="D352" s="5">
        <v>132.52000000000001</v>
      </c>
      <c r="E352" s="5" t="s">
        <v>11</v>
      </c>
      <c r="F352" s="7">
        <v>10198.74</v>
      </c>
      <c r="G352" s="5">
        <v>0</v>
      </c>
    </row>
    <row r="353" spans="1:7" s="5" customFormat="1" x14ac:dyDescent="0.25">
      <c r="A353" s="5">
        <v>1</v>
      </c>
      <c r="B353" s="5">
        <v>9</v>
      </c>
      <c r="C353" s="5" t="s">
        <v>243</v>
      </c>
    </row>
    <row r="354" spans="1:7" s="5" customFormat="1" x14ac:dyDescent="0.25">
      <c r="A354" s="5">
        <v>2</v>
      </c>
      <c r="B354" s="6">
        <v>9001</v>
      </c>
      <c r="C354" s="5" t="s">
        <v>243</v>
      </c>
    </row>
    <row r="355" spans="1:7" s="5" customFormat="1" x14ac:dyDescent="0.25">
      <c r="A355" s="5">
        <v>3</v>
      </c>
      <c r="B355" s="6">
        <v>9001001</v>
      </c>
      <c r="C355" s="5" t="s">
        <v>244</v>
      </c>
    </row>
    <row r="356" spans="1:7" s="5" customFormat="1" x14ac:dyDescent="0.25">
      <c r="A356" s="5">
        <v>4</v>
      </c>
      <c r="B356" s="6">
        <v>9001001001</v>
      </c>
      <c r="C356" s="5" t="s">
        <v>245</v>
      </c>
      <c r="D356" s="7">
        <v>144739.79999999999</v>
      </c>
      <c r="E356" s="5" t="s">
        <v>11</v>
      </c>
      <c r="F356" s="7">
        <v>8250964.6699999999</v>
      </c>
      <c r="G356" s="5">
        <v>0</v>
      </c>
    </row>
    <row r="357" spans="1:7" s="5" customFormat="1" x14ac:dyDescent="0.25">
      <c r="A357" s="5">
        <v>1</v>
      </c>
      <c r="B357" s="5">
        <v>10</v>
      </c>
      <c r="C357" s="5" t="s">
        <v>246</v>
      </c>
    </row>
    <row r="358" spans="1:7" s="5" customFormat="1" x14ac:dyDescent="0.25">
      <c r="A358" s="5">
        <v>2</v>
      </c>
      <c r="B358" s="6">
        <v>10001</v>
      </c>
      <c r="C358" s="5" t="s">
        <v>247</v>
      </c>
    </row>
    <row r="359" spans="1:7" s="5" customFormat="1" x14ac:dyDescent="0.25">
      <c r="A359" s="5">
        <v>3</v>
      </c>
      <c r="B359" s="6">
        <v>10001001</v>
      </c>
      <c r="C359" s="5" t="s">
        <v>248</v>
      </c>
    </row>
    <row r="360" spans="1:7" s="5" customFormat="1" x14ac:dyDescent="0.25">
      <c r="A360" s="5">
        <v>4</v>
      </c>
      <c r="B360" s="6">
        <v>10001001001</v>
      </c>
      <c r="C360" s="5" t="s">
        <v>249</v>
      </c>
      <c r="D360" s="7">
        <v>25624.85</v>
      </c>
      <c r="E360" s="5" t="s">
        <v>11</v>
      </c>
      <c r="F360" s="7">
        <v>263582.33</v>
      </c>
      <c r="G360" s="5">
        <v>0</v>
      </c>
    </row>
    <row r="361" spans="1:7" s="5" customFormat="1" x14ac:dyDescent="0.25">
      <c r="A361" s="5">
        <v>4</v>
      </c>
      <c r="B361" s="6">
        <v>10001001002</v>
      </c>
      <c r="C361" s="5" t="s">
        <v>250</v>
      </c>
      <c r="D361" s="5">
        <v>571.32000000000005</v>
      </c>
      <c r="E361" s="5" t="s">
        <v>11</v>
      </c>
      <c r="F361" s="7">
        <v>5532.38</v>
      </c>
      <c r="G361" s="5">
        <v>0</v>
      </c>
    </row>
    <row r="362" spans="1:7" s="5" customFormat="1" x14ac:dyDescent="0.25">
      <c r="A362" s="5">
        <v>4</v>
      </c>
      <c r="B362" s="6">
        <v>10001001003</v>
      </c>
      <c r="C362" s="5" t="s">
        <v>251</v>
      </c>
      <c r="D362" s="5">
        <v>179.24</v>
      </c>
      <c r="E362" s="5" t="s">
        <v>11</v>
      </c>
      <c r="F362" s="7">
        <v>28640.04</v>
      </c>
      <c r="G362" s="5">
        <v>0</v>
      </c>
    </row>
    <row r="363" spans="1:7" s="5" customFormat="1" x14ac:dyDescent="0.25">
      <c r="A363" s="5">
        <v>4</v>
      </c>
      <c r="B363" s="6">
        <v>10001001004</v>
      </c>
      <c r="C363" s="5" t="s">
        <v>252</v>
      </c>
      <c r="D363" s="5">
        <v>375.57</v>
      </c>
      <c r="E363" s="5" t="s">
        <v>11</v>
      </c>
      <c r="F363" s="7">
        <v>41616.910000000003</v>
      </c>
      <c r="G363" s="5">
        <v>0</v>
      </c>
    </row>
    <row r="364" spans="1:7" s="5" customFormat="1" x14ac:dyDescent="0.25">
      <c r="A364" s="5">
        <v>4</v>
      </c>
      <c r="B364" s="6">
        <v>10001001005</v>
      </c>
      <c r="C364" s="5" t="s">
        <v>253</v>
      </c>
      <c r="D364" s="5">
        <v>567.42999999999995</v>
      </c>
      <c r="E364" s="5" t="s">
        <v>23</v>
      </c>
      <c r="F364" s="7">
        <v>6591.44</v>
      </c>
      <c r="G364" s="5">
        <v>0</v>
      </c>
    </row>
    <row r="365" spans="1:7" s="5" customFormat="1" x14ac:dyDescent="0.25">
      <c r="A365" s="5">
        <v>4</v>
      </c>
      <c r="B365" s="6">
        <v>10001001006</v>
      </c>
      <c r="C365" s="5" t="s">
        <v>254</v>
      </c>
      <c r="D365" s="5">
        <v>383.23</v>
      </c>
      <c r="E365" s="5" t="s">
        <v>23</v>
      </c>
      <c r="F365" s="7">
        <v>3238.29</v>
      </c>
      <c r="G365" s="5">
        <v>0</v>
      </c>
    </row>
    <row r="366" spans="1:7" s="5" customFormat="1" x14ac:dyDescent="0.25">
      <c r="A366" s="5">
        <v>4</v>
      </c>
      <c r="B366" s="6">
        <v>10001001007</v>
      </c>
      <c r="C366" s="5" t="s">
        <v>255</v>
      </c>
      <c r="D366" s="5">
        <v>74.347999999999999</v>
      </c>
      <c r="E366" s="5" t="s">
        <v>23</v>
      </c>
      <c r="F366" s="5">
        <v>217.68</v>
      </c>
      <c r="G366" s="5">
        <v>0</v>
      </c>
    </row>
    <row r="367" spans="1:7" s="5" customFormat="1" x14ac:dyDescent="0.25">
      <c r="A367" s="5">
        <v>4</v>
      </c>
      <c r="B367" s="6">
        <v>10001001008</v>
      </c>
      <c r="C367" s="5" t="s">
        <v>256</v>
      </c>
      <c r="D367" s="5">
        <v>459.64</v>
      </c>
      <c r="E367" s="5" t="s">
        <v>11</v>
      </c>
      <c r="F367" s="7">
        <v>3216.19</v>
      </c>
      <c r="G367" s="5">
        <v>0</v>
      </c>
    </row>
    <row r="368" spans="1:7" s="5" customFormat="1" x14ac:dyDescent="0.25">
      <c r="A368" s="5">
        <v>4</v>
      </c>
      <c r="B368" s="6">
        <v>10001001009</v>
      </c>
      <c r="C368" s="5" t="s">
        <v>257</v>
      </c>
      <c r="D368" s="7">
        <v>3425.09</v>
      </c>
      <c r="E368" s="5" t="s">
        <v>11</v>
      </c>
      <c r="F368" s="7">
        <v>44935.81</v>
      </c>
      <c r="G368" s="5">
        <v>0</v>
      </c>
    </row>
    <row r="369" spans="1:7" s="5" customFormat="1" x14ac:dyDescent="0.25">
      <c r="A369" s="5">
        <v>4</v>
      </c>
      <c r="B369" s="6">
        <v>10001001010</v>
      </c>
      <c r="C369" s="5" t="s">
        <v>258</v>
      </c>
      <c r="D369" s="7">
        <v>3425.09</v>
      </c>
      <c r="E369" s="5" t="s">
        <v>32</v>
      </c>
      <c r="F369" s="7">
        <v>719869.66</v>
      </c>
      <c r="G369" s="5">
        <v>0</v>
      </c>
    </row>
    <row r="370" spans="1:7" s="5" customFormat="1" x14ac:dyDescent="0.25">
      <c r="A370" s="5">
        <v>4</v>
      </c>
      <c r="B370" s="6">
        <v>10001001011</v>
      </c>
      <c r="C370" s="5" t="s">
        <v>259</v>
      </c>
      <c r="D370" s="5">
        <v>86.48</v>
      </c>
      <c r="E370" s="5" t="s">
        <v>11</v>
      </c>
      <c r="F370" s="7">
        <v>1385.63</v>
      </c>
      <c r="G370" s="5">
        <v>0</v>
      </c>
    </row>
    <row r="371" spans="1:7" s="5" customFormat="1" x14ac:dyDescent="0.25">
      <c r="A371" s="5">
        <v>3</v>
      </c>
      <c r="B371" s="6">
        <v>10001002</v>
      </c>
      <c r="C371" s="5" t="s">
        <v>260</v>
      </c>
    </row>
    <row r="372" spans="1:7" s="5" customFormat="1" x14ac:dyDescent="0.25">
      <c r="A372" s="5">
        <v>4</v>
      </c>
      <c r="B372" s="6">
        <v>10001002001</v>
      </c>
      <c r="C372" s="5" t="s">
        <v>261</v>
      </c>
      <c r="D372" s="5">
        <v>459.64</v>
      </c>
      <c r="E372" s="5" t="s">
        <v>11</v>
      </c>
      <c r="F372" s="7">
        <v>8985.9599999999991</v>
      </c>
      <c r="G372" s="5">
        <v>0</v>
      </c>
    </row>
    <row r="373" spans="1:7" s="5" customFormat="1" x14ac:dyDescent="0.25">
      <c r="A373" s="5">
        <v>4</v>
      </c>
      <c r="B373" s="6">
        <v>10001002002</v>
      </c>
      <c r="C373" s="5" t="s">
        <v>262</v>
      </c>
      <c r="D373" s="7">
        <v>25624.85</v>
      </c>
      <c r="E373" s="5" t="s">
        <v>11</v>
      </c>
      <c r="F373" s="7">
        <v>1455491.48</v>
      </c>
      <c r="G373" s="5">
        <v>0</v>
      </c>
    </row>
    <row r="374" spans="1:7" s="5" customFormat="1" x14ac:dyDescent="0.25">
      <c r="A374" s="5">
        <v>4</v>
      </c>
      <c r="B374" s="6">
        <v>10001002003</v>
      </c>
      <c r="C374" s="5" t="s">
        <v>263</v>
      </c>
      <c r="D374" s="5">
        <v>179.24</v>
      </c>
      <c r="E374" s="5" t="s">
        <v>11</v>
      </c>
      <c r="F374" s="7">
        <v>4667.41</v>
      </c>
      <c r="G374" s="5">
        <v>0</v>
      </c>
    </row>
    <row r="375" spans="1:7" s="5" customFormat="1" x14ac:dyDescent="0.25">
      <c r="A375" s="5">
        <v>4</v>
      </c>
      <c r="B375" s="6">
        <v>10001002004</v>
      </c>
      <c r="C375" s="5" t="s">
        <v>264</v>
      </c>
      <c r="D375" s="5">
        <v>571.32000000000005</v>
      </c>
      <c r="E375" s="5" t="s">
        <v>11</v>
      </c>
      <c r="F375" s="7">
        <v>26446.400000000001</v>
      </c>
      <c r="G375" s="5">
        <v>0</v>
      </c>
    </row>
    <row r="376" spans="1:7" s="5" customFormat="1" x14ac:dyDescent="0.25">
      <c r="A376" s="5">
        <v>4</v>
      </c>
      <c r="B376" s="6">
        <v>10001002005</v>
      </c>
      <c r="C376" s="5" t="s">
        <v>265</v>
      </c>
      <c r="D376" s="5">
        <v>375.57</v>
      </c>
      <c r="E376" s="5" t="s">
        <v>11</v>
      </c>
      <c r="F376" s="7">
        <v>11402.31</v>
      </c>
      <c r="G376" s="5">
        <v>0</v>
      </c>
    </row>
    <row r="377" spans="1:7" s="5" customFormat="1" x14ac:dyDescent="0.25">
      <c r="A377" s="5">
        <v>4</v>
      </c>
      <c r="B377" s="6">
        <v>10001002006</v>
      </c>
      <c r="C377" s="5" t="s">
        <v>266</v>
      </c>
      <c r="D377" s="5">
        <v>383.23</v>
      </c>
      <c r="E377" s="5" t="s">
        <v>23</v>
      </c>
      <c r="F377" s="7">
        <v>8423.4</v>
      </c>
      <c r="G377" s="5">
        <v>0</v>
      </c>
    </row>
    <row r="378" spans="1:7" s="5" customFormat="1" x14ac:dyDescent="0.25">
      <c r="A378" s="5">
        <v>4</v>
      </c>
      <c r="B378" s="6">
        <v>10001002007</v>
      </c>
      <c r="C378" s="5" t="s">
        <v>267</v>
      </c>
      <c r="D378" s="5">
        <v>74.347999999999999</v>
      </c>
      <c r="E378" s="5" t="s">
        <v>23</v>
      </c>
      <c r="F378" s="7">
        <v>1417.07</v>
      </c>
      <c r="G378" s="5">
        <v>0</v>
      </c>
    </row>
    <row r="379" spans="1:7" s="5" customFormat="1" x14ac:dyDescent="0.25">
      <c r="A379" s="5">
        <v>4</v>
      </c>
      <c r="B379" s="6">
        <v>10001002008</v>
      </c>
      <c r="C379" s="5" t="s">
        <v>268</v>
      </c>
      <c r="D379" s="7">
        <v>3425.09</v>
      </c>
      <c r="E379" s="5" t="s">
        <v>11</v>
      </c>
      <c r="F379" s="7">
        <v>62644.9</v>
      </c>
      <c r="G379" s="5">
        <v>0</v>
      </c>
    </row>
    <row r="380" spans="1:7" s="5" customFormat="1" x14ac:dyDescent="0.25">
      <c r="A380" s="5">
        <v>4</v>
      </c>
      <c r="B380" s="6">
        <v>10001002009</v>
      </c>
      <c r="C380" s="5" t="s">
        <v>269</v>
      </c>
      <c r="D380" s="5">
        <v>229</v>
      </c>
      <c r="E380" s="5" t="s">
        <v>32</v>
      </c>
      <c r="F380" s="7">
        <v>18658.919999999998</v>
      </c>
      <c r="G380" s="5">
        <v>0</v>
      </c>
    </row>
    <row r="381" spans="1:7" s="5" customFormat="1" x14ac:dyDescent="0.25">
      <c r="A381" s="5">
        <v>4</v>
      </c>
      <c r="B381" s="6">
        <v>10001002010</v>
      </c>
      <c r="C381" s="5" t="s">
        <v>270</v>
      </c>
      <c r="D381" s="5">
        <v>86.48</v>
      </c>
      <c r="E381" s="5" t="s">
        <v>11</v>
      </c>
      <c r="F381" s="7">
        <v>2724.98</v>
      </c>
      <c r="G381" s="5">
        <v>0</v>
      </c>
    </row>
    <row r="382" spans="1:7" s="5" customFormat="1" x14ac:dyDescent="0.25">
      <c r="A382" s="5">
        <v>2</v>
      </c>
      <c r="B382" s="6">
        <v>10002</v>
      </c>
      <c r="C382" s="5" t="s">
        <v>271</v>
      </c>
    </row>
    <row r="383" spans="1:7" s="5" customFormat="1" x14ac:dyDescent="0.25">
      <c r="A383" s="5">
        <v>3</v>
      </c>
      <c r="B383" s="6">
        <v>10002001</v>
      </c>
      <c r="C383" s="5" t="s">
        <v>248</v>
      </c>
    </row>
    <row r="384" spans="1:7" s="5" customFormat="1" x14ac:dyDescent="0.25">
      <c r="A384" s="5">
        <v>4</v>
      </c>
      <c r="B384" s="6">
        <v>10002001001</v>
      </c>
      <c r="C384" s="5" t="s">
        <v>249</v>
      </c>
      <c r="D384" s="7">
        <v>4023.8</v>
      </c>
      <c r="E384" s="5" t="s">
        <v>11</v>
      </c>
      <c r="F384" s="7">
        <v>41389.61</v>
      </c>
      <c r="G384" s="5">
        <v>0</v>
      </c>
    </row>
    <row r="385" spans="1:7" s="5" customFormat="1" x14ac:dyDescent="0.25">
      <c r="A385" s="5">
        <v>4</v>
      </c>
      <c r="B385" s="6">
        <v>10002001002</v>
      </c>
      <c r="C385" s="5" t="s">
        <v>250</v>
      </c>
      <c r="D385" s="7">
        <v>1522.78</v>
      </c>
      <c r="E385" s="5" t="s">
        <v>11</v>
      </c>
      <c r="F385" s="7">
        <v>14745.84</v>
      </c>
      <c r="G385" s="5">
        <v>0</v>
      </c>
    </row>
    <row r="386" spans="1:7" s="5" customFormat="1" x14ac:dyDescent="0.25">
      <c r="A386" s="5">
        <v>4</v>
      </c>
      <c r="B386" s="6">
        <v>10002001003</v>
      </c>
      <c r="C386" s="5" t="s">
        <v>252</v>
      </c>
      <c r="D386" s="5">
        <v>739.93</v>
      </c>
      <c r="E386" s="5" t="s">
        <v>11</v>
      </c>
      <c r="F386" s="7">
        <v>81991.64</v>
      </c>
      <c r="G386" s="5">
        <v>0</v>
      </c>
    </row>
    <row r="387" spans="1:7" s="5" customFormat="1" x14ac:dyDescent="0.25">
      <c r="A387" s="5">
        <v>4</v>
      </c>
      <c r="B387" s="6">
        <v>10002001004</v>
      </c>
      <c r="C387" s="5" t="s">
        <v>253</v>
      </c>
      <c r="D387" s="5">
        <v>871.62</v>
      </c>
      <c r="E387" s="5" t="s">
        <v>23</v>
      </c>
      <c r="F387" s="7">
        <v>10125</v>
      </c>
      <c r="G387" s="5">
        <v>0</v>
      </c>
    </row>
    <row r="388" spans="1:7" s="5" customFormat="1" x14ac:dyDescent="0.25">
      <c r="A388" s="5">
        <v>4</v>
      </c>
      <c r="B388" s="6">
        <v>10002001005</v>
      </c>
      <c r="C388" s="5" t="s">
        <v>254</v>
      </c>
      <c r="D388" s="5">
        <v>806.8</v>
      </c>
      <c r="E388" s="5" t="s">
        <v>23</v>
      </c>
      <c r="F388" s="7">
        <v>6817.46</v>
      </c>
      <c r="G388" s="5">
        <v>0</v>
      </c>
    </row>
    <row r="389" spans="1:7" s="5" customFormat="1" x14ac:dyDescent="0.25">
      <c r="A389" s="5">
        <v>4</v>
      </c>
      <c r="B389" s="6">
        <v>10002001006</v>
      </c>
      <c r="C389" s="5" t="s">
        <v>255</v>
      </c>
      <c r="D389" s="7">
        <v>4238.75</v>
      </c>
      <c r="E389" s="5" t="s">
        <v>23</v>
      </c>
      <c r="F389" s="7">
        <v>12410.65</v>
      </c>
      <c r="G389" s="5">
        <v>0</v>
      </c>
    </row>
    <row r="390" spans="1:7" s="5" customFormat="1" x14ac:dyDescent="0.25">
      <c r="A390" s="5">
        <v>4</v>
      </c>
      <c r="B390" s="6">
        <v>10002001007</v>
      </c>
      <c r="C390" s="5" t="s">
        <v>256</v>
      </c>
      <c r="D390" s="7">
        <v>11543.14</v>
      </c>
      <c r="E390" s="5" t="s">
        <v>11</v>
      </c>
      <c r="F390" s="7">
        <v>80769.66</v>
      </c>
      <c r="G390" s="5">
        <v>0</v>
      </c>
    </row>
    <row r="391" spans="1:7" s="5" customFormat="1" x14ac:dyDescent="0.25">
      <c r="A391" s="5">
        <v>4</v>
      </c>
      <c r="B391" s="6">
        <v>10002001008</v>
      </c>
      <c r="C391" s="5" t="s">
        <v>257</v>
      </c>
      <c r="D391" s="7">
        <v>27873.29</v>
      </c>
      <c r="E391" s="5" t="s">
        <v>11</v>
      </c>
      <c r="F391" s="7">
        <v>365686.42</v>
      </c>
      <c r="G391" s="5">
        <v>0</v>
      </c>
    </row>
    <row r="392" spans="1:7" s="5" customFormat="1" x14ac:dyDescent="0.25">
      <c r="A392" s="5">
        <v>4</v>
      </c>
      <c r="B392" s="6">
        <v>10002001009</v>
      </c>
      <c r="C392" s="5" t="s">
        <v>259</v>
      </c>
      <c r="D392" s="7">
        <v>1290.43</v>
      </c>
      <c r="E392" s="5" t="s">
        <v>11</v>
      </c>
      <c r="F392" s="7">
        <v>20675.91</v>
      </c>
      <c r="G392" s="5">
        <v>0</v>
      </c>
    </row>
    <row r="393" spans="1:7" s="5" customFormat="1" x14ac:dyDescent="0.25">
      <c r="A393" s="5">
        <v>3</v>
      </c>
      <c r="B393" s="6">
        <v>10002002</v>
      </c>
      <c r="C393" s="5" t="s">
        <v>260</v>
      </c>
    </row>
    <row r="394" spans="1:7" s="5" customFormat="1" x14ac:dyDescent="0.25">
      <c r="A394" s="5">
        <v>4</v>
      </c>
      <c r="B394" s="6">
        <v>10002002001</v>
      </c>
      <c r="C394" s="5" t="s">
        <v>262</v>
      </c>
      <c r="D394" s="7">
        <v>4023.8</v>
      </c>
      <c r="E394" s="5" t="s">
        <v>11</v>
      </c>
      <c r="F394" s="7">
        <v>228551.84</v>
      </c>
      <c r="G394" s="5">
        <v>0</v>
      </c>
    </row>
    <row r="395" spans="1:7" s="5" customFormat="1" x14ac:dyDescent="0.25">
      <c r="A395" s="5">
        <v>4</v>
      </c>
      <c r="B395" s="6">
        <v>10002002002</v>
      </c>
      <c r="C395" s="5" t="s">
        <v>264</v>
      </c>
      <c r="D395" s="7">
        <v>1522.78</v>
      </c>
      <c r="E395" s="5" t="s">
        <v>11</v>
      </c>
      <c r="F395" s="7">
        <v>70489.490000000005</v>
      </c>
      <c r="G395" s="5">
        <v>0</v>
      </c>
    </row>
    <row r="396" spans="1:7" s="5" customFormat="1" x14ac:dyDescent="0.25">
      <c r="A396" s="5">
        <v>4</v>
      </c>
      <c r="B396" s="6">
        <v>10002002003</v>
      </c>
      <c r="C396" s="5" t="s">
        <v>265</v>
      </c>
      <c r="D396" s="5">
        <v>739.93</v>
      </c>
      <c r="E396" s="5" t="s">
        <v>11</v>
      </c>
      <c r="F396" s="7">
        <v>22464.27</v>
      </c>
      <c r="G396" s="5">
        <v>0</v>
      </c>
    </row>
    <row r="397" spans="1:7" s="5" customFormat="1" x14ac:dyDescent="0.25">
      <c r="A397" s="5">
        <v>4</v>
      </c>
      <c r="B397" s="6">
        <v>10002002004</v>
      </c>
      <c r="C397" s="5" t="s">
        <v>261</v>
      </c>
      <c r="D397" s="7">
        <v>11543.14</v>
      </c>
      <c r="E397" s="5" t="s">
        <v>11</v>
      </c>
      <c r="F397" s="7">
        <v>225668.39</v>
      </c>
      <c r="G397" s="5">
        <v>0</v>
      </c>
    </row>
    <row r="398" spans="1:7" s="5" customFormat="1" x14ac:dyDescent="0.25">
      <c r="A398" s="5">
        <v>4</v>
      </c>
      <c r="B398" s="6">
        <v>10002002005</v>
      </c>
      <c r="C398" s="5" t="s">
        <v>266</v>
      </c>
      <c r="D398" s="5">
        <v>806.8</v>
      </c>
      <c r="E398" s="5" t="s">
        <v>23</v>
      </c>
      <c r="F398" s="7">
        <v>17733.46</v>
      </c>
      <c r="G398" s="5">
        <v>0</v>
      </c>
    </row>
    <row r="399" spans="1:7" s="5" customFormat="1" x14ac:dyDescent="0.25">
      <c r="A399" s="5">
        <v>4</v>
      </c>
      <c r="B399" s="6">
        <v>10002002006</v>
      </c>
      <c r="C399" s="5" t="s">
        <v>267</v>
      </c>
      <c r="D399" s="7">
        <v>5080.5600000000004</v>
      </c>
      <c r="E399" s="5" t="s">
        <v>23</v>
      </c>
      <c r="F399" s="7">
        <v>96835.4</v>
      </c>
      <c r="G399" s="5">
        <v>0</v>
      </c>
    </row>
    <row r="400" spans="1:7" s="5" customFormat="1" x14ac:dyDescent="0.25">
      <c r="A400" s="5">
        <v>4</v>
      </c>
      <c r="B400" s="6">
        <v>10002002007</v>
      </c>
      <c r="C400" s="5" t="s">
        <v>268</v>
      </c>
      <c r="D400" s="7">
        <v>27873.29</v>
      </c>
      <c r="E400" s="5" t="s">
        <v>11</v>
      </c>
      <c r="F400" s="7">
        <v>509802.47</v>
      </c>
      <c r="G400" s="5">
        <v>0</v>
      </c>
    </row>
    <row r="401" spans="1:7" s="5" customFormat="1" x14ac:dyDescent="0.25">
      <c r="A401" s="5">
        <v>4</v>
      </c>
      <c r="B401" s="6">
        <v>10002002008</v>
      </c>
      <c r="C401" s="5" t="s">
        <v>270</v>
      </c>
      <c r="D401" s="7">
        <v>1290.43</v>
      </c>
      <c r="E401" s="5" t="s">
        <v>11</v>
      </c>
      <c r="F401" s="7">
        <v>40661.449999999997</v>
      </c>
      <c r="G401" s="5">
        <v>0</v>
      </c>
    </row>
    <row r="402" spans="1:7" s="5" customFormat="1" x14ac:dyDescent="0.25">
      <c r="A402" s="5">
        <v>2</v>
      </c>
      <c r="B402" s="6">
        <v>10003</v>
      </c>
      <c r="C402" s="5" t="s">
        <v>272</v>
      </c>
    </row>
    <row r="403" spans="1:7" s="5" customFormat="1" x14ac:dyDescent="0.25">
      <c r="A403" s="5">
        <v>3</v>
      </c>
      <c r="B403" s="6">
        <v>10003001</v>
      </c>
      <c r="C403" s="5" t="s">
        <v>248</v>
      </c>
    </row>
    <row r="404" spans="1:7" s="5" customFormat="1" x14ac:dyDescent="0.25">
      <c r="A404" s="5">
        <v>4</v>
      </c>
      <c r="B404" s="6">
        <v>10003001001</v>
      </c>
      <c r="C404" s="5" t="s">
        <v>249</v>
      </c>
      <c r="D404" s="7">
        <v>321570.38</v>
      </c>
      <c r="E404" s="5" t="s">
        <v>11</v>
      </c>
      <c r="F404" s="7">
        <v>3307737.24</v>
      </c>
      <c r="G404" s="5">
        <v>0</v>
      </c>
    </row>
    <row r="405" spans="1:7" s="5" customFormat="1" x14ac:dyDescent="0.25">
      <c r="A405" s="5">
        <v>4</v>
      </c>
      <c r="B405" s="6">
        <v>10003001002</v>
      </c>
      <c r="C405" s="5" t="s">
        <v>252</v>
      </c>
      <c r="D405" s="7">
        <v>2679</v>
      </c>
      <c r="E405" s="5" t="s">
        <v>11</v>
      </c>
      <c r="F405" s="7">
        <v>296859.99</v>
      </c>
      <c r="G405" s="5">
        <v>0</v>
      </c>
    </row>
    <row r="406" spans="1:7" s="5" customFormat="1" x14ac:dyDescent="0.25">
      <c r="A406" s="5">
        <v>4</v>
      </c>
      <c r="B406" s="6">
        <v>10003001003</v>
      </c>
      <c r="C406" s="5" t="s">
        <v>253</v>
      </c>
      <c r="D406" s="7">
        <v>3211</v>
      </c>
      <c r="E406" s="5" t="s">
        <v>23</v>
      </c>
      <c r="F406" s="7">
        <v>37299.94</v>
      </c>
      <c r="G406" s="5">
        <v>0</v>
      </c>
    </row>
    <row r="407" spans="1:7" s="5" customFormat="1" x14ac:dyDescent="0.25">
      <c r="A407" s="5">
        <v>4</v>
      </c>
      <c r="B407" s="6">
        <v>10003001004</v>
      </c>
      <c r="C407" s="5" t="s">
        <v>254</v>
      </c>
      <c r="D407" s="7">
        <v>2622.1</v>
      </c>
      <c r="E407" s="5" t="s">
        <v>23</v>
      </c>
      <c r="F407" s="7">
        <v>22156.75</v>
      </c>
      <c r="G407" s="5">
        <v>0</v>
      </c>
    </row>
    <row r="408" spans="1:7" s="5" customFormat="1" x14ac:dyDescent="0.25">
      <c r="A408" s="5">
        <v>4</v>
      </c>
      <c r="B408" s="6">
        <v>10003001005</v>
      </c>
      <c r="C408" s="5" t="s">
        <v>257</v>
      </c>
      <c r="D408" s="7">
        <v>20247.509999999998</v>
      </c>
      <c r="E408" s="5" t="s">
        <v>11</v>
      </c>
      <c r="F408" s="7">
        <v>265639.23</v>
      </c>
      <c r="G408" s="5">
        <v>0</v>
      </c>
    </row>
    <row r="409" spans="1:7" s="5" customFormat="1" x14ac:dyDescent="0.25">
      <c r="A409" s="5">
        <v>3</v>
      </c>
      <c r="B409" s="6">
        <v>10003002</v>
      </c>
      <c r="C409" s="5" t="s">
        <v>260</v>
      </c>
    </row>
    <row r="410" spans="1:7" s="5" customFormat="1" x14ac:dyDescent="0.25">
      <c r="A410" s="5">
        <v>4</v>
      </c>
      <c r="B410" s="6">
        <v>10003002001</v>
      </c>
      <c r="C410" s="5" t="s">
        <v>262</v>
      </c>
      <c r="D410" s="7">
        <v>321570.38</v>
      </c>
      <c r="E410" s="5" t="s">
        <v>11</v>
      </c>
      <c r="F410" s="7">
        <v>18265197.579999998</v>
      </c>
      <c r="G410" s="5">
        <v>0</v>
      </c>
    </row>
    <row r="411" spans="1:7" s="5" customFormat="1" x14ac:dyDescent="0.25">
      <c r="A411" s="5">
        <v>4</v>
      </c>
      <c r="B411" s="6">
        <v>10003002002</v>
      </c>
      <c r="C411" s="5" t="s">
        <v>265</v>
      </c>
      <c r="D411" s="7">
        <v>2679</v>
      </c>
      <c r="E411" s="5" t="s">
        <v>11</v>
      </c>
      <c r="F411" s="7">
        <v>81334.44</v>
      </c>
      <c r="G411" s="5">
        <v>0</v>
      </c>
    </row>
    <row r="412" spans="1:7" s="5" customFormat="1" x14ac:dyDescent="0.25">
      <c r="A412" s="5">
        <v>4</v>
      </c>
      <c r="B412" s="6">
        <v>10003002003</v>
      </c>
      <c r="C412" s="5" t="s">
        <v>266</v>
      </c>
      <c r="D412" s="7">
        <v>2622.1</v>
      </c>
      <c r="E412" s="5" t="s">
        <v>23</v>
      </c>
      <c r="F412" s="7">
        <v>57633.760000000002</v>
      </c>
      <c r="G412" s="5">
        <v>0</v>
      </c>
    </row>
    <row r="413" spans="1:7" s="5" customFormat="1" x14ac:dyDescent="0.25">
      <c r="A413" s="5">
        <v>4</v>
      </c>
      <c r="B413" s="6">
        <v>10003002004</v>
      </c>
      <c r="C413" s="5" t="s">
        <v>268</v>
      </c>
      <c r="D413" s="7">
        <v>20247.509999999998</v>
      </c>
      <c r="E413" s="5" t="s">
        <v>11</v>
      </c>
      <c r="F413" s="7">
        <v>370326.96</v>
      </c>
      <c r="G413" s="5">
        <v>0</v>
      </c>
    </row>
    <row r="414" spans="1:7" s="5" customFormat="1" x14ac:dyDescent="0.25">
      <c r="A414" s="5">
        <v>2</v>
      </c>
      <c r="B414" s="6">
        <v>10004</v>
      </c>
      <c r="C414" s="5" t="s">
        <v>273</v>
      </c>
    </row>
    <row r="415" spans="1:7" s="5" customFormat="1" x14ac:dyDescent="0.25">
      <c r="A415" s="5">
        <v>3</v>
      </c>
      <c r="B415" s="6">
        <v>10004001</v>
      </c>
      <c r="C415" s="5" t="s">
        <v>248</v>
      </c>
    </row>
    <row r="416" spans="1:7" s="5" customFormat="1" x14ac:dyDescent="0.25">
      <c r="A416" s="5">
        <v>4</v>
      </c>
      <c r="B416" s="6">
        <v>10004001001</v>
      </c>
      <c r="C416" s="5" t="s">
        <v>274</v>
      </c>
      <c r="D416" s="7">
        <v>2348.65</v>
      </c>
      <c r="E416" s="5" t="s">
        <v>11</v>
      </c>
      <c r="F416" s="7">
        <v>36746.74</v>
      </c>
      <c r="G416" s="5">
        <v>0</v>
      </c>
    </row>
    <row r="417" spans="1:7" s="5" customFormat="1" x14ac:dyDescent="0.25">
      <c r="A417" s="5">
        <v>4</v>
      </c>
      <c r="B417" s="6">
        <v>10004001002</v>
      </c>
      <c r="C417" s="5" t="s">
        <v>252</v>
      </c>
      <c r="D417" s="5">
        <v>237.29</v>
      </c>
      <c r="E417" s="5" t="s">
        <v>11</v>
      </c>
      <c r="F417" s="7">
        <v>26294.1</v>
      </c>
      <c r="G417" s="5">
        <v>0</v>
      </c>
    </row>
    <row r="418" spans="1:7" s="5" customFormat="1" x14ac:dyDescent="0.25">
      <c r="A418" s="5">
        <v>4</v>
      </c>
      <c r="B418" s="6">
        <v>10004001003</v>
      </c>
      <c r="C418" s="5" t="s">
        <v>253</v>
      </c>
      <c r="D418" s="5">
        <v>300.39999999999998</v>
      </c>
      <c r="E418" s="5" t="s">
        <v>23</v>
      </c>
      <c r="F418" s="7">
        <v>3489.54</v>
      </c>
      <c r="G418" s="5">
        <v>0</v>
      </c>
    </row>
    <row r="419" spans="1:7" s="5" customFormat="1" x14ac:dyDescent="0.25">
      <c r="A419" s="5">
        <v>4</v>
      </c>
      <c r="B419" s="6">
        <v>10004001004</v>
      </c>
      <c r="C419" s="5" t="s">
        <v>254</v>
      </c>
      <c r="D419" s="5">
        <v>262.20999999999998</v>
      </c>
      <c r="E419" s="5" t="s">
        <v>23</v>
      </c>
      <c r="F419" s="7">
        <v>2215.67</v>
      </c>
      <c r="G419" s="5">
        <v>0</v>
      </c>
    </row>
    <row r="420" spans="1:7" s="5" customFormat="1" x14ac:dyDescent="0.25">
      <c r="A420" s="5">
        <v>4</v>
      </c>
      <c r="B420" s="6">
        <v>10004001005</v>
      </c>
      <c r="C420" s="5" t="s">
        <v>257</v>
      </c>
      <c r="D420" s="7">
        <v>11758.09</v>
      </c>
      <c r="E420" s="5" t="s">
        <v>11</v>
      </c>
      <c r="F420" s="7">
        <v>154261.44</v>
      </c>
      <c r="G420" s="5">
        <v>0</v>
      </c>
    </row>
    <row r="421" spans="1:7" s="5" customFormat="1" x14ac:dyDescent="0.25">
      <c r="A421" s="5">
        <v>3</v>
      </c>
      <c r="B421" s="6">
        <v>10004002</v>
      </c>
      <c r="C421" s="5" t="s">
        <v>260</v>
      </c>
    </row>
    <row r="422" spans="1:7" s="5" customFormat="1" x14ac:dyDescent="0.25">
      <c r="A422" s="5">
        <v>4</v>
      </c>
      <c r="B422" s="6">
        <v>10004002001</v>
      </c>
      <c r="C422" s="5" t="s">
        <v>262</v>
      </c>
      <c r="D422" s="7">
        <v>2348.65</v>
      </c>
      <c r="E422" s="5" t="s">
        <v>11</v>
      </c>
      <c r="F422" s="7">
        <v>133403.32</v>
      </c>
      <c r="G422" s="5">
        <v>0</v>
      </c>
    </row>
    <row r="423" spans="1:7" s="5" customFormat="1" x14ac:dyDescent="0.25">
      <c r="A423" s="5">
        <v>4</v>
      </c>
      <c r="B423" s="6">
        <v>10004002002</v>
      </c>
      <c r="C423" s="5" t="s">
        <v>265</v>
      </c>
      <c r="D423" s="5">
        <v>237.29</v>
      </c>
      <c r="E423" s="5" t="s">
        <v>11</v>
      </c>
      <c r="F423" s="7">
        <v>7204.12</v>
      </c>
      <c r="G423" s="5">
        <v>0</v>
      </c>
    </row>
    <row r="424" spans="1:7" s="5" customFormat="1" x14ac:dyDescent="0.25">
      <c r="A424" s="5">
        <v>4</v>
      </c>
      <c r="B424" s="6">
        <v>10004002003</v>
      </c>
      <c r="C424" s="5" t="s">
        <v>266</v>
      </c>
      <c r="D424" s="5">
        <v>262.20999999999998</v>
      </c>
      <c r="E424" s="5" t="s">
        <v>23</v>
      </c>
      <c r="F424" s="7">
        <v>5763.38</v>
      </c>
      <c r="G424" s="5">
        <v>0</v>
      </c>
    </row>
    <row r="425" spans="1:7" s="5" customFormat="1" x14ac:dyDescent="0.25">
      <c r="A425" s="5">
        <v>4</v>
      </c>
      <c r="B425" s="6">
        <v>10004002004</v>
      </c>
      <c r="C425" s="5" t="s">
        <v>268</v>
      </c>
      <c r="D425" s="7">
        <v>11758.09</v>
      </c>
      <c r="E425" s="5" t="s">
        <v>11</v>
      </c>
      <c r="F425" s="7">
        <v>215055.47</v>
      </c>
      <c r="G425" s="5">
        <v>0</v>
      </c>
    </row>
    <row r="426" spans="1:7" s="5" customFormat="1" x14ac:dyDescent="0.25">
      <c r="A426" s="5">
        <v>1</v>
      </c>
      <c r="B426" s="5">
        <v>11</v>
      </c>
      <c r="C426" s="5" t="s">
        <v>275</v>
      </c>
    </row>
    <row r="427" spans="1:7" s="5" customFormat="1" x14ac:dyDescent="0.25">
      <c r="A427" s="5">
        <v>2</v>
      </c>
      <c r="B427" s="6">
        <v>11001</v>
      </c>
      <c r="C427" s="5" t="s">
        <v>276</v>
      </c>
    </row>
    <row r="428" spans="1:7" s="5" customFormat="1" x14ac:dyDescent="0.25">
      <c r="A428" s="5">
        <v>3</v>
      </c>
      <c r="B428" s="6">
        <v>11001001</v>
      </c>
      <c r="C428" s="5" t="s">
        <v>277</v>
      </c>
    </row>
    <row r="429" spans="1:7" s="5" customFormat="1" x14ac:dyDescent="0.25">
      <c r="A429" s="5">
        <v>4</v>
      </c>
      <c r="B429" s="6">
        <v>11001001001</v>
      </c>
      <c r="C429" s="5" t="s">
        <v>278</v>
      </c>
      <c r="D429" s="5">
        <v>427.64</v>
      </c>
      <c r="E429" s="5" t="s">
        <v>11</v>
      </c>
      <c r="F429" s="7">
        <v>125288.17</v>
      </c>
      <c r="G429" s="5">
        <v>0</v>
      </c>
    </row>
    <row r="430" spans="1:7" s="5" customFormat="1" x14ac:dyDescent="0.25">
      <c r="A430" s="5">
        <v>4</v>
      </c>
      <c r="B430" s="6">
        <v>11001001002</v>
      </c>
      <c r="C430" s="5" t="s">
        <v>279</v>
      </c>
      <c r="D430" s="5">
        <v>491.95</v>
      </c>
      <c r="E430" s="5" t="s">
        <v>11</v>
      </c>
      <c r="F430" s="7">
        <v>99170.72</v>
      </c>
      <c r="G430" s="5">
        <v>0</v>
      </c>
    </row>
    <row r="431" spans="1:7" s="5" customFormat="1" x14ac:dyDescent="0.25">
      <c r="A431" s="5">
        <v>4</v>
      </c>
      <c r="B431" s="6">
        <v>11001001003</v>
      </c>
      <c r="C431" s="5" t="s">
        <v>280</v>
      </c>
      <c r="D431" s="7">
        <v>2139.9699999999998</v>
      </c>
      <c r="E431" s="5" t="s">
        <v>11</v>
      </c>
      <c r="F431" s="7">
        <v>215762.48</v>
      </c>
      <c r="G431" s="5">
        <v>0</v>
      </c>
    </row>
    <row r="432" spans="1:7" s="5" customFormat="1" x14ac:dyDescent="0.25">
      <c r="A432" s="5">
        <v>4</v>
      </c>
      <c r="B432" s="6">
        <v>11001001004</v>
      </c>
      <c r="C432" s="5" t="s">
        <v>281</v>
      </c>
      <c r="D432" s="5">
        <v>783.67</v>
      </c>
      <c r="E432" s="5" t="s">
        <v>11</v>
      </c>
      <c r="F432" s="7">
        <v>149352.14000000001</v>
      </c>
      <c r="G432" s="5">
        <v>0</v>
      </c>
    </row>
    <row r="433" spans="1:7" s="5" customFormat="1" x14ac:dyDescent="0.25">
      <c r="A433" s="5">
        <v>4</v>
      </c>
      <c r="B433" s="6">
        <v>11001001005</v>
      </c>
      <c r="C433" s="5" t="s">
        <v>282</v>
      </c>
      <c r="D433" s="5">
        <v>64.400000000000006</v>
      </c>
      <c r="E433" s="5" t="s">
        <v>11</v>
      </c>
      <c r="F433" s="7">
        <v>12664.32</v>
      </c>
      <c r="G433" s="5">
        <v>0</v>
      </c>
    </row>
    <row r="434" spans="1:7" s="5" customFormat="1" x14ac:dyDescent="0.25">
      <c r="A434" s="5">
        <v>4</v>
      </c>
      <c r="B434" s="6">
        <v>11001001006</v>
      </c>
      <c r="C434" s="5" t="s">
        <v>283</v>
      </c>
      <c r="D434" s="7">
        <v>2925.29</v>
      </c>
      <c r="E434" s="5" t="s">
        <v>11</v>
      </c>
      <c r="F434" s="7">
        <v>2663386.7400000002</v>
      </c>
      <c r="G434" s="5">
        <v>0</v>
      </c>
    </row>
    <row r="435" spans="1:7" s="5" customFormat="1" x14ac:dyDescent="0.25">
      <c r="A435" s="5">
        <v>4</v>
      </c>
      <c r="B435" s="6">
        <v>11001001007</v>
      </c>
      <c r="C435" s="5" t="s">
        <v>284</v>
      </c>
      <c r="D435" s="7">
        <v>6856.92</v>
      </c>
      <c r="E435" s="5" t="s">
        <v>11</v>
      </c>
      <c r="F435" s="7">
        <v>205981.88</v>
      </c>
      <c r="G435" s="5">
        <v>0</v>
      </c>
    </row>
    <row r="436" spans="1:7" s="5" customFormat="1" x14ac:dyDescent="0.25">
      <c r="A436" s="5">
        <v>4</v>
      </c>
      <c r="B436" s="6">
        <v>11001001008</v>
      </c>
      <c r="C436" s="5" t="s">
        <v>285</v>
      </c>
      <c r="D436" s="5">
        <v>179.24</v>
      </c>
      <c r="E436" s="5" t="s">
        <v>11</v>
      </c>
      <c r="F436" s="7">
        <v>192747.53</v>
      </c>
      <c r="G436" s="5">
        <v>0</v>
      </c>
    </row>
    <row r="437" spans="1:7" s="5" customFormat="1" x14ac:dyDescent="0.25">
      <c r="A437" s="5">
        <v>4</v>
      </c>
      <c r="B437" s="6">
        <v>11001001009</v>
      </c>
      <c r="C437" s="5" t="s">
        <v>286</v>
      </c>
      <c r="D437" s="5">
        <v>24</v>
      </c>
      <c r="E437" s="5" t="s">
        <v>11</v>
      </c>
      <c r="F437" s="7">
        <v>23143.22</v>
      </c>
      <c r="G437" s="5">
        <v>0</v>
      </c>
    </row>
    <row r="438" spans="1:7" s="5" customFormat="1" x14ac:dyDescent="0.25">
      <c r="A438" s="5">
        <v>4</v>
      </c>
      <c r="B438" s="6">
        <v>11001001010</v>
      </c>
      <c r="C438" s="5" t="s">
        <v>287</v>
      </c>
      <c r="D438" s="7">
        <v>2385.0500000000002</v>
      </c>
      <c r="E438" s="5" t="s">
        <v>11</v>
      </c>
      <c r="F438" s="7">
        <v>1590215.39</v>
      </c>
      <c r="G438" s="5">
        <v>0</v>
      </c>
    </row>
    <row r="439" spans="1:7" s="5" customFormat="1" x14ac:dyDescent="0.25">
      <c r="A439" s="5">
        <v>4</v>
      </c>
      <c r="B439" s="6">
        <v>11001001011</v>
      </c>
      <c r="C439" s="5" t="s">
        <v>288</v>
      </c>
      <c r="D439" s="7">
        <v>2971.75</v>
      </c>
      <c r="E439" s="5" t="s">
        <v>23</v>
      </c>
      <c r="F439" s="7">
        <v>58003.51</v>
      </c>
      <c r="G439" s="5">
        <v>0</v>
      </c>
    </row>
    <row r="440" spans="1:7" s="5" customFormat="1" x14ac:dyDescent="0.25">
      <c r="A440" s="5">
        <v>4</v>
      </c>
      <c r="B440" s="6">
        <v>11001001012</v>
      </c>
      <c r="C440" s="5" t="s">
        <v>289</v>
      </c>
      <c r="D440" s="5">
        <v>527.79999999999995</v>
      </c>
      <c r="E440" s="5" t="s">
        <v>23</v>
      </c>
      <c r="F440" s="7">
        <v>22668.27</v>
      </c>
      <c r="G440" s="5">
        <v>0</v>
      </c>
    </row>
    <row r="441" spans="1:7" s="5" customFormat="1" x14ac:dyDescent="0.25">
      <c r="A441" s="5">
        <v>4</v>
      </c>
      <c r="B441" s="6">
        <v>11001001013</v>
      </c>
      <c r="C441" s="5" t="s">
        <v>290</v>
      </c>
      <c r="D441" s="7">
        <v>1684.69</v>
      </c>
      <c r="E441" s="5" t="s">
        <v>23</v>
      </c>
      <c r="F441" s="7">
        <v>640215.22</v>
      </c>
      <c r="G441" s="5">
        <v>0</v>
      </c>
    </row>
    <row r="442" spans="1:7" s="5" customFormat="1" x14ac:dyDescent="0.25">
      <c r="A442" s="5">
        <v>3</v>
      </c>
      <c r="B442" s="6">
        <v>11001002</v>
      </c>
      <c r="C442" s="5" t="s">
        <v>291</v>
      </c>
    </row>
    <row r="443" spans="1:7" s="5" customFormat="1" x14ac:dyDescent="0.25">
      <c r="A443" s="5">
        <v>4</v>
      </c>
      <c r="B443" s="6">
        <v>11001002001</v>
      </c>
      <c r="C443" s="5" t="s">
        <v>292</v>
      </c>
      <c r="D443" s="5">
        <v>427.64</v>
      </c>
      <c r="E443" s="5" t="s">
        <v>11</v>
      </c>
      <c r="F443" s="7">
        <v>14296.01</v>
      </c>
      <c r="G443" s="5">
        <v>0</v>
      </c>
    </row>
    <row r="444" spans="1:7" s="5" customFormat="1" x14ac:dyDescent="0.25">
      <c r="A444" s="5">
        <v>4</v>
      </c>
      <c r="B444" s="6">
        <v>11001002002</v>
      </c>
      <c r="C444" s="5" t="s">
        <v>293</v>
      </c>
      <c r="D444" s="7">
        <v>2120.42</v>
      </c>
      <c r="E444" s="5" t="s">
        <v>11</v>
      </c>
      <c r="F444" s="7">
        <v>129409.23</v>
      </c>
      <c r="G444" s="5">
        <v>0</v>
      </c>
    </row>
    <row r="445" spans="1:7" s="5" customFormat="1" x14ac:dyDescent="0.25">
      <c r="A445" s="5">
        <v>4</v>
      </c>
      <c r="B445" s="6">
        <v>11001002003</v>
      </c>
      <c r="C445" s="5" t="s">
        <v>294</v>
      </c>
      <c r="D445" s="5">
        <v>867.62</v>
      </c>
      <c r="E445" s="5" t="s">
        <v>11</v>
      </c>
      <c r="F445" s="7">
        <v>61106.48</v>
      </c>
      <c r="G445" s="5">
        <v>0</v>
      </c>
    </row>
    <row r="446" spans="1:7" s="5" customFormat="1" x14ac:dyDescent="0.25">
      <c r="A446" s="5">
        <v>4</v>
      </c>
      <c r="B446" s="6">
        <v>11001002004</v>
      </c>
      <c r="C446" s="5" t="s">
        <v>295</v>
      </c>
      <c r="D446" s="7">
        <v>2925.29</v>
      </c>
      <c r="E446" s="5" t="s">
        <v>11</v>
      </c>
      <c r="F446" s="7">
        <v>270911.11</v>
      </c>
      <c r="G446" s="5">
        <v>0</v>
      </c>
    </row>
    <row r="447" spans="1:7" s="5" customFormat="1" x14ac:dyDescent="0.25">
      <c r="A447" s="5">
        <v>4</v>
      </c>
      <c r="B447" s="6">
        <v>11001002005</v>
      </c>
      <c r="C447" s="5" t="s">
        <v>296</v>
      </c>
      <c r="D447" s="5">
        <v>179.24</v>
      </c>
      <c r="E447" s="5" t="s">
        <v>11</v>
      </c>
      <c r="F447" s="7">
        <v>232058.44</v>
      </c>
      <c r="G447" s="5">
        <v>0</v>
      </c>
    </row>
    <row r="448" spans="1:7" s="5" customFormat="1" x14ac:dyDescent="0.25">
      <c r="A448" s="5">
        <v>4</v>
      </c>
      <c r="B448" s="6">
        <v>11001002006</v>
      </c>
      <c r="C448" s="5" t="s">
        <v>297</v>
      </c>
      <c r="D448" s="5">
        <v>491.95</v>
      </c>
      <c r="E448" s="5" t="s">
        <v>11</v>
      </c>
      <c r="F448" s="7">
        <v>76921.3</v>
      </c>
      <c r="G448" s="5">
        <v>0</v>
      </c>
    </row>
    <row r="449" spans="1:7" s="5" customFormat="1" x14ac:dyDescent="0.25">
      <c r="A449" s="5">
        <v>4</v>
      </c>
      <c r="B449" s="6">
        <v>11001002007</v>
      </c>
      <c r="C449" s="5" t="s">
        <v>298</v>
      </c>
      <c r="D449" s="5">
        <v>24</v>
      </c>
      <c r="E449" s="5" t="s">
        <v>11</v>
      </c>
      <c r="F449" s="7">
        <v>6983.77</v>
      </c>
      <c r="G449" s="5">
        <v>0</v>
      </c>
    </row>
    <row r="450" spans="1:7" s="5" customFormat="1" x14ac:dyDescent="0.25">
      <c r="A450" s="5">
        <v>4</v>
      </c>
      <c r="B450" s="6">
        <v>11001002008</v>
      </c>
      <c r="C450" s="5" t="s">
        <v>299</v>
      </c>
      <c r="D450" s="7">
        <v>2385.0500000000002</v>
      </c>
      <c r="E450" s="5" t="s">
        <v>11</v>
      </c>
      <c r="F450" s="7">
        <v>239029.71</v>
      </c>
      <c r="G450" s="5">
        <v>0</v>
      </c>
    </row>
    <row r="451" spans="1:7" s="5" customFormat="1" x14ac:dyDescent="0.25">
      <c r="A451" s="5">
        <v>4</v>
      </c>
      <c r="B451" s="6">
        <v>11001002009</v>
      </c>
      <c r="C451" s="5" t="s">
        <v>300</v>
      </c>
      <c r="D451" s="7">
        <v>3499.55</v>
      </c>
      <c r="E451" s="5" t="s">
        <v>23</v>
      </c>
      <c r="F451" s="7">
        <v>142886.63</v>
      </c>
      <c r="G451" s="5">
        <v>0</v>
      </c>
    </row>
    <row r="452" spans="1:7" s="5" customFormat="1" x14ac:dyDescent="0.25">
      <c r="A452" s="5">
        <v>4</v>
      </c>
      <c r="B452" s="6">
        <v>11001002010</v>
      </c>
      <c r="C452" s="5" t="s">
        <v>301</v>
      </c>
      <c r="D452" s="7">
        <v>1684.69</v>
      </c>
      <c r="E452" s="5" t="s">
        <v>23</v>
      </c>
      <c r="F452" s="7">
        <v>11869.48</v>
      </c>
      <c r="G452" s="5">
        <v>0</v>
      </c>
    </row>
    <row r="453" spans="1:7" s="5" customFormat="1" x14ac:dyDescent="0.25">
      <c r="A453" s="5">
        <v>3</v>
      </c>
      <c r="B453" s="6">
        <v>11001003</v>
      </c>
      <c r="C453" s="5" t="s">
        <v>302</v>
      </c>
    </row>
    <row r="454" spans="1:7" s="5" customFormat="1" x14ac:dyDescent="0.25">
      <c r="A454" s="5">
        <v>4</v>
      </c>
      <c r="B454" s="6">
        <v>11001003001</v>
      </c>
      <c r="C454" s="5" t="s">
        <v>303</v>
      </c>
      <c r="D454" s="5">
        <v>575.9</v>
      </c>
      <c r="E454" s="5" t="s">
        <v>23</v>
      </c>
      <c r="F454" s="7">
        <v>96950.29</v>
      </c>
      <c r="G454" s="5">
        <v>0</v>
      </c>
    </row>
    <row r="455" spans="1:7" s="5" customFormat="1" x14ac:dyDescent="0.25">
      <c r="A455" s="5">
        <v>4</v>
      </c>
      <c r="B455" s="6">
        <v>11001003002</v>
      </c>
      <c r="C455" s="5" t="s">
        <v>304</v>
      </c>
      <c r="D455" s="5">
        <v>311.08</v>
      </c>
      <c r="E455" s="5" t="s">
        <v>23</v>
      </c>
      <c r="F455" s="7">
        <v>120859.74</v>
      </c>
      <c r="G455" s="5">
        <v>0</v>
      </c>
    </row>
    <row r="456" spans="1:7" s="5" customFormat="1" x14ac:dyDescent="0.25">
      <c r="A456" s="5">
        <v>3</v>
      </c>
      <c r="B456" s="6">
        <v>11001004</v>
      </c>
      <c r="C456" s="5" t="s">
        <v>305</v>
      </c>
    </row>
    <row r="457" spans="1:7" s="5" customFormat="1" x14ac:dyDescent="0.25">
      <c r="A457" s="5">
        <v>4</v>
      </c>
      <c r="B457" s="6">
        <v>11001004001</v>
      </c>
      <c r="C457" s="5" t="s">
        <v>306</v>
      </c>
      <c r="D457" s="5">
        <v>575.9</v>
      </c>
      <c r="E457" s="5" t="s">
        <v>23</v>
      </c>
      <c r="F457" s="7">
        <v>32647.77</v>
      </c>
      <c r="G457" s="5">
        <v>0</v>
      </c>
    </row>
    <row r="458" spans="1:7" s="5" customFormat="1" x14ac:dyDescent="0.25">
      <c r="A458" s="5">
        <v>4</v>
      </c>
      <c r="B458" s="6">
        <v>11001004002</v>
      </c>
      <c r="C458" s="5" t="s">
        <v>307</v>
      </c>
      <c r="D458" s="5">
        <v>311.08</v>
      </c>
      <c r="E458" s="5" t="s">
        <v>23</v>
      </c>
      <c r="F458" s="7">
        <v>17635.13</v>
      </c>
      <c r="G458" s="5">
        <v>0</v>
      </c>
    </row>
    <row r="459" spans="1:7" s="5" customFormat="1" x14ac:dyDescent="0.25">
      <c r="A459" s="5">
        <v>3</v>
      </c>
      <c r="B459" s="6">
        <v>11001005</v>
      </c>
      <c r="C459" s="5" t="s">
        <v>308</v>
      </c>
    </row>
    <row r="460" spans="1:7" s="5" customFormat="1" x14ac:dyDescent="0.25">
      <c r="A460" s="5">
        <v>4</v>
      </c>
      <c r="B460" s="6">
        <v>11001005001</v>
      </c>
      <c r="C460" s="5" t="s">
        <v>309</v>
      </c>
      <c r="D460" s="5">
        <v>434.13</v>
      </c>
      <c r="E460" s="5" t="s">
        <v>11</v>
      </c>
      <c r="F460" s="7">
        <v>87514.96</v>
      </c>
      <c r="G460" s="5">
        <v>0</v>
      </c>
    </row>
    <row r="461" spans="1:7" s="5" customFormat="1" x14ac:dyDescent="0.25">
      <c r="A461" s="5">
        <v>3</v>
      </c>
      <c r="B461" s="6">
        <v>11001006</v>
      </c>
      <c r="C461" s="5" t="s">
        <v>310</v>
      </c>
    </row>
    <row r="462" spans="1:7" s="5" customFormat="1" x14ac:dyDescent="0.25">
      <c r="A462" s="5">
        <v>4</v>
      </c>
      <c r="B462" s="6">
        <v>11001006001</v>
      </c>
      <c r="C462" s="5" t="s">
        <v>297</v>
      </c>
      <c r="D462" s="5">
        <v>434.13</v>
      </c>
      <c r="E462" s="5" t="s">
        <v>11</v>
      </c>
      <c r="F462" s="7">
        <v>67880.570000000007</v>
      </c>
      <c r="G462" s="5">
        <v>0</v>
      </c>
    </row>
    <row r="463" spans="1:7" s="5" customFormat="1" x14ac:dyDescent="0.25">
      <c r="A463" s="5">
        <v>3</v>
      </c>
      <c r="B463" s="6">
        <v>11001007</v>
      </c>
      <c r="C463" s="5" t="s">
        <v>311</v>
      </c>
    </row>
    <row r="464" spans="1:7" s="5" customFormat="1" x14ac:dyDescent="0.25">
      <c r="A464" s="5">
        <v>4</v>
      </c>
      <c r="B464" s="6">
        <v>11001007001</v>
      </c>
      <c r="C464" s="5" t="s">
        <v>312</v>
      </c>
      <c r="D464" s="5">
        <v>972.72</v>
      </c>
      <c r="E464" s="5" t="s">
        <v>11</v>
      </c>
      <c r="F464" s="7">
        <v>117252.84</v>
      </c>
      <c r="G464" s="5">
        <v>0</v>
      </c>
    </row>
    <row r="465" spans="1:7" s="5" customFormat="1" x14ac:dyDescent="0.25">
      <c r="A465" s="5">
        <v>4</v>
      </c>
      <c r="B465" s="6">
        <v>11001007002</v>
      </c>
      <c r="C465" s="5" t="s">
        <v>313</v>
      </c>
      <c r="D465" s="7">
        <v>1286.1099999999999</v>
      </c>
      <c r="E465" s="5" t="s">
        <v>11</v>
      </c>
      <c r="F465" s="7">
        <v>437791.84</v>
      </c>
      <c r="G465" s="5">
        <v>0</v>
      </c>
    </row>
    <row r="466" spans="1:7" s="5" customFormat="1" x14ac:dyDescent="0.25">
      <c r="A466" s="5">
        <v>4</v>
      </c>
      <c r="B466" s="6">
        <v>11001007003</v>
      </c>
      <c r="C466" s="5" t="s">
        <v>314</v>
      </c>
      <c r="D466" s="7">
        <v>1286.1099999999999</v>
      </c>
      <c r="E466" s="5" t="s">
        <v>11</v>
      </c>
      <c r="F466" s="7">
        <v>263076.37</v>
      </c>
      <c r="G466" s="5">
        <v>0</v>
      </c>
    </row>
    <row r="467" spans="1:7" s="5" customFormat="1" x14ac:dyDescent="0.25">
      <c r="A467" s="5">
        <v>3</v>
      </c>
      <c r="B467" s="6">
        <v>11001008</v>
      </c>
      <c r="C467" s="5" t="s">
        <v>315</v>
      </c>
    </row>
    <row r="468" spans="1:7" s="5" customFormat="1" x14ac:dyDescent="0.25">
      <c r="A468" s="5">
        <v>4</v>
      </c>
      <c r="B468" s="6">
        <v>11001008001</v>
      </c>
      <c r="C468" s="5" t="s">
        <v>316</v>
      </c>
      <c r="D468" s="7">
        <v>1286.1099999999999</v>
      </c>
      <c r="E468" s="5" t="s">
        <v>11</v>
      </c>
      <c r="F468" s="7">
        <v>394614.56</v>
      </c>
      <c r="G468" s="5">
        <v>0</v>
      </c>
    </row>
    <row r="469" spans="1:7" s="5" customFormat="1" x14ac:dyDescent="0.25">
      <c r="A469" s="5">
        <v>4</v>
      </c>
      <c r="B469" s="6">
        <v>11001008002</v>
      </c>
      <c r="C469" s="5" t="s">
        <v>293</v>
      </c>
      <c r="D469" s="5">
        <v>972.72</v>
      </c>
      <c r="E469" s="5" t="s">
        <v>11</v>
      </c>
      <c r="F469" s="7">
        <v>59365.1</v>
      </c>
      <c r="G469" s="5">
        <v>0</v>
      </c>
    </row>
    <row r="470" spans="1:7" s="5" customFormat="1" x14ac:dyDescent="0.25">
      <c r="A470" s="5">
        <v>2</v>
      </c>
      <c r="B470" s="6">
        <v>11002</v>
      </c>
      <c r="C470" s="5" t="s">
        <v>317</v>
      </c>
    </row>
    <row r="471" spans="1:7" s="5" customFormat="1" x14ac:dyDescent="0.25">
      <c r="A471" s="5">
        <v>3</v>
      </c>
      <c r="B471" s="6">
        <v>11002001</v>
      </c>
      <c r="C471" s="5" t="s">
        <v>277</v>
      </c>
    </row>
    <row r="472" spans="1:7" s="5" customFormat="1" x14ac:dyDescent="0.25">
      <c r="A472" s="5">
        <v>4</v>
      </c>
      <c r="B472" s="6">
        <v>11002001001</v>
      </c>
      <c r="C472" s="5" t="s">
        <v>280</v>
      </c>
      <c r="D472" s="5">
        <v>997.4</v>
      </c>
      <c r="E472" s="5" t="s">
        <v>11</v>
      </c>
      <c r="F472" s="7">
        <v>100562.86</v>
      </c>
      <c r="G472" s="5">
        <v>0</v>
      </c>
    </row>
    <row r="473" spans="1:7" s="5" customFormat="1" x14ac:dyDescent="0.25">
      <c r="A473" s="5">
        <v>4</v>
      </c>
      <c r="B473" s="6">
        <v>11002001002</v>
      </c>
      <c r="C473" s="5" t="s">
        <v>284</v>
      </c>
      <c r="D473" s="5">
        <v>997.4</v>
      </c>
      <c r="E473" s="5" t="s">
        <v>11</v>
      </c>
      <c r="F473" s="7">
        <v>29961.9</v>
      </c>
      <c r="G473" s="5">
        <v>0</v>
      </c>
    </row>
    <row r="474" spans="1:7" s="5" customFormat="1" x14ac:dyDescent="0.25">
      <c r="A474" s="5">
        <v>4</v>
      </c>
      <c r="B474" s="6">
        <v>11002001003</v>
      </c>
      <c r="C474" s="5" t="s">
        <v>287</v>
      </c>
      <c r="D474" s="5">
        <v>97.04</v>
      </c>
      <c r="E474" s="5" t="s">
        <v>11</v>
      </c>
      <c r="F474" s="7">
        <v>64700.74</v>
      </c>
      <c r="G474" s="5">
        <v>0</v>
      </c>
    </row>
    <row r="475" spans="1:7" s="5" customFormat="1" x14ac:dyDescent="0.25">
      <c r="A475" s="5">
        <v>4</v>
      </c>
      <c r="B475" s="6">
        <v>11002001004</v>
      </c>
      <c r="C475" s="5" t="s">
        <v>288</v>
      </c>
      <c r="D475" s="7">
        <v>1160.7</v>
      </c>
      <c r="E475" s="5" t="s">
        <v>23</v>
      </c>
      <c r="F475" s="7">
        <v>22654.89</v>
      </c>
      <c r="G475" s="5">
        <v>0</v>
      </c>
    </row>
    <row r="476" spans="1:7" s="5" customFormat="1" x14ac:dyDescent="0.25">
      <c r="A476" s="5">
        <v>3</v>
      </c>
      <c r="B476" s="6">
        <v>11002002</v>
      </c>
      <c r="C476" s="5" t="s">
        <v>291</v>
      </c>
    </row>
    <row r="477" spans="1:7" s="5" customFormat="1" x14ac:dyDescent="0.25">
      <c r="A477" s="5">
        <v>4</v>
      </c>
      <c r="B477" s="6">
        <v>11002002001</v>
      </c>
      <c r="C477" s="5" t="s">
        <v>293</v>
      </c>
      <c r="D477" s="5">
        <v>997.4</v>
      </c>
      <c r="E477" s="5" t="s">
        <v>11</v>
      </c>
      <c r="F477" s="7">
        <v>60871.32</v>
      </c>
      <c r="G477" s="5">
        <v>0</v>
      </c>
    </row>
    <row r="478" spans="1:7" s="5" customFormat="1" x14ac:dyDescent="0.25">
      <c r="A478" s="5">
        <v>4</v>
      </c>
      <c r="B478" s="6">
        <v>11002002002</v>
      </c>
      <c r="C478" s="5" t="s">
        <v>299</v>
      </c>
      <c r="D478" s="5">
        <v>97.04</v>
      </c>
      <c r="E478" s="5" t="s">
        <v>11</v>
      </c>
      <c r="F478" s="7">
        <v>9725.35</v>
      </c>
      <c r="G478" s="5">
        <v>0</v>
      </c>
    </row>
    <row r="479" spans="1:7" s="5" customFormat="1" x14ac:dyDescent="0.25">
      <c r="A479" s="5">
        <v>4</v>
      </c>
      <c r="B479" s="6">
        <v>11002002003</v>
      </c>
      <c r="C479" s="5" t="s">
        <v>300</v>
      </c>
      <c r="D479" s="7">
        <v>1160.7</v>
      </c>
      <c r="E479" s="5" t="s">
        <v>23</v>
      </c>
      <c r="F479" s="7">
        <v>47391.38</v>
      </c>
      <c r="G479" s="5">
        <v>0</v>
      </c>
    </row>
    <row r="480" spans="1:7" s="5" customFormat="1" x14ac:dyDescent="0.25">
      <c r="A480" s="5">
        <v>3</v>
      </c>
      <c r="B480" s="6">
        <v>11002003</v>
      </c>
      <c r="C480" s="5" t="s">
        <v>302</v>
      </c>
    </row>
    <row r="481" spans="1:7" s="5" customFormat="1" x14ac:dyDescent="0.25">
      <c r="A481" s="5">
        <v>4</v>
      </c>
      <c r="B481" s="6">
        <v>11002003001</v>
      </c>
      <c r="C481" s="5" t="s">
        <v>303</v>
      </c>
      <c r="D481" s="5">
        <v>189.38</v>
      </c>
      <c r="E481" s="5" t="s">
        <v>23</v>
      </c>
      <c r="F481" s="7">
        <v>31881.31</v>
      </c>
      <c r="G481" s="5">
        <v>0</v>
      </c>
    </row>
    <row r="482" spans="1:7" s="5" customFormat="1" x14ac:dyDescent="0.25">
      <c r="A482" s="5">
        <v>3</v>
      </c>
      <c r="B482" s="6">
        <v>11002004</v>
      </c>
      <c r="C482" s="5" t="s">
        <v>305</v>
      </c>
    </row>
    <row r="483" spans="1:7" s="5" customFormat="1" x14ac:dyDescent="0.25">
      <c r="A483" s="5">
        <v>4</v>
      </c>
      <c r="B483" s="6">
        <v>11002004001</v>
      </c>
      <c r="C483" s="5" t="s">
        <v>306</v>
      </c>
      <c r="D483" s="5">
        <v>189.38</v>
      </c>
      <c r="E483" s="5" t="s">
        <v>23</v>
      </c>
      <c r="F483" s="7">
        <v>10735.95</v>
      </c>
      <c r="G483" s="5">
        <v>0</v>
      </c>
    </row>
    <row r="484" spans="1:7" s="5" customFormat="1" x14ac:dyDescent="0.25">
      <c r="A484" s="5">
        <v>3</v>
      </c>
      <c r="B484" s="6">
        <v>11002005</v>
      </c>
      <c r="C484" s="5" t="s">
        <v>311</v>
      </c>
    </row>
    <row r="485" spans="1:7" s="5" customFormat="1" x14ac:dyDescent="0.25">
      <c r="A485" s="5">
        <v>4</v>
      </c>
      <c r="B485" s="6">
        <v>11002005001</v>
      </c>
      <c r="C485" s="5" t="s">
        <v>313</v>
      </c>
      <c r="D485" s="7">
        <v>3645.63</v>
      </c>
      <c r="E485" s="5" t="s">
        <v>11</v>
      </c>
      <c r="F485" s="7">
        <v>1240972.45</v>
      </c>
      <c r="G485" s="5">
        <v>0</v>
      </c>
    </row>
    <row r="486" spans="1:7" s="5" customFormat="1" x14ac:dyDescent="0.25">
      <c r="A486" s="5">
        <v>4</v>
      </c>
      <c r="B486" s="6">
        <v>11002005002</v>
      </c>
      <c r="C486" s="5" t="s">
        <v>314</v>
      </c>
      <c r="D486" s="7">
        <v>3645.63</v>
      </c>
      <c r="E486" s="5" t="s">
        <v>11</v>
      </c>
      <c r="F486" s="7">
        <v>745720.91</v>
      </c>
      <c r="G486" s="5">
        <v>0</v>
      </c>
    </row>
    <row r="487" spans="1:7" s="5" customFormat="1" x14ac:dyDescent="0.25">
      <c r="A487" s="5">
        <v>3</v>
      </c>
      <c r="B487" s="6">
        <v>11002006</v>
      </c>
      <c r="C487" s="5" t="s">
        <v>315</v>
      </c>
    </row>
    <row r="488" spans="1:7" s="5" customFormat="1" x14ac:dyDescent="0.25">
      <c r="A488" s="5">
        <v>4</v>
      </c>
      <c r="B488" s="6">
        <v>11002006001</v>
      </c>
      <c r="C488" s="5" t="s">
        <v>316</v>
      </c>
      <c r="D488" s="7">
        <v>3645.63</v>
      </c>
      <c r="E488" s="5" t="s">
        <v>11</v>
      </c>
      <c r="F488" s="7">
        <v>1118581.3600000001</v>
      </c>
      <c r="G488" s="5">
        <v>0</v>
      </c>
    </row>
    <row r="489" spans="1:7" s="5" customFormat="1" x14ac:dyDescent="0.25">
      <c r="A489" s="5">
        <v>3</v>
      </c>
      <c r="B489" s="6">
        <v>11002007</v>
      </c>
      <c r="C489" s="5" t="s">
        <v>318</v>
      </c>
    </row>
    <row r="490" spans="1:7" s="5" customFormat="1" x14ac:dyDescent="0.25">
      <c r="A490" s="5">
        <v>4</v>
      </c>
      <c r="B490" s="6">
        <v>11002007001</v>
      </c>
      <c r="C490" s="5" t="s">
        <v>319</v>
      </c>
      <c r="D490" s="7">
        <v>21565.51</v>
      </c>
      <c r="E490" s="5" t="s">
        <v>11</v>
      </c>
      <c r="F490" s="7">
        <v>2389674.16</v>
      </c>
      <c r="G490" s="5">
        <v>0</v>
      </c>
    </row>
    <row r="491" spans="1:7" s="5" customFormat="1" x14ac:dyDescent="0.25">
      <c r="A491" s="5">
        <v>4</v>
      </c>
      <c r="B491" s="6">
        <v>11002007002</v>
      </c>
      <c r="C491" s="5" t="s">
        <v>253</v>
      </c>
      <c r="D491" s="7">
        <v>4476.84</v>
      </c>
      <c r="E491" s="5" t="s">
        <v>23</v>
      </c>
      <c r="F491" s="7">
        <v>52004.32</v>
      </c>
      <c r="G491" s="5">
        <v>0</v>
      </c>
    </row>
    <row r="492" spans="1:7" s="5" customFormat="1" x14ac:dyDescent="0.25">
      <c r="A492" s="5">
        <v>4</v>
      </c>
      <c r="B492" s="6">
        <v>11002007003</v>
      </c>
      <c r="C492" s="5" t="s">
        <v>320</v>
      </c>
      <c r="D492" s="7">
        <v>11328.39</v>
      </c>
      <c r="E492" s="5" t="s">
        <v>23</v>
      </c>
      <c r="F492" s="7">
        <v>159843.63</v>
      </c>
      <c r="G492" s="5">
        <v>0</v>
      </c>
    </row>
    <row r="493" spans="1:7" s="5" customFormat="1" x14ac:dyDescent="0.25">
      <c r="A493" s="5">
        <v>4</v>
      </c>
      <c r="B493" s="6">
        <v>11002007004</v>
      </c>
      <c r="C493" s="5" t="s">
        <v>321</v>
      </c>
      <c r="D493" s="7">
        <v>2765.01</v>
      </c>
      <c r="E493" s="5" t="s">
        <v>11</v>
      </c>
      <c r="F493" s="7">
        <v>371738.17</v>
      </c>
      <c r="G493" s="5">
        <v>0</v>
      </c>
    </row>
    <row r="494" spans="1:7" s="5" customFormat="1" x14ac:dyDescent="0.25">
      <c r="A494" s="5">
        <v>4</v>
      </c>
      <c r="B494" s="6">
        <v>11002007005</v>
      </c>
      <c r="C494" s="5" t="s">
        <v>322</v>
      </c>
      <c r="D494" s="5">
        <v>786.24</v>
      </c>
      <c r="E494" s="5" t="s">
        <v>23</v>
      </c>
      <c r="F494" s="7">
        <v>6278.13</v>
      </c>
      <c r="G494" s="5">
        <v>0</v>
      </c>
    </row>
    <row r="495" spans="1:7" s="5" customFormat="1" x14ac:dyDescent="0.25">
      <c r="A495" s="5">
        <v>3</v>
      </c>
      <c r="B495" s="6">
        <v>11002008</v>
      </c>
      <c r="C495" s="5" t="s">
        <v>323</v>
      </c>
    </row>
    <row r="496" spans="1:7" s="5" customFormat="1" x14ac:dyDescent="0.25">
      <c r="A496" s="5">
        <v>4</v>
      </c>
      <c r="B496" s="6">
        <v>11002008001</v>
      </c>
      <c r="C496" s="5" t="s">
        <v>324</v>
      </c>
      <c r="D496" s="7">
        <v>21565.51</v>
      </c>
      <c r="E496" s="5" t="s">
        <v>11</v>
      </c>
      <c r="F496" s="7">
        <v>378259.05</v>
      </c>
      <c r="G496" s="5">
        <v>0</v>
      </c>
    </row>
    <row r="497" spans="1:7" s="5" customFormat="1" x14ac:dyDescent="0.25">
      <c r="A497" s="5">
        <v>4</v>
      </c>
      <c r="B497" s="6">
        <v>11002008002</v>
      </c>
      <c r="C497" s="5" t="s">
        <v>325</v>
      </c>
      <c r="D497" s="7">
        <v>21565.51</v>
      </c>
      <c r="E497" s="5" t="s">
        <v>11</v>
      </c>
      <c r="F497" s="7">
        <v>1024146.07</v>
      </c>
      <c r="G497" s="5">
        <v>0</v>
      </c>
    </row>
    <row r="498" spans="1:7" s="5" customFormat="1" x14ac:dyDescent="0.25">
      <c r="A498" s="5">
        <v>4</v>
      </c>
      <c r="B498" s="6">
        <v>11002008003</v>
      </c>
      <c r="C498" s="5" t="s">
        <v>326</v>
      </c>
      <c r="D498" s="7">
        <v>4476.84</v>
      </c>
      <c r="E498" s="5" t="s">
        <v>23</v>
      </c>
      <c r="F498" s="7">
        <v>52110.42</v>
      </c>
      <c r="G498" s="5">
        <v>0</v>
      </c>
    </row>
    <row r="499" spans="1:7" s="5" customFormat="1" x14ac:dyDescent="0.25">
      <c r="A499" s="5">
        <v>4</v>
      </c>
      <c r="B499" s="6">
        <v>11002008004</v>
      </c>
      <c r="C499" s="5" t="s">
        <v>327</v>
      </c>
      <c r="D499" s="7">
        <v>2765.01</v>
      </c>
      <c r="E499" s="5" t="s">
        <v>11</v>
      </c>
      <c r="F499" s="7">
        <v>348944.26</v>
      </c>
      <c r="G499" s="5">
        <v>0</v>
      </c>
    </row>
    <row r="500" spans="1:7" s="5" customFormat="1" x14ac:dyDescent="0.25">
      <c r="A500" s="5">
        <v>4</v>
      </c>
      <c r="B500" s="6">
        <v>11002008005</v>
      </c>
      <c r="C500" s="5" t="s">
        <v>300</v>
      </c>
      <c r="D500" s="5">
        <v>786.24</v>
      </c>
      <c r="E500" s="5" t="s">
        <v>23</v>
      </c>
      <c r="F500" s="7">
        <v>32102.18</v>
      </c>
      <c r="G500" s="5">
        <v>0</v>
      </c>
    </row>
    <row r="501" spans="1:7" s="5" customFormat="1" x14ac:dyDescent="0.25">
      <c r="A501" s="5">
        <v>3</v>
      </c>
      <c r="B501" s="6">
        <v>11002009</v>
      </c>
      <c r="C501" s="5" t="s">
        <v>328</v>
      </c>
    </row>
    <row r="502" spans="1:7" s="5" customFormat="1" x14ac:dyDescent="0.25">
      <c r="A502" s="5">
        <v>4</v>
      </c>
      <c r="B502" s="6">
        <v>11002009001</v>
      </c>
      <c r="C502" s="5" t="s">
        <v>329</v>
      </c>
      <c r="D502" s="7">
        <v>1087.51</v>
      </c>
      <c r="E502" s="5" t="s">
        <v>11</v>
      </c>
      <c r="F502" s="7">
        <v>177220.63</v>
      </c>
      <c r="G502" s="5">
        <v>0</v>
      </c>
    </row>
    <row r="503" spans="1:7" s="5" customFormat="1" x14ac:dyDescent="0.25">
      <c r="A503" s="5">
        <v>3</v>
      </c>
      <c r="B503" s="6">
        <v>11002010</v>
      </c>
      <c r="C503" s="5" t="s">
        <v>330</v>
      </c>
    </row>
    <row r="504" spans="1:7" s="5" customFormat="1" x14ac:dyDescent="0.25">
      <c r="A504" s="5">
        <v>4</v>
      </c>
      <c r="B504" s="6">
        <v>11002010001</v>
      </c>
      <c r="C504" s="5" t="s">
        <v>331</v>
      </c>
      <c r="D504" s="7">
        <v>1087.51</v>
      </c>
      <c r="E504" s="5" t="s">
        <v>11</v>
      </c>
      <c r="F504" s="7">
        <v>91470.47</v>
      </c>
      <c r="G504" s="5">
        <v>0</v>
      </c>
    </row>
    <row r="505" spans="1:7" s="5" customFormat="1" x14ac:dyDescent="0.25">
      <c r="A505" s="5">
        <v>2</v>
      </c>
      <c r="B505" s="6">
        <v>11003</v>
      </c>
      <c r="C505" s="5" t="s">
        <v>332</v>
      </c>
    </row>
    <row r="506" spans="1:7" s="5" customFormat="1" x14ac:dyDescent="0.25">
      <c r="A506" s="5">
        <v>3</v>
      </c>
      <c r="B506" s="6">
        <v>11003001</v>
      </c>
      <c r="C506" s="5" t="s">
        <v>277</v>
      </c>
    </row>
    <row r="507" spans="1:7" s="5" customFormat="1" x14ac:dyDescent="0.25">
      <c r="A507" s="5">
        <v>4</v>
      </c>
      <c r="B507" s="6">
        <v>11003001001</v>
      </c>
      <c r="C507" s="5" t="s">
        <v>333</v>
      </c>
      <c r="D507" s="7">
        <v>20402.66</v>
      </c>
      <c r="E507" s="5" t="s">
        <v>11</v>
      </c>
      <c r="F507" s="7">
        <v>3019842.59</v>
      </c>
      <c r="G507" s="5">
        <v>0</v>
      </c>
    </row>
    <row r="508" spans="1:7" s="5" customFormat="1" x14ac:dyDescent="0.25">
      <c r="A508" s="5">
        <v>4</v>
      </c>
      <c r="B508" s="6">
        <v>11003001002</v>
      </c>
      <c r="C508" s="5" t="s">
        <v>281</v>
      </c>
      <c r="D508" s="7">
        <v>51206.38</v>
      </c>
      <c r="E508" s="5" t="s">
        <v>11</v>
      </c>
      <c r="F508" s="7">
        <v>9758932.3800000008</v>
      </c>
      <c r="G508" s="5">
        <v>0</v>
      </c>
    </row>
    <row r="509" spans="1:7" s="5" customFormat="1" x14ac:dyDescent="0.25">
      <c r="A509" s="5">
        <v>4</v>
      </c>
      <c r="B509" s="6">
        <v>11003001003</v>
      </c>
      <c r="C509" s="5" t="s">
        <v>334</v>
      </c>
      <c r="D509" s="7">
        <v>71673.039999999994</v>
      </c>
      <c r="E509" s="5" t="s">
        <v>11</v>
      </c>
      <c r="F509" s="7">
        <v>262638.69</v>
      </c>
      <c r="G509" s="5">
        <v>0</v>
      </c>
    </row>
    <row r="510" spans="1:7" s="5" customFormat="1" x14ac:dyDescent="0.25">
      <c r="A510" s="5">
        <v>4</v>
      </c>
      <c r="B510" s="6">
        <v>11003001004</v>
      </c>
      <c r="C510" s="5" t="s">
        <v>335</v>
      </c>
      <c r="D510" s="5">
        <v>64</v>
      </c>
      <c r="E510" s="5" t="s">
        <v>11</v>
      </c>
      <c r="F510" s="7">
        <v>206297.82</v>
      </c>
      <c r="G510" s="5">
        <v>0</v>
      </c>
    </row>
    <row r="511" spans="1:7" s="5" customFormat="1" x14ac:dyDescent="0.25">
      <c r="A511" s="5">
        <v>4</v>
      </c>
      <c r="B511" s="6">
        <v>11003001005</v>
      </c>
      <c r="C511" s="5" t="s">
        <v>287</v>
      </c>
      <c r="D511" s="5">
        <v>637.44000000000005</v>
      </c>
      <c r="E511" s="5" t="s">
        <v>11</v>
      </c>
      <c r="F511" s="7">
        <v>425008.66</v>
      </c>
      <c r="G511" s="5">
        <v>0</v>
      </c>
    </row>
    <row r="512" spans="1:7" s="5" customFormat="1" x14ac:dyDescent="0.25">
      <c r="A512" s="5">
        <v>4</v>
      </c>
      <c r="B512" s="6">
        <v>11003001006</v>
      </c>
      <c r="C512" s="5" t="s">
        <v>289</v>
      </c>
      <c r="D512" s="7">
        <v>10685.34</v>
      </c>
      <c r="E512" s="5" t="s">
        <v>23</v>
      </c>
      <c r="F512" s="7">
        <v>458920.22</v>
      </c>
      <c r="G512" s="5">
        <v>0</v>
      </c>
    </row>
    <row r="513" spans="1:7" s="5" customFormat="1" x14ac:dyDescent="0.25">
      <c r="A513" s="5">
        <v>4</v>
      </c>
      <c r="B513" s="6">
        <v>11003001007</v>
      </c>
      <c r="C513" s="5" t="s">
        <v>288</v>
      </c>
      <c r="D513" s="7">
        <v>2083.81</v>
      </c>
      <c r="E513" s="5" t="s">
        <v>23</v>
      </c>
      <c r="F513" s="7">
        <v>40672.43</v>
      </c>
      <c r="G513" s="5">
        <v>0</v>
      </c>
    </row>
    <row r="514" spans="1:7" s="5" customFormat="1" x14ac:dyDescent="0.25">
      <c r="A514" s="5">
        <v>4</v>
      </c>
      <c r="B514" s="6">
        <v>11003001008</v>
      </c>
      <c r="C514" s="5" t="s">
        <v>336</v>
      </c>
      <c r="D514" s="7">
        <v>12141.54</v>
      </c>
      <c r="E514" s="5" t="s">
        <v>23</v>
      </c>
      <c r="F514" s="7">
        <v>1035600.51</v>
      </c>
      <c r="G514" s="5">
        <v>0</v>
      </c>
    </row>
    <row r="515" spans="1:7" s="5" customFormat="1" x14ac:dyDescent="0.25">
      <c r="A515" s="5">
        <v>3</v>
      </c>
      <c r="B515" s="6">
        <v>11003002</v>
      </c>
      <c r="C515" s="5" t="s">
        <v>291</v>
      </c>
    </row>
    <row r="516" spans="1:7" s="5" customFormat="1" x14ac:dyDescent="0.25">
      <c r="A516" s="5">
        <v>4</v>
      </c>
      <c r="B516" s="6">
        <v>11003002001</v>
      </c>
      <c r="C516" s="5" t="s">
        <v>292</v>
      </c>
      <c r="D516" s="7">
        <v>20402.66</v>
      </c>
      <c r="E516" s="5" t="s">
        <v>11</v>
      </c>
      <c r="F516" s="7">
        <v>682060.92</v>
      </c>
      <c r="G516" s="5">
        <v>0</v>
      </c>
    </row>
    <row r="517" spans="1:7" s="5" customFormat="1" x14ac:dyDescent="0.25">
      <c r="A517" s="5">
        <v>4</v>
      </c>
      <c r="B517" s="6">
        <v>11003002002</v>
      </c>
      <c r="C517" s="5" t="s">
        <v>294</v>
      </c>
      <c r="D517" s="7">
        <v>51206.38</v>
      </c>
      <c r="E517" s="5" t="s">
        <v>11</v>
      </c>
      <c r="F517" s="7">
        <v>3606465.34</v>
      </c>
      <c r="G517" s="5">
        <v>0</v>
      </c>
    </row>
    <row r="518" spans="1:7" s="5" customFormat="1" x14ac:dyDescent="0.25">
      <c r="A518" s="5">
        <v>4</v>
      </c>
      <c r="B518" s="6">
        <v>11003002003</v>
      </c>
      <c r="C518" s="5" t="s">
        <v>298</v>
      </c>
      <c r="D518" s="5">
        <v>64</v>
      </c>
      <c r="E518" s="5" t="s">
        <v>11</v>
      </c>
      <c r="F518" s="7">
        <v>18623.39</v>
      </c>
      <c r="G518" s="5">
        <v>0</v>
      </c>
    </row>
    <row r="519" spans="1:7" s="5" customFormat="1" x14ac:dyDescent="0.25">
      <c r="A519" s="5">
        <v>4</v>
      </c>
      <c r="B519" s="6">
        <v>11003002004</v>
      </c>
      <c r="C519" s="5" t="s">
        <v>299</v>
      </c>
      <c r="D519" s="5">
        <v>637.44000000000005</v>
      </c>
      <c r="E519" s="5" t="s">
        <v>11</v>
      </c>
      <c r="F519" s="7">
        <v>63884.24</v>
      </c>
      <c r="G519" s="5">
        <v>0</v>
      </c>
    </row>
    <row r="520" spans="1:7" s="5" customFormat="1" x14ac:dyDescent="0.25">
      <c r="A520" s="5">
        <v>4</v>
      </c>
      <c r="B520" s="6">
        <v>11003002005</v>
      </c>
      <c r="C520" s="5" t="s">
        <v>300</v>
      </c>
      <c r="D520" s="7">
        <v>10654.64</v>
      </c>
      <c r="E520" s="5" t="s">
        <v>23</v>
      </c>
      <c r="F520" s="7">
        <v>435028.95</v>
      </c>
      <c r="G520" s="5">
        <v>0</v>
      </c>
    </row>
    <row r="521" spans="1:7" s="5" customFormat="1" x14ac:dyDescent="0.25">
      <c r="A521" s="5">
        <v>4</v>
      </c>
      <c r="B521" s="6">
        <v>11003002006</v>
      </c>
      <c r="C521" s="5" t="s">
        <v>337</v>
      </c>
      <c r="D521" s="7">
        <v>12141.54</v>
      </c>
      <c r="E521" s="5" t="s">
        <v>23</v>
      </c>
      <c r="F521" s="7">
        <v>164396.45000000001</v>
      </c>
      <c r="G521" s="5">
        <v>0</v>
      </c>
    </row>
    <row r="522" spans="1:7" s="5" customFormat="1" x14ac:dyDescent="0.25">
      <c r="A522" s="5">
        <v>3</v>
      </c>
      <c r="B522" s="6">
        <v>11003003</v>
      </c>
      <c r="C522" s="5" t="s">
        <v>302</v>
      </c>
    </row>
    <row r="523" spans="1:7" s="5" customFormat="1" x14ac:dyDescent="0.25">
      <c r="A523" s="5">
        <v>4</v>
      </c>
      <c r="B523" s="6">
        <v>11003003001</v>
      </c>
      <c r="C523" s="5" t="s">
        <v>338</v>
      </c>
      <c r="D523" s="7">
        <v>1416.8</v>
      </c>
      <c r="E523" s="5" t="s">
        <v>23</v>
      </c>
      <c r="F523" s="7">
        <v>50006.95</v>
      </c>
      <c r="G523" s="5">
        <v>0</v>
      </c>
    </row>
    <row r="524" spans="1:7" s="5" customFormat="1" x14ac:dyDescent="0.25">
      <c r="A524" s="5">
        <v>4</v>
      </c>
      <c r="B524" s="6">
        <v>11003003002</v>
      </c>
      <c r="C524" s="5" t="s">
        <v>303</v>
      </c>
      <c r="D524" s="5">
        <v>756.06</v>
      </c>
      <c r="E524" s="5" t="s">
        <v>23</v>
      </c>
      <c r="F524" s="7">
        <v>127279.45</v>
      </c>
      <c r="G524" s="5">
        <v>0</v>
      </c>
    </row>
    <row r="525" spans="1:7" s="5" customFormat="1" x14ac:dyDescent="0.25">
      <c r="A525" s="5">
        <v>4</v>
      </c>
      <c r="B525" s="6">
        <v>11003003003</v>
      </c>
      <c r="C525" s="5" t="s">
        <v>339</v>
      </c>
      <c r="D525" s="5">
        <v>347.27</v>
      </c>
      <c r="E525" s="5" t="s">
        <v>23</v>
      </c>
      <c r="F525" s="7">
        <v>68051.929999999993</v>
      </c>
      <c r="G525" s="5">
        <v>0</v>
      </c>
    </row>
    <row r="526" spans="1:7" s="5" customFormat="1" x14ac:dyDescent="0.25">
      <c r="A526" s="5">
        <v>3</v>
      </c>
      <c r="B526" s="6">
        <v>11003004</v>
      </c>
      <c r="C526" s="5" t="s">
        <v>305</v>
      </c>
    </row>
    <row r="527" spans="1:7" s="5" customFormat="1" x14ac:dyDescent="0.25">
      <c r="A527" s="5">
        <v>4</v>
      </c>
      <c r="B527" s="6">
        <v>11003004001</v>
      </c>
      <c r="C527" s="5" t="s">
        <v>306</v>
      </c>
      <c r="D527" s="7">
        <v>2172.86</v>
      </c>
      <c r="E527" s="5" t="s">
        <v>23</v>
      </c>
      <c r="F527" s="7">
        <v>123179.43</v>
      </c>
      <c r="G527" s="5">
        <v>0</v>
      </c>
    </row>
    <row r="528" spans="1:7" s="5" customFormat="1" x14ac:dyDescent="0.25">
      <c r="A528" s="5">
        <v>4</v>
      </c>
      <c r="B528" s="6">
        <v>11003004002</v>
      </c>
      <c r="C528" s="5" t="s">
        <v>307</v>
      </c>
      <c r="D528" s="5">
        <v>347.27</v>
      </c>
      <c r="E528" s="5" t="s">
        <v>23</v>
      </c>
      <c r="F528" s="7">
        <v>19686.740000000002</v>
      </c>
      <c r="G528" s="5">
        <v>0</v>
      </c>
    </row>
    <row r="529" spans="1:7" s="5" customFormat="1" x14ac:dyDescent="0.25">
      <c r="A529" s="5">
        <v>3</v>
      </c>
      <c r="B529" s="6">
        <v>11003005</v>
      </c>
      <c r="C529" s="5" t="s">
        <v>308</v>
      </c>
    </row>
    <row r="530" spans="1:7" s="5" customFormat="1" x14ac:dyDescent="0.25">
      <c r="A530" s="5">
        <v>4</v>
      </c>
      <c r="B530" s="6">
        <v>11003005001</v>
      </c>
      <c r="C530" s="5" t="s">
        <v>340</v>
      </c>
      <c r="D530" s="7">
        <v>44466.81</v>
      </c>
      <c r="E530" s="5" t="s">
        <v>11</v>
      </c>
      <c r="F530" s="7">
        <v>6677465.2400000002</v>
      </c>
      <c r="G530" s="5">
        <v>0</v>
      </c>
    </row>
    <row r="531" spans="1:7" s="5" customFormat="1" x14ac:dyDescent="0.25">
      <c r="A531" s="5">
        <v>4</v>
      </c>
      <c r="B531" s="6">
        <v>11003005002</v>
      </c>
      <c r="C531" s="5" t="s">
        <v>341</v>
      </c>
      <c r="D531" s="7">
        <v>1906.08</v>
      </c>
      <c r="E531" s="5" t="s">
        <v>23</v>
      </c>
      <c r="F531" s="7">
        <v>228984.82</v>
      </c>
      <c r="G531" s="5">
        <v>0</v>
      </c>
    </row>
    <row r="532" spans="1:7" s="5" customFormat="1" x14ac:dyDescent="0.25">
      <c r="A532" s="5">
        <v>3</v>
      </c>
      <c r="B532" s="6">
        <v>11003006</v>
      </c>
      <c r="C532" s="5" t="s">
        <v>310</v>
      </c>
    </row>
    <row r="533" spans="1:7" s="5" customFormat="1" x14ac:dyDescent="0.25">
      <c r="A533" s="5">
        <v>4</v>
      </c>
      <c r="B533" s="6">
        <v>11003006001</v>
      </c>
      <c r="C533" s="5" t="s">
        <v>293</v>
      </c>
      <c r="D533" s="7">
        <v>44466.81</v>
      </c>
      <c r="E533" s="5" t="s">
        <v>11</v>
      </c>
      <c r="F533" s="7">
        <v>2713809.41</v>
      </c>
      <c r="G533" s="5">
        <v>0</v>
      </c>
    </row>
    <row r="534" spans="1:7" s="5" customFormat="1" x14ac:dyDescent="0.25">
      <c r="A534" s="5">
        <v>4</v>
      </c>
      <c r="B534" s="6">
        <v>11003006002</v>
      </c>
      <c r="C534" s="5" t="s">
        <v>342</v>
      </c>
      <c r="D534" s="7">
        <v>1906.08</v>
      </c>
      <c r="E534" s="5" t="s">
        <v>23</v>
      </c>
      <c r="F534" s="7">
        <v>167601.60999999999</v>
      </c>
      <c r="G534" s="5">
        <v>0</v>
      </c>
    </row>
    <row r="535" spans="1:7" s="5" customFormat="1" x14ac:dyDescent="0.25">
      <c r="A535" s="5">
        <v>2</v>
      </c>
      <c r="B535" s="6">
        <v>11004</v>
      </c>
      <c r="C535" s="5" t="s">
        <v>343</v>
      </c>
    </row>
    <row r="536" spans="1:7" s="5" customFormat="1" x14ac:dyDescent="0.25">
      <c r="A536" s="5">
        <v>3</v>
      </c>
      <c r="B536" s="6">
        <v>11004001</v>
      </c>
      <c r="C536" s="5" t="s">
        <v>277</v>
      </c>
    </row>
    <row r="537" spans="1:7" s="5" customFormat="1" x14ac:dyDescent="0.25">
      <c r="A537" s="5">
        <v>4</v>
      </c>
      <c r="B537" s="6">
        <v>11004001001</v>
      </c>
      <c r="C537" s="5" t="s">
        <v>280</v>
      </c>
      <c r="D537" s="7">
        <v>2983.15</v>
      </c>
      <c r="E537" s="5" t="s">
        <v>11</v>
      </c>
      <c r="F537" s="7">
        <v>300776.09999999998</v>
      </c>
      <c r="G537" s="5">
        <v>0</v>
      </c>
    </row>
    <row r="538" spans="1:7" s="5" customFormat="1" x14ac:dyDescent="0.25">
      <c r="A538" s="5">
        <v>4</v>
      </c>
      <c r="B538" s="6">
        <v>11004001002</v>
      </c>
      <c r="C538" s="5" t="s">
        <v>334</v>
      </c>
      <c r="D538" s="7">
        <v>2983.15</v>
      </c>
      <c r="E538" s="5" t="s">
        <v>11</v>
      </c>
      <c r="F538" s="7">
        <v>10931.45</v>
      </c>
      <c r="G538" s="5">
        <v>0</v>
      </c>
    </row>
    <row r="539" spans="1:7" s="5" customFormat="1" x14ac:dyDescent="0.25">
      <c r="A539" s="5">
        <v>4</v>
      </c>
      <c r="B539" s="6">
        <v>11004001003</v>
      </c>
      <c r="C539" s="5" t="s">
        <v>288</v>
      </c>
      <c r="D539" s="7">
        <v>1459.46</v>
      </c>
      <c r="E539" s="5" t="s">
        <v>23</v>
      </c>
      <c r="F539" s="7">
        <v>28486.18</v>
      </c>
      <c r="G539" s="5">
        <v>0</v>
      </c>
    </row>
    <row r="540" spans="1:7" s="5" customFormat="1" x14ac:dyDescent="0.25">
      <c r="A540" s="5">
        <v>3</v>
      </c>
      <c r="B540" s="6">
        <v>11004002</v>
      </c>
      <c r="C540" s="5" t="s">
        <v>291</v>
      </c>
    </row>
    <row r="541" spans="1:7" s="5" customFormat="1" x14ac:dyDescent="0.25">
      <c r="A541" s="5">
        <v>4</v>
      </c>
      <c r="B541" s="6">
        <v>11004002001</v>
      </c>
      <c r="C541" s="5" t="s">
        <v>293</v>
      </c>
      <c r="D541" s="7">
        <v>2983.15</v>
      </c>
      <c r="E541" s="5" t="s">
        <v>11</v>
      </c>
      <c r="F541" s="7">
        <v>182061.64</v>
      </c>
      <c r="G541" s="5">
        <v>0</v>
      </c>
    </row>
    <row r="542" spans="1:7" s="5" customFormat="1" x14ac:dyDescent="0.25">
      <c r="A542" s="5">
        <v>4</v>
      </c>
      <c r="B542" s="6">
        <v>11004002002</v>
      </c>
      <c r="C542" s="5" t="s">
        <v>300</v>
      </c>
      <c r="D542" s="7">
        <v>1459.46</v>
      </c>
      <c r="E542" s="5" t="s">
        <v>23</v>
      </c>
      <c r="F542" s="7">
        <v>59589.75</v>
      </c>
      <c r="G542" s="5">
        <v>0</v>
      </c>
    </row>
    <row r="543" spans="1:7" s="5" customFormat="1" x14ac:dyDescent="0.25">
      <c r="A543" s="5">
        <v>1</v>
      </c>
      <c r="B543" s="5">
        <v>12</v>
      </c>
      <c r="C543" s="5" t="s">
        <v>344</v>
      </c>
    </row>
    <row r="544" spans="1:7" s="5" customFormat="1" x14ac:dyDescent="0.25">
      <c r="A544" s="5">
        <v>2</v>
      </c>
      <c r="B544" s="6">
        <v>12001</v>
      </c>
      <c r="C544" s="5" t="s">
        <v>345</v>
      </c>
    </row>
    <row r="545" spans="1:7" s="5" customFormat="1" x14ac:dyDescent="0.25">
      <c r="A545" s="5">
        <v>3</v>
      </c>
      <c r="B545" s="6">
        <v>12001001</v>
      </c>
      <c r="C545" s="5" t="s">
        <v>346</v>
      </c>
    </row>
    <row r="546" spans="1:7" s="5" customFormat="1" x14ac:dyDescent="0.25">
      <c r="A546" s="5">
        <v>4</v>
      </c>
      <c r="B546" s="6">
        <v>12001001001</v>
      </c>
      <c r="C546" s="5" t="s">
        <v>347</v>
      </c>
      <c r="D546" s="7">
        <v>3065.32</v>
      </c>
      <c r="E546" s="5" t="s">
        <v>11</v>
      </c>
      <c r="F546" s="7">
        <v>7137825.9900000002</v>
      </c>
      <c r="G546" s="5">
        <v>0</v>
      </c>
    </row>
    <row r="547" spans="1:7" s="5" customFormat="1" x14ac:dyDescent="0.25">
      <c r="A547" s="5">
        <v>4</v>
      </c>
      <c r="B547" s="6">
        <v>12001001002</v>
      </c>
      <c r="C547" s="5" t="s">
        <v>348</v>
      </c>
      <c r="D547" s="7">
        <v>56033.69</v>
      </c>
      <c r="E547" s="5" t="s">
        <v>11</v>
      </c>
      <c r="F547" s="7">
        <v>130478621.67</v>
      </c>
      <c r="G547" s="5">
        <v>0</v>
      </c>
    </row>
    <row r="548" spans="1:7" s="5" customFormat="1" x14ac:dyDescent="0.25">
      <c r="A548" s="5">
        <v>4</v>
      </c>
      <c r="B548" s="6">
        <v>12001001003</v>
      </c>
      <c r="C548" s="5" t="s">
        <v>349</v>
      </c>
      <c r="D548" s="7">
        <v>3198.02</v>
      </c>
      <c r="E548" s="5" t="s">
        <v>11</v>
      </c>
      <c r="F548" s="7">
        <v>6446234.5199999996</v>
      </c>
      <c r="G548" s="5">
        <v>0</v>
      </c>
    </row>
    <row r="549" spans="1:7" s="5" customFormat="1" x14ac:dyDescent="0.25">
      <c r="A549" s="5">
        <v>4</v>
      </c>
      <c r="B549" s="6">
        <v>12001001004</v>
      </c>
      <c r="C549" s="5" t="s">
        <v>350</v>
      </c>
      <c r="D549" s="5">
        <v>157.66</v>
      </c>
      <c r="E549" s="5" t="s">
        <v>11</v>
      </c>
      <c r="F549" s="7">
        <v>265409.89</v>
      </c>
      <c r="G549" s="5">
        <v>0</v>
      </c>
    </row>
    <row r="550" spans="1:7" s="5" customFormat="1" x14ac:dyDescent="0.25">
      <c r="A550" s="5">
        <v>4</v>
      </c>
      <c r="B550" s="6">
        <v>12001001005</v>
      </c>
      <c r="C550" s="5" t="s">
        <v>351</v>
      </c>
      <c r="D550" s="5">
        <v>1</v>
      </c>
      <c r="E550" s="5" t="s">
        <v>32</v>
      </c>
      <c r="F550" s="7">
        <v>15000</v>
      </c>
      <c r="G550" s="5">
        <v>0</v>
      </c>
    </row>
    <row r="551" spans="1:7" s="5" customFormat="1" x14ac:dyDescent="0.25">
      <c r="A551" s="5">
        <v>4</v>
      </c>
      <c r="B551" s="6">
        <v>12001001006</v>
      </c>
      <c r="C551" s="5" t="s">
        <v>352</v>
      </c>
      <c r="D551" s="5">
        <v>659.68</v>
      </c>
      <c r="E551" s="5" t="s">
        <v>11</v>
      </c>
      <c r="F551" s="7">
        <v>1372520.64</v>
      </c>
      <c r="G551" s="5">
        <v>0</v>
      </c>
    </row>
    <row r="552" spans="1:7" s="5" customFormat="1" x14ac:dyDescent="0.25">
      <c r="A552" s="5">
        <v>4</v>
      </c>
      <c r="B552" s="6">
        <v>12001001007</v>
      </c>
      <c r="C552" s="5" t="s">
        <v>353</v>
      </c>
      <c r="D552" s="5">
        <v>371.57</v>
      </c>
      <c r="E552" s="5" t="s">
        <v>11</v>
      </c>
      <c r="F552" s="7">
        <v>464462.5</v>
      </c>
      <c r="G552" s="5">
        <v>0</v>
      </c>
    </row>
    <row r="553" spans="1:7" s="5" customFormat="1" x14ac:dyDescent="0.25">
      <c r="A553" s="5">
        <v>4</v>
      </c>
      <c r="B553" s="6">
        <v>12001001008</v>
      </c>
      <c r="C553" s="5" t="s">
        <v>354</v>
      </c>
      <c r="D553" s="7">
        <v>1429.74</v>
      </c>
      <c r="E553" s="5" t="s">
        <v>11</v>
      </c>
      <c r="F553" s="7">
        <v>5120760.3600000003</v>
      </c>
      <c r="G553" s="5">
        <v>0</v>
      </c>
    </row>
    <row r="554" spans="1:7" s="5" customFormat="1" x14ac:dyDescent="0.25">
      <c r="A554" s="5">
        <v>4</v>
      </c>
      <c r="B554" s="6">
        <v>12001001009</v>
      </c>
      <c r="C554" s="5" t="s">
        <v>355</v>
      </c>
      <c r="D554" s="5">
        <v>409.24</v>
      </c>
      <c r="E554" s="5" t="s">
        <v>11</v>
      </c>
      <c r="F554" s="7">
        <v>560969.81999999995</v>
      </c>
      <c r="G554" s="5">
        <v>0</v>
      </c>
    </row>
    <row r="555" spans="1:7" s="5" customFormat="1" x14ac:dyDescent="0.25">
      <c r="A555" s="5">
        <v>4</v>
      </c>
      <c r="B555" s="6">
        <v>12001001010</v>
      </c>
      <c r="C555" s="5" t="s">
        <v>356</v>
      </c>
      <c r="D555" s="7">
        <v>2556.65</v>
      </c>
      <c r="E555" s="5" t="s">
        <v>11</v>
      </c>
      <c r="F555" s="7">
        <v>4569065.91</v>
      </c>
      <c r="G555" s="5">
        <v>0</v>
      </c>
    </row>
    <row r="556" spans="1:7" s="5" customFormat="1" x14ac:dyDescent="0.25">
      <c r="A556" s="5">
        <v>4</v>
      </c>
      <c r="B556" s="6">
        <v>12001001011</v>
      </c>
      <c r="C556" s="5" t="s">
        <v>357</v>
      </c>
      <c r="D556" s="5">
        <v>625.35</v>
      </c>
      <c r="E556" s="5" t="s">
        <v>11</v>
      </c>
      <c r="F556" s="7">
        <v>1436122.53</v>
      </c>
      <c r="G556" s="5">
        <v>0</v>
      </c>
    </row>
    <row r="557" spans="1:7" s="5" customFormat="1" x14ac:dyDescent="0.25">
      <c r="A557" s="5">
        <v>4</v>
      </c>
      <c r="B557" s="6">
        <v>12001001012</v>
      </c>
      <c r="C557" s="5" t="s">
        <v>358</v>
      </c>
      <c r="D557" s="5">
        <v>229</v>
      </c>
      <c r="E557" s="5" t="s">
        <v>32</v>
      </c>
      <c r="F557" s="7">
        <v>65313.09</v>
      </c>
      <c r="G557" s="5">
        <v>0</v>
      </c>
    </row>
    <row r="558" spans="1:7" s="5" customFormat="1" x14ac:dyDescent="0.25">
      <c r="A558" s="5">
        <v>3</v>
      </c>
      <c r="B558" s="6">
        <v>12001002</v>
      </c>
      <c r="C558" s="5" t="s">
        <v>346</v>
      </c>
    </row>
    <row r="559" spans="1:7" s="5" customFormat="1" x14ac:dyDescent="0.25">
      <c r="A559" s="5">
        <v>4</v>
      </c>
      <c r="B559" s="6">
        <v>12001002001</v>
      </c>
      <c r="C559" s="5" t="s">
        <v>359</v>
      </c>
      <c r="D559" s="7">
        <v>16172.38</v>
      </c>
      <c r="E559" s="5" t="s">
        <v>11</v>
      </c>
      <c r="F559" s="7">
        <v>19406851.199999999</v>
      </c>
      <c r="G559" s="5">
        <v>0</v>
      </c>
    </row>
    <row r="560" spans="1:7" s="5" customFormat="1" x14ac:dyDescent="0.25">
      <c r="A560" s="5">
        <v>2</v>
      </c>
      <c r="B560" s="6">
        <v>12002</v>
      </c>
      <c r="C560" s="5" t="s">
        <v>360</v>
      </c>
    </row>
    <row r="561" spans="1:7" s="5" customFormat="1" x14ac:dyDescent="0.25">
      <c r="A561" s="5">
        <v>3</v>
      </c>
      <c r="B561" s="6">
        <v>12002001</v>
      </c>
      <c r="C561" s="5" t="s">
        <v>361</v>
      </c>
    </row>
    <row r="562" spans="1:7" s="5" customFormat="1" x14ac:dyDescent="0.25">
      <c r="A562" s="5">
        <v>4</v>
      </c>
      <c r="B562" s="6">
        <v>12002001001</v>
      </c>
      <c r="C562" s="5" t="s">
        <v>362</v>
      </c>
      <c r="D562" s="5">
        <v>7</v>
      </c>
      <c r="E562" s="5" t="s">
        <v>32</v>
      </c>
      <c r="F562" s="7">
        <v>20757.169999999998</v>
      </c>
      <c r="G562" s="5">
        <v>0</v>
      </c>
    </row>
    <row r="563" spans="1:7" s="5" customFormat="1" x14ac:dyDescent="0.25">
      <c r="A563" s="5">
        <v>4</v>
      </c>
      <c r="B563" s="6">
        <v>12002001002</v>
      </c>
      <c r="C563" s="5" t="s">
        <v>363</v>
      </c>
      <c r="D563" s="5">
        <v>15</v>
      </c>
      <c r="E563" s="5" t="s">
        <v>32</v>
      </c>
      <c r="F563" s="7">
        <v>44285.1</v>
      </c>
      <c r="G563" s="5">
        <v>0</v>
      </c>
    </row>
    <row r="564" spans="1:7" s="5" customFormat="1" x14ac:dyDescent="0.25">
      <c r="A564" s="5">
        <v>4</v>
      </c>
      <c r="B564" s="6">
        <v>12002001003</v>
      </c>
      <c r="C564" s="5" t="s">
        <v>364</v>
      </c>
      <c r="D564" s="5">
        <v>4</v>
      </c>
      <c r="E564" s="5" t="s">
        <v>32</v>
      </c>
      <c r="F564" s="7">
        <v>11518.68</v>
      </c>
      <c r="G564" s="5">
        <v>0</v>
      </c>
    </row>
    <row r="565" spans="1:7" s="5" customFormat="1" x14ac:dyDescent="0.25">
      <c r="A565" s="5">
        <v>4</v>
      </c>
      <c r="B565" s="6">
        <v>12002001004</v>
      </c>
      <c r="C565" s="5" t="s">
        <v>365</v>
      </c>
      <c r="D565" s="5">
        <v>27</v>
      </c>
      <c r="E565" s="5" t="s">
        <v>32</v>
      </c>
      <c r="F565" s="7">
        <v>94856.4</v>
      </c>
      <c r="G565" s="5">
        <v>0</v>
      </c>
    </row>
    <row r="566" spans="1:7" s="5" customFormat="1" x14ac:dyDescent="0.25">
      <c r="A566" s="5">
        <v>4</v>
      </c>
      <c r="B566" s="6">
        <v>12002001005</v>
      </c>
      <c r="C566" s="5" t="s">
        <v>366</v>
      </c>
      <c r="D566" s="5">
        <v>10</v>
      </c>
      <c r="E566" s="5" t="s">
        <v>32</v>
      </c>
      <c r="F566" s="7">
        <v>34405.300000000003</v>
      </c>
      <c r="G566" s="5">
        <v>0</v>
      </c>
    </row>
    <row r="567" spans="1:7" s="5" customFormat="1" x14ac:dyDescent="0.25">
      <c r="A567" s="5">
        <v>3</v>
      </c>
      <c r="B567" s="6">
        <v>12002002</v>
      </c>
      <c r="C567" s="5" t="s">
        <v>367</v>
      </c>
    </row>
    <row r="568" spans="1:7" s="5" customFormat="1" x14ac:dyDescent="0.25">
      <c r="A568" s="5">
        <v>4</v>
      </c>
      <c r="B568" s="6">
        <v>12002002001</v>
      </c>
      <c r="C568" s="5" t="s">
        <v>368</v>
      </c>
      <c r="D568" s="5">
        <v>7</v>
      </c>
      <c r="E568" s="5" t="s">
        <v>32</v>
      </c>
      <c r="F568" s="7">
        <v>1540.7</v>
      </c>
      <c r="G568" s="5">
        <v>0</v>
      </c>
    </row>
    <row r="569" spans="1:7" s="5" customFormat="1" x14ac:dyDescent="0.25">
      <c r="A569" s="5">
        <v>4</v>
      </c>
      <c r="B569" s="6">
        <v>12002002002</v>
      </c>
      <c r="C569" s="5" t="s">
        <v>369</v>
      </c>
      <c r="D569" s="5">
        <v>19</v>
      </c>
      <c r="E569" s="5" t="s">
        <v>32</v>
      </c>
      <c r="F569" s="7">
        <v>4181.8999999999996</v>
      </c>
      <c r="G569" s="5">
        <v>0</v>
      </c>
    </row>
    <row r="570" spans="1:7" s="5" customFormat="1" x14ac:dyDescent="0.25">
      <c r="A570" s="5">
        <v>4</v>
      </c>
      <c r="B570" s="6">
        <v>12002002003</v>
      </c>
      <c r="C570" s="5" t="s">
        <v>370</v>
      </c>
      <c r="D570" s="5">
        <v>37</v>
      </c>
      <c r="E570" s="5" t="s">
        <v>32</v>
      </c>
      <c r="F570" s="7">
        <v>8143.7</v>
      </c>
      <c r="G570" s="5">
        <v>0</v>
      </c>
    </row>
    <row r="571" spans="1:7" s="5" customFormat="1" x14ac:dyDescent="0.25">
      <c r="A571" s="5">
        <v>3</v>
      </c>
      <c r="B571" s="6">
        <v>12002003</v>
      </c>
      <c r="C571" s="5" t="s">
        <v>371</v>
      </c>
    </row>
    <row r="572" spans="1:7" s="5" customFormat="1" x14ac:dyDescent="0.25">
      <c r="A572" s="5">
        <v>4</v>
      </c>
      <c r="B572" s="6">
        <v>12002003001</v>
      </c>
      <c r="C572" s="5" t="s">
        <v>372</v>
      </c>
      <c r="D572" s="5">
        <v>1</v>
      </c>
      <c r="E572" s="5" t="s">
        <v>32</v>
      </c>
      <c r="F572" s="7">
        <v>3924.97</v>
      </c>
      <c r="G572" s="5">
        <v>0</v>
      </c>
    </row>
    <row r="573" spans="1:7" s="5" customFormat="1" x14ac:dyDescent="0.25">
      <c r="A573" s="5">
        <v>4</v>
      </c>
      <c r="B573" s="6">
        <v>12002003002</v>
      </c>
      <c r="C573" s="5" t="s">
        <v>373</v>
      </c>
      <c r="D573" s="5">
        <v>8</v>
      </c>
      <c r="E573" s="5" t="s">
        <v>32</v>
      </c>
      <c r="F573" s="7">
        <v>31981.119999999999</v>
      </c>
      <c r="G573" s="5">
        <v>0</v>
      </c>
    </row>
    <row r="574" spans="1:7" s="5" customFormat="1" x14ac:dyDescent="0.25">
      <c r="A574" s="5">
        <v>4</v>
      </c>
      <c r="B574" s="6">
        <v>12002003003</v>
      </c>
      <c r="C574" s="5" t="s">
        <v>374</v>
      </c>
      <c r="D574" s="5">
        <v>33</v>
      </c>
      <c r="E574" s="5" t="s">
        <v>32</v>
      </c>
      <c r="F574" s="7">
        <v>129524.01</v>
      </c>
      <c r="G574" s="5">
        <v>0</v>
      </c>
    </row>
    <row r="575" spans="1:7" s="5" customFormat="1" x14ac:dyDescent="0.25">
      <c r="A575" s="5">
        <v>4</v>
      </c>
      <c r="B575" s="6">
        <v>12002003004</v>
      </c>
      <c r="C575" s="5" t="s">
        <v>375</v>
      </c>
      <c r="D575" s="5">
        <v>10</v>
      </c>
      <c r="E575" s="5" t="s">
        <v>32</v>
      </c>
      <c r="F575" s="7">
        <v>40854.9</v>
      </c>
      <c r="G575" s="5">
        <v>0</v>
      </c>
    </row>
    <row r="576" spans="1:7" s="5" customFormat="1" x14ac:dyDescent="0.25">
      <c r="A576" s="5">
        <v>4</v>
      </c>
      <c r="B576" s="6">
        <v>12002003005</v>
      </c>
      <c r="C576" s="5" t="s">
        <v>376</v>
      </c>
      <c r="D576" s="5">
        <v>8</v>
      </c>
      <c r="E576" s="5" t="s">
        <v>32</v>
      </c>
      <c r="F576" s="7">
        <v>32102.560000000001</v>
      </c>
      <c r="G576" s="5">
        <v>0</v>
      </c>
    </row>
    <row r="577" spans="1:7" s="5" customFormat="1" x14ac:dyDescent="0.25">
      <c r="A577" s="5">
        <v>4</v>
      </c>
      <c r="B577" s="6">
        <v>12002003006</v>
      </c>
      <c r="C577" s="5" t="s">
        <v>377</v>
      </c>
      <c r="D577" s="5">
        <v>42</v>
      </c>
      <c r="E577" s="5" t="s">
        <v>32</v>
      </c>
      <c r="F577" s="7">
        <v>219424.8</v>
      </c>
      <c r="G577" s="5">
        <v>0</v>
      </c>
    </row>
    <row r="578" spans="1:7" s="5" customFormat="1" x14ac:dyDescent="0.25">
      <c r="A578" s="5">
        <v>4</v>
      </c>
      <c r="B578" s="6">
        <v>12002003007</v>
      </c>
      <c r="C578" s="5" t="s">
        <v>378</v>
      </c>
      <c r="D578" s="5">
        <v>22</v>
      </c>
      <c r="E578" s="5" t="s">
        <v>32</v>
      </c>
      <c r="F578" s="7">
        <v>113338.06</v>
      </c>
      <c r="G578" s="5">
        <v>0</v>
      </c>
    </row>
    <row r="579" spans="1:7" s="5" customFormat="1" x14ac:dyDescent="0.25">
      <c r="A579" s="5">
        <v>4</v>
      </c>
      <c r="B579" s="6">
        <v>12002003008</v>
      </c>
      <c r="C579" s="5" t="s">
        <v>379</v>
      </c>
      <c r="D579" s="5">
        <v>1</v>
      </c>
      <c r="E579" s="5" t="s">
        <v>32</v>
      </c>
      <c r="F579" s="7">
        <v>3793.15</v>
      </c>
      <c r="G579" s="5">
        <v>0</v>
      </c>
    </row>
    <row r="580" spans="1:7" s="5" customFormat="1" x14ac:dyDescent="0.25">
      <c r="A580" s="5">
        <v>3</v>
      </c>
      <c r="B580" s="6">
        <v>12002004</v>
      </c>
      <c r="C580" s="5" t="s">
        <v>380</v>
      </c>
    </row>
    <row r="581" spans="1:7" s="5" customFormat="1" x14ac:dyDescent="0.25">
      <c r="A581" s="5">
        <v>4</v>
      </c>
      <c r="B581" s="6">
        <v>12002004001</v>
      </c>
      <c r="C581" s="5" t="s">
        <v>381</v>
      </c>
      <c r="D581" s="5">
        <v>1</v>
      </c>
      <c r="E581" s="5" t="s">
        <v>32</v>
      </c>
      <c r="F581" s="5">
        <v>220.1</v>
      </c>
      <c r="G581" s="5">
        <v>0</v>
      </c>
    </row>
    <row r="582" spans="1:7" s="5" customFormat="1" x14ac:dyDescent="0.25">
      <c r="A582" s="5">
        <v>4</v>
      </c>
      <c r="B582" s="6">
        <v>12002004002</v>
      </c>
      <c r="C582" s="5" t="s">
        <v>368</v>
      </c>
      <c r="D582" s="5">
        <v>41</v>
      </c>
      <c r="E582" s="5" t="s">
        <v>32</v>
      </c>
      <c r="F582" s="7">
        <v>9024.1</v>
      </c>
      <c r="G582" s="5">
        <v>0</v>
      </c>
    </row>
    <row r="583" spans="1:7" s="5" customFormat="1" x14ac:dyDescent="0.25">
      <c r="A583" s="5">
        <v>4</v>
      </c>
      <c r="B583" s="6">
        <v>12002004003</v>
      </c>
      <c r="C583" s="5" t="s">
        <v>369</v>
      </c>
      <c r="D583" s="5">
        <v>18</v>
      </c>
      <c r="E583" s="5" t="s">
        <v>32</v>
      </c>
      <c r="F583" s="7">
        <v>3961.8</v>
      </c>
      <c r="G583" s="5">
        <v>0</v>
      </c>
    </row>
    <row r="584" spans="1:7" s="5" customFormat="1" x14ac:dyDescent="0.25">
      <c r="A584" s="5">
        <v>4</v>
      </c>
      <c r="B584" s="6">
        <v>12002004004</v>
      </c>
      <c r="C584" s="5" t="s">
        <v>370</v>
      </c>
      <c r="D584" s="5">
        <v>64</v>
      </c>
      <c r="E584" s="5" t="s">
        <v>32</v>
      </c>
      <c r="F584" s="7">
        <v>14086.4</v>
      </c>
      <c r="G584" s="5">
        <v>0</v>
      </c>
    </row>
    <row r="585" spans="1:7" s="5" customFormat="1" x14ac:dyDescent="0.25">
      <c r="A585" s="5">
        <v>4</v>
      </c>
      <c r="B585" s="6">
        <v>12002004005</v>
      </c>
      <c r="C585" s="5" t="s">
        <v>382</v>
      </c>
      <c r="D585" s="5">
        <v>1</v>
      </c>
      <c r="E585" s="5" t="s">
        <v>32</v>
      </c>
      <c r="F585" s="5">
        <v>220.1</v>
      </c>
      <c r="G585" s="5">
        <v>0</v>
      </c>
    </row>
    <row r="586" spans="1:7" s="5" customFormat="1" x14ac:dyDescent="0.25">
      <c r="A586" s="5">
        <v>3</v>
      </c>
      <c r="B586" s="6">
        <v>12002005</v>
      </c>
      <c r="C586" s="5" t="s">
        <v>383</v>
      </c>
    </row>
    <row r="587" spans="1:7" s="5" customFormat="1" x14ac:dyDescent="0.25">
      <c r="A587" s="5">
        <v>4</v>
      </c>
      <c r="B587" s="6">
        <v>12002005001</v>
      </c>
      <c r="C587" s="5" t="s">
        <v>362</v>
      </c>
      <c r="D587" s="7">
        <v>2024</v>
      </c>
      <c r="E587" s="5" t="s">
        <v>32</v>
      </c>
      <c r="F587" s="7">
        <v>6001787.4400000004</v>
      </c>
      <c r="G587" s="5">
        <v>0</v>
      </c>
    </row>
    <row r="588" spans="1:7" s="5" customFormat="1" x14ac:dyDescent="0.25">
      <c r="A588" s="5">
        <v>4</v>
      </c>
      <c r="B588" s="6">
        <v>12002005002</v>
      </c>
      <c r="C588" s="5" t="s">
        <v>363</v>
      </c>
      <c r="D588" s="7">
        <v>1300</v>
      </c>
      <c r="E588" s="5" t="s">
        <v>32</v>
      </c>
      <c r="F588" s="7">
        <v>3838042</v>
      </c>
      <c r="G588" s="5">
        <v>0</v>
      </c>
    </row>
    <row r="589" spans="1:7" s="5" customFormat="1" x14ac:dyDescent="0.25">
      <c r="A589" s="5">
        <v>4</v>
      </c>
      <c r="B589" s="6">
        <v>12002005003</v>
      </c>
      <c r="C589" s="5" t="s">
        <v>384</v>
      </c>
      <c r="D589" s="5">
        <v>380</v>
      </c>
      <c r="E589" s="5" t="s">
        <v>32</v>
      </c>
      <c r="F589" s="7">
        <v>2441203.6</v>
      </c>
      <c r="G589" s="5">
        <v>0</v>
      </c>
    </row>
    <row r="590" spans="1:7" s="5" customFormat="1" x14ac:dyDescent="0.25">
      <c r="A590" s="5">
        <v>4</v>
      </c>
      <c r="B590" s="6">
        <v>12002005004</v>
      </c>
      <c r="C590" s="5" t="s">
        <v>385</v>
      </c>
      <c r="D590" s="5">
        <v>94</v>
      </c>
      <c r="E590" s="5" t="s">
        <v>32</v>
      </c>
      <c r="F590" s="7">
        <v>641393.96</v>
      </c>
      <c r="G590" s="5">
        <v>0</v>
      </c>
    </row>
    <row r="591" spans="1:7" s="5" customFormat="1" x14ac:dyDescent="0.25">
      <c r="A591" s="5">
        <v>3</v>
      </c>
      <c r="B591" s="6">
        <v>12002006</v>
      </c>
      <c r="C591" s="5" t="s">
        <v>386</v>
      </c>
    </row>
    <row r="592" spans="1:7" s="5" customFormat="1" x14ac:dyDescent="0.25">
      <c r="A592" s="5">
        <v>4</v>
      </c>
      <c r="B592" s="6">
        <v>12002006001</v>
      </c>
      <c r="C592" s="5" t="s">
        <v>368</v>
      </c>
      <c r="D592" s="7">
        <v>2024</v>
      </c>
      <c r="E592" s="5" t="s">
        <v>32</v>
      </c>
      <c r="F592" s="7">
        <v>445482.4</v>
      </c>
      <c r="G592" s="5">
        <v>0</v>
      </c>
    </row>
    <row r="593" spans="1:7" s="5" customFormat="1" x14ac:dyDescent="0.25">
      <c r="A593" s="5">
        <v>4</v>
      </c>
      <c r="B593" s="6">
        <v>12002006002</v>
      </c>
      <c r="C593" s="5" t="s">
        <v>369</v>
      </c>
      <c r="D593" s="7">
        <v>1300</v>
      </c>
      <c r="E593" s="5" t="s">
        <v>32</v>
      </c>
      <c r="F593" s="7">
        <v>286130</v>
      </c>
      <c r="G593" s="5">
        <v>0</v>
      </c>
    </row>
    <row r="594" spans="1:7" s="5" customFormat="1" x14ac:dyDescent="0.25">
      <c r="A594" s="5">
        <v>4</v>
      </c>
      <c r="B594" s="6">
        <v>12002006003</v>
      </c>
      <c r="C594" s="5" t="s">
        <v>387</v>
      </c>
      <c r="D594" s="5">
        <v>380</v>
      </c>
      <c r="E594" s="5" t="s">
        <v>32</v>
      </c>
      <c r="F594" s="7">
        <v>83638</v>
      </c>
      <c r="G594" s="5">
        <v>0</v>
      </c>
    </row>
    <row r="595" spans="1:7" s="5" customFormat="1" x14ac:dyDescent="0.25">
      <c r="A595" s="5">
        <v>4</v>
      </c>
      <c r="B595" s="6">
        <v>12002006004</v>
      </c>
      <c r="C595" s="5" t="s">
        <v>388</v>
      </c>
      <c r="D595" s="5">
        <v>94</v>
      </c>
      <c r="E595" s="5" t="s">
        <v>32</v>
      </c>
      <c r="F595" s="7">
        <v>20689.400000000001</v>
      </c>
      <c r="G595" s="5">
        <v>0</v>
      </c>
    </row>
    <row r="596" spans="1:7" s="5" customFormat="1" x14ac:dyDescent="0.25">
      <c r="A596" s="5">
        <v>3</v>
      </c>
      <c r="B596" s="6">
        <v>12002007</v>
      </c>
      <c r="C596" s="5" t="s">
        <v>389</v>
      </c>
    </row>
    <row r="597" spans="1:7" s="5" customFormat="1" x14ac:dyDescent="0.25">
      <c r="A597" s="5">
        <v>4</v>
      </c>
      <c r="B597" s="6">
        <v>12002007001</v>
      </c>
      <c r="C597" s="5" t="s">
        <v>362</v>
      </c>
      <c r="D597" s="5">
        <v>18</v>
      </c>
      <c r="E597" s="5" t="s">
        <v>32</v>
      </c>
      <c r="F597" s="7">
        <v>53375.58</v>
      </c>
      <c r="G597" s="5">
        <v>0</v>
      </c>
    </row>
    <row r="598" spans="1:7" s="5" customFormat="1" x14ac:dyDescent="0.25">
      <c r="A598" s="5">
        <v>4</v>
      </c>
      <c r="B598" s="6">
        <v>12002007002</v>
      </c>
      <c r="C598" s="5" t="s">
        <v>363</v>
      </c>
      <c r="D598" s="5">
        <v>16</v>
      </c>
      <c r="E598" s="5" t="s">
        <v>32</v>
      </c>
      <c r="F598" s="7">
        <v>47237.440000000002</v>
      </c>
      <c r="G598" s="5">
        <v>0</v>
      </c>
    </row>
    <row r="599" spans="1:7" s="5" customFormat="1" x14ac:dyDescent="0.25">
      <c r="A599" s="5">
        <v>3</v>
      </c>
      <c r="B599" s="6">
        <v>12002008</v>
      </c>
      <c r="C599" s="5" t="s">
        <v>390</v>
      </c>
    </row>
    <row r="600" spans="1:7" s="5" customFormat="1" x14ac:dyDescent="0.25">
      <c r="A600" s="5">
        <v>4</v>
      </c>
      <c r="B600" s="6">
        <v>12002008001</v>
      </c>
      <c r="C600" s="5" t="s">
        <v>368</v>
      </c>
      <c r="D600" s="5">
        <v>18</v>
      </c>
      <c r="E600" s="5" t="s">
        <v>32</v>
      </c>
      <c r="F600" s="7">
        <v>3961.8</v>
      </c>
      <c r="G600" s="5">
        <v>0</v>
      </c>
    </row>
    <row r="601" spans="1:7" s="5" customFormat="1" x14ac:dyDescent="0.25">
      <c r="A601" s="5">
        <v>4</v>
      </c>
      <c r="B601" s="6">
        <v>12002008002</v>
      </c>
      <c r="C601" s="5" t="s">
        <v>369</v>
      </c>
      <c r="D601" s="5">
        <v>16</v>
      </c>
      <c r="E601" s="5" t="s">
        <v>32</v>
      </c>
      <c r="F601" s="7">
        <v>3521.6</v>
      </c>
      <c r="G601" s="5">
        <v>0</v>
      </c>
    </row>
    <row r="602" spans="1:7" s="5" customFormat="1" x14ac:dyDescent="0.25">
      <c r="A602" s="5">
        <v>2</v>
      </c>
      <c r="B602" s="6">
        <v>12003</v>
      </c>
      <c r="C602" s="5" t="s">
        <v>391</v>
      </c>
    </row>
    <row r="603" spans="1:7" s="5" customFormat="1" x14ac:dyDescent="0.25">
      <c r="A603" s="5">
        <v>3</v>
      </c>
      <c r="B603" s="6">
        <v>12003001</v>
      </c>
      <c r="C603" s="5" t="s">
        <v>392</v>
      </c>
    </row>
    <row r="604" spans="1:7" s="5" customFormat="1" x14ac:dyDescent="0.25">
      <c r="A604" s="5">
        <v>4</v>
      </c>
      <c r="B604" s="6">
        <v>12003001001</v>
      </c>
      <c r="C604" s="5" t="s">
        <v>393</v>
      </c>
      <c r="D604" s="5">
        <v>39</v>
      </c>
      <c r="E604" s="5" t="s">
        <v>32</v>
      </c>
      <c r="F604" s="7">
        <v>68592.81</v>
      </c>
      <c r="G604" s="5">
        <v>0</v>
      </c>
    </row>
    <row r="605" spans="1:7" s="5" customFormat="1" x14ac:dyDescent="0.25">
      <c r="A605" s="5">
        <v>4</v>
      </c>
      <c r="B605" s="6">
        <v>12003001002</v>
      </c>
      <c r="C605" s="5" t="s">
        <v>394</v>
      </c>
      <c r="D605" s="5">
        <v>16</v>
      </c>
      <c r="E605" s="5" t="s">
        <v>32</v>
      </c>
      <c r="F605" s="7">
        <v>63388.32</v>
      </c>
      <c r="G605" s="5">
        <v>0</v>
      </c>
    </row>
    <row r="606" spans="1:7" s="5" customFormat="1" x14ac:dyDescent="0.25">
      <c r="A606" s="5">
        <v>3</v>
      </c>
      <c r="B606" s="6">
        <v>12003002</v>
      </c>
      <c r="C606" s="5" t="s">
        <v>395</v>
      </c>
    </row>
    <row r="607" spans="1:7" s="5" customFormat="1" x14ac:dyDescent="0.25">
      <c r="A607" s="5">
        <v>4</v>
      </c>
      <c r="B607" s="6">
        <v>12003002001</v>
      </c>
      <c r="C607" s="5" t="s">
        <v>396</v>
      </c>
      <c r="D607" s="5">
        <v>39</v>
      </c>
      <c r="E607" s="5" t="s">
        <v>32</v>
      </c>
      <c r="F607" s="7">
        <v>6421.74</v>
      </c>
      <c r="G607" s="5">
        <v>0</v>
      </c>
    </row>
    <row r="608" spans="1:7" s="5" customFormat="1" x14ac:dyDescent="0.25">
      <c r="A608" s="5">
        <v>4</v>
      </c>
      <c r="B608" s="6">
        <v>12003002002</v>
      </c>
      <c r="C608" s="5" t="s">
        <v>397</v>
      </c>
      <c r="D608" s="5">
        <v>16</v>
      </c>
      <c r="E608" s="5" t="s">
        <v>32</v>
      </c>
      <c r="F608" s="7">
        <v>3951.84</v>
      </c>
      <c r="G608" s="5">
        <v>0</v>
      </c>
    </row>
    <row r="609" spans="1:7" s="5" customFormat="1" x14ac:dyDescent="0.25">
      <c r="A609" s="5">
        <v>3</v>
      </c>
      <c r="B609" s="6">
        <v>12003003</v>
      </c>
      <c r="C609" s="5" t="s">
        <v>398</v>
      </c>
    </row>
    <row r="610" spans="1:7" s="5" customFormat="1" x14ac:dyDescent="0.25">
      <c r="A610" s="5">
        <v>4</v>
      </c>
      <c r="B610" s="6">
        <v>12003003001</v>
      </c>
      <c r="C610" s="5" t="s">
        <v>393</v>
      </c>
      <c r="D610" s="5">
        <v>31</v>
      </c>
      <c r="E610" s="5" t="s">
        <v>32</v>
      </c>
      <c r="F610" s="7">
        <v>54522.49</v>
      </c>
      <c r="G610" s="5">
        <v>0</v>
      </c>
    </row>
    <row r="611" spans="1:7" s="5" customFormat="1" x14ac:dyDescent="0.25">
      <c r="A611" s="5">
        <v>3</v>
      </c>
      <c r="B611" s="6">
        <v>12003004</v>
      </c>
      <c r="C611" s="5" t="s">
        <v>399</v>
      </c>
    </row>
    <row r="612" spans="1:7" s="5" customFormat="1" x14ac:dyDescent="0.25">
      <c r="A612" s="5">
        <v>4</v>
      </c>
      <c r="B612" s="6">
        <v>12003004001</v>
      </c>
      <c r="C612" s="5" t="s">
        <v>396</v>
      </c>
      <c r="D612" s="5">
        <v>31</v>
      </c>
      <c r="E612" s="5" t="s">
        <v>32</v>
      </c>
      <c r="F612" s="7">
        <v>5104.46</v>
      </c>
      <c r="G612" s="5">
        <v>0</v>
      </c>
    </row>
    <row r="613" spans="1:7" s="5" customFormat="1" x14ac:dyDescent="0.25">
      <c r="A613" s="5">
        <v>3</v>
      </c>
      <c r="B613" s="6">
        <v>12003005</v>
      </c>
      <c r="C613" s="5" t="s">
        <v>400</v>
      </c>
    </row>
    <row r="614" spans="1:7" s="5" customFormat="1" x14ac:dyDescent="0.25">
      <c r="A614" s="5">
        <v>4</v>
      </c>
      <c r="B614" s="6">
        <v>12003005001</v>
      </c>
      <c r="C614" s="5" t="s">
        <v>393</v>
      </c>
      <c r="D614" s="5">
        <v>260</v>
      </c>
      <c r="E614" s="5" t="s">
        <v>32</v>
      </c>
      <c r="F614" s="7">
        <v>457285.4</v>
      </c>
      <c r="G614" s="5">
        <v>0</v>
      </c>
    </row>
    <row r="615" spans="1:7" s="5" customFormat="1" x14ac:dyDescent="0.25">
      <c r="A615" s="5">
        <v>3</v>
      </c>
      <c r="B615" s="6">
        <v>12003006</v>
      </c>
      <c r="C615" s="5" t="s">
        <v>401</v>
      </c>
    </row>
    <row r="616" spans="1:7" s="5" customFormat="1" x14ac:dyDescent="0.25">
      <c r="A616" s="5">
        <v>4</v>
      </c>
      <c r="B616" s="6">
        <v>12003006001</v>
      </c>
      <c r="C616" s="5" t="s">
        <v>396</v>
      </c>
      <c r="D616" s="5">
        <v>260</v>
      </c>
      <c r="E616" s="5" t="s">
        <v>32</v>
      </c>
      <c r="F616" s="7">
        <v>42811.6</v>
      </c>
      <c r="G616" s="5">
        <v>0</v>
      </c>
    </row>
    <row r="617" spans="1:7" s="5" customFormat="1" x14ac:dyDescent="0.25">
      <c r="A617" s="5">
        <v>3</v>
      </c>
      <c r="B617" s="6">
        <v>12003007</v>
      </c>
      <c r="C617" s="5" t="s">
        <v>402</v>
      </c>
    </row>
    <row r="618" spans="1:7" s="5" customFormat="1" x14ac:dyDescent="0.25">
      <c r="A618" s="5">
        <v>4</v>
      </c>
      <c r="B618" s="6">
        <v>12003007001</v>
      </c>
      <c r="C618" s="5" t="s">
        <v>393</v>
      </c>
      <c r="D618" s="5">
        <v>25</v>
      </c>
      <c r="E618" s="5" t="s">
        <v>32</v>
      </c>
      <c r="F618" s="7">
        <v>43969.75</v>
      </c>
      <c r="G618" s="5">
        <v>0</v>
      </c>
    </row>
    <row r="619" spans="1:7" s="5" customFormat="1" x14ac:dyDescent="0.25">
      <c r="A619" s="5">
        <v>3</v>
      </c>
      <c r="B619" s="6">
        <v>12003008</v>
      </c>
      <c r="C619" s="5" t="s">
        <v>403</v>
      </c>
    </row>
    <row r="620" spans="1:7" s="5" customFormat="1" x14ac:dyDescent="0.25">
      <c r="A620" s="5">
        <v>4</v>
      </c>
      <c r="B620" s="6">
        <v>12003008001</v>
      </c>
      <c r="C620" s="5" t="s">
        <v>404</v>
      </c>
      <c r="D620" s="5">
        <v>25</v>
      </c>
      <c r="E620" s="5" t="s">
        <v>32</v>
      </c>
      <c r="F620" s="7">
        <v>4116.5</v>
      </c>
      <c r="G620" s="5">
        <v>0</v>
      </c>
    </row>
    <row r="621" spans="1:7" s="5" customFormat="1" x14ac:dyDescent="0.25">
      <c r="A621" s="5">
        <v>1</v>
      </c>
      <c r="B621" s="5">
        <v>13</v>
      </c>
      <c r="C621" s="5" t="s">
        <v>405</v>
      </c>
    </row>
    <row r="622" spans="1:7" s="5" customFormat="1" x14ac:dyDescent="0.25">
      <c r="A622" s="5">
        <v>2</v>
      </c>
      <c r="B622" s="6">
        <v>13001</v>
      </c>
      <c r="C622" s="5" t="s">
        <v>406</v>
      </c>
    </row>
    <row r="623" spans="1:7" s="5" customFormat="1" x14ac:dyDescent="0.25">
      <c r="A623" s="5">
        <v>3</v>
      </c>
      <c r="B623" s="6">
        <v>13001001</v>
      </c>
      <c r="C623" s="5" t="s">
        <v>407</v>
      </c>
    </row>
    <row r="624" spans="1:7" s="5" customFormat="1" x14ac:dyDescent="0.25">
      <c r="A624" s="5">
        <v>4</v>
      </c>
      <c r="B624" s="6">
        <v>13001001001</v>
      </c>
      <c r="C624" s="5" t="s">
        <v>408</v>
      </c>
      <c r="D624" s="5">
        <v>1</v>
      </c>
      <c r="E624" s="5" t="s">
        <v>16</v>
      </c>
      <c r="F624" s="7">
        <v>267858.34000000003</v>
      </c>
      <c r="G624" s="5">
        <v>0</v>
      </c>
    </row>
    <row r="625" spans="1:7" s="5" customFormat="1" x14ac:dyDescent="0.25">
      <c r="A625" s="5">
        <v>3</v>
      </c>
      <c r="B625" s="6">
        <v>13001002</v>
      </c>
      <c r="C625" s="5" t="s">
        <v>409</v>
      </c>
    </row>
    <row r="626" spans="1:7" s="5" customFormat="1" x14ac:dyDescent="0.25">
      <c r="A626" s="5">
        <v>4</v>
      </c>
      <c r="B626" s="6">
        <v>13001002001</v>
      </c>
      <c r="C626" s="5" t="s">
        <v>410</v>
      </c>
      <c r="D626" s="5">
        <v>1</v>
      </c>
      <c r="E626" s="5" t="s">
        <v>16</v>
      </c>
      <c r="F626" s="7">
        <v>67242.600000000006</v>
      </c>
      <c r="G626" s="5">
        <v>0</v>
      </c>
    </row>
    <row r="627" spans="1:7" s="5" customFormat="1" x14ac:dyDescent="0.25">
      <c r="A627" s="5">
        <v>3</v>
      </c>
      <c r="B627" s="6">
        <v>13001003</v>
      </c>
      <c r="C627" s="5" t="s">
        <v>411</v>
      </c>
    </row>
    <row r="628" spans="1:7" s="5" customFormat="1" x14ac:dyDescent="0.25">
      <c r="A628" s="5">
        <v>4</v>
      </c>
      <c r="B628" s="6">
        <v>13001003001</v>
      </c>
      <c r="C628" s="5" t="s">
        <v>412</v>
      </c>
      <c r="D628" s="7">
        <v>144739.79999999999</v>
      </c>
      <c r="E628" s="5" t="s">
        <v>11</v>
      </c>
      <c r="F628" s="7">
        <v>545669.05000000005</v>
      </c>
      <c r="G628" s="5">
        <v>0</v>
      </c>
    </row>
    <row r="629" spans="1:7" s="5" customFormat="1" x14ac:dyDescent="0.25">
      <c r="A629" s="5">
        <v>3</v>
      </c>
      <c r="B629" s="6">
        <v>13001004</v>
      </c>
      <c r="C629" s="5" t="s">
        <v>413</v>
      </c>
    </row>
    <row r="630" spans="1:7" s="5" customFormat="1" x14ac:dyDescent="0.25">
      <c r="A630" s="5">
        <v>4</v>
      </c>
      <c r="B630" s="6">
        <v>13001004001</v>
      </c>
      <c r="C630" s="5" t="s">
        <v>413</v>
      </c>
      <c r="D630" s="5">
        <v>1</v>
      </c>
      <c r="E630" s="5" t="s">
        <v>16</v>
      </c>
      <c r="F630" s="7">
        <v>149806.01999999999</v>
      </c>
      <c r="G630" s="5">
        <v>0</v>
      </c>
    </row>
    <row r="631" spans="1:7" s="5" customFormat="1" x14ac:dyDescent="0.25">
      <c r="A631" s="5">
        <v>3</v>
      </c>
      <c r="B631" s="6">
        <v>13001005</v>
      </c>
      <c r="C631" s="5" t="s">
        <v>414</v>
      </c>
    </row>
    <row r="632" spans="1:7" s="5" customFormat="1" x14ac:dyDescent="0.25">
      <c r="A632" s="5">
        <v>4</v>
      </c>
      <c r="B632" s="6">
        <v>13001005001</v>
      </c>
      <c r="C632" s="5" t="s">
        <v>415</v>
      </c>
      <c r="D632" s="7">
        <v>144739.79999999999</v>
      </c>
      <c r="E632" s="5" t="s">
        <v>11</v>
      </c>
      <c r="F632" s="7">
        <v>756989.15</v>
      </c>
      <c r="G632" s="5">
        <v>0</v>
      </c>
    </row>
    <row r="633" spans="1:7" s="5" customFormat="1" x14ac:dyDescent="0.25">
      <c r="A633" s="5">
        <v>3</v>
      </c>
      <c r="B633" s="6">
        <v>13001006</v>
      </c>
      <c r="C633" s="5" t="s">
        <v>416</v>
      </c>
    </row>
    <row r="634" spans="1:7" s="5" customFormat="1" x14ac:dyDescent="0.25">
      <c r="A634" s="5">
        <v>4</v>
      </c>
      <c r="B634" s="6">
        <v>13001006001</v>
      </c>
      <c r="C634" s="5" t="s">
        <v>417</v>
      </c>
      <c r="D634" s="5">
        <v>1</v>
      </c>
      <c r="E634" s="5" t="s">
        <v>16</v>
      </c>
      <c r="F634" s="7">
        <v>2175996.6</v>
      </c>
      <c r="G634" s="5">
        <v>0</v>
      </c>
    </row>
    <row r="635" spans="1:7" s="5" customFormat="1" x14ac:dyDescent="0.25">
      <c r="A635" s="5">
        <v>3</v>
      </c>
      <c r="B635" s="6">
        <v>13001007</v>
      </c>
      <c r="C635" s="5" t="s">
        <v>418</v>
      </c>
    </row>
    <row r="636" spans="1:7" s="5" customFormat="1" x14ac:dyDescent="0.25">
      <c r="A636" s="5">
        <v>4</v>
      </c>
      <c r="B636" s="6">
        <v>13001007001</v>
      </c>
      <c r="C636" s="5" t="s">
        <v>418</v>
      </c>
      <c r="D636" s="7">
        <v>144739.79999999999</v>
      </c>
      <c r="E636" s="5" t="s">
        <v>11</v>
      </c>
      <c r="F636" s="7">
        <v>153424.19</v>
      </c>
      <c r="G636" s="5">
        <v>0</v>
      </c>
    </row>
    <row r="637" spans="1:7" s="5" customFormat="1" x14ac:dyDescent="0.25">
      <c r="A637" s="5">
        <v>3</v>
      </c>
      <c r="B637" s="6">
        <v>13001008</v>
      </c>
      <c r="C637" s="5" t="s">
        <v>419</v>
      </c>
    </row>
    <row r="638" spans="1:7" s="5" customFormat="1" x14ac:dyDescent="0.25">
      <c r="A638" s="5">
        <v>4</v>
      </c>
      <c r="B638" s="6">
        <v>13001008001</v>
      </c>
      <c r="C638" s="5" t="s">
        <v>420</v>
      </c>
      <c r="D638" s="7">
        <v>144739.79999999999</v>
      </c>
      <c r="E638" s="5" t="s">
        <v>11</v>
      </c>
      <c r="F638" s="7">
        <v>11138234.199999999</v>
      </c>
      <c r="G638" s="5">
        <v>0</v>
      </c>
    </row>
    <row r="639" spans="1:7" s="5" customFormat="1" x14ac:dyDescent="0.25">
      <c r="A639" s="5">
        <v>3</v>
      </c>
      <c r="B639" s="6">
        <v>13001009</v>
      </c>
      <c r="C639" s="5" t="s">
        <v>421</v>
      </c>
    </row>
    <row r="640" spans="1:7" s="5" customFormat="1" x14ac:dyDescent="0.25">
      <c r="A640" s="5">
        <v>4</v>
      </c>
      <c r="B640" s="6">
        <v>13001009001</v>
      </c>
      <c r="C640" s="5" t="s">
        <v>422</v>
      </c>
      <c r="D640" s="7">
        <v>144739.79999999999</v>
      </c>
      <c r="E640" s="5" t="s">
        <v>11</v>
      </c>
      <c r="F640" s="7">
        <v>6613320.6799999997</v>
      </c>
      <c r="G640" s="5">
        <v>0</v>
      </c>
    </row>
    <row r="641" spans="1:7" s="5" customFormat="1" x14ac:dyDescent="0.25">
      <c r="A641" s="5">
        <v>2</v>
      </c>
      <c r="B641" s="6">
        <v>13002</v>
      </c>
      <c r="C641" s="5" t="s">
        <v>423</v>
      </c>
    </row>
    <row r="642" spans="1:7" s="5" customFormat="1" x14ac:dyDescent="0.25">
      <c r="A642" s="5">
        <v>3</v>
      </c>
      <c r="B642" s="6">
        <v>13002001</v>
      </c>
      <c r="C642" s="5" t="s">
        <v>424</v>
      </c>
    </row>
    <row r="643" spans="1:7" s="5" customFormat="1" x14ac:dyDescent="0.25">
      <c r="A643" s="5">
        <v>4</v>
      </c>
      <c r="B643" s="6">
        <v>13002001001</v>
      </c>
      <c r="C643" s="5" t="s">
        <v>425</v>
      </c>
      <c r="D643" s="5">
        <v>4</v>
      </c>
      <c r="E643" s="5" t="s">
        <v>32</v>
      </c>
      <c r="F643" s="7">
        <v>56795317.399999999</v>
      </c>
      <c r="G643" s="5">
        <v>0</v>
      </c>
    </row>
    <row r="644" spans="1:7" s="5" customFormat="1" x14ac:dyDescent="0.25">
      <c r="A644" s="5">
        <v>4</v>
      </c>
      <c r="B644" s="6">
        <v>13002001002</v>
      </c>
      <c r="C644" s="5" t="s">
        <v>426</v>
      </c>
      <c r="D644" s="5">
        <v>3</v>
      </c>
      <c r="E644" s="5" t="s">
        <v>32</v>
      </c>
      <c r="F644" s="7">
        <v>41950083.090000004</v>
      </c>
      <c r="G644" s="5">
        <v>0</v>
      </c>
    </row>
    <row r="645" spans="1:7" s="5" customFormat="1" x14ac:dyDescent="0.25">
      <c r="A645" s="5">
        <v>4</v>
      </c>
      <c r="B645" s="6">
        <v>13002001003</v>
      </c>
      <c r="C645" s="5" t="s">
        <v>427</v>
      </c>
      <c r="D645" s="5">
        <v>7</v>
      </c>
      <c r="E645" s="5" t="s">
        <v>32</v>
      </c>
      <c r="F645" s="7">
        <v>2972004</v>
      </c>
      <c r="G645" s="5">
        <v>0</v>
      </c>
    </row>
    <row r="646" spans="1:7" s="5" customFormat="1" x14ac:dyDescent="0.25">
      <c r="A646" s="5">
        <v>4</v>
      </c>
      <c r="B646" s="6">
        <v>13002001004</v>
      </c>
      <c r="C646" s="5" t="s">
        <v>428</v>
      </c>
      <c r="D646" s="5">
        <v>1</v>
      </c>
      <c r="E646" s="5" t="s">
        <v>32</v>
      </c>
      <c r="F646" s="7">
        <v>313750.5</v>
      </c>
      <c r="G646" s="5">
        <v>0</v>
      </c>
    </row>
    <row r="647" spans="1:7" s="5" customFormat="1" x14ac:dyDescent="0.25">
      <c r="A647" s="5">
        <v>4</v>
      </c>
      <c r="B647" s="6">
        <v>13002001005</v>
      </c>
      <c r="C647" s="5" t="s">
        <v>429</v>
      </c>
      <c r="D647" s="5">
        <v>1</v>
      </c>
      <c r="E647" s="5" t="s">
        <v>32</v>
      </c>
      <c r="F647" s="7">
        <v>8057360.79</v>
      </c>
      <c r="G647" s="5">
        <v>0</v>
      </c>
    </row>
    <row r="648" spans="1:7" s="5" customFormat="1" x14ac:dyDescent="0.25">
      <c r="A648" s="5">
        <v>4</v>
      </c>
      <c r="B648" s="6">
        <v>13002001006</v>
      </c>
      <c r="C648" s="5" t="s">
        <v>430</v>
      </c>
      <c r="D648" s="5">
        <v>1</v>
      </c>
      <c r="E648" s="5" t="s">
        <v>32</v>
      </c>
      <c r="F648" s="7">
        <v>1480680.81</v>
      </c>
      <c r="G648" s="5">
        <v>0</v>
      </c>
    </row>
    <row r="649" spans="1:7" s="5" customFormat="1" x14ac:dyDescent="0.25">
      <c r="A649" s="5">
        <v>4</v>
      </c>
      <c r="B649" s="6">
        <v>13002001007</v>
      </c>
      <c r="C649" s="5" t="s">
        <v>431</v>
      </c>
      <c r="D649" s="5">
        <v>1</v>
      </c>
      <c r="E649" s="5" t="s">
        <v>32</v>
      </c>
      <c r="F649" s="7">
        <v>3561377.71</v>
      </c>
      <c r="G649" s="5">
        <v>0</v>
      </c>
    </row>
    <row r="650" spans="1:7" s="5" customFormat="1" x14ac:dyDescent="0.25">
      <c r="A650" s="5">
        <v>4</v>
      </c>
      <c r="B650" s="6">
        <v>13002001008</v>
      </c>
      <c r="C650" s="5" t="s">
        <v>432</v>
      </c>
      <c r="D650" s="5">
        <v>1</v>
      </c>
      <c r="E650" s="5" t="s">
        <v>32</v>
      </c>
      <c r="F650" s="7">
        <v>1692144.53</v>
      </c>
      <c r="G650" s="5">
        <v>0</v>
      </c>
    </row>
    <row r="651" spans="1:7" s="5" customFormat="1" x14ac:dyDescent="0.25">
      <c r="A651" s="5">
        <v>4</v>
      </c>
      <c r="B651" s="6">
        <v>13002001009</v>
      </c>
      <c r="C651" s="5" t="s">
        <v>433</v>
      </c>
      <c r="D651" s="5">
        <v>4</v>
      </c>
      <c r="E651" s="5" t="s">
        <v>32</v>
      </c>
      <c r="F651" s="7">
        <v>5444798.1600000001</v>
      </c>
      <c r="G651" s="5">
        <v>0</v>
      </c>
    </row>
    <row r="652" spans="1:7" s="5" customFormat="1" x14ac:dyDescent="0.25">
      <c r="A652" s="5">
        <v>4</v>
      </c>
      <c r="B652" s="6">
        <v>13002001010</v>
      </c>
      <c r="C652" s="5" t="s">
        <v>434</v>
      </c>
      <c r="D652" s="5">
        <v>6</v>
      </c>
      <c r="E652" s="5" t="s">
        <v>45</v>
      </c>
      <c r="F652" s="7">
        <v>388531.38</v>
      </c>
      <c r="G652" s="5">
        <v>0</v>
      </c>
    </row>
    <row r="653" spans="1:7" s="5" customFormat="1" x14ac:dyDescent="0.25">
      <c r="A653" s="5">
        <v>2</v>
      </c>
      <c r="B653" s="6">
        <v>13003</v>
      </c>
      <c r="C653" s="5" t="s">
        <v>435</v>
      </c>
    </row>
    <row r="654" spans="1:7" s="5" customFormat="1" x14ac:dyDescent="0.25">
      <c r="A654" s="5">
        <v>3</v>
      </c>
      <c r="B654" s="6">
        <v>13003001</v>
      </c>
      <c r="C654" s="5" t="s">
        <v>436</v>
      </c>
    </row>
    <row r="655" spans="1:7" s="5" customFormat="1" x14ac:dyDescent="0.25">
      <c r="A655" s="5">
        <v>4</v>
      </c>
      <c r="B655" s="6">
        <v>13003001001</v>
      </c>
      <c r="C655" s="5" t="s">
        <v>437</v>
      </c>
      <c r="D655" s="7">
        <v>2090</v>
      </c>
      <c r="E655" s="5" t="s">
        <v>438</v>
      </c>
      <c r="F655" s="7">
        <v>4457829.97</v>
      </c>
      <c r="G655" s="5">
        <v>0</v>
      </c>
    </row>
    <row r="656" spans="1:7" s="5" customFormat="1" x14ac:dyDescent="0.25">
      <c r="A656" s="5">
        <v>3</v>
      </c>
      <c r="B656" s="6">
        <v>13003002</v>
      </c>
      <c r="C656" s="5" t="s">
        <v>439</v>
      </c>
    </row>
    <row r="657" spans="1:7" s="5" customFormat="1" x14ac:dyDescent="0.25">
      <c r="A657" s="5">
        <v>4</v>
      </c>
      <c r="B657" s="6">
        <v>13003002001</v>
      </c>
      <c r="C657" s="5" t="s">
        <v>440</v>
      </c>
      <c r="D657" s="7">
        <v>2090</v>
      </c>
      <c r="E657" s="5" t="s">
        <v>438</v>
      </c>
      <c r="F657" s="7">
        <v>665307.61</v>
      </c>
      <c r="G657" s="5">
        <v>0</v>
      </c>
    </row>
    <row r="658" spans="1:7" s="5" customFormat="1" x14ac:dyDescent="0.25">
      <c r="A658" s="5">
        <v>3</v>
      </c>
      <c r="B658" s="6">
        <v>13003003</v>
      </c>
      <c r="C658" s="5" t="s">
        <v>441</v>
      </c>
    </row>
    <row r="659" spans="1:7" s="5" customFormat="1" x14ac:dyDescent="0.25">
      <c r="A659" s="5">
        <v>4</v>
      </c>
      <c r="B659" s="6">
        <v>13003003001</v>
      </c>
      <c r="C659" s="5" t="s">
        <v>442</v>
      </c>
      <c r="D659" s="7">
        <v>11474.37</v>
      </c>
      <c r="E659" s="5" t="s">
        <v>11</v>
      </c>
      <c r="F659" s="7">
        <v>932590.9</v>
      </c>
      <c r="G659" s="5">
        <v>0</v>
      </c>
    </row>
    <row r="660" spans="1:7" s="5" customFormat="1" x14ac:dyDescent="0.25">
      <c r="A660" s="5">
        <v>2</v>
      </c>
      <c r="B660" s="6">
        <v>13004</v>
      </c>
      <c r="C660" s="5" t="s">
        <v>443</v>
      </c>
    </row>
    <row r="661" spans="1:7" s="5" customFormat="1" x14ac:dyDescent="0.25">
      <c r="A661" s="5">
        <v>3</v>
      </c>
      <c r="B661" s="6">
        <v>13004001</v>
      </c>
      <c r="C661" s="5" t="s">
        <v>444</v>
      </c>
    </row>
    <row r="662" spans="1:7" s="5" customFormat="1" x14ac:dyDescent="0.25">
      <c r="A662" s="5">
        <v>4</v>
      </c>
      <c r="B662" s="6">
        <v>13004001001</v>
      </c>
      <c r="C662" s="5" t="s">
        <v>445</v>
      </c>
      <c r="D662" s="5">
        <v>473</v>
      </c>
      <c r="E662" s="5" t="s">
        <v>438</v>
      </c>
      <c r="F662" s="7">
        <v>123091.16</v>
      </c>
      <c r="G662" s="5">
        <v>0</v>
      </c>
    </row>
    <row r="663" spans="1:7" s="5" customFormat="1" x14ac:dyDescent="0.25">
      <c r="A663" s="5">
        <v>3</v>
      </c>
      <c r="B663" s="6">
        <v>13004002</v>
      </c>
      <c r="C663" s="5" t="s">
        <v>446</v>
      </c>
    </row>
    <row r="664" spans="1:7" s="5" customFormat="1" x14ac:dyDescent="0.25">
      <c r="A664" s="5">
        <v>4</v>
      </c>
      <c r="B664" s="6">
        <v>13004002001</v>
      </c>
      <c r="C664" s="5" t="s">
        <v>447</v>
      </c>
      <c r="D664" s="5">
        <v>473</v>
      </c>
      <c r="E664" s="5" t="s">
        <v>438</v>
      </c>
      <c r="F664" s="7">
        <v>38011.46</v>
      </c>
      <c r="G664" s="5">
        <v>0</v>
      </c>
    </row>
    <row r="665" spans="1:7" s="5" customFormat="1" x14ac:dyDescent="0.25">
      <c r="A665" s="5">
        <v>3</v>
      </c>
      <c r="B665" s="6">
        <v>13004003</v>
      </c>
      <c r="C665" s="5" t="s">
        <v>448</v>
      </c>
    </row>
    <row r="666" spans="1:7" s="5" customFormat="1" x14ac:dyDescent="0.25">
      <c r="A666" s="5">
        <v>4</v>
      </c>
      <c r="B666" s="6">
        <v>13004003001</v>
      </c>
      <c r="C666" s="5" t="s">
        <v>449</v>
      </c>
      <c r="D666" s="5">
        <v>473</v>
      </c>
      <c r="E666" s="5" t="s">
        <v>438</v>
      </c>
      <c r="F666" s="7">
        <v>697516.55</v>
      </c>
      <c r="G666" s="5">
        <v>0</v>
      </c>
    </row>
    <row r="667" spans="1:7" s="5" customFormat="1" x14ac:dyDescent="0.25">
      <c r="A667" s="5">
        <v>3</v>
      </c>
      <c r="B667" s="6">
        <v>13004004</v>
      </c>
      <c r="C667" s="5" t="s">
        <v>450</v>
      </c>
    </row>
    <row r="668" spans="1:7" s="5" customFormat="1" x14ac:dyDescent="0.25">
      <c r="A668" s="5">
        <v>4</v>
      </c>
      <c r="B668" s="6">
        <v>13004004001</v>
      </c>
      <c r="C668" s="5" t="s">
        <v>451</v>
      </c>
      <c r="D668" s="5">
        <v>473</v>
      </c>
      <c r="E668" s="5" t="s">
        <v>438</v>
      </c>
      <c r="F668" s="7">
        <v>215398.29</v>
      </c>
      <c r="G668" s="5">
        <v>0</v>
      </c>
    </row>
    <row r="669" spans="1:7" s="5" customFormat="1" x14ac:dyDescent="0.25">
      <c r="A669" s="5">
        <v>2</v>
      </c>
      <c r="B669" s="6">
        <v>13005</v>
      </c>
      <c r="C669" s="5" t="s">
        <v>452</v>
      </c>
    </row>
    <row r="670" spans="1:7" s="5" customFormat="1" x14ac:dyDescent="0.25">
      <c r="A670" s="5">
        <v>3</v>
      </c>
      <c r="B670" s="6">
        <v>13005001</v>
      </c>
      <c r="C670" s="5" t="s">
        <v>453</v>
      </c>
    </row>
    <row r="671" spans="1:7" s="5" customFormat="1" x14ac:dyDescent="0.25">
      <c r="A671" s="5">
        <v>4</v>
      </c>
      <c r="B671" s="6">
        <v>13005001001</v>
      </c>
      <c r="C671" s="5" t="s">
        <v>454</v>
      </c>
      <c r="D671" s="5">
        <v>144.1</v>
      </c>
      <c r="E671" s="5" t="s">
        <v>23</v>
      </c>
      <c r="F671" s="7">
        <v>120095.82</v>
      </c>
      <c r="G671" s="5">
        <v>0</v>
      </c>
    </row>
    <row r="672" spans="1:7" s="5" customFormat="1" x14ac:dyDescent="0.25">
      <c r="A672" s="5">
        <v>4</v>
      </c>
      <c r="B672" s="6">
        <v>13005001002</v>
      </c>
      <c r="C672" s="5" t="s">
        <v>455</v>
      </c>
      <c r="D672" s="7">
        <v>3544.86</v>
      </c>
      <c r="E672" s="5" t="s">
        <v>23</v>
      </c>
      <c r="F672" s="7">
        <v>2572823.94</v>
      </c>
      <c r="G672" s="5">
        <v>0</v>
      </c>
    </row>
    <row r="673" spans="1:7" s="5" customFormat="1" x14ac:dyDescent="0.25">
      <c r="A673" s="5">
        <v>4</v>
      </c>
      <c r="B673" s="6">
        <v>13005001003</v>
      </c>
      <c r="C673" s="5" t="s">
        <v>456</v>
      </c>
      <c r="D673" s="5">
        <v>927.48</v>
      </c>
      <c r="E673" s="5" t="s">
        <v>23</v>
      </c>
      <c r="F673" s="7">
        <v>377113.37</v>
      </c>
      <c r="G673" s="5">
        <v>0</v>
      </c>
    </row>
    <row r="674" spans="1:7" s="5" customFormat="1" x14ac:dyDescent="0.25">
      <c r="A674" s="5">
        <v>4</v>
      </c>
      <c r="B674" s="6">
        <v>13005001004</v>
      </c>
      <c r="C674" s="5" t="s">
        <v>457</v>
      </c>
      <c r="D674" s="5">
        <v>472</v>
      </c>
      <c r="E674" s="5" t="s">
        <v>32</v>
      </c>
      <c r="F674" s="7">
        <v>162504.88</v>
      </c>
      <c r="G674" s="5">
        <v>0</v>
      </c>
    </row>
    <row r="675" spans="1:7" s="5" customFormat="1" x14ac:dyDescent="0.25">
      <c r="A675" s="5">
        <v>4</v>
      </c>
      <c r="B675" s="6">
        <v>13005001005</v>
      </c>
      <c r="C675" s="5" t="s">
        <v>458</v>
      </c>
      <c r="D675" s="7">
        <v>3387.78</v>
      </c>
      <c r="E675" s="5" t="s">
        <v>23</v>
      </c>
      <c r="F675" s="7">
        <v>2541106.02</v>
      </c>
      <c r="G675" s="5">
        <v>0</v>
      </c>
    </row>
    <row r="676" spans="1:7" s="5" customFormat="1" x14ac:dyDescent="0.25">
      <c r="A676" s="5">
        <v>3</v>
      </c>
      <c r="B676" s="6">
        <v>13005002</v>
      </c>
      <c r="C676" s="5" t="s">
        <v>459</v>
      </c>
    </row>
    <row r="677" spans="1:7" s="5" customFormat="1" x14ac:dyDescent="0.25">
      <c r="A677" s="5">
        <v>4</v>
      </c>
      <c r="B677" s="6">
        <v>13005002001</v>
      </c>
      <c r="C677" s="5" t="s">
        <v>460</v>
      </c>
      <c r="D677" s="7">
        <v>144739.79999999999</v>
      </c>
      <c r="E677" s="5" t="s">
        <v>11</v>
      </c>
      <c r="F677" s="7">
        <v>10400423.07</v>
      </c>
      <c r="G677" s="5">
        <v>0</v>
      </c>
    </row>
    <row r="678" spans="1:7" s="5" customFormat="1" x14ac:dyDescent="0.25">
      <c r="A678" s="5">
        <v>3</v>
      </c>
      <c r="B678" s="6">
        <v>13005003</v>
      </c>
      <c r="C678" s="5" t="s">
        <v>461</v>
      </c>
    </row>
    <row r="679" spans="1:7" s="5" customFormat="1" x14ac:dyDescent="0.25">
      <c r="A679" s="5">
        <v>4</v>
      </c>
      <c r="B679" s="6">
        <v>13005003001</v>
      </c>
      <c r="C679" s="5" t="s">
        <v>462</v>
      </c>
      <c r="D679" s="7">
        <v>11474.37</v>
      </c>
      <c r="E679" s="5" t="s">
        <v>11</v>
      </c>
      <c r="F679" s="7">
        <v>2538360.13</v>
      </c>
      <c r="G679" s="5">
        <v>0</v>
      </c>
    </row>
    <row r="680" spans="1:7" s="5" customFormat="1" x14ac:dyDescent="0.25">
      <c r="A680" s="5">
        <v>1</v>
      </c>
      <c r="B680" s="5">
        <v>14</v>
      </c>
      <c r="C680" s="5" t="s">
        <v>463</v>
      </c>
    </row>
    <row r="681" spans="1:7" s="5" customFormat="1" x14ac:dyDescent="0.25">
      <c r="A681" s="5">
        <v>2</v>
      </c>
      <c r="B681" s="6">
        <v>14001</v>
      </c>
      <c r="C681" s="5" t="s">
        <v>464</v>
      </c>
    </row>
    <row r="682" spans="1:7" s="5" customFormat="1" x14ac:dyDescent="0.25">
      <c r="A682" s="5">
        <v>3</v>
      </c>
      <c r="B682" s="6">
        <v>14001001</v>
      </c>
      <c r="C682" s="5" t="s">
        <v>465</v>
      </c>
    </row>
    <row r="683" spans="1:7" s="5" customFormat="1" x14ac:dyDescent="0.25">
      <c r="A683" s="5">
        <v>4</v>
      </c>
      <c r="B683" s="6">
        <v>14001001001</v>
      </c>
      <c r="C683" s="5" t="s">
        <v>466</v>
      </c>
      <c r="D683" s="5">
        <v>13</v>
      </c>
      <c r="E683" s="5" t="s">
        <v>32</v>
      </c>
      <c r="F683" s="7">
        <v>16706.43</v>
      </c>
      <c r="G683" s="5">
        <v>0</v>
      </c>
    </row>
    <row r="684" spans="1:7" s="5" customFormat="1" x14ac:dyDescent="0.25">
      <c r="A684" s="5">
        <v>4</v>
      </c>
      <c r="B684" s="6">
        <v>14001001002</v>
      </c>
      <c r="C684" s="5" t="s">
        <v>467</v>
      </c>
      <c r="D684" s="5">
        <v>50</v>
      </c>
      <c r="E684" s="5" t="s">
        <v>32</v>
      </c>
      <c r="F684" s="7">
        <v>167428</v>
      </c>
      <c r="G684" s="5">
        <v>0</v>
      </c>
    </row>
    <row r="685" spans="1:7" s="5" customFormat="1" x14ac:dyDescent="0.25">
      <c r="A685" s="5">
        <v>4</v>
      </c>
      <c r="B685" s="6">
        <v>14001001003</v>
      </c>
      <c r="C685" s="5" t="s">
        <v>468</v>
      </c>
      <c r="D685" s="5">
        <v>19</v>
      </c>
      <c r="E685" s="5" t="s">
        <v>32</v>
      </c>
      <c r="F685" s="7">
        <v>47707.02</v>
      </c>
      <c r="G685" s="5">
        <v>0</v>
      </c>
    </row>
    <row r="686" spans="1:7" s="5" customFormat="1" x14ac:dyDescent="0.25">
      <c r="A686" s="5">
        <v>4</v>
      </c>
      <c r="B686" s="6">
        <v>14001001004</v>
      </c>
      <c r="C686" s="5" t="s">
        <v>469</v>
      </c>
      <c r="D686" s="5">
        <v>13</v>
      </c>
      <c r="E686" s="5" t="s">
        <v>32</v>
      </c>
      <c r="F686" s="7">
        <v>5949.32</v>
      </c>
      <c r="G686" s="5">
        <v>0</v>
      </c>
    </row>
    <row r="687" spans="1:7" s="5" customFormat="1" x14ac:dyDescent="0.25">
      <c r="A687" s="5">
        <v>4</v>
      </c>
      <c r="B687" s="6">
        <v>14001001005</v>
      </c>
      <c r="C687" s="5" t="s">
        <v>470</v>
      </c>
      <c r="D687" s="5">
        <v>1</v>
      </c>
      <c r="E687" s="5" t="s">
        <v>16</v>
      </c>
      <c r="F687" s="7">
        <v>200000</v>
      </c>
      <c r="G687" s="5">
        <v>0</v>
      </c>
    </row>
    <row r="688" spans="1:7" s="5" customFormat="1" x14ac:dyDescent="0.25">
      <c r="A688" s="5">
        <v>3</v>
      </c>
      <c r="B688" s="6">
        <v>14001002</v>
      </c>
      <c r="C688" s="5" t="s">
        <v>471</v>
      </c>
    </row>
    <row r="689" spans="1:7" s="5" customFormat="1" x14ac:dyDescent="0.25">
      <c r="A689" s="5">
        <v>4</v>
      </c>
      <c r="B689" s="6">
        <v>14001002001</v>
      </c>
      <c r="C689" s="5" t="s">
        <v>472</v>
      </c>
      <c r="D689" s="5">
        <v>1</v>
      </c>
      <c r="E689" s="5" t="s">
        <v>32</v>
      </c>
      <c r="F689" s="7">
        <v>788289.22</v>
      </c>
      <c r="G689" s="5">
        <v>0</v>
      </c>
    </row>
    <row r="690" spans="1:7" s="5" customFormat="1" x14ac:dyDescent="0.25">
      <c r="A690" s="5">
        <v>3</v>
      </c>
      <c r="B690" s="6">
        <v>14001003</v>
      </c>
      <c r="C690" s="5" t="s">
        <v>473</v>
      </c>
    </row>
    <row r="691" spans="1:7" s="5" customFormat="1" x14ac:dyDescent="0.25">
      <c r="A691" s="5">
        <v>4</v>
      </c>
      <c r="B691" s="6">
        <v>14001003001</v>
      </c>
      <c r="C691" s="5" t="s">
        <v>467</v>
      </c>
      <c r="D691" s="5">
        <v>17</v>
      </c>
      <c r="E691" s="5" t="s">
        <v>32</v>
      </c>
      <c r="F691" s="7">
        <v>56925.52</v>
      </c>
      <c r="G691" s="5">
        <v>0</v>
      </c>
    </row>
    <row r="692" spans="1:7" s="5" customFormat="1" x14ac:dyDescent="0.25">
      <c r="A692" s="5">
        <v>4</v>
      </c>
      <c r="B692" s="6">
        <v>14001003002</v>
      </c>
      <c r="C692" s="5" t="s">
        <v>474</v>
      </c>
      <c r="D692" s="5">
        <v>1</v>
      </c>
      <c r="E692" s="5" t="s">
        <v>32</v>
      </c>
      <c r="F692" s="7">
        <v>30000</v>
      </c>
      <c r="G692" s="5">
        <v>0</v>
      </c>
    </row>
    <row r="693" spans="1:7" s="5" customFormat="1" x14ac:dyDescent="0.25">
      <c r="A693" s="5">
        <v>3</v>
      </c>
      <c r="B693" s="6">
        <v>14001004</v>
      </c>
      <c r="C693" s="5" t="s">
        <v>475</v>
      </c>
    </row>
    <row r="694" spans="1:7" s="5" customFormat="1" x14ac:dyDescent="0.25">
      <c r="A694" s="5">
        <v>4</v>
      </c>
      <c r="B694" s="6">
        <v>14001004001</v>
      </c>
      <c r="C694" s="5" t="s">
        <v>476</v>
      </c>
      <c r="D694" s="5">
        <v>1</v>
      </c>
      <c r="E694" s="5" t="s">
        <v>32</v>
      </c>
      <c r="F694" s="7">
        <v>60000</v>
      </c>
      <c r="G694" s="5">
        <v>0</v>
      </c>
    </row>
    <row r="695" spans="1:7" s="5" customFormat="1" x14ac:dyDescent="0.25">
      <c r="A695" s="5">
        <v>3</v>
      </c>
      <c r="B695" s="6">
        <v>14001005</v>
      </c>
      <c r="C695" s="5" t="s">
        <v>477</v>
      </c>
    </row>
    <row r="696" spans="1:7" s="5" customFormat="1" x14ac:dyDescent="0.25">
      <c r="A696" s="5">
        <v>4</v>
      </c>
      <c r="B696" s="6">
        <v>14001005001</v>
      </c>
      <c r="C696" s="5" t="s">
        <v>467</v>
      </c>
      <c r="D696" s="5">
        <v>242</v>
      </c>
      <c r="E696" s="5" t="s">
        <v>32</v>
      </c>
      <c r="F696" s="7">
        <v>810351.52</v>
      </c>
      <c r="G696" s="5">
        <v>0</v>
      </c>
    </row>
    <row r="697" spans="1:7" s="5" customFormat="1" x14ac:dyDescent="0.25">
      <c r="A697" s="5">
        <v>4</v>
      </c>
      <c r="B697" s="6">
        <v>14001005002</v>
      </c>
      <c r="C697" s="5" t="s">
        <v>466</v>
      </c>
      <c r="D697" s="7">
        <v>1430</v>
      </c>
      <c r="E697" s="5" t="s">
        <v>32</v>
      </c>
      <c r="F697" s="7">
        <v>1837707.3</v>
      </c>
      <c r="G697" s="5">
        <v>0</v>
      </c>
    </row>
    <row r="698" spans="1:7" s="5" customFormat="1" x14ac:dyDescent="0.25">
      <c r="A698" s="5">
        <v>3</v>
      </c>
      <c r="B698" s="6">
        <v>14001006</v>
      </c>
      <c r="C698" s="5" t="s">
        <v>478</v>
      </c>
    </row>
    <row r="699" spans="1:7" s="5" customFormat="1" x14ac:dyDescent="0.25">
      <c r="A699" s="5">
        <v>4</v>
      </c>
      <c r="B699" s="6">
        <v>14001006001</v>
      </c>
      <c r="C699" s="5" t="s">
        <v>479</v>
      </c>
      <c r="D699" s="7">
        <v>17890.46</v>
      </c>
      <c r="E699" s="5" t="s">
        <v>32</v>
      </c>
      <c r="F699" s="7">
        <v>710967.06</v>
      </c>
      <c r="G699" s="5">
        <v>0</v>
      </c>
    </row>
    <row r="700" spans="1:7" s="5" customFormat="1" x14ac:dyDescent="0.25">
      <c r="A700" s="5">
        <v>4</v>
      </c>
      <c r="B700" s="6">
        <v>14001006002</v>
      </c>
      <c r="C700" s="5" t="s">
        <v>480</v>
      </c>
      <c r="D700" s="7">
        <v>144739.79999999999</v>
      </c>
      <c r="E700" s="5" t="s">
        <v>11</v>
      </c>
      <c r="F700" s="7">
        <v>235925.87</v>
      </c>
      <c r="G700" s="5">
        <v>0</v>
      </c>
    </row>
    <row r="701" spans="1:7" s="5" customFormat="1" x14ac:dyDescent="0.25">
      <c r="A701" s="5">
        <v>2</v>
      </c>
      <c r="B701" s="6">
        <v>14002</v>
      </c>
      <c r="C701" s="5" t="s">
        <v>463</v>
      </c>
    </row>
    <row r="702" spans="1:7" s="5" customFormat="1" x14ac:dyDescent="0.25">
      <c r="A702" s="5">
        <v>3</v>
      </c>
      <c r="B702" s="6">
        <v>14002001</v>
      </c>
      <c r="C702" s="5" t="s">
        <v>481</v>
      </c>
    </row>
    <row r="703" spans="1:7" s="5" customFormat="1" x14ac:dyDescent="0.25">
      <c r="A703" s="5">
        <v>4</v>
      </c>
      <c r="B703" s="6">
        <v>14002001001</v>
      </c>
      <c r="C703" s="5" t="s">
        <v>482</v>
      </c>
      <c r="D703" s="7">
        <v>4074.34</v>
      </c>
      <c r="E703" s="5" t="s">
        <v>23</v>
      </c>
      <c r="F703" s="7">
        <v>142235.21</v>
      </c>
      <c r="G703" s="5">
        <v>0</v>
      </c>
    </row>
    <row r="704" spans="1:7" s="5" customFormat="1" x14ac:dyDescent="0.25">
      <c r="A704" s="5">
        <v>4</v>
      </c>
      <c r="B704" s="6">
        <v>14002001002</v>
      </c>
      <c r="C704" s="5" t="s">
        <v>483</v>
      </c>
      <c r="D704" s="7">
        <v>4074.34</v>
      </c>
      <c r="E704" s="5" t="s">
        <v>23</v>
      </c>
      <c r="F704" s="7">
        <v>94443.199999999997</v>
      </c>
      <c r="G704" s="5">
        <v>0</v>
      </c>
    </row>
    <row r="705" spans="1:7" s="5" customFormat="1" x14ac:dyDescent="0.25">
      <c r="A705" s="5">
        <v>4</v>
      </c>
      <c r="B705" s="6">
        <v>14002001003</v>
      </c>
      <c r="C705" s="5" t="s">
        <v>484</v>
      </c>
      <c r="D705" s="5">
        <v>202</v>
      </c>
      <c r="E705" s="5" t="s">
        <v>32</v>
      </c>
      <c r="F705" s="7">
        <v>59135.5</v>
      </c>
      <c r="G705" s="5">
        <v>0</v>
      </c>
    </row>
    <row r="706" spans="1:7" s="5" customFormat="1" x14ac:dyDescent="0.25">
      <c r="A706" s="5">
        <v>3</v>
      </c>
      <c r="B706" s="6">
        <v>14002002</v>
      </c>
      <c r="C706" s="5" t="s">
        <v>485</v>
      </c>
    </row>
    <row r="707" spans="1:7" s="5" customFormat="1" x14ac:dyDescent="0.25">
      <c r="A707" s="5">
        <v>4</v>
      </c>
      <c r="B707" s="6">
        <v>14002002001</v>
      </c>
      <c r="C707" s="5" t="s">
        <v>486</v>
      </c>
      <c r="D707" s="7">
        <v>2325</v>
      </c>
      <c r="E707" s="5" t="s">
        <v>11</v>
      </c>
      <c r="F707" s="7">
        <v>1444499.25</v>
      </c>
      <c r="G707" s="5">
        <v>0</v>
      </c>
    </row>
    <row r="708" spans="1:7" s="5" customFormat="1" x14ac:dyDescent="0.25">
      <c r="A708" s="5">
        <v>4</v>
      </c>
      <c r="B708" s="6">
        <v>14002002002</v>
      </c>
      <c r="C708" s="5" t="s">
        <v>487</v>
      </c>
      <c r="D708" s="5">
        <v>5</v>
      </c>
      <c r="E708" s="5" t="s">
        <v>16</v>
      </c>
      <c r="F708" s="7">
        <v>24500000</v>
      </c>
      <c r="G708" s="5">
        <v>0</v>
      </c>
    </row>
    <row r="709" spans="1:7" s="5" customFormat="1" x14ac:dyDescent="0.25">
      <c r="A709" s="5">
        <v>4</v>
      </c>
      <c r="B709" s="6">
        <v>14002002003</v>
      </c>
      <c r="C709" s="5" t="s">
        <v>488</v>
      </c>
      <c r="D709" s="7">
        <v>1854.2</v>
      </c>
      <c r="E709" s="5" t="s">
        <v>23</v>
      </c>
      <c r="F709" s="7">
        <v>8806096.4299999997</v>
      </c>
      <c r="G709" s="5">
        <v>0</v>
      </c>
    </row>
    <row r="710" spans="1:7" s="5" customFormat="1" x14ac:dyDescent="0.25">
      <c r="A710" s="5">
        <v>4</v>
      </c>
      <c r="B710" s="6">
        <v>14002002004</v>
      </c>
      <c r="C710" s="5" t="s">
        <v>489</v>
      </c>
      <c r="D710" s="5">
        <v>82</v>
      </c>
      <c r="E710" s="5" t="s">
        <v>23</v>
      </c>
      <c r="F710" s="7">
        <v>501440.66</v>
      </c>
      <c r="G710" s="5">
        <v>0</v>
      </c>
    </row>
    <row r="711" spans="1:7" s="5" customFormat="1" x14ac:dyDescent="0.25">
      <c r="A711" s="5">
        <v>4</v>
      </c>
      <c r="B711" s="6">
        <v>14002002005</v>
      </c>
      <c r="C711" s="5" t="s">
        <v>490</v>
      </c>
      <c r="D711" s="5">
        <v>129.6</v>
      </c>
      <c r="E711" s="5" t="s">
        <v>23</v>
      </c>
      <c r="F711" s="7">
        <v>792520.85</v>
      </c>
      <c r="G711" s="5">
        <v>0</v>
      </c>
    </row>
    <row r="712" spans="1:7" s="5" customFormat="1" x14ac:dyDescent="0.25">
      <c r="A712" s="5">
        <v>4</v>
      </c>
      <c r="B712" s="6">
        <v>14002002006</v>
      </c>
      <c r="C712" s="5" t="s">
        <v>491</v>
      </c>
      <c r="D712" s="7">
        <v>6600.3</v>
      </c>
      <c r="E712" s="5" t="s">
        <v>23</v>
      </c>
      <c r="F712" s="7">
        <v>40361692.539999999</v>
      </c>
      <c r="G712" s="5">
        <v>0</v>
      </c>
    </row>
    <row r="713" spans="1:7" s="5" customFormat="1" x14ac:dyDescent="0.25">
      <c r="A713" s="5">
        <v>4</v>
      </c>
      <c r="B713" s="6">
        <v>14002002007</v>
      </c>
      <c r="C713" s="5" t="s">
        <v>492</v>
      </c>
      <c r="D713" s="5">
        <v>20</v>
      </c>
      <c r="E713" s="5" t="s">
        <v>32</v>
      </c>
      <c r="F713" s="7">
        <v>1200000</v>
      </c>
      <c r="G713" s="5">
        <v>0</v>
      </c>
    </row>
    <row r="714" spans="1:7" s="5" customFormat="1" x14ac:dyDescent="0.25">
      <c r="A714" s="5">
        <v>4</v>
      </c>
      <c r="B714" s="6">
        <v>14002002008</v>
      </c>
      <c r="C714" s="5" t="s">
        <v>493</v>
      </c>
      <c r="D714" s="5">
        <v>115.26</v>
      </c>
      <c r="E714" s="5" t="s">
        <v>11</v>
      </c>
      <c r="F714" s="7">
        <v>138225.56</v>
      </c>
      <c r="G714" s="5">
        <v>0</v>
      </c>
    </row>
    <row r="715" spans="1:7" s="5" customFormat="1" x14ac:dyDescent="0.25">
      <c r="A715" s="5">
        <v>4</v>
      </c>
      <c r="B715" s="6">
        <v>14002002009</v>
      </c>
      <c r="C715" s="5" t="s">
        <v>494</v>
      </c>
      <c r="D715" s="5">
        <v>10</v>
      </c>
      <c r="E715" s="5" t="s">
        <v>32</v>
      </c>
      <c r="F715" s="7">
        <v>14354.56</v>
      </c>
      <c r="G715" s="5">
        <v>0</v>
      </c>
    </row>
    <row r="716" spans="1:7" s="5" customFormat="1" x14ac:dyDescent="0.25">
      <c r="A716" s="5">
        <v>3</v>
      </c>
      <c r="B716" s="6">
        <v>14002003</v>
      </c>
      <c r="C716" s="5" t="s">
        <v>495</v>
      </c>
    </row>
    <row r="717" spans="1:7" s="5" customFormat="1" x14ac:dyDescent="0.25">
      <c r="A717" s="5">
        <v>4</v>
      </c>
      <c r="B717" s="6">
        <v>14002003001</v>
      </c>
      <c r="C717" s="5" t="s">
        <v>496</v>
      </c>
      <c r="D717" s="5">
        <v>556.08000000000004</v>
      </c>
      <c r="E717" s="5" t="s">
        <v>11</v>
      </c>
      <c r="F717" s="7">
        <v>611487.81000000006</v>
      </c>
      <c r="G717" s="5">
        <v>0</v>
      </c>
    </row>
    <row r="718" spans="1:7" s="5" customFormat="1" x14ac:dyDescent="0.25">
      <c r="A718" s="5">
        <v>4</v>
      </c>
      <c r="B718" s="6">
        <v>14002003002</v>
      </c>
      <c r="C718" s="5" t="s">
        <v>497</v>
      </c>
      <c r="D718" s="5">
        <v>20</v>
      </c>
      <c r="E718" s="5" t="s">
        <v>32</v>
      </c>
      <c r="F718" s="7">
        <v>4485216.5999999996</v>
      </c>
      <c r="G718" s="5">
        <v>0</v>
      </c>
    </row>
    <row r="719" spans="1:7" s="5" customFormat="1" x14ac:dyDescent="0.25">
      <c r="A719" s="8">
        <v>4</v>
      </c>
      <c r="B719" s="9">
        <v>14002003003</v>
      </c>
      <c r="C719" s="8" t="s">
        <v>498</v>
      </c>
      <c r="D719" s="8">
        <v>1</v>
      </c>
      <c r="E719" s="8" t="s">
        <v>32</v>
      </c>
      <c r="F719" s="10">
        <v>242339.5</v>
      </c>
      <c r="G719" s="8">
        <v>0</v>
      </c>
    </row>
    <row r="720" spans="1:7" s="5" customFormat="1" x14ac:dyDescent="0.25">
      <c r="A720" s="5">
        <v>4</v>
      </c>
      <c r="B720" s="6">
        <v>14002003004</v>
      </c>
      <c r="C720" s="5" t="s">
        <v>499</v>
      </c>
      <c r="D720" s="5">
        <v>1</v>
      </c>
      <c r="E720" s="5" t="s">
        <v>32</v>
      </c>
      <c r="F720" s="7">
        <v>52489.62</v>
      </c>
      <c r="G720" s="5">
        <v>0</v>
      </c>
    </row>
    <row r="721" spans="1:7" s="5" customFormat="1" x14ac:dyDescent="0.25">
      <c r="A721" s="5">
        <v>4</v>
      </c>
      <c r="B721" s="6">
        <v>14002003005</v>
      </c>
      <c r="C721" s="5" t="s">
        <v>500</v>
      </c>
      <c r="D721" s="5">
        <v>1</v>
      </c>
      <c r="E721" s="5" t="s">
        <v>32</v>
      </c>
      <c r="F721" s="7">
        <v>31470.639999999999</v>
      </c>
      <c r="G721" s="5">
        <v>0</v>
      </c>
    </row>
    <row r="722" spans="1:7" s="5" customFormat="1" x14ac:dyDescent="0.25">
      <c r="A722" s="5">
        <v>4</v>
      </c>
      <c r="B722" s="6">
        <v>14002003006</v>
      </c>
      <c r="C722" s="5" t="s">
        <v>501</v>
      </c>
      <c r="D722" s="5">
        <v>250</v>
      </c>
      <c r="E722" s="5" t="s">
        <v>32</v>
      </c>
      <c r="F722" s="7">
        <v>1140967.5</v>
      </c>
      <c r="G722" s="5">
        <v>0</v>
      </c>
    </row>
    <row r="723" spans="1:7" s="5" customFormat="1" x14ac:dyDescent="0.25">
      <c r="A723" s="5">
        <v>4</v>
      </c>
      <c r="B723" s="6">
        <v>14002003007</v>
      </c>
      <c r="C723" s="5" t="s">
        <v>502</v>
      </c>
      <c r="D723" s="5">
        <v>10</v>
      </c>
      <c r="E723" s="5" t="s">
        <v>32</v>
      </c>
      <c r="F723" s="7">
        <v>436162.3</v>
      </c>
      <c r="G723" s="5">
        <v>0</v>
      </c>
    </row>
    <row r="724" spans="1:7" s="5" customFormat="1" x14ac:dyDescent="0.25">
      <c r="A724" s="5">
        <v>4</v>
      </c>
      <c r="B724" s="6">
        <v>14002003008</v>
      </c>
      <c r="C724" s="5" t="s">
        <v>503</v>
      </c>
      <c r="D724" s="5">
        <v>2</v>
      </c>
      <c r="E724" s="5" t="s">
        <v>32</v>
      </c>
      <c r="F724" s="7">
        <v>40015.18</v>
      </c>
      <c r="G724" s="5">
        <v>0</v>
      </c>
    </row>
    <row r="725" spans="1:7" s="5" customFormat="1" x14ac:dyDescent="0.25">
      <c r="A725" s="5">
        <v>4</v>
      </c>
      <c r="B725" s="6">
        <v>14002003009</v>
      </c>
      <c r="C725" s="5" t="s">
        <v>504</v>
      </c>
      <c r="D725" s="5">
        <v>1</v>
      </c>
      <c r="E725" s="5" t="s">
        <v>16</v>
      </c>
      <c r="F725" s="7">
        <v>28433.94</v>
      </c>
      <c r="G725" s="5">
        <v>0</v>
      </c>
    </row>
    <row r="726" spans="1:7" s="5" customFormat="1" x14ac:dyDescent="0.25">
      <c r="A726" s="5">
        <v>3</v>
      </c>
      <c r="B726" s="6">
        <v>14002004</v>
      </c>
      <c r="C726" s="5" t="s">
        <v>505</v>
      </c>
    </row>
    <row r="727" spans="1:7" s="5" customFormat="1" x14ac:dyDescent="0.25">
      <c r="A727" s="5">
        <v>4</v>
      </c>
      <c r="B727" s="6">
        <v>14002004001</v>
      </c>
      <c r="C727" s="5" t="s">
        <v>506</v>
      </c>
      <c r="D727" s="5">
        <v>1</v>
      </c>
      <c r="E727" s="5" t="s">
        <v>16</v>
      </c>
      <c r="F727" s="7">
        <v>65342.03</v>
      </c>
      <c r="G727" s="5">
        <v>0</v>
      </c>
    </row>
    <row r="728" spans="1:7" s="1" customFormat="1" x14ac:dyDescent="0.25">
      <c r="A728" s="1">
        <v>3</v>
      </c>
      <c r="B728" s="2">
        <v>14002005</v>
      </c>
      <c r="C728" s="1" t="s">
        <v>507</v>
      </c>
    </row>
    <row r="729" spans="1:7" s="1" customFormat="1" x14ac:dyDescent="0.25">
      <c r="A729" s="1">
        <v>4</v>
      </c>
      <c r="B729" s="2">
        <v>14002005001</v>
      </c>
      <c r="C729" s="1" t="s">
        <v>508</v>
      </c>
      <c r="D729" s="1">
        <v>8</v>
      </c>
      <c r="E729" s="1" t="s">
        <v>32</v>
      </c>
      <c r="F729" s="3">
        <v>375376.24</v>
      </c>
      <c r="G729" s="1">
        <v>0</v>
      </c>
    </row>
    <row r="730" spans="1:7" s="1" customFormat="1" x14ac:dyDescent="0.25">
      <c r="A730" s="1">
        <v>4</v>
      </c>
      <c r="B730" s="2">
        <v>14002005002</v>
      </c>
      <c r="C730" s="1" t="s">
        <v>509</v>
      </c>
      <c r="D730" s="1">
        <v>3</v>
      </c>
      <c r="E730" s="1" t="s">
        <v>32</v>
      </c>
      <c r="F730" s="3">
        <v>161880.99</v>
      </c>
      <c r="G730" s="1">
        <v>0</v>
      </c>
    </row>
    <row r="731" spans="1:7" s="1" customFormat="1" x14ac:dyDescent="0.25">
      <c r="A731" s="1">
        <v>3</v>
      </c>
      <c r="B731" s="2">
        <v>14002006</v>
      </c>
      <c r="C731" s="1" t="s">
        <v>510</v>
      </c>
    </row>
    <row r="732" spans="1:7" s="1" customFormat="1" x14ac:dyDescent="0.25">
      <c r="A732" s="1">
        <v>4</v>
      </c>
      <c r="B732" s="2">
        <v>14002006001</v>
      </c>
      <c r="C732" s="1" t="s">
        <v>511</v>
      </c>
      <c r="D732" s="1">
        <v>1</v>
      </c>
      <c r="E732" s="1" t="s">
        <v>16</v>
      </c>
      <c r="F732" s="3">
        <v>41114.89</v>
      </c>
      <c r="G732" s="1">
        <v>0</v>
      </c>
    </row>
    <row r="733" spans="1:7" s="1" customFormat="1" x14ac:dyDescent="0.25">
      <c r="A733" s="1">
        <v>3</v>
      </c>
      <c r="B733" s="2">
        <v>14002007</v>
      </c>
      <c r="C733" s="1" t="s">
        <v>512</v>
      </c>
    </row>
    <row r="734" spans="1:7" s="1" customFormat="1" x14ac:dyDescent="0.25">
      <c r="A734" s="1">
        <v>4</v>
      </c>
      <c r="B734" s="2">
        <v>14002007001</v>
      </c>
      <c r="C734" s="1" t="s">
        <v>513</v>
      </c>
      <c r="D734" s="1">
        <v>1</v>
      </c>
      <c r="E734" s="1" t="s">
        <v>16</v>
      </c>
      <c r="F734" s="3">
        <v>42511522.75</v>
      </c>
      <c r="G734" s="1">
        <v>0</v>
      </c>
    </row>
    <row r="735" spans="1:7" s="1" customFormat="1" x14ac:dyDescent="0.25">
      <c r="A735" s="1">
        <v>4</v>
      </c>
      <c r="B735" s="2">
        <v>14002007002</v>
      </c>
      <c r="C735" s="1" t="s">
        <v>514</v>
      </c>
      <c r="D735" s="1">
        <v>1</v>
      </c>
      <c r="E735" s="1" t="s">
        <v>16</v>
      </c>
      <c r="F735" s="3">
        <v>700000</v>
      </c>
      <c r="G735" s="1">
        <v>0</v>
      </c>
    </row>
    <row r="736" spans="1:7" s="1" customFormat="1" x14ac:dyDescent="0.25">
      <c r="A736" s="1">
        <v>4</v>
      </c>
      <c r="B736" s="2">
        <v>14002007003</v>
      </c>
      <c r="C736" s="1" t="s">
        <v>515</v>
      </c>
      <c r="D736" s="3">
        <v>1422933.33</v>
      </c>
      <c r="E736" s="1" t="s">
        <v>91</v>
      </c>
      <c r="F736" s="3">
        <v>106720000</v>
      </c>
      <c r="G736" s="1">
        <v>0</v>
      </c>
    </row>
    <row r="737" spans="1:7" s="1" customFormat="1" x14ac:dyDescent="0.25">
      <c r="A737" s="1">
        <v>4</v>
      </c>
      <c r="B737" s="2">
        <v>14002007004</v>
      </c>
      <c r="C737" s="1" t="s">
        <v>516</v>
      </c>
      <c r="D737" s="3">
        <v>3144.22</v>
      </c>
      <c r="E737" s="1" t="s">
        <v>11</v>
      </c>
      <c r="F737" s="3">
        <v>2515372</v>
      </c>
      <c r="G737" s="1">
        <v>0</v>
      </c>
    </row>
    <row r="738" spans="1:7" s="1" customFormat="1" x14ac:dyDescent="0.25">
      <c r="A738" s="1">
        <v>4</v>
      </c>
      <c r="B738" s="2">
        <v>14002007005</v>
      </c>
      <c r="C738" s="1" t="s">
        <v>517</v>
      </c>
      <c r="D738" s="1">
        <v>359.74299999999999</v>
      </c>
      <c r="E738" s="1" t="s">
        <v>11</v>
      </c>
      <c r="F738" s="3">
        <v>287794.40000000002</v>
      </c>
      <c r="G738" s="1">
        <v>0</v>
      </c>
    </row>
    <row r="739" spans="1:7" s="1" customFormat="1" x14ac:dyDescent="0.25">
      <c r="A739" s="1">
        <v>4</v>
      </c>
      <c r="B739" s="2">
        <v>14002007006</v>
      </c>
      <c r="C739" s="1" t="s">
        <v>518</v>
      </c>
      <c r="D739" s="3">
        <v>5903.21</v>
      </c>
      <c r="E739" s="1" t="s">
        <v>11</v>
      </c>
      <c r="F739" s="3">
        <v>4101015.55</v>
      </c>
      <c r="G739" s="1">
        <v>0</v>
      </c>
    </row>
    <row r="740" spans="1:7" s="1" customFormat="1" x14ac:dyDescent="0.25">
      <c r="A740" s="1">
        <v>4</v>
      </c>
      <c r="B740" s="2">
        <v>14002007007</v>
      </c>
      <c r="C740" s="1" t="s">
        <v>519</v>
      </c>
      <c r="D740" s="3">
        <v>5903.21</v>
      </c>
      <c r="E740" s="1" t="s">
        <v>11</v>
      </c>
      <c r="F740" s="3">
        <v>2942393.5</v>
      </c>
      <c r="G740" s="1">
        <v>0</v>
      </c>
    </row>
    <row r="741" spans="1:7" s="1" customFormat="1" x14ac:dyDescent="0.25">
      <c r="A741" s="1">
        <v>4</v>
      </c>
      <c r="B741" s="2">
        <v>14002007008</v>
      </c>
      <c r="C741" s="1" t="s">
        <v>520</v>
      </c>
      <c r="D741" s="1">
        <v>1</v>
      </c>
      <c r="E741" s="1" t="s">
        <v>16</v>
      </c>
      <c r="F741" s="3">
        <v>4827220</v>
      </c>
      <c r="G741" s="1">
        <v>0</v>
      </c>
    </row>
    <row r="742" spans="1:7" s="5" customFormat="1" x14ac:dyDescent="0.25">
      <c r="A742" s="5">
        <v>3</v>
      </c>
      <c r="B742" s="6">
        <v>14002008</v>
      </c>
      <c r="C742" s="5" t="s">
        <v>521</v>
      </c>
    </row>
    <row r="743" spans="1:7" s="5" customFormat="1" x14ac:dyDescent="0.25">
      <c r="A743" s="5">
        <v>4</v>
      </c>
      <c r="B743" s="6">
        <v>14002008001</v>
      </c>
      <c r="C743" s="5" t="s">
        <v>522</v>
      </c>
      <c r="D743" s="7">
        <v>144739.79999999999</v>
      </c>
      <c r="E743" s="5" t="s">
        <v>11</v>
      </c>
      <c r="F743" s="7">
        <v>86843.88</v>
      </c>
      <c r="G743" s="5">
        <v>0</v>
      </c>
    </row>
    <row r="744" spans="1:7" s="5" customFormat="1" x14ac:dyDescent="0.25">
      <c r="A744" s="5">
        <v>4</v>
      </c>
      <c r="B744" s="6">
        <v>14002008002</v>
      </c>
      <c r="C744" s="5" t="s">
        <v>523</v>
      </c>
      <c r="D744" s="7">
        <v>144739.79999999999</v>
      </c>
      <c r="E744" s="5" t="s">
        <v>11</v>
      </c>
      <c r="F744" s="7">
        <v>43421.94</v>
      </c>
      <c r="G744" s="5">
        <v>0</v>
      </c>
    </row>
    <row r="745" spans="1:7" s="5" customFormat="1" x14ac:dyDescent="0.25">
      <c r="A745" s="5">
        <v>4</v>
      </c>
      <c r="B745" s="6">
        <v>14002008003</v>
      </c>
      <c r="C745" s="5" t="s">
        <v>524</v>
      </c>
      <c r="D745" s="5">
        <v>1</v>
      </c>
      <c r="E745" s="5" t="s">
        <v>16</v>
      </c>
      <c r="F745" s="7">
        <v>51263.47</v>
      </c>
      <c r="G745" s="5">
        <v>0</v>
      </c>
    </row>
    <row r="746" spans="1:7" s="5" customFormat="1" x14ac:dyDescent="0.25">
      <c r="A746" s="5">
        <v>4</v>
      </c>
      <c r="B746" s="6">
        <v>14002008004</v>
      </c>
      <c r="C746" s="5" t="s">
        <v>525</v>
      </c>
      <c r="D746" s="5">
        <v>1</v>
      </c>
      <c r="E746" s="5" t="s">
        <v>32</v>
      </c>
      <c r="F746" s="7">
        <v>7472.58</v>
      </c>
      <c r="G746" s="5">
        <v>0</v>
      </c>
    </row>
    <row r="747" spans="1:7" s="5" customFormat="1" x14ac:dyDescent="0.25">
      <c r="A747" s="5">
        <v>3</v>
      </c>
      <c r="B747" s="6">
        <v>14002009</v>
      </c>
      <c r="C747" s="5" t="s">
        <v>526</v>
      </c>
    </row>
    <row r="748" spans="1:7" s="5" customFormat="1" x14ac:dyDescent="0.25">
      <c r="A748" s="5">
        <v>4</v>
      </c>
      <c r="B748" s="6">
        <v>14002009001</v>
      </c>
      <c r="C748" s="5" t="s">
        <v>527</v>
      </c>
      <c r="D748" s="7">
        <v>1367.87</v>
      </c>
      <c r="E748" s="5" t="s">
        <v>11</v>
      </c>
      <c r="F748" s="7">
        <v>704206.83</v>
      </c>
      <c r="G748" s="5">
        <v>0</v>
      </c>
    </row>
    <row r="749" spans="1:7" s="5" customFormat="1" x14ac:dyDescent="0.25">
      <c r="A749" s="5">
        <v>2</v>
      </c>
      <c r="B749" s="6">
        <v>14003</v>
      </c>
      <c r="C749" s="5" t="s">
        <v>528</v>
      </c>
    </row>
    <row r="750" spans="1:7" s="5" customFormat="1" x14ac:dyDescent="0.25">
      <c r="A750" s="5">
        <v>3</v>
      </c>
      <c r="B750" s="6">
        <v>14003001</v>
      </c>
      <c r="C750" s="5" t="s">
        <v>529</v>
      </c>
    </row>
    <row r="751" spans="1:7" s="5" customFormat="1" x14ac:dyDescent="0.25">
      <c r="A751" s="5">
        <v>4</v>
      </c>
      <c r="B751" s="6">
        <v>14003001001</v>
      </c>
      <c r="C751" s="5" t="s">
        <v>530</v>
      </c>
      <c r="D751" s="7">
        <v>144739.79999999999</v>
      </c>
      <c r="E751" s="5" t="s">
        <v>11</v>
      </c>
      <c r="F751" s="7">
        <v>2169649.6</v>
      </c>
      <c r="G751" s="5">
        <v>0</v>
      </c>
    </row>
    <row r="752" spans="1:7" s="5" customFormat="1" x14ac:dyDescent="0.25">
      <c r="A752" s="5">
        <v>4</v>
      </c>
      <c r="B752" s="6">
        <v>14003001002</v>
      </c>
      <c r="C752" s="5" t="s">
        <v>531</v>
      </c>
      <c r="D752" s="7">
        <v>144739.79999999999</v>
      </c>
      <c r="E752" s="5" t="s">
        <v>11</v>
      </c>
      <c r="F752" s="7">
        <v>1940960.72</v>
      </c>
      <c r="G752" s="5">
        <v>0</v>
      </c>
    </row>
    <row r="753" spans="1:7" s="5" customFormat="1" x14ac:dyDescent="0.25">
      <c r="A753" s="5">
        <v>4</v>
      </c>
      <c r="B753" s="6">
        <v>14003001003</v>
      </c>
      <c r="C753" s="5" t="s">
        <v>532</v>
      </c>
      <c r="D753" s="7">
        <v>115605.84</v>
      </c>
      <c r="E753" s="5" t="s">
        <v>11</v>
      </c>
      <c r="F753" s="7">
        <v>1550274.31</v>
      </c>
      <c r="G753" s="5">
        <v>0</v>
      </c>
    </row>
    <row r="754" spans="1:7" s="5" customFormat="1" x14ac:dyDescent="0.25">
      <c r="A754" s="5">
        <v>4</v>
      </c>
      <c r="B754" s="6">
        <v>14003001004</v>
      </c>
      <c r="C754" s="5" t="s">
        <v>533</v>
      </c>
      <c r="D754" s="7">
        <v>5012.6400000000003</v>
      </c>
      <c r="E754" s="5" t="s">
        <v>32</v>
      </c>
      <c r="F754" s="7">
        <v>77194.61</v>
      </c>
      <c r="G754" s="5">
        <v>0</v>
      </c>
    </row>
    <row r="755" spans="1:7" s="5" customFormat="1" x14ac:dyDescent="0.25">
      <c r="A755" s="5">
        <v>4</v>
      </c>
      <c r="B755" s="6">
        <v>14003001005</v>
      </c>
      <c r="C755" s="5" t="s">
        <v>534</v>
      </c>
      <c r="D755" s="7">
        <v>80031.03</v>
      </c>
      <c r="E755" s="5" t="s">
        <v>11</v>
      </c>
      <c r="F755" s="7">
        <v>1115632.54</v>
      </c>
      <c r="G755" s="5">
        <v>0</v>
      </c>
    </row>
    <row r="756" spans="1:7" s="5" customFormat="1" x14ac:dyDescent="0.25">
      <c r="A756" s="5">
        <v>1</v>
      </c>
      <c r="B756" s="5">
        <v>15</v>
      </c>
      <c r="C756" s="5" t="s">
        <v>535</v>
      </c>
    </row>
    <row r="757" spans="1:7" s="5" customFormat="1" x14ac:dyDescent="0.25">
      <c r="A757" s="5">
        <v>2</v>
      </c>
      <c r="B757" s="6">
        <v>15001</v>
      </c>
      <c r="C757" s="5" t="s">
        <v>535</v>
      </c>
    </row>
    <row r="758" spans="1:7" s="5" customFormat="1" x14ac:dyDescent="0.25">
      <c r="A758" s="5">
        <v>3</v>
      </c>
      <c r="B758" s="6">
        <v>15001001</v>
      </c>
      <c r="C758" s="5" t="s">
        <v>536</v>
      </c>
    </row>
    <row r="759" spans="1:7" s="5" customFormat="1" x14ac:dyDescent="0.25">
      <c r="A759" s="5">
        <v>4</v>
      </c>
      <c r="B759" s="6">
        <v>15001001001</v>
      </c>
      <c r="C759" s="5" t="s">
        <v>537</v>
      </c>
      <c r="D759" s="7">
        <v>14103.27</v>
      </c>
      <c r="E759" s="5" t="s">
        <v>11</v>
      </c>
      <c r="F759" s="7">
        <v>32041924.280000001</v>
      </c>
      <c r="G759" s="5">
        <v>0</v>
      </c>
    </row>
    <row r="760" spans="1:7" s="5" customFormat="1" x14ac:dyDescent="0.25">
      <c r="A760" s="5">
        <v>4</v>
      </c>
      <c r="B760" s="6">
        <v>15001001002</v>
      </c>
      <c r="C760" s="5" t="s">
        <v>538</v>
      </c>
      <c r="D760" s="5">
        <v>945.96</v>
      </c>
      <c r="E760" s="5" t="s">
        <v>11</v>
      </c>
      <c r="F760" s="7">
        <v>1227988.51</v>
      </c>
      <c r="G760" s="5">
        <v>0</v>
      </c>
    </row>
    <row r="761" spans="1:7" x14ac:dyDescent="0.25">
      <c r="F761">
        <f>SUM(F2:F760)</f>
        <v>1715002554.8500001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Orçamento Sienge - EDF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Bragatto</dc:creator>
  <cp:lastModifiedBy>Patricia Bragatto</cp:lastModifiedBy>
  <dcterms:created xsi:type="dcterms:W3CDTF">2025-12-04T13:10:04Z</dcterms:created>
  <dcterms:modified xsi:type="dcterms:W3CDTF">2025-12-12T11:15:35Z</dcterms:modified>
</cp:coreProperties>
</file>