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G Empreendimentos\2025.11 - Senna Tower\04. Custo\04.2 Custo - Preliminar\02 - Elaboração\Apoio\"/>
    </mc:Choice>
  </mc:AlternateContent>
  <xr:revisionPtr revIDLastSave="0" documentId="13_ncr:1_{0184C035-DB7E-4CF9-B9A4-EFFF7C3C49CE}" xr6:coauthVersionLast="47" xr6:coauthVersionMax="47" xr10:uidLastSave="{00000000-0000-0000-0000-000000000000}"/>
  <bookViews>
    <workbookView xWindow="-23148" yWindow="-48" windowWidth="23256" windowHeight="12456" xr2:uid="{64F22E28-82FC-47A7-B9E8-7C7719B30936}"/>
  </bookViews>
  <sheets>
    <sheet name="Comparativo de Supra" sheetId="1" r:id="rId1"/>
    <sheet name="FORMAS" sheetId="4" r:id="rId2"/>
    <sheet name="Comparativo de Infra" sheetId="3" r:id="rId3"/>
  </sheets>
  <externalReferences>
    <externalReference r:id="rId4"/>
    <externalReference r:id="rId5"/>
  </externalReferences>
  <definedNames>
    <definedName name="_xlnm.Print_Area" localSheetId="0">'Comparativo de Supra'!$B$3:$R$91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9" i="1" l="1"/>
  <c r="M48" i="1"/>
  <c r="F86" i="1"/>
  <c r="I90" i="1"/>
  <c r="F90" i="1"/>
  <c r="X93" i="1"/>
  <c r="X86" i="1"/>
  <c r="X90" i="1" s="1"/>
  <c r="X11" i="1"/>
  <c r="X20" i="1"/>
  <c r="X29" i="1"/>
  <c r="X38" i="1"/>
  <c r="X49" i="1"/>
  <c r="X48" i="1"/>
  <c r="X19" i="1"/>
  <c r="X18" i="1"/>
  <c r="X17" i="1"/>
  <c r="X16" i="1"/>
  <c r="X37" i="1"/>
  <c r="X36" i="1"/>
  <c r="X35" i="1"/>
  <c r="X34" i="1"/>
  <c r="X28" i="1"/>
  <c r="X27" i="1"/>
  <c r="X26" i="1"/>
  <c r="X25" i="1"/>
  <c r="X10" i="1"/>
  <c r="X9" i="1"/>
  <c r="X8" i="1"/>
  <c r="X7" i="1"/>
  <c r="I93" i="1" a="1"/>
  <c r="I93" i="1" s="1"/>
  <c r="L90" i="1" l="1"/>
  <c r="O90" i="1"/>
  <c r="G49" i="1"/>
  <c r="G48" i="1"/>
  <c r="I17" i="1"/>
  <c r="I8" i="1"/>
  <c r="I26" i="1"/>
  <c r="J70" i="1"/>
  <c r="J17" i="1" s="1"/>
  <c r="J72" i="1"/>
  <c r="F35" i="1"/>
  <c r="L25" i="1"/>
  <c r="L16" i="1"/>
  <c r="L7" i="1"/>
  <c r="J80" i="1"/>
  <c r="J78" i="1"/>
  <c r="L34" i="1" s="1"/>
  <c r="J82" i="1"/>
  <c r="G30" i="1"/>
  <c r="G29" i="1"/>
  <c r="G21" i="1"/>
  <c r="G20" i="1"/>
  <c r="G12" i="1"/>
  <c r="G11" i="1"/>
  <c r="G8" i="1"/>
  <c r="G9" i="1"/>
  <c r="G10" i="1"/>
  <c r="G37" i="1"/>
  <c r="G36" i="1"/>
  <c r="G35" i="1"/>
  <c r="G34" i="1"/>
  <c r="G28" i="1"/>
  <c r="G27" i="1"/>
  <c r="G26" i="1"/>
  <c r="G25" i="1"/>
  <c r="G19" i="1"/>
  <c r="G18" i="1"/>
  <c r="G17" i="1"/>
  <c r="G16" i="1"/>
  <c r="G7" i="1"/>
  <c r="F37" i="1"/>
  <c r="F36" i="1"/>
  <c r="F34" i="1"/>
  <c r="F28" i="1"/>
  <c r="F27" i="1"/>
  <c r="F26" i="1"/>
  <c r="F29" i="1" s="1"/>
  <c r="F25" i="1"/>
  <c r="F19" i="1"/>
  <c r="F18" i="1"/>
  <c r="F17" i="1"/>
  <c r="F16" i="1"/>
  <c r="F10" i="1"/>
  <c r="F8" i="1"/>
  <c r="F7" i="1"/>
  <c r="D1" i="1"/>
  <c r="F20" i="1"/>
  <c r="F38" i="1"/>
  <c r="G39" i="1" s="1"/>
  <c r="L86" i="1"/>
  <c r="O86" i="1"/>
  <c r="I86" i="1"/>
  <c r="P52" i="1"/>
  <c r="O8" i="1" s="1"/>
  <c r="P51" i="1"/>
  <c r="O37" i="1"/>
  <c r="P37" i="1" s="1"/>
  <c r="O36" i="1"/>
  <c r="P36" i="1" s="1"/>
  <c r="O34" i="1"/>
  <c r="P34" i="1" s="1"/>
  <c r="O28" i="1"/>
  <c r="P28" i="1" s="1"/>
  <c r="O27" i="1"/>
  <c r="P27" i="1" s="1"/>
  <c r="O19" i="1"/>
  <c r="P19" i="1" s="1"/>
  <c r="O18" i="1"/>
  <c r="P18" i="1" s="1"/>
  <c r="O16" i="1"/>
  <c r="P16" i="1" s="1"/>
  <c r="O10" i="1"/>
  <c r="P10" i="1" s="1"/>
  <c r="O9" i="1"/>
  <c r="P9" i="1" s="1"/>
  <c r="M36" i="1"/>
  <c r="C24" i="1"/>
  <c r="C15" i="1"/>
  <c r="C6" i="1"/>
  <c r="D41" i="4"/>
  <c r="I25" i="1"/>
  <c r="J25" i="1" s="1"/>
  <c r="I7" i="1"/>
  <c r="O7" i="1" s="1"/>
  <c r="P7" i="1" s="1"/>
  <c r="C8" i="4"/>
  <c r="C9" i="4" s="1"/>
  <c r="M9" i="1"/>
  <c r="M18" i="1"/>
  <c r="M27" i="1"/>
  <c r="J49" i="1"/>
  <c r="J48" i="1"/>
  <c r="I47" i="4"/>
  <c r="H47" i="4" s="1"/>
  <c r="I46" i="4"/>
  <c r="H46" i="4" s="1"/>
  <c r="I45" i="4"/>
  <c r="H45" i="4" s="1"/>
  <c r="I44" i="4"/>
  <c r="H44" i="4"/>
  <c r="I43" i="4"/>
  <c r="H43" i="4" s="1"/>
  <c r="I42" i="4"/>
  <c r="H42" i="4"/>
  <c r="I41" i="4"/>
  <c r="H41" i="4" s="1"/>
  <c r="I40" i="4"/>
  <c r="H40" i="4"/>
  <c r="C33" i="4"/>
  <c r="C35" i="4" s="1"/>
  <c r="H32" i="4"/>
  <c r="H31" i="4"/>
  <c r="H30" i="4"/>
  <c r="H29" i="4"/>
  <c r="C29" i="4"/>
  <c r="H28" i="4"/>
  <c r="C27" i="4"/>
  <c r="H27" i="4" s="1"/>
  <c r="H26" i="4"/>
  <c r="C18" i="4"/>
  <c r="H17" i="4"/>
  <c r="I10" i="4" s="1"/>
  <c r="C17" i="4"/>
  <c r="C16" i="4"/>
  <c r="I15" i="4"/>
  <c r="I14" i="4"/>
  <c r="C14" i="4"/>
  <c r="C20" i="4" s="1"/>
  <c r="I12" i="4"/>
  <c r="C10" i="4"/>
  <c r="I9" i="4"/>
  <c r="I8" i="4"/>
  <c r="L37" i="1"/>
  <c r="M37" i="1" s="1"/>
  <c r="C60" i="1"/>
  <c r="K55" i="1"/>
  <c r="I55" i="1"/>
  <c r="C55" i="1"/>
  <c r="J10" i="1"/>
  <c r="J9" i="1"/>
  <c r="J19" i="1"/>
  <c r="J18" i="1"/>
  <c r="J16" i="1"/>
  <c r="J28" i="1"/>
  <c r="J27" i="1"/>
  <c r="J37" i="1"/>
  <c r="J36" i="1"/>
  <c r="J34" i="1"/>
  <c r="I67" i="1"/>
  <c r="I35" i="1" l="1"/>
  <c r="I38" i="1" s="1"/>
  <c r="G38" i="1"/>
  <c r="F11" i="1"/>
  <c r="F42" i="1"/>
  <c r="G43" i="1" s="1"/>
  <c r="O26" i="1"/>
  <c r="P26" i="1" s="1"/>
  <c r="O17" i="1"/>
  <c r="P17" i="1" s="1"/>
  <c r="O35" i="1"/>
  <c r="P35" i="1" s="1"/>
  <c r="J26" i="1"/>
  <c r="L38" i="1"/>
  <c r="O25" i="1"/>
  <c r="P25" i="1" s="1"/>
  <c r="P8" i="1"/>
  <c r="C33" i="1"/>
  <c r="I20" i="1"/>
  <c r="J21" i="1" s="1"/>
  <c r="I11" i="1"/>
  <c r="J7" i="1"/>
  <c r="C49" i="4"/>
  <c r="C48" i="4" s="1"/>
  <c r="C37" i="4"/>
  <c r="C39" i="4" s="1"/>
  <c r="H33" i="4"/>
  <c r="I13" i="4"/>
  <c r="C12" i="4"/>
  <c r="D12" i="4" s="1"/>
  <c r="J17" i="4"/>
  <c r="J11" i="4" s="1"/>
  <c r="L19" i="1"/>
  <c r="M19" i="1" s="1"/>
  <c r="L28" i="1"/>
  <c r="M28" i="1" s="1"/>
  <c r="L10" i="1"/>
  <c r="M10" i="1" s="1"/>
  <c r="J8" i="1"/>
  <c r="G42" i="1" l="1"/>
  <c r="M39" i="1"/>
  <c r="J39" i="1"/>
  <c r="J38" i="1"/>
  <c r="J35" i="1"/>
  <c r="O29" i="1"/>
  <c r="P30" i="1" s="1"/>
  <c r="I29" i="1"/>
  <c r="J29" i="1" s="1"/>
  <c r="P29" i="1"/>
  <c r="O38" i="1"/>
  <c r="M38" i="1"/>
  <c r="L20" i="1"/>
  <c r="L29" i="1"/>
  <c r="L11" i="1"/>
  <c r="J20" i="1"/>
  <c r="J12" i="1"/>
  <c r="J11" i="1"/>
  <c r="J13" i="4"/>
  <c r="J10" i="4"/>
  <c r="C22" i="4"/>
  <c r="C41" i="4" s="1"/>
  <c r="J15" i="4"/>
  <c r="J14" i="4"/>
  <c r="E39" i="4"/>
  <c r="J12" i="4"/>
  <c r="J9" i="4"/>
  <c r="J8" i="4"/>
  <c r="L42" i="1" l="1"/>
  <c r="M42" i="1" s="1"/>
  <c r="I42" i="1"/>
  <c r="J30" i="1"/>
  <c r="O20" i="1"/>
  <c r="P39" i="1"/>
  <c r="P38" i="1"/>
  <c r="O11" i="1"/>
  <c r="O42" i="1" s="1"/>
  <c r="M12" i="1"/>
  <c r="M11" i="1"/>
  <c r="M29" i="1"/>
  <c r="M30" i="1"/>
  <c r="M21" i="1"/>
  <c r="M20" i="1"/>
  <c r="C51" i="4"/>
  <c r="K17" i="4"/>
  <c r="M43" i="1" l="1"/>
  <c r="J43" i="1"/>
  <c r="J42" i="1"/>
  <c r="P43" i="1"/>
  <c r="P42" i="1"/>
  <c r="P12" i="1"/>
  <c r="P11" i="1"/>
  <c r="P21" i="1"/>
  <c r="P20" i="1"/>
  <c r="K14" i="4"/>
  <c r="L14" i="4" s="1"/>
  <c r="K10" i="4"/>
  <c r="L10" i="4" s="1"/>
  <c r="K15" i="4"/>
  <c r="L15" i="4" s="1"/>
  <c r="K11" i="4"/>
  <c r="K9" i="4"/>
  <c r="K8" i="4"/>
  <c r="L8" i="4" s="1"/>
  <c r="K13" i="4"/>
  <c r="L13" i="4" s="1"/>
  <c r="K12" i="4"/>
  <c r="L12" i="4" s="1"/>
  <c r="K16" i="4" l="1"/>
  <c r="L9" i="4"/>
  <c r="J11" i="3" l="1"/>
  <c r="D8" i="3"/>
  <c r="C8" i="3"/>
  <c r="J6" i="3"/>
  <c r="I4" i="3"/>
  <c r="D11" i="3" l="1"/>
  <c r="U7" i="1" l="1"/>
  <c r="U8" i="1" s="1"/>
  <c r="V8" i="1" s="1"/>
  <c r="V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FG / Marcio Antonius Rodrigues Caiaffo</author>
  </authors>
  <commentList>
    <comment ref="J7" authorId="0" shapeId="0" xr:uid="{0DAE14F1-C144-40B7-8B96-984768EBFFE9}">
      <text>
        <r>
          <rPr>
            <b/>
            <sz val="9"/>
            <color indexed="81"/>
            <rFont val="Segoe UI"/>
            <family val="2"/>
          </rPr>
          <t>FG / Marcio Antonius Rodrigues Caiaffo:</t>
        </r>
        <r>
          <rPr>
            <sz val="9"/>
            <color indexed="81"/>
            <rFont val="Segoe UI"/>
            <family val="2"/>
          </rPr>
          <t xml:space="preserve">
adicionar indicador de custo ; área de laje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<sst xmlns="http://schemas.openxmlformats.org/spreadsheetml/2006/main" count="193" uniqueCount="88">
  <si>
    <t>Forma e Escoramento</t>
  </si>
  <si>
    <t>Aço</t>
  </si>
  <si>
    <t>Concreto</t>
  </si>
  <si>
    <t>M.O Concreto</t>
  </si>
  <si>
    <t>SOMARSIL</t>
  </si>
  <si>
    <t>Volume total</t>
  </si>
  <si>
    <t>TOTAL</t>
  </si>
  <si>
    <t>DIFERENÇA</t>
  </si>
  <si>
    <t>M.O Estaqueamento</t>
  </si>
  <si>
    <t>HÉLICE CONTÍNUA</t>
  </si>
  <si>
    <t>HC + ESTACA RAIZ</t>
  </si>
  <si>
    <t>COMPARATIVO DE INFRA - HÉLICE X HÉLICE + ESTACA RAIZ</t>
  </si>
  <si>
    <t>Execução de Blocos (M.O)</t>
  </si>
  <si>
    <t>SH + Concase</t>
  </si>
  <si>
    <t>Material para Forma e de Blocos</t>
  </si>
  <si>
    <t>Torre A</t>
  </si>
  <si>
    <t>Torre C</t>
  </si>
  <si>
    <t>Torre B</t>
  </si>
  <si>
    <t>Forma</t>
  </si>
  <si>
    <t>TORRE A</t>
  </si>
  <si>
    <t>TORRE B</t>
  </si>
  <si>
    <t>TORRE C</t>
  </si>
  <si>
    <t>EMBASAMENTO</t>
  </si>
  <si>
    <t>BLOCOS</t>
  </si>
  <si>
    <t>Valor do Térreo ao lazar de 1 torre</t>
  </si>
  <si>
    <t>Valor é igual para as 3 torres</t>
  </si>
  <si>
    <t>m²</t>
  </si>
  <si>
    <t>m³</t>
  </si>
  <si>
    <t>kg</t>
  </si>
  <si>
    <t>Concreto 40Mpa</t>
  </si>
  <si>
    <t>Concreto 50Mpa</t>
  </si>
  <si>
    <t>Valores Concreto</t>
  </si>
  <si>
    <t>40Mpa</t>
  </si>
  <si>
    <t>50Mpa</t>
  </si>
  <si>
    <t>Ezeplan + SH</t>
  </si>
  <si>
    <t xml:space="preserve">Valor da Proposta SH para uma Forma Nova - INCLUINDO OPCIONAIS DE SEGURANÇA - </t>
  </si>
  <si>
    <t>FORMA E ESCORAMENTO METÁLICO</t>
  </si>
  <si>
    <t>1/3 do valor da forma nova (torre A e C)</t>
  </si>
  <si>
    <t>Frete (15%)</t>
  </si>
  <si>
    <t xml:space="preserve">Manutenções mensais - 57 meses das torres A e C x R$10.000,00 mensais - </t>
  </si>
  <si>
    <t>TOTAL DA FORMA NOVA</t>
  </si>
  <si>
    <t>Técnico Torre A</t>
  </si>
  <si>
    <t>Componentes Novos para Torre B</t>
  </si>
  <si>
    <t>Técnico Torre B</t>
  </si>
  <si>
    <t>Reforma das partes velhas vindas do Sapphire</t>
  </si>
  <si>
    <t>Técnico Torre C</t>
  </si>
  <si>
    <t>Fretes</t>
  </si>
  <si>
    <t xml:space="preserve">Manutenções Mensais - 38 meses x R$10.000 - </t>
  </si>
  <si>
    <t>Valor de 1/3 do Sapphire</t>
  </si>
  <si>
    <t>TOTAL DA FORMA REFORMADA</t>
  </si>
  <si>
    <t>TOTAL DE FORMAS METÁLICAS</t>
  </si>
  <si>
    <t>ESCORAMENTO</t>
  </si>
  <si>
    <t>FORMA E ESCORAMENTO CONVENCIONAL</t>
  </si>
  <si>
    <t>àrea de Laje</t>
  </si>
  <si>
    <t>MAIO</t>
  </si>
  <si>
    <t>R$/m² de escoramento</t>
  </si>
  <si>
    <t>TOTAL EM ESCORAMENTO CONVENCIONAL</t>
  </si>
  <si>
    <t>FORMA</t>
  </si>
  <si>
    <t>Espessura Média</t>
  </si>
  <si>
    <t>m³/m²</t>
  </si>
  <si>
    <t>Concreto das áreas Convencionais</t>
  </si>
  <si>
    <t>Taxa de Forma</t>
  </si>
  <si>
    <t>Área De Forma</t>
  </si>
  <si>
    <t>Valor do m² de área de Forma</t>
  </si>
  <si>
    <t>TOTAL EM FORMAS</t>
  </si>
  <si>
    <t>TOTAL EM FORMAS E ESCORAMENTO CONVENCIONAL</t>
  </si>
  <si>
    <t>TOTAL GERAL DE FORMAS E ESCORAMENTO</t>
  </si>
  <si>
    <t>Total de Área de Formas</t>
  </si>
  <si>
    <t>Área de Formas Metálicas</t>
  </si>
  <si>
    <t>Área de Forma Convencional</t>
  </si>
  <si>
    <t>Custo de forma metálica / m²</t>
  </si>
  <si>
    <t>Custo Forma Covencional</t>
  </si>
  <si>
    <t>Custo Escoramento Convencional</t>
  </si>
  <si>
    <t>Distribuição do valor de m.o do térreo ao lazer da proposta da Concase</t>
  </si>
  <si>
    <t>terreo ao sexto - TC</t>
  </si>
  <si>
    <t>terreo ao sexto - TB</t>
  </si>
  <si>
    <t>Área de Laje</t>
  </si>
  <si>
    <t>R$/m²</t>
  </si>
  <si>
    <t>R$/m³</t>
  </si>
  <si>
    <t>COMPARATIVO DE SUPRA ESTRUTURA</t>
  </si>
  <si>
    <t>VALORES ORÇADOS</t>
  </si>
  <si>
    <t>TOTAL DE M.O E FORMA C/ BLOCOS</t>
  </si>
  <si>
    <t>concaze</t>
  </si>
  <si>
    <t>exeplan</t>
  </si>
  <si>
    <t>Total de Material e M.O de Blocos</t>
  </si>
  <si>
    <t>CONCASE + EXEPLAN</t>
  </si>
  <si>
    <t>TOTAL DE MATERIAL E M.O PARA SUPRA ESTRUTURA</t>
  </si>
  <si>
    <t>GARDEN PARK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</si>
</sst>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8">
    <xf numFmtId="0" fontId="0" fillId="0" borderId="0" xfId="0"/>
    <xf numFmtId="0" fontId="0" fillId="2" borderId="0" xfId="0" applyFill="1"/>
    <xf numFmtId="44" fontId="0" fillId="2" borderId="0" xfId="1" applyFont="1" applyFill="1"/>
    <xf numFmtId="44" fontId="0" fillId="2" borderId="0" xfId="0" applyNumberFormat="1" applyFill="1"/>
    <xf numFmtId="0" fontId="0" fillId="2" borderId="1" xfId="0" applyFill="1" applyBorder="1"/>
    <xf numFmtId="44" fontId="0" fillId="2" borderId="1" xfId="1" applyFont="1" applyFill="1" applyBorder="1" applyAlignment="1">
      <alignment horizontal="center" vertical="center"/>
    </xf>
    <xf numFmtId="44" fontId="0" fillId="2" borderId="1" xfId="1" applyFont="1" applyFill="1" applyBorder="1"/>
    <xf numFmtId="4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2" borderId="1" xfId="0" applyFill="1" applyBorder="1" applyAlignment="1">
      <alignment horizontal="right"/>
    </xf>
    <xf numFmtId="0" fontId="0" fillId="2" borderId="3" xfId="0" applyFill="1" applyBorder="1" applyAlignment="1">
      <alignment horizontal="right" vertical="center"/>
    </xf>
    <xf numFmtId="0" fontId="0" fillId="2" borderId="2" xfId="0" applyFill="1" applyBorder="1"/>
    <xf numFmtId="0" fontId="0" fillId="5" borderId="0" xfId="0" applyFill="1"/>
    <xf numFmtId="44" fontId="0" fillId="2" borderId="1" xfId="1" applyFont="1" applyFill="1" applyBorder="1" applyAlignment="1">
      <alignment vertical="center"/>
    </xf>
    <xf numFmtId="43" fontId="0" fillId="0" borderId="0" xfId="2" applyFont="1"/>
    <xf numFmtId="44" fontId="0" fillId="2" borderId="4" xfId="1" applyFont="1" applyFill="1" applyBorder="1"/>
    <xf numFmtId="44" fontId="0" fillId="2" borderId="1" xfId="1" applyFont="1" applyFill="1" applyBorder="1" applyAlignment="1">
      <alignment horizontal="center"/>
    </xf>
    <xf numFmtId="44" fontId="0" fillId="2" borderId="3" xfId="0" applyNumberFormat="1" applyFill="1" applyBorder="1"/>
    <xf numFmtId="43" fontId="0" fillId="2" borderId="0" xfId="2" applyFont="1" applyFill="1"/>
    <xf numFmtId="0" fontId="0" fillId="2" borderId="0" xfId="0" applyFill="1" applyAlignment="1">
      <alignment horizontal="right"/>
    </xf>
    <xf numFmtId="43" fontId="0" fillId="2" borderId="1" xfId="2" applyFont="1" applyFill="1" applyBorder="1" applyAlignment="1">
      <alignment horizontal="right"/>
    </xf>
    <xf numFmtId="43" fontId="0" fillId="2" borderId="7" xfId="2" applyFont="1" applyFill="1" applyBorder="1" applyAlignment="1">
      <alignment horizontal="right"/>
    </xf>
    <xf numFmtId="0" fontId="0" fillId="2" borderId="0" xfId="0" applyFill="1" applyAlignment="1">
      <alignment horizontal="center"/>
    </xf>
    <xf numFmtId="44" fontId="0" fillId="2" borderId="0" xfId="1" applyFont="1" applyFill="1" applyBorder="1" applyAlignment="1">
      <alignment horizontal="center" vertical="center"/>
    </xf>
    <xf numFmtId="44" fontId="0" fillId="2" borderId="0" xfId="1" applyFont="1" applyFill="1" applyBorder="1"/>
    <xf numFmtId="0" fontId="0" fillId="2" borderId="5" xfId="0" applyFill="1" applyBorder="1" applyAlignment="1">
      <alignment horizontal="right"/>
    </xf>
    <xf numFmtId="44" fontId="0" fillId="0" borderId="0" xfId="1" applyFont="1"/>
    <xf numFmtId="0" fontId="4" fillId="0" borderId="0" xfId="0" applyFont="1"/>
    <xf numFmtId="0" fontId="3" fillId="6" borderId="0" xfId="0" applyFont="1" applyFill="1"/>
    <xf numFmtId="44" fontId="3" fillId="6" borderId="0" xfId="1" applyFont="1" applyFill="1"/>
    <xf numFmtId="44" fontId="0" fillId="5" borderId="0" xfId="1" applyFont="1" applyFill="1"/>
    <xf numFmtId="43" fontId="0" fillId="0" borderId="0" xfId="0" applyNumberFormat="1"/>
    <xf numFmtId="44" fontId="0" fillId="0" borderId="0" xfId="0" applyNumberFormat="1"/>
    <xf numFmtId="0" fontId="3" fillId="4" borderId="0" xfId="0" applyFont="1" applyFill="1"/>
    <xf numFmtId="44" fontId="3" fillId="4" borderId="0" xfId="1" applyFont="1" applyFill="1"/>
    <xf numFmtId="0" fontId="0" fillId="5" borderId="0" xfId="0" applyFill="1" applyAlignment="1">
      <alignment horizontal="left"/>
    </xf>
    <xf numFmtId="0" fontId="6" fillId="7" borderId="0" xfId="0" applyFont="1" applyFill="1"/>
    <xf numFmtId="44" fontId="6" fillId="7" borderId="0" xfId="1" applyFont="1" applyFill="1"/>
    <xf numFmtId="43" fontId="0" fillId="5" borderId="0" xfId="2" applyFont="1" applyFill="1"/>
    <xf numFmtId="44" fontId="0" fillId="8" borderId="0" xfId="1" applyFont="1" applyFill="1"/>
    <xf numFmtId="2" fontId="0" fillId="0" borderId="0" xfId="0" applyNumberFormat="1"/>
    <xf numFmtId="0" fontId="7" fillId="9" borderId="0" xfId="0" applyFont="1" applyFill="1"/>
    <xf numFmtId="44" fontId="7" fillId="9" borderId="0" xfId="1" applyFont="1" applyFill="1"/>
    <xf numFmtId="2" fontId="0" fillId="0" borderId="0" xfId="1" applyNumberFormat="1" applyFont="1"/>
    <xf numFmtId="0" fontId="0" fillId="2" borderId="3" xfId="0" applyFill="1" applyBorder="1" applyAlignment="1">
      <alignment horizontal="right"/>
    </xf>
    <xf numFmtId="43" fontId="0" fillId="2" borderId="3" xfId="2" applyFont="1" applyFill="1" applyBorder="1" applyAlignment="1">
      <alignment horizontal="right"/>
    </xf>
    <xf numFmtId="0" fontId="0" fillId="2" borderId="4" xfId="0" applyFill="1" applyBorder="1"/>
    <xf numFmtId="44" fontId="0" fillId="2" borderId="4" xfId="1" applyFont="1" applyFill="1" applyBorder="1" applyAlignment="1">
      <alignment horizontal="center" vertical="center"/>
    </xf>
    <xf numFmtId="43" fontId="0" fillId="2" borderId="1" xfId="0" applyNumberFormat="1" applyFill="1" applyBorder="1"/>
    <xf numFmtId="43" fontId="0" fillId="2" borderId="0" xfId="2" applyFont="1" applyFill="1" applyBorder="1" applyAlignment="1">
      <alignment horizontal="right"/>
    </xf>
    <xf numFmtId="43" fontId="0" fillId="2" borderId="0" xfId="0" applyNumberFormat="1" applyFill="1"/>
    <xf numFmtId="43" fontId="0" fillId="2" borderId="1" xfId="2" applyFont="1" applyFill="1" applyBorder="1"/>
    <xf numFmtId="43" fontId="0" fillId="2" borderId="3" xfId="0" applyNumberFormat="1" applyFill="1" applyBorder="1"/>
    <xf numFmtId="44" fontId="0" fillId="10" borderId="1" xfId="0" applyNumberFormat="1" applyFill="1" applyBorder="1"/>
    <xf numFmtId="44" fontId="3" fillId="11" borderId="1" xfId="0" applyNumberFormat="1" applyFont="1" applyFill="1" applyBorder="1"/>
    <xf numFmtId="44" fontId="3" fillId="15" borderId="0" xfId="0" applyNumberFormat="1" applyFont="1" applyFill="1"/>
    <xf numFmtId="0" fontId="12" fillId="2" borderId="0" xfId="0" applyFont="1" applyFill="1"/>
    <xf numFmtId="44" fontId="7" fillId="3" borderId="0" xfId="0" applyNumberFormat="1" applyFont="1" applyFill="1" applyAlignment="1">
      <alignment horizontal="center" vertical="center"/>
    </xf>
    <xf numFmtId="0" fontId="13" fillId="5" borderId="0" xfId="0" applyFont="1" applyFill="1"/>
    <xf numFmtId="0" fontId="11" fillId="3" borderId="0" xfId="0" applyFont="1" applyFill="1" applyAlignment="1">
      <alignment horizontal="right" vertical="center" wrapText="1"/>
    </xf>
    <xf numFmtId="44" fontId="3" fillId="15" borderId="0" xfId="0" applyNumberFormat="1" applyFont="1" applyFill="1" applyAlignment="1">
      <alignment horizontal="right" vertic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44" fontId="3" fillId="11" borderId="7" xfId="0" applyNumberFormat="1" applyFont="1" applyFill="1" applyBorder="1" applyAlignment="1">
      <alignment horizontal="right" vertical="center"/>
    </xf>
    <xf numFmtId="44" fontId="3" fillId="11" borderId="2" xfId="0" applyNumberFormat="1" applyFont="1" applyFill="1" applyBorder="1" applyAlignment="1">
      <alignment horizontal="right" vertical="center"/>
    </xf>
    <xf numFmtId="44" fontId="3" fillId="11" borderId="8" xfId="0" applyNumberFormat="1" applyFont="1" applyFill="1" applyBorder="1" applyAlignment="1">
      <alignment horizontal="right" vertical="center"/>
    </xf>
    <xf numFmtId="44" fontId="3" fillId="11" borderId="9" xfId="0" applyNumberFormat="1" applyFont="1" applyFill="1" applyBorder="1" applyAlignment="1">
      <alignment horizontal="right" vertical="center"/>
    </xf>
    <xf numFmtId="44" fontId="3" fillId="11" borderId="10" xfId="0" applyNumberFormat="1" applyFont="1" applyFill="1" applyBorder="1" applyAlignment="1">
      <alignment horizontal="right" vertical="center"/>
    </xf>
    <xf numFmtId="44" fontId="3" fillId="11" borderId="11" xfId="0" applyNumberFormat="1" applyFont="1" applyFill="1" applyBorder="1" applyAlignment="1">
      <alignment horizontal="right" vertical="center"/>
    </xf>
    <xf numFmtId="44" fontId="0" fillId="10" borderId="1" xfId="1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3" fillId="12" borderId="5" xfId="0" applyFont="1" applyFill="1" applyBorder="1" applyAlignment="1">
      <alignment horizontal="center"/>
    </xf>
    <xf numFmtId="0" fontId="3" fillId="12" borderId="6" xfId="0" applyFont="1" applyFill="1" applyBorder="1" applyAlignment="1">
      <alignment horizontal="center"/>
    </xf>
    <xf numFmtId="44" fontId="0" fillId="2" borderId="1" xfId="0" applyNumberFormat="1" applyFill="1" applyBorder="1" applyAlignment="1">
      <alignment horizontal="center" vertical="center"/>
    </xf>
    <xf numFmtId="44" fontId="0" fillId="2" borderId="4" xfId="0" applyNumberForma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/>
    </xf>
    <xf numFmtId="44" fontId="3" fillId="15" borderId="1" xfId="0" applyNumberFormat="1" applyFont="1" applyFill="1" applyBorder="1" applyAlignment="1">
      <alignment horizontal="center"/>
    </xf>
    <xf numFmtId="44" fontId="3" fillId="11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44" fontId="10" fillId="3" borderId="1" xfId="0" applyNumberFormat="1" applyFont="1" applyFill="1" applyBorder="1" applyAlignment="1">
      <alignment horizontal="center"/>
    </xf>
    <xf numFmtId="44" fontId="0" fillId="2" borderId="1" xfId="1" applyFont="1" applyFill="1" applyBorder="1" applyAlignment="1">
      <alignment horizontal="center" vertical="center"/>
    </xf>
    <xf numFmtId="44" fontId="0" fillId="2" borderId="4" xfId="1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textRotation="90"/>
    </xf>
    <xf numFmtId="0" fontId="3" fillId="4" borderId="0" xfId="0" applyFont="1" applyFill="1" applyAlignment="1">
      <alignment horizontal="left"/>
    </xf>
  </cellXfs>
  <cellStyles count="3">
    <cellStyle name="Moeda" xfId="1" builtinId="4"/>
    <cellStyle name="Normal" xfId="0" builtinId="0"/>
    <cellStyle name="Vírgula" xfId="2" builtinId="3"/>
  </cellStyles>
  <dxfs count="0"/>
  <tableStyles count="0" defaultTableStyle="TableStyleMedium2" defaultPivotStyle="PivotStyleLight16"/>
  <colors>
    <mruColors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Or&#231;amento%20e%20Planejamento\01%20-%20OR&#199;AMENTO\01%20-%20OBRAS\GARDEN%20PARK\00%20FG\V02\08%20EAP\Custo%20Direto%20de%20Obra\C&#243;pia%20de%20Comparativo%20de%20Infra%20e%20Supra%20R02.xlsx" TargetMode="External"/><Relationship Id="rId1" Type="http://schemas.openxmlformats.org/officeDocument/2006/relationships/externalLinkPath" Target="file:///U:\Or&#231;amento%20e%20Planejamento\01%20-%20OR&#199;AMENTO\01%20-%20OBRAS\GARDEN%20PARK\00%20FG\V02\08%20EAP\Custo%20Direto%20de%20Obra\C&#243;pia%20de%20Comparativo%20de%20Infra%20e%20Supra%20R02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U:\Or&#231;amento%20e%20Planejamento\01%20-%20OR&#199;AMENTO\01%20-%20OBRAS\GARDEN%20PARK\00%20FG\V02\08%20EAP\Custo%20Direto%20de%20Obra\Or&#231;amento%20V22%20-%20Garden%20Park%20-%20V02%20-%20R08%20Aprovado%20com%20metas%20IMPRESS&#195;O.xlsx" TargetMode="External"/><Relationship Id="rId1" Type="http://schemas.openxmlformats.org/officeDocument/2006/relationships/externalLinkPath" Target="file:///U:\Or&#231;amento%20e%20Planejamento\01%20-%20OR&#199;AMENTO\01%20-%20OBRAS\GARDEN%20PARK\00%20FG\V02\08%20EAP\Custo%20Direto%20de%20Obra\Or&#231;amento%20V22%20-%20Garden%20Park%20-%20V02%20-%20R08%20Aprovado%20com%20metas%20IMPRESS&#195;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parativo de Supra"/>
      <sheetName val="FORMAS"/>
      <sheetName val="Comparativo de Infra"/>
    </sheetNames>
    <sheetDataSet>
      <sheetData sheetId="0">
        <row r="42">
          <cell r="I42">
            <v>82529607.491820872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Ç. SINTÉTICO (comparativo)"/>
      <sheetName val="Plano de Açao"/>
      <sheetName val="GRÁFICO DE PARETO"/>
      <sheetName val="ORÇ. SINTÉTICO"/>
      <sheetName val="ORÇ.ETAPAS"/>
      <sheetName val="ORÇAMENTO"/>
      <sheetName val="Curva ABC Insumos (APOIO)"/>
      <sheetName val="insumos suprimentos"/>
      <sheetName val="Curva ABC Serviços (APOIO)"/>
      <sheetName val="composições"/>
      <sheetName val="insumos"/>
      <sheetName val="Curva ABC Serviços - Agrupada"/>
      <sheetName val="GRÁFICO DE PARETO - Serviços"/>
      <sheetName val="Curva ABC Insumos"/>
      <sheetName val="Curva ABC Serviços"/>
      <sheetName val="Indicadores"/>
      <sheetName val="índice"/>
      <sheetName val="suprimentos 27-10"/>
    </sheetNames>
    <sheetDataSet>
      <sheetData sheetId="0"/>
      <sheetData sheetId="1"/>
      <sheetData sheetId="2"/>
      <sheetData sheetId="3"/>
      <sheetData sheetId="4"/>
      <sheetData sheetId="5">
        <row r="678">
          <cell r="H678">
            <v>28212566.199999999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F4DF0-C65D-41B0-B358-5E5C0640F039}">
  <sheetPr>
    <pageSetUpPr fitToPage="1"/>
  </sheetPr>
  <dimension ref="B1:Y94"/>
  <sheetViews>
    <sheetView tabSelected="1" topLeftCell="B34" zoomScale="90" zoomScaleNormal="90" workbookViewId="0">
      <selection activeCell="M85" sqref="M85"/>
    </sheetView>
  </sheetViews>
  <sheetFormatPr defaultColWidth="9.140625" defaultRowHeight="15" x14ac:dyDescent="0.25"/>
  <cols>
    <col min="1" max="1" width="6.28515625" style="1" customWidth="1"/>
    <col min="2" max="2" width="34.42578125" style="1" customWidth="1"/>
    <col min="3" max="3" width="14.140625" style="1" bestFit="1" customWidth="1"/>
    <col min="4" max="4" width="5.85546875" style="1" customWidth="1"/>
    <col min="5" max="5" width="2.28515625" style="1" customWidth="1"/>
    <col min="6" max="6" width="25.85546875" style="1" bestFit="1" customWidth="1"/>
    <col min="7" max="7" width="13" style="1" customWidth="1"/>
    <col min="8" max="8" width="7" style="1" customWidth="1"/>
    <col min="9" max="9" width="25.85546875" style="1" bestFit="1" customWidth="1"/>
    <col min="10" max="10" width="14.85546875" style="1" customWidth="1"/>
    <col min="11" max="11" width="7.28515625" style="1" customWidth="1"/>
    <col min="12" max="12" width="25.85546875" style="1" bestFit="1" customWidth="1"/>
    <col min="13" max="13" width="16.28515625" style="1" customWidth="1"/>
    <col min="14" max="14" width="7.7109375" style="1" bestFit="1" customWidth="1"/>
    <col min="15" max="15" width="25.140625" style="1" customWidth="1"/>
    <col min="16" max="16" width="16" style="1" bestFit="1" customWidth="1"/>
    <col min="17" max="17" width="3.85546875" style="1" customWidth="1"/>
    <col min="18" max="18" width="3.7109375" style="1" customWidth="1"/>
    <col min="19" max="19" width="37.28515625" style="1" hidden="1" customWidth="1"/>
    <col min="20" max="20" width="25.140625" style="1" hidden="1" customWidth="1"/>
    <col min="21" max="21" width="24.7109375" style="1" hidden="1" customWidth="1"/>
    <col min="22" max="22" width="18.5703125" style="1" hidden="1" customWidth="1"/>
    <col min="23" max="23" width="0" style="1" hidden="1" customWidth="1"/>
    <col min="24" max="24" width="25.5703125" style="1" bestFit="1" customWidth="1"/>
    <col min="25" max="16384" width="9.140625" style="1"/>
  </cols>
  <sheetData>
    <row r="1" spans="2:25" s="14" customFormat="1" x14ac:dyDescent="0.25">
      <c r="C1" s="14">
        <v>2965.54</v>
      </c>
      <c r="D1" s="14">
        <f>+C2/C1</f>
        <v>1.0114009590158959</v>
      </c>
    </row>
    <row r="2" spans="2:25" s="14" customFormat="1" x14ac:dyDescent="0.25">
      <c r="C2" s="14">
        <v>2999.35</v>
      </c>
    </row>
    <row r="3" spans="2:25" s="14" customFormat="1" ht="50.25" customHeight="1" x14ac:dyDescent="0.55000000000000004">
      <c r="B3" s="60" t="s">
        <v>87</v>
      </c>
    </row>
    <row r="4" spans="2:25" s="10" customFormat="1" ht="18.75" x14ac:dyDescent="0.3">
      <c r="B4" s="74" t="s">
        <v>79</v>
      </c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</row>
    <row r="5" spans="2:25" ht="18.75" x14ac:dyDescent="0.3">
      <c r="F5" s="63" t="s">
        <v>80</v>
      </c>
      <c r="G5" s="64"/>
      <c r="I5" s="63" t="s">
        <v>13</v>
      </c>
      <c r="J5" s="64"/>
      <c r="K5" s="24"/>
      <c r="L5" s="63" t="s">
        <v>4</v>
      </c>
      <c r="M5" s="64"/>
      <c r="N5" s="24"/>
      <c r="O5" s="63" t="s">
        <v>34</v>
      </c>
      <c r="P5" s="64"/>
      <c r="Q5" s="24"/>
      <c r="R5" s="24"/>
      <c r="X5" s="63" t="s">
        <v>85</v>
      </c>
      <c r="Y5" s="64"/>
    </row>
    <row r="6" spans="2:25" x14ac:dyDescent="0.25">
      <c r="B6" s="21" t="s">
        <v>76</v>
      </c>
      <c r="C6" s="53">
        <f>23512-(3*544.64)-504.78-537.01-544.45-509.82</f>
        <v>19782.020000000004</v>
      </c>
      <c r="D6" s="11" t="s">
        <v>26</v>
      </c>
      <c r="F6" s="79" t="s">
        <v>19</v>
      </c>
      <c r="G6" s="79"/>
      <c r="I6" s="79" t="s">
        <v>19</v>
      </c>
      <c r="J6" s="79"/>
      <c r="K6" s="24"/>
      <c r="L6" s="75" t="s">
        <v>19</v>
      </c>
      <c r="M6" s="76"/>
      <c r="O6" s="79" t="s">
        <v>19</v>
      </c>
      <c r="P6" s="79"/>
      <c r="X6" s="4" t="s">
        <v>82</v>
      </c>
    </row>
    <row r="7" spans="2:25" x14ac:dyDescent="0.25">
      <c r="B7" s="11" t="s">
        <v>0</v>
      </c>
      <c r="C7" s="22">
        <v>51205.88</v>
      </c>
      <c r="D7" s="11" t="s">
        <v>26</v>
      </c>
      <c r="E7" s="21"/>
      <c r="F7" s="15">
        <f>2588788.02*D1</f>
        <v>2618302.6861168621</v>
      </c>
      <c r="G7" s="7">
        <f>F7/C7</f>
        <v>51.132852049742375</v>
      </c>
      <c r="H7" s="21"/>
      <c r="I7" s="15">
        <f>FORMAS!D12</f>
        <v>2374568.2309104316</v>
      </c>
      <c r="J7" s="7">
        <f>I7/C7</f>
        <v>46.372960115331125</v>
      </c>
      <c r="K7" s="25"/>
      <c r="L7" s="84">
        <f>14203396.79-J80</f>
        <v>12221449.359999999</v>
      </c>
      <c r="M7" s="4"/>
      <c r="O7" s="15">
        <f>I7</f>
        <v>2374568.2309104316</v>
      </c>
      <c r="P7" s="7">
        <f>O7/C7</f>
        <v>46.372960115331125</v>
      </c>
      <c r="S7" s="1" t="s">
        <v>18</v>
      </c>
      <c r="T7" s="2">
        <v>10882598.630000001</v>
      </c>
      <c r="U7" s="3">
        <f>L7-T7</f>
        <v>1338850.7299999986</v>
      </c>
      <c r="X7" s="7">
        <f>I7</f>
        <v>2374568.2309104316</v>
      </c>
    </row>
    <row r="8" spans="2:25" x14ac:dyDescent="0.25">
      <c r="B8" s="11" t="s">
        <v>3</v>
      </c>
      <c r="C8" s="22">
        <v>8309.2999999999993</v>
      </c>
      <c r="D8" s="11" t="s">
        <v>27</v>
      </c>
      <c r="E8" s="21"/>
      <c r="F8" s="7">
        <f>(7143572.8+417890.2)*D1</f>
        <v>7647670.9297632128</v>
      </c>
      <c r="G8" s="7">
        <f>F8/C8</f>
        <v>920.37487270446525</v>
      </c>
      <c r="H8" s="21"/>
      <c r="I8" s="7">
        <f>(8947107.92-J72)*0.95-125000</f>
        <v>7237633.4526749998</v>
      </c>
      <c r="J8" s="7">
        <f>+I8/C8</f>
        <v>871.02805924385939</v>
      </c>
      <c r="K8" s="25"/>
      <c r="L8" s="84"/>
      <c r="M8" s="4"/>
      <c r="O8" s="7">
        <f>(10061361.9-P52)*0.9344</f>
        <v>7520121.1865600003</v>
      </c>
      <c r="P8" s="7">
        <f>O8/C8</f>
        <v>905.02463343001227</v>
      </c>
      <c r="S8" s="1" t="s">
        <v>3</v>
      </c>
      <c r="T8" s="2">
        <v>29700701.559999999</v>
      </c>
      <c r="U8" s="3">
        <f>+U7-T8</f>
        <v>-28361850.829999998</v>
      </c>
      <c r="V8" s="3" t="e">
        <f>U8/#REF!</f>
        <v>#REF!</v>
      </c>
      <c r="X8" s="7">
        <f>I8</f>
        <v>7237633.4526749998</v>
      </c>
    </row>
    <row r="9" spans="2:25" x14ac:dyDescent="0.25">
      <c r="B9" s="11" t="s">
        <v>1</v>
      </c>
      <c r="C9" s="22">
        <v>777793.59</v>
      </c>
      <c r="D9" s="11" t="s">
        <v>28</v>
      </c>
      <c r="E9" s="21"/>
      <c r="F9" s="15">
        <v>5512419.75</v>
      </c>
      <c r="G9" s="7">
        <f>F9/C9</f>
        <v>7.0872527375804166</v>
      </c>
      <c r="H9" s="21"/>
      <c r="I9" s="15">
        <v>5512419.75</v>
      </c>
      <c r="J9" s="7">
        <f>+I9/C9</f>
        <v>7.0872527375804166</v>
      </c>
      <c r="K9" s="26"/>
      <c r="L9" s="6">
        <v>5512419.75</v>
      </c>
      <c r="M9" s="50">
        <f>+L9/C9</f>
        <v>7.0872527375804166</v>
      </c>
      <c r="O9" s="15">
        <f>I9</f>
        <v>5512419.75</v>
      </c>
      <c r="P9" s="7">
        <f>O9/C9</f>
        <v>7.0872527375804166</v>
      </c>
      <c r="V9" s="1">
        <v>958</v>
      </c>
      <c r="X9" s="7">
        <f>I9</f>
        <v>5512419.75</v>
      </c>
    </row>
    <row r="10" spans="2:25" x14ac:dyDescent="0.25">
      <c r="B10" s="11" t="s">
        <v>2</v>
      </c>
      <c r="C10" s="22">
        <v>8309.2999999999993</v>
      </c>
      <c r="D10" s="11" t="s">
        <v>27</v>
      </c>
      <c r="E10" s="21"/>
      <c r="F10" s="15">
        <f>5726642*D1</f>
        <v>5791931.2107407078</v>
      </c>
      <c r="G10" s="7">
        <f>F10/C10</f>
        <v>697.04201445858359</v>
      </c>
      <c r="H10" s="21"/>
      <c r="I10" s="15">
        <v>5726642</v>
      </c>
      <c r="J10" s="7">
        <f>+I10/C10</f>
        <v>689.18464852635009</v>
      </c>
      <c r="K10" s="26"/>
      <c r="L10" s="6">
        <f>(C55*C59)+(C56*C60)</f>
        <v>5401172.6500000004</v>
      </c>
      <c r="M10" s="50">
        <f>+L10/C10</f>
        <v>650.01536230488739</v>
      </c>
      <c r="O10" s="15">
        <f>I10</f>
        <v>5726642</v>
      </c>
      <c r="P10" s="7">
        <f>O10/C10</f>
        <v>689.18464852635009</v>
      </c>
      <c r="V10" s="3" t="e">
        <f>SUM(V8:V9)</f>
        <v>#REF!</v>
      </c>
      <c r="X10" s="7">
        <f>I10</f>
        <v>5726642</v>
      </c>
    </row>
    <row r="11" spans="2:25" x14ac:dyDescent="0.25">
      <c r="B11" s="21"/>
      <c r="C11" s="51"/>
      <c r="D11" s="21"/>
      <c r="E11" s="21"/>
      <c r="F11" s="71">
        <f>SUM(F7:F10)</f>
        <v>21570324.576620784</v>
      </c>
      <c r="G11" s="55">
        <f>F11/C6</f>
        <v>1090.4005039232991</v>
      </c>
      <c r="H11" s="26" t="s">
        <v>77</v>
      </c>
      <c r="I11" s="71">
        <f>SUM(I7:I10)</f>
        <v>20851263.433585431</v>
      </c>
      <c r="J11" s="55">
        <f>I11/C6</f>
        <v>1054.0512765423059</v>
      </c>
      <c r="K11" s="26" t="s">
        <v>77</v>
      </c>
      <c r="L11" s="71">
        <f>SUM(L7:L10)</f>
        <v>23135041.759999998</v>
      </c>
      <c r="M11" s="55">
        <f>+L11/C6</f>
        <v>1169.4984516242523</v>
      </c>
      <c r="N11" s="26" t="s">
        <v>77</v>
      </c>
      <c r="O11" s="71">
        <f>SUM(O7:O10)</f>
        <v>21133751.167470433</v>
      </c>
      <c r="P11" s="55">
        <f>O11/C6</f>
        <v>1068.331301225579</v>
      </c>
      <c r="Q11" s="26" t="s">
        <v>77</v>
      </c>
      <c r="V11" s="3"/>
      <c r="X11" s="71">
        <f>SUM(X7:X10)</f>
        <v>20851263.433585431</v>
      </c>
    </row>
    <row r="12" spans="2:25" x14ac:dyDescent="0.25">
      <c r="B12" s="21"/>
      <c r="C12" s="51"/>
      <c r="D12" s="21"/>
      <c r="E12" s="21"/>
      <c r="F12" s="71"/>
      <c r="G12" s="55">
        <f>F11/C10</f>
        <v>2595.9255986209168</v>
      </c>
      <c r="H12" s="26" t="s">
        <v>78</v>
      </c>
      <c r="I12" s="71"/>
      <c r="J12" s="55">
        <f>I11/C10</f>
        <v>2509.3886890093549</v>
      </c>
      <c r="K12" s="26" t="s">
        <v>78</v>
      </c>
      <c r="L12" s="71"/>
      <c r="M12" s="55">
        <f>+L11/C10</f>
        <v>2784.2347442022792</v>
      </c>
      <c r="N12" s="26" t="s">
        <v>78</v>
      </c>
      <c r="O12" s="71"/>
      <c r="P12" s="55">
        <f>O11/C10</f>
        <v>2543.3852631955078</v>
      </c>
      <c r="Q12" s="26" t="s">
        <v>78</v>
      </c>
      <c r="V12" s="3"/>
      <c r="X12" s="71"/>
    </row>
    <row r="13" spans="2:25" x14ac:dyDescent="0.25">
      <c r="B13" s="21"/>
      <c r="C13" s="51"/>
      <c r="D13" s="21"/>
      <c r="E13" s="21"/>
      <c r="F13" s="21"/>
      <c r="G13" s="21"/>
      <c r="H13" s="26"/>
      <c r="I13" s="25"/>
      <c r="J13" s="3"/>
      <c r="K13" s="26"/>
      <c r="L13" s="25"/>
      <c r="M13" s="3"/>
      <c r="N13" s="26"/>
      <c r="O13" s="25"/>
      <c r="P13" s="3"/>
      <c r="Q13" s="26"/>
      <c r="V13" s="3"/>
    </row>
    <row r="14" spans="2:25" x14ac:dyDescent="0.25">
      <c r="H14" s="3"/>
      <c r="I14" s="3"/>
      <c r="J14" s="3"/>
      <c r="K14" s="3"/>
      <c r="L14" s="3"/>
      <c r="O14" s="3"/>
      <c r="P14" s="3"/>
    </row>
    <row r="15" spans="2:25" x14ac:dyDescent="0.25">
      <c r="B15" s="21" t="s">
        <v>76</v>
      </c>
      <c r="C15" s="53">
        <f>30369-(590.1*3)-552-589.58-588.88-565.98</f>
        <v>26302.26</v>
      </c>
      <c r="D15" s="11" t="s">
        <v>26</v>
      </c>
      <c r="F15" s="72" t="s">
        <v>20</v>
      </c>
      <c r="G15" s="72"/>
      <c r="H15" s="3"/>
      <c r="I15" s="72" t="s">
        <v>20</v>
      </c>
      <c r="J15" s="72"/>
      <c r="K15" s="3"/>
      <c r="L15" s="72" t="s">
        <v>20</v>
      </c>
      <c r="M15" s="72"/>
      <c r="O15" s="72" t="s">
        <v>20</v>
      </c>
      <c r="P15" s="72"/>
      <c r="X15" s="1" t="s">
        <v>83</v>
      </c>
    </row>
    <row r="16" spans="2:25" x14ac:dyDescent="0.25">
      <c r="B16" s="11" t="s">
        <v>0</v>
      </c>
      <c r="C16" s="23">
        <v>64161</v>
      </c>
      <c r="D16" s="11" t="s">
        <v>26</v>
      </c>
      <c r="E16" s="21"/>
      <c r="F16" s="15">
        <f>3239082*D1</f>
        <v>3276010.6411311259</v>
      </c>
      <c r="G16" s="7">
        <f>F16/C16</f>
        <v>51.059220416314048</v>
      </c>
      <c r="H16" s="3"/>
      <c r="I16" s="15">
        <v>5384932.0899999999</v>
      </c>
      <c r="J16" s="7">
        <f>I16/C16</f>
        <v>83.928431445893921</v>
      </c>
      <c r="K16" s="3"/>
      <c r="L16" s="77">
        <f>17350456.78-J78</f>
        <v>15393108.580000002</v>
      </c>
      <c r="M16" s="4"/>
      <c r="O16" s="15">
        <f>I16</f>
        <v>5384932.0899999999</v>
      </c>
      <c r="P16" s="7">
        <f>O16/C16</f>
        <v>83.928431445893921</v>
      </c>
      <c r="X16" s="3">
        <f>O16</f>
        <v>5384932.0899999999</v>
      </c>
    </row>
    <row r="17" spans="2:24" x14ac:dyDescent="0.25">
      <c r="B17" s="11" t="s">
        <v>3</v>
      </c>
      <c r="C17" s="22">
        <v>10431.24</v>
      </c>
      <c r="D17" s="11" t="s">
        <v>27</v>
      </c>
      <c r="E17" s="21"/>
      <c r="F17" s="7">
        <f>(9060997.4+431431)*D1</f>
        <v>9600651.1871497259</v>
      </c>
      <c r="G17" s="7">
        <f>F17/C17</f>
        <v>920.37487270446525</v>
      </c>
      <c r="H17" s="3"/>
      <c r="I17" s="7">
        <f>(10307352.87-J70)*0.95-250000</f>
        <v>8404875.1801749989</v>
      </c>
      <c r="J17" s="7">
        <f>+I17/C17</f>
        <v>805.74075375266978</v>
      </c>
      <c r="K17" s="3"/>
      <c r="L17" s="77"/>
      <c r="M17" s="4"/>
      <c r="O17" s="7">
        <f>(12148674-P51)*0.9344</f>
        <v>9459331.1231999993</v>
      </c>
      <c r="P17" s="7">
        <f>O17/C17</f>
        <v>906.82710044059957</v>
      </c>
      <c r="X17" s="3">
        <f>O17</f>
        <v>9459331.1231999993</v>
      </c>
    </row>
    <row r="18" spans="2:24" x14ac:dyDescent="0.25">
      <c r="B18" s="11" t="s">
        <v>1</v>
      </c>
      <c r="C18" s="22">
        <v>1038792.2</v>
      </c>
      <c r="D18" s="11" t="s">
        <v>28</v>
      </c>
      <c r="E18" s="21"/>
      <c r="F18" s="15">
        <f>7268514*D1</f>
        <v>7351382.0302204657</v>
      </c>
      <c r="G18" s="7">
        <f>F18/C18</f>
        <v>7.0768552461411112</v>
      </c>
      <c r="H18" s="3"/>
      <c r="I18" s="15">
        <v>7268514</v>
      </c>
      <c r="J18" s="7">
        <f>+I18/C18</f>
        <v>6.9970818032711453</v>
      </c>
      <c r="K18" s="3"/>
      <c r="L18" s="7">
        <v>7268514</v>
      </c>
      <c r="M18" s="50">
        <f>+L18/C18</f>
        <v>6.9970818032711453</v>
      </c>
      <c r="O18" s="15">
        <f>I18</f>
        <v>7268514</v>
      </c>
      <c r="P18" s="7">
        <f>O18/C18</f>
        <v>6.9970818032711453</v>
      </c>
      <c r="X18" s="3">
        <f>O18</f>
        <v>7268514</v>
      </c>
    </row>
    <row r="19" spans="2:24" x14ac:dyDescent="0.25">
      <c r="B19" s="11" t="s">
        <v>2</v>
      </c>
      <c r="C19" s="22">
        <v>10431.24</v>
      </c>
      <c r="D19" s="11" t="s">
        <v>27</v>
      </c>
      <c r="E19" s="21"/>
      <c r="F19" s="15">
        <f>7217743*D1</f>
        <v>7300032.1921302695</v>
      </c>
      <c r="G19" s="7">
        <f>F19/C19</f>
        <v>699.82400866342539</v>
      </c>
      <c r="H19" s="3"/>
      <c r="I19" s="15">
        <v>7217743</v>
      </c>
      <c r="J19" s="7">
        <f>+I19/C19</f>
        <v>691.93528286186495</v>
      </c>
      <c r="K19" s="3"/>
      <c r="L19" s="7">
        <f>(I55*C59)+(I56*C60)</f>
        <v>6799827.9000000004</v>
      </c>
      <c r="M19" s="50">
        <f>+L19/C19</f>
        <v>651.87148411885835</v>
      </c>
      <c r="O19" s="15">
        <f>I19</f>
        <v>7217743</v>
      </c>
      <c r="P19" s="7">
        <f>O19/C19</f>
        <v>691.93528286186495</v>
      </c>
      <c r="X19" s="3">
        <f>O19</f>
        <v>7217743</v>
      </c>
    </row>
    <row r="20" spans="2:24" x14ac:dyDescent="0.25">
      <c r="B20" s="21"/>
      <c r="C20" s="51"/>
      <c r="D20" s="21"/>
      <c r="E20" s="21"/>
      <c r="F20" s="71">
        <f>SUM(F16:F19)</f>
        <v>27528076.050631583</v>
      </c>
      <c r="G20" s="55">
        <f>F20/C15</f>
        <v>1046.6049704714189</v>
      </c>
      <c r="H20" s="26" t="s">
        <v>77</v>
      </c>
      <c r="I20" s="71">
        <f>SUM(I16:I19)</f>
        <v>28276064.270174999</v>
      </c>
      <c r="J20" s="55">
        <f>I20/C15</f>
        <v>1075.0431434475593</v>
      </c>
      <c r="K20" s="26" t="s">
        <v>77</v>
      </c>
      <c r="L20" s="71">
        <f>SUM(L16:L19)</f>
        <v>29461450.480000004</v>
      </c>
      <c r="M20" s="55">
        <f>+L20/C15</f>
        <v>1120.1109897020258</v>
      </c>
      <c r="N20" s="26" t="s">
        <v>77</v>
      </c>
      <c r="O20" s="71">
        <f>SUM(O16:O19)</f>
        <v>29330520.213199999</v>
      </c>
      <c r="P20" s="55">
        <f>O20/C15</f>
        <v>1115.1330803208546</v>
      </c>
      <c r="Q20" s="26" t="s">
        <v>77</v>
      </c>
      <c r="X20" s="71">
        <f>SUM(X16:X19)</f>
        <v>29330520.213199999</v>
      </c>
    </row>
    <row r="21" spans="2:24" x14ac:dyDescent="0.25">
      <c r="B21" s="21"/>
      <c r="C21" s="51"/>
      <c r="D21" s="21"/>
      <c r="E21" s="21"/>
      <c r="F21" s="71"/>
      <c r="G21" s="55">
        <f>F20/C19</f>
        <v>2639.0032297820376</v>
      </c>
      <c r="H21" s="26" t="s">
        <v>78</v>
      </c>
      <c r="I21" s="71"/>
      <c r="J21" s="55">
        <f>I20/C19</f>
        <v>2710.7097785282476</v>
      </c>
      <c r="K21" s="26" t="s">
        <v>78</v>
      </c>
      <c r="L21" s="71"/>
      <c r="M21" s="55">
        <f>+L20/C19</f>
        <v>2824.3478704353465</v>
      </c>
      <c r="N21" s="26" t="s">
        <v>78</v>
      </c>
      <c r="O21" s="71"/>
      <c r="P21" s="55">
        <f>O20/C19</f>
        <v>2811.7961252161776</v>
      </c>
      <c r="Q21" s="26" t="s">
        <v>78</v>
      </c>
      <c r="X21" s="71"/>
    </row>
    <row r="22" spans="2:24" x14ac:dyDescent="0.25">
      <c r="B22" s="21"/>
      <c r="C22" s="51"/>
      <c r="D22" s="21"/>
      <c r="E22" s="21"/>
      <c r="F22" s="21"/>
      <c r="G22" s="21"/>
      <c r="H22" s="3"/>
      <c r="I22" s="26"/>
      <c r="J22" s="3"/>
      <c r="K22" s="3"/>
      <c r="L22" s="3"/>
      <c r="M22" s="52"/>
      <c r="O22" s="26"/>
      <c r="P22" s="3"/>
    </row>
    <row r="23" spans="2:24" x14ac:dyDescent="0.25">
      <c r="H23" s="3"/>
      <c r="I23" s="3"/>
      <c r="J23" s="3"/>
      <c r="K23" s="3"/>
      <c r="L23" s="3"/>
      <c r="O23" s="3"/>
      <c r="P23" s="3"/>
    </row>
    <row r="24" spans="2:24" x14ac:dyDescent="0.25">
      <c r="B24" s="21" t="s">
        <v>76</v>
      </c>
      <c r="C24" s="53">
        <f>23373-509.58-(3*531.99)-537.03-532.1-509.2</f>
        <v>19689.12</v>
      </c>
      <c r="D24" s="11" t="s">
        <v>26</v>
      </c>
      <c r="F24" s="73" t="s">
        <v>21</v>
      </c>
      <c r="G24" s="73"/>
      <c r="H24" s="3"/>
      <c r="I24" s="73" t="s">
        <v>21</v>
      </c>
      <c r="J24" s="73"/>
      <c r="K24" s="3"/>
      <c r="L24" s="73" t="s">
        <v>21</v>
      </c>
      <c r="M24" s="73"/>
      <c r="O24" s="73" t="s">
        <v>21</v>
      </c>
      <c r="P24" s="73"/>
      <c r="X24" s="1" t="s">
        <v>82</v>
      </c>
    </row>
    <row r="25" spans="2:24" x14ac:dyDescent="0.25">
      <c r="B25" s="11" t="s">
        <v>0</v>
      </c>
      <c r="C25" s="23">
        <v>51052</v>
      </c>
      <c r="D25" s="11" t="s">
        <v>26</v>
      </c>
      <c r="E25" s="21"/>
      <c r="F25" s="15">
        <f>2580083*D1</f>
        <v>2609498.4205406099</v>
      </c>
      <c r="G25" s="7">
        <f>F25/C25</f>
        <v>51.114518932472969</v>
      </c>
      <c r="H25" s="3"/>
      <c r="I25" s="15">
        <f>FORMAS!D12</f>
        <v>2374568.2309104316</v>
      </c>
      <c r="J25" s="7">
        <f>I25/C25</f>
        <v>46.512736639317396</v>
      </c>
      <c r="K25" s="3"/>
      <c r="L25" s="77">
        <f>14181300.54-J82</f>
        <v>12602006.086116426</v>
      </c>
      <c r="M25" s="4"/>
      <c r="O25" s="15">
        <f>I25</f>
        <v>2374568.2309104316</v>
      </c>
      <c r="P25" s="7">
        <f>O25/C25</f>
        <v>46.512736639317396</v>
      </c>
      <c r="X25" s="3">
        <f>I25</f>
        <v>2374568.2309104316</v>
      </c>
    </row>
    <row r="26" spans="2:24" x14ac:dyDescent="0.25">
      <c r="B26" s="11" t="s">
        <v>3</v>
      </c>
      <c r="C26" s="22">
        <v>8338.5</v>
      </c>
      <c r="D26" s="11" t="s">
        <v>27</v>
      </c>
      <c r="E26" s="21"/>
      <c r="F26" s="7">
        <f>(7088117.4+500099.6)*D1</f>
        <v>7674729.9510207241</v>
      </c>
      <c r="G26" s="7">
        <f>F26/C26</f>
        <v>920.39694801471774</v>
      </c>
      <c r="H26" s="3"/>
      <c r="I26" s="7">
        <f>(8947701.92-J72)*0.95-125000</f>
        <v>7238197.7526749996</v>
      </c>
      <c r="J26" s="7">
        <f>+I26/C26</f>
        <v>868.04554208490731</v>
      </c>
      <c r="K26" s="3"/>
      <c r="L26" s="77"/>
      <c r="M26" s="4"/>
      <c r="O26" s="7">
        <f>(10089993-P52)*0.9344</f>
        <v>7546874.0864000004</v>
      </c>
      <c r="P26" s="7">
        <f>O26/C26</f>
        <v>905.0637508424777</v>
      </c>
      <c r="X26" s="3">
        <f>I26</f>
        <v>7238197.7526749996</v>
      </c>
    </row>
    <row r="27" spans="2:24" x14ac:dyDescent="0.25">
      <c r="B27" s="46" t="s">
        <v>1</v>
      </c>
      <c r="C27" s="47">
        <v>774103.2</v>
      </c>
      <c r="D27" s="11" t="s">
        <v>28</v>
      </c>
      <c r="E27" s="21"/>
      <c r="F27" s="15">
        <f>5553765*D1</f>
        <v>5617083.2471489171</v>
      </c>
      <c r="G27" s="7">
        <f>F27/C27</f>
        <v>7.2562459981420018</v>
      </c>
      <c r="H27" s="3"/>
      <c r="I27" s="15">
        <v>5553765</v>
      </c>
      <c r="J27" s="7">
        <f>+I27/C27</f>
        <v>7.1744503833597388</v>
      </c>
      <c r="K27" s="3"/>
      <c r="L27" s="19">
        <v>5553765</v>
      </c>
      <c r="M27" s="50">
        <f>+L27/C27</f>
        <v>7.1744503833597388</v>
      </c>
      <c r="O27" s="15">
        <f>I27</f>
        <v>5553765</v>
      </c>
      <c r="P27" s="7">
        <f>O27/C27</f>
        <v>7.1744503833597388</v>
      </c>
      <c r="X27" s="3">
        <f>I27</f>
        <v>5553765</v>
      </c>
    </row>
    <row r="28" spans="2:24" x14ac:dyDescent="0.25">
      <c r="B28" s="11" t="s">
        <v>2</v>
      </c>
      <c r="C28" s="22">
        <v>8338.5</v>
      </c>
      <c r="D28" s="11" t="s">
        <v>27</v>
      </c>
      <c r="E28" s="21"/>
      <c r="F28" s="15">
        <f>5745262*D1</f>
        <v>5810763.4965975843</v>
      </c>
      <c r="G28" s="7">
        <f>F28/C28</f>
        <v>696.85956666038066</v>
      </c>
      <c r="H28" s="3"/>
      <c r="I28" s="15">
        <v>5745262</v>
      </c>
      <c r="J28" s="7">
        <f>+I28/C28</f>
        <v>689.00425736043655</v>
      </c>
      <c r="K28" s="3"/>
      <c r="L28" s="7">
        <f>(K55*C59)+(K56*C60)</f>
        <v>5418856.6000000006</v>
      </c>
      <c r="M28" s="50">
        <f>+L28/C28</f>
        <v>649.85987887509748</v>
      </c>
      <c r="O28" s="15">
        <f>I28</f>
        <v>5745262</v>
      </c>
      <c r="P28" s="7">
        <f>O28/C28</f>
        <v>689.00425736043655</v>
      </c>
      <c r="X28" s="3">
        <f>I28</f>
        <v>5745262</v>
      </c>
    </row>
    <row r="29" spans="2:24" x14ac:dyDescent="0.25">
      <c r="B29" s="21"/>
      <c r="C29" s="51"/>
      <c r="D29" s="21"/>
      <c r="E29" s="21"/>
      <c r="F29" s="71">
        <f>SUM(F25:F28)</f>
        <v>21712075.115307834</v>
      </c>
      <c r="G29" s="55">
        <f>F29/C24</f>
        <v>1102.7448212671686</v>
      </c>
      <c r="H29" s="26" t="s">
        <v>77</v>
      </c>
      <c r="I29" s="71">
        <f>SUM(I25:I28)</f>
        <v>20911792.983585432</v>
      </c>
      <c r="J29" s="55">
        <f>+I29/C24</f>
        <v>1062.0989147095163</v>
      </c>
      <c r="K29" s="26" t="s">
        <v>77</v>
      </c>
      <c r="L29" s="71">
        <f>SUM(L25:L28)</f>
        <v>23574627.686116427</v>
      </c>
      <c r="M29" s="55">
        <f>+L29/C24</f>
        <v>1197.3428820646341</v>
      </c>
      <c r="N29" s="26" t="s">
        <v>77</v>
      </c>
      <c r="O29" s="71">
        <f>SUM(O25:O28)</f>
        <v>21220469.31731043</v>
      </c>
      <c r="P29" s="55">
        <f>O29/C24</f>
        <v>1077.7764225780752</v>
      </c>
      <c r="Q29" s="26" t="s">
        <v>77</v>
      </c>
      <c r="X29" s="71">
        <f>SUM(X25:X28)</f>
        <v>20911792.983585432</v>
      </c>
    </row>
    <row r="30" spans="2:24" x14ac:dyDescent="0.25">
      <c r="B30" s="21"/>
      <c r="C30" s="51"/>
      <c r="D30" s="21"/>
      <c r="E30" s="21"/>
      <c r="F30" s="71"/>
      <c r="G30" s="55">
        <f>F29/C28</f>
        <v>2603.8346363623955</v>
      </c>
      <c r="H30" s="26" t="s">
        <v>78</v>
      </c>
      <c r="I30" s="71"/>
      <c r="J30" s="55">
        <f>+I29/C28</f>
        <v>2507.8602846537665</v>
      </c>
      <c r="K30" s="26" t="s">
        <v>78</v>
      </c>
      <c r="L30" s="71"/>
      <c r="M30" s="55">
        <f>+L29/C28</f>
        <v>2827.2024568107486</v>
      </c>
      <c r="N30" s="26" t="s">
        <v>78</v>
      </c>
      <c r="O30" s="71"/>
      <c r="P30" s="55">
        <f>O29/C28</f>
        <v>2544.8784934113364</v>
      </c>
      <c r="Q30" s="26" t="s">
        <v>78</v>
      </c>
      <c r="X30" s="71"/>
    </row>
    <row r="31" spans="2:24" x14ac:dyDescent="0.25">
      <c r="B31" s="21"/>
      <c r="C31" s="51"/>
      <c r="D31" s="21"/>
      <c r="E31" s="21"/>
      <c r="F31" s="21"/>
      <c r="G31" s="21"/>
      <c r="H31" s="3"/>
      <c r="I31" s="26"/>
      <c r="J31" s="3"/>
      <c r="K31" s="3"/>
      <c r="L31" s="3"/>
      <c r="M31" s="52"/>
      <c r="O31" s="26"/>
      <c r="P31" s="3"/>
    </row>
    <row r="32" spans="2:24" x14ac:dyDescent="0.25">
      <c r="H32" s="3"/>
      <c r="I32" s="3"/>
      <c r="J32" s="3"/>
      <c r="K32" s="3"/>
      <c r="L32" s="3"/>
      <c r="O32" s="3"/>
      <c r="P32" s="3"/>
    </row>
    <row r="33" spans="2:24" x14ac:dyDescent="0.25">
      <c r="B33" s="21" t="s">
        <v>76</v>
      </c>
      <c r="C33" s="53">
        <f>23512+23373+30369-C24-C15-C6</f>
        <v>11480.600000000002</v>
      </c>
      <c r="D33" s="11" t="s">
        <v>26</v>
      </c>
      <c r="F33" s="80" t="s">
        <v>22</v>
      </c>
      <c r="G33" s="80"/>
      <c r="H33" s="3"/>
      <c r="I33" s="80" t="s">
        <v>22</v>
      </c>
      <c r="J33" s="80"/>
      <c r="K33" s="3"/>
      <c r="L33" s="80" t="s">
        <v>22</v>
      </c>
      <c r="M33" s="80"/>
      <c r="O33" s="80" t="s">
        <v>22</v>
      </c>
      <c r="P33" s="80"/>
      <c r="X33" s="1" t="s">
        <v>82</v>
      </c>
    </row>
    <row r="34" spans="2:24" x14ac:dyDescent="0.25">
      <c r="B34" s="11" t="s">
        <v>0</v>
      </c>
      <c r="C34" s="23">
        <v>2829.49</v>
      </c>
      <c r="D34" s="11" t="s">
        <v>26</v>
      </c>
      <c r="E34" s="21"/>
      <c r="F34" s="15">
        <f>263687*D1</f>
        <v>266693.28468002455</v>
      </c>
      <c r="G34" s="7">
        <f>F34/C34</f>
        <v>94.254895645513699</v>
      </c>
      <c r="H34" s="3"/>
      <c r="I34" s="15">
        <v>2194406.13</v>
      </c>
      <c r="J34" s="7">
        <f>I34/C34</f>
        <v>775.54828962109787</v>
      </c>
      <c r="K34" s="3"/>
      <c r="L34" s="78">
        <f>J78+J80+J82</f>
        <v>5518590.0838835742</v>
      </c>
      <c r="M34" s="48"/>
      <c r="O34" s="15">
        <f>I34</f>
        <v>2194406.13</v>
      </c>
      <c r="P34" s="7">
        <f>O34/C34</f>
        <v>775.54828962109787</v>
      </c>
      <c r="X34" s="3">
        <f>I34</f>
        <v>2194406.13</v>
      </c>
    </row>
    <row r="35" spans="2:24" x14ac:dyDescent="0.25">
      <c r="B35" s="11" t="s">
        <v>3</v>
      </c>
      <c r="C35" s="22">
        <v>3923.58</v>
      </c>
      <c r="D35" s="11" t="s">
        <v>27</v>
      </c>
      <c r="E35" s="21"/>
      <c r="F35" s="7">
        <f>3570457.8*D1</f>
        <v>3611164.4430457857</v>
      </c>
      <c r="G35" s="7">
        <f>F35/C35</f>
        <v>920.37487270446525</v>
      </c>
      <c r="H35" s="3"/>
      <c r="I35" s="7">
        <f>(J70+2*J72)*0.95</f>
        <v>3411348.1889749989</v>
      </c>
      <c r="J35" s="7">
        <f>+I35/C35</f>
        <v>869.44784838718692</v>
      </c>
      <c r="K35" s="3"/>
      <c r="L35" s="77"/>
      <c r="M35" s="4"/>
      <c r="O35" s="7">
        <f>P51+P52*2*0.9344</f>
        <v>5787676.7456</v>
      </c>
      <c r="P35" s="7">
        <f>O35/C35</f>
        <v>1475.1009908298033</v>
      </c>
      <c r="X35" s="3">
        <f>I35</f>
        <v>3411348.1889749989</v>
      </c>
    </row>
    <row r="36" spans="2:24" x14ac:dyDescent="0.25">
      <c r="B36" s="46" t="s">
        <v>1</v>
      </c>
      <c r="C36" s="47">
        <v>367628.71</v>
      </c>
      <c r="D36" s="11" t="s">
        <v>28</v>
      </c>
      <c r="E36" s="21"/>
      <c r="F36" s="15">
        <f>2454614.48*D1</f>
        <v>2482599.4390863045</v>
      </c>
      <c r="G36" s="7">
        <f>F36/C36</f>
        <v>6.7530075088159043</v>
      </c>
      <c r="H36" s="3"/>
      <c r="I36" s="15">
        <v>2454614.48</v>
      </c>
      <c r="J36" s="7">
        <f>+I36/C36</f>
        <v>6.676884620899167</v>
      </c>
      <c r="K36" s="3"/>
      <c r="L36" s="19">
        <v>2454614.48</v>
      </c>
      <c r="M36" s="54">
        <f>+L36/C36</f>
        <v>6.676884620899167</v>
      </c>
      <c r="O36" s="15">
        <f>I36</f>
        <v>2454614.48</v>
      </c>
      <c r="P36" s="7">
        <f>O36/C36</f>
        <v>6.676884620899167</v>
      </c>
      <c r="X36" s="3">
        <f>I36</f>
        <v>2454614.48</v>
      </c>
    </row>
    <row r="37" spans="2:24" x14ac:dyDescent="0.25">
      <c r="B37" s="11" t="s">
        <v>2</v>
      </c>
      <c r="C37" s="22">
        <v>3923.58</v>
      </c>
      <c r="D37" s="11" t="s">
        <v>27</v>
      </c>
      <c r="E37" s="21"/>
      <c r="F37" s="15">
        <f>2520009.87*D1</f>
        <v>2548740.3992475234</v>
      </c>
      <c r="G37" s="7">
        <f>F37/C37</f>
        <v>649.59562421245994</v>
      </c>
      <c r="H37" s="3"/>
      <c r="I37" s="15">
        <v>2520009.87</v>
      </c>
      <c r="J37" s="7">
        <f>+I37/C37</f>
        <v>642.27309497958504</v>
      </c>
      <c r="K37" s="3"/>
      <c r="L37" s="7">
        <f>C37*C59</f>
        <v>2503244.04</v>
      </c>
      <c r="M37" s="50">
        <f>+L37/C37</f>
        <v>638</v>
      </c>
      <c r="O37" s="15">
        <f>I37</f>
        <v>2520009.87</v>
      </c>
      <c r="P37" s="7">
        <f>O37/C37</f>
        <v>642.27309497958504</v>
      </c>
      <c r="X37" s="3">
        <f>I37</f>
        <v>2520009.87</v>
      </c>
    </row>
    <row r="38" spans="2:24" x14ac:dyDescent="0.25">
      <c r="B38" s="21"/>
      <c r="C38" s="51"/>
      <c r="D38" s="21"/>
      <c r="E38" s="21"/>
      <c r="F38" s="71">
        <f>SUM(F34:F37)</f>
        <v>8909197.5660596378</v>
      </c>
      <c r="G38" s="55">
        <f>F38/C33</f>
        <v>776.02194711597269</v>
      </c>
      <c r="H38" s="26" t="s">
        <v>77</v>
      </c>
      <c r="I38" s="71">
        <f>SUM(I34:I37)</f>
        <v>10580378.668974999</v>
      </c>
      <c r="J38" s="55">
        <f>I38/C33</f>
        <v>921.58760595918307</v>
      </c>
      <c r="K38" s="26" t="s">
        <v>77</v>
      </c>
      <c r="L38" s="71">
        <f>SUM(L34:L37)</f>
        <v>10476448.603883576</v>
      </c>
      <c r="M38" s="55">
        <f>+L38/C33</f>
        <v>912.53493753667692</v>
      </c>
      <c r="N38" s="26" t="s">
        <v>77</v>
      </c>
      <c r="O38" s="71">
        <f>SUM(O34:O37)</f>
        <v>12956707.2256</v>
      </c>
      <c r="P38" s="55">
        <f>O38/C33</f>
        <v>1128.5740488824624</v>
      </c>
      <c r="Q38" s="26" t="s">
        <v>77</v>
      </c>
      <c r="X38" s="71">
        <f>SUM(X34:X37)</f>
        <v>10580378.668974999</v>
      </c>
    </row>
    <row r="39" spans="2:24" x14ac:dyDescent="0.25">
      <c r="B39" s="21"/>
      <c r="C39" s="51"/>
      <c r="D39" s="21"/>
      <c r="E39" s="21"/>
      <c r="F39" s="71"/>
      <c r="G39" s="55">
        <f>F38/C37</f>
        <v>2270.6807471899738</v>
      </c>
      <c r="H39" s="26" t="s">
        <v>78</v>
      </c>
      <c r="I39" s="71"/>
      <c r="J39" s="55">
        <f>+I38/C37</f>
        <v>2696.6134675411231</v>
      </c>
      <c r="K39" s="26" t="s">
        <v>78</v>
      </c>
      <c r="L39" s="71"/>
      <c r="M39" s="55">
        <f>+L38/C37</f>
        <v>2670.1248869358024</v>
      </c>
      <c r="N39" s="26" t="s">
        <v>78</v>
      </c>
      <c r="O39" s="71"/>
      <c r="P39" s="55">
        <f>O38/C37</f>
        <v>3302.2666099837397</v>
      </c>
      <c r="Q39" s="26" t="s">
        <v>78</v>
      </c>
      <c r="X39" s="71"/>
    </row>
    <row r="40" spans="2:24" hidden="1" x14ac:dyDescent="0.25">
      <c r="B40" s="21"/>
      <c r="C40" s="51"/>
      <c r="D40" s="21"/>
      <c r="E40" s="21"/>
      <c r="F40" s="21"/>
      <c r="G40" s="21"/>
      <c r="H40" s="3"/>
      <c r="I40" s="3"/>
      <c r="J40" s="3"/>
      <c r="K40" s="3"/>
      <c r="L40" s="3"/>
      <c r="O40" s="3"/>
      <c r="P40" s="3"/>
    </row>
    <row r="41" spans="2:24" x14ac:dyDescent="0.25">
      <c r="B41" s="21"/>
      <c r="C41" s="51"/>
      <c r="D41" s="21"/>
      <c r="E41" s="21"/>
      <c r="F41" s="21"/>
      <c r="G41" s="21"/>
      <c r="H41" s="3"/>
      <c r="I41" s="3"/>
      <c r="J41" s="3"/>
      <c r="K41" s="3"/>
      <c r="L41" s="3"/>
      <c r="O41" s="3"/>
      <c r="P41" s="3"/>
    </row>
    <row r="42" spans="2:24" x14ac:dyDescent="0.25">
      <c r="B42" s="65" t="s">
        <v>86</v>
      </c>
      <c r="C42" s="66"/>
      <c r="D42" s="67"/>
      <c r="E42" s="21"/>
      <c r="F42" s="81">
        <f>F38+F29+F20+F11</f>
        <v>79719673.308619842</v>
      </c>
      <c r="G42" s="56">
        <f>F42/($C$33+$C$24+$C$15+$C$6)</f>
        <v>1031.9164484508226</v>
      </c>
      <c r="H42" s="26" t="s">
        <v>77</v>
      </c>
      <c r="I42" s="81">
        <f>I38+I29+I20+I11</f>
        <v>80619499.356320858</v>
      </c>
      <c r="J42" s="56">
        <f>I42/($C$33+$C$24+$C$15+$C$6)</f>
        <v>1043.564078964466</v>
      </c>
      <c r="K42" s="26" t="s">
        <v>77</v>
      </c>
      <c r="L42" s="81">
        <f>L38+L29+L20+L11</f>
        <v>86647568.530000001</v>
      </c>
      <c r="M42" s="56">
        <f>L42/($C$33+$C$24+$C$15+$C$6)</f>
        <v>1121.593296528335</v>
      </c>
      <c r="N42" s="26" t="s">
        <v>77</v>
      </c>
      <c r="O42" s="81">
        <f>O38+O29+O20+O11</f>
        <v>84641447.923580855</v>
      </c>
      <c r="P42" s="56">
        <f>O42/($C$33+$C$24+$C$15+$C$6)</f>
        <v>1095.6254423535461</v>
      </c>
      <c r="Q42" s="26" t="s">
        <v>77</v>
      </c>
      <c r="X42" s="82"/>
    </row>
    <row r="43" spans="2:24" x14ac:dyDescent="0.25">
      <c r="B43" s="68"/>
      <c r="C43" s="69"/>
      <c r="D43" s="70"/>
      <c r="E43" s="21"/>
      <c r="F43" s="81"/>
      <c r="G43" s="56">
        <f>F42/($C$37+$C$28+$C$19+$C$10)</f>
        <v>2571.3850412842476</v>
      </c>
      <c r="H43" s="26" t="s">
        <v>78</v>
      </c>
      <c r="I43" s="81"/>
      <c r="J43" s="56">
        <f>I42/($C$37+$C$28+$C$19+$C$10)</f>
        <v>2600.4092349717816</v>
      </c>
      <c r="K43" s="26" t="s">
        <v>78</v>
      </c>
      <c r="L43" s="81"/>
      <c r="M43" s="56">
        <f>L42/($C$37+$C$28+$C$19+$C$10)</f>
        <v>2794.8466461866774</v>
      </c>
      <c r="N43" s="26" t="s">
        <v>78</v>
      </c>
      <c r="O43" s="81"/>
      <c r="P43" s="56">
        <f>O42/($C$37+$C$28+$C$19+$C$10)</f>
        <v>2730.1385471157232</v>
      </c>
      <c r="Q43" s="26" t="s">
        <v>78</v>
      </c>
      <c r="X43" s="82"/>
    </row>
    <row r="44" spans="2:24" hidden="1" x14ac:dyDescent="0.25">
      <c r="B44" s="21"/>
      <c r="C44" s="51"/>
      <c r="D44" s="21"/>
      <c r="E44" s="21"/>
      <c r="F44" s="21"/>
      <c r="G44" s="21"/>
      <c r="H44" s="21"/>
      <c r="I44" s="3"/>
      <c r="J44" s="3"/>
      <c r="K44" s="3"/>
      <c r="L44" s="3"/>
      <c r="O44" s="3"/>
      <c r="P44" s="3"/>
    </row>
    <row r="45" spans="2:24" hidden="1" x14ac:dyDescent="0.25">
      <c r="B45" s="21"/>
      <c r="C45" s="51"/>
      <c r="D45" s="21"/>
      <c r="E45" s="21"/>
      <c r="F45" s="21"/>
      <c r="G45" s="21"/>
      <c r="H45" s="21"/>
      <c r="I45" s="3"/>
      <c r="J45" s="3"/>
      <c r="K45" s="3"/>
      <c r="L45" s="3"/>
      <c r="O45" s="3"/>
      <c r="P45" s="3"/>
    </row>
    <row r="46" spans="2:24" x14ac:dyDescent="0.25">
      <c r="I46" s="3"/>
      <c r="J46" s="3"/>
      <c r="K46" s="3"/>
      <c r="L46" s="3"/>
      <c r="O46" s="3"/>
      <c r="P46" s="3"/>
      <c r="X46" s="1" t="s">
        <v>82</v>
      </c>
    </row>
    <row r="47" spans="2:24" x14ac:dyDescent="0.25">
      <c r="B47" s="21"/>
      <c r="F47" s="83" t="s">
        <v>23</v>
      </c>
      <c r="G47" s="83"/>
      <c r="I47" s="83" t="s">
        <v>23</v>
      </c>
      <c r="J47" s="83"/>
      <c r="K47" s="3"/>
      <c r="L47" s="83" t="s">
        <v>23</v>
      </c>
      <c r="M47" s="83"/>
      <c r="O47" s="83" t="s">
        <v>23</v>
      </c>
      <c r="P47" s="83"/>
    </row>
    <row r="48" spans="2:24" x14ac:dyDescent="0.25">
      <c r="B48" s="27" t="s">
        <v>12</v>
      </c>
      <c r="C48" s="11">
        <v>2235.9</v>
      </c>
      <c r="D48" s="27" t="s">
        <v>27</v>
      </c>
      <c r="E48" s="21"/>
      <c r="F48" s="49">
        <v>1006155</v>
      </c>
      <c r="G48" s="17">
        <f>J48</f>
        <v>450</v>
      </c>
      <c r="H48" s="21"/>
      <c r="I48" s="49">
        <v>1006155</v>
      </c>
      <c r="J48" s="17">
        <f>I48/C48</f>
        <v>450</v>
      </c>
      <c r="K48" s="26"/>
      <c r="L48" s="85">
        <v>1962882</v>
      </c>
      <c r="M48" s="17">
        <f>L48/C48</f>
        <v>877.89346571850263</v>
      </c>
      <c r="O48" s="49">
        <v>1700752.7</v>
      </c>
      <c r="P48" s="17"/>
      <c r="X48" s="3">
        <f>I48</f>
        <v>1006155</v>
      </c>
    </row>
    <row r="49" spans="2:24" ht="15.75" customHeight="1" x14ac:dyDescent="0.25">
      <c r="B49" s="11" t="s">
        <v>14</v>
      </c>
      <c r="C49" s="11">
        <v>2527.2199999999998</v>
      </c>
      <c r="D49" s="27" t="s">
        <v>26</v>
      </c>
      <c r="E49" s="21"/>
      <c r="F49" s="18">
        <v>716144.61</v>
      </c>
      <c r="G49" s="6">
        <f>J49</f>
        <v>283.3724843899621</v>
      </c>
      <c r="H49" s="21"/>
      <c r="I49" s="18">
        <v>716144.61</v>
      </c>
      <c r="J49" s="6">
        <f>+I49/C49</f>
        <v>283.3724843899621</v>
      </c>
      <c r="K49" s="26"/>
      <c r="L49" s="84"/>
      <c r="M49" s="6">
        <f>+L49/C49</f>
        <v>0</v>
      </c>
      <c r="O49" s="18">
        <v>716144.61</v>
      </c>
      <c r="P49" s="6"/>
      <c r="X49" s="3">
        <f>I49</f>
        <v>716144.61</v>
      </c>
    </row>
    <row r="50" spans="2:24" hidden="1" x14ac:dyDescent="0.25"/>
    <row r="51" spans="2:24" hidden="1" x14ac:dyDescent="0.25">
      <c r="O51" s="1" t="s">
        <v>75</v>
      </c>
      <c r="P51" s="20">
        <f>(3*236553)+275836+236137+231836+571778</f>
        <v>2025246</v>
      </c>
    </row>
    <row r="52" spans="2:24" hidden="1" x14ac:dyDescent="0.25">
      <c r="O52" s="1" t="s">
        <v>74</v>
      </c>
      <c r="P52" s="20">
        <f>(3*233750)+231297+276562+233420+570758</f>
        <v>2013287</v>
      </c>
    </row>
    <row r="53" spans="2:24" hidden="1" x14ac:dyDescent="0.25">
      <c r="P53" s="20"/>
    </row>
    <row r="54" spans="2:24" hidden="1" x14ac:dyDescent="0.25">
      <c r="C54" s="1" t="s">
        <v>15</v>
      </c>
      <c r="I54" s="1" t="s">
        <v>17</v>
      </c>
      <c r="K54" s="1" t="s">
        <v>16</v>
      </c>
    </row>
    <row r="55" spans="2:24" hidden="1" x14ac:dyDescent="0.25">
      <c r="B55" s="1" t="s">
        <v>29</v>
      </c>
      <c r="C55" s="1">
        <f>4152.33+459.22</f>
        <v>4611.55</v>
      </c>
      <c r="I55" s="1">
        <f>4598+474.1</f>
        <v>5072.1000000000004</v>
      </c>
      <c r="K55" s="1">
        <f>4131.14+549.56</f>
        <v>4680.7000000000007</v>
      </c>
    </row>
    <row r="56" spans="2:24" hidden="1" x14ac:dyDescent="0.25">
      <c r="B56" s="1" t="s">
        <v>30</v>
      </c>
      <c r="C56" s="1">
        <v>3697.75</v>
      </c>
      <c r="I56" s="1">
        <v>5359.14</v>
      </c>
      <c r="K56" s="1">
        <v>3658</v>
      </c>
    </row>
    <row r="57" spans="2:24" hidden="1" x14ac:dyDescent="0.25"/>
    <row r="58" spans="2:24" hidden="1" x14ac:dyDescent="0.25">
      <c r="B58" s="1" t="s">
        <v>31</v>
      </c>
    </row>
    <row r="59" spans="2:24" hidden="1" x14ac:dyDescent="0.25">
      <c r="B59" s="1" t="s">
        <v>32</v>
      </c>
      <c r="C59" s="1">
        <v>638</v>
      </c>
    </row>
    <row r="60" spans="2:24" hidden="1" x14ac:dyDescent="0.25">
      <c r="B60" s="1" t="s">
        <v>33</v>
      </c>
      <c r="C60" s="1">
        <f>570+50+45</f>
        <v>665</v>
      </c>
    </row>
    <row r="61" spans="2:24" hidden="1" x14ac:dyDescent="0.25"/>
    <row r="62" spans="2:24" hidden="1" x14ac:dyDescent="0.25"/>
    <row r="63" spans="2:24" hidden="1" x14ac:dyDescent="0.25"/>
    <row r="64" spans="2:24" hidden="1" x14ac:dyDescent="0.25"/>
    <row r="65" spans="2:12" hidden="1" x14ac:dyDescent="0.25"/>
    <row r="66" spans="2:12" hidden="1" x14ac:dyDescent="0.25">
      <c r="B66" s="82" t="s">
        <v>73</v>
      </c>
      <c r="C66" s="82"/>
      <c r="D66" s="82"/>
      <c r="E66" s="82"/>
      <c r="F66" s="82"/>
      <c r="G66" s="82"/>
      <c r="H66" s="82"/>
      <c r="I66" s="82"/>
      <c r="J66" s="82"/>
      <c r="K66" s="82"/>
      <c r="L66" s="82"/>
    </row>
    <row r="67" spans="2:12" hidden="1" x14ac:dyDescent="0.25">
      <c r="B67" s="1" t="s">
        <v>24</v>
      </c>
      <c r="I67" s="20">
        <f>117175.31+289947.97+190537.24+190537.24+190537.24+179668.8</f>
        <v>1158403.8</v>
      </c>
      <c r="J67" s="1" t="s">
        <v>25</v>
      </c>
    </row>
    <row r="68" spans="2:12" ht="36.75" hidden="1" customHeight="1" x14ac:dyDescent="0.25"/>
    <row r="69" spans="2:12" ht="54.75" hidden="1" customHeight="1" x14ac:dyDescent="0.25"/>
    <row r="70" spans="2:12" ht="36" hidden="1" customHeight="1" x14ac:dyDescent="0.25">
      <c r="I70" s="1" t="s">
        <v>17</v>
      </c>
      <c r="J70" s="20">
        <f>(117175.31+289947.97+190537.24+190537.24+190537.24+179668.8+101551.93)*0.95</f>
        <v>1196957.9434999998</v>
      </c>
    </row>
    <row r="71" spans="2:12" ht="31.5" hidden="1" customHeight="1" x14ac:dyDescent="0.25"/>
    <row r="72" spans="2:12" ht="18.75" hidden="1" customHeight="1" x14ac:dyDescent="0.25">
      <c r="I72" s="1" t="s">
        <v>15</v>
      </c>
      <c r="J72" s="20">
        <f>(117185.31+289947.97+190537.24+190537.24+190537.24+179668.8+101551.93)*0.95</f>
        <v>1196967.4434999998</v>
      </c>
    </row>
    <row r="73" spans="2:12" ht="18.75" hidden="1" customHeight="1" x14ac:dyDescent="0.25"/>
    <row r="74" spans="2:12" ht="18.75" hidden="1" customHeight="1" x14ac:dyDescent="0.25"/>
    <row r="75" spans="2:12" ht="18.75" hidden="1" customHeight="1" x14ac:dyDescent="0.25"/>
    <row r="76" spans="2:12" ht="18.75" hidden="1" customHeight="1" x14ac:dyDescent="0.25">
      <c r="I76" s="1" t="s">
        <v>4</v>
      </c>
    </row>
    <row r="77" spans="2:12" ht="18.75" hidden="1" customHeight="1" x14ac:dyDescent="0.25"/>
    <row r="78" spans="2:12" ht="18.75" hidden="1" customHeight="1" x14ac:dyDescent="0.25">
      <c r="I78" s="1" t="s">
        <v>17</v>
      </c>
      <c r="J78" s="20">
        <f>183377.93+407416.76+342321.88+342321.88+342321.88+339587.87</f>
        <v>1957348.2000000002</v>
      </c>
    </row>
    <row r="79" spans="2:12" ht="18.75" hidden="1" customHeight="1" x14ac:dyDescent="0.25"/>
    <row r="80" spans="2:12" ht="18.75" hidden="1" customHeight="1" x14ac:dyDescent="0.25">
      <c r="I80" s="1" t="s">
        <v>15</v>
      </c>
      <c r="J80" s="20">
        <f>295045.54+386113.06+325394.79+325394.79+325394.79+324604.46</f>
        <v>1981947.43</v>
      </c>
    </row>
    <row r="81" spans="2:24" ht="18.75" hidden="1" customHeight="1" x14ac:dyDescent="0.25"/>
    <row r="82" spans="2:24" ht="18.75" hidden="1" customHeight="1" x14ac:dyDescent="0.25">
      <c r="I82" s="1" t="s">
        <v>16</v>
      </c>
      <c r="J82" s="20">
        <f>295346.763883574+321188.18+321188.18+321185.96+320385.37</f>
        <v>1579294.4538835739</v>
      </c>
    </row>
    <row r="83" spans="2:24" ht="18.75" hidden="1" customHeight="1" x14ac:dyDescent="0.25"/>
    <row r="84" spans="2:24" ht="18.75" hidden="1" customHeight="1" x14ac:dyDescent="0.25"/>
    <row r="85" spans="2:24" ht="6" customHeight="1" x14ac:dyDescent="0.25"/>
    <row r="86" spans="2:24" ht="18.75" customHeight="1" x14ac:dyDescent="0.25">
      <c r="B86" s="62" t="s">
        <v>84</v>
      </c>
      <c r="C86" s="62"/>
      <c r="D86" s="62"/>
      <c r="F86" s="57">
        <f>SUM(F48:F49)</f>
        <v>1722299.6099999999</v>
      </c>
      <c r="I86" s="57">
        <f>SUM(I48:I49)</f>
        <v>1722299.6099999999</v>
      </c>
      <c r="L86" s="57">
        <f>+L48</f>
        <v>1962882</v>
      </c>
      <c r="O86" s="57">
        <f>SUM(O48:O49)</f>
        <v>2416897.31</v>
      </c>
      <c r="X86" s="57">
        <f>SUM(X48:X49)</f>
        <v>1722299.6099999999</v>
      </c>
    </row>
    <row r="87" spans="2:24" ht="18.75" hidden="1" customHeight="1" x14ac:dyDescent="0.25"/>
    <row r="88" spans="2:24" hidden="1" x14ac:dyDescent="0.25"/>
    <row r="90" spans="2:24" ht="32.25" customHeight="1" x14ac:dyDescent="0.35">
      <c r="B90" s="61" t="s">
        <v>81</v>
      </c>
      <c r="C90" s="61"/>
      <c r="D90" s="61"/>
      <c r="F90" s="59">
        <f>+F86+F35+F34+F26+F25+F17+F16+F8+F7</f>
        <v>39027021.153448068</v>
      </c>
      <c r="H90" s="58"/>
      <c r="I90" s="59">
        <f>+I86+I35+I34+I26+I25+I17+I16+I8+I7+300000</f>
        <v>40642828.866320863</v>
      </c>
      <c r="J90" s="58"/>
      <c r="K90" s="58"/>
      <c r="L90" s="59">
        <f>+L86+L34+L25+L16+L7</f>
        <v>47698036.109999999</v>
      </c>
      <c r="M90" s="58"/>
      <c r="N90" s="58"/>
      <c r="O90" s="59">
        <f>+O86+O35+O34+O26+O25+O17+O16+O8+O7</f>
        <v>45059375.133580863</v>
      </c>
      <c r="X90" s="59">
        <f>+X86+X35+X34+X26+X25+X17+X16+X8+X7</f>
        <v>41397284.809345856</v>
      </c>
    </row>
    <row r="93" spans="2:24" x14ac:dyDescent="0.25">
      <c r="I93" s="3" cm="1">
        <f t="array" ref="I93:I94">'[1]Comparativo de Supra'!$I$42:$I$43-I42</f>
        <v>1910108.1355000138</v>
      </c>
      <c r="X93" s="3">
        <f>X90-I90</f>
        <v>754455.94302499294</v>
      </c>
    </row>
    <row r="94" spans="2:24" x14ac:dyDescent="0.25">
      <c r="I94" s="2">
        <v>-80619499.356320858</v>
      </c>
    </row>
  </sheetData>
  <mergeCells count="60">
    <mergeCell ref="X29:X30"/>
    <mergeCell ref="X20:X21"/>
    <mergeCell ref="X38:X39"/>
    <mergeCell ref="X42:X43"/>
    <mergeCell ref="X11:X12"/>
    <mergeCell ref="F5:G5"/>
    <mergeCell ref="F33:G33"/>
    <mergeCell ref="F38:F39"/>
    <mergeCell ref="F42:F43"/>
    <mergeCell ref="F6:G6"/>
    <mergeCell ref="I5:J5"/>
    <mergeCell ref="I6:J6"/>
    <mergeCell ref="I15:J15"/>
    <mergeCell ref="I24:J24"/>
    <mergeCell ref="I33:J33"/>
    <mergeCell ref="L16:L17"/>
    <mergeCell ref="F29:F30"/>
    <mergeCell ref="F47:G47"/>
    <mergeCell ref="L7:L8"/>
    <mergeCell ref="L48:L49"/>
    <mergeCell ref="I47:J47"/>
    <mergeCell ref="I42:I43"/>
    <mergeCell ref="L42:L43"/>
    <mergeCell ref="I38:I39"/>
    <mergeCell ref="L29:L30"/>
    <mergeCell ref="L20:L21"/>
    <mergeCell ref="L38:L39"/>
    <mergeCell ref="O47:P47"/>
    <mergeCell ref="B4:P4"/>
    <mergeCell ref="I11:I12"/>
    <mergeCell ref="L5:M5"/>
    <mergeCell ref="O5:P5"/>
    <mergeCell ref="O38:O39"/>
    <mergeCell ref="O29:O30"/>
    <mergeCell ref="O20:O21"/>
    <mergeCell ref="O11:O12"/>
    <mergeCell ref="L6:M6"/>
    <mergeCell ref="L11:L12"/>
    <mergeCell ref="L25:L26"/>
    <mergeCell ref="L34:L35"/>
    <mergeCell ref="O6:P6"/>
    <mergeCell ref="O15:P15"/>
    <mergeCell ref="O24:P24"/>
    <mergeCell ref="O33:P33"/>
    <mergeCell ref="B90:D90"/>
    <mergeCell ref="B86:D86"/>
    <mergeCell ref="X5:Y5"/>
    <mergeCell ref="B42:D43"/>
    <mergeCell ref="F11:F12"/>
    <mergeCell ref="F15:G15"/>
    <mergeCell ref="F20:F21"/>
    <mergeCell ref="F24:G24"/>
    <mergeCell ref="O42:O43"/>
    <mergeCell ref="B66:L66"/>
    <mergeCell ref="L15:M15"/>
    <mergeCell ref="L24:M24"/>
    <mergeCell ref="L33:M33"/>
    <mergeCell ref="L47:M47"/>
    <mergeCell ref="I20:I21"/>
    <mergeCell ref="I29:I30"/>
  </mergeCells>
  <pageMargins left="0" right="0" top="0.78740157480314965" bottom="0.78740157480314965" header="0.31496062992125984" footer="0.31496062992125984"/>
  <pageSetup paperSize="9" scale="58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A9D8-48F2-47A8-96DB-C79D3F2DDAB2}">
  <dimension ref="A5:L53"/>
  <sheetViews>
    <sheetView workbookViewId="0">
      <selection activeCell="C18" sqref="C18"/>
    </sheetView>
  </sheetViews>
  <sheetFormatPr defaultRowHeight="15" x14ac:dyDescent="0.25"/>
  <cols>
    <col min="1" max="1" width="8.42578125" customWidth="1"/>
    <col min="2" max="2" width="78.7109375" customWidth="1"/>
    <col min="3" max="3" width="26.140625" style="28" customWidth="1"/>
    <col min="4" max="4" width="17" bestFit="1" customWidth="1"/>
    <col min="5" max="5" width="13.28515625" bestFit="1" customWidth="1"/>
    <col min="7" max="7" width="31.85546875" customWidth="1"/>
    <col min="8" max="8" width="15.28515625" customWidth="1"/>
    <col min="10" max="10" width="16.85546875" customWidth="1"/>
    <col min="11" max="11" width="18" customWidth="1"/>
  </cols>
  <sheetData>
    <row r="5" spans="1:12" x14ac:dyDescent="0.25">
      <c r="H5" s="29"/>
      <c r="I5" s="29"/>
    </row>
    <row r="6" spans="1:12" x14ac:dyDescent="0.25">
      <c r="B6" s="30" t="s">
        <v>35</v>
      </c>
      <c r="C6" s="31">
        <v>4323244.62</v>
      </c>
      <c r="H6" s="29"/>
      <c r="I6" s="29"/>
    </row>
    <row r="7" spans="1:12" ht="4.5" customHeight="1" x14ac:dyDescent="0.25">
      <c r="H7" s="29"/>
      <c r="I7" s="29"/>
    </row>
    <row r="8" spans="1:12" ht="15" customHeight="1" x14ac:dyDescent="0.25">
      <c r="A8" s="86" t="s">
        <v>36</v>
      </c>
      <c r="B8" s="14" t="s">
        <v>37</v>
      </c>
      <c r="C8" s="32">
        <f>4323244.62*0.666666666</f>
        <v>2882163.077117837</v>
      </c>
      <c r="H8" s="29"/>
      <c r="I8" s="29">
        <f>+H8/$H$17</f>
        <v>0</v>
      </c>
      <c r="J8" s="33">
        <f>I8*$J$17</f>
        <v>0</v>
      </c>
      <c r="K8" s="34">
        <f>$K$17*I8</f>
        <v>0</v>
      </c>
      <c r="L8" t="e">
        <f>K8/J8</f>
        <v>#DIV/0!</v>
      </c>
    </row>
    <row r="9" spans="1:12" x14ac:dyDescent="0.25">
      <c r="A9" s="86"/>
      <c r="B9" s="14" t="s">
        <v>38</v>
      </c>
      <c r="C9" s="32">
        <f>C8*3*0.15</f>
        <v>1296973.3847030264</v>
      </c>
      <c r="G9" t="s">
        <v>15</v>
      </c>
      <c r="H9" s="29">
        <v>50889.56</v>
      </c>
      <c r="I9" s="29">
        <f>+H9/$H$17</f>
        <v>0.2893420291722284</v>
      </c>
      <c r="J9" s="33">
        <f t="shared" ref="J9:J15" si="0">I9*$J$17</f>
        <v>48152.126889624757</v>
      </c>
      <c r="K9" s="34">
        <f t="shared" ref="K9:K15" si="1">$K$17*I9</f>
        <v>2932211.9597984855</v>
      </c>
      <c r="L9">
        <f t="shared" ref="L9:L15" si="2">K9/J9</f>
        <v>60.89475479493894</v>
      </c>
    </row>
    <row r="10" spans="1:12" x14ac:dyDescent="0.25">
      <c r="A10" s="86"/>
      <c r="B10" s="14" t="s">
        <v>39</v>
      </c>
      <c r="C10" s="32">
        <f>57*10000</f>
        <v>570000</v>
      </c>
      <c r="G10" t="s">
        <v>17</v>
      </c>
      <c r="H10" s="29">
        <v>64468.73</v>
      </c>
      <c r="I10" s="29">
        <f>+H10/$H$17</f>
        <v>0.36654891801690798</v>
      </c>
      <c r="J10" s="33">
        <f t="shared" si="0"/>
        <v>61000.851007023026</v>
      </c>
      <c r="K10" s="34">
        <f t="shared" si="1"/>
        <v>3714631.8643552712</v>
      </c>
      <c r="L10">
        <f t="shared" si="2"/>
        <v>60.89475479493894</v>
      </c>
    </row>
    <row r="11" spans="1:12" ht="11.25" customHeight="1" x14ac:dyDescent="0.25">
      <c r="A11" s="86"/>
      <c r="B11" s="14"/>
      <c r="C11" s="32"/>
      <c r="H11" s="29"/>
      <c r="I11" s="29"/>
      <c r="J11" s="33">
        <f t="shared" si="0"/>
        <v>0</v>
      </c>
      <c r="K11" s="34">
        <f t="shared" si="1"/>
        <v>0</v>
      </c>
    </row>
    <row r="12" spans="1:12" ht="15.75" customHeight="1" x14ac:dyDescent="0.25">
      <c r="A12" s="86"/>
      <c r="B12" s="35" t="s">
        <v>40</v>
      </c>
      <c r="C12" s="36">
        <f>SUM(C8:C11)</f>
        <v>4749136.4618208632</v>
      </c>
      <c r="D12">
        <f>+C12/2</f>
        <v>2374568.2309104316</v>
      </c>
      <c r="G12" t="s">
        <v>16</v>
      </c>
      <c r="H12" s="29">
        <v>50668.5</v>
      </c>
      <c r="I12" s="29">
        <f>+H12/$H$17</f>
        <v>0.28808515155393477</v>
      </c>
      <c r="J12" s="33">
        <f t="shared" si="0"/>
        <v>47942.958070514898</v>
      </c>
      <c r="K12" s="34">
        <f t="shared" si="1"/>
        <v>2919474.675848044</v>
      </c>
      <c r="L12">
        <f t="shared" si="2"/>
        <v>60.894754794938947</v>
      </c>
    </row>
    <row r="13" spans="1:12" ht="16.5" customHeight="1" x14ac:dyDescent="0.25">
      <c r="A13" s="86"/>
      <c r="G13" t="s">
        <v>41</v>
      </c>
      <c r="H13" s="29">
        <v>3227.36</v>
      </c>
      <c r="I13" s="29">
        <f>+H13/$H$17</f>
        <v>1.8349753687579205E-2</v>
      </c>
      <c r="J13" s="33">
        <f t="shared" si="0"/>
        <v>3053.7549988347191</v>
      </c>
      <c r="K13" s="34">
        <f t="shared" si="1"/>
        <v>185957.66185785929</v>
      </c>
      <c r="L13">
        <f t="shared" si="2"/>
        <v>60.894754794938947</v>
      </c>
    </row>
    <row r="14" spans="1:12" x14ac:dyDescent="0.25">
      <c r="A14" s="86"/>
      <c r="B14" s="37" t="s">
        <v>42</v>
      </c>
      <c r="C14" s="32">
        <f>3114005.77</f>
        <v>3114005.77</v>
      </c>
      <c r="G14" t="s">
        <v>43</v>
      </c>
      <c r="H14" s="29">
        <v>3339.92</v>
      </c>
      <c r="I14" s="29">
        <f>+H14/$H$17</f>
        <v>1.8989734438122657E-2</v>
      </c>
      <c r="J14" s="33">
        <f t="shared" si="0"/>
        <v>3160.26021135171</v>
      </c>
      <c r="K14" s="34">
        <f t="shared" si="1"/>
        <v>192443.27065846432</v>
      </c>
      <c r="L14">
        <f t="shared" si="2"/>
        <v>60.894754794938947</v>
      </c>
    </row>
    <row r="15" spans="1:12" x14ac:dyDescent="0.25">
      <c r="A15" s="86"/>
      <c r="B15" s="14" t="s">
        <v>44</v>
      </c>
      <c r="C15" s="32">
        <v>220119.8</v>
      </c>
      <c r="G15" t="s">
        <v>45</v>
      </c>
      <c r="H15" s="29">
        <v>3286.22</v>
      </c>
      <c r="I15" s="29">
        <f>+H15/$H$17</f>
        <v>1.8684413131226926E-2</v>
      </c>
      <c r="J15" s="33">
        <f t="shared" si="0"/>
        <v>3109.4488226509065</v>
      </c>
      <c r="K15" s="34">
        <f t="shared" si="1"/>
        <v>189349.12360273855</v>
      </c>
      <c r="L15">
        <f t="shared" si="2"/>
        <v>60.894754794938947</v>
      </c>
    </row>
    <row r="16" spans="1:12" x14ac:dyDescent="0.25">
      <c r="A16" s="86"/>
      <c r="B16" s="14" t="s">
        <v>46</v>
      </c>
      <c r="C16" s="32">
        <f>((C14)+C15)*0.15</f>
        <v>500118.83549999993</v>
      </c>
      <c r="H16" s="29"/>
      <c r="I16" s="29"/>
      <c r="K16" s="34">
        <f>SUM(K9:K15)</f>
        <v>10134068.556120865</v>
      </c>
    </row>
    <row r="17" spans="1:11" x14ac:dyDescent="0.25">
      <c r="A17" s="86"/>
      <c r="B17" s="14" t="s">
        <v>47</v>
      </c>
      <c r="C17" s="32">
        <f>38*10000</f>
        <v>380000</v>
      </c>
      <c r="H17" s="29">
        <f>SUM(H8:H15)</f>
        <v>175880.29</v>
      </c>
      <c r="I17" s="29"/>
      <c r="J17" s="33">
        <f>H17-C27</f>
        <v>166419.40000000002</v>
      </c>
      <c r="K17" s="34">
        <f>C22</f>
        <v>10134068.556120863</v>
      </c>
    </row>
    <row r="18" spans="1:11" x14ac:dyDescent="0.25">
      <c r="A18" s="86"/>
      <c r="B18" s="14" t="s">
        <v>48</v>
      </c>
      <c r="C18" s="32">
        <f>((1168.75+4.66)*2993.04)/3</f>
        <v>1170687.6888000001</v>
      </c>
    </row>
    <row r="19" spans="1:11" ht="5.25" customHeight="1" x14ac:dyDescent="0.25">
      <c r="A19" s="86"/>
      <c r="B19" s="14"/>
      <c r="C19" s="32"/>
    </row>
    <row r="20" spans="1:11" x14ac:dyDescent="0.25">
      <c r="A20" s="86"/>
      <c r="B20" s="35" t="s">
        <v>49</v>
      </c>
      <c r="C20" s="36">
        <f>SUM(C14:C18)</f>
        <v>5384932.0943</v>
      </c>
    </row>
    <row r="21" spans="1:11" ht="10.5" customHeight="1" x14ac:dyDescent="0.25">
      <c r="A21" s="86"/>
    </row>
    <row r="22" spans="1:11" ht="18.75" x14ac:dyDescent="0.3">
      <c r="A22" s="86"/>
      <c r="B22" s="38" t="s">
        <v>50</v>
      </c>
      <c r="C22" s="39">
        <f>C20+C12</f>
        <v>10134068.556120863</v>
      </c>
    </row>
    <row r="25" spans="1:11" x14ac:dyDescent="0.25">
      <c r="H25" t="s">
        <v>51</v>
      </c>
    </row>
    <row r="26" spans="1:11" ht="15" customHeight="1" x14ac:dyDescent="0.25">
      <c r="A26" s="86" t="s">
        <v>52</v>
      </c>
      <c r="B26" s="87" t="s">
        <v>51</v>
      </c>
      <c r="C26" s="87"/>
      <c r="H26" s="33">
        <f>I26*$C$27</f>
        <v>1176.5030083938968</v>
      </c>
      <c r="I26">
        <v>0.12435436923945811</v>
      </c>
    </row>
    <row r="27" spans="1:11" x14ac:dyDescent="0.25">
      <c r="A27" s="86"/>
      <c r="B27" s="14" t="s">
        <v>53</v>
      </c>
      <c r="C27" s="40">
        <f>9310.89+150</f>
        <v>9460.89</v>
      </c>
      <c r="D27" t="s">
        <v>54</v>
      </c>
      <c r="E27" s="33"/>
      <c r="H27" s="33">
        <f t="shared" ref="H27:H33" si="3">I27*$C$27</f>
        <v>2397.0213425993229</v>
      </c>
      <c r="I27">
        <v>0.25336108364005111</v>
      </c>
    </row>
    <row r="28" spans="1:11" x14ac:dyDescent="0.25">
      <c r="A28" s="86"/>
      <c r="B28" s="14" t="s">
        <v>55</v>
      </c>
      <c r="C28" s="41">
        <v>138.15</v>
      </c>
      <c r="H28" s="33">
        <f t="shared" si="3"/>
        <v>3036.6330882065645</v>
      </c>
      <c r="I28">
        <v>0.32096695852150958</v>
      </c>
    </row>
    <row r="29" spans="1:11" x14ac:dyDescent="0.25">
      <c r="A29" s="86"/>
      <c r="B29" s="35" t="s">
        <v>56</v>
      </c>
      <c r="C29" s="36">
        <f>C28*C27</f>
        <v>1307021.9535000001</v>
      </c>
      <c r="H29" s="33">
        <f t="shared" si="3"/>
        <v>0</v>
      </c>
    </row>
    <row r="30" spans="1:11" ht="13.5" customHeight="1" x14ac:dyDescent="0.25">
      <c r="A30" s="86"/>
      <c r="H30" s="33">
        <f t="shared" si="3"/>
        <v>2386.60888200829</v>
      </c>
      <c r="I30">
        <v>0.25226050424519153</v>
      </c>
    </row>
    <row r="31" spans="1:11" x14ac:dyDescent="0.25">
      <c r="A31" s="86"/>
      <c r="B31" s="87" t="s">
        <v>57</v>
      </c>
      <c r="C31" s="87"/>
      <c r="H31" s="33">
        <f t="shared" si="3"/>
        <v>152.01646074855728</v>
      </c>
      <c r="I31">
        <v>1.6067881642060872E-2</v>
      </c>
    </row>
    <row r="32" spans="1:11" x14ac:dyDescent="0.25">
      <c r="A32" s="86"/>
      <c r="B32" s="14" t="s">
        <v>58</v>
      </c>
      <c r="C32" s="40">
        <v>0.37</v>
      </c>
      <c r="D32" t="s">
        <v>59</v>
      </c>
      <c r="H32" s="33">
        <f t="shared" si="3"/>
        <v>157.31830895323776</v>
      </c>
      <c r="I32">
        <v>1.6628277990045098E-2</v>
      </c>
    </row>
    <row r="33" spans="1:10" x14ac:dyDescent="0.25">
      <c r="A33" s="86"/>
      <c r="B33" s="14" t="s">
        <v>60</v>
      </c>
      <c r="C33" s="40">
        <f>+C32*C27</f>
        <v>3500.5292999999997</v>
      </c>
      <c r="D33" t="s">
        <v>27</v>
      </c>
      <c r="H33" s="33">
        <f t="shared" si="3"/>
        <v>154.7889090901306</v>
      </c>
      <c r="I33">
        <v>1.6360924721683753E-2</v>
      </c>
    </row>
    <row r="34" spans="1:10" x14ac:dyDescent="0.25">
      <c r="A34" s="86"/>
      <c r="B34" s="14" t="s">
        <v>61</v>
      </c>
      <c r="C34" s="40">
        <v>6.5</v>
      </c>
    </row>
    <row r="35" spans="1:10" x14ac:dyDescent="0.25">
      <c r="A35" s="86"/>
      <c r="B35" s="14" t="s">
        <v>62</v>
      </c>
      <c r="C35" s="40">
        <f>+C34*C33</f>
        <v>22753.440449999998</v>
      </c>
      <c r="H35" s="33"/>
      <c r="J35" s="34"/>
    </row>
    <row r="36" spans="1:10" x14ac:dyDescent="0.25">
      <c r="A36" s="86"/>
      <c r="B36" s="14" t="s">
        <v>63</v>
      </c>
      <c r="C36" s="41">
        <v>39</v>
      </c>
    </row>
    <row r="37" spans="1:10" x14ac:dyDescent="0.25">
      <c r="A37" s="86"/>
      <c r="B37" s="35" t="s">
        <v>64</v>
      </c>
      <c r="C37" s="36">
        <f>+C36*C35</f>
        <v>887384.17754999991</v>
      </c>
    </row>
    <row r="38" spans="1:10" ht="9.75" customHeight="1" x14ac:dyDescent="0.25">
      <c r="A38" s="86"/>
    </row>
    <row r="39" spans="1:10" ht="18.75" x14ac:dyDescent="0.3">
      <c r="A39" s="86"/>
      <c r="B39" s="38" t="s">
        <v>65</v>
      </c>
      <c r="C39" s="39">
        <f>C37+C29</f>
        <v>2194406.13105</v>
      </c>
      <c r="E39">
        <f>+C39/3</f>
        <v>731468.71034999995</v>
      </c>
      <c r="H39" t="s">
        <v>57</v>
      </c>
    </row>
    <row r="40" spans="1:10" x14ac:dyDescent="0.25">
      <c r="H40" s="42">
        <f>I40*$H$48</f>
        <v>2829.4896792278555</v>
      </c>
      <c r="I40">
        <f>+I26</f>
        <v>0.12435436923945811</v>
      </c>
    </row>
    <row r="41" spans="1:10" ht="21" x14ac:dyDescent="0.35">
      <c r="B41" s="43" t="s">
        <v>66</v>
      </c>
      <c r="C41" s="44">
        <f>+C39+C22</f>
        <v>12328474.687170863</v>
      </c>
      <c r="D41" s="34">
        <f>C41+[2]ORÇAMENTO!$H$678</f>
        <v>40541040.887170866</v>
      </c>
      <c r="H41" s="42">
        <f t="shared" ref="H41:H47" si="4">I41*$H$48</f>
        <v>5764.836214938884</v>
      </c>
      <c r="I41">
        <f t="shared" ref="I41:I46" si="5">+I27</f>
        <v>0.25336108364005111</v>
      </c>
    </row>
    <row r="42" spans="1:10" x14ac:dyDescent="0.25">
      <c r="H42" s="42">
        <f t="shared" si="4"/>
        <v>7303.1024327016567</v>
      </c>
      <c r="I42">
        <f t="shared" si="5"/>
        <v>0.32096695852150958</v>
      </c>
    </row>
    <row r="43" spans="1:10" x14ac:dyDescent="0.25">
      <c r="H43" s="42">
        <f t="shared" si="4"/>
        <v>0</v>
      </c>
      <c r="I43">
        <f t="shared" si="5"/>
        <v>0</v>
      </c>
    </row>
    <row r="44" spans="1:10" x14ac:dyDescent="0.25">
      <c r="H44" s="42">
        <f t="shared" si="4"/>
        <v>5739.7942477127108</v>
      </c>
      <c r="I44">
        <f t="shared" si="5"/>
        <v>0.25226050424519153</v>
      </c>
    </row>
    <row r="45" spans="1:10" x14ac:dyDescent="0.25">
      <c r="H45" s="42">
        <f t="shared" si="4"/>
        <v>365.59958086973353</v>
      </c>
      <c r="I45">
        <f t="shared" si="5"/>
        <v>1.6067881642060872E-2</v>
      </c>
    </row>
    <row r="46" spans="1:10" x14ac:dyDescent="0.25">
      <c r="B46" t="s">
        <v>67</v>
      </c>
      <c r="C46" s="16">
        <v>200857.84</v>
      </c>
      <c r="H46" s="42">
        <f t="shared" si="4"/>
        <v>378.35052554981172</v>
      </c>
      <c r="I46">
        <f t="shared" si="5"/>
        <v>1.6628277990045098E-2</v>
      </c>
    </row>
    <row r="47" spans="1:10" x14ac:dyDescent="0.25">
      <c r="C47" s="45"/>
      <c r="H47" s="42">
        <f t="shared" si="4"/>
        <v>372.26731899934794</v>
      </c>
      <c r="I47">
        <f>+I33</f>
        <v>1.6360924721683753E-2</v>
      </c>
    </row>
    <row r="48" spans="1:10" x14ac:dyDescent="0.25">
      <c r="B48" t="s">
        <v>68</v>
      </c>
      <c r="C48" s="45">
        <f>C46-C49</f>
        <v>178104.39955</v>
      </c>
      <c r="H48">
        <v>22753.439999999999</v>
      </c>
    </row>
    <row r="49" spans="2:3" x14ac:dyDescent="0.25">
      <c r="B49" t="s">
        <v>69</v>
      </c>
      <c r="C49" s="45">
        <f>C35</f>
        <v>22753.440449999998</v>
      </c>
    </row>
    <row r="51" spans="2:3" x14ac:dyDescent="0.25">
      <c r="B51" t="s">
        <v>70</v>
      </c>
      <c r="C51" s="28">
        <f>+C22/C48</f>
        <v>56.899596987641416</v>
      </c>
    </row>
    <row r="52" spans="2:3" x14ac:dyDescent="0.25">
      <c r="B52" t="s">
        <v>71</v>
      </c>
      <c r="C52" s="28">
        <v>39</v>
      </c>
    </row>
    <row r="53" spans="2:3" x14ac:dyDescent="0.25">
      <c r="B53" t="s">
        <v>72</v>
      </c>
      <c r="C53" s="28">
        <v>138.15</v>
      </c>
    </row>
  </sheetData>
  <mergeCells count="4">
    <mergeCell ref="A8:A22"/>
    <mergeCell ref="A26:A39"/>
    <mergeCell ref="B26:C26"/>
    <mergeCell ref="B31:C3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F897-3B31-4418-B195-12B7C224D462}">
  <dimension ref="B1:J11"/>
  <sheetViews>
    <sheetView workbookViewId="0">
      <selection activeCell="B2" sqref="B2:D11"/>
    </sheetView>
  </sheetViews>
  <sheetFormatPr defaultColWidth="9.140625" defaultRowHeight="15" x14ac:dyDescent="0.25"/>
  <cols>
    <col min="1" max="1" width="6.28515625" style="1" customWidth="1"/>
    <col min="2" max="2" width="34.42578125" style="1" customWidth="1"/>
    <col min="3" max="3" width="24.5703125" style="1" customWidth="1"/>
    <col min="4" max="4" width="29.140625" style="1" customWidth="1"/>
    <col min="5" max="5" width="6.28515625" style="1" customWidth="1"/>
    <col min="6" max="7" width="9.140625" style="1"/>
    <col min="8" max="8" width="25.140625" style="1" hidden="1" customWidth="1"/>
    <col min="9" max="9" width="24.7109375" style="1" hidden="1" customWidth="1"/>
    <col min="10" max="10" width="18.5703125" style="1" hidden="1" customWidth="1"/>
    <col min="11" max="16384" width="9.140625" style="1"/>
  </cols>
  <sheetData>
    <row r="1" spans="2:10" s="9" customFormat="1" ht="50.25" customHeight="1" x14ac:dyDescent="0.25"/>
    <row r="2" spans="2:10" s="10" customFormat="1" ht="18.75" x14ac:dyDescent="0.3">
      <c r="B2" s="74" t="s">
        <v>11</v>
      </c>
      <c r="C2" s="74"/>
      <c r="D2" s="74"/>
    </row>
    <row r="3" spans="2:10" x14ac:dyDescent="0.25">
      <c r="C3" s="8" t="s">
        <v>9</v>
      </c>
      <c r="D3" s="8" t="s">
        <v>10</v>
      </c>
    </row>
    <row r="4" spans="2:10" x14ac:dyDescent="0.25">
      <c r="B4" s="12" t="s">
        <v>8</v>
      </c>
      <c r="C4" s="5">
        <v>3463993.56</v>
      </c>
      <c r="D4" s="5">
        <v>4869739.72</v>
      </c>
      <c r="H4" s="2">
        <v>10882598.630000001</v>
      </c>
      <c r="I4" s="3">
        <f>D4-H4</f>
        <v>-6012858.9100000011</v>
      </c>
    </row>
    <row r="5" spans="2:10" x14ac:dyDescent="0.25">
      <c r="B5" s="11" t="s">
        <v>1</v>
      </c>
      <c r="C5" s="6">
        <v>899085</v>
      </c>
      <c r="D5" s="6">
        <v>1272925.3400000001</v>
      </c>
      <c r="J5" s="1">
        <v>958</v>
      </c>
    </row>
    <row r="6" spans="2:10" x14ac:dyDescent="0.25">
      <c r="B6" s="11" t="s">
        <v>2</v>
      </c>
      <c r="C6" s="6">
        <v>6879912</v>
      </c>
      <c r="D6" s="6">
        <v>6153221.2999999998</v>
      </c>
      <c r="J6" s="3">
        <f>SUM(J5:J5)</f>
        <v>958</v>
      </c>
    </row>
    <row r="7" spans="2:10" x14ac:dyDescent="0.25">
      <c r="B7" s="13"/>
      <c r="C7" s="13"/>
      <c r="D7" s="13"/>
    </row>
    <row r="8" spans="2:10" x14ac:dyDescent="0.25">
      <c r="B8" s="11" t="s">
        <v>6</v>
      </c>
      <c r="C8" s="7">
        <f>SUM(C4:C7)</f>
        <v>11242990.560000001</v>
      </c>
      <c r="D8" s="7">
        <f>SUM(D4:D7)</f>
        <v>12295886.359999999</v>
      </c>
    </row>
    <row r="10" spans="2:10" x14ac:dyDescent="0.25">
      <c r="D10" s="4" t="s">
        <v>7</v>
      </c>
      <c r="I10" s="1" t="s">
        <v>5</v>
      </c>
    </row>
    <row r="11" spans="2:10" x14ac:dyDescent="0.25">
      <c r="D11" s="7">
        <f>D8-C8</f>
        <v>1052895.7999999989</v>
      </c>
      <c r="I11" s="1">
        <v>31002.82</v>
      </c>
      <c r="J11" s="2">
        <f>1189.89*I11</f>
        <v>36889945.489800006</v>
      </c>
    </row>
  </sheetData>
  <mergeCells count="1">
    <mergeCell ref="B2:D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Comparativo de Supra</vt:lpstr>
      <vt:lpstr>FORMAS</vt:lpstr>
      <vt:lpstr>Comparativo de Infra</vt:lpstr>
      <vt:lpstr>'Comparativo de Supra'!Area_de_impressao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FG / Marcio Antonius Rodrigues Caiaffo</dc:creator>
  <cp:lastModifiedBy>Patricia Bragatto</cp:lastModifiedBy>
  <cp:lastPrinted>2025-11-18T20:44:45Z</cp:lastPrinted>
  <dcterms:created xsi:type="dcterms:W3CDTF">2025-09-17T13:25:35Z</dcterms:created>
  <dcterms:modified xsi:type="dcterms:W3CDTF">2025-12-04T21:51:09Z</dcterms:modified>
</cp:coreProperties>
</file>