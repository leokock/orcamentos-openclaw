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.shortcut-targets-by-id\1-tu7FZ6uzElYUzYE_vkThJR9JeurY5hu\COTA 08.2021\Afonso Pena\03. Custo\03.5 Custo - Determinação do orçamento\Orçamento Preliminar\Revisão\"/>
    </mc:Choice>
  </mc:AlternateContent>
  <bookViews>
    <workbookView xWindow="-20520" yWindow="2505" windowWidth="20640" windowHeight="11040"/>
  </bookViews>
  <sheets>
    <sheet name="Orçamento Resumo" sheetId="1" r:id="rId1"/>
    <sheet name="Orçamento_Paramétrico" sheetId="3" r:id="rId2"/>
    <sheet name="Planilha1" sheetId="2" r:id="rId3"/>
  </sheets>
  <externalReferences>
    <externalReference r:id="rId4"/>
  </externalReferences>
  <definedNames>
    <definedName name="_xlnm._FilterDatabase" localSheetId="0" hidden="1">'Orçamento Resumo'!$A$1:$E$21</definedName>
    <definedName name="_xlnm._FilterDatabase" localSheetId="1" hidden="1">Orçamento_Paramétrico!$A$1:$F$23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" i="2" l="1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3" i="2"/>
  <c r="B13" i="2"/>
  <c r="B10" i="2"/>
  <c r="B9" i="2"/>
  <c r="B2" i="2"/>
  <c r="B18" i="2" l="1"/>
  <c r="J16" i="3"/>
  <c r="I16" i="3"/>
  <c r="E2" i="3"/>
  <c r="C2" i="3"/>
  <c r="D2" i="1" l="1"/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C2" i="2" l="1"/>
  <c r="M9" i="3"/>
  <c r="D9" i="1" l="1"/>
  <c r="E9" i="1"/>
  <c r="E4" i="1" l="1"/>
  <c r="D4" i="1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F7" i="3" l="1"/>
  <c r="D6" i="2"/>
  <c r="C7" i="3"/>
  <c r="F15" i="3"/>
  <c r="D12" i="2"/>
  <c r="C15" i="3"/>
  <c r="F8" i="3"/>
  <c r="C8" i="3"/>
  <c r="F16" i="3"/>
  <c r="D13" i="2"/>
  <c r="C16" i="3"/>
  <c r="F9" i="3"/>
  <c r="C9" i="3"/>
  <c r="C10" i="3"/>
  <c r="C3" i="3"/>
  <c r="D2" i="2"/>
  <c r="F11" i="3"/>
  <c r="C11" i="3"/>
  <c r="D8" i="2"/>
  <c r="F19" i="3"/>
  <c r="C19" i="3"/>
  <c r="D16" i="2"/>
  <c r="F2" i="3"/>
  <c r="F18" i="3"/>
  <c r="D15" i="2"/>
  <c r="C18" i="3"/>
  <c r="F4" i="3"/>
  <c r="D3" i="2"/>
  <c r="C4" i="3"/>
  <c r="F12" i="3"/>
  <c r="C12" i="3"/>
  <c r="D9" i="2"/>
  <c r="F20" i="3"/>
  <c r="C20" i="3"/>
  <c r="F17" i="3"/>
  <c r="C17" i="3"/>
  <c r="D14" i="2"/>
  <c r="F5" i="3"/>
  <c r="C5" i="3"/>
  <c r="D4" i="2"/>
  <c r="F13" i="3"/>
  <c r="C13" i="3"/>
  <c r="D10" i="2"/>
  <c r="F6" i="3"/>
  <c r="D5" i="2"/>
  <c r="C6" i="3"/>
  <c r="F14" i="3"/>
  <c r="D11" i="2"/>
  <c r="C14" i="3"/>
  <c r="F10" i="3"/>
  <c r="B21" i="3"/>
  <c r="F3" i="3"/>
  <c r="C21" i="3" l="1"/>
  <c r="D7" i="2"/>
  <c r="D18" i="2" s="1"/>
  <c r="H8" i="3"/>
  <c r="F21" i="3"/>
  <c r="F22" i="3" s="1"/>
  <c r="B22" i="3"/>
  <c r="D20" i="3" l="1"/>
  <c r="D18" i="3"/>
  <c r="D16" i="3"/>
  <c r="D14" i="3"/>
  <c r="D12" i="3"/>
  <c r="D10" i="3"/>
  <c r="D8" i="3"/>
  <c r="D6" i="3"/>
  <c r="D4" i="3"/>
  <c r="D2" i="3"/>
  <c r="D13" i="3"/>
  <c r="D15" i="3"/>
  <c r="D3" i="3"/>
  <c r="D17" i="3"/>
  <c r="D9" i="3"/>
  <c r="D19" i="3"/>
  <c r="D5" i="3"/>
  <c r="D7" i="3"/>
  <c r="D11" i="3"/>
  <c r="D3" i="1" l="1"/>
  <c r="D5" i="1"/>
  <c r="D6" i="1"/>
  <c r="D7" i="1"/>
  <c r="D8" i="1"/>
  <c r="D10" i="1"/>
  <c r="D11" i="1"/>
  <c r="D12" i="1"/>
  <c r="D13" i="1"/>
  <c r="D14" i="1"/>
  <c r="D15" i="1"/>
  <c r="D16" i="1"/>
  <c r="D17" i="1"/>
  <c r="D18" i="1"/>
  <c r="D19" i="1"/>
  <c r="C18" i="2" l="1"/>
  <c r="D20" i="1"/>
  <c r="D21" i="1" s="1"/>
  <c r="E6" i="1"/>
  <c r="E12" i="1"/>
  <c r="E14" i="1"/>
  <c r="E19" i="1"/>
  <c r="G18" i="2" l="1"/>
  <c r="F18" i="2"/>
  <c r="E17" i="1" l="1"/>
  <c r="E13" i="1" l="1"/>
  <c r="E11" i="1"/>
  <c r="E10" i="1" l="1"/>
  <c r="E7" i="1" l="1"/>
  <c r="E8" i="1" l="1"/>
  <c r="E5" i="1" l="1"/>
  <c r="E3" i="1" l="1"/>
  <c r="E18" i="1" l="1"/>
  <c r="E16" i="1" l="1"/>
  <c r="E15" i="1" l="1"/>
  <c r="E2" i="1" l="1"/>
  <c r="E20" i="1" s="1"/>
  <c r="B20" i="1" l="1"/>
  <c r="C9" i="1" l="1"/>
  <c r="C2" i="1"/>
  <c r="C4" i="1"/>
  <c r="C17" i="1"/>
  <c r="C3" i="1"/>
  <c r="C8" i="1"/>
  <c r="C19" i="1"/>
  <c r="C16" i="1"/>
  <c r="C13" i="1"/>
  <c r="C5" i="1"/>
  <c r="C7" i="1"/>
  <c r="C15" i="1"/>
  <c r="C6" i="1"/>
  <c r="C10" i="1"/>
  <c r="C18" i="1"/>
  <c r="C12" i="1"/>
  <c r="C11" i="1"/>
  <c r="C14" i="1"/>
  <c r="C20" i="1" l="1"/>
</calcChain>
</file>

<file path=xl/sharedStrings.xml><?xml version="1.0" encoding="utf-8"?>
<sst xmlns="http://schemas.openxmlformats.org/spreadsheetml/2006/main" count="96" uniqueCount="53">
  <si>
    <t>REVESTIMENTOS E ACABAMENTOS DE FACHADA</t>
  </si>
  <si>
    <t>COBERTURA</t>
  </si>
  <si>
    <t>PINTURA INTERNA</t>
  </si>
  <si>
    <t>IMPERMEABILIZAÇÃO</t>
  </si>
  <si>
    <t>Valor / m²</t>
  </si>
  <si>
    <t>%</t>
  </si>
  <si>
    <t>Valor Orçado</t>
  </si>
  <si>
    <t>Etapa</t>
  </si>
  <si>
    <t>TOTAL</t>
  </si>
  <si>
    <t>INFRAESTRUTURA</t>
  </si>
  <si>
    <t>SUPRAESTRUTURA</t>
  </si>
  <si>
    <t>REVESTIMENTOS INTERNOS EM PISO E PAREDE</t>
  </si>
  <si>
    <t>REVESTIMENTOS E ACABAMENTOS INTERNOS EM TETO</t>
  </si>
  <si>
    <t>ACABAMENTOS EM PISO E PAREDE</t>
  </si>
  <si>
    <t>GERENCIAMENTO TÉCNICO E ADMINISTRATIVO</t>
  </si>
  <si>
    <t>IMPREVISTOS E CONTINGÊNCIAS</t>
  </si>
  <si>
    <t>ALVENARIA</t>
  </si>
  <si>
    <t>SERVIÇOS COMPLEMENTARES</t>
  </si>
  <si>
    <t>CUB/SC</t>
  </si>
  <si>
    <t>CUB</t>
  </si>
  <si>
    <t>SISTEMAS ESPECIAIS E EQUIPAMENTOS</t>
  </si>
  <si>
    <t>INSTALAÇÕES ELÉTRICAS, HIDROSSANITÁRIAS, PREVENTIVAS E GLP</t>
  </si>
  <si>
    <t xml:space="preserve">ESQUADRIAS </t>
  </si>
  <si>
    <t>Valor / AP</t>
  </si>
  <si>
    <t>MOVIMENTAÇÃO DE TERRA</t>
  </si>
  <si>
    <t>OBRA SIMILAR
Valor / m²</t>
  </si>
  <si>
    <t>140,00 - 160,00</t>
  </si>
  <si>
    <t>2.270,00 - 2.790,50</t>
  </si>
  <si>
    <t>Valor / unidade</t>
  </si>
  <si>
    <t>CONTENÇÕES</t>
  </si>
  <si>
    <t>INSTALAÇÕES ELÉTRICAS</t>
  </si>
  <si>
    <t>INSTALAÇÕES HIDROSSANITÁRIAS</t>
  </si>
  <si>
    <t>INSTALAÇÕES PREVENTIVAS E GLP</t>
  </si>
  <si>
    <t>CONTENÇÃO</t>
  </si>
  <si>
    <t>Indexado</t>
  </si>
  <si>
    <t>ORÇAMENTO PARAMÉTRICO
Valor / m²</t>
  </si>
  <si>
    <t xml:space="preserve"> 100,00 - 180,00 </t>
  </si>
  <si>
    <t>60,00 - 80,00</t>
  </si>
  <si>
    <t>90,00 - 110,00</t>
  </si>
  <si>
    <t>520,00 - 580,00</t>
  </si>
  <si>
    <t>40,00 - 50,00</t>
  </si>
  <si>
    <t>70,00 - 130,00</t>
  </si>
  <si>
    <t>180,00 - 240,00</t>
  </si>
  <si>
    <t xml:space="preserve">110,00 -150,00 </t>
  </si>
  <si>
    <t>270,00 - 330,00</t>
  </si>
  <si>
    <t>70,00 - 90,00</t>
  </si>
  <si>
    <t>150,00 - 160,00</t>
  </si>
  <si>
    <t>175,00 - 220,00</t>
  </si>
  <si>
    <t>85,00 - 120,00</t>
  </si>
  <si>
    <t>4,50 - 6,50</t>
  </si>
  <si>
    <t>130,00 - 160,00</t>
  </si>
  <si>
    <t>ORÇAMENTO PRELIMINAR R00
Valor / m²</t>
  </si>
  <si>
    <t>ORÇAMENTO PRELIMINAR REVISADO R01
Valor / 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</si>
</sst>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#,###,##0.00"/>
  </numFmts>
  <fonts count="12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.5"/>
      <color theme="0"/>
      <name val="Poppins"/>
      <scheme val="minor"/>
    </font>
    <font>
      <sz val="10.5"/>
      <name val="Poppins"/>
      <scheme val="minor"/>
    </font>
    <font>
      <sz val="10.5"/>
      <color rgb="FF010000"/>
      <name val="Poppins"/>
      <scheme val="minor"/>
    </font>
    <font>
      <b/>
      <sz val="10.5"/>
      <color theme="0"/>
      <name val="Poppins"/>
    </font>
    <font>
      <sz val="10.5"/>
      <color rgb="FF010000"/>
      <name val="Poppins"/>
    </font>
    <font>
      <sz val="10.5"/>
      <name val="Poppins"/>
    </font>
    <font>
      <sz val="8"/>
      <color rgb="FF202124"/>
      <name val="Roboto"/>
    </font>
    <font>
      <sz val="10.5"/>
      <name val="Poppins"/>
      <family val="2"/>
      <scheme val="minor"/>
    </font>
    <font>
      <sz val="10"/>
      <color rgb="FF58595B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34998626667073579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34998626667073579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4" fillId="0" borderId="0" xfId="0" applyFont="1" applyAlignment="1">
      <alignment vertical="center" wrapText="1"/>
    </xf>
    <xf numFmtId="0" fontId="5" fillId="2" borderId="9" xfId="0" applyFont="1" applyFill="1" applyBorder="1" applyAlignment="1">
      <alignment horizontal="left" vertical="center" wrapText="1"/>
    </xf>
    <xf numFmtId="164" fontId="5" fillId="2" borderId="10" xfId="0" applyNumberFormat="1" applyFont="1" applyFill="1" applyBorder="1" applyAlignment="1">
      <alignment horizontal="right" vertical="center" wrapText="1"/>
    </xf>
    <xf numFmtId="10" fontId="4" fillId="2" borderId="10" xfId="2" applyNumberFormat="1" applyFont="1" applyFill="1" applyBorder="1" applyAlignment="1">
      <alignment vertical="center" wrapText="1"/>
    </xf>
    <xf numFmtId="43" fontId="4" fillId="2" borderId="10" xfId="1" applyFont="1" applyFill="1" applyBorder="1" applyAlignment="1">
      <alignment vertical="center" wrapText="1"/>
    </xf>
    <xf numFmtId="43" fontId="4" fillId="2" borderId="11" xfId="1" applyFont="1" applyFill="1" applyBorder="1" applyAlignment="1">
      <alignment vertical="center" wrapText="1"/>
    </xf>
    <xf numFmtId="0" fontId="5" fillId="3" borderId="9" xfId="0" applyFont="1" applyFill="1" applyBorder="1" applyAlignment="1">
      <alignment horizontal="left" vertical="center" wrapText="1"/>
    </xf>
    <xf numFmtId="164" fontId="5" fillId="3" borderId="10" xfId="0" applyNumberFormat="1" applyFont="1" applyFill="1" applyBorder="1" applyAlignment="1">
      <alignment horizontal="right" vertical="center" wrapText="1"/>
    </xf>
    <xf numFmtId="10" fontId="4" fillId="3" borderId="10" xfId="2" applyNumberFormat="1" applyFont="1" applyFill="1" applyBorder="1" applyAlignment="1">
      <alignment vertical="center" wrapText="1"/>
    </xf>
    <xf numFmtId="43" fontId="4" fillId="3" borderId="10" xfId="1" applyFont="1" applyFill="1" applyBorder="1" applyAlignment="1">
      <alignment vertical="center" wrapText="1"/>
    </xf>
    <xf numFmtId="43" fontId="4" fillId="3" borderId="11" xfId="1" applyFont="1" applyFill="1" applyBorder="1" applyAlignment="1">
      <alignment vertical="center" wrapText="1"/>
    </xf>
    <xf numFmtId="0" fontId="4" fillId="3" borderId="0" xfId="0" applyFont="1" applyFill="1" applyAlignment="1">
      <alignment vertical="center" wrapText="1"/>
    </xf>
    <xf numFmtId="10" fontId="4" fillId="3" borderId="0" xfId="2" applyNumberFormat="1" applyFont="1" applyFill="1" applyAlignment="1">
      <alignment vertical="center" wrapText="1"/>
    </xf>
    <xf numFmtId="43" fontId="4" fillId="3" borderId="0" xfId="0" applyNumberFormat="1" applyFont="1" applyFill="1" applyAlignment="1">
      <alignment vertical="center" wrapText="1"/>
    </xf>
    <xf numFmtId="10" fontId="4" fillId="0" borderId="0" xfId="2" applyNumberFormat="1" applyFont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10" fontId="3" fillId="4" borderId="1" xfId="2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right" vertical="center" wrapText="1"/>
    </xf>
    <xf numFmtId="164" fontId="3" fillId="4" borderId="2" xfId="0" applyNumberFormat="1" applyFont="1" applyFill="1" applyBorder="1" applyAlignment="1">
      <alignment vertical="center" wrapText="1"/>
    </xf>
    <xf numFmtId="10" fontId="3" fillId="4" borderId="2" xfId="2" applyNumberFormat="1" applyFont="1" applyFill="1" applyBorder="1" applyAlignment="1">
      <alignment vertical="center" wrapText="1"/>
    </xf>
    <xf numFmtId="43" fontId="3" fillId="4" borderId="2" xfId="1" applyFont="1" applyFill="1" applyBorder="1" applyAlignment="1">
      <alignment vertical="center" wrapText="1"/>
    </xf>
    <xf numFmtId="43" fontId="3" fillId="4" borderId="4" xfId="1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right" vertical="center" wrapText="1"/>
    </xf>
    <xf numFmtId="164" fontId="3" fillId="4" borderId="6" xfId="0" applyNumberFormat="1" applyFont="1" applyFill="1" applyBorder="1" applyAlignment="1">
      <alignment vertical="center" wrapText="1"/>
    </xf>
    <xf numFmtId="17" fontId="3" fillId="4" borderId="6" xfId="1" applyNumberFormat="1" applyFont="1" applyFill="1" applyBorder="1" applyAlignment="1">
      <alignment vertical="center" wrapText="1"/>
    </xf>
    <xf numFmtId="43" fontId="3" fillId="4" borderId="7" xfId="1" applyFont="1" applyFill="1" applyBorder="1" applyAlignment="1">
      <alignment vertical="center" wrapText="1"/>
    </xf>
    <xf numFmtId="43" fontId="3" fillId="4" borderId="8" xfId="1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right" vertical="center" wrapText="1"/>
    </xf>
    <xf numFmtId="43" fontId="6" fillId="4" borderId="2" xfId="1" applyFont="1" applyFill="1" applyBorder="1" applyAlignment="1">
      <alignment vertical="center" wrapText="1"/>
    </xf>
    <xf numFmtId="43" fontId="6" fillId="4" borderId="2" xfId="1" applyFont="1" applyFill="1" applyBorder="1" applyAlignment="1">
      <alignment horizontal="center" vertical="center" wrapText="1"/>
    </xf>
    <xf numFmtId="43" fontId="0" fillId="0" borderId="0" xfId="1" applyFont="1"/>
    <xf numFmtId="4" fontId="4" fillId="0" borderId="0" xfId="0" applyNumberFormat="1" applyFont="1" applyAlignment="1">
      <alignment vertical="center" wrapText="1"/>
    </xf>
    <xf numFmtId="43" fontId="4" fillId="0" borderId="0" xfId="1" applyFont="1" applyAlignment="1">
      <alignment vertical="center" wrapText="1"/>
    </xf>
    <xf numFmtId="4" fontId="9" fillId="0" borderId="0" xfId="0" applyNumberFormat="1" applyFont="1"/>
    <xf numFmtId="0" fontId="6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10" fontId="6" fillId="5" borderId="1" xfId="2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7" fillId="3" borderId="12" xfId="0" applyFont="1" applyFill="1" applyBorder="1" applyAlignment="1">
      <alignment horizontal="left" vertical="center" wrapText="1"/>
    </xf>
    <xf numFmtId="164" fontId="7" fillId="3" borderId="13" xfId="0" applyNumberFormat="1" applyFont="1" applyFill="1" applyBorder="1" applyAlignment="1">
      <alignment horizontal="right" vertical="center" wrapText="1"/>
    </xf>
    <xf numFmtId="10" fontId="8" fillId="3" borderId="13" xfId="2" applyNumberFormat="1" applyFont="1" applyFill="1" applyBorder="1" applyAlignment="1">
      <alignment vertical="center" wrapText="1"/>
    </xf>
    <xf numFmtId="43" fontId="8" fillId="3" borderId="13" xfId="1" applyFont="1" applyFill="1" applyBorder="1" applyAlignment="1">
      <alignment vertical="center" wrapText="1"/>
    </xf>
    <xf numFmtId="43" fontId="8" fillId="3" borderId="14" xfId="1" applyFont="1" applyFill="1" applyBorder="1" applyAlignment="1">
      <alignment vertical="center" wrapText="1"/>
    </xf>
    <xf numFmtId="0" fontId="7" fillId="2" borderId="9" xfId="0" applyFont="1" applyFill="1" applyBorder="1" applyAlignment="1">
      <alignment horizontal="left" vertical="center" wrapText="1"/>
    </xf>
    <xf numFmtId="164" fontId="7" fillId="2" borderId="10" xfId="0" applyNumberFormat="1" applyFont="1" applyFill="1" applyBorder="1" applyAlignment="1">
      <alignment horizontal="right" vertical="center" wrapText="1"/>
    </xf>
    <xf numFmtId="10" fontId="8" fillId="2" borderId="10" xfId="2" applyNumberFormat="1" applyFont="1" applyFill="1" applyBorder="1" applyAlignment="1">
      <alignment vertical="center" wrapText="1"/>
    </xf>
    <xf numFmtId="43" fontId="8" fillId="2" borderId="10" xfId="1" applyFont="1" applyFill="1" applyBorder="1" applyAlignment="1">
      <alignment vertical="center" wrapText="1"/>
    </xf>
    <xf numFmtId="43" fontId="8" fillId="2" borderId="11" xfId="1" applyFont="1" applyFill="1" applyBorder="1" applyAlignment="1">
      <alignment vertical="center" wrapText="1"/>
    </xf>
    <xf numFmtId="164" fontId="7" fillId="3" borderId="10" xfId="0" applyNumberFormat="1" applyFont="1" applyFill="1" applyBorder="1" applyAlignment="1">
      <alignment horizontal="right" vertical="center" wrapText="1"/>
    </xf>
    <xf numFmtId="10" fontId="8" fillId="3" borderId="10" xfId="2" applyNumberFormat="1" applyFont="1" applyFill="1" applyBorder="1" applyAlignment="1">
      <alignment vertical="center" wrapText="1"/>
    </xf>
    <xf numFmtId="43" fontId="8" fillId="3" borderId="10" xfId="1" applyFont="1" applyFill="1" applyBorder="1" applyAlignment="1">
      <alignment vertical="center" wrapText="1"/>
    </xf>
    <xf numFmtId="43" fontId="8" fillId="3" borderId="11" xfId="1" applyFont="1" applyFill="1" applyBorder="1" applyAlignment="1">
      <alignment vertical="center" wrapText="1"/>
    </xf>
    <xf numFmtId="0" fontId="6" fillId="5" borderId="3" xfId="0" applyFont="1" applyFill="1" applyBorder="1" applyAlignment="1">
      <alignment horizontal="right" vertical="center" wrapText="1"/>
    </xf>
    <xf numFmtId="164" fontId="6" fillId="5" borderId="2" xfId="0" applyNumberFormat="1" applyFont="1" applyFill="1" applyBorder="1" applyAlignment="1">
      <alignment vertical="center" wrapText="1"/>
    </xf>
    <xf numFmtId="10" fontId="6" fillId="5" borderId="2" xfId="2" applyNumberFormat="1" applyFont="1" applyFill="1" applyBorder="1" applyAlignment="1">
      <alignment vertical="center" wrapText="1"/>
    </xf>
    <xf numFmtId="43" fontId="6" fillId="5" borderId="2" xfId="1" applyFont="1" applyFill="1" applyBorder="1" applyAlignment="1">
      <alignment vertical="center" wrapText="1"/>
    </xf>
    <xf numFmtId="43" fontId="6" fillId="5" borderId="4" xfId="1" applyFont="1" applyFill="1" applyBorder="1" applyAlignment="1">
      <alignment vertical="center" wrapText="1"/>
    </xf>
    <xf numFmtId="0" fontId="6" fillId="5" borderId="5" xfId="0" applyFont="1" applyFill="1" applyBorder="1" applyAlignment="1">
      <alignment horizontal="right" vertical="center" wrapText="1"/>
    </xf>
    <xf numFmtId="164" fontId="6" fillId="5" borderId="6" xfId="0" applyNumberFormat="1" applyFont="1" applyFill="1" applyBorder="1" applyAlignment="1">
      <alignment vertical="center" wrapText="1"/>
    </xf>
    <xf numFmtId="17" fontId="6" fillId="5" borderId="6" xfId="1" applyNumberFormat="1" applyFont="1" applyFill="1" applyBorder="1" applyAlignment="1">
      <alignment vertical="center" wrapText="1"/>
    </xf>
    <xf numFmtId="43" fontId="6" fillId="5" borderId="7" xfId="1" applyFont="1" applyFill="1" applyBorder="1" applyAlignment="1">
      <alignment vertical="center" wrapText="1"/>
    </xf>
    <xf numFmtId="43" fontId="6" fillId="5" borderId="8" xfId="1" applyFont="1" applyFill="1" applyBorder="1" applyAlignment="1">
      <alignment horizontal="left" vertical="center" wrapText="1"/>
    </xf>
    <xf numFmtId="0" fontId="10" fillId="3" borderId="0" xfId="0" applyFont="1" applyFill="1" applyAlignment="1">
      <alignment vertical="center" wrapText="1"/>
    </xf>
    <xf numFmtId="10" fontId="10" fillId="3" borderId="0" xfId="2" applyNumberFormat="1" applyFont="1" applyFill="1" applyAlignment="1">
      <alignment vertical="center" wrapText="1"/>
    </xf>
    <xf numFmtId="43" fontId="10" fillId="3" borderId="0" xfId="0" applyNumberFormat="1" applyFont="1" applyFill="1" applyAlignment="1">
      <alignment vertical="center" wrapText="1"/>
    </xf>
    <xf numFmtId="10" fontId="10" fillId="0" borderId="0" xfId="2" applyNumberFormat="1" applyFont="1" applyAlignment="1">
      <alignment vertical="center" wrapText="1"/>
    </xf>
    <xf numFmtId="43" fontId="10" fillId="0" borderId="0" xfId="0" applyNumberFormat="1" applyFont="1" applyAlignment="1">
      <alignment vertical="center" wrapText="1"/>
    </xf>
    <xf numFmtId="4" fontId="11" fillId="0" borderId="0" xfId="0" applyNumberFormat="1" applyFont="1"/>
    <xf numFmtId="43" fontId="4" fillId="2" borderId="10" xfId="1" applyFont="1" applyFill="1" applyBorder="1" applyAlignment="1">
      <alignment horizontal="center" vertical="center" wrapText="1"/>
    </xf>
    <xf numFmtId="43" fontId="4" fillId="3" borderId="10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D0D0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postas%20Fechadas/COTA%2008.2021/Afonso%20Pena/01.%20Integra&#231;&#227;o/01.3%20Or&#231;amento%20Param&#233;trico/MTH_COTA-AFP_Gerenciamento%20executivo%20-%20R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 Gerais"/>
      <sheetName val="Resumo"/>
      <sheetName val="Conteções"/>
      <sheetName val="Movimentação de Terra"/>
      <sheetName val="Infraestrutura"/>
      <sheetName val="Supraestrutura"/>
      <sheetName val="Alvenaria"/>
      <sheetName val="Instalações"/>
      <sheetName val="Sistemas especiais"/>
      <sheetName val="Impermeabilização"/>
      <sheetName val="Rev. Internos Piso e Parede"/>
      <sheetName val="Acabamentos de Teto"/>
      <sheetName val="Acabamentos de Piso e Parede"/>
      <sheetName val="Pintura Interna"/>
      <sheetName val="Esquadrias"/>
      <sheetName val="Rev. Fachada"/>
      <sheetName val="Cobertura"/>
      <sheetName val="Complementares"/>
      <sheetName val="TEC E ADM"/>
    </sheetNames>
    <sheetDataSet>
      <sheetData sheetId="0"/>
      <sheetData sheetId="1">
        <row r="18">
          <cell r="D18">
            <v>638002.26847318001</v>
          </cell>
        </row>
        <row r="25">
          <cell r="D25">
            <v>861568.67999999993</v>
          </cell>
        </row>
        <row r="33">
          <cell r="D33">
            <v>3055571.45</v>
          </cell>
        </row>
        <row r="40">
          <cell r="D40">
            <v>7681348.9500000002</v>
          </cell>
        </row>
        <row r="47">
          <cell r="D47">
            <v>1939697.5862499997</v>
          </cell>
        </row>
        <row r="53">
          <cell r="D53">
            <v>2354992.5</v>
          </cell>
        </row>
        <row r="54">
          <cell r="D54">
            <v>1781147.5</v>
          </cell>
        </row>
        <row r="55">
          <cell r="D55">
            <v>356229.5</v>
          </cell>
        </row>
        <row r="66">
          <cell r="D66">
            <v>1665304</v>
          </cell>
        </row>
        <row r="73">
          <cell r="D73">
            <v>1166242.5549999999</v>
          </cell>
        </row>
        <row r="79">
          <cell r="D79">
            <v>2199555.2400000002</v>
          </cell>
        </row>
        <row r="87">
          <cell r="D87">
            <v>1172520.7973936442</v>
          </cell>
        </row>
        <row r="93">
          <cell r="D93">
            <v>1943070</v>
          </cell>
        </row>
        <row r="100">
          <cell r="D100">
            <v>1036304</v>
          </cell>
        </row>
        <row r="108">
          <cell r="D108">
            <v>2737611.6</v>
          </cell>
        </row>
        <row r="117">
          <cell r="D117">
            <v>1027977.25</v>
          </cell>
        </row>
        <row r="124">
          <cell r="D124">
            <v>47250</v>
          </cell>
        </row>
        <row r="132">
          <cell r="D132">
            <v>1109950.2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6">
          <cell r="D56">
            <v>3391904.8837333331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Cartesian">
      <a:dk1>
        <a:srgbClr val="121212"/>
      </a:dk1>
      <a:lt1>
        <a:srgbClr val="F5F5F5"/>
      </a:lt1>
      <a:dk2>
        <a:srgbClr val="255AE5"/>
      </a:dk2>
      <a:lt2>
        <a:srgbClr val="FE3400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Cartesian">
      <a:majorFont>
        <a:latin typeface="Poppins Medium"/>
        <a:ea typeface=""/>
        <a:cs typeface=""/>
      </a:majorFont>
      <a:minorFont>
        <a:latin typeface="Poppins"/>
        <a:ea typeface=""/>
        <a:cs typeface="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showGridLines="0" tabSelected="1" zoomScaleNormal="100" workbookViewId="0">
      <selection activeCell="H5" sqref="H5"/>
    </sheetView>
  </sheetViews>
  <sheetFormatPr defaultColWidth="9.140625" defaultRowHeight="13.5"/>
  <cols>
    <col min="1" max="1" width="65.85546875" style="1" bestFit="1" customWidth="1"/>
    <col min="2" max="2" width="16.5703125" style="1" bestFit="1" customWidth="1"/>
    <col min="3" max="3" width="10.5703125" style="15" customWidth="1"/>
    <col min="4" max="4" width="13.85546875" style="1" customWidth="1"/>
    <col min="5" max="5" width="16.5703125" style="1" bestFit="1" customWidth="1"/>
    <col min="6" max="7" width="9.140625" style="1"/>
    <col min="8" max="8" width="13.5703125" style="1" bestFit="1" customWidth="1"/>
    <col min="9" max="11" width="9.140625" style="1"/>
    <col min="12" max="12" width="10.28515625" style="1" bestFit="1" customWidth="1"/>
    <col min="13" max="16384" width="9.140625" style="1"/>
  </cols>
  <sheetData>
    <row r="1" spans="1:12" ht="21" customHeight="1">
      <c r="A1" s="16" t="s">
        <v>7</v>
      </c>
      <c r="B1" s="17" t="s">
        <v>6</v>
      </c>
      <c r="C1" s="18" t="s">
        <v>5</v>
      </c>
      <c r="D1" s="17" t="s">
        <v>4</v>
      </c>
      <c r="E1" s="17" t="s">
        <v>23</v>
      </c>
    </row>
    <row r="2" spans="1:12" ht="18" customHeight="1">
      <c r="A2" s="7" t="s">
        <v>14</v>
      </c>
      <c r="B2" s="8">
        <v>3612384.83</v>
      </c>
      <c r="C2" s="9">
        <f t="shared" ref="C2" si="0">+B2/$B$20</f>
        <v>9.9699666230494935E-2</v>
      </c>
      <c r="D2" s="10">
        <f>+B2/$H$5</f>
        <v>278.86680587935587</v>
      </c>
      <c r="E2" s="11">
        <f>+B2/$H$6</f>
        <v>36488.735656565659</v>
      </c>
    </row>
    <row r="3" spans="1:12" ht="18" customHeight="1">
      <c r="A3" s="2" t="s">
        <v>24</v>
      </c>
      <c r="B3" s="3">
        <v>815619.6</v>
      </c>
      <c r="C3" s="4">
        <f t="shared" ref="C3:C19" si="1">+B3/$B$20</f>
        <v>2.2510614377441559E-2</v>
      </c>
      <c r="D3" s="5">
        <f t="shared" ref="D3:D19" si="2">+B3/$H$5</f>
        <v>62.9637326498788</v>
      </c>
      <c r="E3" s="6">
        <f t="shared" ref="E3:E19" si="3">+B3/$H$6</f>
        <v>8238.5818181818177</v>
      </c>
    </row>
    <row r="4" spans="1:12" ht="18" customHeight="1">
      <c r="A4" s="7" t="s">
        <v>33</v>
      </c>
      <c r="B4" s="8">
        <v>1146835.3700000001</v>
      </c>
      <c r="C4" s="9">
        <f t="shared" ref="C4" si="4">+B4/$B$20</f>
        <v>3.1651972032649182E-2</v>
      </c>
      <c r="D4" s="10">
        <f t="shared" ref="D4" si="5">+B4/$H$5</f>
        <v>88.532737111889958</v>
      </c>
      <c r="E4" s="11">
        <f t="shared" ref="E4" si="6">+B4/$H$6</f>
        <v>11584.195656565658</v>
      </c>
    </row>
    <row r="5" spans="1:12" ht="18" customHeight="1">
      <c r="A5" s="2" t="s">
        <v>9</v>
      </c>
      <c r="B5" s="3">
        <v>2788714.52</v>
      </c>
      <c r="C5" s="4">
        <f t="shared" si="1"/>
        <v>7.6966857059948088E-2</v>
      </c>
      <c r="D5" s="5">
        <f t="shared" si="2"/>
        <v>215.28157915051955</v>
      </c>
      <c r="E5" s="6">
        <f t="shared" si="3"/>
        <v>28168.833535353537</v>
      </c>
      <c r="H5" s="36">
        <v>12953.8</v>
      </c>
      <c r="L5" s="37"/>
    </row>
    <row r="6" spans="1:12" ht="18" customHeight="1">
      <c r="A6" s="7" t="s">
        <v>10</v>
      </c>
      <c r="B6" s="8">
        <v>6817964.2999999998</v>
      </c>
      <c r="C6" s="9">
        <f t="shared" si="1"/>
        <v>0.18817174721704</v>
      </c>
      <c r="D6" s="10">
        <f t="shared" si="2"/>
        <v>526.32928561503195</v>
      </c>
      <c r="E6" s="11">
        <f t="shared" si="3"/>
        <v>68868.326262626259</v>
      </c>
      <c r="H6" s="1">
        <v>99</v>
      </c>
    </row>
    <row r="7" spans="1:12" ht="18" customHeight="1">
      <c r="A7" s="2" t="s">
        <v>16</v>
      </c>
      <c r="B7" s="3">
        <v>1582159.53</v>
      </c>
      <c r="C7" s="4">
        <f t="shared" si="1"/>
        <v>4.3666659142845732E-2</v>
      </c>
      <c r="D7" s="5">
        <f t="shared" si="2"/>
        <v>122.13864117093054</v>
      </c>
      <c r="E7" s="6">
        <f t="shared" si="3"/>
        <v>15981.409393939393</v>
      </c>
    </row>
    <row r="8" spans="1:12" ht="27">
      <c r="A8" s="7" t="s">
        <v>21</v>
      </c>
      <c r="B8" s="8">
        <v>4764861.3</v>
      </c>
      <c r="C8" s="9">
        <f t="shared" si="1"/>
        <v>0.13150732925777517</v>
      </c>
      <c r="D8" s="10">
        <f t="shared" si="2"/>
        <v>367.83502138368664</v>
      </c>
      <c r="E8" s="11">
        <f t="shared" si="3"/>
        <v>48129.912121212117</v>
      </c>
      <c r="H8" s="38"/>
    </row>
    <row r="9" spans="1:12" ht="18" customHeight="1">
      <c r="A9" s="2" t="s">
        <v>20</v>
      </c>
      <c r="B9" s="3">
        <v>2037832.7</v>
      </c>
      <c r="C9" s="4">
        <f t="shared" si="1"/>
        <v>5.6242966789224476E-2</v>
      </c>
      <c r="D9" s="5">
        <f t="shared" si="2"/>
        <v>157.31543639704179</v>
      </c>
      <c r="E9" s="6">
        <f t="shared" si="3"/>
        <v>20584.168686868685</v>
      </c>
      <c r="H9" s="37"/>
    </row>
    <row r="10" spans="1:12" ht="18" customHeight="1">
      <c r="A10" s="7" t="s">
        <v>3</v>
      </c>
      <c r="B10" s="8">
        <v>752661.24</v>
      </c>
      <c r="C10" s="9">
        <f t="shared" si="1"/>
        <v>2.0773001201156754E-2</v>
      </c>
      <c r="D10" s="10">
        <f t="shared" si="2"/>
        <v>58.10350939492659</v>
      </c>
      <c r="E10" s="11">
        <f t="shared" si="3"/>
        <v>7602.6387878787882</v>
      </c>
    </row>
    <row r="11" spans="1:12" ht="18" customHeight="1">
      <c r="A11" s="2" t="s">
        <v>11</v>
      </c>
      <c r="B11" s="3">
        <v>2000864.8</v>
      </c>
      <c r="C11" s="4">
        <f t="shared" si="1"/>
        <v>5.522267480354412E-2</v>
      </c>
      <c r="D11" s="5">
        <f t="shared" si="2"/>
        <v>154.46160972069973</v>
      </c>
      <c r="E11" s="6">
        <f t="shared" si="3"/>
        <v>20210.755555555555</v>
      </c>
    </row>
    <row r="12" spans="1:12" ht="18" customHeight="1">
      <c r="A12" s="7" t="s">
        <v>12</v>
      </c>
      <c r="B12" s="8">
        <v>391777.76</v>
      </c>
      <c r="C12" s="9">
        <f t="shared" si="1"/>
        <v>1.0812832449119477E-2</v>
      </c>
      <c r="D12" s="10">
        <f t="shared" si="2"/>
        <v>30.244234124349614</v>
      </c>
      <c r="E12" s="11">
        <f t="shared" si="3"/>
        <v>3957.3511111111111</v>
      </c>
      <c r="H12" s="36"/>
    </row>
    <row r="13" spans="1:12" ht="18" customHeight="1">
      <c r="A13" s="2" t="s">
        <v>13</v>
      </c>
      <c r="B13" s="3">
        <v>1734922.24</v>
      </c>
      <c r="C13" s="4">
        <f t="shared" si="1"/>
        <v>4.7882818803627471E-2</v>
      </c>
      <c r="D13" s="5">
        <f t="shared" si="2"/>
        <v>133.93152897219349</v>
      </c>
      <c r="E13" s="6">
        <f t="shared" si="3"/>
        <v>17524.467070707069</v>
      </c>
      <c r="H13" s="36"/>
    </row>
    <row r="14" spans="1:12" ht="18" customHeight="1">
      <c r="A14" s="7" t="s">
        <v>2</v>
      </c>
      <c r="B14" s="8">
        <v>751783.69</v>
      </c>
      <c r="C14" s="9">
        <f t="shared" si="1"/>
        <v>2.0748781344685767E-2</v>
      </c>
      <c r="D14" s="10">
        <f t="shared" si="2"/>
        <v>58.03576479488644</v>
      </c>
      <c r="E14" s="11">
        <f t="shared" si="3"/>
        <v>7593.7746464646461</v>
      </c>
      <c r="H14" s="36"/>
    </row>
    <row r="15" spans="1:12" ht="18" customHeight="1">
      <c r="A15" s="2" t="s">
        <v>22</v>
      </c>
      <c r="B15" s="3">
        <v>3098066.82</v>
      </c>
      <c r="C15" s="4">
        <f t="shared" si="1"/>
        <v>8.5504795986470469E-2</v>
      </c>
      <c r="D15" s="5">
        <f t="shared" si="2"/>
        <v>239.16278003365807</v>
      </c>
      <c r="E15" s="6">
        <f t="shared" si="3"/>
        <v>31293.604242424241</v>
      </c>
      <c r="H15" s="36"/>
    </row>
    <row r="16" spans="1:12" ht="18" customHeight="1">
      <c r="A16" s="7" t="s">
        <v>0</v>
      </c>
      <c r="B16" s="8">
        <v>844341.39</v>
      </c>
      <c r="C16" s="9">
        <f t="shared" si="1"/>
        <v>2.3303318646588425E-2</v>
      </c>
      <c r="D16" s="10">
        <f t="shared" si="2"/>
        <v>65.180980870478166</v>
      </c>
      <c r="E16" s="11">
        <f t="shared" si="3"/>
        <v>8528.7009090909087</v>
      </c>
    </row>
    <row r="17" spans="1:5" ht="18" customHeight="1">
      <c r="A17" s="2" t="s">
        <v>1</v>
      </c>
      <c r="B17" s="3">
        <v>30656.67</v>
      </c>
      <c r="C17" s="4">
        <f t="shared" si="1"/>
        <v>8.4610580283563726E-4</v>
      </c>
      <c r="D17" s="5">
        <f t="shared" si="2"/>
        <v>2.3666159736911179</v>
      </c>
      <c r="E17" s="6">
        <f t="shared" si="3"/>
        <v>309.6633333333333</v>
      </c>
    </row>
    <row r="18" spans="1:5" ht="18" customHeight="1">
      <c r="A18" s="7" t="s">
        <v>17</v>
      </c>
      <c r="B18" s="8">
        <v>2510901.66</v>
      </c>
      <c r="C18" s="9">
        <f t="shared" si="1"/>
        <v>6.9299387861618184E-2</v>
      </c>
      <c r="D18" s="10">
        <f t="shared" si="2"/>
        <v>193.83514181166919</v>
      </c>
      <c r="E18" s="11">
        <f t="shared" si="3"/>
        <v>25362.643030303032</v>
      </c>
    </row>
    <row r="19" spans="1:5" ht="18" customHeight="1">
      <c r="A19" s="2" t="s">
        <v>15</v>
      </c>
      <c r="B19" s="3">
        <v>550318.81530000002</v>
      </c>
      <c r="C19" s="4">
        <f t="shared" si="1"/>
        <v>1.5188470992934435E-2</v>
      </c>
      <c r="D19" s="5">
        <f t="shared" si="2"/>
        <v>42.483195301764738</v>
      </c>
      <c r="E19" s="6">
        <f t="shared" si="3"/>
        <v>5558.7759121212121</v>
      </c>
    </row>
    <row r="20" spans="1:5" ht="18.75" customHeight="1">
      <c r="A20" s="19" t="s">
        <v>8</v>
      </c>
      <c r="B20" s="20">
        <f>SUM(B2:B19)</f>
        <v>36232667.235300004</v>
      </c>
      <c r="C20" s="21">
        <f>SUM(C2:C19)</f>
        <v>0.99999999999999967</v>
      </c>
      <c r="D20" s="22">
        <f>SUM(D2:D19)</f>
        <v>2797.0686003566525</v>
      </c>
      <c r="E20" s="23">
        <f>SUM(E2:E19)</f>
        <v>365986.53773030301</v>
      </c>
    </row>
    <row r="21" spans="1:5" ht="18.75" customHeight="1">
      <c r="A21" s="24" t="s">
        <v>18</v>
      </c>
      <c r="B21" s="25">
        <v>2461.35</v>
      </c>
      <c r="C21" s="26">
        <v>44652</v>
      </c>
      <c r="D21" s="27">
        <f>+D20/B21</f>
        <v>1.1363961242231511</v>
      </c>
      <c r="E21" s="28" t="s">
        <v>19</v>
      </c>
    </row>
    <row r="22" spans="1:5" ht="15" customHeight="1">
      <c r="A22" s="12"/>
      <c r="B22" s="12"/>
      <c r="C22" s="13"/>
      <c r="D22" s="12"/>
      <c r="E22" s="12"/>
    </row>
    <row r="23" spans="1:5" ht="15" customHeight="1">
      <c r="A23" s="12"/>
      <c r="B23" s="12"/>
      <c r="C23" s="13"/>
      <c r="D23" s="14"/>
      <c r="E23" s="12"/>
    </row>
    <row r="24" spans="1:5" ht="15" customHeight="1">
      <c r="A24" s="12"/>
      <c r="B24" s="12"/>
      <c r="C24" s="13"/>
      <c r="D24" s="14"/>
      <c r="E24" s="12"/>
    </row>
    <row r="25" spans="1:5" ht="15" customHeight="1">
      <c r="A25" s="12"/>
      <c r="B25" s="12"/>
      <c r="C25" s="13"/>
      <c r="D25" s="12"/>
      <c r="E25" s="12"/>
    </row>
    <row r="26" spans="1:5" ht="15" customHeight="1">
      <c r="A26" s="12"/>
      <c r="B26" s="12"/>
      <c r="C26" s="13"/>
      <c r="D26" s="12"/>
      <c r="E26" s="12"/>
    </row>
    <row r="27" spans="1:5" ht="15" customHeight="1">
      <c r="A27" s="12"/>
      <c r="B27" s="12"/>
      <c r="C27" s="13"/>
      <c r="D27" s="12"/>
      <c r="E27" s="12"/>
    </row>
    <row r="28" spans="1:5" ht="15" customHeight="1">
      <c r="A28" s="12"/>
      <c r="B28" s="12"/>
      <c r="C28" s="13"/>
      <c r="D28" s="12"/>
      <c r="E28" s="12"/>
    </row>
    <row r="29" spans="1:5" ht="15" customHeight="1">
      <c r="A29" s="12"/>
      <c r="B29" s="12"/>
      <c r="C29" s="13"/>
      <c r="D29" s="12"/>
      <c r="E29" s="12"/>
    </row>
    <row r="30" spans="1:5" ht="15" customHeight="1">
      <c r="A30" s="12"/>
      <c r="B30" s="12"/>
      <c r="C30" s="13"/>
      <c r="D30" s="12"/>
      <c r="E30" s="12"/>
    </row>
    <row r="31" spans="1:5" ht="15" customHeight="1">
      <c r="A31" s="12"/>
      <c r="B31" s="12"/>
      <c r="C31" s="13"/>
      <c r="D31" s="12"/>
      <c r="E31" s="12"/>
    </row>
    <row r="32" spans="1:5" ht="15" customHeight="1">
      <c r="A32" s="12"/>
      <c r="B32" s="12"/>
      <c r="C32" s="13"/>
      <c r="D32" s="12"/>
      <c r="E32" s="12"/>
    </row>
    <row r="33" spans="1:5" ht="15" customHeight="1">
      <c r="A33" s="12"/>
      <c r="B33" s="12"/>
      <c r="C33" s="13"/>
      <c r="D33" s="12"/>
      <c r="E33" s="12"/>
    </row>
    <row r="34" spans="1:5" ht="15" customHeight="1">
      <c r="A34" s="12"/>
      <c r="B34" s="12"/>
      <c r="C34" s="13"/>
      <c r="D34" s="12"/>
      <c r="E34" s="12"/>
    </row>
    <row r="35" spans="1:5">
      <c r="A35" s="12"/>
      <c r="B35" s="12"/>
      <c r="C35" s="13"/>
      <c r="D35" s="12"/>
      <c r="E35" s="12"/>
    </row>
    <row r="36" spans="1:5">
      <c r="A36" s="12"/>
      <c r="B36" s="12"/>
      <c r="C36" s="13"/>
      <c r="D36" s="12"/>
      <c r="E36" s="12"/>
    </row>
    <row r="37" spans="1:5">
      <c r="A37" s="12"/>
      <c r="B37" s="12"/>
      <c r="C37" s="13"/>
      <c r="D37" s="12"/>
      <c r="E37" s="12"/>
    </row>
    <row r="38" spans="1:5">
      <c r="A38" s="12"/>
      <c r="B38" s="12"/>
      <c r="C38" s="13"/>
      <c r="D38" s="12"/>
      <c r="E38" s="12"/>
    </row>
    <row r="39" spans="1:5">
      <c r="A39" s="12"/>
      <c r="B39" s="12"/>
      <c r="C39" s="13"/>
      <c r="D39" s="12"/>
      <c r="E39" s="12"/>
    </row>
    <row r="40" spans="1:5">
      <c r="A40" s="12"/>
      <c r="B40" s="12"/>
      <c r="C40" s="13"/>
      <c r="D40" s="12"/>
      <c r="E40" s="12"/>
    </row>
    <row r="41" spans="1:5">
      <c r="A41" s="12"/>
      <c r="B41" s="12"/>
      <c r="C41" s="13"/>
      <c r="D41" s="12"/>
      <c r="E41" s="12"/>
    </row>
    <row r="42" spans="1:5">
      <c r="A42" s="12"/>
      <c r="B42" s="12"/>
      <c r="C42" s="13"/>
      <c r="D42" s="12"/>
      <c r="E42" s="12"/>
    </row>
    <row r="43" spans="1:5">
      <c r="A43" s="12"/>
      <c r="B43" s="12"/>
      <c r="C43" s="13"/>
      <c r="D43" s="12"/>
      <c r="E43" s="12"/>
    </row>
    <row r="44" spans="1:5">
      <c r="A44" s="12"/>
      <c r="B44" s="12"/>
      <c r="C44" s="13"/>
      <c r="D44" s="12"/>
      <c r="E44" s="12"/>
    </row>
    <row r="45" spans="1:5">
      <c r="A45" s="12"/>
      <c r="B45" s="12"/>
      <c r="C45" s="13"/>
      <c r="D45" s="12"/>
      <c r="E45" s="12"/>
    </row>
    <row r="46" spans="1:5">
      <c r="A46" s="12"/>
      <c r="B46" s="12"/>
      <c r="C46" s="13"/>
      <c r="D46" s="12"/>
      <c r="E46" s="12"/>
    </row>
  </sheetData>
  <phoneticPr fontId="2" type="noConversion"/>
  <pageMargins left="0.51181102362204722" right="0.51181102362204722" top="0.78740157480314965" bottom="0.78740157480314965" header="0.31496062992125984" footer="0.31496062992125984"/>
  <pageSetup paperSize="9" scale="1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showGridLines="0" zoomScale="85" zoomScaleNormal="85" workbookViewId="0">
      <selection activeCell="B24" sqref="B24"/>
    </sheetView>
  </sheetViews>
  <sheetFormatPr defaultColWidth="9.140625" defaultRowHeight="13.5"/>
  <cols>
    <col min="1" max="1" width="65.85546875" style="42" bestFit="1" customWidth="1"/>
    <col min="2" max="2" width="14.85546875" style="42" bestFit="1" customWidth="1"/>
    <col min="3" max="3" width="14.85546875" style="42" customWidth="1"/>
    <col min="4" max="4" width="10.5703125" style="70" customWidth="1"/>
    <col min="5" max="5" width="13.85546875" style="42" customWidth="1"/>
    <col min="6" max="6" width="15" style="42" bestFit="1" customWidth="1"/>
    <col min="7" max="8" width="9.140625" style="42"/>
    <col min="9" max="9" width="10.28515625" style="42" bestFit="1" customWidth="1"/>
    <col min="10" max="10" width="10.42578125" style="42" bestFit="1" customWidth="1"/>
    <col min="11" max="12" width="9.140625" style="42"/>
    <col min="13" max="13" width="12.28515625" style="42" bestFit="1" customWidth="1"/>
    <col min="14" max="16384" width="9.140625" style="42"/>
  </cols>
  <sheetData>
    <row r="1" spans="1:13" ht="18" customHeight="1">
      <c r="A1" s="39" t="s">
        <v>7</v>
      </c>
      <c r="B1" s="40" t="s">
        <v>6</v>
      </c>
      <c r="C1" s="40" t="s">
        <v>34</v>
      </c>
      <c r="D1" s="41" t="s">
        <v>5</v>
      </c>
      <c r="E1" s="40" t="s">
        <v>4</v>
      </c>
      <c r="F1" s="40" t="s">
        <v>28</v>
      </c>
    </row>
    <row r="2" spans="1:13" ht="18" customHeight="1">
      <c r="A2" s="43" t="s">
        <v>14</v>
      </c>
      <c r="B2" s="44">
        <f>+'[1]TEC E ADM'!$D$56</f>
        <v>3391904.8837333331</v>
      </c>
      <c r="C2" s="44">
        <f>B2*$M$9</f>
        <v>3506295.577823665</v>
      </c>
      <c r="D2" s="45">
        <f t="shared" ref="D2:D20" si="0">+B2/$B$22</f>
        <v>9.2400464703767768E-2</v>
      </c>
      <c r="E2" s="46">
        <f>+C2/$J$5</f>
        <v>270.67698882363982</v>
      </c>
      <c r="F2" s="47">
        <f>+B2/99</f>
        <v>34261.665492255888</v>
      </c>
    </row>
    <row r="3" spans="1:13" ht="18" customHeight="1">
      <c r="A3" s="48" t="s">
        <v>24</v>
      </c>
      <c r="B3" s="49">
        <f>+[1]Resumo!$D$18</f>
        <v>638002.26847318001</v>
      </c>
      <c r="C3" s="49">
        <f t="shared" ref="C3:C21" si="1">B3*$M$9</f>
        <v>659518.65080803062</v>
      </c>
      <c r="D3" s="50">
        <f t="shared" si="0"/>
        <v>1.7380117694837618E-2</v>
      </c>
      <c r="E3" s="51">
        <f t="shared" ref="E3:E23" si="2">+C3/$J$5</f>
        <v>50.913141379983529</v>
      </c>
      <c r="F3" s="52">
        <f t="shared" ref="F3:F21" si="3">+B3/99</f>
        <v>6444.4673583149497</v>
      </c>
    </row>
    <row r="4" spans="1:13" ht="18" customHeight="1">
      <c r="A4" s="31" t="s">
        <v>29</v>
      </c>
      <c r="B4" s="53">
        <f>+[1]Resumo!$D$25</f>
        <v>861568.67999999993</v>
      </c>
      <c r="C4" s="53">
        <f t="shared" si="1"/>
        <v>890624.75400264561</v>
      </c>
      <c r="D4" s="54">
        <f t="shared" si="0"/>
        <v>2.3470394700039164E-2</v>
      </c>
      <c r="E4" s="55">
        <f t="shared" si="2"/>
        <v>68.75393737765333</v>
      </c>
      <c r="F4" s="56">
        <f t="shared" si="3"/>
        <v>8702.7139393939378</v>
      </c>
    </row>
    <row r="5" spans="1:13" ht="18" customHeight="1">
      <c r="A5" s="48" t="s">
        <v>9</v>
      </c>
      <c r="B5" s="49">
        <f>+[1]Resumo!$D$33</f>
        <v>3055571.45</v>
      </c>
      <c r="C5" s="49">
        <f t="shared" si="1"/>
        <v>3158619.4277556115</v>
      </c>
      <c r="D5" s="50">
        <f t="shared" si="0"/>
        <v>8.3238248592870143E-2</v>
      </c>
      <c r="E5" s="51">
        <f t="shared" si="2"/>
        <v>243.83728541089192</v>
      </c>
      <c r="F5" s="52">
        <f t="shared" si="3"/>
        <v>30864.358080808084</v>
      </c>
      <c r="J5" s="36">
        <v>12953.8</v>
      </c>
    </row>
    <row r="6" spans="1:13" ht="18" customHeight="1">
      <c r="A6" s="31" t="s">
        <v>10</v>
      </c>
      <c r="B6" s="53">
        <f>+[1]Resumo!$D$40</f>
        <v>7681348.9500000002</v>
      </c>
      <c r="C6" s="53">
        <f t="shared" si="1"/>
        <v>7940399.5036150003</v>
      </c>
      <c r="D6" s="54">
        <f t="shared" si="0"/>
        <v>0.20925121336262062</v>
      </c>
      <c r="E6" s="55">
        <f t="shared" si="2"/>
        <v>612.97839271989687</v>
      </c>
      <c r="F6" s="56">
        <f t="shared" si="3"/>
        <v>77589.383333333331</v>
      </c>
    </row>
    <row r="7" spans="1:13" ht="18" customHeight="1">
      <c r="A7" s="48" t="s">
        <v>16</v>
      </c>
      <c r="B7" s="49">
        <f>+[1]Resumo!$D$47</f>
        <v>1939697.5862499997</v>
      </c>
      <c r="C7" s="49">
        <f t="shared" si="1"/>
        <v>2005113.1450059577</v>
      </c>
      <c r="D7" s="50">
        <f t="shared" si="0"/>
        <v>5.2840207640789304E-2</v>
      </c>
      <c r="E7" s="51">
        <f t="shared" si="2"/>
        <v>154.78957101437089</v>
      </c>
      <c r="F7" s="52">
        <f t="shared" si="3"/>
        <v>19592.904911616159</v>
      </c>
      <c r="K7" s="72">
        <v>2381.0500000000002</v>
      </c>
    </row>
    <row r="8" spans="1:13" ht="18" customHeight="1">
      <c r="A8" s="31" t="s">
        <v>30</v>
      </c>
      <c r="B8" s="53">
        <f>+[1]Resumo!$D$53</f>
        <v>2354992.5</v>
      </c>
      <c r="C8" s="53">
        <f t="shared" si="1"/>
        <v>2434413.7207849473</v>
      </c>
      <c r="D8" s="54">
        <f t="shared" si="0"/>
        <v>6.4153450297928641E-2</v>
      </c>
      <c r="E8" s="55">
        <f t="shared" si="2"/>
        <v>187.9304698841226</v>
      </c>
      <c r="F8" s="56">
        <f t="shared" si="3"/>
        <v>23787.803030303032</v>
      </c>
      <c r="H8" s="71">
        <f>E8+E9+E10</f>
        <v>358.49503173708661</v>
      </c>
    </row>
    <row r="9" spans="1:13" ht="18" customHeight="1">
      <c r="A9" s="48" t="s">
        <v>31</v>
      </c>
      <c r="B9" s="49">
        <f>+[1]Resumo!$D$54</f>
        <v>1781147.5</v>
      </c>
      <c r="C9" s="49">
        <f t="shared" si="1"/>
        <v>1841216.0177757707</v>
      </c>
      <c r="D9" s="50">
        <f t="shared" si="0"/>
        <v>4.8521070710216635E-2</v>
      </c>
      <c r="E9" s="51">
        <f t="shared" si="2"/>
        <v>142.13713487747</v>
      </c>
      <c r="F9" s="52">
        <f t="shared" si="3"/>
        <v>17991.388888888891</v>
      </c>
      <c r="K9" s="72">
        <v>2461.35</v>
      </c>
      <c r="M9" s="42">
        <f>K9/K7</f>
        <v>1.0337246172906909</v>
      </c>
    </row>
    <row r="10" spans="1:13" ht="18" customHeight="1">
      <c r="A10" s="31" t="s">
        <v>32</v>
      </c>
      <c r="B10" s="53">
        <f>+[1]Resumo!$D$55</f>
        <v>356229.5</v>
      </c>
      <c r="C10" s="53">
        <f t="shared" si="1"/>
        <v>368243.20355515415</v>
      </c>
      <c r="D10" s="54">
        <f t="shared" si="0"/>
        <v>9.7042141420433277E-3</v>
      </c>
      <c r="E10" s="55">
        <f t="shared" si="2"/>
        <v>28.427426975494001</v>
      </c>
      <c r="F10" s="56">
        <f t="shared" si="3"/>
        <v>3598.2777777777778</v>
      </c>
    </row>
    <row r="11" spans="1:13" ht="18" customHeight="1">
      <c r="A11" s="48" t="s">
        <v>20</v>
      </c>
      <c r="B11" s="49">
        <f>+[1]Resumo!$D$66</f>
        <v>1665304</v>
      </c>
      <c r="C11" s="49">
        <f t="shared" si="1"/>
        <v>1721465.7400726567</v>
      </c>
      <c r="D11" s="50">
        <f t="shared" si="0"/>
        <v>4.5365323836463071E-2</v>
      </c>
      <c r="E11" s="51">
        <f t="shared" si="2"/>
        <v>132.89272183240877</v>
      </c>
      <c r="F11" s="52">
        <f t="shared" si="3"/>
        <v>16821.252525252527</v>
      </c>
    </row>
    <row r="12" spans="1:13" ht="18" customHeight="1">
      <c r="A12" s="31" t="s">
        <v>3</v>
      </c>
      <c r="B12" s="53">
        <f>+[1]Resumo!$D$73</f>
        <v>1166242.5549999999</v>
      </c>
      <c r="C12" s="53">
        <f t="shared" si="1"/>
        <v>1205573.6388354925</v>
      </c>
      <c r="D12" s="54">
        <f t="shared" si="0"/>
        <v>3.1770157988835125E-2</v>
      </c>
      <c r="E12" s="55">
        <f t="shared" si="2"/>
        <v>93.067180196968664</v>
      </c>
      <c r="F12" s="56">
        <f t="shared" si="3"/>
        <v>11780.227828282828</v>
      </c>
    </row>
    <row r="13" spans="1:13" ht="18" customHeight="1">
      <c r="A13" s="48" t="s">
        <v>11</v>
      </c>
      <c r="B13" s="49">
        <f>+[1]Resumo!$D$79</f>
        <v>2199555.2400000002</v>
      </c>
      <c r="C13" s="49">
        <f t="shared" si="1"/>
        <v>2273734.398678734</v>
      </c>
      <c r="D13" s="50">
        <f t="shared" si="0"/>
        <v>5.9919111320689347E-2</v>
      </c>
      <c r="E13" s="51">
        <f t="shared" si="2"/>
        <v>175.52644001595934</v>
      </c>
      <c r="F13" s="52">
        <f t="shared" si="3"/>
        <v>22217.729696969698</v>
      </c>
    </row>
    <row r="14" spans="1:13" ht="18" customHeight="1">
      <c r="A14" s="31" t="s">
        <v>12</v>
      </c>
      <c r="B14" s="53">
        <f>+[1]Resumo!$D$87</f>
        <v>1172520.7973936442</v>
      </c>
      <c r="C14" s="53">
        <f t="shared" si="1"/>
        <v>1212063.6125511206</v>
      </c>
      <c r="D14" s="54">
        <f t="shared" si="0"/>
        <v>3.1941186521350202E-2</v>
      </c>
      <c r="E14" s="55">
        <f t="shared" si="2"/>
        <v>93.568189454146321</v>
      </c>
      <c r="F14" s="56">
        <f t="shared" si="3"/>
        <v>11843.644418117619</v>
      </c>
    </row>
    <row r="15" spans="1:13" ht="18" customHeight="1">
      <c r="A15" s="48" t="s">
        <v>13</v>
      </c>
      <c r="B15" s="49">
        <f>+[1]Resumo!$D$93</f>
        <v>1943070</v>
      </c>
      <c r="C15" s="49">
        <f t="shared" si="1"/>
        <v>2008599.2921190227</v>
      </c>
      <c r="D15" s="50">
        <f t="shared" si="0"/>
        <v>5.2932077138418146E-2</v>
      </c>
      <c r="E15" s="51">
        <f t="shared" si="2"/>
        <v>155.05869259360364</v>
      </c>
      <c r="F15" s="52">
        <f t="shared" si="3"/>
        <v>19626.969696969696</v>
      </c>
    </row>
    <row r="16" spans="1:13" ht="18" customHeight="1">
      <c r="A16" s="31" t="s">
        <v>2</v>
      </c>
      <c r="B16" s="53">
        <f>+[1]Resumo!$D$100</f>
        <v>1036304</v>
      </c>
      <c r="C16" s="53">
        <f t="shared" si="1"/>
        <v>1071252.9557968122</v>
      </c>
      <c r="D16" s="54">
        <f t="shared" si="0"/>
        <v>2.8230441140489677E-2</v>
      </c>
      <c r="E16" s="55">
        <f t="shared" si="2"/>
        <v>82.697969383255284</v>
      </c>
      <c r="F16" s="56">
        <f t="shared" si="3"/>
        <v>10467.717171717171</v>
      </c>
      <c r="I16" s="71">
        <f>SUM(E2:E21)</f>
        <v>2929.3899082804355</v>
      </c>
      <c r="J16" s="71">
        <f>I16/I17</f>
        <v>1.1901557715401856</v>
      </c>
    </row>
    <row r="17" spans="1:9" ht="18" customHeight="1">
      <c r="A17" s="48" t="s">
        <v>22</v>
      </c>
      <c r="B17" s="49">
        <f>+[1]Resumo!$D$108</f>
        <v>2737611.6</v>
      </c>
      <c r="C17" s="49">
        <f t="shared" si="1"/>
        <v>2829936.5035005561</v>
      </c>
      <c r="D17" s="50">
        <f t="shared" si="0"/>
        <v>7.4576555855542168E-2</v>
      </c>
      <c r="E17" s="51">
        <f t="shared" si="2"/>
        <v>218.46381011753743</v>
      </c>
      <c r="F17" s="52">
        <f t="shared" si="3"/>
        <v>27652.642424242425</v>
      </c>
      <c r="I17" s="42">
        <v>2461.35</v>
      </c>
    </row>
    <row r="18" spans="1:9" ht="18" customHeight="1">
      <c r="A18" s="31" t="s">
        <v>0</v>
      </c>
      <c r="B18" s="53">
        <f>+[1]Resumo!$D$117</f>
        <v>1027977.25</v>
      </c>
      <c r="C18" s="53">
        <f t="shared" si="1"/>
        <v>1062645.389339787</v>
      </c>
      <c r="D18" s="54">
        <f t="shared" si="0"/>
        <v>2.800360825576997E-2</v>
      </c>
      <c r="E18" s="55">
        <f t="shared" si="2"/>
        <v>82.03348741989123</v>
      </c>
      <c r="F18" s="56">
        <f t="shared" si="3"/>
        <v>10383.608585858587</v>
      </c>
    </row>
    <row r="19" spans="1:9" ht="18" customHeight="1">
      <c r="A19" s="48" t="s">
        <v>1</v>
      </c>
      <c r="B19" s="49">
        <f>+[1]Resumo!$D$124</f>
        <v>47250</v>
      </c>
      <c r="C19" s="49">
        <f t="shared" si="1"/>
        <v>48843.488166985146</v>
      </c>
      <c r="D19" s="50">
        <f t="shared" si="0"/>
        <v>1.2871593122173969E-3</v>
      </c>
      <c r="E19" s="51">
        <f t="shared" si="2"/>
        <v>3.7705914995588281</v>
      </c>
      <c r="F19" s="52">
        <f t="shared" si="3"/>
        <v>477.27272727272725</v>
      </c>
    </row>
    <row r="20" spans="1:9" ht="18" customHeight="1">
      <c r="A20" s="31" t="s">
        <v>17</v>
      </c>
      <c r="B20" s="53">
        <f>+[1]Resumo!$D$132</f>
        <v>1109950.2</v>
      </c>
      <c r="C20" s="53">
        <f t="shared" si="1"/>
        <v>1147382.8457067257</v>
      </c>
      <c r="D20" s="54">
        <f t="shared" si="0"/>
        <v>3.0236671661958987E-2</v>
      </c>
      <c r="E20" s="55">
        <f t="shared" si="2"/>
        <v>88.575000826531664</v>
      </c>
      <c r="F20" s="56">
        <f t="shared" si="3"/>
        <v>11211.618181818181</v>
      </c>
    </row>
    <row r="21" spans="1:9" ht="18" customHeight="1">
      <c r="A21" s="48" t="s">
        <v>15</v>
      </c>
      <c r="B21" s="49">
        <f>SUM(B2:B20)*0.015</f>
        <v>542493.73441275232</v>
      </c>
      <c r="C21" s="49">
        <f t="shared" si="1"/>
        <v>560789.12798842008</v>
      </c>
      <c r="D21" s="50">
        <v>1.4999999999999999E-2</v>
      </c>
      <c r="E21" s="51">
        <f t="shared" si="2"/>
        <v>43.291476477050757</v>
      </c>
      <c r="F21" s="52">
        <f t="shared" si="3"/>
        <v>5479.7346910379019</v>
      </c>
    </row>
    <row r="22" spans="1:9" ht="18" customHeight="1">
      <c r="A22" s="57" t="s">
        <v>8</v>
      </c>
      <c r="B22" s="58">
        <f>SUM(B2:B21)</f>
        <v>36708742.695262909</v>
      </c>
      <c r="C22" s="58"/>
      <c r="D22" s="59">
        <v>1</v>
      </c>
      <c r="E22" s="60">
        <f t="shared" si="2"/>
        <v>0</v>
      </c>
      <c r="F22" s="61">
        <f>SUM(F2:F21)</f>
        <v>370795.3807602314</v>
      </c>
    </row>
    <row r="23" spans="1:9" ht="18" customHeight="1">
      <c r="A23" s="62" t="s">
        <v>18</v>
      </c>
      <c r="B23" s="63">
        <v>2357.91</v>
      </c>
      <c r="C23" s="63"/>
      <c r="D23" s="64">
        <v>44440</v>
      </c>
      <c r="E23" s="65">
        <f t="shared" si="2"/>
        <v>0</v>
      </c>
      <c r="F23" s="66" t="s">
        <v>19</v>
      </c>
    </row>
    <row r="24" spans="1:9" ht="15" customHeight="1">
      <c r="A24" s="67"/>
      <c r="B24" s="67"/>
      <c r="C24" s="67"/>
      <c r="D24" s="68"/>
      <c r="E24" s="67"/>
      <c r="F24" s="67"/>
    </row>
    <row r="25" spans="1:9" ht="15" customHeight="1">
      <c r="A25" s="67"/>
      <c r="B25" s="67"/>
      <c r="C25" s="67"/>
      <c r="D25" s="68"/>
      <c r="E25" s="69"/>
      <c r="F25" s="67"/>
    </row>
    <row r="26" spans="1:9" ht="15" customHeight="1">
      <c r="A26" s="67"/>
      <c r="B26" s="67"/>
      <c r="C26" s="67"/>
      <c r="D26" s="68"/>
      <c r="E26" s="69"/>
      <c r="F26" s="67"/>
    </row>
    <row r="27" spans="1:9" ht="15" customHeight="1">
      <c r="A27" s="67"/>
      <c r="B27" s="67"/>
      <c r="C27" s="67"/>
      <c r="D27" s="68"/>
      <c r="E27" s="67"/>
      <c r="F27" s="67"/>
    </row>
    <row r="28" spans="1:9" ht="15" customHeight="1">
      <c r="A28" s="67"/>
      <c r="B28" s="67"/>
      <c r="C28" s="67"/>
      <c r="D28" s="68"/>
      <c r="E28" s="67"/>
      <c r="F28" s="67"/>
    </row>
    <row r="29" spans="1:9" ht="15" customHeight="1">
      <c r="A29" s="67"/>
      <c r="B29" s="67"/>
      <c r="C29" s="67"/>
      <c r="D29" s="68"/>
      <c r="E29" s="67"/>
      <c r="F29" s="67"/>
    </row>
    <row r="30" spans="1:9" ht="15" customHeight="1">
      <c r="A30" s="67"/>
      <c r="B30" s="67"/>
      <c r="C30" s="67"/>
      <c r="D30" s="68"/>
      <c r="E30" s="67"/>
      <c r="F30" s="67"/>
    </row>
    <row r="31" spans="1:9" ht="15" customHeight="1">
      <c r="A31" s="67"/>
      <c r="B31" s="67"/>
      <c r="C31" s="67"/>
      <c r="D31" s="68"/>
      <c r="E31" s="67"/>
      <c r="F31" s="67"/>
    </row>
    <row r="32" spans="1:9" ht="15" customHeight="1">
      <c r="A32" s="67"/>
      <c r="B32" s="67"/>
      <c r="C32" s="67"/>
      <c r="D32" s="68"/>
      <c r="E32" s="67"/>
      <c r="F32" s="67"/>
    </row>
    <row r="33" spans="1:6" ht="15" customHeight="1">
      <c r="A33" s="67"/>
      <c r="B33" s="67"/>
      <c r="C33" s="67"/>
      <c r="D33" s="68"/>
      <c r="E33" s="67"/>
      <c r="F33" s="67"/>
    </row>
    <row r="34" spans="1:6" ht="15" customHeight="1">
      <c r="A34" s="67"/>
      <c r="B34" s="67"/>
      <c r="C34" s="67"/>
      <c r="D34" s="68"/>
      <c r="E34" s="67"/>
      <c r="F34" s="67"/>
    </row>
    <row r="35" spans="1:6" ht="15" customHeight="1">
      <c r="A35" s="67"/>
      <c r="B35" s="67"/>
      <c r="C35" s="67"/>
      <c r="D35" s="68"/>
      <c r="E35" s="67"/>
      <c r="F35" s="67"/>
    </row>
    <row r="36" spans="1:6" ht="15" customHeight="1">
      <c r="A36" s="67"/>
      <c r="B36" s="67"/>
      <c r="C36" s="67"/>
      <c r="D36" s="68"/>
      <c r="E36" s="67"/>
      <c r="F36" s="67"/>
    </row>
    <row r="37" spans="1:6">
      <c r="A37" s="67"/>
      <c r="B37" s="67"/>
      <c r="C37" s="67"/>
      <c r="D37" s="68"/>
      <c r="E37" s="67"/>
      <c r="F37" s="67"/>
    </row>
    <row r="38" spans="1:6">
      <c r="A38" s="67"/>
      <c r="B38" s="67"/>
      <c r="C38" s="67"/>
      <c r="D38" s="68"/>
      <c r="E38" s="67"/>
      <c r="F38" s="67"/>
    </row>
    <row r="39" spans="1:6">
      <c r="A39" s="67"/>
      <c r="B39" s="67"/>
      <c r="C39" s="67"/>
      <c r="D39" s="68"/>
      <c r="E39" s="67"/>
      <c r="F39" s="67"/>
    </row>
    <row r="40" spans="1:6">
      <c r="A40" s="67"/>
      <c r="B40" s="67"/>
      <c r="C40" s="67"/>
      <c r="D40" s="68"/>
      <c r="E40" s="67"/>
      <c r="F40" s="67"/>
    </row>
    <row r="41" spans="1:6">
      <c r="A41" s="67"/>
      <c r="B41" s="67"/>
      <c r="C41" s="67"/>
      <c r="D41" s="68"/>
      <c r="E41" s="67"/>
      <c r="F41" s="67"/>
    </row>
    <row r="42" spans="1:6">
      <c r="A42" s="67"/>
      <c r="B42" s="67"/>
      <c r="C42" s="67"/>
      <c r="D42" s="68"/>
      <c r="E42" s="67"/>
      <c r="F42" s="67"/>
    </row>
    <row r="43" spans="1:6">
      <c r="A43" s="67"/>
      <c r="B43" s="67"/>
      <c r="C43" s="67"/>
      <c r="D43" s="68"/>
      <c r="E43" s="67"/>
      <c r="F43" s="67"/>
    </row>
    <row r="44" spans="1:6">
      <c r="A44" s="67"/>
      <c r="B44" s="67"/>
      <c r="C44" s="67"/>
      <c r="D44" s="68"/>
      <c r="E44" s="67"/>
      <c r="F44" s="67"/>
    </row>
    <row r="45" spans="1:6">
      <c r="A45" s="67"/>
      <c r="B45" s="67"/>
      <c r="C45" s="67"/>
      <c r="D45" s="68"/>
      <c r="E45" s="67"/>
      <c r="F45" s="67"/>
    </row>
    <row r="46" spans="1:6">
      <c r="A46" s="67"/>
      <c r="B46" s="67"/>
      <c r="C46" s="67"/>
      <c r="D46" s="68"/>
      <c r="E46" s="67"/>
      <c r="F46" s="67"/>
    </row>
    <row r="47" spans="1:6">
      <c r="A47" s="67"/>
      <c r="B47" s="67"/>
      <c r="C47" s="67"/>
      <c r="D47" s="68"/>
      <c r="E47" s="67"/>
      <c r="F47" s="67"/>
    </row>
    <row r="48" spans="1:6">
      <c r="A48" s="67"/>
      <c r="B48" s="67"/>
      <c r="C48" s="67"/>
      <c r="D48" s="68"/>
      <c r="E48" s="67"/>
      <c r="F48" s="67"/>
    </row>
  </sheetData>
  <pageMargins left="0.51181102362204722" right="0.51181102362204722" top="0.78740157480314965" bottom="0.78740157480314965" header="0.31496062992125984" footer="0.31496062992125984"/>
  <pageSetup paperSize="9" scale="1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zoomScale="85" zoomScaleNormal="85" workbookViewId="0">
      <selection activeCell="B2" sqref="B2"/>
    </sheetView>
  </sheetViews>
  <sheetFormatPr defaultRowHeight="16.5" customHeight="1"/>
  <cols>
    <col min="1" max="1" width="65.85546875" bestFit="1" customWidth="1"/>
    <col min="2" max="3" width="31" customWidth="1"/>
    <col min="4" max="4" width="29.7109375" customWidth="1"/>
    <col min="5" max="5" width="26.7109375" style="75" customWidth="1"/>
    <col min="6" max="7" width="9.42578125" style="35" bestFit="1" customWidth="1"/>
  </cols>
  <sheetData>
    <row r="1" spans="1:12" ht="40.5">
      <c r="A1" s="29" t="s">
        <v>7</v>
      </c>
      <c r="B1" s="30" t="s">
        <v>51</v>
      </c>
      <c r="C1" s="30" t="s">
        <v>52</v>
      </c>
      <c r="D1" s="30" t="s">
        <v>35</v>
      </c>
      <c r="E1" s="30" t="s">
        <v>25</v>
      </c>
    </row>
    <row r="2" spans="1:12" s="1" customFormat="1" ht="18" customHeight="1">
      <c r="A2" s="2" t="s">
        <v>24</v>
      </c>
      <c r="B2" s="3">
        <f>'Orçamento Resumo'!D3</f>
        <v>62.9637326498788</v>
      </c>
      <c r="C2" s="3">
        <f>'Orçamento Resumo'!D3</f>
        <v>62.9637326498788</v>
      </c>
      <c r="D2" s="5">
        <f>Orçamento_Paramétrico!E3</f>
        <v>50.913141379983529</v>
      </c>
      <c r="E2" s="73" t="s">
        <v>40</v>
      </c>
      <c r="F2" s="1">
        <v>6.5</v>
      </c>
      <c r="G2" s="1">
        <v>10.5</v>
      </c>
    </row>
    <row r="3" spans="1:12" s="1" customFormat="1" ht="18" customHeight="1">
      <c r="A3" s="7" t="s">
        <v>33</v>
      </c>
      <c r="B3" s="8">
        <v>98.77</v>
      </c>
      <c r="C3" s="8">
        <f>'Orçamento Resumo'!D4</f>
        <v>88.532737111889958</v>
      </c>
      <c r="D3" s="10">
        <f>Orçamento_Paramétrico!E4</f>
        <v>68.75393737765333</v>
      </c>
      <c r="E3" s="74" t="s">
        <v>41</v>
      </c>
    </row>
    <row r="4" spans="1:12" s="1" customFormat="1" ht="18" customHeight="1">
      <c r="A4" s="2" t="s">
        <v>9</v>
      </c>
      <c r="B4" s="3">
        <v>285.16000000000003</v>
      </c>
      <c r="C4" s="3">
        <f>'Orçamento Resumo'!D5</f>
        <v>215.28157915051955</v>
      </c>
      <c r="D4" s="5">
        <f>Orçamento_Paramétrico!E5</f>
        <v>243.83728541089192</v>
      </c>
      <c r="E4" s="73" t="s">
        <v>42</v>
      </c>
      <c r="F4" s="1">
        <v>140</v>
      </c>
      <c r="G4" s="1">
        <v>210</v>
      </c>
      <c r="H4" s="36"/>
      <c r="L4" s="37"/>
    </row>
    <row r="5" spans="1:12" s="1" customFormat="1" ht="18" customHeight="1">
      <c r="A5" s="7" t="s">
        <v>10</v>
      </c>
      <c r="B5" s="8">
        <v>549.6</v>
      </c>
      <c r="C5" s="8">
        <f>'Orçamento Resumo'!D6</f>
        <v>526.32928561503195</v>
      </c>
      <c r="D5" s="10">
        <f>Orçamento_Paramétrico!E6</f>
        <v>612.97839271989687</v>
      </c>
      <c r="E5" s="74" t="s">
        <v>39</v>
      </c>
      <c r="F5" s="1">
        <v>500</v>
      </c>
      <c r="G5" s="1">
        <v>580</v>
      </c>
    </row>
    <row r="6" spans="1:12" s="1" customFormat="1" ht="18" customHeight="1">
      <c r="A6" s="2" t="s">
        <v>16</v>
      </c>
      <c r="B6" s="3">
        <v>143.88</v>
      </c>
      <c r="C6" s="3">
        <f>'Orçamento Resumo'!D7</f>
        <v>122.13864117093054</v>
      </c>
      <c r="D6" s="5">
        <f>Orçamento_Paramétrico!E7</f>
        <v>154.78957101437089</v>
      </c>
      <c r="E6" s="73" t="s">
        <v>43</v>
      </c>
      <c r="F6" s="1">
        <v>100</v>
      </c>
      <c r="G6" s="1">
        <v>130</v>
      </c>
    </row>
    <row r="7" spans="1:12" s="1" customFormat="1" ht="27">
      <c r="A7" s="7" t="s">
        <v>21</v>
      </c>
      <c r="B7" s="8">
        <v>341.84</v>
      </c>
      <c r="C7" s="8">
        <f>'Orçamento Resumo'!D8</f>
        <v>367.83502138368664</v>
      </c>
      <c r="D7" s="10">
        <f>Orçamento_Paramétrico!E8+Orçamento_Paramétrico!E9+Orçamento_Paramétrico!E10</f>
        <v>358.49503173708661</v>
      </c>
      <c r="E7" s="74" t="s">
        <v>44</v>
      </c>
      <c r="F7" s="1">
        <v>250</v>
      </c>
      <c r="G7" s="1">
        <v>300</v>
      </c>
      <c r="H7" s="38"/>
    </row>
    <row r="8" spans="1:12" s="1" customFormat="1" ht="18" customHeight="1">
      <c r="A8" s="2" t="s">
        <v>20</v>
      </c>
      <c r="B8" s="3">
        <v>189.3</v>
      </c>
      <c r="C8" s="3">
        <f>'Orçamento Resumo'!D9</f>
        <v>157.31543639704179</v>
      </c>
      <c r="D8" s="5">
        <f>Orçamento_Paramétrico!E11</f>
        <v>132.89272183240877</v>
      </c>
      <c r="E8" s="73" t="s">
        <v>36</v>
      </c>
      <c r="F8" s="1">
        <v>200</v>
      </c>
      <c r="G8" s="1">
        <v>250</v>
      </c>
      <c r="H8" s="37"/>
    </row>
    <row r="9" spans="1:12" s="1" customFormat="1" ht="18" customHeight="1">
      <c r="A9" s="7" t="s">
        <v>3</v>
      </c>
      <c r="B9" s="8">
        <f>'Orçamento Resumo'!D10</f>
        <v>58.10350939492659</v>
      </c>
      <c r="C9" s="8">
        <f>'Orçamento Resumo'!D10</f>
        <v>58.10350939492659</v>
      </c>
      <c r="D9" s="10">
        <f>Orçamento_Paramétrico!E12</f>
        <v>93.067180196968664</v>
      </c>
      <c r="E9" s="74" t="s">
        <v>45</v>
      </c>
      <c r="F9" s="1">
        <v>40</v>
      </c>
      <c r="G9" s="1">
        <v>55</v>
      </c>
    </row>
    <row r="10" spans="1:12" s="1" customFormat="1" ht="18" customHeight="1">
      <c r="A10" s="2" t="s">
        <v>11</v>
      </c>
      <c r="B10" s="3">
        <f>'Orçamento Resumo'!D11</f>
        <v>154.46160972069973</v>
      </c>
      <c r="C10" s="3">
        <f>'Orçamento Resumo'!D11</f>
        <v>154.46160972069973</v>
      </c>
      <c r="D10" s="5">
        <f>Orçamento_Paramétrico!E13</f>
        <v>175.52644001595934</v>
      </c>
      <c r="E10" s="73" t="s">
        <v>26</v>
      </c>
      <c r="F10" s="1">
        <v>160</v>
      </c>
      <c r="G10" s="1">
        <v>200</v>
      </c>
    </row>
    <row r="11" spans="1:12" s="1" customFormat="1" ht="18" customHeight="1">
      <c r="A11" s="7" t="s">
        <v>12</v>
      </c>
      <c r="B11" s="8">
        <v>32.08</v>
      </c>
      <c r="C11" s="8">
        <f>'Orçamento Resumo'!D12</f>
        <v>30.244234124349614</v>
      </c>
      <c r="D11" s="10">
        <f>Orçamento_Paramétrico!E14</f>
        <v>93.568189454146321</v>
      </c>
      <c r="E11" s="74" t="s">
        <v>37</v>
      </c>
      <c r="F11" s="1">
        <v>75</v>
      </c>
      <c r="G11" s="1">
        <v>85</v>
      </c>
      <c r="H11" s="36"/>
    </row>
    <row r="12" spans="1:12" s="1" customFormat="1" ht="18" customHeight="1">
      <c r="A12" s="2" t="s">
        <v>13</v>
      </c>
      <c r="B12" s="3">
        <v>175.31</v>
      </c>
      <c r="C12" s="3">
        <f>'Orçamento Resumo'!D13</f>
        <v>133.93152897219349</v>
      </c>
      <c r="D12" s="5">
        <f>Orçamento_Paramétrico!E15</f>
        <v>155.05869259360364</v>
      </c>
      <c r="E12" s="73" t="s">
        <v>46</v>
      </c>
      <c r="F12" s="1">
        <v>140</v>
      </c>
      <c r="G12" s="1">
        <v>160</v>
      </c>
      <c r="H12" s="36"/>
    </row>
    <row r="13" spans="1:12" s="1" customFormat="1" ht="18" customHeight="1">
      <c r="A13" s="7" t="s">
        <v>2</v>
      </c>
      <c r="B13" s="8">
        <f>'Orçamento Resumo'!D14</f>
        <v>58.03576479488644</v>
      </c>
      <c r="C13" s="8">
        <f>'Orçamento Resumo'!D14</f>
        <v>58.03576479488644</v>
      </c>
      <c r="D13" s="10">
        <f>Orçamento_Paramétrico!E16</f>
        <v>82.697969383255284</v>
      </c>
      <c r="E13" s="74" t="s">
        <v>38</v>
      </c>
      <c r="F13" s="1">
        <v>100</v>
      </c>
      <c r="G13" s="1">
        <v>120</v>
      </c>
      <c r="H13" s="36"/>
    </row>
    <row r="14" spans="1:12" s="1" customFormat="1" ht="18" customHeight="1">
      <c r="A14" s="2" t="s">
        <v>22</v>
      </c>
      <c r="B14" s="3">
        <v>235.75</v>
      </c>
      <c r="C14" s="3">
        <f>'Orçamento Resumo'!D15</f>
        <v>239.16278003365807</v>
      </c>
      <c r="D14" s="5">
        <f>Orçamento_Paramétrico!E17</f>
        <v>218.46381011753743</v>
      </c>
      <c r="E14" s="73" t="s">
        <v>47</v>
      </c>
      <c r="F14" s="1">
        <v>280</v>
      </c>
      <c r="G14" s="1">
        <v>330</v>
      </c>
      <c r="H14" s="36"/>
    </row>
    <row r="15" spans="1:12" s="1" customFormat="1" ht="18" customHeight="1">
      <c r="A15" s="7" t="s">
        <v>0</v>
      </c>
      <c r="B15" s="8">
        <v>65.180000000000007</v>
      </c>
      <c r="C15" s="8">
        <f>'Orçamento Resumo'!D16</f>
        <v>65.180980870478166</v>
      </c>
      <c r="D15" s="10">
        <f>Orçamento_Paramétrico!E18</f>
        <v>82.03348741989123</v>
      </c>
      <c r="E15" s="74" t="s">
        <v>48</v>
      </c>
      <c r="F15" s="1">
        <v>90</v>
      </c>
      <c r="G15" s="1">
        <v>130</v>
      </c>
    </row>
    <row r="16" spans="1:12" s="1" customFormat="1" ht="18" customHeight="1">
      <c r="A16" s="2" t="s">
        <v>1</v>
      </c>
      <c r="B16" s="3">
        <v>2.5</v>
      </c>
      <c r="C16" s="3">
        <f>'Orçamento Resumo'!D17</f>
        <v>2.3666159736911179</v>
      </c>
      <c r="D16" s="5">
        <f>Orçamento_Paramétrico!E19</f>
        <v>3.7705914995588281</v>
      </c>
      <c r="E16" s="73" t="s">
        <v>49</v>
      </c>
      <c r="F16" s="1">
        <v>10</v>
      </c>
      <c r="G16" s="1">
        <v>20</v>
      </c>
    </row>
    <row r="17" spans="1:7" s="1" customFormat="1" ht="18" customHeight="1">
      <c r="A17" s="7" t="s">
        <v>17</v>
      </c>
      <c r="B17" s="8">
        <v>136.44999999999999</v>
      </c>
      <c r="C17" s="8">
        <f>'Orçamento Resumo'!D18</f>
        <v>193.83514181166919</v>
      </c>
      <c r="D17" s="10">
        <v>127.56</v>
      </c>
      <c r="E17" s="74" t="s">
        <v>50</v>
      </c>
      <c r="F17" s="1">
        <v>180</v>
      </c>
      <c r="G17" s="1">
        <v>210</v>
      </c>
    </row>
    <row r="18" spans="1:7" ht="21" customHeight="1">
      <c r="A18" s="32" t="s">
        <v>8</v>
      </c>
      <c r="B18" s="33">
        <f>SUM(B2:B17)</f>
        <v>2589.3846165603909</v>
      </c>
      <c r="C18" s="33">
        <f>SUM(C2:C17)</f>
        <v>2475.7185991755318</v>
      </c>
      <c r="D18" s="33">
        <f>SUM(D2:D17)</f>
        <v>2654.4064421532125</v>
      </c>
      <c r="E18" s="34" t="s">
        <v>27</v>
      </c>
      <c r="F18" s="35">
        <f>SUM(F2:F17)</f>
        <v>2271.5</v>
      </c>
      <c r="G18" s="35">
        <f>SUM(G2:G17)</f>
        <v>2790.5</v>
      </c>
    </row>
    <row r="19" spans="1:7" ht="21" customHeight="1">
      <c r="A19" t="s">
        <v>17</v>
      </c>
      <c r="D19">
        <v>85.685296978492801</v>
      </c>
    </row>
    <row r="20" spans="1:7" ht="16.5" customHeight="1">
      <c r="A20" t="s">
        <v>17</v>
      </c>
      <c r="D20">
        <v>85.685296978492801</v>
      </c>
    </row>
    <row r="21" spans="1:7" ht="16.5" customHeight="1">
      <c r="D21">
        <v>41.879119209247662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Orçamento Resumo</vt:lpstr>
      <vt:lpstr>Orçamento_Paramétrico</vt:lpstr>
      <vt:lpstr>Planilha1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</dc:creator>
  <cp:lastModifiedBy>Lucas</cp:lastModifiedBy>
  <cp:lastPrinted>2021-06-01T14:04:42Z</cp:lastPrinted>
  <dcterms:created xsi:type="dcterms:W3CDTF">2020-06-25T16:50:19Z</dcterms:created>
  <dcterms:modified xsi:type="dcterms:W3CDTF">2022-05-16T18:32:36Z</dcterms:modified>
</cp:coreProperties>
</file>