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/>
  <mc:AlternateContent xmlns:mc="http://schemas.openxmlformats.org/markup-compatibility/2006">
    <mc:Choice Requires="x15">
      <x15ac:absPath xmlns:x15ac="http://schemas.microsoft.com/office/spreadsheetml/2010/11/ac" url="G:\Drives compartilhados\Methodo Engenharia - Projetos\2. Propostas Fechadas\Lotisa - 05.2021\01. Serenity Residence\03. Custo\03.5 Custo - Determinação do orçamento\Apresentação\R05\"/>
    </mc:Choice>
  </mc:AlternateContent>
  <xr:revisionPtr revIDLastSave="0" documentId="13_ncr:1_{BF1ECFD1-2EAA-4128-9393-E8B76DE49FC7}" xr6:coauthVersionLast="46" xr6:coauthVersionMax="46" xr10:uidLastSave="{00000000-0000-0000-0000-000000000000}"/>
  <bookViews>
    <workbookView xWindow="20370" yWindow="-120" windowWidth="21840" windowHeight="13140" activeTab="2" xr2:uid="{00000000-000D-0000-FFFF-FFFF00000000}"/>
  </bookViews>
  <sheets>
    <sheet name="Gerenciamento executivo " sheetId="3" r:id="rId1"/>
    <sheet name="Executivo" sheetId="1" r:id="rId2"/>
    <sheet name="ETAPAS" sheetId="5" r:id="rId3"/>
  </sheets>
  <definedNames>
    <definedName name="_xlnm._FilterDatabase" localSheetId="2" hidden="1">ETAPAS!$A$1:$E$27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" i="5" l="1"/>
  <c r="H29" i="5"/>
  <c r="B29" i="5"/>
  <c r="C13" i="5" s="1"/>
  <c r="E11" i="5"/>
  <c r="D11" i="5"/>
  <c r="E12" i="5"/>
  <c r="D12" i="5"/>
  <c r="C12" i="5"/>
  <c r="E13" i="5"/>
  <c r="D13" i="5"/>
  <c r="E4" i="5"/>
  <c r="D4" i="5"/>
  <c r="C4" i="5"/>
  <c r="E24" i="5"/>
  <c r="D24" i="5"/>
  <c r="C24" i="5"/>
  <c r="E21" i="5"/>
  <c r="D21" i="5"/>
  <c r="C21" i="5"/>
  <c r="E19" i="5"/>
  <c r="D19" i="5"/>
  <c r="E15" i="5"/>
  <c r="D15" i="5"/>
  <c r="C15" i="5"/>
  <c r="E18" i="5"/>
  <c r="D18" i="5"/>
  <c r="C18" i="5"/>
  <c r="E14" i="5"/>
  <c r="D14" i="5"/>
  <c r="C14" i="5"/>
  <c r="E8" i="5"/>
  <c r="D8" i="5"/>
  <c r="E26" i="5"/>
  <c r="D26" i="5"/>
  <c r="C26" i="5"/>
  <c r="E16" i="5"/>
  <c r="D16" i="5"/>
  <c r="C16" i="5"/>
  <c r="E5" i="5"/>
  <c r="D5" i="5"/>
  <c r="C5" i="5"/>
  <c r="E6" i="5"/>
  <c r="D6" i="5"/>
  <c r="E10" i="5"/>
  <c r="D10" i="5"/>
  <c r="C10" i="5"/>
  <c r="E17" i="5"/>
  <c r="D17" i="5"/>
  <c r="C17" i="5"/>
  <c r="E7" i="5"/>
  <c r="D7" i="5"/>
  <c r="C7" i="5"/>
  <c r="E2" i="5"/>
  <c r="D2" i="5"/>
  <c r="C2" i="5"/>
  <c r="E3" i="5"/>
  <c r="D3" i="5"/>
  <c r="C3" i="5"/>
  <c r="E22" i="5"/>
  <c r="D22" i="5"/>
  <c r="C22" i="5"/>
  <c r="E23" i="5"/>
  <c r="D23" i="5"/>
  <c r="C23" i="5"/>
  <c r="E9" i="5"/>
  <c r="D9" i="5"/>
  <c r="C9" i="5"/>
  <c r="E25" i="5"/>
  <c r="D25" i="5"/>
  <c r="C25" i="5"/>
  <c r="E27" i="5"/>
  <c r="D27" i="5"/>
  <c r="C27" i="5"/>
  <c r="E20" i="5"/>
  <c r="D20" i="5"/>
  <c r="C20" i="5"/>
  <c r="F22" i="3"/>
  <c r="F11" i="3"/>
  <c r="F5" i="3"/>
  <c r="F3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E2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" i="1"/>
  <c r="C11" i="5" l="1"/>
  <c r="E29" i="5"/>
  <c r="C6" i="5"/>
  <c r="C8" i="5"/>
  <c r="C19" i="5"/>
  <c r="B28" i="1"/>
  <c r="C29" i="5" l="1"/>
  <c r="C3" i="1"/>
  <c r="C11" i="1"/>
  <c r="C19" i="1"/>
  <c r="C27" i="1"/>
  <c r="C21" i="1"/>
  <c r="C22" i="1"/>
  <c r="C7" i="1"/>
  <c r="C2" i="1"/>
  <c r="C16" i="1"/>
  <c r="C17" i="1"/>
  <c r="C25" i="1"/>
  <c r="C4" i="1"/>
  <c r="C12" i="1"/>
  <c r="C20" i="1"/>
  <c r="C23" i="1"/>
  <c r="C9" i="1"/>
  <c r="C18" i="1"/>
  <c r="C5" i="1"/>
  <c r="C13" i="1"/>
  <c r="C14" i="1"/>
  <c r="C15" i="1"/>
  <c r="C8" i="1"/>
  <c r="C24" i="1"/>
  <c r="C26" i="1"/>
  <c r="C6" i="1"/>
  <c r="C10" i="1"/>
  <c r="B23" i="3" l="1"/>
  <c r="D28" i="1" l="1"/>
  <c r="D29" i="1" s="1"/>
  <c r="C23" i="3" l="1"/>
  <c r="C28" i="1"/>
  <c r="D29" i="5"/>
  <c r="D30" i="5" s="1"/>
</calcChain>
</file>

<file path=xl/sharedStrings.xml><?xml version="1.0" encoding="utf-8"?>
<sst xmlns="http://schemas.openxmlformats.org/spreadsheetml/2006/main" count="118" uniqueCount="58">
  <si>
    <t>ETAPA</t>
  </si>
  <si>
    <t>PINTURA INTERNA</t>
  </si>
  <si>
    <t>TOTAL</t>
  </si>
  <si>
    <t>CUB/SC</t>
  </si>
  <si>
    <t>VALOR ORÇADO</t>
  </si>
  <si>
    <t>%</t>
  </si>
  <si>
    <t>VALOR / m²</t>
  </si>
  <si>
    <t>VALOR / UNIDADE</t>
  </si>
  <si>
    <t>OBRA SIMILAR</t>
  </si>
  <si>
    <t>85,00 - 120,00</t>
  </si>
  <si>
    <t>Valor 1</t>
  </si>
  <si>
    <t>Valor 2</t>
  </si>
  <si>
    <t>CUBs</t>
  </si>
  <si>
    <t>VALOR</t>
  </si>
  <si>
    <t>35,00 - 45,00</t>
  </si>
  <si>
    <t>1904,50 - 2437,50</t>
  </si>
  <si>
    <t>PROJETOS</t>
  </si>
  <si>
    <t xml:space="preserve">CONSULTORIAS </t>
  </si>
  <si>
    <t>TAXAS E DOCUMENTOS</t>
  </si>
  <si>
    <t>EQUIPE DE ADMINISTRAÇÃO DA OBRA</t>
  </si>
  <si>
    <t>INSTALAÇÃO E MANUTENÇÃO DO CANTEIRO DE OBRAS</t>
  </si>
  <si>
    <t>EQUIPAMENTOS (AQUISIÇÃO, MANUTENÇÃO E LOCAÇÃO)</t>
  </si>
  <si>
    <t>FUNDAÇÃO - ESTACAS, BLOCOS E BALDRAMES</t>
  </si>
  <si>
    <t>ESTRUTURA DE CONCRETO ARMADO</t>
  </si>
  <si>
    <t>ALVENARIA, VEDAÇÕES, DIVISÓRIAS, CAIXAS</t>
  </si>
  <si>
    <t>SISTEMAS DE EXAUSTÃO E CLIMATIZAÇÃO</t>
  </si>
  <si>
    <t>SISTEMAS E INSTALAÇÕES HIDRO-SANITÁRIAS</t>
  </si>
  <si>
    <t>SISTEMAS E INSTALAÇÕES ELÉTRICAS E LOGICAS</t>
  </si>
  <si>
    <t>REBOCO INTERNO E CONTRAPISO</t>
  </si>
  <si>
    <t>REVESTIMENTOS EXTERNO E ACABAMENTOS EM FACHADA</t>
  </si>
  <si>
    <t>INSTALAÇÕES DE GLP</t>
  </si>
  <si>
    <t xml:space="preserve">ACABAMENTOS EM PISO E PAREDE </t>
  </si>
  <si>
    <t xml:space="preserve">TETOS E FORROS </t>
  </si>
  <si>
    <t>PINTURA EXTERNA</t>
  </si>
  <si>
    <t>GARAGENS</t>
  </si>
  <si>
    <t>INSTALAÇÕES PREVENTIVAS DE INCENDIO</t>
  </si>
  <si>
    <t xml:space="preserve">IMPERMEABILIZAÇÃO E TRATAMENTOS </t>
  </si>
  <si>
    <t>ESQUADRIAS METÁLICAS</t>
  </si>
  <si>
    <t>PORTAS E RODAPÉS</t>
  </si>
  <si>
    <t>EQUIPAMENTOS E SISTEMAS ESPECIAIS</t>
  </si>
  <si>
    <t>SERVIÇOS COMPLEMENTARES E FINAIS</t>
  </si>
  <si>
    <t>SERENITY</t>
  </si>
  <si>
    <t>180,00 - 220,00</t>
  </si>
  <si>
    <t>85,00 - 110,00</t>
  </si>
  <si>
    <t>50,00 - 60,00</t>
  </si>
  <si>
    <t>85,00 - 95,00</t>
  </si>
  <si>
    <t>120,00 - 130,00</t>
  </si>
  <si>
    <t>130,00 - 150,00</t>
  </si>
  <si>
    <t>50,00 - 70,00</t>
  </si>
  <si>
    <t>5,00 - 12,00</t>
  </si>
  <si>
    <t>110,00 - 130,00</t>
  </si>
  <si>
    <t>60,00 - 70,00</t>
  </si>
  <si>
    <t>40,00 - 60,00</t>
  </si>
  <si>
    <t>30,00 - 60,00</t>
  </si>
  <si>
    <t>120,00 - 140,00</t>
  </si>
  <si>
    <t>70,00 - 80,00</t>
  </si>
  <si>
    <t>80,00 - 100,000</t>
  </si>
  <si>
    <t>650,00 - 700,00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</si>
</sst>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theme="0"/>
      <name val="Poppins"/>
    </font>
    <font>
      <sz val="11"/>
      <color theme="1"/>
      <name val="Poppins"/>
    </font>
    <font>
      <sz val="11"/>
      <name val="Poppins"/>
    </font>
    <font>
      <sz val="10"/>
      <color theme="1"/>
      <name val="Poppins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9.9978637043366805E-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theme="1" tint="0.34998626667073579"/>
      </right>
      <top style="hair">
        <color indexed="64"/>
      </top>
      <bottom style="hair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hair">
        <color indexed="64"/>
      </top>
      <bottom style="hair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hair">
        <color indexed="64"/>
      </top>
      <bottom style="thin">
        <color theme="1" tint="0.34998626667073579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thin">
        <color theme="1" tint="0.34998626667073579"/>
      </bottom>
      <diagonal/>
    </border>
    <border>
      <left style="thin">
        <color auto="1"/>
      </left>
      <right style="medium">
        <color indexed="64"/>
      </right>
      <top style="hair">
        <color indexed="64"/>
      </top>
      <bottom style="thin">
        <color theme="1" tint="0.34998626667073579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medium">
        <color indexed="64"/>
      </top>
      <bottom style="hair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 style="hair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hair">
        <color indexed="64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hair">
        <color indexed="64"/>
      </top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83">
    <xf numFmtId="0" fontId="0" fillId="0" borderId="0" xfId="0"/>
    <xf numFmtId="0" fontId="5" fillId="0" borderId="0" xfId="0" applyFont="1"/>
    <xf numFmtId="43" fontId="5" fillId="0" borderId="0" xfId="1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43" fontId="7" fillId="0" borderId="0" xfId="1" applyFont="1" applyAlignment="1">
      <alignment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Fill="1" applyAlignment="1">
      <alignment vertical="center"/>
    </xf>
    <xf numFmtId="43" fontId="7" fillId="0" borderId="0" xfId="1" applyFont="1" applyFill="1" applyAlignment="1">
      <alignment vertical="center"/>
    </xf>
    <xf numFmtId="0" fontId="6" fillId="2" borderId="4" xfId="0" applyFont="1" applyFill="1" applyBorder="1" applyAlignment="1">
      <alignment vertical="center"/>
    </xf>
    <xf numFmtId="43" fontId="5" fillId="2" borderId="5" xfId="1" applyFont="1" applyFill="1" applyBorder="1" applyAlignment="1">
      <alignment vertical="center"/>
    </xf>
    <xf numFmtId="10" fontId="5" fillId="2" borderId="5" xfId="2" applyNumberFormat="1" applyFont="1" applyFill="1" applyBorder="1" applyAlignment="1">
      <alignment horizontal="center" vertical="center"/>
    </xf>
    <xf numFmtId="43" fontId="5" fillId="2" borderId="5" xfId="0" applyNumberFormat="1" applyFont="1" applyFill="1" applyBorder="1" applyAlignment="1">
      <alignment vertical="center"/>
    </xf>
    <xf numFmtId="43" fontId="5" fillId="2" borderId="6" xfId="0" applyNumberFormat="1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43" fontId="5" fillId="4" borderId="5" xfId="1" applyFont="1" applyFill="1" applyBorder="1" applyAlignment="1">
      <alignment vertical="center"/>
    </xf>
    <xf numFmtId="10" fontId="5" fillId="4" borderId="5" xfId="2" applyNumberFormat="1" applyFont="1" applyFill="1" applyBorder="1" applyAlignment="1">
      <alignment horizontal="center" vertical="center"/>
    </xf>
    <xf numFmtId="43" fontId="5" fillId="4" borderId="5" xfId="0" applyNumberFormat="1" applyFont="1" applyFill="1" applyBorder="1" applyAlignment="1">
      <alignment vertical="center"/>
    </xf>
    <xf numFmtId="43" fontId="5" fillId="4" borderId="6" xfId="0" applyNumberFormat="1" applyFont="1" applyFill="1" applyBorder="1" applyAlignment="1">
      <alignment vertical="center"/>
    </xf>
    <xf numFmtId="43" fontId="5" fillId="2" borderId="6" xfId="1" applyFont="1" applyFill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43" fontId="5" fillId="4" borderId="8" xfId="1" applyFont="1" applyFill="1" applyBorder="1" applyAlignment="1">
      <alignment vertical="center"/>
    </xf>
    <xf numFmtId="10" fontId="5" fillId="4" borderId="8" xfId="2" applyNumberFormat="1" applyFont="1" applyFill="1" applyBorder="1" applyAlignment="1">
      <alignment horizontal="center" vertical="center"/>
    </xf>
    <xf numFmtId="43" fontId="5" fillId="4" borderId="8" xfId="0" applyNumberFormat="1" applyFont="1" applyFill="1" applyBorder="1" applyAlignment="1">
      <alignment vertical="center"/>
    </xf>
    <xf numFmtId="43" fontId="5" fillId="4" borderId="9" xfId="0" applyNumberFormat="1" applyFont="1" applyFill="1" applyBorder="1" applyAlignment="1">
      <alignment vertical="center"/>
    </xf>
    <xf numFmtId="0" fontId="4" fillId="3" borderId="10" xfId="0" applyFont="1" applyFill="1" applyBorder="1" applyAlignment="1">
      <alignment horizontal="right" vertical="center"/>
    </xf>
    <xf numFmtId="43" fontId="4" fillId="3" borderId="11" xfId="1" applyFont="1" applyFill="1" applyBorder="1" applyAlignment="1">
      <alignment horizontal="right" vertical="center"/>
    </xf>
    <xf numFmtId="17" fontId="4" fillId="3" borderId="11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vertical="center"/>
    </xf>
    <xf numFmtId="43" fontId="5" fillId="2" borderId="14" xfId="1" applyFont="1" applyFill="1" applyBorder="1" applyAlignment="1">
      <alignment vertical="center"/>
    </xf>
    <xf numFmtId="10" fontId="5" fillId="2" borderId="14" xfId="2" applyNumberFormat="1" applyFont="1" applyFill="1" applyBorder="1" applyAlignment="1">
      <alignment horizontal="center" vertical="center"/>
    </xf>
    <xf numFmtId="43" fontId="5" fillId="2" borderId="15" xfId="1" applyFont="1" applyFill="1" applyBorder="1" applyAlignment="1">
      <alignment vertical="center"/>
    </xf>
    <xf numFmtId="0" fontId="4" fillId="3" borderId="16" xfId="0" applyFont="1" applyFill="1" applyBorder="1" applyAlignment="1">
      <alignment horizontal="right" vertical="center"/>
    </xf>
    <xf numFmtId="43" fontId="4" fillId="3" borderId="17" xfId="0" applyNumberFormat="1" applyFont="1" applyFill="1" applyBorder="1" applyAlignment="1">
      <alignment horizontal="right" vertical="center"/>
    </xf>
    <xf numFmtId="10" fontId="4" fillId="3" borderId="17" xfId="0" applyNumberFormat="1" applyFont="1" applyFill="1" applyBorder="1" applyAlignment="1">
      <alignment horizontal="center" vertical="center"/>
    </xf>
    <xf numFmtId="43" fontId="4" fillId="3" borderId="18" xfId="0" applyNumberFormat="1" applyFont="1" applyFill="1" applyBorder="1" applyAlignment="1">
      <alignment horizontal="right" vertical="center"/>
    </xf>
    <xf numFmtId="0" fontId="6" fillId="4" borderId="19" xfId="0" applyFont="1" applyFill="1" applyBorder="1" applyAlignment="1">
      <alignment vertical="center"/>
    </xf>
    <xf numFmtId="43" fontId="5" fillId="4" borderId="20" xfId="1" applyFont="1" applyFill="1" applyBorder="1" applyAlignment="1">
      <alignment vertical="center"/>
    </xf>
    <xf numFmtId="10" fontId="5" fillId="4" borderId="20" xfId="2" applyNumberFormat="1" applyFont="1" applyFill="1" applyBorder="1" applyAlignment="1">
      <alignment horizontal="center" vertical="center"/>
    </xf>
    <xf numFmtId="43" fontId="5" fillId="4" borderId="20" xfId="0" applyNumberFormat="1" applyFont="1" applyFill="1" applyBorder="1" applyAlignment="1">
      <alignment vertical="center"/>
    </xf>
    <xf numFmtId="43" fontId="5" fillId="4" borderId="21" xfId="0" applyNumberFormat="1" applyFont="1" applyFill="1" applyBorder="1" applyAlignment="1">
      <alignment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43" fontId="4" fillId="3" borderId="11" xfId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right"/>
    </xf>
    <xf numFmtId="43" fontId="4" fillId="3" borderId="23" xfId="1" applyFont="1" applyFill="1" applyBorder="1" applyAlignment="1">
      <alignment horizontal="right"/>
    </xf>
    <xf numFmtId="43" fontId="4" fillId="3" borderId="23" xfId="0" applyNumberFormat="1" applyFont="1" applyFill="1" applyBorder="1" applyAlignment="1">
      <alignment horizontal="right"/>
    </xf>
    <xf numFmtId="43" fontId="4" fillId="3" borderId="24" xfId="0" applyNumberFormat="1" applyFont="1" applyFill="1" applyBorder="1" applyAlignment="1">
      <alignment horizontal="center"/>
    </xf>
    <xf numFmtId="0" fontId="6" fillId="2" borderId="25" xfId="0" applyFont="1" applyFill="1" applyBorder="1"/>
    <xf numFmtId="43" fontId="5" fillId="2" borderId="26" xfId="1" applyFont="1" applyFill="1" applyBorder="1" applyAlignment="1">
      <alignment horizontal="center"/>
    </xf>
    <xf numFmtId="43" fontId="5" fillId="2" borderId="27" xfId="1" applyFont="1" applyFill="1" applyBorder="1" applyAlignment="1">
      <alignment horizontal="center"/>
    </xf>
    <xf numFmtId="0" fontId="6" fillId="4" borderId="1" xfId="0" applyFont="1" applyFill="1" applyBorder="1"/>
    <xf numFmtId="43" fontId="5" fillId="4" borderId="2" xfId="1" applyFont="1" applyFill="1" applyBorder="1" applyAlignment="1">
      <alignment horizontal="center"/>
    </xf>
    <xf numFmtId="43" fontId="5" fillId="4" borderId="3" xfId="1" applyFont="1" applyFill="1" applyBorder="1" applyAlignment="1">
      <alignment horizontal="center"/>
    </xf>
    <xf numFmtId="0" fontId="6" fillId="2" borderId="1" xfId="0" applyFont="1" applyFill="1" applyBorder="1"/>
    <xf numFmtId="43" fontId="5" fillId="2" borderId="2" xfId="1" applyFont="1" applyFill="1" applyBorder="1" applyAlignment="1">
      <alignment horizontal="center"/>
    </xf>
    <xf numFmtId="43" fontId="5" fillId="2" borderId="3" xfId="1" applyFont="1" applyFill="1" applyBorder="1" applyAlignment="1">
      <alignment horizontal="center"/>
    </xf>
    <xf numFmtId="0" fontId="6" fillId="4" borderId="28" xfId="0" applyFont="1" applyFill="1" applyBorder="1"/>
    <xf numFmtId="43" fontId="5" fillId="4" borderId="29" xfId="1" applyFont="1" applyFill="1" applyBorder="1" applyAlignment="1">
      <alignment horizontal="center"/>
    </xf>
    <xf numFmtId="43" fontId="5" fillId="4" borderId="30" xfId="1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vertical="center"/>
    </xf>
    <xf numFmtId="43" fontId="5" fillId="2" borderId="8" xfId="1" applyFont="1" applyFill="1" applyBorder="1" applyAlignment="1">
      <alignment vertical="center"/>
    </xf>
    <xf numFmtId="10" fontId="5" fillId="2" borderId="8" xfId="2" applyNumberFormat="1" applyFont="1" applyFill="1" applyBorder="1" applyAlignment="1">
      <alignment horizontal="center" vertical="center"/>
    </xf>
    <xf numFmtId="43" fontId="5" fillId="2" borderId="9" xfId="1" applyFont="1" applyFill="1" applyBorder="1" applyAlignment="1">
      <alignment vertical="center"/>
    </xf>
    <xf numFmtId="0" fontId="6" fillId="2" borderId="31" xfId="0" applyFont="1" applyFill="1" applyBorder="1" applyAlignment="1">
      <alignment vertical="center"/>
    </xf>
    <xf numFmtId="43" fontId="5" fillId="2" borderId="32" xfId="1" applyFont="1" applyFill="1" applyBorder="1" applyAlignment="1">
      <alignment vertical="center"/>
    </xf>
    <xf numFmtId="10" fontId="5" fillId="2" borderId="32" xfId="2" applyNumberFormat="1" applyFont="1" applyFill="1" applyBorder="1" applyAlignment="1">
      <alignment horizontal="center" vertical="center"/>
    </xf>
    <xf numFmtId="43" fontId="5" fillId="2" borderId="33" xfId="1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43" fontId="5" fillId="2" borderId="20" xfId="1" applyFont="1" applyFill="1" applyBorder="1" applyAlignment="1">
      <alignment vertical="center"/>
    </xf>
    <xf numFmtId="10" fontId="5" fillId="2" borderId="20" xfId="2" applyNumberFormat="1" applyFont="1" applyFill="1" applyBorder="1" applyAlignment="1">
      <alignment horizontal="center" vertical="center"/>
    </xf>
    <xf numFmtId="43" fontId="5" fillId="2" borderId="14" xfId="0" applyNumberFormat="1" applyFont="1" applyFill="1" applyBorder="1" applyAlignment="1">
      <alignment vertical="center"/>
    </xf>
    <xf numFmtId="43" fontId="5" fillId="2" borderId="21" xfId="1" applyFont="1" applyFill="1" applyBorder="1" applyAlignment="1">
      <alignment vertical="center"/>
    </xf>
    <xf numFmtId="43" fontId="5" fillId="2" borderId="15" xfId="0" applyNumberFormat="1" applyFont="1" applyFill="1" applyBorder="1" applyAlignment="1">
      <alignment vertical="center"/>
    </xf>
  </cellXfs>
  <cellStyles count="9">
    <cellStyle name="Comma" xfId="7" xr:uid="{00000000-0005-0000-0000-000000000000}"/>
    <cellStyle name="Comma [0]" xfId="8" xr:uid="{00000000-0005-0000-0000-000001000000}"/>
    <cellStyle name="Currency" xfId="5" xr:uid="{00000000-0005-0000-0000-000002000000}"/>
    <cellStyle name="Currency [0]" xfId="6" xr:uid="{00000000-0005-0000-0000-000003000000}"/>
    <cellStyle name="Normal" xfId="0" builtinId="0"/>
    <cellStyle name="Normal 2" xfId="3" xr:uid="{00000000-0005-0000-0000-000005000000}"/>
    <cellStyle name="Percent" xfId="4" xr:uid="{00000000-0005-0000-0000-000006000000}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283549"/>
      <color rgb="FFBCBDC1"/>
      <color rgb="FF808183"/>
      <color rgb="FF211F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78142198413731"/>
          <c:y val="0.13973272620572214"/>
          <c:w val="0.91871084921724233"/>
          <c:h val="0.48799853426299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'Gerenciamento executivo '!$E$2</c:f>
              <c:strCache>
                <c:ptCount val="1"/>
                <c:pt idx="0">
                  <c:v>Valor 1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'Gerenciamento executivo '!$A$3:$A$22</c:f>
              <c:strCache>
                <c:ptCount val="20"/>
                <c:pt idx="0">
                  <c:v>FUNDAÇÃO - ESTACAS, BLOCOS E BALDRAMES</c:v>
                </c:pt>
                <c:pt idx="1">
                  <c:v>ESTRUTURA DE CONCRETO ARMADO</c:v>
                </c:pt>
                <c:pt idx="2">
                  <c:v>ALVENARIA, VEDAÇÕES, DIVISÓRIAS, CAIXAS</c:v>
                </c:pt>
                <c:pt idx="3">
                  <c:v>SISTEMAS DE EXAUSTÃO E CLIMATIZAÇÃO</c:v>
                </c:pt>
                <c:pt idx="4">
                  <c:v>SISTEMAS E INSTALAÇÕES HIDRO-SANITÁRIAS</c:v>
                </c:pt>
                <c:pt idx="5">
                  <c:v>SISTEMAS E INSTALAÇÕES ELÉTRICAS E LOGICAS</c:v>
                </c:pt>
                <c:pt idx="6">
                  <c:v>REBOCO INTERNO E CONTRAPISO</c:v>
                </c:pt>
                <c:pt idx="7">
                  <c:v>REVESTIMENTOS EXTERNO E ACABAMENTOS EM FACHADA</c:v>
                </c:pt>
                <c:pt idx="8">
                  <c:v>INSTALAÇÕES DE GLP</c:v>
                </c:pt>
                <c:pt idx="9">
                  <c:v>ACABAMENTOS EM PISO E PAREDE </c:v>
                </c:pt>
                <c:pt idx="10">
                  <c:v>TETOS E FORROS </c:v>
                </c:pt>
                <c:pt idx="11">
                  <c:v>PINTURA INTERNA</c:v>
                </c:pt>
                <c:pt idx="12">
                  <c:v>PINTURA EXTERNA</c:v>
                </c:pt>
                <c:pt idx="13">
                  <c:v>GARAGENS</c:v>
                </c:pt>
                <c:pt idx="14">
                  <c:v>INSTALAÇÕES PREVENTIVAS DE INCENDIO</c:v>
                </c:pt>
                <c:pt idx="15">
                  <c:v>IMPERMEABILIZAÇÃO E TRATAMENTOS </c:v>
                </c:pt>
                <c:pt idx="16">
                  <c:v>ESQUADRIAS METÁLICAS</c:v>
                </c:pt>
                <c:pt idx="17">
                  <c:v>PORTAS E RODAPÉS</c:v>
                </c:pt>
                <c:pt idx="18">
                  <c:v>EQUIPAMENTOS E SISTEMAS ESPECIAIS</c:v>
                </c:pt>
                <c:pt idx="19">
                  <c:v>SERVIÇOS COMPLEMENTARES E FINAIS</c:v>
                </c:pt>
              </c:strCache>
            </c:strRef>
          </c:cat>
          <c:val>
            <c:numRef>
              <c:f>'Gerenciamento executivo '!$E$3:$E$22</c:f>
              <c:numCache>
                <c:formatCode>General</c:formatCode>
                <c:ptCount val="20"/>
                <c:pt idx="0">
                  <c:v>180</c:v>
                </c:pt>
                <c:pt idx="1">
                  <c:v>650</c:v>
                </c:pt>
                <c:pt idx="2">
                  <c:v>85</c:v>
                </c:pt>
                <c:pt idx="3">
                  <c:v>50</c:v>
                </c:pt>
                <c:pt idx="4">
                  <c:v>85</c:v>
                </c:pt>
                <c:pt idx="5">
                  <c:v>120</c:v>
                </c:pt>
                <c:pt idx="6">
                  <c:v>130</c:v>
                </c:pt>
                <c:pt idx="7">
                  <c:v>50</c:v>
                </c:pt>
                <c:pt idx="8">
                  <c:v>5</c:v>
                </c:pt>
                <c:pt idx="9">
                  <c:v>110</c:v>
                </c:pt>
                <c:pt idx="10">
                  <c:v>60</c:v>
                </c:pt>
                <c:pt idx="11">
                  <c:v>50</c:v>
                </c:pt>
                <c:pt idx="12">
                  <c:v>50</c:v>
                </c:pt>
                <c:pt idx="13">
                  <c:v>40</c:v>
                </c:pt>
                <c:pt idx="14">
                  <c:v>30</c:v>
                </c:pt>
                <c:pt idx="15">
                  <c:v>35</c:v>
                </c:pt>
                <c:pt idx="16">
                  <c:v>120</c:v>
                </c:pt>
                <c:pt idx="17">
                  <c:v>70</c:v>
                </c:pt>
                <c:pt idx="18">
                  <c:v>80</c:v>
                </c:pt>
                <c:pt idx="19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2-4A4E-8021-9846F645B964}"/>
            </c:ext>
          </c:extLst>
        </c:ser>
        <c:ser>
          <c:idx val="1"/>
          <c:order val="1"/>
          <c:tx>
            <c:strRef>
              <c:f>'Gerenciamento executivo '!$F$2</c:f>
              <c:strCache>
                <c:ptCount val="1"/>
                <c:pt idx="0">
                  <c:v>Valor 2</c:v>
                </c:pt>
              </c:strCache>
            </c:strRef>
          </c:tx>
          <c:spPr>
            <a:solidFill>
              <a:schemeClr val="tx2"/>
            </a:solidFill>
            <a:ln>
              <a:solidFill>
                <a:schemeClr val="tx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val>
            <c:numRef>
              <c:f>'Gerenciamento executivo '!$F$3:$F$23</c:f>
              <c:numCache>
                <c:formatCode>General</c:formatCode>
                <c:ptCount val="21"/>
                <c:pt idx="0">
                  <c:v>40</c:v>
                </c:pt>
                <c:pt idx="1">
                  <c:v>50</c:v>
                </c:pt>
                <c:pt idx="2">
                  <c:v>25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20</c:v>
                </c:pt>
                <c:pt idx="7">
                  <c:v>20</c:v>
                </c:pt>
                <c:pt idx="8">
                  <c:v>7</c:v>
                </c:pt>
                <c:pt idx="9">
                  <c:v>20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20</c:v>
                </c:pt>
                <c:pt idx="14">
                  <c:v>30</c:v>
                </c:pt>
                <c:pt idx="15">
                  <c:v>10</c:v>
                </c:pt>
                <c:pt idx="16">
                  <c:v>20</c:v>
                </c:pt>
                <c:pt idx="17">
                  <c:v>10</c:v>
                </c:pt>
                <c:pt idx="18">
                  <c:v>20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2-4A4E-8021-9846F645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0715216"/>
        <c:axId val="410715872"/>
      </c:barChart>
      <c:lineChart>
        <c:grouping val="standard"/>
        <c:varyColors val="0"/>
        <c:ser>
          <c:idx val="2"/>
          <c:order val="2"/>
          <c:tx>
            <c:strRef>
              <c:f>'Gerenciamento executivo '!$C$2</c:f>
              <c:strCache>
                <c:ptCount val="1"/>
                <c:pt idx="0">
                  <c:v>VALOR / m²</c:v>
                </c:pt>
              </c:strCache>
            </c:strRef>
          </c:tx>
          <c:spPr>
            <a:ln w="25400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2"/>
              </a:solidFill>
              <a:ln w="31750">
                <a:noFill/>
              </a:ln>
              <a:effectLst/>
            </c:spPr>
          </c:marker>
          <c:val>
            <c:numRef>
              <c:f>'Gerenciamento executivo '!$C$3:$C$22</c:f>
              <c:numCache>
                <c:formatCode>_(* #,##0.00_);_(* \(#,##0.00\);_(* "-"??_);_(@_)</c:formatCode>
                <c:ptCount val="20"/>
                <c:pt idx="0">
                  <c:v>249.73266786805149</c:v>
                </c:pt>
                <c:pt idx="1">
                  <c:v>711.61971540114598</c:v>
                </c:pt>
                <c:pt idx="2">
                  <c:v>120.99491126312972</c:v>
                </c:pt>
                <c:pt idx="3">
                  <c:v>53.650749787601825</c:v>
                </c:pt>
                <c:pt idx="4">
                  <c:v>94.961306050334684</c:v>
                </c:pt>
                <c:pt idx="5">
                  <c:v>123.96616254560314</c:v>
                </c:pt>
                <c:pt idx="6">
                  <c:v>131.29318811863723</c:v>
                </c:pt>
                <c:pt idx="7">
                  <c:v>58.12709054188727</c:v>
                </c:pt>
                <c:pt idx="8">
                  <c:v>9.2667618171288471</c:v>
                </c:pt>
                <c:pt idx="9">
                  <c:v>111.72174001875571</c:v>
                </c:pt>
                <c:pt idx="10">
                  <c:v>63.606334316195465</c:v>
                </c:pt>
                <c:pt idx="11">
                  <c:v>53.312299544630072</c:v>
                </c:pt>
                <c:pt idx="12">
                  <c:v>58.205276587988699</c:v>
                </c:pt>
                <c:pt idx="13">
                  <c:v>48.780991759832787</c:v>
                </c:pt>
                <c:pt idx="14">
                  <c:v>44.418054726704554</c:v>
                </c:pt>
                <c:pt idx="15">
                  <c:v>29.349383971801753</c:v>
                </c:pt>
                <c:pt idx="16">
                  <c:v>141.61013690495437</c:v>
                </c:pt>
                <c:pt idx="17">
                  <c:v>73.37931080099834</c:v>
                </c:pt>
                <c:pt idx="18">
                  <c:v>85.357975441185545</c:v>
                </c:pt>
                <c:pt idx="19">
                  <c:v>90.030367794263341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02-4A4E-8021-9846F645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715216"/>
        <c:axId val="410715872"/>
      </c:lineChart>
      <c:catAx>
        <c:axId val="41071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pt-BR"/>
          </a:p>
        </c:txPr>
        <c:crossAx val="410715872"/>
        <c:crosses val="autoZero"/>
        <c:auto val="1"/>
        <c:lblAlgn val="ctr"/>
        <c:lblOffset val="100"/>
        <c:noMultiLvlLbl val="0"/>
      </c:catAx>
      <c:valAx>
        <c:axId val="4107158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pt-BR"/>
          </a:p>
        </c:txPr>
        <c:crossAx val="41071521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latin typeface="Poppins" panose="00000500000000000000" pitchFamily="2" charset="0"/>
          <a:cs typeface="Poppins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r>
              <a:rPr lang="pt-BR"/>
              <a:t>REPRESENTAÇÃO DE CUSTOS POR ETAPA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Roboto" panose="02000000000000000000" pitchFamily="2" charset="0"/>
              <a:cs typeface="Poppins" panose="00000500000000000000" pitchFamily="2" charset="0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2"/>
            </a:solidFill>
            <a:ln>
              <a:solidFill>
                <a:schemeClr val="bg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Poppins" panose="00000500000000000000" pitchFamily="2" charset="0"/>
                    <a:ea typeface="Roboto" panose="02000000000000000000" pitchFamily="2" charset="0"/>
                    <a:cs typeface="Poppins" panose="000005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Executivo!$A$2:$A$27</c:f>
              <c:strCache>
                <c:ptCount val="26"/>
                <c:pt idx="0">
                  <c:v>PROJETOS</c:v>
                </c:pt>
                <c:pt idx="1">
                  <c:v>CONSULTORIAS </c:v>
                </c:pt>
                <c:pt idx="2">
                  <c:v>TAXAS E DOCUMENTOS</c:v>
                </c:pt>
                <c:pt idx="3">
                  <c:v>EQUIPE DE ADMINISTRAÇÃO DA OBRA</c:v>
                </c:pt>
                <c:pt idx="4">
                  <c:v>INSTALAÇÃO E MANUTENÇÃO DO CANTEIRO DE OBRAS</c:v>
                </c:pt>
                <c:pt idx="5">
                  <c:v>EQUIPAMENTOS (AQUISIÇÃO, MANUTENÇÃO E LOCAÇÃO)</c:v>
                </c:pt>
                <c:pt idx="6">
                  <c:v>FUNDAÇÃO - ESTACAS, BLOCOS E BALDRAMES</c:v>
                </c:pt>
                <c:pt idx="7">
                  <c:v>ESTRUTURA DE CONCRETO ARMADO</c:v>
                </c:pt>
                <c:pt idx="8">
                  <c:v>ALVENARIA, VEDAÇÕES, DIVISÓRIAS, CAIXAS</c:v>
                </c:pt>
                <c:pt idx="9">
                  <c:v>SISTEMAS DE EXAUSTÃO E CLIMATIZAÇÃO</c:v>
                </c:pt>
                <c:pt idx="10">
                  <c:v>SISTEMAS E INSTALAÇÕES HIDRO-SANITÁRIAS</c:v>
                </c:pt>
                <c:pt idx="11">
                  <c:v>SISTEMAS E INSTALAÇÕES ELÉTRICAS E LOGICAS</c:v>
                </c:pt>
                <c:pt idx="12">
                  <c:v>REBOCO INTERNO E CONTRAPISO</c:v>
                </c:pt>
                <c:pt idx="13">
                  <c:v>REVESTIMENTOS EXTERNO E ACABAMENTOS EM FACHADA</c:v>
                </c:pt>
                <c:pt idx="14">
                  <c:v>INSTALAÇÕES DE GLP</c:v>
                </c:pt>
                <c:pt idx="15">
                  <c:v>ACABAMENTOS EM PISO E PAREDE </c:v>
                </c:pt>
                <c:pt idx="16">
                  <c:v>TETOS E FORROS </c:v>
                </c:pt>
                <c:pt idx="17">
                  <c:v>PINTURA INTERNA</c:v>
                </c:pt>
                <c:pt idx="18">
                  <c:v>PINTURA EXTERNA</c:v>
                </c:pt>
                <c:pt idx="19">
                  <c:v>GARAGENS</c:v>
                </c:pt>
                <c:pt idx="20">
                  <c:v>INSTALAÇÕES PREVENTIVAS DE INCENDIO</c:v>
                </c:pt>
                <c:pt idx="21">
                  <c:v>IMPERMEABILIZAÇÃO E TRATAMENTOS </c:v>
                </c:pt>
                <c:pt idx="22">
                  <c:v>ESQUADRIAS METÁLICAS</c:v>
                </c:pt>
                <c:pt idx="23">
                  <c:v>PORTAS E RODAPÉS</c:v>
                </c:pt>
                <c:pt idx="24">
                  <c:v>EQUIPAMENTOS E SISTEMAS ESPECIAIS</c:v>
                </c:pt>
                <c:pt idx="25">
                  <c:v>SERVIÇOS COMPLEMENTARES E FINAIS</c:v>
                </c:pt>
              </c:strCache>
            </c:strRef>
          </c:cat>
          <c:val>
            <c:numRef>
              <c:f>Executivo!$C$2:$C$27</c:f>
              <c:numCache>
                <c:formatCode>0.00%</c:formatCode>
                <c:ptCount val="26"/>
                <c:pt idx="0">
                  <c:v>1.7141338262931915E-2</c:v>
                </c:pt>
                <c:pt idx="1">
                  <c:v>2.9210997157179826E-3</c:v>
                </c:pt>
                <c:pt idx="2">
                  <c:v>4.0288597528380871E-3</c:v>
                </c:pt>
                <c:pt idx="3">
                  <c:v>4.2639588893784816E-2</c:v>
                </c:pt>
                <c:pt idx="4">
                  <c:v>1.305435116583775E-2</c:v>
                </c:pt>
                <c:pt idx="5">
                  <c:v>1.6469628137636215E-2</c:v>
                </c:pt>
                <c:pt idx="6">
                  <c:v>9.5902174324693973E-2</c:v>
                </c:pt>
                <c:pt idx="7">
                  <c:v>0.27327573353498202</c:v>
                </c:pt>
                <c:pt idx="8">
                  <c:v>4.6464385982888115E-2</c:v>
                </c:pt>
                <c:pt idx="9">
                  <c:v>2.0602925531150989E-2</c:v>
                </c:pt>
                <c:pt idx="10">
                  <c:v>3.6466978087750929E-2</c:v>
                </c:pt>
                <c:pt idx="11">
                  <c:v>4.7605403939757068E-2</c:v>
                </c:pt>
                <c:pt idx="12">
                  <c:v>5.0419123465461541E-2</c:v>
                </c:pt>
                <c:pt idx="13">
                  <c:v>2.2321926953828439E-2</c:v>
                </c:pt>
                <c:pt idx="14">
                  <c:v>3.5586157581965314E-3</c:v>
                </c:pt>
                <c:pt idx="15">
                  <c:v>4.290330888067026E-2</c:v>
                </c:pt>
                <c:pt idx="16">
                  <c:v>2.4426062532473824E-2</c:v>
                </c:pt>
                <c:pt idx="17">
                  <c:v>2.0472954092176646E-2</c:v>
                </c:pt>
                <c:pt idx="18">
                  <c:v>2.2351951907660025E-2</c:v>
                </c:pt>
                <c:pt idx="19">
                  <c:v>1.8732844266712897E-2</c:v>
                </c:pt>
                <c:pt idx="20">
                  <c:v>1.7057392066203027E-2</c:v>
                </c:pt>
                <c:pt idx="21">
                  <c:v>1.1270731066202628E-2</c:v>
                </c:pt>
                <c:pt idx="22">
                  <c:v>5.4381031330583515E-2</c:v>
                </c:pt>
                <c:pt idx="23">
                  <c:v>2.8179074513316894E-2</c:v>
                </c:pt>
                <c:pt idx="24">
                  <c:v>3.2779113404132927E-2</c:v>
                </c:pt>
                <c:pt idx="25">
                  <c:v>3.4573402432410909E-2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B-4A28-BE49-41975BBBE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79648639"/>
        <c:axId val="879640735"/>
      </c:barChart>
      <c:catAx>
        <c:axId val="8796486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879640735"/>
        <c:crosses val="autoZero"/>
        <c:auto val="1"/>
        <c:lblAlgn val="ctr"/>
        <c:lblOffset val="100"/>
        <c:noMultiLvlLbl val="0"/>
      </c:catAx>
      <c:valAx>
        <c:axId val="87964073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87964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oppins" panose="00000500000000000000" pitchFamily="2" charset="0"/>
          <a:ea typeface="Roboto" panose="02000000000000000000" pitchFamily="2" charset="0"/>
          <a:cs typeface="Poppins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r>
              <a:rPr lang="pt-BR"/>
              <a:t>REPRESENTAÇÃO DE CUSTOS POR ETAPA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Roboto" panose="02000000000000000000" pitchFamily="2" charset="0"/>
              <a:cs typeface="Poppins" panose="00000500000000000000" pitchFamily="2" charset="0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2"/>
            </a:solidFill>
            <a:ln>
              <a:solidFill>
                <a:schemeClr val="bg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Poppins" panose="00000500000000000000" pitchFamily="2" charset="0"/>
                    <a:ea typeface="Roboto" panose="02000000000000000000" pitchFamily="2" charset="0"/>
                    <a:cs typeface="Poppins" panose="000005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ETAPAS!$A$2:$A$27</c:f>
              <c:strCache>
                <c:ptCount val="26"/>
                <c:pt idx="0">
                  <c:v>ESTRUTURA DE CONCRETO ARMADO</c:v>
                </c:pt>
                <c:pt idx="1">
                  <c:v>FUNDAÇÃO - ESTACAS, BLOCOS E BALDRAMES</c:v>
                </c:pt>
                <c:pt idx="2">
                  <c:v>ESQUADRIAS METÁLICAS</c:v>
                </c:pt>
                <c:pt idx="3">
                  <c:v>REBOCO INTERNO E CONTRAPISO</c:v>
                </c:pt>
                <c:pt idx="4">
                  <c:v>SISTEMAS E INSTALAÇÕES ELÉTRICAS E LOGICAS</c:v>
                </c:pt>
                <c:pt idx="5">
                  <c:v>ALVENARIA, VEDAÇÕES, DIVISÓRIAS, CAIXAS</c:v>
                </c:pt>
                <c:pt idx="6">
                  <c:v>ACABAMENTOS EM PISO E PAREDE </c:v>
                </c:pt>
                <c:pt idx="7">
                  <c:v>EQUIPE DE ADMINISTRAÇÃO DA OBRA</c:v>
                </c:pt>
                <c:pt idx="8">
                  <c:v>SISTEMAS E INSTALAÇÕES HIDRO-SANITÁRIAS</c:v>
                </c:pt>
                <c:pt idx="9">
                  <c:v>SERVIÇOS COMPLEMENTARES E FINAIS</c:v>
                </c:pt>
                <c:pt idx="10">
                  <c:v>EQUIPAMENTOS E SISTEMAS ESPECIAIS</c:v>
                </c:pt>
                <c:pt idx="11">
                  <c:v>PORTAS E RODAPÉS</c:v>
                </c:pt>
                <c:pt idx="12">
                  <c:v>TETOS E FORROS </c:v>
                </c:pt>
                <c:pt idx="13">
                  <c:v>PINTURA EXTERNA</c:v>
                </c:pt>
                <c:pt idx="14">
                  <c:v>REVESTIMENTOS EXTERNO E ACABAMENTOS EM FACHADA</c:v>
                </c:pt>
                <c:pt idx="15">
                  <c:v>SISTEMAS DE EXAUSTÃO E CLIMATIZAÇÃO</c:v>
                </c:pt>
                <c:pt idx="16">
                  <c:v>PINTURA INTERNA</c:v>
                </c:pt>
                <c:pt idx="17">
                  <c:v>GARAGENS</c:v>
                </c:pt>
                <c:pt idx="18">
                  <c:v>PROJETOS</c:v>
                </c:pt>
                <c:pt idx="19">
                  <c:v>INSTALAÇÕES PREVENTIVAS DE INCENDIO</c:v>
                </c:pt>
                <c:pt idx="20">
                  <c:v>EQUIPAMENTOS (AQUISIÇÃO, MANUTENÇÃO E LOCAÇÃO)</c:v>
                </c:pt>
                <c:pt idx="21">
                  <c:v>INSTALAÇÃO E MANUTENÇÃO DO CANTEIRO DE OBRAS</c:v>
                </c:pt>
                <c:pt idx="22">
                  <c:v>IMPERMEABILIZAÇÃO E TRATAMENTOS </c:v>
                </c:pt>
                <c:pt idx="23">
                  <c:v>TAXAS E DOCUMENTOS</c:v>
                </c:pt>
                <c:pt idx="24">
                  <c:v>INSTALAÇÕES DE GLP</c:v>
                </c:pt>
                <c:pt idx="25">
                  <c:v>CONSULTORIAS </c:v>
                </c:pt>
              </c:strCache>
            </c:strRef>
          </c:cat>
          <c:val>
            <c:numRef>
              <c:f>ETAPAS!$C$2:$C$27</c:f>
              <c:numCache>
                <c:formatCode>0.00%</c:formatCode>
                <c:ptCount val="26"/>
                <c:pt idx="0">
                  <c:v>0.27327573353498202</c:v>
                </c:pt>
                <c:pt idx="1">
                  <c:v>9.5902174324693973E-2</c:v>
                </c:pt>
                <c:pt idx="2">
                  <c:v>5.4381031330583515E-2</c:v>
                </c:pt>
                <c:pt idx="3">
                  <c:v>5.0419123465461541E-2</c:v>
                </c:pt>
                <c:pt idx="4">
                  <c:v>4.7605403939757068E-2</c:v>
                </c:pt>
                <c:pt idx="5">
                  <c:v>4.6464385982888115E-2</c:v>
                </c:pt>
                <c:pt idx="6">
                  <c:v>4.290330888067026E-2</c:v>
                </c:pt>
                <c:pt idx="7">
                  <c:v>4.2639588893784816E-2</c:v>
                </c:pt>
                <c:pt idx="8">
                  <c:v>3.6466978087750929E-2</c:v>
                </c:pt>
                <c:pt idx="9">
                  <c:v>3.4573402432410909E-2</c:v>
                </c:pt>
                <c:pt idx="10">
                  <c:v>3.2779113404132927E-2</c:v>
                </c:pt>
                <c:pt idx="11">
                  <c:v>2.8179074513316894E-2</c:v>
                </c:pt>
                <c:pt idx="12">
                  <c:v>2.4426062532473824E-2</c:v>
                </c:pt>
                <c:pt idx="13">
                  <c:v>2.2351951907660025E-2</c:v>
                </c:pt>
                <c:pt idx="14">
                  <c:v>2.2321926953828439E-2</c:v>
                </c:pt>
                <c:pt idx="15">
                  <c:v>2.0602925531150989E-2</c:v>
                </c:pt>
                <c:pt idx="16">
                  <c:v>2.0472954092176646E-2</c:v>
                </c:pt>
                <c:pt idx="17">
                  <c:v>1.8732844266712897E-2</c:v>
                </c:pt>
                <c:pt idx="18">
                  <c:v>1.7141338262931915E-2</c:v>
                </c:pt>
                <c:pt idx="19">
                  <c:v>1.7057392066203027E-2</c:v>
                </c:pt>
                <c:pt idx="20">
                  <c:v>1.6469628137636215E-2</c:v>
                </c:pt>
                <c:pt idx="21">
                  <c:v>1.305435116583775E-2</c:v>
                </c:pt>
                <c:pt idx="22">
                  <c:v>1.1270731066202628E-2</c:v>
                </c:pt>
                <c:pt idx="23">
                  <c:v>4.0288597528380871E-3</c:v>
                </c:pt>
                <c:pt idx="24">
                  <c:v>3.5586157581965314E-3</c:v>
                </c:pt>
                <c:pt idx="25">
                  <c:v>2.9210997157179826E-3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2-4FD4-9733-972CAF1F4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79648639"/>
        <c:axId val="879640735"/>
      </c:barChart>
      <c:catAx>
        <c:axId val="8796486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879640735"/>
        <c:crosses val="autoZero"/>
        <c:auto val="1"/>
        <c:lblAlgn val="ctr"/>
        <c:lblOffset val="100"/>
        <c:noMultiLvlLbl val="0"/>
      </c:catAx>
      <c:valAx>
        <c:axId val="87964073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87964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oppins" panose="00000500000000000000" pitchFamily="2" charset="0"/>
          <a:ea typeface="Roboto" panose="02000000000000000000" pitchFamily="2" charset="0"/>
          <a:cs typeface="Poppins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457198</xdr:colOff>
      <xdr:row>1</xdr:row>
      <xdr:rowOff>126274</xdr:rowOff>
    </xdr:from>
    <xdr:to>
      <xdr:col>21</xdr:col>
      <xdr:colOff>415636</xdr:colOff>
      <xdr:row>24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C88E27-5B2B-429D-976F-09C836194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0.32643</cdr:x>
      <cdr:y>0.02118</cdr:y>
    </cdr:from>
    <cdr:to>
      <cdr:x>0.74936</cdr:x>
      <cdr:y>0.07643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2D004DF-4FC1-4B69-A73A-5C0C9B236050}"/>
            </a:ext>
          </a:extLst>
        </cdr:cNvPr>
        <cdr:cNvSpPr txBox="1"/>
      </cdr:nvSpPr>
      <cdr:spPr>
        <a:xfrm xmlns:a="http://schemas.openxmlformats.org/drawingml/2006/main">
          <a:off x="2949390" y="120254"/>
          <a:ext cx="3821207" cy="3137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i="0" baseline="0">
              <a:effectLst/>
              <a:latin typeface="Poppins" panose="00000500000000000000" pitchFamily="2" charset="0"/>
              <a:ea typeface="Roboto" panose="02000000000000000000" pitchFamily="2" charset="0"/>
              <a:cs typeface="Poppins" panose="00000500000000000000" pitchFamily="2" charset="0"/>
            </a:rPr>
            <a:t>COMPARATIVO OBRAS SIMILARES</a:t>
          </a:r>
          <a:endParaRPr lang="pt-BR" sz="1400">
            <a:effectLst/>
            <a:latin typeface="Poppins" panose="00000500000000000000" pitchFamily="2" charset="0"/>
            <a:ea typeface="Roboto" panose="02000000000000000000" pitchFamily="2" charset="0"/>
            <a:cs typeface="Poppins" panose="00000500000000000000" pitchFamily="2" charset="0"/>
          </a:endParaRPr>
        </a:p>
        <a:p xmlns:a="http://schemas.openxmlformats.org/drawingml/2006/main">
          <a:endParaRPr lang="pt-BR" sz="1400">
            <a:latin typeface="Poppins" panose="00000500000000000000" pitchFamily="2" charset="0"/>
            <a:ea typeface="Roboto" panose="02000000000000000000" pitchFamily="2" charset="0"/>
            <a:cs typeface="Poppins" panose="00000500000000000000" pitchFamily="2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34638</xdr:colOff>
      <xdr:row>30</xdr:row>
      <xdr:rowOff>57149</xdr:rowOff>
    </xdr:from>
    <xdr:to>
      <xdr:col>4</xdr:col>
      <xdr:colOff>952502</xdr:colOff>
      <xdr:row>57</xdr:row>
      <xdr:rowOff>43294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0556647-49F7-4684-8A8F-77AD7DB60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34638</xdr:colOff>
      <xdr:row>31</xdr:row>
      <xdr:rowOff>57149</xdr:rowOff>
    </xdr:from>
    <xdr:to>
      <xdr:col>4</xdr:col>
      <xdr:colOff>952502</xdr:colOff>
      <xdr:row>58</xdr:row>
      <xdr:rowOff>43294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AFD36F-F3D9-4D7E-98D0-9EF28AE46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Cartesian">
      <a:dk1>
        <a:srgbClr val="121212"/>
      </a:dk1>
      <a:lt1>
        <a:srgbClr val="F5F5F5"/>
      </a:lt1>
      <a:dk2>
        <a:srgbClr val="255AE5"/>
      </a:dk2>
      <a:lt2>
        <a:srgbClr val="FE3400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zoomScale="115" zoomScaleNormal="115" workbookViewId="0">
      <selection activeCell="A9" sqref="A9"/>
    </sheetView>
  </sheetViews>
  <sheetFormatPr defaultColWidth="9.140625" defaultRowHeight="21.75" x14ac:dyDescent="0.6"/>
  <cols>
    <col min="1" max="1" width="62" style="1" customWidth="1"/>
    <col min="2" max="2" width="22.28515625" style="2" customWidth="1"/>
    <col min="3" max="3" width="16.85546875" style="1" customWidth="1"/>
    <col min="4" max="4" width="23.5703125" style="3" customWidth="1"/>
    <col min="5" max="16384" width="9.140625" style="1"/>
  </cols>
  <sheetData>
    <row r="1" spans="1:6" ht="23.25" customHeight="1" x14ac:dyDescent="0.6">
      <c r="A1" s="67" t="s">
        <v>0</v>
      </c>
      <c r="B1" s="66" t="s">
        <v>41</v>
      </c>
      <c r="C1" s="66"/>
      <c r="D1" s="46" t="s">
        <v>8</v>
      </c>
    </row>
    <row r="2" spans="1:6" ht="20.25" customHeight="1" thickBot="1" x14ac:dyDescent="0.65">
      <c r="A2" s="68"/>
      <c r="B2" s="47" t="s">
        <v>13</v>
      </c>
      <c r="C2" s="48" t="s">
        <v>6</v>
      </c>
      <c r="D2" s="49" t="s">
        <v>6</v>
      </c>
      <c r="E2" s="1" t="s">
        <v>10</v>
      </c>
      <c r="F2" s="1" t="s">
        <v>11</v>
      </c>
    </row>
    <row r="3" spans="1:6" ht="13.15" customHeight="1" x14ac:dyDescent="0.6">
      <c r="A3" s="54" t="s">
        <v>22</v>
      </c>
      <c r="B3" s="55">
        <f>Executivo!B8</f>
        <v>3397992.54</v>
      </c>
      <c r="C3" s="55">
        <f>Executivo!D8</f>
        <v>249.73266786805149</v>
      </c>
      <c r="D3" s="56" t="s">
        <v>42</v>
      </c>
      <c r="E3" s="1">
        <v>180</v>
      </c>
      <c r="F3" s="1">
        <f>220-180</f>
        <v>40</v>
      </c>
    </row>
    <row r="4" spans="1:6" x14ac:dyDescent="0.6">
      <c r="A4" s="57" t="s">
        <v>23</v>
      </c>
      <c r="B4" s="58">
        <f>Executivo!B9</f>
        <v>9682667.8900000006</v>
      </c>
      <c r="C4" s="58">
        <f>Executivo!D9</f>
        <v>711.61971540114598</v>
      </c>
      <c r="D4" s="59" t="s">
        <v>57</v>
      </c>
      <c r="E4" s="1">
        <v>650</v>
      </c>
      <c r="F4" s="1">
        <v>50</v>
      </c>
    </row>
    <row r="5" spans="1:6" x14ac:dyDescent="0.6">
      <c r="A5" s="60" t="s">
        <v>24</v>
      </c>
      <c r="B5" s="61">
        <f>Executivo!B10</f>
        <v>1646319.68</v>
      </c>
      <c r="C5" s="61">
        <f>Executivo!D10</f>
        <v>120.99491126312972</v>
      </c>
      <c r="D5" s="62" t="s">
        <v>43</v>
      </c>
      <c r="E5" s="1">
        <v>85</v>
      </c>
      <c r="F5" s="1">
        <f>110-85</f>
        <v>25</v>
      </c>
    </row>
    <row r="6" spans="1:6" x14ac:dyDescent="0.6">
      <c r="A6" s="57" t="s">
        <v>25</v>
      </c>
      <c r="B6" s="58">
        <f>Executivo!B11</f>
        <v>730000</v>
      </c>
      <c r="C6" s="58">
        <f>Executivo!D11</f>
        <v>53.650749787601825</v>
      </c>
      <c r="D6" s="59" t="s">
        <v>44</v>
      </c>
      <c r="E6" s="1">
        <v>50</v>
      </c>
      <c r="F6" s="1">
        <v>10</v>
      </c>
    </row>
    <row r="7" spans="1:6" x14ac:dyDescent="0.6">
      <c r="A7" s="60" t="s">
        <v>26</v>
      </c>
      <c r="B7" s="61">
        <f>Executivo!B12</f>
        <v>1292092.9099999999</v>
      </c>
      <c r="C7" s="61">
        <f>Executivo!D12</f>
        <v>94.961306050334684</v>
      </c>
      <c r="D7" s="62" t="s">
        <v>45</v>
      </c>
      <c r="E7" s="1">
        <v>85</v>
      </c>
      <c r="F7" s="1">
        <v>10</v>
      </c>
    </row>
    <row r="8" spans="1:6" x14ac:dyDescent="0.6">
      <c r="A8" s="57" t="s">
        <v>27</v>
      </c>
      <c r="B8" s="58">
        <f>Executivo!B13</f>
        <v>1686748.07</v>
      </c>
      <c r="C8" s="58">
        <f>Executivo!D13</f>
        <v>123.96616254560314</v>
      </c>
      <c r="D8" s="59" t="s">
        <v>46</v>
      </c>
      <c r="E8" s="1">
        <v>120</v>
      </c>
      <c r="F8" s="1">
        <v>10</v>
      </c>
    </row>
    <row r="9" spans="1:6" x14ac:dyDescent="0.6">
      <c r="A9" s="60" t="s">
        <v>28</v>
      </c>
      <c r="B9" s="61">
        <f>Executivo!B14</f>
        <v>1786443.39</v>
      </c>
      <c r="C9" s="61">
        <f>Executivo!D14</f>
        <v>131.29318811863723</v>
      </c>
      <c r="D9" s="62" t="s">
        <v>47</v>
      </c>
      <c r="E9" s="1">
        <v>130</v>
      </c>
      <c r="F9" s="1">
        <v>20</v>
      </c>
    </row>
    <row r="10" spans="1:6" x14ac:dyDescent="0.6">
      <c r="A10" s="57" t="s">
        <v>29</v>
      </c>
      <c r="B10" s="58">
        <f>Executivo!B15</f>
        <v>790907.42</v>
      </c>
      <c r="C10" s="58">
        <f>Executivo!D15</f>
        <v>58.12709054188727</v>
      </c>
      <c r="D10" s="59" t="s">
        <v>48</v>
      </c>
      <c r="E10" s="1">
        <v>50</v>
      </c>
      <c r="F10" s="1">
        <v>20</v>
      </c>
    </row>
    <row r="11" spans="1:6" x14ac:dyDescent="0.6">
      <c r="A11" s="60" t="s">
        <v>30</v>
      </c>
      <c r="B11" s="61">
        <f>Executivo!B16</f>
        <v>126088.38</v>
      </c>
      <c r="C11" s="61">
        <f>Executivo!D16</f>
        <v>9.2667618171288471</v>
      </c>
      <c r="D11" s="62" t="s">
        <v>49</v>
      </c>
      <c r="E11" s="1">
        <v>5</v>
      </c>
      <c r="F11" s="1">
        <f>12-5</f>
        <v>7</v>
      </c>
    </row>
    <row r="12" spans="1:6" x14ac:dyDescent="0.6">
      <c r="A12" s="57" t="s">
        <v>31</v>
      </c>
      <c r="B12" s="58">
        <f>Executivo!B17</f>
        <v>1520144.09</v>
      </c>
      <c r="C12" s="58">
        <f>Executivo!D17</f>
        <v>111.72174001875571</v>
      </c>
      <c r="D12" s="59" t="s">
        <v>50</v>
      </c>
      <c r="E12" s="1">
        <v>110</v>
      </c>
      <c r="F12" s="1">
        <v>20</v>
      </c>
    </row>
    <row r="13" spans="1:6" x14ac:dyDescent="0.6">
      <c r="A13" s="60" t="s">
        <v>32</v>
      </c>
      <c r="B13" s="61">
        <f>Executivo!B18</f>
        <v>865460.86</v>
      </c>
      <c r="C13" s="61">
        <f>Executivo!D18</f>
        <v>63.606334316195465</v>
      </c>
      <c r="D13" s="62" t="s">
        <v>51</v>
      </c>
      <c r="E13" s="1">
        <v>60</v>
      </c>
      <c r="F13" s="1">
        <v>10</v>
      </c>
    </row>
    <row r="14" spans="1:6" x14ac:dyDescent="0.6">
      <c r="A14" s="57" t="s">
        <v>1</v>
      </c>
      <c r="B14" s="58">
        <f>Executivo!B19</f>
        <v>725394.87</v>
      </c>
      <c r="C14" s="58">
        <f>Executivo!D19</f>
        <v>53.312299544630072</v>
      </c>
      <c r="D14" s="59" t="s">
        <v>44</v>
      </c>
      <c r="E14" s="1">
        <v>50</v>
      </c>
      <c r="F14" s="1">
        <v>10</v>
      </c>
    </row>
    <row r="15" spans="1:6" x14ac:dyDescent="0.6">
      <c r="A15" s="60" t="s">
        <v>33</v>
      </c>
      <c r="B15" s="61">
        <f>Executivo!B20</f>
        <v>791971.26</v>
      </c>
      <c r="C15" s="61">
        <f>Executivo!D20</f>
        <v>58.205276587988699</v>
      </c>
      <c r="D15" s="62" t="s">
        <v>44</v>
      </c>
      <c r="E15" s="1">
        <v>50</v>
      </c>
      <c r="F15" s="1">
        <v>10</v>
      </c>
    </row>
    <row r="16" spans="1:6" x14ac:dyDescent="0.6">
      <c r="A16" s="57" t="s">
        <v>34</v>
      </c>
      <c r="B16" s="58">
        <f>Executivo!B21</f>
        <v>663739.54</v>
      </c>
      <c r="C16" s="58">
        <f>Executivo!D21</f>
        <v>48.780991759832787</v>
      </c>
      <c r="D16" s="59" t="s">
        <v>52</v>
      </c>
      <c r="E16" s="1">
        <v>40</v>
      </c>
      <c r="F16" s="1">
        <v>20</v>
      </c>
    </row>
    <row r="17" spans="1:6" x14ac:dyDescent="0.6">
      <c r="A17" s="60" t="s">
        <v>35</v>
      </c>
      <c r="B17" s="61">
        <f>Executivo!B22</f>
        <v>604375.15</v>
      </c>
      <c r="C17" s="61">
        <f>Executivo!D22</f>
        <v>44.418054726704554</v>
      </c>
      <c r="D17" s="62" t="s">
        <v>53</v>
      </c>
      <c r="E17" s="1">
        <v>30</v>
      </c>
      <c r="F17" s="1">
        <v>30</v>
      </c>
    </row>
    <row r="18" spans="1:6" x14ac:dyDescent="0.6">
      <c r="A18" s="57" t="s">
        <v>36</v>
      </c>
      <c r="B18" s="58">
        <f>Executivo!B23</f>
        <v>399342.98</v>
      </c>
      <c r="C18" s="58">
        <f>Executivo!D23</f>
        <v>29.349383971801753</v>
      </c>
      <c r="D18" s="59" t="s">
        <v>14</v>
      </c>
      <c r="E18" s="1">
        <v>35</v>
      </c>
      <c r="F18" s="1">
        <v>10</v>
      </c>
    </row>
    <row r="19" spans="1:6" x14ac:dyDescent="0.6">
      <c r="A19" s="60" t="s">
        <v>37</v>
      </c>
      <c r="B19" s="61">
        <f>Executivo!B24</f>
        <v>1926821.16</v>
      </c>
      <c r="C19" s="61">
        <f>Executivo!D24</f>
        <v>141.61013690495437</v>
      </c>
      <c r="D19" s="62" t="s">
        <v>54</v>
      </c>
      <c r="E19" s="1">
        <v>120</v>
      </c>
      <c r="F19" s="1">
        <v>20</v>
      </c>
    </row>
    <row r="20" spans="1:6" x14ac:dyDescent="0.6">
      <c r="A20" s="57" t="s">
        <v>38</v>
      </c>
      <c r="B20" s="58">
        <f>Executivo!B25</f>
        <v>998437.06</v>
      </c>
      <c r="C20" s="58">
        <f>Executivo!D25</f>
        <v>73.37931080099834</v>
      </c>
      <c r="D20" s="59" t="s">
        <v>55</v>
      </c>
      <c r="E20" s="1">
        <v>70</v>
      </c>
      <c r="F20" s="1">
        <v>10</v>
      </c>
    </row>
    <row r="21" spans="1:6" x14ac:dyDescent="0.6">
      <c r="A21" s="60" t="s">
        <v>39</v>
      </c>
      <c r="B21" s="61">
        <f>Executivo!B26</f>
        <v>1161425</v>
      </c>
      <c r="C21" s="61">
        <f>Executivo!D26</f>
        <v>85.357975441185545</v>
      </c>
      <c r="D21" s="62" t="s">
        <v>56</v>
      </c>
      <c r="E21" s="1">
        <v>80</v>
      </c>
      <c r="F21" s="1">
        <v>20</v>
      </c>
    </row>
    <row r="22" spans="1:6" ht="22.5" thickBot="1" x14ac:dyDescent="0.65">
      <c r="A22" s="63" t="s">
        <v>40</v>
      </c>
      <c r="B22" s="64">
        <f>Executivo!B27</f>
        <v>1225000</v>
      </c>
      <c r="C22" s="64">
        <f>Executivo!D27</f>
        <v>90.030367794263341</v>
      </c>
      <c r="D22" s="65" t="s">
        <v>9</v>
      </c>
      <c r="E22" s="1">
        <v>85</v>
      </c>
      <c r="F22" s="1">
        <f>120-85</f>
        <v>35</v>
      </c>
    </row>
    <row r="23" spans="1:6" ht="22.5" thickBot="1" x14ac:dyDescent="0.65">
      <c r="A23" s="50" t="s">
        <v>2</v>
      </c>
      <c r="B23" s="51">
        <f>SUM(B3:B22)</f>
        <v>32021372.25</v>
      </c>
      <c r="C23" s="52">
        <f>SUM(C3:C22)</f>
        <v>2353.384425260831</v>
      </c>
      <c r="D23" s="53" t="s">
        <v>15</v>
      </c>
    </row>
  </sheetData>
  <mergeCells count="2">
    <mergeCell ref="B1:C1"/>
    <mergeCell ref="A1:A2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zoomScaleNormal="100" workbookViewId="0">
      <selection activeCell="A25" sqref="A25"/>
    </sheetView>
  </sheetViews>
  <sheetFormatPr defaultColWidth="9.140625" defaultRowHeight="19.5" x14ac:dyDescent="0.25"/>
  <cols>
    <col min="1" max="1" width="64.42578125" style="4" bestFit="1" customWidth="1"/>
    <col min="2" max="2" width="18.5703125" style="4" bestFit="1" customWidth="1"/>
    <col min="3" max="3" width="14.28515625" style="4" customWidth="1"/>
    <col min="4" max="4" width="15.140625" style="4" customWidth="1"/>
    <col min="5" max="5" width="20.7109375" style="4" customWidth="1"/>
    <col min="6" max="6" width="9.140625" style="4"/>
    <col min="7" max="7" width="13.140625" style="4" bestFit="1" customWidth="1"/>
    <col min="8" max="8" width="11.140625" style="4" bestFit="1" customWidth="1"/>
    <col min="9" max="16384" width="9.140625" style="4"/>
  </cols>
  <sheetData>
    <row r="1" spans="1:8" ht="22.5" customHeight="1" thickBot="1" x14ac:dyDescent="0.3">
      <c r="A1" s="43" t="s">
        <v>0</v>
      </c>
      <c r="B1" s="44" t="s">
        <v>4</v>
      </c>
      <c r="C1" s="44" t="s">
        <v>5</v>
      </c>
      <c r="D1" s="44" t="s">
        <v>6</v>
      </c>
      <c r="E1" s="45" t="s">
        <v>7</v>
      </c>
    </row>
    <row r="2" spans="1:8" ht="17.25" customHeight="1" x14ac:dyDescent="0.25">
      <c r="A2" s="38" t="s">
        <v>16</v>
      </c>
      <c r="B2" s="39">
        <v>607349.52</v>
      </c>
      <c r="C2" s="40">
        <f>B2/$B$28</f>
        <v>1.7141338262931915E-2</v>
      </c>
      <c r="D2" s="41">
        <f>B2/$G$4</f>
        <v>44.636653604301465</v>
      </c>
      <c r="E2" s="42">
        <f>B2/G$5</f>
        <v>13803.398181818182</v>
      </c>
      <c r="G2" s="5"/>
    </row>
    <row r="3" spans="1:8" ht="17.25" customHeight="1" x14ac:dyDescent="0.25">
      <c r="A3" s="10" t="s">
        <v>17</v>
      </c>
      <c r="B3" s="11">
        <v>103500</v>
      </c>
      <c r="C3" s="12">
        <f t="shared" ref="C3:C27" si="0">B3/$B$28</f>
        <v>2.9210997157179826E-3</v>
      </c>
      <c r="D3" s="13">
        <f t="shared" ref="D3:D27" si="1">B3/$G$4</f>
        <v>7.6066474013928618</v>
      </c>
      <c r="E3" s="14">
        <f t="shared" ref="E3:E27" si="2">B3/G$5</f>
        <v>2352.2727272727275</v>
      </c>
    </row>
    <row r="4" spans="1:8" ht="17.25" customHeight="1" x14ac:dyDescent="0.25">
      <c r="A4" s="15" t="s">
        <v>18</v>
      </c>
      <c r="B4" s="16">
        <v>142750</v>
      </c>
      <c r="C4" s="17">
        <f t="shared" si="0"/>
        <v>4.0288597528380871E-3</v>
      </c>
      <c r="D4" s="18">
        <f t="shared" si="1"/>
        <v>10.49129387969885</v>
      </c>
      <c r="E4" s="19">
        <f t="shared" si="2"/>
        <v>3244.318181818182</v>
      </c>
      <c r="G4" s="4">
        <v>13606.52</v>
      </c>
    </row>
    <row r="5" spans="1:8" ht="17.25" customHeight="1" x14ac:dyDescent="0.25">
      <c r="A5" s="10" t="s">
        <v>19</v>
      </c>
      <c r="B5" s="11">
        <v>1510800</v>
      </c>
      <c r="C5" s="12">
        <f t="shared" si="0"/>
        <v>4.2639588893784816E-2</v>
      </c>
      <c r="D5" s="11">
        <f t="shared" si="1"/>
        <v>111.0350038069984</v>
      </c>
      <c r="E5" s="20">
        <f t="shared" si="2"/>
        <v>34336.36363636364</v>
      </c>
      <c r="G5" s="4">
        <v>44</v>
      </c>
      <c r="H5" s="8"/>
    </row>
    <row r="6" spans="1:8" ht="17.25" customHeight="1" x14ac:dyDescent="0.25">
      <c r="A6" s="15" t="s">
        <v>20</v>
      </c>
      <c r="B6" s="16">
        <v>462539.96</v>
      </c>
      <c r="C6" s="17">
        <f t="shared" si="0"/>
        <v>1.305435116583775E-2</v>
      </c>
      <c r="D6" s="18">
        <f t="shared" si="1"/>
        <v>33.9939940557909</v>
      </c>
      <c r="E6" s="19">
        <f t="shared" si="2"/>
        <v>10512.271818181818</v>
      </c>
      <c r="H6" s="8"/>
    </row>
    <row r="7" spans="1:8" ht="17.25" customHeight="1" x14ac:dyDescent="0.25">
      <c r="A7" s="10" t="s">
        <v>21</v>
      </c>
      <c r="B7" s="11">
        <v>583549.57999999996</v>
      </c>
      <c r="C7" s="12">
        <f t="shared" si="0"/>
        <v>1.6469628137636215E-2</v>
      </c>
      <c r="D7" s="11">
        <f t="shared" si="1"/>
        <v>42.887496582520725</v>
      </c>
      <c r="E7" s="20">
        <f t="shared" si="2"/>
        <v>13262.490454545454</v>
      </c>
      <c r="H7" s="8"/>
    </row>
    <row r="8" spans="1:8" ht="17.25" customHeight="1" x14ac:dyDescent="0.25">
      <c r="A8" s="15" t="s">
        <v>22</v>
      </c>
      <c r="B8" s="16">
        <v>3397992.54</v>
      </c>
      <c r="C8" s="17">
        <f t="shared" si="0"/>
        <v>9.5902174324693973E-2</v>
      </c>
      <c r="D8" s="18">
        <f t="shared" si="1"/>
        <v>249.73266786805149</v>
      </c>
      <c r="E8" s="19">
        <f t="shared" si="2"/>
        <v>77227.10318181818</v>
      </c>
      <c r="H8" s="8"/>
    </row>
    <row r="9" spans="1:8" ht="17.25" customHeight="1" x14ac:dyDescent="0.25">
      <c r="A9" s="10" t="s">
        <v>23</v>
      </c>
      <c r="B9" s="11">
        <v>9682667.8900000006</v>
      </c>
      <c r="C9" s="12">
        <f t="shared" si="0"/>
        <v>0.27327573353498202</v>
      </c>
      <c r="D9" s="11">
        <f t="shared" si="1"/>
        <v>711.61971540114598</v>
      </c>
      <c r="E9" s="20">
        <f t="shared" si="2"/>
        <v>220060.63386363638</v>
      </c>
      <c r="H9" s="8"/>
    </row>
    <row r="10" spans="1:8" ht="17.25" customHeight="1" x14ac:dyDescent="0.25">
      <c r="A10" s="15" t="s">
        <v>24</v>
      </c>
      <c r="B10" s="16">
        <v>1646319.68</v>
      </c>
      <c r="C10" s="17">
        <f t="shared" si="0"/>
        <v>4.6464385982888115E-2</v>
      </c>
      <c r="D10" s="18">
        <f t="shared" si="1"/>
        <v>120.99491126312972</v>
      </c>
      <c r="E10" s="19">
        <f t="shared" si="2"/>
        <v>37416.356363636361</v>
      </c>
      <c r="H10" s="9"/>
    </row>
    <row r="11" spans="1:8" ht="17.25" customHeight="1" x14ac:dyDescent="0.25">
      <c r="A11" s="10" t="s">
        <v>25</v>
      </c>
      <c r="B11" s="11">
        <v>730000</v>
      </c>
      <c r="C11" s="12">
        <f t="shared" si="0"/>
        <v>2.0602925531150989E-2</v>
      </c>
      <c r="D11" s="11">
        <f t="shared" si="1"/>
        <v>53.650749787601825</v>
      </c>
      <c r="E11" s="20">
        <f t="shared" si="2"/>
        <v>16590.909090909092</v>
      </c>
      <c r="H11" s="8"/>
    </row>
    <row r="12" spans="1:8" ht="17.25" customHeight="1" x14ac:dyDescent="0.25">
      <c r="A12" s="15" t="s">
        <v>26</v>
      </c>
      <c r="B12" s="16">
        <v>1292092.9099999999</v>
      </c>
      <c r="C12" s="17">
        <f t="shared" si="0"/>
        <v>3.6466978087750929E-2</v>
      </c>
      <c r="D12" s="18">
        <f t="shared" si="1"/>
        <v>94.961306050334684</v>
      </c>
      <c r="E12" s="19">
        <f t="shared" si="2"/>
        <v>29365.747954545452</v>
      </c>
      <c r="H12" s="8"/>
    </row>
    <row r="13" spans="1:8" ht="17.25" customHeight="1" x14ac:dyDescent="0.25">
      <c r="A13" s="10" t="s">
        <v>27</v>
      </c>
      <c r="B13" s="11">
        <v>1686748.07</v>
      </c>
      <c r="C13" s="12">
        <f t="shared" si="0"/>
        <v>4.7605403939757068E-2</v>
      </c>
      <c r="D13" s="11">
        <f t="shared" si="1"/>
        <v>123.96616254560314</v>
      </c>
      <c r="E13" s="20">
        <f t="shared" si="2"/>
        <v>38335.183409090911</v>
      </c>
      <c r="H13" s="8"/>
    </row>
    <row r="14" spans="1:8" ht="17.45" customHeight="1" x14ac:dyDescent="0.25">
      <c r="A14" s="15" t="s">
        <v>28</v>
      </c>
      <c r="B14" s="16">
        <v>1786443.39</v>
      </c>
      <c r="C14" s="17">
        <f t="shared" si="0"/>
        <v>5.0419123465461541E-2</v>
      </c>
      <c r="D14" s="18">
        <f t="shared" si="1"/>
        <v>131.29318811863723</v>
      </c>
      <c r="E14" s="19">
        <f t="shared" si="2"/>
        <v>40600.986136363637</v>
      </c>
      <c r="H14" s="8"/>
    </row>
    <row r="15" spans="1:8" ht="17.25" customHeight="1" x14ac:dyDescent="0.25">
      <c r="A15" s="10" t="s">
        <v>29</v>
      </c>
      <c r="B15" s="11">
        <v>790907.42</v>
      </c>
      <c r="C15" s="12">
        <f t="shared" si="0"/>
        <v>2.2321926953828439E-2</v>
      </c>
      <c r="D15" s="11">
        <f t="shared" si="1"/>
        <v>58.12709054188727</v>
      </c>
      <c r="E15" s="20">
        <f t="shared" si="2"/>
        <v>17975.168636363636</v>
      </c>
      <c r="H15" s="8"/>
    </row>
    <row r="16" spans="1:8" ht="17.25" customHeight="1" x14ac:dyDescent="0.25">
      <c r="A16" s="21" t="s">
        <v>30</v>
      </c>
      <c r="B16" s="22">
        <v>126088.38</v>
      </c>
      <c r="C16" s="23">
        <f t="shared" si="0"/>
        <v>3.5586157581965314E-3</v>
      </c>
      <c r="D16" s="24">
        <f t="shared" si="1"/>
        <v>9.2667618171288471</v>
      </c>
      <c r="E16" s="25">
        <f t="shared" si="2"/>
        <v>2865.645</v>
      </c>
      <c r="H16" s="8"/>
    </row>
    <row r="17" spans="1:8" ht="17.25" customHeight="1" x14ac:dyDescent="0.25">
      <c r="A17" s="10" t="s">
        <v>31</v>
      </c>
      <c r="B17" s="11">
        <v>1520144.09</v>
      </c>
      <c r="C17" s="12">
        <f t="shared" si="0"/>
        <v>4.290330888067026E-2</v>
      </c>
      <c r="D17" s="11">
        <f t="shared" si="1"/>
        <v>111.72174001875571</v>
      </c>
      <c r="E17" s="20">
        <f t="shared" si="2"/>
        <v>34548.729318181817</v>
      </c>
      <c r="H17" s="8"/>
    </row>
    <row r="18" spans="1:8" ht="17.25" customHeight="1" x14ac:dyDescent="0.25">
      <c r="A18" s="21" t="s">
        <v>32</v>
      </c>
      <c r="B18" s="22">
        <v>865460.86</v>
      </c>
      <c r="C18" s="23">
        <f t="shared" si="0"/>
        <v>2.4426062532473824E-2</v>
      </c>
      <c r="D18" s="24">
        <f t="shared" si="1"/>
        <v>63.606334316195465</v>
      </c>
      <c r="E18" s="25">
        <f t="shared" si="2"/>
        <v>19669.564999999999</v>
      </c>
      <c r="H18" s="8"/>
    </row>
    <row r="19" spans="1:8" ht="17.25" customHeight="1" x14ac:dyDescent="0.25">
      <c r="A19" s="10" t="s">
        <v>1</v>
      </c>
      <c r="B19" s="11">
        <v>725394.87</v>
      </c>
      <c r="C19" s="12">
        <f t="shared" si="0"/>
        <v>2.0472954092176646E-2</v>
      </c>
      <c r="D19" s="11">
        <f t="shared" si="1"/>
        <v>53.312299544630072</v>
      </c>
      <c r="E19" s="20">
        <f t="shared" si="2"/>
        <v>16486.247045454544</v>
      </c>
      <c r="H19" s="8"/>
    </row>
    <row r="20" spans="1:8" ht="17.25" customHeight="1" x14ac:dyDescent="0.25">
      <c r="A20" s="21" t="s">
        <v>33</v>
      </c>
      <c r="B20" s="22">
        <v>791971.26</v>
      </c>
      <c r="C20" s="23">
        <f t="shared" si="0"/>
        <v>2.2351951907660025E-2</v>
      </c>
      <c r="D20" s="24">
        <f t="shared" si="1"/>
        <v>58.205276587988699</v>
      </c>
      <c r="E20" s="25">
        <f t="shared" si="2"/>
        <v>17999.346818181817</v>
      </c>
      <c r="H20" s="8"/>
    </row>
    <row r="21" spans="1:8" ht="17.25" customHeight="1" x14ac:dyDescent="0.25">
      <c r="A21" s="10" t="s">
        <v>34</v>
      </c>
      <c r="B21" s="11">
        <v>663739.54</v>
      </c>
      <c r="C21" s="12">
        <f t="shared" si="0"/>
        <v>1.8732844266712897E-2</v>
      </c>
      <c r="D21" s="11">
        <f t="shared" si="1"/>
        <v>48.780991759832787</v>
      </c>
      <c r="E21" s="20">
        <f t="shared" si="2"/>
        <v>15084.989545454546</v>
      </c>
      <c r="H21" s="8"/>
    </row>
    <row r="22" spans="1:8" ht="17.25" customHeight="1" x14ac:dyDescent="0.25">
      <c r="A22" s="21" t="s">
        <v>35</v>
      </c>
      <c r="B22" s="22">
        <v>604375.15</v>
      </c>
      <c r="C22" s="23">
        <f t="shared" si="0"/>
        <v>1.7057392066203027E-2</v>
      </c>
      <c r="D22" s="24">
        <f t="shared" si="1"/>
        <v>44.418054726704554</v>
      </c>
      <c r="E22" s="25">
        <f t="shared" si="2"/>
        <v>13735.798863636364</v>
      </c>
      <c r="H22" s="8"/>
    </row>
    <row r="23" spans="1:8" ht="17.25" customHeight="1" x14ac:dyDescent="0.25">
      <c r="A23" s="10" t="s">
        <v>36</v>
      </c>
      <c r="B23" s="11">
        <v>399342.98</v>
      </c>
      <c r="C23" s="12">
        <f t="shared" si="0"/>
        <v>1.1270731066202628E-2</v>
      </c>
      <c r="D23" s="11">
        <f t="shared" si="1"/>
        <v>29.349383971801753</v>
      </c>
      <c r="E23" s="20">
        <f t="shared" si="2"/>
        <v>9075.9768181818181</v>
      </c>
      <c r="H23" s="8"/>
    </row>
    <row r="24" spans="1:8" ht="17.25" customHeight="1" x14ac:dyDescent="0.25">
      <c r="A24" s="21" t="s">
        <v>37</v>
      </c>
      <c r="B24" s="22">
        <v>1926821.16</v>
      </c>
      <c r="C24" s="23">
        <f t="shared" si="0"/>
        <v>5.4381031330583515E-2</v>
      </c>
      <c r="D24" s="24">
        <f t="shared" si="1"/>
        <v>141.61013690495437</v>
      </c>
      <c r="E24" s="25">
        <f t="shared" si="2"/>
        <v>43791.39</v>
      </c>
      <c r="H24" s="8"/>
    </row>
    <row r="25" spans="1:8" ht="17.25" customHeight="1" x14ac:dyDescent="0.25">
      <c r="A25" s="10" t="s">
        <v>38</v>
      </c>
      <c r="B25" s="11">
        <v>998437.06</v>
      </c>
      <c r="C25" s="12">
        <f t="shared" si="0"/>
        <v>2.8179074513316894E-2</v>
      </c>
      <c r="D25" s="11">
        <f t="shared" si="1"/>
        <v>73.37931080099834</v>
      </c>
      <c r="E25" s="20">
        <f t="shared" si="2"/>
        <v>22691.751363636366</v>
      </c>
      <c r="H25" s="8"/>
    </row>
    <row r="26" spans="1:8" ht="17.25" customHeight="1" x14ac:dyDescent="0.25">
      <c r="A26" s="21" t="s">
        <v>39</v>
      </c>
      <c r="B26" s="22">
        <v>1161425</v>
      </c>
      <c r="C26" s="23">
        <f t="shared" si="0"/>
        <v>3.2779113404132927E-2</v>
      </c>
      <c r="D26" s="24">
        <f t="shared" si="1"/>
        <v>85.357975441185545</v>
      </c>
      <c r="E26" s="25">
        <f t="shared" si="2"/>
        <v>26396.022727272728</v>
      </c>
      <c r="H26" s="8"/>
    </row>
    <row r="27" spans="1:8" ht="17.25" customHeight="1" thickBot="1" x14ac:dyDescent="0.3">
      <c r="A27" s="30" t="s">
        <v>40</v>
      </c>
      <c r="B27" s="31">
        <v>1225000</v>
      </c>
      <c r="C27" s="32">
        <f t="shared" si="0"/>
        <v>3.4573402432410909E-2</v>
      </c>
      <c r="D27" s="31">
        <f t="shared" si="1"/>
        <v>90.030367794263341</v>
      </c>
      <c r="E27" s="33">
        <f t="shared" si="2"/>
        <v>27840.909090909092</v>
      </c>
      <c r="H27" s="8"/>
    </row>
    <row r="28" spans="1:8" ht="22.5" customHeight="1" x14ac:dyDescent="0.25">
      <c r="A28" s="34" t="s">
        <v>2</v>
      </c>
      <c r="B28" s="35">
        <f>SUM(B2:B27)</f>
        <v>35431861.310000002</v>
      </c>
      <c r="C28" s="36">
        <f>SUM(C2:C27)</f>
        <v>0.99999999999999978</v>
      </c>
      <c r="D28" s="35">
        <f>SUM(D2:D27)</f>
        <v>2604.0355145915341</v>
      </c>
      <c r="E28" s="37">
        <f>SUM(E2:E27)</f>
        <v>805269.57522727258</v>
      </c>
    </row>
    <row r="29" spans="1:8" ht="22.5" customHeight="1" thickBot="1" x14ac:dyDescent="0.3">
      <c r="A29" s="26" t="s">
        <v>3</v>
      </c>
      <c r="B29" s="27">
        <v>2307.92</v>
      </c>
      <c r="C29" s="28">
        <v>44378</v>
      </c>
      <c r="D29" s="27">
        <f>+D28/B29</f>
        <v>1.128304063655384</v>
      </c>
      <c r="E29" s="29" t="s">
        <v>12</v>
      </c>
    </row>
    <row r="30" spans="1:8" ht="15" customHeight="1" x14ac:dyDescent="0.25">
      <c r="G30" s="6"/>
    </row>
    <row r="31" spans="1:8" x14ac:dyDescent="0.25">
      <c r="B31" s="7"/>
    </row>
    <row r="32" spans="1:8" x14ac:dyDescent="0.25">
      <c r="G32" s="7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22D1-1BA8-42DD-8830-F2E583980BF4}">
  <dimension ref="A1:I33"/>
  <sheetViews>
    <sheetView tabSelected="1" topLeftCell="A22" zoomScaleNormal="100" workbookViewId="0">
      <selection activeCell="H34" sqref="H34"/>
    </sheetView>
  </sheetViews>
  <sheetFormatPr defaultColWidth="9.140625" defaultRowHeight="19.5" x14ac:dyDescent="0.25"/>
  <cols>
    <col min="1" max="1" width="64.42578125" style="4" bestFit="1" customWidth="1"/>
    <col min="2" max="2" width="18.5703125" style="4" bestFit="1" customWidth="1"/>
    <col min="3" max="3" width="14.28515625" style="4" customWidth="1"/>
    <col min="4" max="4" width="15.140625" style="4" customWidth="1"/>
    <col min="5" max="5" width="20.7109375" style="4" customWidth="1"/>
    <col min="6" max="6" width="9.140625" style="4"/>
    <col min="7" max="7" width="13.140625" style="4" bestFit="1" customWidth="1"/>
    <col min="8" max="8" width="15.140625" style="4" bestFit="1" customWidth="1"/>
    <col min="9" max="16384" width="9.140625" style="4"/>
  </cols>
  <sheetData>
    <row r="1" spans="1:8" ht="22.5" customHeight="1" thickBot="1" x14ac:dyDescent="0.3">
      <c r="A1" s="43" t="s">
        <v>0</v>
      </c>
      <c r="B1" s="44" t="s">
        <v>4</v>
      </c>
      <c r="C1" s="44" t="s">
        <v>5</v>
      </c>
      <c r="D1" s="44" t="s">
        <v>6</v>
      </c>
      <c r="E1" s="45" t="s">
        <v>7</v>
      </c>
    </row>
    <row r="2" spans="1:8" ht="17.25" customHeight="1" x14ac:dyDescent="0.25">
      <c r="A2" s="77" t="s">
        <v>23</v>
      </c>
      <c r="B2" s="78">
        <v>9682667.8900000006</v>
      </c>
      <c r="C2" s="79">
        <f>B2/$B$29</f>
        <v>0.27327573353498202</v>
      </c>
      <c r="D2" s="78">
        <f>B2/$G$4</f>
        <v>711.61971540114598</v>
      </c>
      <c r="E2" s="81">
        <f>B2/G$5</f>
        <v>220060.63386363638</v>
      </c>
      <c r="G2" s="5"/>
    </row>
    <row r="3" spans="1:8" ht="17.25" customHeight="1" x14ac:dyDescent="0.25">
      <c r="A3" s="15" t="s">
        <v>22</v>
      </c>
      <c r="B3" s="16">
        <v>3397992.54</v>
      </c>
      <c r="C3" s="17">
        <f>B3/$B$29</f>
        <v>9.5902174324693973E-2</v>
      </c>
      <c r="D3" s="18">
        <f>B3/$G$4</f>
        <v>249.73266786805149</v>
      </c>
      <c r="E3" s="19">
        <f>B3/G$5</f>
        <v>77227.10318181818</v>
      </c>
    </row>
    <row r="4" spans="1:8" ht="17.25" customHeight="1" x14ac:dyDescent="0.25">
      <c r="A4" s="15" t="s">
        <v>37</v>
      </c>
      <c r="B4" s="16">
        <v>1926821.16</v>
      </c>
      <c r="C4" s="17">
        <f>B4/$B$29</f>
        <v>5.4381031330583515E-2</v>
      </c>
      <c r="D4" s="18">
        <f>B4/$G$4</f>
        <v>141.61013690495437</v>
      </c>
      <c r="E4" s="19">
        <f>B4/G$5</f>
        <v>43791.39</v>
      </c>
      <c r="G4" s="4">
        <v>13606.52</v>
      </c>
    </row>
    <row r="5" spans="1:8" ht="17.25" customHeight="1" x14ac:dyDescent="0.25">
      <c r="A5" s="15" t="s">
        <v>28</v>
      </c>
      <c r="B5" s="16">
        <v>1786443.39</v>
      </c>
      <c r="C5" s="17">
        <f>B5/$B$29</f>
        <v>5.0419123465461541E-2</v>
      </c>
      <c r="D5" s="18">
        <f>B5/$G$4</f>
        <v>131.29318811863723</v>
      </c>
      <c r="E5" s="19">
        <f>B5/G$5</f>
        <v>40600.986136363637</v>
      </c>
      <c r="G5" s="4">
        <v>44</v>
      </c>
      <c r="H5" s="8"/>
    </row>
    <row r="6" spans="1:8" ht="17.25" customHeight="1" x14ac:dyDescent="0.25">
      <c r="A6" s="10" t="s">
        <v>27</v>
      </c>
      <c r="B6" s="11">
        <v>1686748.07</v>
      </c>
      <c r="C6" s="12">
        <f>B6/$B$29</f>
        <v>4.7605403939757068E-2</v>
      </c>
      <c r="D6" s="11">
        <f>B6/$G$4</f>
        <v>123.96616254560314</v>
      </c>
      <c r="E6" s="20">
        <f>B6/G$5</f>
        <v>38335.183409090911</v>
      </c>
      <c r="H6" s="8"/>
    </row>
    <row r="7" spans="1:8" ht="17.25" customHeight="1" x14ac:dyDescent="0.25">
      <c r="A7" s="15" t="s">
        <v>24</v>
      </c>
      <c r="B7" s="16">
        <v>1646319.68</v>
      </c>
      <c r="C7" s="17">
        <f>B7/$B$29</f>
        <v>4.6464385982888115E-2</v>
      </c>
      <c r="D7" s="18">
        <f>B7/$G$4</f>
        <v>120.99491126312972</v>
      </c>
      <c r="E7" s="19">
        <f>B7/G$5</f>
        <v>37416.356363636361</v>
      </c>
      <c r="H7" s="8"/>
    </row>
    <row r="8" spans="1:8" ht="17.25" customHeight="1" x14ac:dyDescent="0.25">
      <c r="A8" s="10" t="s">
        <v>31</v>
      </c>
      <c r="B8" s="11">
        <v>1520144.09</v>
      </c>
      <c r="C8" s="12">
        <f>B8/$B$29</f>
        <v>4.290330888067026E-2</v>
      </c>
      <c r="D8" s="11">
        <f>B8/$G$4</f>
        <v>111.72174001875571</v>
      </c>
      <c r="E8" s="20">
        <f>B8/G$5</f>
        <v>34548.729318181817</v>
      </c>
      <c r="H8" s="8"/>
    </row>
    <row r="9" spans="1:8" ht="17.25" customHeight="1" x14ac:dyDescent="0.25">
      <c r="A9" s="10" t="s">
        <v>19</v>
      </c>
      <c r="B9" s="11">
        <v>1510800</v>
      </c>
      <c r="C9" s="12">
        <f>B9/$B$29</f>
        <v>4.2639588893784816E-2</v>
      </c>
      <c r="D9" s="11">
        <f>B9/$G$4</f>
        <v>111.0350038069984</v>
      </c>
      <c r="E9" s="20">
        <f>B9/G$5</f>
        <v>34336.36363636364</v>
      </c>
      <c r="H9" s="8"/>
    </row>
    <row r="10" spans="1:8" ht="17.25" customHeight="1" x14ac:dyDescent="0.25">
      <c r="A10" s="15" t="s">
        <v>26</v>
      </c>
      <c r="B10" s="16">
        <v>1292092.9099999999</v>
      </c>
      <c r="C10" s="17">
        <f>B10/$B$29</f>
        <v>3.6466978087750929E-2</v>
      </c>
      <c r="D10" s="18">
        <f>B10/$G$4</f>
        <v>94.961306050334684</v>
      </c>
      <c r="E10" s="19">
        <f>B10/G$5</f>
        <v>29365.747954545452</v>
      </c>
      <c r="H10" s="9"/>
    </row>
    <row r="11" spans="1:8" ht="17.25" customHeight="1" x14ac:dyDescent="0.25">
      <c r="A11" s="10" t="s">
        <v>40</v>
      </c>
      <c r="B11" s="11">
        <v>1225000</v>
      </c>
      <c r="C11" s="12">
        <f>B11/$B$29</f>
        <v>3.4573402432410909E-2</v>
      </c>
      <c r="D11" s="11">
        <f>B11/$G$4</f>
        <v>90.030367794263341</v>
      </c>
      <c r="E11" s="20">
        <f>B11/G$5</f>
        <v>27840.909090909092</v>
      </c>
      <c r="H11" s="8"/>
    </row>
    <row r="12" spans="1:8" ht="17.25" customHeight="1" x14ac:dyDescent="0.25">
      <c r="A12" s="15" t="s">
        <v>39</v>
      </c>
      <c r="B12" s="16">
        <v>1161425</v>
      </c>
      <c r="C12" s="17">
        <f>B12/$B$29</f>
        <v>3.2779113404132927E-2</v>
      </c>
      <c r="D12" s="18">
        <f>B12/$G$4</f>
        <v>85.357975441185545</v>
      </c>
      <c r="E12" s="19">
        <f>B12/G$5</f>
        <v>26396.022727272728</v>
      </c>
      <c r="H12" s="8"/>
    </row>
    <row r="13" spans="1:8" ht="17.25" customHeight="1" x14ac:dyDescent="0.25">
      <c r="A13" s="10" t="s">
        <v>38</v>
      </c>
      <c r="B13" s="11">
        <v>998437.06</v>
      </c>
      <c r="C13" s="12">
        <f>B13/$B$29</f>
        <v>2.8179074513316894E-2</v>
      </c>
      <c r="D13" s="11">
        <f>B13/$G$4</f>
        <v>73.37931080099834</v>
      </c>
      <c r="E13" s="20">
        <f>B13/G$5</f>
        <v>22691.751363636366</v>
      </c>
      <c r="H13" s="8"/>
    </row>
    <row r="14" spans="1:8" ht="17.45" customHeight="1" x14ac:dyDescent="0.25">
      <c r="A14" s="15" t="s">
        <v>32</v>
      </c>
      <c r="B14" s="16">
        <v>865460.86</v>
      </c>
      <c r="C14" s="17">
        <f>B14/$B$29</f>
        <v>2.4426062532473824E-2</v>
      </c>
      <c r="D14" s="18">
        <f>B14/$G$4</f>
        <v>63.606334316195465</v>
      </c>
      <c r="E14" s="19">
        <f>B14/G$5</f>
        <v>19669.564999999999</v>
      </c>
      <c r="H14" s="8"/>
    </row>
    <row r="15" spans="1:8" ht="17.25" customHeight="1" x14ac:dyDescent="0.25">
      <c r="A15" s="15" t="s">
        <v>33</v>
      </c>
      <c r="B15" s="16">
        <v>791971.26</v>
      </c>
      <c r="C15" s="17">
        <f>B15/$B$29</f>
        <v>2.2351951907660025E-2</v>
      </c>
      <c r="D15" s="18">
        <f>B15/$G$4</f>
        <v>58.205276587988699</v>
      </c>
      <c r="E15" s="19">
        <f>B15/G$5</f>
        <v>17999.346818181817</v>
      </c>
      <c r="H15" s="8"/>
    </row>
    <row r="16" spans="1:8" ht="17.25" customHeight="1" x14ac:dyDescent="0.25">
      <c r="A16" s="69" t="s">
        <v>29</v>
      </c>
      <c r="B16" s="70">
        <v>790907.42</v>
      </c>
      <c r="C16" s="71">
        <f>B16/$B$29</f>
        <v>2.2321926953828439E-2</v>
      </c>
      <c r="D16" s="70">
        <f>B16/$G$4</f>
        <v>58.12709054188727</v>
      </c>
      <c r="E16" s="72">
        <f>B16/G$5</f>
        <v>17975.168636363636</v>
      </c>
      <c r="H16" s="8"/>
    </row>
    <row r="17" spans="1:9" ht="17.25" customHeight="1" x14ac:dyDescent="0.25">
      <c r="A17" s="10" t="s">
        <v>25</v>
      </c>
      <c r="B17" s="11">
        <v>730000</v>
      </c>
      <c r="C17" s="12">
        <f>B17/$B$29</f>
        <v>2.0602925531150989E-2</v>
      </c>
      <c r="D17" s="11">
        <f>B17/$G$4</f>
        <v>53.650749787601825</v>
      </c>
      <c r="E17" s="20">
        <f>B17/G$5</f>
        <v>16590.909090909092</v>
      </c>
      <c r="H17" s="8"/>
    </row>
    <row r="18" spans="1:9" ht="17.25" customHeight="1" x14ac:dyDescent="0.25">
      <c r="A18" s="69" t="s">
        <v>1</v>
      </c>
      <c r="B18" s="70">
        <v>725394.87</v>
      </c>
      <c r="C18" s="71">
        <f>B18/$B$29</f>
        <v>2.0472954092176646E-2</v>
      </c>
      <c r="D18" s="70">
        <f>B18/$G$4</f>
        <v>53.312299544630072</v>
      </c>
      <c r="E18" s="72">
        <f>B18/G$5</f>
        <v>16486.247045454544</v>
      </c>
      <c r="H18" s="8"/>
    </row>
    <row r="19" spans="1:9" ht="17.25" customHeight="1" x14ac:dyDescent="0.25">
      <c r="A19" s="10" t="s">
        <v>34</v>
      </c>
      <c r="B19" s="11">
        <v>663739.54</v>
      </c>
      <c r="C19" s="12">
        <f>B19/$B$29</f>
        <v>1.8732844266712897E-2</v>
      </c>
      <c r="D19" s="11">
        <f>B19/$G$4</f>
        <v>48.780991759832787</v>
      </c>
      <c r="E19" s="20">
        <f>B19/G$5</f>
        <v>15084.989545454546</v>
      </c>
      <c r="H19" s="8"/>
    </row>
    <row r="20" spans="1:9" ht="17.25" customHeight="1" x14ac:dyDescent="0.25">
      <c r="A20" s="21" t="s">
        <v>16</v>
      </c>
      <c r="B20" s="22">
        <v>607349.52</v>
      </c>
      <c r="C20" s="23">
        <f>B20/$B$29</f>
        <v>1.7141338262931915E-2</v>
      </c>
      <c r="D20" s="24">
        <f>B20/$G$4</f>
        <v>44.636653604301465</v>
      </c>
      <c r="E20" s="25">
        <f>B20/G$5</f>
        <v>13803.398181818182</v>
      </c>
      <c r="H20" s="8"/>
    </row>
    <row r="21" spans="1:9" ht="17.25" customHeight="1" x14ac:dyDescent="0.25">
      <c r="A21" s="15" t="s">
        <v>35</v>
      </c>
      <c r="B21" s="16">
        <v>604375.15</v>
      </c>
      <c r="C21" s="17">
        <f>B21/$B$29</f>
        <v>1.7057392066203027E-2</v>
      </c>
      <c r="D21" s="18">
        <f>B21/$G$4</f>
        <v>44.418054726704554</v>
      </c>
      <c r="E21" s="19">
        <f>B21/G$5</f>
        <v>13735.798863636364</v>
      </c>
      <c r="H21" s="8"/>
    </row>
    <row r="22" spans="1:9" ht="17.25" customHeight="1" x14ac:dyDescent="0.25">
      <c r="A22" s="69" t="s">
        <v>21</v>
      </c>
      <c r="B22" s="70">
        <v>583549.57999999996</v>
      </c>
      <c r="C22" s="71">
        <f>B22/$B$29</f>
        <v>1.6469628137636215E-2</v>
      </c>
      <c r="D22" s="70">
        <f>B22/$G$4</f>
        <v>42.887496582520725</v>
      </c>
      <c r="E22" s="72">
        <f>B22/G$5</f>
        <v>13262.490454545454</v>
      </c>
      <c r="H22" s="8"/>
    </row>
    <row r="23" spans="1:9" ht="17.25" customHeight="1" x14ac:dyDescent="0.25">
      <c r="A23" s="15" t="s">
        <v>20</v>
      </c>
      <c r="B23" s="16">
        <v>462539.96</v>
      </c>
      <c r="C23" s="17">
        <f>B23/$B$29</f>
        <v>1.305435116583775E-2</v>
      </c>
      <c r="D23" s="18">
        <f>B23/$G$4</f>
        <v>33.9939940557909</v>
      </c>
      <c r="E23" s="19">
        <f>B23/G$5</f>
        <v>10512.271818181818</v>
      </c>
      <c r="H23" s="8"/>
    </row>
    <row r="24" spans="1:9" ht="17.25" customHeight="1" x14ac:dyDescent="0.25">
      <c r="A24" s="69" t="s">
        <v>36</v>
      </c>
      <c r="B24" s="70">
        <v>399342.98</v>
      </c>
      <c r="C24" s="71">
        <f>B24/$B$29</f>
        <v>1.1270731066202628E-2</v>
      </c>
      <c r="D24" s="70">
        <f>B24/$G$4</f>
        <v>29.349383971801753</v>
      </c>
      <c r="E24" s="72">
        <f>B24/G$5</f>
        <v>9075.9768181818181</v>
      </c>
      <c r="H24" s="8"/>
    </row>
    <row r="25" spans="1:9" ht="17.25" customHeight="1" x14ac:dyDescent="0.25">
      <c r="A25" s="15" t="s">
        <v>18</v>
      </c>
      <c r="B25" s="16">
        <v>142750</v>
      </c>
      <c r="C25" s="17">
        <f>B25/$B$29</f>
        <v>4.0288597528380871E-3</v>
      </c>
      <c r="D25" s="18">
        <f>B25/$G$4</f>
        <v>10.49129387969885</v>
      </c>
      <c r="E25" s="19">
        <f>B25/G$5</f>
        <v>3244.318181818182</v>
      </c>
      <c r="H25" s="8"/>
    </row>
    <row r="26" spans="1:9" ht="17.25" customHeight="1" x14ac:dyDescent="0.25">
      <c r="A26" s="21" t="s">
        <v>30</v>
      </c>
      <c r="B26" s="22">
        <v>126088.38</v>
      </c>
      <c r="C26" s="23">
        <f>B26/$B$29</f>
        <v>3.5586157581965314E-3</v>
      </c>
      <c r="D26" s="24">
        <f>B26/$G$4</f>
        <v>9.2667618171288471</v>
      </c>
      <c r="E26" s="25">
        <f>B26/G$5</f>
        <v>2865.645</v>
      </c>
      <c r="H26" s="8"/>
    </row>
    <row r="27" spans="1:9" ht="17.25" customHeight="1" x14ac:dyDescent="0.25">
      <c r="A27" s="30" t="s">
        <v>17</v>
      </c>
      <c r="B27" s="31">
        <v>103500</v>
      </c>
      <c r="C27" s="32">
        <f>B27/$B$29</f>
        <v>2.9210997157179826E-3</v>
      </c>
      <c r="D27" s="80">
        <f>B27/$G$4</f>
        <v>7.6066474013928618</v>
      </c>
      <c r="E27" s="82">
        <f>B27/G$5</f>
        <v>2352.2727272727275</v>
      </c>
      <c r="H27" s="8"/>
    </row>
    <row r="28" spans="1:9" ht="17.25" customHeight="1" thickBot="1" x14ac:dyDescent="0.3">
      <c r="A28" s="73"/>
      <c r="B28" s="74"/>
      <c r="C28" s="75"/>
      <c r="D28" s="74"/>
      <c r="E28" s="76"/>
      <c r="H28" s="8"/>
    </row>
    <row r="29" spans="1:9" ht="22.5" customHeight="1" x14ac:dyDescent="0.25">
      <c r="A29" s="34" t="s">
        <v>2</v>
      </c>
      <c r="B29" s="35">
        <f>SUM(B2:B27)</f>
        <v>35431861.310000002</v>
      </c>
      <c r="C29" s="36">
        <f>SUM(C2:C27)</f>
        <v>0.99999999999999989</v>
      </c>
      <c r="D29" s="35">
        <f>SUM(D2:D27)</f>
        <v>2604.0355145915355</v>
      </c>
      <c r="E29" s="37">
        <f>SUM(E2:E27)</f>
        <v>805269.57522727258</v>
      </c>
      <c r="H29" s="7">
        <f>+B29-8689901.84-4220046.86-3153387.2-2007276.96-1705091-1565283.8</f>
        <v>14090873.650000002</v>
      </c>
      <c r="I29" s="7">
        <f>+H29/B29</f>
        <v>0.39768934312302434</v>
      </c>
    </row>
    <row r="30" spans="1:9" ht="22.5" customHeight="1" thickBot="1" x14ac:dyDescent="0.3">
      <c r="A30" s="26" t="s">
        <v>3</v>
      </c>
      <c r="B30" s="27">
        <v>2307.92</v>
      </c>
      <c r="C30" s="28">
        <v>44378</v>
      </c>
      <c r="D30" s="27">
        <f>+D29/B30</f>
        <v>1.1283040636553847</v>
      </c>
      <c r="E30" s="29" t="s">
        <v>12</v>
      </c>
    </row>
    <row r="31" spans="1:9" ht="15" customHeight="1" x14ac:dyDescent="0.25">
      <c r="G31" s="6"/>
    </row>
    <row r="32" spans="1:9" x14ac:dyDescent="0.25">
      <c r="B32" s="7"/>
    </row>
    <row r="33" spans="7:7" x14ac:dyDescent="0.25">
      <c r="G33" s="7"/>
    </row>
  </sheetData>
  <autoFilter ref="A1:E27" xr:uid="{B1BCF9E3-CA3F-4A7F-B188-9F5D259C15AA}">
    <sortState xmlns:xlrd2="http://schemas.microsoft.com/office/spreadsheetml/2017/richdata2" ref="A2:E27">
      <sortCondition descending="1" ref="C1:C27"/>
    </sortState>
  </autoFilter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Gerenciamento executivo </vt:lpstr>
      <vt:lpstr>Executivo</vt:lpstr>
      <vt:lpstr>ETAPAS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Kélen</cp:lastModifiedBy>
  <dcterms:created xsi:type="dcterms:W3CDTF">2021-06-30T18:49:34Z</dcterms:created>
  <dcterms:modified xsi:type="dcterms:W3CDTF">2021-10-18T15:29:41Z</dcterms:modified>
</cp:coreProperties>
</file>