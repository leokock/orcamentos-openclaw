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rava Construtora\Mar a Vista Residence\03. Custo\03.5 Custo - Determinação do orçamento\R01\"/>
    </mc:Choice>
  </mc:AlternateContent>
  <xr:revisionPtr revIDLastSave="0" documentId="13_ncr:1_{3EC8E9EB-9629-41C2-BD23-50E47B308EBD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ANÁLISE_CUSTOS" sheetId="1" r:id="rId1"/>
    <sheet name="ORÇAMENTO_EXECUTIVO" sheetId="2" r:id="rId2"/>
    <sheet name="CÁLCULO_MÉDIAS" sheetId="5" r:id="rId3"/>
    <sheet name="Planilha2" sheetId="7" r:id="rId4"/>
    <sheet name="RELATÓRIO" sheetId="6" r:id="rId5"/>
  </sheets>
  <calcPr calcId="191029"/>
</workbook>
</file>

<file path=xl/calcChain.xml><?xml version="1.0" encoding="utf-8"?>
<calcChain xmlns="http://schemas.openxmlformats.org/spreadsheetml/2006/main">
  <c r="B5" i="2" l="1"/>
  <c r="B18" i="2"/>
  <c r="D22" i="1" s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8" i="2"/>
  <c r="AF25" i="6"/>
  <c r="AF20" i="6"/>
  <c r="B7" i="2" s="1"/>
  <c r="X38" i="6"/>
  <c r="X53" i="6"/>
  <c r="X52" i="6"/>
  <c r="B2" i="2" s="1"/>
  <c r="D16" i="1"/>
  <c r="D15" i="1"/>
  <c r="AF34" i="6"/>
  <c r="M24" i="5"/>
  <c r="L24" i="5"/>
  <c r="D17" i="1" s="1"/>
  <c r="D5" i="1"/>
  <c r="D6" i="1"/>
  <c r="D7" i="1"/>
  <c r="D8" i="1"/>
  <c r="D9" i="1"/>
  <c r="D10" i="1"/>
  <c r="D11" i="1"/>
  <c r="D12" i="1"/>
  <c r="D13" i="1"/>
  <c r="D14" i="1"/>
  <c r="D4" i="1"/>
  <c r="D3" i="1"/>
  <c r="B14" i="2"/>
  <c r="D14" i="2" s="1"/>
  <c r="B10" i="2"/>
  <c r="B3" i="2"/>
  <c r="B17" i="2"/>
  <c r="B16" i="2"/>
  <c r="B15" i="2"/>
  <c r="B13" i="2"/>
  <c r="B12" i="2"/>
  <c r="B11" i="2"/>
  <c r="B9" i="2"/>
  <c r="B6" i="2"/>
  <c r="B4" i="2"/>
  <c r="G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8" i="5"/>
  <c r="H9" i="5"/>
  <c r="C30" i="1" l="1"/>
  <c r="C28" i="1"/>
  <c r="C26" i="1"/>
  <c r="C25" i="1"/>
  <c r="C23" i="1"/>
  <c r="C27" i="1"/>
  <c r="C24" i="1"/>
  <c r="C29" i="1"/>
  <c r="H24" i="5"/>
  <c r="D8" i="5"/>
  <c r="D9" i="2"/>
  <c r="C9" i="1" s="1"/>
  <c r="E47" i="7"/>
  <c r="D47" i="7"/>
  <c r="D48" i="7" s="1"/>
  <c r="D45" i="7"/>
  <c r="C40" i="7"/>
  <c r="C39" i="7"/>
  <c r="C29" i="7"/>
  <c r="C30" i="7" s="1"/>
  <c r="C32" i="7" s="1"/>
  <c r="C28" i="7"/>
  <c r="C27" i="7"/>
  <c r="C26" i="7"/>
  <c r="C25" i="7"/>
  <c r="C24" i="7"/>
  <c r="C23" i="7"/>
  <c r="C22" i="7"/>
  <c r="C24" i="5"/>
  <c r="E24" i="5"/>
  <c r="D17" i="2"/>
  <c r="C14" i="1"/>
  <c r="D13" i="2"/>
  <c r="C13" i="1" s="1"/>
  <c r="D11" i="2"/>
  <c r="C11" i="1" s="1"/>
  <c r="D5" i="2"/>
  <c r="C5" i="1" s="1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I24" i="5"/>
  <c r="D2" i="2"/>
  <c r="D16" i="2" l="1"/>
  <c r="C16" i="1" s="1"/>
  <c r="D15" i="2"/>
  <c r="C15" i="1" s="1"/>
  <c r="D10" i="2"/>
  <c r="C10" i="1" s="1"/>
  <c r="D6" i="2"/>
  <c r="C6" i="1" s="1"/>
  <c r="D8" i="2"/>
  <c r="C8" i="1" s="1"/>
  <c r="D4" i="2"/>
  <c r="C4" i="1" s="1"/>
  <c r="D3" i="2"/>
  <c r="C3" i="1" s="1"/>
  <c r="J24" i="5"/>
  <c r="D24" i="5"/>
  <c r="F24" i="5"/>
  <c r="D12" i="2"/>
  <c r="C12" i="1" s="1"/>
  <c r="D7" i="2"/>
  <c r="C7" i="1" s="1"/>
  <c r="C14" i="2" l="1"/>
  <c r="E21" i="2"/>
  <c r="C17" i="1" l="1"/>
  <c r="B17" i="1"/>
  <c r="C5" i="2" l="1"/>
  <c r="D18" i="2"/>
  <c r="D19" i="2" s="1"/>
  <c r="C6" i="2" l="1"/>
  <c r="C10" i="2"/>
  <c r="C7" i="2"/>
  <c r="C13" i="2"/>
  <c r="C15" i="2"/>
  <c r="C11" i="2"/>
  <c r="C12" i="2"/>
  <c r="C16" i="2"/>
  <c r="C4" i="2"/>
  <c r="C2" i="2"/>
  <c r="C8" i="2"/>
  <c r="C3" i="2"/>
  <c r="C9" i="2"/>
  <c r="C17" i="2"/>
  <c r="C18" i="2" l="1"/>
  <c r="A8" i="1"/>
  <c r="A9" i="1"/>
  <c r="A16" i="1"/>
  <c r="A3" i="1"/>
  <c r="A4" i="1"/>
  <c r="A5" i="1"/>
  <c r="A6" i="1"/>
  <c r="A7" i="1"/>
  <c r="A10" i="1"/>
  <c r="A11" i="1"/>
  <c r="A12" i="1"/>
  <c r="A13" i="1"/>
  <c r="A14" i="1"/>
  <c r="A15" i="1"/>
</calcChain>
</file>

<file path=xl/sharedStrings.xml><?xml version="1.0" encoding="utf-8"?>
<sst xmlns="http://schemas.openxmlformats.org/spreadsheetml/2006/main" count="269" uniqueCount="174">
  <si>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</si>
  <si>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</si>
  <si>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</si>
  <si>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</si>
  <si>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</si>
  <si>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</si>
  <si>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</si>
  <si>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</si>
  <si>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</si>
  <si>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</si>
  <si>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</si>
  <si>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</si>
  <si>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</si>
  <si>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</si>
  <si>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</si>
  <si>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</si>
  <si>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</si>
  <si>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</si>
  <si>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</si>
  <si>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</si>
  <si>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</si>
  <si>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</si>
  <si>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</si>
  <si>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</si>
  <si>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</si>
  <si>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</si>
  <si>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</si>
  <si>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</si>
  <si>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</si>
  <si>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</si>
  <si>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</si>
  <si>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</si>
  <si>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</si>
  <si>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</si>
  <si>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OBRA</t>
  </si>
  <si>
    <t>Orçamento</t>
  </si>
  <si>
    <t>Resumo por Células Construtivas</t>
  </si>
  <si>
    <t>Obra</t>
  </si>
  <si>
    <t>2031 - MARAVISTA RESIDENCE (CONSTRUÇÃO)</t>
  </si>
  <si>
    <t>Unidade construtiva</t>
  </si>
  <si>
    <t>1 - CUSTOS DIRETOS</t>
  </si>
  <si>
    <t>Tipo de obra</t>
  </si>
  <si>
    <t xml:space="preserve">4 - Construção Civil </t>
  </si>
  <si>
    <t>Endereço da obra</t>
  </si>
  <si>
    <t>Rua dos Tucanos - Lote 33 Quadra 34 - Nossa Senhora da Vitoria - Ilhéus/BA - 45655-738</t>
  </si>
  <si>
    <t>Versão do orçamento</t>
  </si>
  <si>
    <t>1 - 18/04/2023 - 08:26:18</t>
  </si>
  <si>
    <t>Data base</t>
  </si>
  <si>
    <t>18/04/2023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</si>
  <si>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</si>
  <si>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</si>
  <si>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</si>
  <si>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</si>
  <si>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</si>
  <si>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</si>
  <si>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</si>
  <si>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Preço total</t>
  </si>
  <si>
    <t>% Total</t>
  </si>
  <si>
    <t xml:space="preserve">01 </t>
  </si>
  <si>
    <t xml:space="preserve">02 </t>
  </si>
  <si>
    <t xml:space="preserve">03 </t>
  </si>
  <si>
    <t xml:space="preserve">04 </t>
  </si>
  <si>
    <t xml:space="preserve">05 </t>
  </si>
  <si>
    <t>IMPERMEABILIZAÇÃO E TRATAMENTOS</t>
  </si>
  <si>
    <t xml:space="preserve">06 </t>
  </si>
  <si>
    <t>INSTALAÇÕES ELÉTRICAS</t>
  </si>
  <si>
    <t xml:space="preserve">07 </t>
  </si>
  <si>
    <t>INSTALAÇÕES HIDROSSANITÁRIAS E DRENAGEM</t>
  </si>
  <si>
    <t xml:space="preserve">08 </t>
  </si>
  <si>
    <t>INSTALAÇÕES PREVENTIVAS</t>
  </si>
  <si>
    <t xml:space="preserve">09 </t>
  </si>
  <si>
    <t>INSTALAÇÕES DE GÁS</t>
  </si>
  <si>
    <t xml:space="preserve">10 </t>
  </si>
  <si>
    <t>INSTALAÇÕES DE COMUNICAÇÃO E DADOS</t>
  </si>
  <si>
    <t xml:space="preserve">11 </t>
  </si>
  <si>
    <t xml:space="preserve">12 </t>
  </si>
  <si>
    <t>CLIMATIZAÇÃO, EXAUSTÃO MECÂNICA E PRESSURIZAÇÃO</t>
  </si>
  <si>
    <t xml:space="preserve">13 </t>
  </si>
  <si>
    <t>REVESTIMENTOS INTERNOS DE PAREDE</t>
  </si>
  <si>
    <t xml:space="preserve">14 </t>
  </si>
  <si>
    <t xml:space="preserve">15 </t>
  </si>
  <si>
    <t>PISOS E PAVIMENTAÇÕES</t>
  </si>
  <si>
    <t xml:space="preserve">16 </t>
  </si>
  <si>
    <t>SISTEMAS DE PINTURA INTERNA</t>
  </si>
  <si>
    <t xml:space="preserve">17 </t>
  </si>
  <si>
    <t>ESQUADRIAS DE ALUMÍNIO</t>
  </si>
  <si>
    <t xml:space="preserve">18 </t>
  </si>
  <si>
    <t>ESQUADRIAS DE MADEIRA</t>
  </si>
  <si>
    <t xml:space="preserve">19 </t>
  </si>
  <si>
    <t>ESQUADRIAS METÁLICAS</t>
  </si>
  <si>
    <t xml:space="preserve">20 </t>
  </si>
  <si>
    <t>LOUÇAS E METAIS</t>
  </si>
  <si>
    <t xml:space="preserve">21 </t>
  </si>
  <si>
    <t xml:space="preserve">22 </t>
  </si>
  <si>
    <t>REVESTIMENTOS E ACABAMENTOS EM FACHADA</t>
  </si>
  <si>
    <t xml:space="preserve">23 </t>
  </si>
  <si>
    <t>IMPERVISTOS E CONTINGÊNCIAS</t>
  </si>
  <si>
    <t>Total da unidade construtiva</t>
  </si>
  <si>
    <t>2 - CUSTOS INDIRETOS</t>
  </si>
  <si>
    <t>SERVIÇOS INICIAIS</t>
  </si>
  <si>
    <t>ADMINISTRAÇÃO DE OBRA</t>
  </si>
  <si>
    <t>ENSAIO E CONTROLE TECNOLÓGICO</t>
  </si>
  <si>
    <t>Total da obra</t>
  </si>
  <si>
    <t>SIENGE / SOFTPLAN</t>
  </si>
  <si>
    <t>- Total inconsistente para o resumo por célula construtiva. Existem serviços sem célula construtiva definida.</t>
  </si>
  <si>
    <t>F NOGUEIRA - WPR</t>
  </si>
  <si>
    <t>F NOGUEIRA - SOBERANO</t>
  </si>
  <si>
    <t xml:space="preserve">PAVITEC - SIENA </t>
  </si>
  <si>
    <t xml:space="preserve">CUB DE SC </t>
  </si>
  <si>
    <t>CUB DA BA</t>
  </si>
  <si>
    <t>área</t>
  </si>
  <si>
    <t>Locação da obra</t>
  </si>
  <si>
    <t>Sondagem</t>
  </si>
  <si>
    <t>Levantamento Planialtimetrico</t>
  </si>
  <si>
    <t>Controle tecnológico</t>
  </si>
  <si>
    <t>Ensaios de controle tecnológico</t>
  </si>
  <si>
    <t>Seguro de vida coletivo</t>
  </si>
  <si>
    <t>Seguro de risco de engenharia e responsabilidade civil</t>
  </si>
  <si>
    <t xml:space="preserve">GERENCIAMENTO TÉCNICO E ADMINISTRATIVO - Faltam os itens: </t>
  </si>
  <si>
    <t>Supra - Pavitec</t>
  </si>
  <si>
    <t>valor/m²</t>
  </si>
  <si>
    <t>valor total supra MO</t>
  </si>
  <si>
    <t>ÁREA</t>
  </si>
  <si>
    <t>Valor m² de área do empreendimento</t>
  </si>
  <si>
    <t>ACM LUMIS - LIVE estimativa de custo estrutura ACM</t>
  </si>
  <si>
    <t>Soberano</t>
  </si>
  <si>
    <t>Foi considerado verba (estimativa)</t>
  </si>
  <si>
    <t>No Soberano temos o caso em que na sondagem, todos os furos tinham acúmulo de água (1,54m aprox.)</t>
  </si>
  <si>
    <t xml:space="preserve">12 Estacas com 3,0 e 16m + estacas com 7,5m ou 12m </t>
  </si>
  <si>
    <t xml:space="preserve">Rebaixamento lençol freático </t>
  </si>
  <si>
    <t>WPR</t>
  </si>
  <si>
    <t>Movimentação de terra e Infra</t>
  </si>
  <si>
    <t xml:space="preserve">Não tem lençol freático </t>
  </si>
  <si>
    <t>Estacas com diâmetro de 40, 50 e 60cm tipo hélice</t>
  </si>
  <si>
    <t>Sapatas - Usado como estimativa pelo Soberano</t>
  </si>
  <si>
    <t>Formas de blocos e baldrames com compensado plastificado</t>
  </si>
  <si>
    <t>PAVITEC</t>
  </si>
  <si>
    <t>Contenção no subsolo e bloco de concreto estrutural</t>
  </si>
  <si>
    <t>índice de graute de 0,032m³/m²</t>
  </si>
  <si>
    <t xml:space="preserve">Concreto 35 Mpa para as sapatas </t>
  </si>
  <si>
    <t>18 estacas com variação entre 16m e 22m de profundidade</t>
  </si>
  <si>
    <t xml:space="preserve">MAR A VISTA </t>
  </si>
  <si>
    <t xml:space="preserve"> </t>
  </si>
  <si>
    <t>49 Estacas com diametro de 40</t>
  </si>
  <si>
    <t xml:space="preserve">23 estacas com diametro de 30 </t>
  </si>
  <si>
    <t xml:space="preserve">Escavação mecanizada de valas com escavadeira hidráulica </t>
  </si>
  <si>
    <t>Não tem subsolo</t>
  </si>
  <si>
    <t>LUMIS - LIVE</t>
  </si>
  <si>
    <t>JUSTIFICATIVAS E COMENTÁRIOS</t>
  </si>
  <si>
    <t>CUB/BA</t>
  </si>
  <si>
    <t>16/04/2024 - 17:52:05</t>
  </si>
  <si>
    <t xml:space="preserve">não temos gerador e subsestação </t>
  </si>
  <si>
    <t>Valor fornecido pelo cliente</t>
  </si>
  <si>
    <t xml:space="preserve">Corrigido os quantitativos </t>
  </si>
  <si>
    <t>Correção de formas e concreto</t>
  </si>
  <si>
    <t>Ficou acima porque consideramos gesso (Drywall) e lã de vidro</t>
  </si>
  <si>
    <t xml:space="preserve">Foi feito através de verba (elétrica), porque os quantitativos fornecidos não batiam com o projeto </t>
  </si>
  <si>
    <t>temos uma área a ser impermeabilizada superior (toda cobertura, abas do empreendimento e fachada/parede verde)</t>
  </si>
  <si>
    <t xml:space="preserve">corrigimos os quantitativos e os valores de alguns insumos e mão de obra </t>
  </si>
  <si>
    <t>ficou coerente, revisei o quantitativo lançado</t>
  </si>
  <si>
    <t xml:space="preserve">não temos </t>
  </si>
  <si>
    <t xml:space="preserve">corrigido o quantitativo e custo de mão de obra </t>
  </si>
  <si>
    <t>fornecido pelo cliente</t>
  </si>
  <si>
    <t>m3</t>
  </si>
  <si>
    <t>DESCRIÇÃO - 27 APARTAMENTOS (ÁREA TOTAL)</t>
  </si>
  <si>
    <t xml:space="preserve">VALOR </t>
  </si>
  <si>
    <t>VALOR POR UNIDADE PRIVATIVA (R$/m²)</t>
  </si>
  <si>
    <t>VALOR POR UNIDADE TIPO 01</t>
  </si>
  <si>
    <t>VALOR POR UNIDADE TIPO 02</t>
  </si>
  <si>
    <t>VALOR POR UNIDADE TIPO 03</t>
  </si>
  <si>
    <t>VALOR POR UNIDADE TIPO 04</t>
  </si>
  <si>
    <t>VALOR POR UNIDADE TIPO 05</t>
  </si>
  <si>
    <t>VALOR POR UNIDADE TIPO 06</t>
  </si>
  <si>
    <t>VALOR POR UNIDADE TIPO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</si>
</sst>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##,##0.00"/>
    <numFmt numFmtId="167" formatCode="#,###,##0.00"/>
    <numFmt numFmtId="168" formatCode="#0.00"/>
    <numFmt numFmtId="169" formatCode="##,##0.00"/>
    <numFmt numFmtId="170" formatCode="##0.00"/>
    <numFmt numFmtId="171" formatCode="##,###,##0.0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theme="1"/>
      <name val="Roboto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i/>
      <sz val="12"/>
      <color indexed="8"/>
      <name val="Arial"/>
      <family val="2"/>
    </font>
    <font>
      <b/>
      <sz val="12"/>
      <color theme="1"/>
      <name val="Poppins"/>
    </font>
    <font>
      <sz val="10"/>
      <color rgb="FFFF0000"/>
      <name val="Poppins"/>
    </font>
    <font>
      <sz val="10"/>
      <name val="Arial"/>
    </font>
    <font>
      <sz val="11"/>
      <color rgb="FF121212"/>
      <name val="Poppins"/>
    </font>
    <font>
      <sz val="11"/>
      <color theme="5"/>
      <name val="Poppins"/>
    </font>
    <font>
      <sz val="11"/>
      <color theme="5"/>
      <name val="Calibri"/>
      <family val="2"/>
      <scheme val="minor"/>
    </font>
    <font>
      <sz val="14"/>
      <color indexed="8"/>
      <name val="Arial"/>
      <family val="2"/>
    </font>
    <font>
      <b/>
      <sz val="12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595959"/>
      </left>
      <right style="medium">
        <color rgb="FF595959"/>
      </right>
      <top style="medium">
        <color rgb="FFCCCCCC"/>
      </top>
      <bottom style="medium">
        <color rgb="FFCCCCCC"/>
      </bottom>
      <diagonal/>
    </border>
    <border>
      <left style="medium">
        <color rgb="FF595959"/>
      </left>
      <right style="medium">
        <color rgb="FF595959"/>
      </right>
      <top style="medium">
        <color rgb="FFCCCCCC"/>
      </top>
      <bottom style="dotted">
        <color rgb="FF595959"/>
      </bottom>
      <diagonal/>
    </border>
    <border>
      <left style="medium">
        <color rgb="FF646464"/>
      </left>
      <right style="medium">
        <color rgb="FF646464"/>
      </right>
      <top style="medium">
        <color rgb="FFCCCCCC"/>
      </top>
      <bottom style="medium">
        <color rgb="FF646464"/>
      </bottom>
      <diagonal/>
    </border>
    <border>
      <left style="medium">
        <color rgb="FF646464"/>
      </left>
      <right style="medium">
        <color rgb="FF646464"/>
      </right>
      <top style="medium">
        <color rgb="FFCCCCCC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646464"/>
      </left>
      <right style="medium">
        <color rgb="FF646464"/>
      </right>
      <top style="medium">
        <color rgb="FFB7B7B7"/>
      </top>
      <bottom style="dotted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" fillId="0" borderId="4"/>
    <xf numFmtId="9" fontId="2" fillId="0" borderId="4" applyFont="0" applyFill="0" applyBorder="0" applyAlignment="0" applyProtection="0"/>
    <xf numFmtId="0" fontId="23" fillId="0" borderId="4" applyNumberFormat="0" applyFont="0" applyFill="0" applyBorder="0" applyAlignment="0" applyProtection="0"/>
    <xf numFmtId="0" fontId="27" fillId="0" borderId="4" applyNumberFormat="0" applyFont="0" applyFill="0" applyBorder="0" applyAlignment="0" applyProtection="0"/>
  </cellStyleXfs>
  <cellXfs count="219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/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left" vertical="center"/>
    </xf>
    <xf numFmtId="10" fontId="7" fillId="4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left" vertical="center"/>
    </xf>
    <xf numFmtId="10" fontId="7" fillId="3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0" fillId="0" borderId="4" xfId="0" applyBorder="1"/>
    <xf numFmtId="0" fontId="13" fillId="0" borderId="0" xfId="0" applyFont="1"/>
    <xf numFmtId="0" fontId="3" fillId="0" borderId="0" xfId="0" applyFont="1"/>
    <xf numFmtId="164" fontId="15" fillId="4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7" fillId="0" borderId="15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164" fontId="7" fillId="3" borderId="19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left" vertical="center"/>
    </xf>
    <xf numFmtId="0" fontId="4" fillId="7" borderId="14" xfId="0" applyFont="1" applyFill="1" applyBorder="1" applyAlignment="1">
      <alignment horizontal="left" vertical="center"/>
    </xf>
    <xf numFmtId="44" fontId="16" fillId="5" borderId="25" xfId="0" applyNumberFormat="1" applyFont="1" applyFill="1" applyBorder="1"/>
    <xf numFmtId="44" fontId="16" fillId="5" borderId="25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5" borderId="9" xfId="0" applyFont="1" applyFill="1" applyBorder="1"/>
    <xf numFmtId="43" fontId="0" fillId="0" borderId="0" xfId="2" applyFont="1"/>
    <xf numFmtId="43" fontId="16" fillId="5" borderId="11" xfId="2" applyFont="1" applyFill="1" applyBorder="1" applyAlignment="1">
      <alignment horizontal="center"/>
    </xf>
    <xf numFmtId="43" fontId="0" fillId="0" borderId="11" xfId="2" applyFont="1" applyBorder="1"/>
    <xf numFmtId="43" fontId="0" fillId="0" borderId="29" xfId="2" applyFont="1" applyBorder="1"/>
    <xf numFmtId="43" fontId="16" fillId="5" borderId="25" xfId="2" applyFont="1" applyFill="1" applyBorder="1"/>
    <xf numFmtId="43" fontId="7" fillId="0" borderId="0" xfId="2" applyFont="1" applyAlignment="1">
      <alignment horizontal="center"/>
    </xf>
    <xf numFmtId="0" fontId="7" fillId="4" borderId="30" xfId="0" applyFont="1" applyFill="1" applyBorder="1" applyAlignment="1">
      <alignment horizontal="left" vertical="center"/>
    </xf>
    <xf numFmtId="164" fontId="15" fillId="4" borderId="31" xfId="0" applyNumberFormat="1" applyFont="1" applyFill="1" applyBorder="1" applyAlignment="1">
      <alignment horizontal="left" vertical="center"/>
    </xf>
    <xf numFmtId="10" fontId="7" fillId="4" borderId="3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left" vertical="center"/>
    </xf>
    <xf numFmtId="164" fontId="4" fillId="2" borderId="11" xfId="0" applyNumberFormat="1" applyFont="1" applyFill="1" applyBorder="1" applyAlignment="1">
      <alignment horizontal="left" vertical="center"/>
    </xf>
    <xf numFmtId="9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7" fontId="4" fillId="2" borderId="11" xfId="0" applyNumberFormat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left" vertical="center"/>
    </xf>
    <xf numFmtId="164" fontId="7" fillId="4" borderId="31" xfId="0" applyNumberFormat="1" applyFont="1" applyFill="1" applyBorder="1" applyAlignment="1">
      <alignment horizontal="center" vertical="center"/>
    </xf>
    <xf numFmtId="43" fontId="7" fillId="4" borderId="34" xfId="2" applyFont="1" applyFill="1" applyBorder="1" applyAlignment="1">
      <alignment horizontal="center" vertical="center"/>
    </xf>
    <xf numFmtId="44" fontId="0" fillId="6" borderId="27" xfId="1" applyFont="1" applyFill="1" applyBorder="1"/>
    <xf numFmtId="44" fontId="16" fillId="6" borderId="25" xfId="0" applyNumberFormat="1" applyFont="1" applyFill="1" applyBorder="1"/>
    <xf numFmtId="43" fontId="4" fillId="2" borderId="6" xfId="2" applyFont="1" applyFill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right"/>
    </xf>
    <xf numFmtId="164" fontId="4" fillId="2" borderId="13" xfId="0" applyNumberFormat="1" applyFont="1" applyFill="1" applyBorder="1" applyAlignment="1">
      <alignment horizontal="right"/>
    </xf>
    <xf numFmtId="164" fontId="4" fillId="2" borderId="13" xfId="0" applyNumberFormat="1" applyFont="1" applyFill="1" applyBorder="1" applyAlignment="1">
      <alignment horizontal="center"/>
    </xf>
    <xf numFmtId="43" fontId="5" fillId="2" borderId="10" xfId="2" applyFont="1" applyFill="1" applyBorder="1" applyAlignment="1">
      <alignment horizontal="center"/>
    </xf>
    <xf numFmtId="2" fontId="18" fillId="8" borderId="47" xfId="0" applyNumberFormat="1" applyFont="1" applyFill="1" applyBorder="1" applyAlignment="1">
      <alignment horizontal="right" vertical="top" wrapText="1"/>
    </xf>
    <xf numFmtId="168" fontId="18" fillId="8" borderId="47" xfId="0" applyNumberFormat="1" applyFont="1" applyFill="1" applyBorder="1" applyAlignment="1">
      <alignment horizontal="right" vertical="top" wrapText="1"/>
    </xf>
    <xf numFmtId="168" fontId="19" fillId="9" borderId="47" xfId="0" applyNumberFormat="1" applyFont="1" applyFill="1" applyBorder="1" applyAlignment="1">
      <alignment horizontal="right" vertical="top" wrapText="1"/>
    </xf>
    <xf numFmtId="4" fontId="8" fillId="0" borderId="16" xfId="0" applyNumberFormat="1" applyFont="1" applyBorder="1" applyAlignment="1">
      <alignment vertical="center"/>
    </xf>
    <xf numFmtId="17" fontId="0" fillId="0" borderId="6" xfId="0" applyNumberFormat="1" applyBorder="1"/>
    <xf numFmtId="0" fontId="1" fillId="12" borderId="0" xfId="0" applyFont="1" applyFill="1"/>
    <xf numFmtId="0" fontId="0" fillId="12" borderId="0" xfId="0" applyFill="1"/>
    <xf numFmtId="0" fontId="7" fillId="13" borderId="51" xfId="0" applyFont="1" applyFill="1" applyBorder="1" applyAlignment="1">
      <alignment vertical="center" wrapText="1"/>
    </xf>
    <xf numFmtId="44" fontId="0" fillId="6" borderId="24" xfId="1" applyFont="1" applyFill="1" applyBorder="1"/>
    <xf numFmtId="0" fontId="0" fillId="0" borderId="11" xfId="0" applyBorder="1"/>
    <xf numFmtId="0" fontId="1" fillId="0" borderId="11" xfId="0" applyFont="1" applyBorder="1"/>
    <xf numFmtId="44" fontId="0" fillId="0" borderId="11" xfId="1" applyFont="1" applyBorder="1"/>
    <xf numFmtId="0" fontId="8" fillId="0" borderId="11" xfId="0" applyFont="1" applyBorder="1" applyAlignment="1">
      <alignment vertical="center"/>
    </xf>
    <xf numFmtId="44" fontId="8" fillId="0" borderId="11" xfId="1" applyFont="1" applyBorder="1" applyAlignment="1">
      <alignment vertical="center"/>
    </xf>
    <xf numFmtId="44" fontId="8" fillId="15" borderId="11" xfId="0" applyNumberFormat="1" applyFont="1" applyFill="1" applyBorder="1" applyAlignment="1">
      <alignment vertical="center"/>
    </xf>
    <xf numFmtId="0" fontId="1" fillId="15" borderId="11" xfId="0" applyFont="1" applyFill="1" applyBorder="1"/>
    <xf numFmtId="4" fontId="0" fillId="0" borderId="0" xfId="0" applyNumberFormat="1"/>
    <xf numFmtId="44" fontId="0" fillId="0" borderId="0" xfId="1" applyFont="1"/>
    <xf numFmtId="0" fontId="8" fillId="0" borderId="11" xfId="0" applyFont="1" applyBorder="1" applyAlignment="1">
      <alignment horizontal="left" vertical="center"/>
    </xf>
    <xf numFmtId="4" fontId="8" fillId="0" borderId="11" xfId="0" applyNumberFormat="1" applyFont="1" applyBorder="1" applyAlignment="1">
      <alignment horizontal="left" vertical="center"/>
    </xf>
    <xf numFmtId="44" fontId="0" fillId="0" borderId="0" xfId="0" applyNumberFormat="1"/>
    <xf numFmtId="44" fontId="0" fillId="15" borderId="11" xfId="0" applyNumberFormat="1" applyFill="1" applyBorder="1"/>
    <xf numFmtId="0" fontId="1" fillId="16" borderId="11" xfId="0" applyFont="1" applyFill="1" applyBorder="1"/>
    <xf numFmtId="0" fontId="17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10" fontId="15" fillId="3" borderId="2" xfId="0" applyNumberFormat="1" applyFont="1" applyFill="1" applyBorder="1" applyAlignment="1">
      <alignment horizontal="center" vertical="center"/>
    </xf>
    <xf numFmtId="164" fontId="15" fillId="3" borderId="3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10" fontId="15" fillId="4" borderId="2" xfId="0" applyNumberFormat="1" applyFont="1" applyFill="1" applyBorder="1" applyAlignment="1">
      <alignment horizontal="center" vertical="center"/>
    </xf>
    <xf numFmtId="164" fontId="15" fillId="4" borderId="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16" borderId="0" xfId="0" applyFont="1" applyFill="1" applyAlignment="1">
      <alignment vertical="center"/>
    </xf>
    <xf numFmtId="0" fontId="8" fillId="16" borderId="0" xfId="0" applyFont="1" applyFill="1" applyAlignment="1">
      <alignment horizontal="center" vertical="center"/>
    </xf>
    <xf numFmtId="0" fontId="25" fillId="16" borderId="0" xfId="0" applyFont="1" applyFill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8" fillId="0" borderId="0" xfId="0" applyFont="1"/>
    <xf numFmtId="17" fontId="1" fillId="0" borderId="54" xfId="0" applyNumberFormat="1" applyFont="1" applyBorder="1"/>
    <xf numFmtId="44" fontId="0" fillId="6" borderId="11" xfId="1" applyFont="1" applyFill="1" applyBorder="1"/>
    <xf numFmtId="0" fontId="7" fillId="14" borderId="51" xfId="0" applyFont="1" applyFill="1" applyBorder="1" applyAlignment="1">
      <alignment vertical="center" wrapText="1"/>
    </xf>
    <xf numFmtId="0" fontId="7" fillId="13" borderId="50" xfId="0" applyFont="1" applyFill="1" applyBorder="1" applyAlignment="1">
      <alignment vertical="center" wrapText="1"/>
    </xf>
    <xf numFmtId="0" fontId="29" fillId="13" borderId="56" xfId="0" applyFont="1" applyFill="1" applyBorder="1" applyAlignment="1">
      <alignment vertical="center" wrapText="1"/>
    </xf>
    <xf numFmtId="44" fontId="30" fillId="6" borderId="11" xfId="1" applyFont="1" applyFill="1" applyBorder="1"/>
    <xf numFmtId="0" fontId="20" fillId="10" borderId="48" xfId="0" applyFont="1" applyFill="1" applyBorder="1" applyAlignment="1">
      <alignment horizontal="right" vertical="center" wrapText="1"/>
    </xf>
    <xf numFmtId="0" fontId="20" fillId="11" borderId="49" xfId="0" applyFont="1" applyFill="1" applyBorder="1" applyAlignment="1">
      <alignment horizontal="right" vertical="center" wrapText="1"/>
    </xf>
    <xf numFmtId="0" fontId="0" fillId="17" borderId="10" xfId="0" applyFill="1" applyBorder="1"/>
    <xf numFmtId="0" fontId="0" fillId="17" borderId="55" xfId="0" applyFill="1" applyBorder="1"/>
    <xf numFmtId="0" fontId="29" fillId="13" borderId="51" xfId="0" applyFont="1" applyFill="1" applyBorder="1" applyAlignment="1">
      <alignment vertical="center" wrapText="1"/>
    </xf>
    <xf numFmtId="44" fontId="16" fillId="6" borderId="14" xfId="0" applyNumberFormat="1" applyFont="1" applyFill="1" applyBorder="1"/>
    <xf numFmtId="0" fontId="22" fillId="0" borderId="4" xfId="0" applyFont="1" applyBorder="1"/>
    <xf numFmtId="0" fontId="19" fillId="9" borderId="47" xfId="0" applyFont="1" applyFill="1" applyBorder="1" applyAlignment="1">
      <alignment horizontal="right" vertical="top" wrapText="1"/>
    </xf>
    <xf numFmtId="168" fontId="32" fillId="9" borderId="47" xfId="0" applyNumberFormat="1" applyFont="1" applyFill="1" applyBorder="1" applyAlignment="1">
      <alignment horizontal="right" vertical="top" wrapText="1"/>
    </xf>
    <xf numFmtId="170" fontId="32" fillId="9" borderId="47" xfId="0" applyNumberFormat="1" applyFont="1" applyFill="1" applyBorder="1" applyAlignment="1">
      <alignment horizontal="right" vertical="top" wrapText="1"/>
    </xf>
    <xf numFmtId="0" fontId="32" fillId="9" borderId="47" xfId="0" applyFont="1" applyFill="1" applyBorder="1" applyAlignment="1">
      <alignment horizontal="right" vertical="top" wrapText="1"/>
    </xf>
    <xf numFmtId="4" fontId="22" fillId="0" borderId="4" xfId="0" applyNumberFormat="1" applyFont="1" applyBorder="1"/>
    <xf numFmtId="43" fontId="21" fillId="0" borderId="11" xfId="2" applyFont="1" applyBorder="1"/>
    <xf numFmtId="0" fontId="15" fillId="4" borderId="30" xfId="0" applyFont="1" applyFill="1" applyBorder="1" applyAlignment="1">
      <alignment horizontal="left" vertical="center"/>
    </xf>
    <xf numFmtId="10" fontId="15" fillId="4" borderId="31" xfId="0" applyNumberFormat="1" applyFont="1" applyFill="1" applyBorder="1" applyAlignment="1">
      <alignment horizontal="center" vertical="center"/>
    </xf>
    <xf numFmtId="4" fontId="0" fillId="0" borderId="10" xfId="0" applyNumberFormat="1" applyBorder="1"/>
    <xf numFmtId="43" fontId="8" fillId="0" borderId="0" xfId="0" applyNumberFormat="1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7" xfId="0" applyFont="1" applyBorder="1"/>
    <xf numFmtId="0" fontId="5" fillId="2" borderId="12" xfId="0" applyFont="1" applyFill="1" applyBorder="1" applyAlignment="1">
      <alignment horizontal="center" vertical="center"/>
    </xf>
    <xf numFmtId="0" fontId="6" fillId="0" borderId="12" xfId="0" applyFont="1" applyBorder="1"/>
    <xf numFmtId="0" fontId="8" fillId="0" borderId="11" xfId="0" applyFont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43" fontId="4" fillId="2" borderId="11" xfId="2" applyFont="1" applyFill="1" applyBorder="1" applyAlignment="1">
      <alignment horizontal="center" vertical="center"/>
    </xf>
    <xf numFmtId="0" fontId="1" fillId="12" borderId="0" xfId="0" applyFont="1" applyFill="1" applyAlignment="1">
      <alignment horizontal="left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6" fontId="31" fillId="8" borderId="44" xfId="6" applyNumberFormat="1" applyFont="1" applyFill="1" applyBorder="1" applyAlignment="1">
      <alignment horizontal="right" vertical="top" wrapText="1"/>
    </xf>
    <xf numFmtId="166" fontId="31" fillId="8" borderId="45" xfId="6" applyNumberFormat="1" applyFont="1" applyFill="1" applyBorder="1" applyAlignment="1">
      <alignment horizontal="right" vertical="top" wrapText="1"/>
    </xf>
    <xf numFmtId="166" fontId="31" fillId="8" borderId="46" xfId="6" applyNumberFormat="1" applyFont="1" applyFill="1" applyBorder="1" applyAlignment="1">
      <alignment horizontal="right" vertical="top" wrapText="1"/>
    </xf>
    <xf numFmtId="167" fontId="31" fillId="8" borderId="44" xfId="6" applyNumberFormat="1" applyFont="1" applyFill="1" applyBorder="1" applyAlignment="1">
      <alignment horizontal="right" vertical="top" wrapText="1"/>
    </xf>
    <xf numFmtId="167" fontId="31" fillId="8" borderId="45" xfId="6" applyNumberFormat="1" applyFont="1" applyFill="1" applyBorder="1" applyAlignment="1">
      <alignment horizontal="right" vertical="top" wrapText="1"/>
    </xf>
    <xf numFmtId="167" fontId="31" fillId="8" borderId="46" xfId="6" applyNumberFormat="1" applyFont="1" applyFill="1" applyBorder="1" applyAlignment="1">
      <alignment horizontal="right" vertical="top" wrapText="1"/>
    </xf>
    <xf numFmtId="169" fontId="31" fillId="8" borderId="44" xfId="6" applyNumberFormat="1" applyFont="1" applyFill="1" applyBorder="1" applyAlignment="1">
      <alignment horizontal="right" vertical="top" wrapText="1"/>
    </xf>
    <xf numFmtId="169" fontId="31" fillId="8" borderId="45" xfId="6" applyNumberFormat="1" applyFont="1" applyFill="1" applyBorder="1" applyAlignment="1">
      <alignment horizontal="right" vertical="top" wrapText="1"/>
    </xf>
    <xf numFmtId="169" fontId="31" fillId="8" borderId="46" xfId="6" applyNumberFormat="1" applyFont="1" applyFill="1" applyBorder="1" applyAlignment="1">
      <alignment horizontal="right" vertical="top" wrapText="1"/>
    </xf>
    <xf numFmtId="0" fontId="18" fillId="8" borderId="4" xfId="0" applyFont="1" applyFill="1" applyBorder="1" applyAlignment="1">
      <alignment horizontal="left" vertical="top" wrapText="1"/>
    </xf>
    <xf numFmtId="0" fontId="32" fillId="9" borderId="44" xfId="0" applyFont="1" applyFill="1" applyBorder="1" applyAlignment="1">
      <alignment horizontal="right" vertical="top" wrapText="1"/>
    </xf>
    <xf numFmtId="0" fontId="32" fillId="9" borderId="45" xfId="0" applyFont="1" applyFill="1" applyBorder="1" applyAlignment="1">
      <alignment horizontal="right" vertical="top" wrapText="1"/>
    </xf>
    <xf numFmtId="0" fontId="32" fillId="9" borderId="46" xfId="0" applyFont="1" applyFill="1" applyBorder="1" applyAlignment="1">
      <alignment horizontal="right" vertical="top" wrapText="1"/>
    </xf>
    <xf numFmtId="171" fontId="32" fillId="9" borderId="44" xfId="0" applyNumberFormat="1" applyFont="1" applyFill="1" applyBorder="1" applyAlignment="1">
      <alignment horizontal="right" vertical="top" wrapText="1"/>
    </xf>
    <xf numFmtId="171" fontId="32" fillId="9" borderId="45" xfId="0" applyNumberFormat="1" applyFont="1" applyFill="1" applyBorder="1" applyAlignment="1">
      <alignment horizontal="right" vertical="top" wrapText="1"/>
    </xf>
    <xf numFmtId="171" fontId="32" fillId="9" borderId="46" xfId="0" applyNumberFormat="1" applyFont="1" applyFill="1" applyBorder="1" applyAlignment="1">
      <alignment horizontal="right" vertical="top" wrapText="1"/>
    </xf>
    <xf numFmtId="0" fontId="18" fillId="8" borderId="36" xfId="0" applyFont="1" applyFill="1" applyBorder="1" applyAlignment="1">
      <alignment horizontal="left" vertical="top" wrapText="1"/>
    </xf>
    <xf numFmtId="0" fontId="18" fillId="8" borderId="36" xfId="0" applyFont="1" applyFill="1" applyBorder="1" applyAlignment="1">
      <alignment horizontal="center" vertical="top" wrapText="1"/>
    </xf>
    <xf numFmtId="0" fontId="18" fillId="8" borderId="4" xfId="0" applyFont="1" applyFill="1" applyBorder="1" applyAlignment="1">
      <alignment horizontal="center" vertical="top" wrapText="1"/>
    </xf>
    <xf numFmtId="0" fontId="18" fillId="8" borderId="4" xfId="0" applyFont="1" applyFill="1" applyBorder="1" applyAlignment="1">
      <alignment horizontal="right" vertical="top" wrapText="1"/>
    </xf>
    <xf numFmtId="0" fontId="18" fillId="8" borderId="36" xfId="0" applyFont="1" applyFill="1" applyBorder="1" applyAlignment="1">
      <alignment horizontal="right" vertical="top" wrapText="1"/>
    </xf>
    <xf numFmtId="0" fontId="18" fillId="8" borderId="44" xfId="0" applyFont="1" applyFill="1" applyBorder="1" applyAlignment="1">
      <alignment horizontal="left" vertical="top" wrapText="1"/>
    </xf>
    <xf numFmtId="0" fontId="18" fillId="8" borderId="46" xfId="0" applyFont="1" applyFill="1" applyBorder="1" applyAlignment="1">
      <alignment horizontal="left" vertical="top" wrapText="1"/>
    </xf>
    <xf numFmtId="0" fontId="18" fillId="8" borderId="45" xfId="0" applyFont="1" applyFill="1" applyBorder="1" applyAlignment="1">
      <alignment horizontal="left" vertical="top" wrapText="1"/>
    </xf>
    <xf numFmtId="166" fontId="18" fillId="8" borderId="44" xfId="0" applyNumberFormat="1" applyFont="1" applyFill="1" applyBorder="1" applyAlignment="1">
      <alignment horizontal="right" vertical="top" wrapText="1"/>
    </xf>
    <xf numFmtId="166" fontId="18" fillId="8" borderId="45" xfId="0" applyNumberFormat="1" applyFont="1" applyFill="1" applyBorder="1" applyAlignment="1">
      <alignment horizontal="right" vertical="top" wrapText="1"/>
    </xf>
    <xf numFmtId="166" fontId="18" fillId="8" borderId="46" xfId="0" applyNumberFormat="1" applyFont="1" applyFill="1" applyBorder="1" applyAlignment="1">
      <alignment horizontal="right" vertical="top" wrapText="1"/>
    </xf>
    <xf numFmtId="167" fontId="18" fillId="8" borderId="44" xfId="0" applyNumberFormat="1" applyFont="1" applyFill="1" applyBorder="1" applyAlignment="1">
      <alignment horizontal="right" vertical="top" wrapText="1"/>
    </xf>
    <xf numFmtId="167" fontId="18" fillId="8" borderId="45" xfId="0" applyNumberFormat="1" applyFont="1" applyFill="1" applyBorder="1" applyAlignment="1">
      <alignment horizontal="right" vertical="top" wrapText="1"/>
    </xf>
    <xf numFmtId="167" fontId="18" fillId="8" borderId="46" xfId="0" applyNumberFormat="1" applyFont="1" applyFill="1" applyBorder="1" applyAlignment="1">
      <alignment horizontal="right" vertical="top" wrapText="1"/>
    </xf>
    <xf numFmtId="0" fontId="32" fillId="9" borderId="44" xfId="0" applyFont="1" applyFill="1" applyBorder="1" applyAlignment="1">
      <alignment horizontal="left" vertical="top" wrapText="1"/>
    </xf>
    <xf numFmtId="0" fontId="32" fillId="9" borderId="46" xfId="0" applyFont="1" applyFill="1" applyBorder="1" applyAlignment="1">
      <alignment horizontal="left" vertical="top" wrapText="1"/>
    </xf>
    <xf numFmtId="0" fontId="32" fillId="9" borderId="45" xfId="0" applyFont="1" applyFill="1" applyBorder="1" applyAlignment="1">
      <alignment horizontal="left" vertical="top" wrapText="1"/>
    </xf>
    <xf numFmtId="0" fontId="19" fillId="9" borderId="44" xfId="0" applyFont="1" applyFill="1" applyBorder="1" applyAlignment="1">
      <alignment horizontal="right" vertical="top" wrapText="1"/>
    </xf>
    <xf numFmtId="0" fontId="19" fillId="9" borderId="45" xfId="0" applyFont="1" applyFill="1" applyBorder="1" applyAlignment="1">
      <alignment horizontal="right" vertical="top" wrapText="1"/>
    </xf>
    <xf numFmtId="0" fontId="19" fillId="9" borderId="46" xfId="0" applyFont="1" applyFill="1" applyBorder="1" applyAlignment="1">
      <alignment horizontal="right" vertical="top" wrapText="1"/>
    </xf>
    <xf numFmtId="167" fontId="19" fillId="9" borderId="44" xfId="0" applyNumberFormat="1" applyFont="1" applyFill="1" applyBorder="1" applyAlignment="1">
      <alignment horizontal="right" vertical="top" wrapText="1"/>
    </xf>
    <xf numFmtId="167" fontId="19" fillId="9" borderId="45" xfId="0" applyNumberFormat="1" applyFont="1" applyFill="1" applyBorder="1" applyAlignment="1">
      <alignment horizontal="right" vertical="top" wrapText="1"/>
    </xf>
    <xf numFmtId="167" fontId="19" fillId="9" borderId="46" xfId="0" applyNumberFormat="1" applyFont="1" applyFill="1" applyBorder="1" applyAlignment="1">
      <alignment horizontal="right" vertical="top" wrapText="1"/>
    </xf>
    <xf numFmtId="0" fontId="18" fillId="8" borderId="37" xfId="0" applyFont="1" applyFill="1" applyBorder="1" applyAlignment="1">
      <alignment horizontal="center" vertical="top" wrapText="1"/>
    </xf>
    <xf numFmtId="0" fontId="19" fillId="8" borderId="4" xfId="0" applyFont="1" applyFill="1" applyBorder="1" applyAlignment="1">
      <alignment horizontal="center" vertical="top" wrapText="1"/>
    </xf>
    <xf numFmtId="0" fontId="19" fillId="8" borderId="40" xfId="0" applyFont="1" applyFill="1" applyBorder="1" applyAlignment="1">
      <alignment horizontal="center" vertical="top" wrapText="1"/>
    </xf>
    <xf numFmtId="0" fontId="24" fillId="8" borderId="4" xfId="0" applyFont="1" applyFill="1" applyBorder="1" applyAlignment="1">
      <alignment horizontal="center" vertical="top" wrapText="1"/>
    </xf>
    <xf numFmtId="0" fontId="24" fillId="8" borderId="40" xfId="0" applyFont="1" applyFill="1" applyBorder="1" applyAlignment="1">
      <alignment horizontal="center" vertical="top" wrapText="1"/>
    </xf>
    <xf numFmtId="0" fontId="18" fillId="8" borderId="42" xfId="0" applyFont="1" applyFill="1" applyBorder="1" applyAlignment="1">
      <alignment horizontal="center" vertical="top" wrapText="1"/>
    </xf>
    <xf numFmtId="0" fontId="18" fillId="8" borderId="43" xfId="0" applyFont="1" applyFill="1" applyBorder="1" applyAlignment="1">
      <alignment horizontal="center" vertical="top" wrapText="1"/>
    </xf>
    <xf numFmtId="167" fontId="32" fillId="9" borderId="44" xfId="0" applyNumberFormat="1" applyFont="1" applyFill="1" applyBorder="1" applyAlignment="1">
      <alignment horizontal="right" vertical="top" wrapText="1"/>
    </xf>
    <xf numFmtId="167" fontId="32" fillId="9" borderId="45" xfId="0" applyNumberFormat="1" applyFont="1" applyFill="1" applyBorder="1" applyAlignment="1">
      <alignment horizontal="right" vertical="top" wrapText="1"/>
    </xf>
    <xf numFmtId="167" fontId="32" fillId="9" borderId="46" xfId="0" applyNumberFormat="1" applyFont="1" applyFill="1" applyBorder="1" applyAlignment="1">
      <alignment horizontal="right" vertical="top" wrapText="1"/>
    </xf>
    <xf numFmtId="2" fontId="18" fillId="8" borderId="44" xfId="0" applyNumberFormat="1" applyFont="1" applyFill="1" applyBorder="1" applyAlignment="1">
      <alignment horizontal="right" vertical="top" wrapText="1"/>
    </xf>
    <xf numFmtId="2" fontId="18" fillId="8" borderId="45" xfId="0" applyNumberFormat="1" applyFont="1" applyFill="1" applyBorder="1" applyAlignment="1">
      <alignment horizontal="right" vertical="top" wrapText="1"/>
    </xf>
    <xf numFmtId="2" fontId="18" fillId="8" borderId="46" xfId="0" applyNumberFormat="1" applyFont="1" applyFill="1" applyBorder="1" applyAlignment="1">
      <alignment horizontal="right" vertical="top" wrapText="1"/>
    </xf>
    <xf numFmtId="0" fontId="19" fillId="9" borderId="44" xfId="0" applyFont="1" applyFill="1" applyBorder="1" applyAlignment="1">
      <alignment horizontal="left" vertical="top" wrapText="1"/>
    </xf>
    <xf numFmtId="0" fontId="19" fillId="9" borderId="46" xfId="0" applyFont="1" applyFill="1" applyBorder="1" applyAlignment="1">
      <alignment horizontal="left" vertical="top" wrapText="1"/>
    </xf>
    <xf numFmtId="0" fontId="19" fillId="9" borderId="45" xfId="0" applyFont="1" applyFill="1" applyBorder="1" applyAlignment="1">
      <alignment horizontal="left" vertical="top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35" xfId="0" applyFont="1" applyFill="1" applyBorder="1" applyAlignment="1">
      <alignment horizontal="center" vertical="center" wrapText="1"/>
    </xf>
    <xf numFmtId="0" fontId="18" fillId="8" borderId="36" xfId="0" applyFont="1" applyFill="1" applyBorder="1" applyAlignment="1">
      <alignment horizontal="center" vertical="center" wrapText="1"/>
    </xf>
    <xf numFmtId="0" fontId="18" fillId="8" borderId="37" xfId="0" applyFont="1" applyFill="1" applyBorder="1" applyAlignment="1">
      <alignment horizontal="center" vertical="center" wrapText="1"/>
    </xf>
    <xf numFmtId="0" fontId="18" fillId="8" borderId="38" xfId="0" applyFont="1" applyFill="1" applyBorder="1" applyAlignment="1">
      <alignment horizontal="center" vertical="center" wrapText="1"/>
    </xf>
    <xf numFmtId="0" fontId="18" fillId="8" borderId="39" xfId="0" applyFont="1" applyFill="1" applyBorder="1" applyAlignment="1">
      <alignment horizontal="center" vertical="center" wrapText="1"/>
    </xf>
    <xf numFmtId="0" fontId="18" fillId="8" borderId="40" xfId="0" applyFont="1" applyFill="1" applyBorder="1" applyAlignment="1">
      <alignment horizontal="center" vertical="center" wrapText="1"/>
    </xf>
    <xf numFmtId="0" fontId="18" fillId="8" borderId="41" xfId="0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18" fillId="8" borderId="43" xfId="0" applyFont="1" applyFill="1" applyBorder="1" applyAlignment="1">
      <alignment horizontal="center" vertical="center" wrapText="1"/>
    </xf>
    <xf numFmtId="164" fontId="7" fillId="4" borderId="34" xfId="0" applyNumberFormat="1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left" vertical="center"/>
    </xf>
    <xf numFmtId="164" fontId="7" fillId="3" borderId="58" xfId="0" applyNumberFormat="1" applyFont="1" applyFill="1" applyBorder="1" applyAlignment="1">
      <alignment horizontal="left" vertical="center"/>
    </xf>
    <xf numFmtId="164" fontId="7" fillId="3" borderId="59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44" fontId="22" fillId="0" borderId="4" xfId="1" applyFont="1" applyBorder="1"/>
  </cellXfs>
  <cellStyles count="7">
    <cellStyle name="Moeda" xfId="1" builtinId="4"/>
    <cellStyle name="Normal" xfId="0" builtinId="0"/>
    <cellStyle name="Normal 2" xfId="3" xr:uid="{89934119-66BE-4554-8D7F-F4FDAB4F0E33}"/>
    <cellStyle name="Normal 3" xfId="5" xr:uid="{B9ED1896-F16F-43E2-94C5-F7F8FC4D02D1}"/>
    <cellStyle name="Normal 4" xfId="6" xr:uid="{3D5A1DD2-1BDD-4AC0-8D50-0F2BD634A0CA}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94891</xdr:colOff>
      <xdr:row>0</xdr:row>
      <xdr:rowOff>8626</xdr:rowOff>
    </xdr:from>
    <xdr:to>
      <xdr:col>2</xdr:col>
      <xdr:colOff>0</xdr:colOff>
      <xdr:row>3</xdr:row>
      <xdr:rowOff>34505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A38D2CC-3F1A-4DA5-9E83-E5798CD8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1" y="8626"/>
          <a:ext cx="672860" cy="569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1"/>
  <sheetViews>
    <sheetView zoomScale="85" zoomScaleNormal="85" workbookViewId="0">
      <selection activeCell="B3" sqref="B3"/>
    </sheetView>
  </sheetViews>
  <sheetFormatPr defaultColWidth="14.5" defaultRowHeight="14.95" customHeight="1" x14ac:dyDescent="0.25"/>
  <cols>
    <col min="1" max="1" width="66.375" customWidth="1"/>
    <col min="2" max="2" width="22.375" customWidth="1"/>
    <col min="3" max="3" width="16.875" customWidth="1"/>
    <col min="4" max="4" width="24.125" style="43" customWidth="1"/>
    <col min="5" max="5" width="10.875" customWidth="1"/>
    <col min="6" max="6" width="9.125" customWidth="1"/>
    <col min="7" max="7" width="11.625" customWidth="1"/>
    <col min="8" max="10" width="9.125" customWidth="1"/>
    <col min="11" max="11" width="10.875" customWidth="1"/>
    <col min="12" max="23" width="9.125" customWidth="1"/>
  </cols>
  <sheetData>
    <row r="1" spans="1:23" ht="16.5" customHeight="1" x14ac:dyDescent="0.65">
      <c r="A1" s="133" t="s">
        <v>0</v>
      </c>
      <c r="B1" s="135" t="s">
        <v>34</v>
      </c>
      <c r="C1" s="136"/>
      <c r="D1" s="64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5" customHeight="1" x14ac:dyDescent="0.65">
      <c r="A2" s="134"/>
      <c r="B2" s="57" t="s">
        <v>2</v>
      </c>
      <c r="C2" s="53" t="s">
        <v>3</v>
      </c>
      <c r="D2" s="65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5" customHeight="1" x14ac:dyDescent="0.65">
      <c r="A3" s="59" t="str">
        <f>ORÇAMENTO_EXECUTIVO!A3</f>
        <v>MOVIMENTAÇÃO DE TERRA</v>
      </c>
      <c r="B3" s="50">
        <f>ORÇAMENTO_EXECUTIVO!B3</f>
        <v>76735.27</v>
      </c>
      <c r="C3" s="60">
        <f>ORÇAMENTO_EXECUTIVO!D3</f>
        <v>24.594243681992275</v>
      </c>
      <c r="D3" s="61" t="str">
        <f>FIXED(CÁLCULO_MÉDIAS!L9,2,FALSE)&amp;" "&amp;"-"&amp;FIXED(CÁLCULO_MÉDIAS!M9,2,FALSE)</f>
        <v>10,00 -25,00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5" customHeight="1" x14ac:dyDescent="0.25">
      <c r="A4" s="31" t="str">
        <f>ORÇAMENTO_EXECUTIVO!A4</f>
        <v>INFRAESTRUTURA</v>
      </c>
      <c r="B4" s="11">
        <f>ORÇAMENTO_EXECUTIVO!B4</f>
        <v>783900.64</v>
      </c>
      <c r="C4" s="19">
        <f>ORÇAMENTO_EXECUTIVO!D4</f>
        <v>251.24617874713545</v>
      </c>
      <c r="D4" s="32" t="str">
        <f>FIXED(CÁLCULO_MÉDIAS!L10,2,FALSE)&amp;" "&amp;"-"&amp;FIXED(CÁLCULO_MÉDIAS!M10,2,FALSE)</f>
        <v>65,00 -100,00</v>
      </c>
      <c r="E4" s="4"/>
      <c r="F4" s="3"/>
      <c r="G4" s="4"/>
      <c r="H4" s="5"/>
      <c r="I4" s="3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5" customHeight="1" x14ac:dyDescent="0.25">
      <c r="A5" s="59" t="str">
        <f>ORÇAMENTO_EXECUTIVO!A5</f>
        <v>SUPRAESTRUTURA</v>
      </c>
      <c r="B5" s="50">
        <f>ORÇAMENTO_EXECUTIVO!B5</f>
        <v>2467160.79</v>
      </c>
      <c r="C5" s="60">
        <f>ORÇAMENTO_EXECUTIVO!D5</f>
        <v>790.7439912821909</v>
      </c>
      <c r="D5" s="61" t="str">
        <f>FIXED(CÁLCULO_MÉDIAS!L11,2,FALSE)&amp;" "&amp;"-"&amp;FIXED(CÁLCULO_MÉDIAS!M11,2,FALSE)</f>
        <v>515,00 -670,00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5" customHeight="1" x14ac:dyDescent="0.25">
      <c r="A6" s="31" t="str">
        <f>ORÇAMENTO_EXECUTIVO!A6</f>
        <v>ALVENARIA</v>
      </c>
      <c r="B6" s="11">
        <f>ORÇAMENTO_EXECUTIVO!B6</f>
        <v>348134.35</v>
      </c>
      <c r="C6" s="19">
        <f>ORÇAMENTO_EXECUTIVO!D6</f>
        <v>111.57973429912981</v>
      </c>
      <c r="D6" s="32" t="str">
        <f>FIXED(CÁLCULO_MÉDIAS!L12,2,FALSE)&amp;" "&amp;"-"&amp;FIXED(CÁLCULO_MÉDIAS!M12,2,FALSE)</f>
        <v>70,00 -120,00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5" customHeight="1" x14ac:dyDescent="0.25">
      <c r="A7" s="59" t="str">
        <f>ORÇAMENTO_EXECUTIVO!A7</f>
        <v>INSTALAÇÕES ELÉTRICAS, HIDRÁULICAS, GLP E PREVENTIVAS</v>
      </c>
      <c r="B7" s="50">
        <f>ORÇAMENTO_EXECUTIVO!B7</f>
        <v>1164752.43</v>
      </c>
      <c r="C7" s="60">
        <f>ORÇAMENTO_EXECUTIVO!D7</f>
        <v>373.31210397269268</v>
      </c>
      <c r="D7" s="61" t="str">
        <f>FIXED(CÁLCULO_MÉDIAS!L13,2,FALSE)&amp;" "&amp;"-"&amp;FIXED(CÁLCULO_MÉDIAS!M13,2,FALSE)</f>
        <v>290,00 -335,00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5" customHeight="1" x14ac:dyDescent="0.25">
      <c r="A8" s="31" t="str">
        <f>ORÇAMENTO_EXECUTIVO!A8</f>
        <v>EQUIPAMENTOS E SISTEMAS ESPECIAIS</v>
      </c>
      <c r="B8" s="11">
        <f>ORÇAMENTO_EXECUTIVO!B8</f>
        <v>334750</v>
      </c>
      <c r="C8" s="19">
        <f>ORÇAMENTO_EXECUTIVO!D8</f>
        <v>107.28994727648595</v>
      </c>
      <c r="D8" s="32" t="str">
        <f>FIXED(CÁLCULO_MÉDIAS!L14,2,FALSE)&amp;" "&amp;"-"&amp;FIXED(CÁLCULO_MÉDIAS!M14,2,FALSE)</f>
        <v>125,00 -255,00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5" customHeight="1" x14ac:dyDescent="0.25">
      <c r="A9" s="59" t="str">
        <f>ORÇAMENTO_EXECUTIVO!A9</f>
        <v>IMPERMEABILIZAÇÃO</v>
      </c>
      <c r="B9" s="50">
        <f>ORÇAMENTO_EXECUTIVO!B9</f>
        <v>249600.14</v>
      </c>
      <c r="C9" s="60">
        <f>ORÇAMENTO_EXECUTIVO!D9</f>
        <v>79.998762840339097</v>
      </c>
      <c r="D9" s="61" t="str">
        <f>FIXED(CÁLCULO_MÉDIAS!L15,2,FALSE)&amp;" "&amp;"-"&amp;FIXED(CÁLCULO_MÉDIAS!M15,2,FALSE)</f>
        <v>35,00 -65,00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5" customHeight="1" x14ac:dyDescent="0.25">
      <c r="A10" s="31" t="str">
        <f>ORÇAMENTO_EXECUTIVO!A10</f>
        <v>REVESTIMENTOS INTERNOS DE PAREDE</v>
      </c>
      <c r="B10" s="11">
        <f>ORÇAMENTO_EXECUTIVO!B10</f>
        <v>605982.31999999995</v>
      </c>
      <c r="C10" s="19">
        <f>ORÇAMENTO_EXECUTIVO!D10</f>
        <v>194.22199003221098</v>
      </c>
      <c r="D10" s="32" t="str">
        <f>FIXED(CÁLCULO_MÉDIAS!L16,2,FALSE)&amp;" "&amp;"-"&amp;FIXED(CÁLCULO_MÉDIAS!M16,2,FALSE)</f>
        <v>65,00 -165,00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5" customHeight="1" x14ac:dyDescent="0.25">
      <c r="A11" s="59" t="str">
        <f>ORÇAMENTO_EXECUTIVO!A11</f>
        <v>REVESTIMENTOS E ACABAMENTOS INTERNOS EM TETO</v>
      </c>
      <c r="B11" s="50">
        <f>ORÇAMENTO_EXECUTIVO!B11</f>
        <v>119794.21</v>
      </c>
      <c r="C11" s="60">
        <f>ORÇAMENTO_EXECUTIVO!D11</f>
        <v>38.394964824281665</v>
      </c>
      <c r="D11" s="61" t="str">
        <f>FIXED(CÁLCULO_MÉDIAS!L17,2,FALSE)&amp;" "&amp;"-"&amp;FIXED(CÁLCULO_MÉDIAS!M17,2,FALSE)</f>
        <v>38,00 -60,00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5" customHeight="1" x14ac:dyDescent="0.25">
      <c r="A12" s="31" t="str">
        <f>ORÇAMENTO_EXECUTIVO!A12</f>
        <v>PISOS E PAVIMENTAÇÕES</v>
      </c>
      <c r="B12" s="11">
        <f>ORÇAMENTO_EXECUTIVO!B12</f>
        <v>515781.63</v>
      </c>
      <c r="C12" s="19">
        <f>ORÇAMENTO_EXECUTIVO!D12</f>
        <v>165.31197576961907</v>
      </c>
      <c r="D12" s="32" t="str">
        <f>FIXED(CÁLCULO_MÉDIAS!L18,2,FALSE)&amp;" "&amp;"-"&amp;FIXED(CÁLCULO_MÉDIAS!M18,2,FALSE)</f>
        <v>220,00 -235,00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5" customHeight="1" x14ac:dyDescent="0.25">
      <c r="A13" s="59" t="str">
        <f>ORÇAMENTO_EXECUTIVO!A13</f>
        <v>PINTURA INTERNA</v>
      </c>
      <c r="B13" s="50">
        <f>ORÇAMENTO_EXECUTIVO!B13</f>
        <v>237376.62</v>
      </c>
      <c r="C13" s="60">
        <f>ORÇAMENTO_EXECUTIVO!D13</f>
        <v>76.081030752712294</v>
      </c>
      <c r="D13" s="61" t="str">
        <f>FIXED(CÁLCULO_MÉDIAS!L19,2,FALSE)&amp;" "&amp;"-"&amp;FIXED(CÁLCULO_MÉDIAS!M19,2,FALSE)</f>
        <v>65,00 -70,00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5" customHeight="1" x14ac:dyDescent="0.25">
      <c r="A14" s="31" t="str">
        <f>ORÇAMENTO_EXECUTIVO!A14</f>
        <v>ESQUADRIAS, VIDROS E FERRAGENS</v>
      </c>
      <c r="B14" s="11">
        <f>ORÇAMENTO_EXECUTIVO!B14</f>
        <v>1067596.6099999999</v>
      </c>
      <c r="C14" s="19">
        <f>ORÇAMENTO_EXECUTIVO!D14</f>
        <v>342.17291710068741</v>
      </c>
      <c r="D14" s="32" t="str">
        <f>FIXED(CÁLCULO_MÉDIAS!L20,2,FALSE)&amp;" "&amp;"-"&amp;FIXED(CÁLCULO_MÉDIAS!M20,2,FALSE)</f>
        <v>360,00 -400,00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5" customHeight="1" x14ac:dyDescent="0.25">
      <c r="A15" s="59" t="str">
        <f>ORÇAMENTO_EXECUTIVO!A15</f>
        <v>REVESTIMENTOS E ACABAMENTOS DE FACHADA</v>
      </c>
      <c r="B15" s="50">
        <f>ORÇAMENTO_EXECUTIVO!B15</f>
        <v>506232.01</v>
      </c>
      <c r="C15" s="60">
        <f>ORÇAMENTO_EXECUTIVO!D15</f>
        <v>162.25124917869906</v>
      </c>
      <c r="D15" s="61" t="str">
        <f>FIXED(CÁLCULO_MÉDIAS!L22,2,FALSE)&amp;" "&amp;"-"&amp;FIXED(CÁLCULO_MÉDIAS!M22,2,FALSE)</f>
        <v>150,00 -190,00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5" customHeight="1" x14ac:dyDescent="0.25">
      <c r="A16" s="31" t="str">
        <f>ORÇAMENTO_EXECUTIVO!A16</f>
        <v>SERVIÇOS COMPLEMENTARES</v>
      </c>
      <c r="B16" s="11">
        <f>ORÇAMENTO_EXECUTIVO!B16</f>
        <v>86568.1</v>
      </c>
      <c r="C16" s="19">
        <f>ORÇAMENTO_EXECUTIVO!D16</f>
        <v>27.745741254146569</v>
      </c>
      <c r="D16" s="32" t="str">
        <f>FIXED(CÁLCULO_MÉDIAS!L23,2,FALSE)&amp;" "&amp;"-"&amp;FIXED(CÁLCULO_MÉDIAS!M23,2,FALSE)</f>
        <v>80,00 -150,00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5" customHeight="1" thickBot="1" x14ac:dyDescent="0.7">
      <c r="A17" s="66" t="s">
        <v>15</v>
      </c>
      <c r="B17" s="67">
        <f t="shared" ref="B17:C17" si="0">SUM(B3:B16)</f>
        <v>8564365.1199999992</v>
      </c>
      <c r="C17" s="68">
        <f t="shared" si="0"/>
        <v>2744.9448310123234</v>
      </c>
      <c r="D17" s="69" t="str">
        <f>FIXED(CÁLCULO_MÉDIAS!L24,2,FALSE)&amp;" "&amp;"-"&amp;FIXED(CÁLCULO_MÉDIAS!M24,2,FALSE)</f>
        <v>2.091,00 -2.848,00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65">
      <c r="A18" s="1"/>
      <c r="B18" s="6"/>
      <c r="C18" s="1"/>
      <c r="D18" s="4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75" customHeight="1" x14ac:dyDescent="0.65">
      <c r="A19" s="1"/>
      <c r="B19" s="6"/>
      <c r="C19" s="1"/>
      <c r="D19" s="4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65">
      <c r="A20" s="1"/>
      <c r="B20" s="6"/>
      <c r="C20" s="1"/>
      <c r="D20" s="4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thickBot="1" x14ac:dyDescent="0.7">
      <c r="A21" s="1"/>
      <c r="B21" s="6"/>
      <c r="C21" s="1"/>
      <c r="D21" s="4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 thickBot="1" x14ac:dyDescent="0.7">
      <c r="A22" s="216" t="s">
        <v>164</v>
      </c>
      <c r="B22" s="216" t="s">
        <v>122</v>
      </c>
      <c r="C22" s="217" t="s">
        <v>165</v>
      </c>
      <c r="D22" s="48">
        <f>ORÇAMENTO_EXECUTIVO!B18</f>
        <v>10446494.539999997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customHeight="1" x14ac:dyDescent="0.65">
      <c r="A23" s="59" t="s">
        <v>166</v>
      </c>
      <c r="B23" s="50">
        <v>1729.84</v>
      </c>
      <c r="C23" s="212">
        <f>D22/B23</f>
        <v>6038.9946700272849</v>
      </c>
      <c r="D23" s="4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customHeight="1" x14ac:dyDescent="0.65">
      <c r="A24" s="31" t="s">
        <v>167</v>
      </c>
      <c r="B24" s="11">
        <v>75.56</v>
      </c>
      <c r="C24" s="32">
        <f>D22/B24</f>
        <v>138254.29512969821</v>
      </c>
      <c r="D24" s="4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customHeight="1" x14ac:dyDescent="0.65">
      <c r="A25" s="59" t="s">
        <v>168</v>
      </c>
      <c r="B25" s="50">
        <v>74.56</v>
      </c>
      <c r="C25" s="212">
        <f>D22/B25</f>
        <v>140108.56410944203</v>
      </c>
      <c r="D25" s="4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customHeight="1" x14ac:dyDescent="0.65">
      <c r="A26" s="31" t="s">
        <v>169</v>
      </c>
      <c r="B26" s="11">
        <v>69.180000000000007</v>
      </c>
      <c r="C26" s="32">
        <f>D22/B26</f>
        <v>151004.54668979469</v>
      </c>
      <c r="D26" s="4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customHeight="1" x14ac:dyDescent="0.65">
      <c r="A27" s="59" t="s">
        <v>170</v>
      </c>
      <c r="B27" s="50">
        <v>72.53</v>
      </c>
      <c r="C27" s="212">
        <f>D22/B27</f>
        <v>144029.98124913825</v>
      </c>
      <c r="D27" s="4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customHeight="1" x14ac:dyDescent="0.65">
      <c r="A28" s="31" t="s">
        <v>171</v>
      </c>
      <c r="B28" s="11">
        <v>72.91</v>
      </c>
      <c r="C28" s="32">
        <f>D22/B28</f>
        <v>143279.31065697432</v>
      </c>
      <c r="D28" s="4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customHeight="1" x14ac:dyDescent="0.65">
      <c r="A29" s="59" t="s">
        <v>172</v>
      </c>
      <c r="B29" s="50">
        <v>74.81</v>
      </c>
      <c r="C29" s="212">
        <f>D22/B29</f>
        <v>139640.34941852689</v>
      </c>
      <c r="D29" s="4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customHeight="1" thickBot="1" x14ac:dyDescent="0.7">
      <c r="A30" s="213" t="s">
        <v>173</v>
      </c>
      <c r="B30" s="214">
        <v>72.78</v>
      </c>
      <c r="C30" s="215">
        <f>D22/B30</f>
        <v>143535.23687826321</v>
      </c>
      <c r="D30" s="4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customHeight="1" x14ac:dyDescent="0.65">
      <c r="A31" s="1"/>
      <c r="B31" s="6"/>
      <c r="C31" s="1"/>
      <c r="D31" s="4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customHeight="1" x14ac:dyDescent="0.65">
      <c r="A32" s="1"/>
      <c r="B32" s="6"/>
      <c r="C32" s="1"/>
      <c r="D32" s="4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customHeight="1" x14ac:dyDescent="0.65">
      <c r="A33" s="1"/>
      <c r="B33" s="6"/>
      <c r="C33" s="1"/>
      <c r="D33" s="4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customHeight="1" x14ac:dyDescent="0.65">
      <c r="A34" s="1"/>
      <c r="B34" s="6"/>
      <c r="C34" s="1"/>
      <c r="D34" s="4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customHeight="1" x14ac:dyDescent="0.65">
      <c r="A35" s="1"/>
      <c r="B35" s="6"/>
      <c r="C35" s="1"/>
      <c r="D35" s="4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customHeight="1" x14ac:dyDescent="0.65">
      <c r="A36" s="1"/>
      <c r="B36" s="6"/>
      <c r="C36" s="1"/>
      <c r="D36" s="4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customHeight="1" x14ac:dyDescent="0.65">
      <c r="A37" s="1"/>
      <c r="B37" s="6"/>
      <c r="C37" s="1"/>
      <c r="D37" s="4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customHeight="1" x14ac:dyDescent="0.65">
      <c r="A38" s="1"/>
      <c r="B38" s="6"/>
      <c r="C38" s="1"/>
      <c r="D38" s="4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customHeight="1" x14ac:dyDescent="0.65">
      <c r="A39" s="1"/>
      <c r="B39" s="6"/>
      <c r="C39" s="1"/>
      <c r="D39" s="4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customHeight="1" x14ac:dyDescent="0.65">
      <c r="A40" s="1"/>
      <c r="B40" s="6"/>
      <c r="C40" s="1"/>
      <c r="D40" s="4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customHeight="1" x14ac:dyDescent="0.65">
      <c r="A41" s="1"/>
      <c r="B41" s="6"/>
      <c r="C41" s="1"/>
      <c r="D41" s="4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customHeight="1" x14ac:dyDescent="0.65">
      <c r="A42" s="1"/>
      <c r="B42" s="6"/>
      <c r="C42" s="1"/>
      <c r="D42" s="4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customHeight="1" x14ac:dyDescent="0.65">
      <c r="A43" s="1"/>
      <c r="B43" s="6"/>
      <c r="C43" s="1"/>
      <c r="D43" s="4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customHeight="1" x14ac:dyDescent="0.65">
      <c r="A44" s="1"/>
      <c r="B44" s="6"/>
      <c r="C44" s="1"/>
      <c r="D44" s="4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customHeight="1" x14ac:dyDescent="0.65">
      <c r="A45" s="1"/>
      <c r="B45" s="6"/>
      <c r="C45" s="1"/>
      <c r="D45" s="4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customHeight="1" x14ac:dyDescent="0.65">
      <c r="A46" s="1"/>
      <c r="B46" s="6"/>
      <c r="C46" s="1"/>
      <c r="D46" s="4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customHeight="1" x14ac:dyDescent="0.65">
      <c r="A47" s="1"/>
      <c r="B47" s="6"/>
      <c r="C47" s="1"/>
      <c r="D47" s="4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customHeight="1" x14ac:dyDescent="0.65">
      <c r="A48" s="1"/>
      <c r="B48" s="6"/>
      <c r="C48" s="1"/>
      <c r="D48" s="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customHeight="1" x14ac:dyDescent="0.65">
      <c r="A49" s="1"/>
      <c r="B49" s="6"/>
      <c r="C49" s="1"/>
      <c r="D49" s="4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customHeight="1" x14ac:dyDescent="0.65">
      <c r="A50" s="1"/>
      <c r="B50" s="6"/>
      <c r="C50" s="1"/>
      <c r="D50" s="4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customHeight="1" x14ac:dyDescent="0.65">
      <c r="A51" s="1"/>
      <c r="B51" s="6"/>
      <c r="C51" s="1"/>
      <c r="D51" s="4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customHeight="1" x14ac:dyDescent="0.65">
      <c r="A52" s="1"/>
      <c r="B52" s="6"/>
      <c r="C52" s="1"/>
      <c r="D52" s="4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customHeight="1" x14ac:dyDescent="0.65">
      <c r="A53" s="1"/>
      <c r="B53" s="6"/>
      <c r="C53" s="1"/>
      <c r="D53" s="4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customHeight="1" x14ac:dyDescent="0.65">
      <c r="A54" s="1"/>
      <c r="B54" s="6"/>
      <c r="C54" s="1"/>
      <c r="D54" s="4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customHeight="1" x14ac:dyDescent="0.65">
      <c r="A55" s="1"/>
      <c r="B55" s="6"/>
      <c r="C55" s="1"/>
      <c r="D55" s="4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customHeight="1" x14ac:dyDescent="0.65">
      <c r="A56" s="1"/>
      <c r="B56" s="6"/>
      <c r="C56" s="1"/>
      <c r="D56" s="4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customHeight="1" x14ac:dyDescent="0.65">
      <c r="A57" s="1"/>
      <c r="B57" s="6"/>
      <c r="C57" s="1"/>
      <c r="D57" s="4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customHeight="1" x14ac:dyDescent="0.65">
      <c r="A58" s="1"/>
      <c r="B58" s="6"/>
      <c r="C58" s="1"/>
      <c r="D58" s="4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customHeight="1" x14ac:dyDescent="0.65">
      <c r="A59" s="1"/>
      <c r="B59" s="6"/>
      <c r="C59" s="1"/>
      <c r="D59" s="4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customHeight="1" x14ac:dyDescent="0.65">
      <c r="A60" s="1"/>
      <c r="B60" s="6"/>
      <c r="C60" s="1"/>
      <c r="D60" s="4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customHeight="1" x14ac:dyDescent="0.65">
      <c r="A61" s="1"/>
      <c r="B61" s="6"/>
      <c r="C61" s="1"/>
      <c r="D61" s="4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customHeight="1" x14ac:dyDescent="0.65">
      <c r="A62" s="1"/>
      <c r="B62" s="6"/>
      <c r="C62" s="1"/>
      <c r="D62" s="4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customHeight="1" x14ac:dyDescent="0.65">
      <c r="A63" s="1"/>
      <c r="B63" s="6"/>
      <c r="C63" s="1"/>
      <c r="D63" s="4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customHeight="1" x14ac:dyDescent="0.65">
      <c r="A64" s="1"/>
      <c r="B64" s="6"/>
      <c r="C64" s="1"/>
      <c r="D64" s="4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customHeight="1" x14ac:dyDescent="0.65">
      <c r="A65" s="1"/>
      <c r="B65" s="6"/>
      <c r="C65" s="1"/>
      <c r="D65" s="4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customHeight="1" x14ac:dyDescent="0.65">
      <c r="A66" s="1"/>
      <c r="B66" s="6"/>
      <c r="C66" s="1"/>
      <c r="D66" s="4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customHeight="1" x14ac:dyDescent="0.65">
      <c r="A67" s="1"/>
      <c r="B67" s="6"/>
      <c r="C67" s="1"/>
      <c r="D67" s="4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customHeight="1" x14ac:dyDescent="0.65">
      <c r="A68" s="1"/>
      <c r="B68" s="6"/>
      <c r="C68" s="1"/>
      <c r="D68" s="4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customHeight="1" x14ac:dyDescent="0.65">
      <c r="A69" s="1"/>
      <c r="B69" s="6"/>
      <c r="C69" s="1"/>
      <c r="D69" s="4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customHeight="1" x14ac:dyDescent="0.65">
      <c r="A70" s="1"/>
      <c r="B70" s="6"/>
      <c r="C70" s="1"/>
      <c r="D70" s="4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customHeight="1" x14ac:dyDescent="0.65">
      <c r="A71" s="1"/>
      <c r="B71" s="6"/>
      <c r="C71" s="1"/>
      <c r="D71" s="4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customHeight="1" x14ac:dyDescent="0.65">
      <c r="A72" s="1"/>
      <c r="B72" s="6"/>
      <c r="C72" s="1"/>
      <c r="D72" s="4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customHeight="1" x14ac:dyDescent="0.65">
      <c r="A73" s="1"/>
      <c r="B73" s="6"/>
      <c r="C73" s="1"/>
      <c r="D73" s="4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customHeight="1" x14ac:dyDescent="0.65">
      <c r="A74" s="1"/>
      <c r="B74" s="6"/>
      <c r="C74" s="1"/>
      <c r="D74" s="4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 x14ac:dyDescent="0.65">
      <c r="A75" s="1"/>
      <c r="B75" s="6"/>
      <c r="C75" s="1"/>
      <c r="D75" s="4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5">
      <c r="A76" s="1"/>
      <c r="B76" s="6"/>
      <c r="C76" s="1"/>
      <c r="D76" s="4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5">
      <c r="A77" s="1"/>
      <c r="B77" s="6"/>
      <c r="C77" s="1"/>
      <c r="D77" s="4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5">
      <c r="A78" s="1"/>
      <c r="B78" s="6"/>
      <c r="C78" s="1"/>
      <c r="D78" s="4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5">
      <c r="A79" s="1"/>
      <c r="B79" s="6"/>
      <c r="C79" s="1"/>
      <c r="D79" s="4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5">
      <c r="A80" s="1"/>
      <c r="B80" s="6"/>
      <c r="C80" s="1"/>
      <c r="D80" s="4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5">
      <c r="A81" s="1"/>
      <c r="B81" s="6"/>
      <c r="C81" s="1"/>
      <c r="D81" s="4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5">
      <c r="A82" s="1"/>
      <c r="B82" s="6"/>
      <c r="C82" s="1"/>
      <c r="D82" s="4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5">
      <c r="A83" s="1"/>
      <c r="B83" s="6"/>
      <c r="C83" s="1"/>
      <c r="D83" s="4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5">
      <c r="A84" s="1"/>
      <c r="B84" s="6"/>
      <c r="C84" s="1"/>
      <c r="D84" s="4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5">
      <c r="A85" s="1"/>
      <c r="B85" s="6"/>
      <c r="C85" s="1"/>
      <c r="D85" s="4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5">
      <c r="A86" s="1"/>
      <c r="B86" s="6"/>
      <c r="C86" s="1"/>
      <c r="D86" s="4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5">
      <c r="A87" s="1"/>
      <c r="B87" s="6"/>
      <c r="C87" s="1"/>
      <c r="D87" s="4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5">
      <c r="A88" s="1"/>
      <c r="B88" s="6"/>
      <c r="C88" s="1"/>
      <c r="D88" s="4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5">
      <c r="A89" s="1"/>
      <c r="B89" s="6"/>
      <c r="C89" s="1"/>
      <c r="D89" s="4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5">
      <c r="A90" s="1"/>
      <c r="B90" s="6"/>
      <c r="C90" s="1"/>
      <c r="D90" s="4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5">
      <c r="A91" s="1"/>
      <c r="B91" s="6"/>
      <c r="C91" s="1"/>
      <c r="D91" s="4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5">
      <c r="A92" s="1"/>
      <c r="B92" s="6"/>
      <c r="C92" s="1"/>
      <c r="D92" s="4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5">
      <c r="A93" s="1"/>
      <c r="B93" s="6"/>
      <c r="C93" s="1"/>
      <c r="D93" s="4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5">
      <c r="A94" s="1"/>
      <c r="B94" s="6"/>
      <c r="C94" s="1"/>
      <c r="D94" s="4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5">
      <c r="A95" s="1"/>
      <c r="B95" s="6"/>
      <c r="C95" s="1"/>
      <c r="D95" s="4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5">
      <c r="A96" s="1"/>
      <c r="B96" s="6"/>
      <c r="C96" s="1"/>
      <c r="D96" s="4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5">
      <c r="A97" s="1"/>
      <c r="B97" s="6"/>
      <c r="C97" s="1"/>
      <c r="D97" s="4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5">
      <c r="A98" s="1"/>
      <c r="B98" s="6"/>
      <c r="C98" s="1"/>
      <c r="D98" s="4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5">
      <c r="A99" s="1"/>
      <c r="B99" s="6"/>
      <c r="C99" s="1"/>
      <c r="D99" s="4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5">
      <c r="A100" s="1"/>
      <c r="B100" s="6"/>
      <c r="C100" s="1"/>
      <c r="D100" s="4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5">
      <c r="A101" s="1"/>
      <c r="B101" s="6"/>
      <c r="C101" s="1"/>
      <c r="D101" s="4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5">
      <c r="A102" s="1"/>
      <c r="B102" s="6"/>
      <c r="C102" s="1"/>
      <c r="D102" s="4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5">
      <c r="A103" s="1"/>
      <c r="B103" s="6"/>
      <c r="C103" s="1"/>
      <c r="D103" s="4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5">
      <c r="A104" s="1"/>
      <c r="B104" s="6"/>
      <c r="C104" s="1"/>
      <c r="D104" s="4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5">
      <c r="A105" s="1"/>
      <c r="B105" s="6"/>
      <c r="C105" s="1"/>
      <c r="D105" s="4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5">
      <c r="A106" s="1"/>
      <c r="B106" s="6"/>
      <c r="C106" s="1"/>
      <c r="D106" s="4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5">
      <c r="A107" s="1"/>
      <c r="B107" s="6"/>
      <c r="C107" s="1"/>
      <c r="D107" s="4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5">
      <c r="A108" s="1"/>
      <c r="B108" s="6"/>
      <c r="C108" s="1"/>
      <c r="D108" s="4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5">
      <c r="A109" s="1"/>
      <c r="B109" s="6"/>
      <c r="C109" s="1"/>
      <c r="D109" s="4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5">
      <c r="A110" s="1"/>
      <c r="B110" s="6"/>
      <c r="C110" s="1"/>
      <c r="D110" s="4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5">
      <c r="A111" s="1"/>
      <c r="B111" s="6"/>
      <c r="C111" s="1"/>
      <c r="D111" s="4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5">
      <c r="A112" s="1"/>
      <c r="B112" s="6"/>
      <c r="C112" s="1"/>
      <c r="D112" s="4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5">
      <c r="A113" s="1"/>
      <c r="B113" s="6"/>
      <c r="C113" s="1"/>
      <c r="D113" s="4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5">
      <c r="A114" s="1"/>
      <c r="B114" s="6"/>
      <c r="C114" s="1"/>
      <c r="D114" s="4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5">
      <c r="A115" s="1"/>
      <c r="B115" s="6"/>
      <c r="C115" s="1"/>
      <c r="D115" s="4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5">
      <c r="A116" s="1"/>
      <c r="B116" s="6"/>
      <c r="C116" s="1"/>
      <c r="D116" s="4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5">
      <c r="A117" s="1"/>
      <c r="B117" s="6"/>
      <c r="C117" s="1"/>
      <c r="D117" s="4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5">
      <c r="A118" s="1"/>
      <c r="B118" s="6"/>
      <c r="C118" s="1"/>
      <c r="D118" s="4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5">
      <c r="A119" s="1"/>
      <c r="B119" s="6"/>
      <c r="C119" s="1"/>
      <c r="D119" s="4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5">
      <c r="A120" s="1"/>
      <c r="B120" s="6"/>
      <c r="C120" s="1"/>
      <c r="D120" s="4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5">
      <c r="A121" s="1"/>
      <c r="B121" s="6"/>
      <c r="C121" s="1"/>
      <c r="D121" s="4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5">
      <c r="A122" s="1"/>
      <c r="B122" s="6"/>
      <c r="C122" s="1"/>
      <c r="D122" s="4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5">
      <c r="A123" s="1"/>
      <c r="B123" s="6"/>
      <c r="C123" s="1"/>
      <c r="D123" s="4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5">
      <c r="A124" s="1"/>
      <c r="B124" s="6"/>
      <c r="C124" s="1"/>
      <c r="D124" s="4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5">
      <c r="A125" s="1"/>
      <c r="B125" s="6"/>
      <c r="C125" s="1"/>
      <c r="D125" s="4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5">
      <c r="A126" s="1"/>
      <c r="B126" s="6"/>
      <c r="C126" s="1"/>
      <c r="D126" s="4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5">
      <c r="A127" s="1"/>
      <c r="B127" s="6"/>
      <c r="C127" s="1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5">
      <c r="A128" s="1"/>
      <c r="B128" s="6"/>
      <c r="C128" s="1"/>
      <c r="D128" s="4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5">
      <c r="A129" s="1"/>
      <c r="B129" s="6"/>
      <c r="C129" s="1"/>
      <c r="D129" s="4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5">
      <c r="A130" s="1"/>
      <c r="B130" s="6"/>
      <c r="C130" s="1"/>
      <c r="D130" s="4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5">
      <c r="A131" s="1"/>
      <c r="B131" s="6"/>
      <c r="C131" s="1"/>
      <c r="D131" s="4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5">
      <c r="A132" s="1"/>
      <c r="B132" s="6"/>
      <c r="C132" s="1"/>
      <c r="D132" s="4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5">
      <c r="A133" s="1"/>
      <c r="B133" s="6"/>
      <c r="C133" s="1"/>
      <c r="D133" s="4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5">
      <c r="A134" s="1"/>
      <c r="B134" s="6"/>
      <c r="C134" s="1"/>
      <c r="D134" s="4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5">
      <c r="A135" s="1"/>
      <c r="B135" s="6"/>
      <c r="C135" s="1"/>
      <c r="D135" s="4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5">
      <c r="A136" s="1"/>
      <c r="B136" s="6"/>
      <c r="C136" s="1"/>
      <c r="D136" s="4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5">
      <c r="A137" s="1"/>
      <c r="B137" s="6"/>
      <c r="C137" s="1"/>
      <c r="D137" s="4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5">
      <c r="A138" s="1"/>
      <c r="B138" s="6"/>
      <c r="C138" s="1"/>
      <c r="D138" s="4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5">
      <c r="A139" s="1"/>
      <c r="B139" s="6"/>
      <c r="C139" s="1"/>
      <c r="D139" s="4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5">
      <c r="A140" s="1"/>
      <c r="B140" s="6"/>
      <c r="C140" s="1"/>
      <c r="D140" s="4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5">
      <c r="A141" s="1"/>
      <c r="B141" s="6"/>
      <c r="C141" s="1"/>
      <c r="D141" s="4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5">
      <c r="A142" s="1"/>
      <c r="B142" s="6"/>
      <c r="C142" s="1"/>
      <c r="D142" s="4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5">
      <c r="A143" s="1"/>
      <c r="B143" s="6"/>
      <c r="C143" s="1"/>
      <c r="D143" s="4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5">
      <c r="A144" s="1"/>
      <c r="B144" s="6"/>
      <c r="C144" s="1"/>
      <c r="D144" s="4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5">
      <c r="A145" s="1"/>
      <c r="B145" s="6"/>
      <c r="C145" s="1"/>
      <c r="D145" s="4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5">
      <c r="A146" s="1"/>
      <c r="B146" s="6"/>
      <c r="C146" s="1"/>
      <c r="D146" s="4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5">
      <c r="A147" s="1"/>
      <c r="B147" s="6"/>
      <c r="C147" s="1"/>
      <c r="D147" s="4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5">
      <c r="A148" s="1"/>
      <c r="B148" s="6"/>
      <c r="C148" s="1"/>
      <c r="D148" s="4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5">
      <c r="A149" s="1"/>
      <c r="B149" s="6"/>
      <c r="C149" s="1"/>
      <c r="D149" s="4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5">
      <c r="A150" s="1"/>
      <c r="B150" s="6"/>
      <c r="C150" s="1"/>
      <c r="D150" s="4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5">
      <c r="A151" s="1"/>
      <c r="B151" s="6"/>
      <c r="C151" s="1"/>
      <c r="D151" s="4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5">
      <c r="A152" s="1"/>
      <c r="B152" s="6"/>
      <c r="C152" s="1"/>
      <c r="D152" s="4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5">
      <c r="A153" s="1"/>
      <c r="B153" s="6"/>
      <c r="C153" s="1"/>
      <c r="D153" s="4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5">
      <c r="A154" s="1"/>
      <c r="B154" s="6"/>
      <c r="C154" s="1"/>
      <c r="D154" s="4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5">
      <c r="A155" s="1"/>
      <c r="B155" s="6"/>
      <c r="C155" s="1"/>
      <c r="D155" s="4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5">
      <c r="A156" s="1"/>
      <c r="B156" s="6"/>
      <c r="C156" s="1"/>
      <c r="D156" s="4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5">
      <c r="A157" s="1"/>
      <c r="B157" s="6"/>
      <c r="C157" s="1"/>
      <c r="D157" s="4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5">
      <c r="A158" s="1"/>
      <c r="B158" s="6"/>
      <c r="C158" s="1"/>
      <c r="D158" s="4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5">
      <c r="A159" s="1"/>
      <c r="B159" s="6"/>
      <c r="C159" s="1"/>
      <c r="D159" s="4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5">
      <c r="A160" s="1"/>
      <c r="B160" s="6"/>
      <c r="C160" s="1"/>
      <c r="D160" s="4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5">
      <c r="A161" s="1"/>
      <c r="B161" s="6"/>
      <c r="C161" s="1"/>
      <c r="D161" s="4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5">
      <c r="A162" s="1"/>
      <c r="B162" s="6"/>
      <c r="C162" s="1"/>
      <c r="D162" s="4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5">
      <c r="A163" s="1"/>
      <c r="B163" s="6"/>
      <c r="C163" s="1"/>
      <c r="D163" s="4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5">
      <c r="A164" s="1"/>
      <c r="B164" s="6"/>
      <c r="C164" s="1"/>
      <c r="D164" s="4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5">
      <c r="A165" s="1"/>
      <c r="B165" s="6"/>
      <c r="C165" s="1"/>
      <c r="D165" s="4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5">
      <c r="A166" s="1"/>
      <c r="B166" s="6"/>
      <c r="C166" s="1"/>
      <c r="D166" s="4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5">
      <c r="A167" s="1"/>
      <c r="B167" s="6"/>
      <c r="C167" s="1"/>
      <c r="D167" s="4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5">
      <c r="A168" s="1"/>
      <c r="B168" s="6"/>
      <c r="C168" s="1"/>
      <c r="D168" s="4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5">
      <c r="A169" s="1"/>
      <c r="B169" s="6"/>
      <c r="C169" s="1"/>
      <c r="D169" s="4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5">
      <c r="A170" s="1"/>
      <c r="B170" s="6"/>
      <c r="C170" s="1"/>
      <c r="D170" s="4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5">
      <c r="A171" s="1"/>
      <c r="B171" s="6"/>
      <c r="C171" s="1"/>
      <c r="D171" s="4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5">
      <c r="A172" s="1"/>
      <c r="B172" s="6"/>
      <c r="C172" s="1"/>
      <c r="D172" s="4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5">
      <c r="A173" s="1"/>
      <c r="B173" s="6"/>
      <c r="C173" s="1"/>
      <c r="D173" s="4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5">
      <c r="A174" s="1"/>
      <c r="B174" s="6"/>
      <c r="C174" s="1"/>
      <c r="D174" s="4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5">
      <c r="A175" s="1"/>
      <c r="B175" s="6"/>
      <c r="C175" s="1"/>
      <c r="D175" s="4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5">
      <c r="A176" s="1"/>
      <c r="B176" s="6"/>
      <c r="C176" s="1"/>
      <c r="D176" s="4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5">
      <c r="A177" s="1"/>
      <c r="B177" s="6"/>
      <c r="C177" s="1"/>
      <c r="D177" s="4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5">
      <c r="A178" s="1"/>
      <c r="B178" s="6"/>
      <c r="C178" s="1"/>
      <c r="D178" s="4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5">
      <c r="A179" s="1"/>
      <c r="B179" s="6"/>
      <c r="C179" s="1"/>
      <c r="D179" s="4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5">
      <c r="A180" s="1"/>
      <c r="B180" s="6"/>
      <c r="C180" s="1"/>
      <c r="D180" s="4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5">
      <c r="A181" s="1"/>
      <c r="B181" s="6"/>
      <c r="C181" s="1"/>
      <c r="D181" s="4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5">
      <c r="A182" s="1"/>
      <c r="B182" s="6"/>
      <c r="C182" s="1"/>
      <c r="D182" s="4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5">
      <c r="A183" s="1"/>
      <c r="B183" s="6"/>
      <c r="C183" s="1"/>
      <c r="D183" s="4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5">
      <c r="A184" s="1"/>
      <c r="B184" s="6"/>
      <c r="C184" s="1"/>
      <c r="D184" s="4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5">
      <c r="A185" s="1"/>
      <c r="B185" s="6"/>
      <c r="C185" s="1"/>
      <c r="D185" s="4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5">
      <c r="A186" s="1"/>
      <c r="B186" s="6"/>
      <c r="C186" s="1"/>
      <c r="D186" s="4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5">
      <c r="A187" s="1"/>
      <c r="B187" s="6"/>
      <c r="C187" s="1"/>
      <c r="D187" s="4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5">
      <c r="A188" s="1"/>
      <c r="B188" s="6"/>
      <c r="C188" s="1"/>
      <c r="D188" s="4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5">
      <c r="A189" s="1"/>
      <c r="B189" s="6"/>
      <c r="C189" s="1"/>
      <c r="D189" s="4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5">
      <c r="A190" s="1"/>
      <c r="B190" s="6"/>
      <c r="C190" s="1"/>
      <c r="D190" s="4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5">
      <c r="A191" s="1"/>
      <c r="B191" s="6"/>
      <c r="C191" s="1"/>
      <c r="D191" s="4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5">
      <c r="A192" s="1"/>
      <c r="B192" s="6"/>
      <c r="C192" s="1"/>
      <c r="D192" s="4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5">
      <c r="A193" s="1"/>
      <c r="B193" s="6"/>
      <c r="C193" s="1"/>
      <c r="D193" s="4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5">
      <c r="A194" s="1"/>
      <c r="B194" s="6"/>
      <c r="C194" s="1"/>
      <c r="D194" s="4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5">
      <c r="A195" s="1"/>
      <c r="B195" s="6"/>
      <c r="C195" s="1"/>
      <c r="D195" s="4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5">
      <c r="A196" s="1"/>
      <c r="B196" s="6"/>
      <c r="C196" s="1"/>
      <c r="D196" s="4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5">
      <c r="A197" s="1"/>
      <c r="B197" s="6"/>
      <c r="C197" s="1"/>
      <c r="D197" s="4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5">
      <c r="A198" s="1"/>
      <c r="B198" s="6"/>
      <c r="C198" s="1"/>
      <c r="D198" s="4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5">
      <c r="A199" s="1"/>
      <c r="B199" s="6"/>
      <c r="C199" s="1"/>
      <c r="D199" s="4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5">
      <c r="A200" s="1"/>
      <c r="B200" s="6"/>
      <c r="C200" s="1"/>
      <c r="D200" s="4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5">
      <c r="A201" s="1"/>
      <c r="B201" s="6"/>
      <c r="C201" s="1"/>
      <c r="D201" s="4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5">
      <c r="A202" s="1"/>
      <c r="B202" s="6"/>
      <c r="C202" s="1"/>
      <c r="D202" s="4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5">
      <c r="A203" s="1"/>
      <c r="B203" s="6"/>
      <c r="C203" s="1"/>
      <c r="D203" s="4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5">
      <c r="A204" s="1"/>
      <c r="B204" s="6"/>
      <c r="C204" s="1"/>
      <c r="D204" s="4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5">
      <c r="A205" s="1"/>
      <c r="B205" s="6"/>
      <c r="C205" s="1"/>
      <c r="D205" s="4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5">
      <c r="A206" s="1"/>
      <c r="B206" s="6"/>
      <c r="C206" s="1"/>
      <c r="D206" s="4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5">
      <c r="A207" s="1"/>
      <c r="B207" s="6"/>
      <c r="C207" s="1"/>
      <c r="D207" s="4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5">
      <c r="A208" s="1"/>
      <c r="B208" s="6"/>
      <c r="C208" s="1"/>
      <c r="D208" s="4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5">
      <c r="A209" s="1"/>
      <c r="B209" s="6"/>
      <c r="C209" s="1"/>
      <c r="D209" s="4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5">
      <c r="A210" s="1"/>
      <c r="B210" s="6"/>
      <c r="C210" s="1"/>
      <c r="D210" s="4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5">
      <c r="A211" s="1"/>
      <c r="B211" s="6"/>
      <c r="C211" s="1"/>
      <c r="D211" s="4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5">
      <c r="A212" s="1"/>
      <c r="B212" s="6"/>
      <c r="C212" s="1"/>
      <c r="D212" s="4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5">
      <c r="A213" s="1"/>
      <c r="B213" s="6"/>
      <c r="C213" s="1"/>
      <c r="D213" s="4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5">
      <c r="A214" s="1"/>
      <c r="B214" s="6"/>
      <c r="C214" s="1"/>
      <c r="D214" s="4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5">
      <c r="A215" s="1"/>
      <c r="B215" s="6"/>
      <c r="C215" s="1"/>
      <c r="D215" s="4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5">
      <c r="A216" s="1"/>
      <c r="B216" s="6"/>
      <c r="C216" s="1"/>
      <c r="D216" s="4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5">
      <c r="A217" s="1"/>
      <c r="B217" s="6"/>
      <c r="C217" s="1"/>
      <c r="D217" s="4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5">
      <c r="A218" s="1"/>
      <c r="B218" s="6"/>
      <c r="C218" s="1"/>
      <c r="D218" s="4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5">
      <c r="A219" s="1"/>
      <c r="B219" s="6"/>
      <c r="C219" s="1"/>
      <c r="D219" s="4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5">
      <c r="A220" s="1"/>
      <c r="B220" s="6"/>
      <c r="C220" s="1"/>
      <c r="D220" s="4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5">
      <c r="A221" s="1"/>
      <c r="B221" s="6"/>
      <c r="C221" s="1"/>
      <c r="D221" s="4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5">
      <c r="A222" s="1"/>
      <c r="B222" s="6"/>
      <c r="C222" s="1"/>
      <c r="D222" s="4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5">
      <c r="A223" s="1"/>
      <c r="B223" s="6"/>
      <c r="C223" s="1"/>
      <c r="D223" s="4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5">
      <c r="A224" s="1"/>
      <c r="B224" s="6"/>
      <c r="C224" s="1"/>
      <c r="D224" s="4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5">
      <c r="A225" s="1"/>
      <c r="B225" s="6"/>
      <c r="C225" s="1"/>
      <c r="D225" s="4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5">
      <c r="A226" s="1"/>
      <c r="B226" s="6"/>
      <c r="C226" s="1"/>
      <c r="D226" s="4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5">
      <c r="A227" s="1"/>
      <c r="B227" s="6"/>
      <c r="C227" s="1"/>
      <c r="D227" s="4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5">
      <c r="A228" s="1"/>
      <c r="B228" s="6"/>
      <c r="C228" s="1"/>
      <c r="D228" s="4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5">
      <c r="A229" s="1"/>
      <c r="B229" s="6"/>
      <c r="C229" s="1"/>
      <c r="D229" s="4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5">
      <c r="A230" s="1"/>
      <c r="B230" s="6"/>
      <c r="C230" s="1"/>
      <c r="D230" s="4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5">
      <c r="A231" s="1"/>
      <c r="B231" s="6"/>
      <c r="C231" s="1"/>
      <c r="D231" s="4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5">
      <c r="A232" s="1"/>
      <c r="B232" s="6"/>
      <c r="C232" s="1"/>
      <c r="D232" s="4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5">
      <c r="A233" s="1"/>
      <c r="B233" s="6"/>
      <c r="C233" s="1"/>
      <c r="D233" s="4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5">
      <c r="A234" s="1"/>
      <c r="B234" s="6"/>
      <c r="C234" s="1"/>
      <c r="D234" s="4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5">
      <c r="A235" s="1"/>
      <c r="B235" s="6"/>
      <c r="C235" s="1"/>
      <c r="D235" s="4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5">
      <c r="A236" s="1"/>
      <c r="B236" s="6"/>
      <c r="C236" s="1"/>
      <c r="D236" s="4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5">
      <c r="A237" s="1"/>
      <c r="B237" s="6"/>
      <c r="C237" s="1"/>
      <c r="D237" s="4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5">
      <c r="A238" s="1"/>
      <c r="B238" s="6"/>
      <c r="C238" s="1"/>
      <c r="D238" s="4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5">
      <c r="A239" s="1"/>
      <c r="B239" s="6"/>
      <c r="C239" s="1"/>
      <c r="D239" s="4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5">
      <c r="A240" s="1"/>
      <c r="B240" s="6"/>
      <c r="C240" s="1"/>
      <c r="D240" s="4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5">
      <c r="A241" s="1"/>
      <c r="B241" s="6"/>
      <c r="C241" s="1"/>
      <c r="D241" s="4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5">
      <c r="A242" s="1"/>
      <c r="B242" s="6"/>
      <c r="C242" s="1"/>
      <c r="D242" s="4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5">
      <c r="A243" s="1"/>
      <c r="B243" s="6"/>
      <c r="C243" s="1"/>
      <c r="D243" s="4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5">
      <c r="A244" s="1"/>
      <c r="B244" s="6"/>
      <c r="C244" s="1"/>
      <c r="D244" s="4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5">
      <c r="A245" s="1"/>
      <c r="B245" s="6"/>
      <c r="C245" s="1"/>
      <c r="D245" s="4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5">
      <c r="A246" s="1"/>
      <c r="B246" s="6"/>
      <c r="C246" s="1"/>
      <c r="D246" s="4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5">
      <c r="A247" s="1"/>
      <c r="B247" s="6"/>
      <c r="C247" s="1"/>
      <c r="D247" s="4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5">
      <c r="A248" s="1"/>
      <c r="B248" s="6"/>
      <c r="C248" s="1"/>
      <c r="D248" s="4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5">
      <c r="A249" s="1"/>
      <c r="B249" s="6"/>
      <c r="C249" s="1"/>
      <c r="D249" s="4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5">
      <c r="A250" s="1"/>
      <c r="B250" s="6"/>
      <c r="C250" s="1"/>
      <c r="D250" s="4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5">
      <c r="A251" s="1"/>
      <c r="B251" s="6"/>
      <c r="C251" s="1"/>
      <c r="D251" s="4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5">
      <c r="A252" s="1"/>
      <c r="B252" s="6"/>
      <c r="C252" s="1"/>
      <c r="D252" s="4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5">
      <c r="A253" s="1"/>
      <c r="B253" s="6"/>
      <c r="C253" s="1"/>
      <c r="D253" s="4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5">
      <c r="A254" s="1"/>
      <c r="B254" s="6"/>
      <c r="C254" s="1"/>
      <c r="D254" s="4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5">
      <c r="A255" s="1"/>
      <c r="B255" s="6"/>
      <c r="C255" s="1"/>
      <c r="D255" s="4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5">
      <c r="A256" s="1"/>
      <c r="B256" s="6"/>
      <c r="C256" s="1"/>
      <c r="D256" s="4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5">
      <c r="A257" s="1"/>
      <c r="B257" s="6"/>
      <c r="C257" s="1"/>
      <c r="D257" s="4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5">
      <c r="A258" s="1"/>
      <c r="B258" s="6"/>
      <c r="C258" s="1"/>
      <c r="D258" s="4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5">
      <c r="A259" s="1"/>
      <c r="B259" s="6"/>
      <c r="C259" s="1"/>
      <c r="D259" s="4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5">
      <c r="A260" s="1"/>
      <c r="B260" s="6"/>
      <c r="C260" s="1"/>
      <c r="D260" s="4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5">
      <c r="A261" s="1"/>
      <c r="B261" s="6"/>
      <c r="C261" s="1"/>
      <c r="D261" s="4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5">
      <c r="A262" s="1"/>
      <c r="B262" s="6"/>
      <c r="C262" s="1"/>
      <c r="D262" s="4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5">
      <c r="A263" s="1"/>
      <c r="B263" s="6"/>
      <c r="C263" s="1"/>
      <c r="D263" s="4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5">
      <c r="A264" s="1"/>
      <c r="B264" s="6"/>
      <c r="C264" s="1"/>
      <c r="D264" s="4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5">
      <c r="A265" s="1"/>
      <c r="B265" s="6"/>
      <c r="C265" s="1"/>
      <c r="D265" s="4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5">
      <c r="A266" s="1"/>
      <c r="B266" s="6"/>
      <c r="C266" s="1"/>
      <c r="D266" s="4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5">
      <c r="A267" s="1"/>
      <c r="B267" s="6"/>
      <c r="C267" s="1"/>
      <c r="D267" s="4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5">
      <c r="A268" s="1"/>
      <c r="B268" s="6"/>
      <c r="C268" s="1"/>
      <c r="D268" s="4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5">
      <c r="A269" s="1"/>
      <c r="B269" s="6"/>
      <c r="C269" s="1"/>
      <c r="D269" s="4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5">
      <c r="A270" s="1"/>
      <c r="B270" s="6"/>
      <c r="C270" s="1"/>
      <c r="D270" s="4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5">
      <c r="A271" s="1"/>
      <c r="B271" s="6"/>
      <c r="C271" s="1"/>
      <c r="D271" s="4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5">
      <c r="A272" s="1"/>
      <c r="B272" s="6"/>
      <c r="C272" s="1"/>
      <c r="D272" s="4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5">
      <c r="A273" s="1"/>
      <c r="B273" s="6"/>
      <c r="C273" s="1"/>
      <c r="D273" s="4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5">
      <c r="A274" s="1"/>
      <c r="B274" s="6"/>
      <c r="C274" s="1"/>
      <c r="D274" s="4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5">
      <c r="A275" s="1"/>
      <c r="B275" s="6"/>
      <c r="C275" s="1"/>
      <c r="D275" s="4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5">
      <c r="A276" s="1"/>
      <c r="B276" s="6"/>
      <c r="C276" s="1"/>
      <c r="D276" s="4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5">
      <c r="A277" s="1"/>
      <c r="B277" s="6"/>
      <c r="C277" s="1"/>
      <c r="D277" s="4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5">
      <c r="A278" s="1"/>
      <c r="B278" s="6"/>
      <c r="C278" s="1"/>
      <c r="D278" s="4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5">
      <c r="A279" s="1"/>
      <c r="B279" s="6"/>
      <c r="C279" s="1"/>
      <c r="D279" s="4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5">
      <c r="A280" s="1"/>
      <c r="B280" s="6"/>
      <c r="C280" s="1"/>
      <c r="D280" s="4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5">
      <c r="A281" s="1"/>
      <c r="B281" s="6"/>
      <c r="C281" s="1"/>
      <c r="D281" s="4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5">
      <c r="A282" s="1"/>
      <c r="B282" s="6"/>
      <c r="C282" s="1"/>
      <c r="D282" s="4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5">
      <c r="A283" s="1"/>
      <c r="B283" s="6"/>
      <c r="C283" s="1"/>
      <c r="D283" s="4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5">
      <c r="A284" s="1"/>
      <c r="B284" s="6"/>
      <c r="C284" s="1"/>
      <c r="D284" s="4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5">
      <c r="A285" s="1"/>
      <c r="B285" s="6"/>
      <c r="C285" s="1"/>
      <c r="D285" s="4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5">
      <c r="A286" s="1"/>
      <c r="B286" s="6"/>
      <c r="C286" s="1"/>
      <c r="D286" s="4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5">
      <c r="A287" s="1"/>
      <c r="B287" s="6"/>
      <c r="C287" s="1"/>
      <c r="D287" s="4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5">
      <c r="A288" s="1"/>
      <c r="B288" s="6"/>
      <c r="C288" s="1"/>
      <c r="D288" s="4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5">
      <c r="A289" s="1"/>
      <c r="B289" s="6"/>
      <c r="C289" s="1"/>
      <c r="D289" s="4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5">
      <c r="A290" s="1"/>
      <c r="B290" s="6"/>
      <c r="C290" s="1"/>
      <c r="D290" s="4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5">
      <c r="A291" s="1"/>
      <c r="B291" s="6"/>
      <c r="C291" s="1"/>
      <c r="D291" s="4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5">
      <c r="A292" s="1"/>
      <c r="B292" s="6"/>
      <c r="C292" s="1"/>
      <c r="D292" s="4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5">
      <c r="A293" s="1"/>
      <c r="B293" s="6"/>
      <c r="C293" s="1"/>
      <c r="D293" s="4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5">
      <c r="A294" s="1"/>
      <c r="B294" s="6"/>
      <c r="C294" s="1"/>
      <c r="D294" s="4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5">
      <c r="A295" s="1"/>
      <c r="B295" s="6"/>
      <c r="C295" s="1"/>
      <c r="D295" s="4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5">
      <c r="A296" s="1"/>
      <c r="B296" s="6"/>
      <c r="C296" s="1"/>
      <c r="D296" s="4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5">
      <c r="A297" s="1"/>
      <c r="B297" s="6"/>
      <c r="C297" s="1"/>
      <c r="D297" s="4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5">
      <c r="A298" s="1"/>
      <c r="B298" s="6"/>
      <c r="C298" s="1"/>
      <c r="D298" s="4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5">
      <c r="A299" s="1"/>
      <c r="B299" s="6"/>
      <c r="C299" s="1"/>
      <c r="D299" s="4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5">
      <c r="A300" s="1"/>
      <c r="B300" s="6"/>
      <c r="C300" s="1"/>
      <c r="D300" s="4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5">
      <c r="A301" s="1"/>
      <c r="B301" s="6"/>
      <c r="C301" s="1"/>
      <c r="D301" s="4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5">
      <c r="A302" s="1"/>
      <c r="B302" s="6"/>
      <c r="C302" s="1"/>
      <c r="D302" s="4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5">
      <c r="A303" s="1"/>
      <c r="B303" s="6"/>
      <c r="C303" s="1"/>
      <c r="D303" s="4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5">
      <c r="A304" s="1"/>
      <c r="B304" s="6"/>
      <c r="C304" s="1"/>
      <c r="D304" s="4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5">
      <c r="A305" s="1"/>
      <c r="B305" s="6"/>
      <c r="C305" s="1"/>
      <c r="D305" s="4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5">
      <c r="A306" s="1"/>
      <c r="B306" s="6"/>
      <c r="C306" s="1"/>
      <c r="D306" s="4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5">
      <c r="A307" s="1"/>
      <c r="B307" s="6"/>
      <c r="C307" s="1"/>
      <c r="D307" s="4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5">
      <c r="A308" s="1"/>
      <c r="B308" s="6"/>
      <c r="C308" s="1"/>
      <c r="D308" s="4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5">
      <c r="A309" s="1"/>
      <c r="B309" s="6"/>
      <c r="C309" s="1"/>
      <c r="D309" s="4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5">
      <c r="A310" s="1"/>
      <c r="B310" s="6"/>
      <c r="C310" s="1"/>
      <c r="D310" s="4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5">
      <c r="A311" s="1"/>
      <c r="B311" s="6"/>
      <c r="C311" s="1"/>
      <c r="D311" s="4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5">
      <c r="A312" s="1"/>
      <c r="B312" s="6"/>
      <c r="C312" s="1"/>
      <c r="D312" s="4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5">
      <c r="A313" s="1"/>
      <c r="B313" s="6"/>
      <c r="C313" s="1"/>
      <c r="D313" s="4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5">
      <c r="A314" s="1"/>
      <c r="B314" s="6"/>
      <c r="C314" s="1"/>
      <c r="D314" s="4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5">
      <c r="A315" s="1"/>
      <c r="B315" s="6"/>
      <c r="C315" s="1"/>
      <c r="D315" s="4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5">
      <c r="A316" s="1"/>
      <c r="B316" s="6"/>
      <c r="C316" s="1"/>
      <c r="D316" s="4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5">
      <c r="A317" s="1"/>
      <c r="B317" s="6"/>
      <c r="C317" s="1"/>
      <c r="D317" s="4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5">
      <c r="A318" s="1"/>
      <c r="B318" s="6"/>
      <c r="C318" s="1"/>
      <c r="D318" s="4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5">
      <c r="A319" s="1"/>
      <c r="B319" s="6"/>
      <c r="C319" s="1"/>
      <c r="D319" s="4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5">
      <c r="A320" s="1"/>
      <c r="B320" s="6"/>
      <c r="C320" s="1"/>
      <c r="D320" s="4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5">
      <c r="A321" s="1"/>
      <c r="B321" s="6"/>
      <c r="C321" s="1"/>
      <c r="D321" s="4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5">
      <c r="A322" s="1"/>
      <c r="B322" s="6"/>
      <c r="C322" s="1"/>
      <c r="D322" s="4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5">
      <c r="A323" s="1"/>
      <c r="B323" s="6"/>
      <c r="C323" s="1"/>
      <c r="D323" s="4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5">
      <c r="A324" s="1"/>
      <c r="B324" s="6"/>
      <c r="C324" s="1"/>
      <c r="D324" s="4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5">
      <c r="A325" s="1"/>
      <c r="B325" s="6"/>
      <c r="C325" s="1"/>
      <c r="D325" s="4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5">
      <c r="A326" s="1"/>
      <c r="B326" s="6"/>
      <c r="C326" s="1"/>
      <c r="D326" s="4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5">
      <c r="A327" s="1"/>
      <c r="B327" s="6"/>
      <c r="C327" s="1"/>
      <c r="D327" s="4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5">
      <c r="A328" s="1"/>
      <c r="B328" s="6"/>
      <c r="C328" s="1"/>
      <c r="D328" s="4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5">
      <c r="A329" s="1"/>
      <c r="B329" s="6"/>
      <c r="C329" s="1"/>
      <c r="D329" s="4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5">
      <c r="A330" s="1"/>
      <c r="B330" s="6"/>
      <c r="C330" s="1"/>
      <c r="D330" s="4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5">
      <c r="A331" s="1"/>
      <c r="B331" s="6"/>
      <c r="C331" s="1"/>
      <c r="D331" s="4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5">
      <c r="A332" s="1"/>
      <c r="B332" s="6"/>
      <c r="C332" s="1"/>
      <c r="D332" s="4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5">
      <c r="A333" s="1"/>
      <c r="B333" s="6"/>
      <c r="C333" s="1"/>
      <c r="D333" s="4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5">
      <c r="A334" s="1"/>
      <c r="B334" s="6"/>
      <c r="C334" s="1"/>
      <c r="D334" s="4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5">
      <c r="A335" s="1"/>
      <c r="B335" s="6"/>
      <c r="C335" s="1"/>
      <c r="D335" s="4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5">
      <c r="A336" s="1"/>
      <c r="B336" s="6"/>
      <c r="C336" s="1"/>
      <c r="D336" s="4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5">
      <c r="A337" s="1"/>
      <c r="B337" s="6"/>
      <c r="C337" s="1"/>
      <c r="D337" s="4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5">
      <c r="A338" s="1"/>
      <c r="B338" s="6"/>
      <c r="C338" s="1"/>
      <c r="D338" s="4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5">
      <c r="A339" s="1"/>
      <c r="B339" s="6"/>
      <c r="C339" s="1"/>
      <c r="D339" s="4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5">
      <c r="A340" s="1"/>
      <c r="B340" s="6"/>
      <c r="C340" s="1"/>
      <c r="D340" s="4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5">
      <c r="A341" s="1"/>
      <c r="B341" s="6"/>
      <c r="C341" s="1"/>
      <c r="D341" s="4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5">
      <c r="A342" s="1"/>
      <c r="B342" s="6"/>
      <c r="C342" s="1"/>
      <c r="D342" s="4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5">
      <c r="A343" s="1"/>
      <c r="B343" s="6"/>
      <c r="C343" s="1"/>
      <c r="D343" s="4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5">
      <c r="A344" s="1"/>
      <c r="B344" s="6"/>
      <c r="C344" s="1"/>
      <c r="D344" s="4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5">
      <c r="A345" s="1"/>
      <c r="B345" s="6"/>
      <c r="C345" s="1"/>
      <c r="D345" s="4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5">
      <c r="A346" s="1"/>
      <c r="B346" s="6"/>
      <c r="C346" s="1"/>
      <c r="D346" s="4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5">
      <c r="A347" s="1"/>
      <c r="B347" s="6"/>
      <c r="C347" s="1"/>
      <c r="D347" s="4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5">
      <c r="A348" s="1"/>
      <c r="B348" s="6"/>
      <c r="C348" s="1"/>
      <c r="D348" s="4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5">
      <c r="A349" s="1"/>
      <c r="B349" s="6"/>
      <c r="C349" s="1"/>
      <c r="D349" s="4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5">
      <c r="A350" s="1"/>
      <c r="B350" s="6"/>
      <c r="C350" s="1"/>
      <c r="D350" s="4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5">
      <c r="A351" s="1"/>
      <c r="B351" s="6"/>
      <c r="C351" s="1"/>
      <c r="D351" s="4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5">
      <c r="A352" s="1"/>
      <c r="B352" s="6"/>
      <c r="C352" s="1"/>
      <c r="D352" s="4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5">
      <c r="A353" s="1"/>
      <c r="B353" s="6"/>
      <c r="C353" s="1"/>
      <c r="D353" s="4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5">
      <c r="A354" s="1"/>
      <c r="B354" s="6"/>
      <c r="C354" s="1"/>
      <c r="D354" s="4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5">
      <c r="A355" s="1"/>
      <c r="B355" s="6"/>
      <c r="C355" s="1"/>
      <c r="D355" s="4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5">
      <c r="A356" s="1"/>
      <c r="B356" s="6"/>
      <c r="C356" s="1"/>
      <c r="D356" s="4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5">
      <c r="A357" s="1"/>
      <c r="B357" s="6"/>
      <c r="C357" s="1"/>
      <c r="D357" s="4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5">
      <c r="A358" s="1"/>
      <c r="B358" s="6"/>
      <c r="C358" s="1"/>
      <c r="D358" s="4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5">
      <c r="A359" s="1"/>
      <c r="B359" s="6"/>
      <c r="C359" s="1"/>
      <c r="D359" s="4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5">
      <c r="A360" s="1"/>
      <c r="B360" s="6"/>
      <c r="C360" s="1"/>
      <c r="D360" s="4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5">
      <c r="A361" s="1"/>
      <c r="B361" s="6"/>
      <c r="C361" s="1"/>
      <c r="D361" s="4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5">
      <c r="A362" s="1"/>
      <c r="B362" s="6"/>
      <c r="C362" s="1"/>
      <c r="D362" s="4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5">
      <c r="A363" s="1"/>
      <c r="B363" s="6"/>
      <c r="C363" s="1"/>
      <c r="D363" s="4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5">
      <c r="A364" s="1"/>
      <c r="B364" s="6"/>
      <c r="C364" s="1"/>
      <c r="D364" s="4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5">
      <c r="A365" s="1"/>
      <c r="B365" s="6"/>
      <c r="C365" s="1"/>
      <c r="D365" s="4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5">
      <c r="A366" s="1"/>
      <c r="B366" s="6"/>
      <c r="C366" s="1"/>
      <c r="D366" s="4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5">
      <c r="A367" s="1"/>
      <c r="B367" s="6"/>
      <c r="C367" s="1"/>
      <c r="D367" s="4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5">
      <c r="A368" s="1"/>
      <c r="B368" s="6"/>
      <c r="C368" s="1"/>
      <c r="D368" s="4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5">
      <c r="A369" s="1"/>
      <c r="B369" s="6"/>
      <c r="C369" s="1"/>
      <c r="D369" s="4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5">
      <c r="A370" s="1"/>
      <c r="B370" s="6"/>
      <c r="C370" s="1"/>
      <c r="D370" s="4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5">
      <c r="A371" s="1"/>
      <c r="B371" s="6"/>
      <c r="C371" s="1"/>
      <c r="D371" s="4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5">
      <c r="A372" s="1"/>
      <c r="B372" s="6"/>
      <c r="C372" s="1"/>
      <c r="D372" s="4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5">
      <c r="A373" s="1"/>
      <c r="B373" s="6"/>
      <c r="C373" s="1"/>
      <c r="D373" s="4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5">
      <c r="A374" s="1"/>
      <c r="B374" s="6"/>
      <c r="C374" s="1"/>
      <c r="D374" s="4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5">
      <c r="A375" s="1"/>
      <c r="B375" s="6"/>
      <c r="C375" s="1"/>
      <c r="D375" s="4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5">
      <c r="A376" s="1"/>
      <c r="B376" s="6"/>
      <c r="C376" s="1"/>
      <c r="D376" s="4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5">
      <c r="A377" s="1"/>
      <c r="B377" s="6"/>
      <c r="C377" s="1"/>
      <c r="D377" s="4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5">
      <c r="A378" s="1"/>
      <c r="B378" s="6"/>
      <c r="C378" s="1"/>
      <c r="D378" s="4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5">
      <c r="A379" s="1"/>
      <c r="B379" s="6"/>
      <c r="C379" s="1"/>
      <c r="D379" s="4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5">
      <c r="A380" s="1"/>
      <c r="B380" s="6"/>
      <c r="C380" s="1"/>
      <c r="D380" s="4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5">
      <c r="A381" s="1"/>
      <c r="B381" s="6"/>
      <c r="C381" s="1"/>
      <c r="D381" s="4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5">
      <c r="A382" s="1"/>
      <c r="B382" s="6"/>
      <c r="C382" s="1"/>
      <c r="D382" s="4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5">
      <c r="A383" s="1"/>
      <c r="B383" s="6"/>
      <c r="C383" s="1"/>
      <c r="D383" s="4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5">
      <c r="A384" s="1"/>
      <c r="B384" s="6"/>
      <c r="C384" s="1"/>
      <c r="D384" s="4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5">
      <c r="A385" s="1"/>
      <c r="B385" s="6"/>
      <c r="C385" s="1"/>
      <c r="D385" s="4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5">
      <c r="A386" s="1"/>
      <c r="B386" s="6"/>
      <c r="C386" s="1"/>
      <c r="D386" s="4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5">
      <c r="A387" s="1"/>
      <c r="B387" s="6"/>
      <c r="C387" s="1"/>
      <c r="D387" s="4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5">
      <c r="A388" s="1"/>
      <c r="B388" s="6"/>
      <c r="C388" s="1"/>
      <c r="D388" s="4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5">
      <c r="A389" s="1"/>
      <c r="B389" s="6"/>
      <c r="C389" s="1"/>
      <c r="D389" s="4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5">
      <c r="A390" s="1"/>
      <c r="B390" s="6"/>
      <c r="C390" s="1"/>
      <c r="D390" s="4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5">
      <c r="A391" s="1"/>
      <c r="B391" s="6"/>
      <c r="C391" s="1"/>
      <c r="D391" s="4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5">
      <c r="A392" s="1"/>
      <c r="B392" s="6"/>
      <c r="C392" s="1"/>
      <c r="D392" s="4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5">
      <c r="A393" s="1"/>
      <c r="B393" s="6"/>
      <c r="C393" s="1"/>
      <c r="D393" s="4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5">
      <c r="A394" s="1"/>
      <c r="B394" s="6"/>
      <c r="C394" s="1"/>
      <c r="D394" s="4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5">
      <c r="A395" s="1"/>
      <c r="B395" s="6"/>
      <c r="C395" s="1"/>
      <c r="D395" s="4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5">
      <c r="A396" s="1"/>
      <c r="B396" s="6"/>
      <c r="C396" s="1"/>
      <c r="D396" s="4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5">
      <c r="A397" s="1"/>
      <c r="B397" s="6"/>
      <c r="C397" s="1"/>
      <c r="D397" s="4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5">
      <c r="A398" s="1"/>
      <c r="B398" s="6"/>
      <c r="C398" s="1"/>
      <c r="D398" s="4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5">
      <c r="A399" s="1"/>
      <c r="B399" s="6"/>
      <c r="C399" s="1"/>
      <c r="D399" s="4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5">
      <c r="A400" s="1"/>
      <c r="B400" s="6"/>
      <c r="C400" s="1"/>
      <c r="D400" s="4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5">
      <c r="A401" s="1"/>
      <c r="B401" s="6"/>
      <c r="C401" s="1"/>
      <c r="D401" s="4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5">
      <c r="A402" s="1"/>
      <c r="B402" s="6"/>
      <c r="C402" s="1"/>
      <c r="D402" s="4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5">
      <c r="A403" s="1"/>
      <c r="B403" s="6"/>
      <c r="C403" s="1"/>
      <c r="D403" s="4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5">
      <c r="A404" s="1"/>
      <c r="B404" s="6"/>
      <c r="C404" s="1"/>
      <c r="D404" s="4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5">
      <c r="A405" s="1"/>
      <c r="B405" s="6"/>
      <c r="C405" s="1"/>
      <c r="D405" s="4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5">
      <c r="A406" s="1"/>
      <c r="B406" s="6"/>
      <c r="C406" s="1"/>
      <c r="D406" s="4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5">
      <c r="A407" s="1"/>
      <c r="B407" s="6"/>
      <c r="C407" s="1"/>
      <c r="D407" s="4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5">
      <c r="A408" s="1"/>
      <c r="B408" s="6"/>
      <c r="C408" s="1"/>
      <c r="D408" s="4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5">
      <c r="A409" s="1"/>
      <c r="B409" s="6"/>
      <c r="C409" s="1"/>
      <c r="D409" s="4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5">
      <c r="A410" s="1"/>
      <c r="B410" s="6"/>
      <c r="C410" s="1"/>
      <c r="D410" s="4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5">
      <c r="A411" s="1"/>
      <c r="B411" s="6"/>
      <c r="C411" s="1"/>
      <c r="D411" s="4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5">
      <c r="A412" s="1"/>
      <c r="B412" s="6"/>
      <c r="C412" s="1"/>
      <c r="D412" s="4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5">
      <c r="A413" s="1"/>
      <c r="B413" s="6"/>
      <c r="C413" s="1"/>
      <c r="D413" s="4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5">
      <c r="A414" s="1"/>
      <c r="B414" s="6"/>
      <c r="C414" s="1"/>
      <c r="D414" s="4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5">
      <c r="A415" s="1"/>
      <c r="B415" s="6"/>
      <c r="C415" s="1"/>
      <c r="D415" s="4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5">
      <c r="A416" s="1"/>
      <c r="B416" s="6"/>
      <c r="C416" s="1"/>
      <c r="D416" s="4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5">
      <c r="A417" s="1"/>
      <c r="B417" s="6"/>
      <c r="C417" s="1"/>
      <c r="D417" s="4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5">
      <c r="A418" s="1"/>
      <c r="B418" s="6"/>
      <c r="C418" s="1"/>
      <c r="D418" s="4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5">
      <c r="A419" s="1"/>
      <c r="B419" s="6"/>
      <c r="C419" s="1"/>
      <c r="D419" s="4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5">
      <c r="A420" s="1"/>
      <c r="B420" s="6"/>
      <c r="C420" s="1"/>
      <c r="D420" s="4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5">
      <c r="A421" s="1"/>
      <c r="B421" s="6"/>
      <c r="C421" s="1"/>
      <c r="D421" s="4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5">
      <c r="A422" s="1"/>
      <c r="B422" s="6"/>
      <c r="C422" s="1"/>
      <c r="D422" s="4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5">
      <c r="A423" s="1"/>
      <c r="B423" s="6"/>
      <c r="C423" s="1"/>
      <c r="D423" s="4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5">
      <c r="A424" s="1"/>
      <c r="B424" s="6"/>
      <c r="C424" s="1"/>
      <c r="D424" s="4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5">
      <c r="A425" s="1"/>
      <c r="B425" s="6"/>
      <c r="C425" s="1"/>
      <c r="D425" s="4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5">
      <c r="A426" s="1"/>
      <c r="B426" s="6"/>
      <c r="C426" s="1"/>
      <c r="D426" s="4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5">
      <c r="A427" s="1"/>
      <c r="B427" s="6"/>
      <c r="C427" s="1"/>
      <c r="D427" s="4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5">
      <c r="A428" s="1"/>
      <c r="B428" s="6"/>
      <c r="C428" s="1"/>
      <c r="D428" s="4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5">
      <c r="A429" s="1"/>
      <c r="B429" s="6"/>
      <c r="C429" s="1"/>
      <c r="D429" s="4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5">
      <c r="A430" s="1"/>
      <c r="B430" s="6"/>
      <c r="C430" s="1"/>
      <c r="D430" s="4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5">
      <c r="A431" s="1"/>
      <c r="B431" s="6"/>
      <c r="C431" s="1"/>
      <c r="D431" s="4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5">
      <c r="A432" s="1"/>
      <c r="B432" s="6"/>
      <c r="C432" s="1"/>
      <c r="D432" s="4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5">
      <c r="A433" s="1"/>
      <c r="B433" s="6"/>
      <c r="C433" s="1"/>
      <c r="D433" s="4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5">
      <c r="A434" s="1"/>
      <c r="B434" s="6"/>
      <c r="C434" s="1"/>
      <c r="D434" s="4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5">
      <c r="A435" s="1"/>
      <c r="B435" s="6"/>
      <c r="C435" s="1"/>
      <c r="D435" s="4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5">
      <c r="A436" s="1"/>
      <c r="B436" s="6"/>
      <c r="C436" s="1"/>
      <c r="D436" s="4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5">
      <c r="A437" s="1"/>
      <c r="B437" s="6"/>
      <c r="C437" s="1"/>
      <c r="D437" s="4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5">
      <c r="A438" s="1"/>
      <c r="B438" s="6"/>
      <c r="C438" s="1"/>
      <c r="D438" s="4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5">
      <c r="A439" s="1"/>
      <c r="B439" s="6"/>
      <c r="C439" s="1"/>
      <c r="D439" s="4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5">
      <c r="A440" s="1"/>
      <c r="B440" s="6"/>
      <c r="C440" s="1"/>
      <c r="D440" s="4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5">
      <c r="A441" s="1"/>
      <c r="B441" s="6"/>
      <c r="C441" s="1"/>
      <c r="D441" s="4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5">
      <c r="A442" s="1"/>
      <c r="B442" s="6"/>
      <c r="C442" s="1"/>
      <c r="D442" s="4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5">
      <c r="A443" s="1"/>
      <c r="B443" s="6"/>
      <c r="C443" s="1"/>
      <c r="D443" s="4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5">
      <c r="A444" s="1"/>
      <c r="B444" s="6"/>
      <c r="C444" s="1"/>
      <c r="D444" s="4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5">
      <c r="A445" s="1"/>
      <c r="B445" s="6"/>
      <c r="C445" s="1"/>
      <c r="D445" s="4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5">
      <c r="A446" s="1"/>
      <c r="B446" s="6"/>
      <c r="C446" s="1"/>
      <c r="D446" s="4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5">
      <c r="A447" s="1"/>
      <c r="B447" s="6"/>
      <c r="C447" s="1"/>
      <c r="D447" s="4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5">
      <c r="A448" s="1"/>
      <c r="B448" s="6"/>
      <c r="C448" s="1"/>
      <c r="D448" s="4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5">
      <c r="A449" s="1"/>
      <c r="B449" s="6"/>
      <c r="C449" s="1"/>
      <c r="D449" s="4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5">
      <c r="A450" s="1"/>
      <c r="B450" s="6"/>
      <c r="C450" s="1"/>
      <c r="D450" s="4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5">
      <c r="A451" s="1"/>
      <c r="B451" s="6"/>
      <c r="C451" s="1"/>
      <c r="D451" s="4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5">
      <c r="A452" s="1"/>
      <c r="B452" s="6"/>
      <c r="C452" s="1"/>
      <c r="D452" s="4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5">
      <c r="A453" s="1"/>
      <c r="B453" s="6"/>
      <c r="C453" s="1"/>
      <c r="D453" s="4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5">
      <c r="A454" s="1"/>
      <c r="B454" s="6"/>
      <c r="C454" s="1"/>
      <c r="D454" s="4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5">
      <c r="A455" s="1"/>
      <c r="B455" s="6"/>
      <c r="C455" s="1"/>
      <c r="D455" s="4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5">
      <c r="A456" s="1"/>
      <c r="B456" s="6"/>
      <c r="C456" s="1"/>
      <c r="D456" s="4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5">
      <c r="A457" s="1"/>
      <c r="B457" s="6"/>
      <c r="C457" s="1"/>
      <c r="D457" s="4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5">
      <c r="A458" s="1"/>
      <c r="B458" s="6"/>
      <c r="C458" s="1"/>
      <c r="D458" s="4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5">
      <c r="A459" s="1"/>
      <c r="B459" s="6"/>
      <c r="C459" s="1"/>
      <c r="D459" s="4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5">
      <c r="A460" s="1"/>
      <c r="B460" s="6"/>
      <c r="C460" s="1"/>
      <c r="D460" s="4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5">
      <c r="A461" s="1"/>
      <c r="B461" s="6"/>
      <c r="C461" s="1"/>
      <c r="D461" s="4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5">
      <c r="A462" s="1"/>
      <c r="B462" s="6"/>
      <c r="C462" s="1"/>
      <c r="D462" s="4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5">
      <c r="A463" s="1"/>
      <c r="B463" s="6"/>
      <c r="C463" s="1"/>
      <c r="D463" s="4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5">
      <c r="A464" s="1"/>
      <c r="B464" s="6"/>
      <c r="C464" s="1"/>
      <c r="D464" s="4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5">
      <c r="A465" s="1"/>
      <c r="B465" s="6"/>
      <c r="C465" s="1"/>
      <c r="D465" s="4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5">
      <c r="A466" s="1"/>
      <c r="B466" s="6"/>
      <c r="C466" s="1"/>
      <c r="D466" s="4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5">
      <c r="A467" s="1"/>
      <c r="B467" s="6"/>
      <c r="C467" s="1"/>
      <c r="D467" s="4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5">
      <c r="A468" s="1"/>
      <c r="B468" s="6"/>
      <c r="C468" s="1"/>
      <c r="D468" s="4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5">
      <c r="A469" s="1"/>
      <c r="B469" s="6"/>
      <c r="C469" s="1"/>
      <c r="D469" s="4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5">
      <c r="A470" s="1"/>
      <c r="B470" s="6"/>
      <c r="C470" s="1"/>
      <c r="D470" s="4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5">
      <c r="A471" s="1"/>
      <c r="B471" s="6"/>
      <c r="C471" s="1"/>
      <c r="D471" s="4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5">
      <c r="A472" s="1"/>
      <c r="B472" s="6"/>
      <c r="C472" s="1"/>
      <c r="D472" s="4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5">
      <c r="A473" s="1"/>
      <c r="B473" s="6"/>
      <c r="C473" s="1"/>
      <c r="D473" s="4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5">
      <c r="A474" s="1"/>
      <c r="B474" s="6"/>
      <c r="C474" s="1"/>
      <c r="D474" s="4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5">
      <c r="A475" s="1"/>
      <c r="B475" s="6"/>
      <c r="C475" s="1"/>
      <c r="D475" s="4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5">
      <c r="A476" s="1"/>
      <c r="B476" s="6"/>
      <c r="C476" s="1"/>
      <c r="D476" s="4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5">
      <c r="A477" s="1"/>
      <c r="B477" s="6"/>
      <c r="C477" s="1"/>
      <c r="D477" s="4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5">
      <c r="A478" s="1"/>
      <c r="B478" s="6"/>
      <c r="C478" s="1"/>
      <c r="D478" s="4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5">
      <c r="A479" s="1"/>
      <c r="B479" s="6"/>
      <c r="C479" s="1"/>
      <c r="D479" s="4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5">
      <c r="A480" s="1"/>
      <c r="B480" s="6"/>
      <c r="C480" s="1"/>
      <c r="D480" s="4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5">
      <c r="A481" s="1"/>
      <c r="B481" s="6"/>
      <c r="C481" s="1"/>
      <c r="D481" s="4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5">
      <c r="A482" s="1"/>
      <c r="B482" s="6"/>
      <c r="C482" s="1"/>
      <c r="D482" s="4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5">
      <c r="A483" s="1"/>
      <c r="B483" s="6"/>
      <c r="C483" s="1"/>
      <c r="D483" s="4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5">
      <c r="A484" s="1"/>
      <c r="B484" s="6"/>
      <c r="C484" s="1"/>
      <c r="D484" s="4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5">
      <c r="A485" s="1"/>
      <c r="B485" s="6"/>
      <c r="C485" s="1"/>
      <c r="D485" s="4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5">
      <c r="A486" s="1"/>
      <c r="B486" s="6"/>
      <c r="C486" s="1"/>
      <c r="D486" s="4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5">
      <c r="A487" s="1"/>
      <c r="B487" s="6"/>
      <c r="C487" s="1"/>
      <c r="D487" s="4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5">
      <c r="A488" s="1"/>
      <c r="B488" s="6"/>
      <c r="C488" s="1"/>
      <c r="D488" s="4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5">
      <c r="A489" s="1"/>
      <c r="B489" s="6"/>
      <c r="C489" s="1"/>
      <c r="D489" s="4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5">
      <c r="A490" s="1"/>
      <c r="B490" s="6"/>
      <c r="C490" s="1"/>
      <c r="D490" s="4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5">
      <c r="A491" s="1"/>
      <c r="B491" s="6"/>
      <c r="C491" s="1"/>
      <c r="D491" s="4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5">
      <c r="A492" s="1"/>
      <c r="B492" s="6"/>
      <c r="C492" s="1"/>
      <c r="D492" s="4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5">
      <c r="A493" s="1"/>
      <c r="B493" s="6"/>
      <c r="C493" s="1"/>
      <c r="D493" s="4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5">
      <c r="A494" s="1"/>
      <c r="B494" s="6"/>
      <c r="C494" s="1"/>
      <c r="D494" s="4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5">
      <c r="A495" s="1"/>
      <c r="B495" s="6"/>
      <c r="C495" s="1"/>
      <c r="D495" s="4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5">
      <c r="A496" s="1"/>
      <c r="B496" s="6"/>
      <c r="C496" s="1"/>
      <c r="D496" s="4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5">
      <c r="A497" s="1"/>
      <c r="B497" s="6"/>
      <c r="C497" s="1"/>
      <c r="D497" s="4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5">
      <c r="A498" s="1"/>
      <c r="B498" s="6"/>
      <c r="C498" s="1"/>
      <c r="D498" s="4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5">
      <c r="A499" s="1"/>
      <c r="B499" s="6"/>
      <c r="C499" s="1"/>
      <c r="D499" s="4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5">
      <c r="A500" s="1"/>
      <c r="B500" s="6"/>
      <c r="C500" s="1"/>
      <c r="D500" s="4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5">
      <c r="A501" s="1"/>
      <c r="B501" s="6"/>
      <c r="C501" s="1"/>
      <c r="D501" s="4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5">
      <c r="A502" s="1"/>
      <c r="B502" s="6"/>
      <c r="C502" s="1"/>
      <c r="D502" s="4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5">
      <c r="A503" s="1"/>
      <c r="B503" s="6"/>
      <c r="C503" s="1"/>
      <c r="D503" s="4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5">
      <c r="A504" s="1"/>
      <c r="B504" s="6"/>
      <c r="C504" s="1"/>
      <c r="D504" s="4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5">
      <c r="A505" s="1"/>
      <c r="B505" s="6"/>
      <c r="C505" s="1"/>
      <c r="D505" s="4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5">
      <c r="A506" s="1"/>
      <c r="B506" s="6"/>
      <c r="C506" s="1"/>
      <c r="D506" s="4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5">
      <c r="A507" s="1"/>
      <c r="B507" s="6"/>
      <c r="C507" s="1"/>
      <c r="D507" s="4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5">
      <c r="A508" s="1"/>
      <c r="B508" s="6"/>
      <c r="C508" s="1"/>
      <c r="D508" s="4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5">
      <c r="A509" s="1"/>
      <c r="B509" s="6"/>
      <c r="C509" s="1"/>
      <c r="D509" s="4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5">
      <c r="A510" s="1"/>
      <c r="B510" s="6"/>
      <c r="C510" s="1"/>
      <c r="D510" s="4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5">
      <c r="A511" s="1"/>
      <c r="B511" s="6"/>
      <c r="C511" s="1"/>
      <c r="D511" s="4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5">
      <c r="A512" s="1"/>
      <c r="B512" s="6"/>
      <c r="C512" s="1"/>
      <c r="D512" s="4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5">
      <c r="A513" s="1"/>
      <c r="B513" s="6"/>
      <c r="C513" s="1"/>
      <c r="D513" s="4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5">
      <c r="A514" s="1"/>
      <c r="B514" s="6"/>
      <c r="C514" s="1"/>
      <c r="D514" s="4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5">
      <c r="A515" s="1"/>
      <c r="B515" s="6"/>
      <c r="C515" s="1"/>
      <c r="D515" s="4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5">
      <c r="A516" s="1"/>
      <c r="B516" s="6"/>
      <c r="C516" s="1"/>
      <c r="D516" s="4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5">
      <c r="A517" s="1"/>
      <c r="B517" s="6"/>
      <c r="C517" s="1"/>
      <c r="D517" s="4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5">
      <c r="A518" s="1"/>
      <c r="B518" s="6"/>
      <c r="C518" s="1"/>
      <c r="D518" s="4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5">
      <c r="A519" s="1"/>
      <c r="B519" s="6"/>
      <c r="C519" s="1"/>
      <c r="D519" s="4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5">
      <c r="A520" s="1"/>
      <c r="B520" s="6"/>
      <c r="C520" s="1"/>
      <c r="D520" s="4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5">
      <c r="A521" s="1"/>
      <c r="B521" s="6"/>
      <c r="C521" s="1"/>
      <c r="D521" s="4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5">
      <c r="A522" s="1"/>
      <c r="B522" s="6"/>
      <c r="C522" s="1"/>
      <c r="D522" s="4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5">
      <c r="A523" s="1"/>
      <c r="B523" s="6"/>
      <c r="C523" s="1"/>
      <c r="D523" s="4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5">
      <c r="A524" s="1"/>
      <c r="B524" s="6"/>
      <c r="C524" s="1"/>
      <c r="D524" s="4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5">
      <c r="A525" s="1"/>
      <c r="B525" s="6"/>
      <c r="C525" s="1"/>
      <c r="D525" s="4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5">
      <c r="A526" s="1"/>
      <c r="B526" s="6"/>
      <c r="C526" s="1"/>
      <c r="D526" s="4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5">
      <c r="A527" s="1"/>
      <c r="B527" s="6"/>
      <c r="C527" s="1"/>
      <c r="D527" s="4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5">
      <c r="A528" s="1"/>
      <c r="B528" s="6"/>
      <c r="C528" s="1"/>
      <c r="D528" s="4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5">
      <c r="A529" s="1"/>
      <c r="B529" s="6"/>
      <c r="C529" s="1"/>
      <c r="D529" s="4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5">
      <c r="A530" s="1"/>
      <c r="B530" s="6"/>
      <c r="C530" s="1"/>
      <c r="D530" s="4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5">
      <c r="A531" s="1"/>
      <c r="B531" s="6"/>
      <c r="C531" s="1"/>
      <c r="D531" s="4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5">
      <c r="A532" s="1"/>
      <c r="B532" s="6"/>
      <c r="C532" s="1"/>
      <c r="D532" s="4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5">
      <c r="A533" s="1"/>
      <c r="B533" s="6"/>
      <c r="C533" s="1"/>
      <c r="D533" s="4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5">
      <c r="A534" s="1"/>
      <c r="B534" s="6"/>
      <c r="C534" s="1"/>
      <c r="D534" s="4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5">
      <c r="A535" s="1"/>
      <c r="B535" s="6"/>
      <c r="C535" s="1"/>
      <c r="D535" s="4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5">
      <c r="A536" s="1"/>
      <c r="B536" s="6"/>
      <c r="C536" s="1"/>
      <c r="D536" s="4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5">
      <c r="A537" s="1"/>
      <c r="B537" s="6"/>
      <c r="C537" s="1"/>
      <c r="D537" s="4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5">
      <c r="A538" s="1"/>
      <c r="B538" s="6"/>
      <c r="C538" s="1"/>
      <c r="D538" s="4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5">
      <c r="A539" s="1"/>
      <c r="B539" s="6"/>
      <c r="C539" s="1"/>
      <c r="D539" s="4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5">
      <c r="A540" s="1"/>
      <c r="B540" s="6"/>
      <c r="C540" s="1"/>
      <c r="D540" s="4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5">
      <c r="A541" s="1"/>
      <c r="B541" s="6"/>
      <c r="C541" s="1"/>
      <c r="D541" s="4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5">
      <c r="A542" s="1"/>
      <c r="B542" s="6"/>
      <c r="C542" s="1"/>
      <c r="D542" s="4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5">
      <c r="A543" s="1"/>
      <c r="B543" s="6"/>
      <c r="C543" s="1"/>
      <c r="D543" s="4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5">
      <c r="A544" s="1"/>
      <c r="B544" s="6"/>
      <c r="C544" s="1"/>
      <c r="D544" s="4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5">
      <c r="A545" s="1"/>
      <c r="B545" s="6"/>
      <c r="C545" s="1"/>
      <c r="D545" s="4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5">
      <c r="A546" s="1"/>
      <c r="B546" s="6"/>
      <c r="C546" s="1"/>
      <c r="D546" s="4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5">
      <c r="A547" s="1"/>
      <c r="B547" s="6"/>
      <c r="C547" s="1"/>
      <c r="D547" s="4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5">
      <c r="A548" s="1"/>
      <c r="B548" s="6"/>
      <c r="C548" s="1"/>
      <c r="D548" s="4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5">
      <c r="A549" s="1"/>
      <c r="B549" s="6"/>
      <c r="C549" s="1"/>
      <c r="D549" s="4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5">
      <c r="A550" s="1"/>
      <c r="B550" s="6"/>
      <c r="C550" s="1"/>
      <c r="D550" s="4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5">
      <c r="A551" s="1"/>
      <c r="B551" s="6"/>
      <c r="C551" s="1"/>
      <c r="D551" s="4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5">
      <c r="A552" s="1"/>
      <c r="B552" s="6"/>
      <c r="C552" s="1"/>
      <c r="D552" s="4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5">
      <c r="A553" s="1"/>
      <c r="B553" s="6"/>
      <c r="C553" s="1"/>
      <c r="D553" s="4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5">
      <c r="A554" s="1"/>
      <c r="B554" s="6"/>
      <c r="C554" s="1"/>
      <c r="D554" s="4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5">
      <c r="A555" s="1"/>
      <c r="B555" s="6"/>
      <c r="C555" s="1"/>
      <c r="D555" s="4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5">
      <c r="A556" s="1"/>
      <c r="B556" s="6"/>
      <c r="C556" s="1"/>
      <c r="D556" s="4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5">
      <c r="A557" s="1"/>
      <c r="B557" s="6"/>
      <c r="C557" s="1"/>
      <c r="D557" s="4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5">
      <c r="A558" s="1"/>
      <c r="B558" s="6"/>
      <c r="C558" s="1"/>
      <c r="D558" s="4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5">
      <c r="A559" s="1"/>
      <c r="B559" s="6"/>
      <c r="C559" s="1"/>
      <c r="D559" s="4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5">
      <c r="A560" s="1"/>
      <c r="B560" s="6"/>
      <c r="C560" s="1"/>
      <c r="D560" s="4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5">
      <c r="A561" s="1"/>
      <c r="B561" s="6"/>
      <c r="C561" s="1"/>
      <c r="D561" s="4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5">
      <c r="A562" s="1"/>
      <c r="B562" s="6"/>
      <c r="C562" s="1"/>
      <c r="D562" s="4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5">
      <c r="A563" s="1"/>
      <c r="B563" s="6"/>
      <c r="C563" s="1"/>
      <c r="D563" s="4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5">
      <c r="A564" s="1"/>
      <c r="B564" s="6"/>
      <c r="C564" s="1"/>
      <c r="D564" s="4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5">
      <c r="A565" s="1"/>
      <c r="B565" s="6"/>
      <c r="C565" s="1"/>
      <c r="D565" s="4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5">
      <c r="A566" s="1"/>
      <c r="B566" s="6"/>
      <c r="C566" s="1"/>
      <c r="D566" s="4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5">
      <c r="A567" s="1"/>
      <c r="B567" s="6"/>
      <c r="C567" s="1"/>
      <c r="D567" s="4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5">
      <c r="A568" s="1"/>
      <c r="B568" s="6"/>
      <c r="C568" s="1"/>
      <c r="D568" s="4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5">
      <c r="A569" s="1"/>
      <c r="B569" s="6"/>
      <c r="C569" s="1"/>
      <c r="D569" s="4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5">
      <c r="A570" s="1"/>
      <c r="B570" s="6"/>
      <c r="C570" s="1"/>
      <c r="D570" s="4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5">
      <c r="A571" s="1"/>
      <c r="B571" s="6"/>
      <c r="C571" s="1"/>
      <c r="D571" s="4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5">
      <c r="A572" s="1"/>
      <c r="B572" s="6"/>
      <c r="C572" s="1"/>
      <c r="D572" s="4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5">
      <c r="A573" s="1"/>
      <c r="B573" s="6"/>
      <c r="C573" s="1"/>
      <c r="D573" s="4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5">
      <c r="A574" s="1"/>
      <c r="B574" s="6"/>
      <c r="C574" s="1"/>
      <c r="D574" s="4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5">
      <c r="A575" s="1"/>
      <c r="B575" s="6"/>
      <c r="C575" s="1"/>
      <c r="D575" s="4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5">
      <c r="A576" s="1"/>
      <c r="B576" s="6"/>
      <c r="C576" s="1"/>
      <c r="D576" s="4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5">
      <c r="A577" s="1"/>
      <c r="B577" s="6"/>
      <c r="C577" s="1"/>
      <c r="D577" s="4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5">
      <c r="A578" s="1"/>
      <c r="B578" s="6"/>
      <c r="C578" s="1"/>
      <c r="D578" s="4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5">
      <c r="A579" s="1"/>
      <c r="B579" s="6"/>
      <c r="C579" s="1"/>
      <c r="D579" s="4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5">
      <c r="A580" s="1"/>
      <c r="B580" s="6"/>
      <c r="C580" s="1"/>
      <c r="D580" s="4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5">
      <c r="A581" s="1"/>
      <c r="B581" s="6"/>
      <c r="C581" s="1"/>
      <c r="D581" s="4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5">
      <c r="A582" s="1"/>
      <c r="B582" s="6"/>
      <c r="C582" s="1"/>
      <c r="D582" s="4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5">
      <c r="A583" s="1"/>
      <c r="B583" s="6"/>
      <c r="C583" s="1"/>
      <c r="D583" s="4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5">
      <c r="A584" s="1"/>
      <c r="B584" s="6"/>
      <c r="C584" s="1"/>
      <c r="D584" s="4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5">
      <c r="A585" s="1"/>
      <c r="B585" s="6"/>
      <c r="C585" s="1"/>
      <c r="D585" s="4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5">
      <c r="A586" s="1"/>
      <c r="B586" s="6"/>
      <c r="C586" s="1"/>
      <c r="D586" s="4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5">
      <c r="A587" s="1"/>
      <c r="B587" s="6"/>
      <c r="C587" s="1"/>
      <c r="D587" s="4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5">
      <c r="A588" s="1"/>
      <c r="B588" s="6"/>
      <c r="C588" s="1"/>
      <c r="D588" s="4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5">
      <c r="A589" s="1"/>
      <c r="B589" s="6"/>
      <c r="C589" s="1"/>
      <c r="D589" s="4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5">
      <c r="A590" s="1"/>
      <c r="B590" s="6"/>
      <c r="C590" s="1"/>
      <c r="D590" s="4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5">
      <c r="A591" s="1"/>
      <c r="B591" s="6"/>
      <c r="C591" s="1"/>
      <c r="D591" s="4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5">
      <c r="A592" s="1"/>
      <c r="B592" s="6"/>
      <c r="C592" s="1"/>
      <c r="D592" s="4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5">
      <c r="A593" s="1"/>
      <c r="B593" s="6"/>
      <c r="C593" s="1"/>
      <c r="D593" s="4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5">
      <c r="A594" s="1"/>
      <c r="B594" s="6"/>
      <c r="C594" s="1"/>
      <c r="D594" s="4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5">
      <c r="A595" s="1"/>
      <c r="B595" s="6"/>
      <c r="C595" s="1"/>
      <c r="D595" s="4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5">
      <c r="A596" s="1"/>
      <c r="B596" s="6"/>
      <c r="C596" s="1"/>
      <c r="D596" s="4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5">
      <c r="A597" s="1"/>
      <c r="B597" s="6"/>
      <c r="C597" s="1"/>
      <c r="D597" s="4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5">
      <c r="A598" s="1"/>
      <c r="B598" s="6"/>
      <c r="C598" s="1"/>
      <c r="D598" s="4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5">
      <c r="A599" s="1"/>
      <c r="B599" s="6"/>
      <c r="C599" s="1"/>
      <c r="D599" s="4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5">
      <c r="A600" s="1"/>
      <c r="B600" s="6"/>
      <c r="C600" s="1"/>
      <c r="D600" s="4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5">
      <c r="A601" s="1"/>
      <c r="B601" s="6"/>
      <c r="C601" s="1"/>
      <c r="D601" s="4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5">
      <c r="A602" s="1"/>
      <c r="B602" s="6"/>
      <c r="C602" s="1"/>
      <c r="D602" s="4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5">
      <c r="A603" s="1"/>
      <c r="B603" s="6"/>
      <c r="C603" s="1"/>
      <c r="D603" s="4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5">
      <c r="A604" s="1"/>
      <c r="B604" s="6"/>
      <c r="C604" s="1"/>
      <c r="D604" s="4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5">
      <c r="A605" s="1"/>
      <c r="B605" s="6"/>
      <c r="C605" s="1"/>
      <c r="D605" s="4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5">
      <c r="A606" s="1"/>
      <c r="B606" s="6"/>
      <c r="C606" s="1"/>
      <c r="D606" s="4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5">
      <c r="A607" s="1"/>
      <c r="B607" s="6"/>
      <c r="C607" s="1"/>
      <c r="D607" s="4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5">
      <c r="A608" s="1"/>
      <c r="B608" s="6"/>
      <c r="C608" s="1"/>
      <c r="D608" s="4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5">
      <c r="A609" s="1"/>
      <c r="B609" s="6"/>
      <c r="C609" s="1"/>
      <c r="D609" s="4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5">
      <c r="A610" s="1"/>
      <c r="B610" s="6"/>
      <c r="C610" s="1"/>
      <c r="D610" s="4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5">
      <c r="A611" s="1"/>
      <c r="B611" s="6"/>
      <c r="C611" s="1"/>
      <c r="D611" s="4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5">
      <c r="A612" s="1"/>
      <c r="B612" s="6"/>
      <c r="C612" s="1"/>
      <c r="D612" s="4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5">
      <c r="A613" s="1"/>
      <c r="B613" s="6"/>
      <c r="C613" s="1"/>
      <c r="D613" s="4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5">
      <c r="A614" s="1"/>
      <c r="B614" s="6"/>
      <c r="C614" s="1"/>
      <c r="D614" s="4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5">
      <c r="A615" s="1"/>
      <c r="B615" s="6"/>
      <c r="C615" s="1"/>
      <c r="D615" s="4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5">
      <c r="A616" s="1"/>
      <c r="B616" s="6"/>
      <c r="C616" s="1"/>
      <c r="D616" s="4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5">
      <c r="A617" s="1"/>
      <c r="B617" s="6"/>
      <c r="C617" s="1"/>
      <c r="D617" s="4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5">
      <c r="A618" s="1"/>
      <c r="B618" s="6"/>
      <c r="C618" s="1"/>
      <c r="D618" s="4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5">
      <c r="A619" s="1"/>
      <c r="B619" s="6"/>
      <c r="C619" s="1"/>
      <c r="D619" s="4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5">
      <c r="A620" s="1"/>
      <c r="B620" s="6"/>
      <c r="C620" s="1"/>
      <c r="D620" s="4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5">
      <c r="A621" s="1"/>
      <c r="B621" s="6"/>
      <c r="C621" s="1"/>
      <c r="D621" s="4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5">
      <c r="A622" s="1"/>
      <c r="B622" s="6"/>
      <c r="C622" s="1"/>
      <c r="D622" s="4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5">
      <c r="A623" s="1"/>
      <c r="B623" s="6"/>
      <c r="C623" s="1"/>
      <c r="D623" s="4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5">
      <c r="A624" s="1"/>
      <c r="B624" s="6"/>
      <c r="C624" s="1"/>
      <c r="D624" s="4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5">
      <c r="A625" s="1"/>
      <c r="B625" s="6"/>
      <c r="C625" s="1"/>
      <c r="D625" s="4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5">
      <c r="A626" s="1"/>
      <c r="B626" s="6"/>
      <c r="C626" s="1"/>
      <c r="D626" s="4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5">
      <c r="A627" s="1"/>
      <c r="B627" s="6"/>
      <c r="C627" s="1"/>
      <c r="D627" s="4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5">
      <c r="A628" s="1"/>
      <c r="B628" s="6"/>
      <c r="C628" s="1"/>
      <c r="D628" s="4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5">
      <c r="A629" s="1"/>
      <c r="B629" s="6"/>
      <c r="C629" s="1"/>
      <c r="D629" s="4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5">
      <c r="A630" s="1"/>
      <c r="B630" s="6"/>
      <c r="C630" s="1"/>
      <c r="D630" s="4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5">
      <c r="A631" s="1"/>
      <c r="B631" s="6"/>
      <c r="C631" s="1"/>
      <c r="D631" s="4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5">
      <c r="A632" s="1"/>
      <c r="B632" s="6"/>
      <c r="C632" s="1"/>
      <c r="D632" s="4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5">
      <c r="A633" s="1"/>
      <c r="B633" s="6"/>
      <c r="C633" s="1"/>
      <c r="D633" s="4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5">
      <c r="A634" s="1"/>
      <c r="B634" s="6"/>
      <c r="C634" s="1"/>
      <c r="D634" s="4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5">
      <c r="A635" s="1"/>
      <c r="B635" s="6"/>
      <c r="C635" s="1"/>
      <c r="D635" s="4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5">
      <c r="A636" s="1"/>
      <c r="B636" s="6"/>
      <c r="C636" s="1"/>
      <c r="D636" s="4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5">
      <c r="A637" s="1"/>
      <c r="B637" s="6"/>
      <c r="C637" s="1"/>
      <c r="D637" s="4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5">
      <c r="A638" s="1"/>
      <c r="B638" s="6"/>
      <c r="C638" s="1"/>
      <c r="D638" s="4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5">
      <c r="A639" s="1"/>
      <c r="B639" s="6"/>
      <c r="C639" s="1"/>
      <c r="D639" s="4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5">
      <c r="A640" s="1"/>
      <c r="B640" s="6"/>
      <c r="C640" s="1"/>
      <c r="D640" s="4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5">
      <c r="A641" s="1"/>
      <c r="B641" s="6"/>
      <c r="C641" s="1"/>
      <c r="D641" s="4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5">
      <c r="A642" s="1"/>
      <c r="B642" s="6"/>
      <c r="C642" s="1"/>
      <c r="D642" s="4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5">
      <c r="A643" s="1"/>
      <c r="B643" s="6"/>
      <c r="C643" s="1"/>
      <c r="D643" s="4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5">
      <c r="A644" s="1"/>
      <c r="B644" s="6"/>
      <c r="C644" s="1"/>
      <c r="D644" s="4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5">
      <c r="A645" s="1"/>
      <c r="B645" s="6"/>
      <c r="C645" s="1"/>
      <c r="D645" s="4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5">
      <c r="A646" s="1"/>
      <c r="B646" s="6"/>
      <c r="C646" s="1"/>
      <c r="D646" s="4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5">
      <c r="A647" s="1"/>
      <c r="B647" s="6"/>
      <c r="C647" s="1"/>
      <c r="D647" s="4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5">
      <c r="A648" s="1"/>
      <c r="B648" s="6"/>
      <c r="C648" s="1"/>
      <c r="D648" s="4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5">
      <c r="A649" s="1"/>
      <c r="B649" s="6"/>
      <c r="C649" s="1"/>
      <c r="D649" s="4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5">
      <c r="A650" s="1"/>
      <c r="B650" s="6"/>
      <c r="C650" s="1"/>
      <c r="D650" s="4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5">
      <c r="A651" s="1"/>
      <c r="B651" s="6"/>
      <c r="C651" s="1"/>
      <c r="D651" s="4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5">
      <c r="A652" s="1"/>
      <c r="B652" s="6"/>
      <c r="C652" s="1"/>
      <c r="D652" s="4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5">
      <c r="A653" s="1"/>
      <c r="B653" s="6"/>
      <c r="C653" s="1"/>
      <c r="D653" s="4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5">
      <c r="A654" s="1"/>
      <c r="B654" s="6"/>
      <c r="C654" s="1"/>
      <c r="D654" s="4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5">
      <c r="A655" s="1"/>
      <c r="B655" s="6"/>
      <c r="C655" s="1"/>
      <c r="D655" s="4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5">
      <c r="A656" s="1"/>
      <c r="B656" s="6"/>
      <c r="C656" s="1"/>
      <c r="D656" s="4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5">
      <c r="A657" s="1"/>
      <c r="B657" s="6"/>
      <c r="C657" s="1"/>
      <c r="D657" s="4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5">
      <c r="A658" s="1"/>
      <c r="B658" s="6"/>
      <c r="C658" s="1"/>
      <c r="D658" s="4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5">
      <c r="A659" s="1"/>
      <c r="B659" s="6"/>
      <c r="C659" s="1"/>
      <c r="D659" s="4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5">
      <c r="A660" s="1"/>
      <c r="B660" s="6"/>
      <c r="C660" s="1"/>
      <c r="D660" s="4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5">
      <c r="A661" s="1"/>
      <c r="B661" s="6"/>
      <c r="C661" s="1"/>
      <c r="D661" s="4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5">
      <c r="A662" s="1"/>
      <c r="B662" s="6"/>
      <c r="C662" s="1"/>
      <c r="D662" s="4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5">
      <c r="A663" s="1"/>
      <c r="B663" s="6"/>
      <c r="C663" s="1"/>
      <c r="D663" s="4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5">
      <c r="A664" s="1"/>
      <c r="B664" s="6"/>
      <c r="C664" s="1"/>
      <c r="D664" s="4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5">
      <c r="A665" s="1"/>
      <c r="B665" s="6"/>
      <c r="C665" s="1"/>
      <c r="D665" s="4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5">
      <c r="A666" s="1"/>
      <c r="B666" s="6"/>
      <c r="C666" s="1"/>
      <c r="D666" s="4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5">
      <c r="A667" s="1"/>
      <c r="B667" s="6"/>
      <c r="C667" s="1"/>
      <c r="D667" s="4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5">
      <c r="A668" s="1"/>
      <c r="B668" s="6"/>
      <c r="C668" s="1"/>
      <c r="D668" s="4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5">
      <c r="A669" s="1"/>
      <c r="B669" s="6"/>
      <c r="C669" s="1"/>
      <c r="D669" s="4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5">
      <c r="A670" s="1"/>
      <c r="B670" s="6"/>
      <c r="C670" s="1"/>
      <c r="D670" s="4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5">
      <c r="A671" s="1"/>
      <c r="B671" s="6"/>
      <c r="C671" s="1"/>
      <c r="D671" s="4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5">
      <c r="A672" s="1"/>
      <c r="B672" s="6"/>
      <c r="C672" s="1"/>
      <c r="D672" s="4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5">
      <c r="A673" s="1"/>
      <c r="B673" s="6"/>
      <c r="C673" s="1"/>
      <c r="D673" s="4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5">
      <c r="A674" s="1"/>
      <c r="B674" s="6"/>
      <c r="C674" s="1"/>
      <c r="D674" s="4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5">
      <c r="A675" s="1"/>
      <c r="B675" s="6"/>
      <c r="C675" s="1"/>
      <c r="D675" s="4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5">
      <c r="A676" s="1"/>
      <c r="B676" s="6"/>
      <c r="C676" s="1"/>
      <c r="D676" s="4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5">
      <c r="A677" s="1"/>
      <c r="B677" s="6"/>
      <c r="C677" s="1"/>
      <c r="D677" s="4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5">
      <c r="A678" s="1"/>
      <c r="B678" s="6"/>
      <c r="C678" s="1"/>
      <c r="D678" s="4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5">
      <c r="A679" s="1"/>
      <c r="B679" s="6"/>
      <c r="C679" s="1"/>
      <c r="D679" s="4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5">
      <c r="A680" s="1"/>
      <c r="B680" s="6"/>
      <c r="C680" s="1"/>
      <c r="D680" s="4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5">
      <c r="A681" s="1"/>
      <c r="B681" s="6"/>
      <c r="C681" s="1"/>
      <c r="D681" s="4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5">
      <c r="A682" s="1"/>
      <c r="B682" s="6"/>
      <c r="C682" s="1"/>
      <c r="D682" s="4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5">
      <c r="A683" s="1"/>
      <c r="B683" s="6"/>
      <c r="C683" s="1"/>
      <c r="D683" s="4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5">
      <c r="A684" s="1"/>
      <c r="B684" s="6"/>
      <c r="C684" s="1"/>
      <c r="D684" s="4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5">
      <c r="A685" s="1"/>
      <c r="B685" s="6"/>
      <c r="C685" s="1"/>
      <c r="D685" s="4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5">
      <c r="A686" s="1"/>
      <c r="B686" s="6"/>
      <c r="C686" s="1"/>
      <c r="D686" s="4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5">
      <c r="A687" s="1"/>
      <c r="B687" s="6"/>
      <c r="C687" s="1"/>
      <c r="D687" s="4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5">
      <c r="A688" s="1"/>
      <c r="B688" s="6"/>
      <c r="C688" s="1"/>
      <c r="D688" s="4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5">
      <c r="A689" s="1"/>
      <c r="B689" s="6"/>
      <c r="C689" s="1"/>
      <c r="D689" s="4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5">
      <c r="A690" s="1"/>
      <c r="B690" s="6"/>
      <c r="C690" s="1"/>
      <c r="D690" s="4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5">
      <c r="A691" s="1"/>
      <c r="B691" s="6"/>
      <c r="C691" s="1"/>
      <c r="D691" s="4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5">
      <c r="A692" s="1"/>
      <c r="B692" s="6"/>
      <c r="C692" s="1"/>
      <c r="D692" s="4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5">
      <c r="A693" s="1"/>
      <c r="B693" s="6"/>
      <c r="C693" s="1"/>
      <c r="D693" s="4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5">
      <c r="A694" s="1"/>
      <c r="B694" s="6"/>
      <c r="C694" s="1"/>
      <c r="D694" s="4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5">
      <c r="A695" s="1"/>
      <c r="B695" s="6"/>
      <c r="C695" s="1"/>
      <c r="D695" s="4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5">
      <c r="A696" s="1"/>
      <c r="B696" s="6"/>
      <c r="C696" s="1"/>
      <c r="D696" s="4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5">
      <c r="A697" s="1"/>
      <c r="B697" s="6"/>
      <c r="C697" s="1"/>
      <c r="D697" s="4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5">
      <c r="A698" s="1"/>
      <c r="B698" s="6"/>
      <c r="C698" s="1"/>
      <c r="D698" s="4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5">
      <c r="A699" s="1"/>
      <c r="B699" s="6"/>
      <c r="C699" s="1"/>
      <c r="D699" s="4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5">
      <c r="A700" s="1"/>
      <c r="B700" s="6"/>
      <c r="C700" s="1"/>
      <c r="D700" s="4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5">
      <c r="A701" s="1"/>
      <c r="B701" s="6"/>
      <c r="C701" s="1"/>
      <c r="D701" s="4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5">
      <c r="A702" s="1"/>
      <c r="B702" s="6"/>
      <c r="C702" s="1"/>
      <c r="D702" s="4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5">
      <c r="A703" s="1"/>
      <c r="B703" s="6"/>
      <c r="C703" s="1"/>
      <c r="D703" s="4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5">
      <c r="A704" s="1"/>
      <c r="B704" s="6"/>
      <c r="C704" s="1"/>
      <c r="D704" s="4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5">
      <c r="A705" s="1"/>
      <c r="B705" s="6"/>
      <c r="C705" s="1"/>
      <c r="D705" s="4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5">
      <c r="A706" s="1"/>
      <c r="B706" s="6"/>
      <c r="C706" s="1"/>
      <c r="D706" s="4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5">
      <c r="A707" s="1"/>
      <c r="B707" s="6"/>
      <c r="C707" s="1"/>
      <c r="D707" s="4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5">
      <c r="A708" s="1"/>
      <c r="B708" s="6"/>
      <c r="C708" s="1"/>
      <c r="D708" s="4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5">
      <c r="A709" s="1"/>
      <c r="B709" s="6"/>
      <c r="C709" s="1"/>
      <c r="D709" s="4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5">
      <c r="A710" s="1"/>
      <c r="B710" s="6"/>
      <c r="C710" s="1"/>
      <c r="D710" s="4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5">
      <c r="A711" s="1"/>
      <c r="B711" s="6"/>
      <c r="C711" s="1"/>
      <c r="D711" s="4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5">
      <c r="A712" s="1"/>
      <c r="B712" s="6"/>
      <c r="C712" s="1"/>
      <c r="D712" s="4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5">
      <c r="A713" s="1"/>
      <c r="B713" s="6"/>
      <c r="C713" s="1"/>
      <c r="D713" s="4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5">
      <c r="A714" s="1"/>
      <c r="B714" s="6"/>
      <c r="C714" s="1"/>
      <c r="D714" s="4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5">
      <c r="A715" s="1"/>
      <c r="B715" s="6"/>
      <c r="C715" s="1"/>
      <c r="D715" s="4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5">
      <c r="A716" s="1"/>
      <c r="B716" s="6"/>
      <c r="C716" s="1"/>
      <c r="D716" s="4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5">
      <c r="A717" s="1"/>
      <c r="B717" s="6"/>
      <c r="C717" s="1"/>
      <c r="D717" s="4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5">
      <c r="A718" s="1"/>
      <c r="B718" s="6"/>
      <c r="C718" s="1"/>
      <c r="D718" s="4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5">
      <c r="A719" s="1"/>
      <c r="B719" s="6"/>
      <c r="C719" s="1"/>
      <c r="D719" s="4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5">
      <c r="A720" s="1"/>
      <c r="B720" s="6"/>
      <c r="C720" s="1"/>
      <c r="D720" s="4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5">
      <c r="A721" s="1"/>
      <c r="B721" s="6"/>
      <c r="C721" s="1"/>
      <c r="D721" s="4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5">
      <c r="A722" s="1"/>
      <c r="B722" s="6"/>
      <c r="C722" s="1"/>
      <c r="D722" s="4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5">
      <c r="A723" s="1"/>
      <c r="B723" s="6"/>
      <c r="C723" s="1"/>
      <c r="D723" s="4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5">
      <c r="A724" s="1"/>
      <c r="B724" s="6"/>
      <c r="C724" s="1"/>
      <c r="D724" s="4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5">
      <c r="A725" s="1"/>
      <c r="B725" s="6"/>
      <c r="C725" s="1"/>
      <c r="D725" s="4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5">
      <c r="A726" s="1"/>
      <c r="B726" s="6"/>
      <c r="C726" s="1"/>
      <c r="D726" s="4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5">
      <c r="A727" s="1"/>
      <c r="B727" s="6"/>
      <c r="C727" s="1"/>
      <c r="D727" s="4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5">
      <c r="A728" s="1"/>
      <c r="B728" s="6"/>
      <c r="C728" s="1"/>
      <c r="D728" s="4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5">
      <c r="A729" s="1"/>
      <c r="B729" s="6"/>
      <c r="C729" s="1"/>
      <c r="D729" s="4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5">
      <c r="A730" s="1"/>
      <c r="B730" s="6"/>
      <c r="C730" s="1"/>
      <c r="D730" s="4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5">
      <c r="A731" s="1"/>
      <c r="B731" s="6"/>
      <c r="C731" s="1"/>
      <c r="D731" s="4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5">
      <c r="A732" s="1"/>
      <c r="B732" s="6"/>
      <c r="C732" s="1"/>
      <c r="D732" s="4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5">
      <c r="A733" s="1"/>
      <c r="B733" s="6"/>
      <c r="C733" s="1"/>
      <c r="D733" s="4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5">
      <c r="A734" s="1"/>
      <c r="B734" s="6"/>
      <c r="C734" s="1"/>
      <c r="D734" s="4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5">
      <c r="A735" s="1"/>
      <c r="B735" s="6"/>
      <c r="C735" s="1"/>
      <c r="D735" s="4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5">
      <c r="A736" s="1"/>
      <c r="B736" s="6"/>
      <c r="C736" s="1"/>
      <c r="D736" s="4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5">
      <c r="A737" s="1"/>
      <c r="B737" s="6"/>
      <c r="C737" s="1"/>
      <c r="D737" s="4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5">
      <c r="A738" s="1"/>
      <c r="B738" s="6"/>
      <c r="C738" s="1"/>
      <c r="D738" s="4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5">
      <c r="A739" s="1"/>
      <c r="B739" s="6"/>
      <c r="C739" s="1"/>
      <c r="D739" s="4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5">
      <c r="A740" s="1"/>
      <c r="B740" s="6"/>
      <c r="C740" s="1"/>
      <c r="D740" s="4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5">
      <c r="A741" s="1"/>
      <c r="B741" s="6"/>
      <c r="C741" s="1"/>
      <c r="D741" s="4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5">
      <c r="A742" s="1"/>
      <c r="B742" s="6"/>
      <c r="C742" s="1"/>
      <c r="D742" s="4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5">
      <c r="A743" s="1"/>
      <c r="B743" s="6"/>
      <c r="C743" s="1"/>
      <c r="D743" s="4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5">
      <c r="A744" s="1"/>
      <c r="B744" s="6"/>
      <c r="C744" s="1"/>
      <c r="D744" s="4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5">
      <c r="A745" s="1"/>
      <c r="B745" s="6"/>
      <c r="C745" s="1"/>
      <c r="D745" s="4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5">
      <c r="A746" s="1"/>
      <c r="B746" s="6"/>
      <c r="C746" s="1"/>
      <c r="D746" s="4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5">
      <c r="A747" s="1"/>
      <c r="B747" s="6"/>
      <c r="C747" s="1"/>
      <c r="D747" s="4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5">
      <c r="A748" s="1"/>
      <c r="B748" s="6"/>
      <c r="C748" s="1"/>
      <c r="D748" s="4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5">
      <c r="A749" s="1"/>
      <c r="B749" s="6"/>
      <c r="C749" s="1"/>
      <c r="D749" s="4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5">
      <c r="A750" s="1"/>
      <c r="B750" s="6"/>
      <c r="C750" s="1"/>
      <c r="D750" s="4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5">
      <c r="A751" s="1"/>
      <c r="B751" s="6"/>
      <c r="C751" s="1"/>
      <c r="D751" s="4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5">
      <c r="A752" s="1"/>
      <c r="B752" s="6"/>
      <c r="C752" s="1"/>
      <c r="D752" s="4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5">
      <c r="A753" s="1"/>
      <c r="B753" s="6"/>
      <c r="C753" s="1"/>
      <c r="D753" s="4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5">
      <c r="A754" s="1"/>
      <c r="B754" s="6"/>
      <c r="C754" s="1"/>
      <c r="D754" s="4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5">
      <c r="A755" s="1"/>
      <c r="B755" s="6"/>
      <c r="C755" s="1"/>
      <c r="D755" s="4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5">
      <c r="A756" s="1"/>
      <c r="B756" s="6"/>
      <c r="C756" s="1"/>
      <c r="D756" s="4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5">
      <c r="A757" s="1"/>
      <c r="B757" s="6"/>
      <c r="C757" s="1"/>
      <c r="D757" s="4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5">
      <c r="A758" s="1"/>
      <c r="B758" s="6"/>
      <c r="C758" s="1"/>
      <c r="D758" s="4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5">
      <c r="A759" s="1"/>
      <c r="B759" s="6"/>
      <c r="C759" s="1"/>
      <c r="D759" s="4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5">
      <c r="A760" s="1"/>
      <c r="B760" s="6"/>
      <c r="C760" s="1"/>
      <c r="D760" s="4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5">
      <c r="A761" s="1"/>
      <c r="B761" s="6"/>
      <c r="C761" s="1"/>
      <c r="D761" s="4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5">
      <c r="A762" s="1"/>
      <c r="B762" s="6"/>
      <c r="C762" s="1"/>
      <c r="D762" s="4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5">
      <c r="A763" s="1"/>
      <c r="B763" s="6"/>
      <c r="C763" s="1"/>
      <c r="D763" s="4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5">
      <c r="A764" s="1"/>
      <c r="B764" s="6"/>
      <c r="C764" s="1"/>
      <c r="D764" s="4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5">
      <c r="A765" s="1"/>
      <c r="B765" s="6"/>
      <c r="C765" s="1"/>
      <c r="D765" s="4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5">
      <c r="A766" s="1"/>
      <c r="B766" s="6"/>
      <c r="C766" s="1"/>
      <c r="D766" s="4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5">
      <c r="A767" s="1"/>
      <c r="B767" s="6"/>
      <c r="C767" s="1"/>
      <c r="D767" s="4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5">
      <c r="A768" s="1"/>
      <c r="B768" s="6"/>
      <c r="C768" s="1"/>
      <c r="D768" s="4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5">
      <c r="A769" s="1"/>
      <c r="B769" s="6"/>
      <c r="C769" s="1"/>
      <c r="D769" s="4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5">
      <c r="A770" s="1"/>
      <c r="B770" s="6"/>
      <c r="C770" s="1"/>
      <c r="D770" s="4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5">
      <c r="A771" s="1"/>
      <c r="B771" s="6"/>
      <c r="C771" s="1"/>
      <c r="D771" s="4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5">
      <c r="A772" s="1"/>
      <c r="B772" s="6"/>
      <c r="C772" s="1"/>
      <c r="D772" s="4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5">
      <c r="A773" s="1"/>
      <c r="B773" s="6"/>
      <c r="C773" s="1"/>
      <c r="D773" s="4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5">
      <c r="A774" s="1"/>
      <c r="B774" s="6"/>
      <c r="C774" s="1"/>
      <c r="D774" s="4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5">
      <c r="A775" s="1"/>
      <c r="B775" s="6"/>
      <c r="C775" s="1"/>
      <c r="D775" s="4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5">
      <c r="A776" s="1"/>
      <c r="B776" s="6"/>
      <c r="C776" s="1"/>
      <c r="D776" s="4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5">
      <c r="A777" s="1"/>
      <c r="B777" s="6"/>
      <c r="C777" s="1"/>
      <c r="D777" s="4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5">
      <c r="A778" s="1"/>
      <c r="B778" s="6"/>
      <c r="C778" s="1"/>
      <c r="D778" s="4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5">
      <c r="A779" s="1"/>
      <c r="B779" s="6"/>
      <c r="C779" s="1"/>
      <c r="D779" s="4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5">
      <c r="A780" s="1"/>
      <c r="B780" s="6"/>
      <c r="C780" s="1"/>
      <c r="D780" s="4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5">
      <c r="A781" s="1"/>
      <c r="B781" s="6"/>
      <c r="C781" s="1"/>
      <c r="D781" s="4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5">
      <c r="A782" s="1"/>
      <c r="B782" s="6"/>
      <c r="C782" s="1"/>
      <c r="D782" s="4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5">
      <c r="A783" s="1"/>
      <c r="B783" s="6"/>
      <c r="C783" s="1"/>
      <c r="D783" s="4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5">
      <c r="A784" s="1"/>
      <c r="B784" s="6"/>
      <c r="C784" s="1"/>
      <c r="D784" s="4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5">
      <c r="A785" s="1"/>
      <c r="B785" s="6"/>
      <c r="C785" s="1"/>
      <c r="D785" s="4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5">
      <c r="A786" s="1"/>
      <c r="B786" s="6"/>
      <c r="C786" s="1"/>
      <c r="D786" s="4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5">
      <c r="A787" s="1"/>
      <c r="B787" s="6"/>
      <c r="C787" s="1"/>
      <c r="D787" s="4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5">
      <c r="A788" s="1"/>
      <c r="B788" s="6"/>
      <c r="C788" s="1"/>
      <c r="D788" s="4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5">
      <c r="A789" s="1"/>
      <c r="B789" s="6"/>
      <c r="C789" s="1"/>
      <c r="D789" s="4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5">
      <c r="A790" s="1"/>
      <c r="B790" s="6"/>
      <c r="C790" s="1"/>
      <c r="D790" s="4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5">
      <c r="A791" s="1"/>
      <c r="B791" s="6"/>
      <c r="C791" s="1"/>
      <c r="D791" s="4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5">
      <c r="A792" s="1"/>
      <c r="B792" s="6"/>
      <c r="C792" s="1"/>
      <c r="D792" s="4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5">
      <c r="A793" s="1"/>
      <c r="B793" s="6"/>
      <c r="C793" s="1"/>
      <c r="D793" s="4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5">
      <c r="A794" s="1"/>
      <c r="B794" s="6"/>
      <c r="C794" s="1"/>
      <c r="D794" s="4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5">
      <c r="A795" s="1"/>
      <c r="B795" s="6"/>
      <c r="C795" s="1"/>
      <c r="D795" s="4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5">
      <c r="A796" s="1"/>
      <c r="B796" s="6"/>
      <c r="C796" s="1"/>
      <c r="D796" s="4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5">
      <c r="A797" s="1"/>
      <c r="B797" s="6"/>
      <c r="C797" s="1"/>
      <c r="D797" s="4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5">
      <c r="A798" s="1"/>
      <c r="B798" s="6"/>
      <c r="C798" s="1"/>
      <c r="D798" s="4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5">
      <c r="A799" s="1"/>
      <c r="B799" s="6"/>
      <c r="C799" s="1"/>
      <c r="D799" s="4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5">
      <c r="A800" s="1"/>
      <c r="B800" s="6"/>
      <c r="C800" s="1"/>
      <c r="D800" s="4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5">
      <c r="A801" s="1"/>
      <c r="B801" s="6"/>
      <c r="C801" s="1"/>
      <c r="D801" s="4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5">
      <c r="A802" s="1"/>
      <c r="B802" s="6"/>
      <c r="C802" s="1"/>
      <c r="D802" s="4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5">
      <c r="A803" s="1"/>
      <c r="B803" s="6"/>
      <c r="C803" s="1"/>
      <c r="D803" s="4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5">
      <c r="A804" s="1"/>
      <c r="B804" s="6"/>
      <c r="C804" s="1"/>
      <c r="D804" s="4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5">
      <c r="A805" s="1"/>
      <c r="B805" s="6"/>
      <c r="C805" s="1"/>
      <c r="D805" s="4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5">
      <c r="A806" s="1"/>
      <c r="B806" s="6"/>
      <c r="C806" s="1"/>
      <c r="D806" s="4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5">
      <c r="A807" s="1"/>
      <c r="B807" s="6"/>
      <c r="C807" s="1"/>
      <c r="D807" s="4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5">
      <c r="A808" s="1"/>
      <c r="B808" s="6"/>
      <c r="C808" s="1"/>
      <c r="D808" s="4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5">
      <c r="A809" s="1"/>
      <c r="B809" s="6"/>
      <c r="C809" s="1"/>
      <c r="D809" s="4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5">
      <c r="A810" s="1"/>
      <c r="B810" s="6"/>
      <c r="C810" s="1"/>
      <c r="D810" s="4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5">
      <c r="A811" s="1"/>
      <c r="B811" s="6"/>
      <c r="C811" s="1"/>
      <c r="D811" s="4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5">
      <c r="A812" s="1"/>
      <c r="B812" s="6"/>
      <c r="C812" s="1"/>
      <c r="D812" s="4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5">
      <c r="A813" s="1"/>
      <c r="B813" s="6"/>
      <c r="C813" s="1"/>
      <c r="D813" s="4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5">
      <c r="A814" s="1"/>
      <c r="B814" s="6"/>
      <c r="C814" s="1"/>
      <c r="D814" s="4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5">
      <c r="A815" s="1"/>
      <c r="B815" s="6"/>
      <c r="C815" s="1"/>
      <c r="D815" s="4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5">
      <c r="A816" s="1"/>
      <c r="B816" s="6"/>
      <c r="C816" s="1"/>
      <c r="D816" s="4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5">
      <c r="A817" s="1"/>
      <c r="B817" s="6"/>
      <c r="C817" s="1"/>
      <c r="D817" s="4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5">
      <c r="A818" s="1"/>
      <c r="B818" s="6"/>
      <c r="C818" s="1"/>
      <c r="D818" s="4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5">
      <c r="A819" s="1"/>
      <c r="B819" s="6"/>
      <c r="C819" s="1"/>
      <c r="D819" s="4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5">
      <c r="A820" s="1"/>
      <c r="B820" s="6"/>
      <c r="C820" s="1"/>
      <c r="D820" s="4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5">
      <c r="A821" s="1"/>
      <c r="B821" s="6"/>
      <c r="C821" s="1"/>
      <c r="D821" s="4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5">
      <c r="A822" s="1"/>
      <c r="B822" s="6"/>
      <c r="C822" s="1"/>
      <c r="D822" s="4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5">
      <c r="A823" s="1"/>
      <c r="B823" s="6"/>
      <c r="C823" s="1"/>
      <c r="D823" s="4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5">
      <c r="A824" s="1"/>
      <c r="B824" s="6"/>
      <c r="C824" s="1"/>
      <c r="D824" s="4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5">
      <c r="A825" s="1"/>
      <c r="B825" s="6"/>
      <c r="C825" s="1"/>
      <c r="D825" s="4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5">
      <c r="A826" s="1"/>
      <c r="B826" s="6"/>
      <c r="C826" s="1"/>
      <c r="D826" s="4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5">
      <c r="A827" s="1"/>
      <c r="B827" s="6"/>
      <c r="C827" s="1"/>
      <c r="D827" s="4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5">
      <c r="A828" s="1"/>
      <c r="B828" s="6"/>
      <c r="C828" s="1"/>
      <c r="D828" s="4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5">
      <c r="A829" s="1"/>
      <c r="B829" s="6"/>
      <c r="C829" s="1"/>
      <c r="D829" s="4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5">
      <c r="A830" s="1"/>
      <c r="B830" s="6"/>
      <c r="C830" s="1"/>
      <c r="D830" s="4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5">
      <c r="A831" s="1"/>
      <c r="B831" s="6"/>
      <c r="C831" s="1"/>
      <c r="D831" s="4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5">
      <c r="A832" s="1"/>
      <c r="B832" s="6"/>
      <c r="C832" s="1"/>
      <c r="D832" s="4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5">
      <c r="A833" s="1"/>
      <c r="B833" s="6"/>
      <c r="C833" s="1"/>
      <c r="D833" s="4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5">
      <c r="A834" s="1"/>
      <c r="B834" s="6"/>
      <c r="C834" s="1"/>
      <c r="D834" s="4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5">
      <c r="A835" s="1"/>
      <c r="B835" s="6"/>
      <c r="C835" s="1"/>
      <c r="D835" s="4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5">
      <c r="A836" s="1"/>
      <c r="B836" s="6"/>
      <c r="C836" s="1"/>
      <c r="D836" s="4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5">
      <c r="A837" s="1"/>
      <c r="B837" s="6"/>
      <c r="C837" s="1"/>
      <c r="D837" s="4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5">
      <c r="A838" s="1"/>
      <c r="B838" s="6"/>
      <c r="C838" s="1"/>
      <c r="D838" s="4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5">
      <c r="A839" s="1"/>
      <c r="B839" s="6"/>
      <c r="C839" s="1"/>
      <c r="D839" s="4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5">
      <c r="A840" s="1"/>
      <c r="B840" s="6"/>
      <c r="C840" s="1"/>
      <c r="D840" s="4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5">
      <c r="A841" s="1"/>
      <c r="B841" s="6"/>
      <c r="C841" s="1"/>
      <c r="D841" s="4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5">
      <c r="A842" s="1"/>
      <c r="B842" s="6"/>
      <c r="C842" s="1"/>
      <c r="D842" s="4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5">
      <c r="A843" s="1"/>
      <c r="B843" s="6"/>
      <c r="C843" s="1"/>
      <c r="D843" s="4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5">
      <c r="A844" s="1"/>
      <c r="B844" s="6"/>
      <c r="C844" s="1"/>
      <c r="D844" s="4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5">
      <c r="A845" s="1"/>
      <c r="B845" s="6"/>
      <c r="C845" s="1"/>
      <c r="D845" s="4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5">
      <c r="A846" s="1"/>
      <c r="B846" s="6"/>
      <c r="C846" s="1"/>
      <c r="D846" s="4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5">
      <c r="A847" s="1"/>
      <c r="B847" s="6"/>
      <c r="C847" s="1"/>
      <c r="D847" s="4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5">
      <c r="A848" s="1"/>
      <c r="B848" s="6"/>
      <c r="C848" s="1"/>
      <c r="D848" s="4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5">
      <c r="A849" s="1"/>
      <c r="B849" s="6"/>
      <c r="C849" s="1"/>
      <c r="D849" s="4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5">
      <c r="A850" s="1"/>
      <c r="B850" s="6"/>
      <c r="C850" s="1"/>
      <c r="D850" s="4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5">
      <c r="A851" s="1"/>
      <c r="B851" s="6"/>
      <c r="C851" s="1"/>
      <c r="D851" s="4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5">
      <c r="A852" s="1"/>
      <c r="B852" s="6"/>
      <c r="C852" s="1"/>
      <c r="D852" s="4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5">
      <c r="A853" s="1"/>
      <c r="B853" s="6"/>
      <c r="C853" s="1"/>
      <c r="D853" s="4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5">
      <c r="A854" s="1"/>
      <c r="B854" s="6"/>
      <c r="C854" s="1"/>
      <c r="D854" s="4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5">
      <c r="A855" s="1"/>
      <c r="B855" s="6"/>
      <c r="C855" s="1"/>
      <c r="D855" s="4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5">
      <c r="A856" s="1"/>
      <c r="B856" s="6"/>
      <c r="C856" s="1"/>
      <c r="D856" s="4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5">
      <c r="A857" s="1"/>
      <c r="B857" s="6"/>
      <c r="C857" s="1"/>
      <c r="D857" s="4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5">
      <c r="A858" s="1"/>
      <c r="B858" s="6"/>
      <c r="C858" s="1"/>
      <c r="D858" s="4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5">
      <c r="A859" s="1"/>
      <c r="B859" s="6"/>
      <c r="C859" s="1"/>
      <c r="D859" s="4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5">
      <c r="A860" s="1"/>
      <c r="B860" s="6"/>
      <c r="C860" s="1"/>
      <c r="D860" s="4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5">
      <c r="A861" s="1"/>
      <c r="B861" s="6"/>
      <c r="C861" s="1"/>
      <c r="D861" s="4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5">
      <c r="A862" s="1"/>
      <c r="B862" s="6"/>
      <c r="C862" s="1"/>
      <c r="D862" s="4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5">
      <c r="A863" s="1"/>
      <c r="B863" s="6"/>
      <c r="C863" s="1"/>
      <c r="D863" s="4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5">
      <c r="A864" s="1"/>
      <c r="B864" s="6"/>
      <c r="C864" s="1"/>
      <c r="D864" s="4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5">
      <c r="A865" s="1"/>
      <c r="B865" s="6"/>
      <c r="C865" s="1"/>
      <c r="D865" s="4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5">
      <c r="A866" s="1"/>
      <c r="B866" s="6"/>
      <c r="C866" s="1"/>
      <c r="D866" s="4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5">
      <c r="A867" s="1"/>
      <c r="B867" s="6"/>
      <c r="C867" s="1"/>
      <c r="D867" s="4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5">
      <c r="A868" s="1"/>
      <c r="B868" s="6"/>
      <c r="C868" s="1"/>
      <c r="D868" s="4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5">
      <c r="A869" s="1"/>
      <c r="B869" s="6"/>
      <c r="C869" s="1"/>
      <c r="D869" s="4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5">
      <c r="A870" s="1"/>
      <c r="B870" s="6"/>
      <c r="C870" s="1"/>
      <c r="D870" s="4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5">
      <c r="A871" s="1"/>
      <c r="B871" s="6"/>
      <c r="C871" s="1"/>
      <c r="D871" s="4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5">
      <c r="A872" s="1"/>
      <c r="B872" s="6"/>
      <c r="C872" s="1"/>
      <c r="D872" s="4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5">
      <c r="A873" s="1"/>
      <c r="B873" s="6"/>
      <c r="C873" s="1"/>
      <c r="D873" s="4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5">
      <c r="A874" s="1"/>
      <c r="B874" s="6"/>
      <c r="C874" s="1"/>
      <c r="D874" s="4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5">
      <c r="A875" s="1"/>
      <c r="B875" s="6"/>
      <c r="C875" s="1"/>
      <c r="D875" s="4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5">
      <c r="A876" s="1"/>
      <c r="B876" s="6"/>
      <c r="C876" s="1"/>
      <c r="D876" s="4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5">
      <c r="A877" s="1"/>
      <c r="B877" s="6"/>
      <c r="C877" s="1"/>
      <c r="D877" s="4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5">
      <c r="A878" s="1"/>
      <c r="B878" s="6"/>
      <c r="C878" s="1"/>
      <c r="D878" s="4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5">
      <c r="A879" s="1"/>
      <c r="B879" s="6"/>
      <c r="C879" s="1"/>
      <c r="D879" s="4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5">
      <c r="A880" s="1"/>
      <c r="B880" s="6"/>
      <c r="C880" s="1"/>
      <c r="D880" s="4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5">
      <c r="A881" s="1"/>
      <c r="B881" s="6"/>
      <c r="C881" s="1"/>
      <c r="D881" s="4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5">
      <c r="A882" s="1"/>
      <c r="B882" s="6"/>
      <c r="C882" s="1"/>
      <c r="D882" s="4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5">
      <c r="A883" s="1"/>
      <c r="B883" s="6"/>
      <c r="C883" s="1"/>
      <c r="D883" s="4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5">
      <c r="A884" s="1"/>
      <c r="B884" s="6"/>
      <c r="C884" s="1"/>
      <c r="D884" s="4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5">
      <c r="A885" s="1"/>
      <c r="B885" s="6"/>
      <c r="C885" s="1"/>
      <c r="D885" s="4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5">
      <c r="A886" s="1"/>
      <c r="B886" s="6"/>
      <c r="C886" s="1"/>
      <c r="D886" s="4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5">
      <c r="A887" s="1"/>
      <c r="B887" s="6"/>
      <c r="C887" s="1"/>
      <c r="D887" s="4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5">
      <c r="A888" s="1"/>
      <c r="B888" s="6"/>
      <c r="C888" s="1"/>
      <c r="D888" s="4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5">
      <c r="A889" s="1"/>
      <c r="B889" s="6"/>
      <c r="C889" s="1"/>
      <c r="D889" s="4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5">
      <c r="A890" s="1"/>
      <c r="B890" s="6"/>
      <c r="C890" s="1"/>
      <c r="D890" s="4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5">
      <c r="A891" s="1"/>
      <c r="B891" s="6"/>
      <c r="C891" s="1"/>
      <c r="D891" s="4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5">
      <c r="A892" s="1"/>
      <c r="B892" s="6"/>
      <c r="C892" s="1"/>
      <c r="D892" s="4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5">
      <c r="A893" s="1"/>
      <c r="B893" s="6"/>
      <c r="C893" s="1"/>
      <c r="D893" s="4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5">
      <c r="A894" s="1"/>
      <c r="B894" s="6"/>
      <c r="C894" s="1"/>
      <c r="D894" s="4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5">
      <c r="A895" s="1"/>
      <c r="B895" s="6"/>
      <c r="C895" s="1"/>
      <c r="D895" s="4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5">
      <c r="A896" s="1"/>
      <c r="B896" s="6"/>
      <c r="C896" s="1"/>
      <c r="D896" s="4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5">
      <c r="A897" s="1"/>
      <c r="B897" s="6"/>
      <c r="C897" s="1"/>
      <c r="D897" s="4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5">
      <c r="A898" s="1"/>
      <c r="B898" s="6"/>
      <c r="C898" s="1"/>
      <c r="D898" s="4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5">
      <c r="A899" s="1"/>
      <c r="B899" s="6"/>
      <c r="C899" s="1"/>
      <c r="D899" s="4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5">
      <c r="A900" s="1"/>
      <c r="B900" s="6"/>
      <c r="C900" s="1"/>
      <c r="D900" s="4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5">
      <c r="A901" s="1"/>
      <c r="B901" s="6"/>
      <c r="C901" s="1"/>
      <c r="D901" s="4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5">
      <c r="A902" s="1"/>
      <c r="B902" s="6"/>
      <c r="C902" s="1"/>
      <c r="D902" s="4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5">
      <c r="A903" s="1"/>
      <c r="B903" s="6"/>
      <c r="C903" s="1"/>
      <c r="D903" s="4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5">
      <c r="A904" s="1"/>
      <c r="B904" s="6"/>
      <c r="C904" s="1"/>
      <c r="D904" s="4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5">
      <c r="A905" s="1"/>
      <c r="B905" s="6"/>
      <c r="C905" s="1"/>
      <c r="D905" s="4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5">
      <c r="A906" s="1"/>
      <c r="B906" s="6"/>
      <c r="C906" s="1"/>
      <c r="D906" s="4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5">
      <c r="A907" s="1"/>
      <c r="B907" s="6"/>
      <c r="C907" s="1"/>
      <c r="D907" s="4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5">
      <c r="A908" s="1"/>
      <c r="B908" s="6"/>
      <c r="C908" s="1"/>
      <c r="D908" s="4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5">
      <c r="A909" s="1"/>
      <c r="B909" s="6"/>
      <c r="C909" s="1"/>
      <c r="D909" s="4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5">
      <c r="A910" s="1"/>
      <c r="B910" s="6"/>
      <c r="C910" s="1"/>
      <c r="D910" s="4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5">
      <c r="A911" s="1"/>
      <c r="B911" s="6"/>
      <c r="C911" s="1"/>
      <c r="D911" s="4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5">
      <c r="A912" s="1"/>
      <c r="B912" s="6"/>
      <c r="C912" s="1"/>
      <c r="D912" s="4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5">
      <c r="A913" s="1"/>
      <c r="B913" s="6"/>
      <c r="C913" s="1"/>
      <c r="D913" s="4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5">
      <c r="A914" s="1"/>
      <c r="B914" s="6"/>
      <c r="C914" s="1"/>
      <c r="D914" s="4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5">
      <c r="A915" s="1"/>
      <c r="B915" s="6"/>
      <c r="C915" s="1"/>
      <c r="D915" s="4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5">
      <c r="A916" s="1"/>
      <c r="B916" s="6"/>
      <c r="C916" s="1"/>
      <c r="D916" s="4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5">
      <c r="A917" s="1"/>
      <c r="B917" s="6"/>
      <c r="C917" s="1"/>
      <c r="D917" s="4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5">
      <c r="A918" s="1"/>
      <c r="B918" s="6"/>
      <c r="C918" s="1"/>
      <c r="D918" s="4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5">
      <c r="A919" s="1"/>
      <c r="B919" s="6"/>
      <c r="C919" s="1"/>
      <c r="D919" s="4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5">
      <c r="A920" s="1"/>
      <c r="B920" s="6"/>
      <c r="C920" s="1"/>
      <c r="D920" s="4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5">
      <c r="A921" s="1"/>
      <c r="B921" s="6"/>
      <c r="C921" s="1"/>
      <c r="D921" s="4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5">
      <c r="A922" s="1"/>
      <c r="B922" s="6"/>
      <c r="C922" s="1"/>
      <c r="D922" s="4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5">
      <c r="A923" s="1"/>
      <c r="B923" s="6"/>
      <c r="C923" s="1"/>
      <c r="D923" s="4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5">
      <c r="A924" s="1"/>
      <c r="B924" s="6"/>
      <c r="C924" s="1"/>
      <c r="D924" s="4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5">
      <c r="A925" s="1"/>
      <c r="B925" s="6"/>
      <c r="C925" s="1"/>
      <c r="D925" s="4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5">
      <c r="A926" s="1"/>
      <c r="B926" s="6"/>
      <c r="C926" s="1"/>
      <c r="D926" s="4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5">
      <c r="A927" s="1"/>
      <c r="B927" s="6"/>
      <c r="C927" s="1"/>
      <c r="D927" s="4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5">
      <c r="A928" s="1"/>
      <c r="B928" s="6"/>
      <c r="C928" s="1"/>
      <c r="D928" s="4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5">
      <c r="A929" s="1"/>
      <c r="B929" s="6"/>
      <c r="C929" s="1"/>
      <c r="D929" s="4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5">
      <c r="A930" s="1"/>
      <c r="B930" s="6"/>
      <c r="C930" s="1"/>
      <c r="D930" s="4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5">
      <c r="A931" s="1"/>
      <c r="B931" s="6"/>
      <c r="C931" s="1"/>
      <c r="D931" s="4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5">
      <c r="A932" s="1"/>
      <c r="B932" s="6"/>
      <c r="C932" s="1"/>
      <c r="D932" s="4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5">
      <c r="A933" s="1"/>
      <c r="B933" s="6"/>
      <c r="C933" s="1"/>
      <c r="D933" s="4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5">
      <c r="A934" s="1"/>
      <c r="B934" s="6"/>
      <c r="C934" s="1"/>
      <c r="D934" s="4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5">
      <c r="A935" s="1"/>
      <c r="B935" s="6"/>
      <c r="C935" s="1"/>
      <c r="D935" s="4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5">
      <c r="A936" s="1"/>
      <c r="B936" s="6"/>
      <c r="C936" s="1"/>
      <c r="D936" s="4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5">
      <c r="A937" s="1"/>
      <c r="B937" s="6"/>
      <c r="C937" s="1"/>
      <c r="D937" s="4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5">
      <c r="A938" s="1"/>
      <c r="B938" s="6"/>
      <c r="C938" s="1"/>
      <c r="D938" s="4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5">
      <c r="A939" s="1"/>
      <c r="B939" s="6"/>
      <c r="C939" s="1"/>
      <c r="D939" s="4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5">
      <c r="A940" s="1"/>
      <c r="B940" s="6"/>
      <c r="C940" s="1"/>
      <c r="D940" s="4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5">
      <c r="A941" s="1"/>
      <c r="B941" s="6"/>
      <c r="C941" s="1"/>
      <c r="D941" s="4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zoomScale="85" zoomScaleNormal="85" workbookViewId="0">
      <selection activeCell="A2" sqref="A2:D2"/>
    </sheetView>
  </sheetViews>
  <sheetFormatPr defaultColWidth="14.5" defaultRowHeight="14.95" customHeight="1" x14ac:dyDescent="0.25"/>
  <cols>
    <col min="1" max="1" width="60.25" bestFit="1" customWidth="1"/>
    <col min="2" max="2" width="21.75" customWidth="1"/>
    <col min="3" max="3" width="14.375" style="27" customWidth="1"/>
    <col min="4" max="4" width="15.125" style="27" customWidth="1"/>
    <col min="5" max="7" width="17.625" customWidth="1"/>
    <col min="8" max="8" width="30.75" customWidth="1"/>
    <col min="9" max="9" width="14.375" customWidth="1"/>
    <col min="10" max="17" width="9.125" customWidth="1"/>
  </cols>
  <sheetData>
    <row r="1" spans="1:17" ht="22.6" customHeight="1" thickBot="1" x14ac:dyDescent="0.3">
      <c r="A1" s="52" t="s">
        <v>0</v>
      </c>
      <c r="B1" s="52" t="s">
        <v>16</v>
      </c>
      <c r="C1" s="53" t="s">
        <v>17</v>
      </c>
      <c r="D1" s="53" t="s">
        <v>3</v>
      </c>
      <c r="E1" s="7"/>
      <c r="F1" s="44" t="s">
        <v>32</v>
      </c>
      <c r="G1" s="44" t="s">
        <v>33</v>
      </c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2.6" customHeight="1" thickBot="1" x14ac:dyDescent="0.3">
      <c r="A2" s="49" t="s">
        <v>18</v>
      </c>
      <c r="B2" s="50">
        <f>RELATÓRIO!X52</f>
        <v>1757024.42</v>
      </c>
      <c r="C2" s="51">
        <f t="shared" ref="C2:C17" si="0">B2/B$18</f>
        <v>0.16819272850546096</v>
      </c>
      <c r="D2" s="26">
        <f>B2/ORÇAMENTO_EXECUTIVO!I$2</f>
        <v>563.1398278873736</v>
      </c>
      <c r="E2" s="7"/>
      <c r="F2" s="45">
        <v>460</v>
      </c>
      <c r="G2" s="45">
        <v>530</v>
      </c>
      <c r="H2" s="29" t="s">
        <v>26</v>
      </c>
      <c r="I2" s="73">
        <v>3120.05</v>
      </c>
      <c r="J2" s="30" t="s">
        <v>27</v>
      </c>
      <c r="K2" s="7"/>
      <c r="L2" s="7"/>
      <c r="M2" s="7"/>
      <c r="N2" s="7"/>
      <c r="O2" s="7"/>
      <c r="P2" s="7"/>
      <c r="Q2" s="7"/>
    </row>
    <row r="3" spans="1:17" ht="19.55" customHeight="1" x14ac:dyDescent="0.25">
      <c r="A3" s="94" t="s">
        <v>4</v>
      </c>
      <c r="B3" s="24">
        <f>RELATÓRIO!X15</f>
        <v>76735.27</v>
      </c>
      <c r="C3" s="95">
        <f t="shared" si="0"/>
        <v>7.345552109004407E-3</v>
      </c>
      <c r="D3" s="96">
        <f>B3/ORÇAMENTO_EXECUTIVO!I$2</f>
        <v>24.594243681992275</v>
      </c>
      <c r="E3" s="7"/>
      <c r="F3" s="128">
        <v>35</v>
      </c>
      <c r="G3" s="128">
        <v>135</v>
      </c>
      <c r="H3" s="106"/>
      <c r="I3" s="106"/>
      <c r="J3" s="106"/>
      <c r="K3" s="106"/>
      <c r="L3" s="7"/>
      <c r="M3" s="7"/>
      <c r="N3" s="7"/>
      <c r="O3" s="7"/>
      <c r="P3" s="7"/>
      <c r="Q3" s="7"/>
    </row>
    <row r="4" spans="1:17" ht="19.55" customHeight="1" x14ac:dyDescent="0.25">
      <c r="A4" s="129" t="s">
        <v>5</v>
      </c>
      <c r="B4" s="50">
        <f>RELATÓRIO!X16</f>
        <v>783900.64</v>
      </c>
      <c r="C4" s="130">
        <f t="shared" si="0"/>
        <v>7.5039587394452434E-2</v>
      </c>
      <c r="D4" s="99">
        <f>B4/ORÇAMENTO_EXECUTIVO!I$2</f>
        <v>251.24617874713545</v>
      </c>
      <c r="E4" s="7"/>
      <c r="F4" s="128">
        <v>65</v>
      </c>
      <c r="G4" s="128">
        <v>100</v>
      </c>
      <c r="H4" s="107"/>
      <c r="I4" s="106"/>
      <c r="J4" s="106"/>
      <c r="K4" s="106"/>
      <c r="L4" s="7"/>
      <c r="M4" s="7"/>
      <c r="N4" s="7"/>
      <c r="O4" s="7"/>
      <c r="P4" s="7"/>
      <c r="Q4" s="7"/>
    </row>
    <row r="5" spans="1:17" ht="19.55" customHeight="1" x14ac:dyDescent="0.25">
      <c r="A5" s="94" t="s">
        <v>6</v>
      </c>
      <c r="B5" s="24">
        <f>RELATÓRIO!X17</f>
        <v>2467160.79</v>
      </c>
      <c r="C5" s="95">
        <f t="shared" si="0"/>
        <v>0.2361711654137332</v>
      </c>
      <c r="D5" s="96">
        <f>B5/ORÇAMENTO_EXECUTIVO!I$2</f>
        <v>790.7439912821909</v>
      </c>
      <c r="E5" s="7"/>
      <c r="F5" s="128">
        <v>440</v>
      </c>
      <c r="G5" s="128">
        <v>515</v>
      </c>
      <c r="H5" s="107"/>
      <c r="I5" s="106"/>
      <c r="J5" s="106"/>
      <c r="K5" s="106"/>
      <c r="L5" s="7"/>
      <c r="M5" s="7"/>
      <c r="N5" s="7"/>
      <c r="O5" s="7"/>
      <c r="P5" s="7"/>
      <c r="Q5" s="7"/>
    </row>
    <row r="6" spans="1:17" ht="19.55" customHeight="1" x14ac:dyDescent="0.25">
      <c r="A6" s="97" t="s">
        <v>7</v>
      </c>
      <c r="B6" s="23">
        <f>RELATÓRIO!X18</f>
        <v>348134.35</v>
      </c>
      <c r="C6" s="98">
        <f t="shared" si="0"/>
        <v>3.332547091916635E-2</v>
      </c>
      <c r="D6" s="99">
        <f>B6/ORÇAMENTO_EXECUTIVO!I$2</f>
        <v>111.57973429912981</v>
      </c>
      <c r="E6" s="7"/>
      <c r="F6" s="128">
        <v>70</v>
      </c>
      <c r="G6" s="128">
        <v>120</v>
      </c>
      <c r="H6" s="100"/>
      <c r="J6" s="7"/>
      <c r="K6" s="7"/>
      <c r="L6" s="7"/>
      <c r="M6" s="7"/>
      <c r="N6" s="7"/>
      <c r="O6" s="7"/>
      <c r="P6" s="7"/>
      <c r="Q6" s="7"/>
    </row>
    <row r="7" spans="1:17" ht="19.55" customHeight="1" x14ac:dyDescent="0.25">
      <c r="A7" s="94" t="s">
        <v>8</v>
      </c>
      <c r="B7" s="24">
        <f>RELATÓRIO!AF20</f>
        <v>1164752.43</v>
      </c>
      <c r="C7" s="95">
        <f t="shared" si="0"/>
        <v>0.11149696441616101</v>
      </c>
      <c r="D7" s="96">
        <f>B7/ORÇAMENTO_EXECUTIVO!I$2</f>
        <v>373.31210397269268</v>
      </c>
      <c r="E7" s="7"/>
      <c r="F7" s="128">
        <v>290</v>
      </c>
      <c r="G7" s="128">
        <v>335</v>
      </c>
      <c r="I7" s="93"/>
      <c r="J7" s="7"/>
      <c r="K7" s="7"/>
      <c r="L7" s="7"/>
      <c r="M7" s="7"/>
      <c r="N7" s="7"/>
      <c r="O7" s="7"/>
      <c r="P7" s="7"/>
      <c r="Q7" s="7"/>
    </row>
    <row r="8" spans="1:17" ht="19.55" customHeight="1" x14ac:dyDescent="0.25">
      <c r="A8" s="97" t="s">
        <v>23</v>
      </c>
      <c r="B8" s="23">
        <f>RELATÓRIO!AF25</f>
        <v>334750</v>
      </c>
      <c r="C8" s="98">
        <f t="shared" si="0"/>
        <v>3.2044242086972853E-2</v>
      </c>
      <c r="D8" s="99">
        <f>B8/ORÇAMENTO_EXECUTIVO!I$2</f>
        <v>107.28994727648595</v>
      </c>
      <c r="E8" s="7"/>
      <c r="F8" s="128">
        <v>125</v>
      </c>
      <c r="G8" s="128">
        <v>255</v>
      </c>
      <c r="I8" s="93"/>
      <c r="J8" s="7"/>
      <c r="K8" s="7"/>
      <c r="L8" s="7"/>
      <c r="M8" s="7"/>
      <c r="N8" s="7"/>
      <c r="O8" s="7"/>
      <c r="P8" s="7"/>
      <c r="Q8" s="7"/>
    </row>
    <row r="9" spans="1:17" ht="19.55" customHeight="1" x14ac:dyDescent="0.25">
      <c r="A9" s="94" t="s">
        <v>9</v>
      </c>
      <c r="B9" s="24">
        <f>RELATÓRIO!X19</f>
        <v>249600.14</v>
      </c>
      <c r="C9" s="95">
        <f t="shared" si="0"/>
        <v>2.3893195850940453E-2</v>
      </c>
      <c r="D9" s="96">
        <f>B9/ORÇAMENTO_EXECUTIVO!I$2</f>
        <v>79.998762840339097</v>
      </c>
      <c r="E9" s="7"/>
      <c r="F9" s="128">
        <v>35</v>
      </c>
      <c r="G9" s="128">
        <v>65</v>
      </c>
      <c r="I9" s="28"/>
      <c r="J9" s="7"/>
      <c r="K9" s="7"/>
      <c r="L9" s="7"/>
      <c r="M9" s="7"/>
      <c r="N9" s="7"/>
      <c r="O9" s="7"/>
      <c r="P9" s="7"/>
      <c r="Q9" s="7"/>
    </row>
    <row r="10" spans="1:17" ht="19.55" customHeight="1" x14ac:dyDescent="0.25">
      <c r="A10" s="129" t="s">
        <v>78</v>
      </c>
      <c r="B10" s="50">
        <f>RELATÓRIO!X27</f>
        <v>605982.31999999995</v>
      </c>
      <c r="C10" s="130">
        <f t="shared" si="0"/>
        <v>5.8008197647514408E-2</v>
      </c>
      <c r="D10" s="99">
        <f>B10/ORÇAMENTO_EXECUTIVO!I$2</f>
        <v>194.22199003221098</v>
      </c>
      <c r="E10" s="7"/>
      <c r="F10" s="128">
        <v>65</v>
      </c>
      <c r="G10" s="128">
        <v>110</v>
      </c>
      <c r="L10" s="7"/>
      <c r="M10" s="7"/>
      <c r="N10" s="7"/>
      <c r="O10" s="7"/>
      <c r="P10" s="7"/>
      <c r="Q10" s="7"/>
    </row>
    <row r="11" spans="1:17" ht="19.55" customHeight="1" x14ac:dyDescent="0.25">
      <c r="A11" s="94" t="s">
        <v>20</v>
      </c>
      <c r="B11" s="24">
        <f>RELATÓRIO!X28</f>
        <v>119794.21</v>
      </c>
      <c r="C11" s="95">
        <f t="shared" si="0"/>
        <v>1.1467407515631559E-2</v>
      </c>
      <c r="D11" s="96">
        <f>B11/ORÇAMENTO_EXECUTIVO!I$2</f>
        <v>38.394964824281665</v>
      </c>
      <c r="E11" s="7"/>
      <c r="F11" s="128">
        <v>38</v>
      </c>
      <c r="G11" s="128">
        <v>60</v>
      </c>
      <c r="L11" s="7"/>
      <c r="M11" s="7"/>
      <c r="N11" s="7"/>
      <c r="O11" s="7"/>
      <c r="P11" s="7"/>
      <c r="Q11" s="7"/>
    </row>
    <row r="12" spans="1:17" ht="19.55" customHeight="1" x14ac:dyDescent="0.25">
      <c r="A12" s="129" t="s">
        <v>81</v>
      </c>
      <c r="B12" s="50">
        <f>RELATÓRIO!X29</f>
        <v>515781.63</v>
      </c>
      <c r="C12" s="130">
        <f t="shared" si="0"/>
        <v>4.9373656208315041E-2</v>
      </c>
      <c r="D12" s="99">
        <f>B12/ORÇAMENTO_EXECUTIVO!I$2</f>
        <v>165.31197576961907</v>
      </c>
      <c r="E12" s="7"/>
      <c r="F12" s="128">
        <v>220</v>
      </c>
      <c r="G12" s="128">
        <v>235</v>
      </c>
      <c r="L12" s="7"/>
      <c r="M12" s="7"/>
      <c r="N12" s="7"/>
      <c r="O12" s="7"/>
      <c r="P12" s="7"/>
      <c r="Q12" s="7"/>
    </row>
    <row r="13" spans="1:17" ht="19.55" customHeight="1" x14ac:dyDescent="0.25">
      <c r="A13" s="94" t="s">
        <v>11</v>
      </c>
      <c r="B13" s="24">
        <f>RELATÓRIO!X30</f>
        <v>237376.62</v>
      </c>
      <c r="C13" s="95">
        <f t="shared" si="0"/>
        <v>2.2723088505055597E-2</v>
      </c>
      <c r="D13" s="96">
        <f>B13/ORÇAMENTO_EXECUTIVO!I$2</f>
        <v>76.081030752712294</v>
      </c>
      <c r="E13" s="7"/>
      <c r="F13" s="128">
        <v>65</v>
      </c>
      <c r="G13" s="128">
        <v>70</v>
      </c>
      <c r="L13" s="7"/>
      <c r="M13" s="7"/>
      <c r="N13" s="7"/>
      <c r="O13" s="7"/>
      <c r="P13" s="7"/>
      <c r="Q13" s="7"/>
    </row>
    <row r="14" spans="1:17" ht="19.55" customHeight="1" x14ac:dyDescent="0.25">
      <c r="A14" s="97" t="s">
        <v>12</v>
      </c>
      <c r="B14" s="23">
        <f>RELATÓRIO!X31+RELATÓRIO!X32+RELATÓRIO!X33</f>
        <v>1067596.6099999999</v>
      </c>
      <c r="C14" s="98">
        <f t="shared" si="0"/>
        <v>0.10219663695913828</v>
      </c>
      <c r="D14" s="99">
        <f>B14/ORÇAMENTO_EXECUTIVO!I$2</f>
        <v>342.17291710068741</v>
      </c>
      <c r="E14" s="7"/>
      <c r="F14" s="128">
        <v>360</v>
      </c>
      <c r="G14" s="128">
        <v>400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9.55" customHeight="1" x14ac:dyDescent="0.25">
      <c r="A15" s="94" t="s">
        <v>13</v>
      </c>
      <c r="B15" s="24">
        <f>RELATÓRIO!X35</f>
        <v>506232.01</v>
      </c>
      <c r="C15" s="95">
        <f t="shared" si="0"/>
        <v>4.8459510322971952E-2</v>
      </c>
      <c r="D15" s="96">
        <f>B15/ORÇAMENTO_EXECUTIVO!I$2</f>
        <v>162.25124917869906</v>
      </c>
      <c r="E15" s="7"/>
      <c r="F15" s="128">
        <v>150</v>
      </c>
      <c r="G15" s="128">
        <v>190</v>
      </c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9.55" customHeight="1" thickBot="1" x14ac:dyDescent="0.3">
      <c r="A16" s="8" t="s">
        <v>14</v>
      </c>
      <c r="B16" s="9">
        <f>RELATÓRIO!X36</f>
        <v>86568.1</v>
      </c>
      <c r="C16" s="10">
        <f t="shared" si="0"/>
        <v>8.2868085240008198E-3</v>
      </c>
      <c r="D16" s="26">
        <f>B16/ORÇAMENTO_EXECUTIVO!I$2</f>
        <v>27.745741254146569</v>
      </c>
      <c r="E16" s="7"/>
      <c r="F16" s="46">
        <v>80</v>
      </c>
      <c r="G16" s="46">
        <v>150</v>
      </c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9.55" customHeight="1" thickBot="1" x14ac:dyDescent="0.3">
      <c r="A17" s="2" t="s">
        <v>21</v>
      </c>
      <c r="B17" s="11">
        <f>RELATÓRIO!X37</f>
        <v>125105</v>
      </c>
      <c r="C17" s="12">
        <f t="shared" si="0"/>
        <v>1.1975787621480922E-2</v>
      </c>
      <c r="D17" s="25">
        <f>B17/ORÇAMENTO_EXECUTIVO!I$2</f>
        <v>40.097113828304032</v>
      </c>
      <c r="E17" s="7"/>
      <c r="F17" s="47"/>
      <c r="G17" s="4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9.55" customHeight="1" x14ac:dyDescent="0.25">
      <c r="A18" s="52" t="s">
        <v>15</v>
      </c>
      <c r="B18" s="55">
        <f>SUM(B2:B17)</f>
        <v>10446494.539999997</v>
      </c>
      <c r="C18" s="56">
        <f>SUM(C2:C17)</f>
        <v>1</v>
      </c>
      <c r="D18" s="57">
        <f>SUM(D2:D17)</f>
        <v>3348.1817727280009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9.55" customHeight="1" x14ac:dyDescent="0.25">
      <c r="A19" s="52" t="s">
        <v>149</v>
      </c>
      <c r="B19" s="55">
        <v>1889.47</v>
      </c>
      <c r="C19" s="58">
        <v>45323</v>
      </c>
      <c r="D19" s="57">
        <f>+D18/B19</f>
        <v>1.7720216636030213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22.6" customHeight="1" x14ac:dyDescent="0.25">
      <c r="A20" s="7"/>
      <c r="B20" s="7"/>
      <c r="C20" s="108"/>
      <c r="D20" s="14"/>
      <c r="E20" s="7"/>
      <c r="F20" s="7"/>
      <c r="G20" s="7"/>
      <c r="H20" s="13"/>
      <c r="I20" s="7"/>
      <c r="J20" s="7"/>
      <c r="K20" s="7"/>
      <c r="L20" s="7"/>
      <c r="M20" s="7"/>
      <c r="N20" s="7"/>
      <c r="O20" s="7"/>
      <c r="P20" s="7"/>
      <c r="Q20" s="7"/>
    </row>
    <row r="21" spans="1:17" ht="22.6" customHeight="1" x14ac:dyDescent="0.25">
      <c r="A21" s="7"/>
      <c r="B21" s="13"/>
      <c r="C21" s="14"/>
      <c r="D21" s="14"/>
      <c r="E21" s="132">
        <f>10446494.54-B18</f>
        <v>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4.95" customHeight="1" x14ac:dyDescent="0.25">
      <c r="A22" s="7"/>
      <c r="B22" s="7"/>
      <c r="C22" s="14"/>
      <c r="D22" s="14"/>
      <c r="E22" s="7"/>
      <c r="F22" s="7"/>
      <c r="G22" s="7"/>
      <c r="H22" s="13"/>
      <c r="I22" s="7"/>
      <c r="J22" s="7"/>
      <c r="K22" s="7"/>
      <c r="L22" s="7"/>
      <c r="M22" s="7"/>
      <c r="N22" s="7"/>
      <c r="O22" s="7"/>
      <c r="P22" s="7"/>
      <c r="Q22" s="7"/>
    </row>
    <row r="23" spans="1:17" ht="19.55" customHeight="1" x14ac:dyDescent="0.25">
      <c r="A23" s="104" t="s">
        <v>148</v>
      </c>
      <c r="B23" s="102"/>
      <c r="C23" s="103"/>
      <c r="D23" s="103"/>
      <c r="E23" s="15"/>
      <c r="F23" s="15"/>
      <c r="G23" s="15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9.55" customHeight="1" x14ac:dyDescent="0.55000000000000004">
      <c r="A24" s="49" t="s">
        <v>18</v>
      </c>
      <c r="B24" s="101" t="s">
        <v>152</v>
      </c>
      <c r="C24" s="14"/>
      <c r="D24" s="14"/>
      <c r="E24" s="16"/>
      <c r="F24" s="16"/>
      <c r="G24" s="16"/>
      <c r="H24" s="13"/>
      <c r="I24" s="7"/>
      <c r="J24" s="7"/>
      <c r="K24" s="7"/>
      <c r="L24" s="7"/>
      <c r="M24" s="7"/>
      <c r="N24" s="7"/>
      <c r="O24" s="7"/>
      <c r="P24" s="7"/>
      <c r="Q24" s="7"/>
    </row>
    <row r="25" spans="1:17" ht="19.55" customHeight="1" x14ac:dyDescent="0.25">
      <c r="A25" s="2" t="s">
        <v>4</v>
      </c>
      <c r="B25" s="101" t="s">
        <v>153</v>
      </c>
      <c r="C25" s="14"/>
      <c r="D25" s="14"/>
      <c r="E25" s="17"/>
      <c r="F25" s="17"/>
      <c r="G25" s="17"/>
      <c r="H25" s="18"/>
      <c r="I25" s="7"/>
      <c r="J25" s="7"/>
      <c r="K25" s="7"/>
      <c r="L25" s="7"/>
      <c r="M25" s="7"/>
      <c r="N25" s="7"/>
      <c r="O25" s="7"/>
      <c r="P25" s="7"/>
      <c r="Q25" s="7"/>
    </row>
    <row r="26" spans="1:17" ht="19.55" customHeight="1" x14ac:dyDescent="0.25">
      <c r="A26" s="8" t="s">
        <v>5</v>
      </c>
      <c r="B26" s="101" t="s">
        <v>154</v>
      </c>
      <c r="C26" s="14"/>
      <c r="D26" s="14"/>
      <c r="E26" s="7"/>
      <c r="F26" s="7"/>
      <c r="G26" s="7"/>
      <c r="H26" s="18"/>
      <c r="I26" s="7"/>
      <c r="J26" s="7"/>
      <c r="K26" s="7"/>
      <c r="L26" s="7"/>
      <c r="M26" s="7"/>
      <c r="N26" s="7"/>
      <c r="O26" s="7"/>
      <c r="P26" s="7"/>
      <c r="Q26" s="7"/>
    </row>
    <row r="27" spans="1:17" ht="19.55" customHeight="1" x14ac:dyDescent="0.25">
      <c r="A27" s="94" t="s">
        <v>6</v>
      </c>
      <c r="B27" s="101" t="s">
        <v>154</v>
      </c>
      <c r="C27" s="14"/>
      <c r="D27" s="1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ht="19.55" customHeight="1" x14ac:dyDescent="0.25">
      <c r="A28" s="97" t="s">
        <v>7</v>
      </c>
      <c r="B28" s="101" t="s">
        <v>155</v>
      </c>
      <c r="C28" s="14"/>
      <c r="D28" s="1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ht="19.55" customHeight="1" x14ac:dyDescent="0.25">
      <c r="A29" s="94" t="s">
        <v>8</v>
      </c>
      <c r="B29" s="101" t="s">
        <v>156</v>
      </c>
      <c r="C29" s="14"/>
      <c r="D29" s="14"/>
      <c r="E29" s="7"/>
      <c r="F29" s="7"/>
      <c r="G29" s="7"/>
      <c r="H29" s="13"/>
      <c r="I29" s="7"/>
      <c r="J29" s="7"/>
      <c r="K29" s="7"/>
      <c r="L29" s="7"/>
      <c r="M29" s="7"/>
      <c r="N29" s="7"/>
      <c r="O29" s="7"/>
      <c r="P29" s="7"/>
      <c r="Q29" s="7"/>
    </row>
    <row r="30" spans="1:17" ht="19.55" customHeight="1" x14ac:dyDescent="0.25">
      <c r="A30" s="8" t="s">
        <v>23</v>
      </c>
      <c r="B30" s="101" t="s">
        <v>151</v>
      </c>
      <c r="C30" s="14"/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ht="19.55" customHeight="1" x14ac:dyDescent="0.25">
      <c r="A31" s="2" t="s">
        <v>9</v>
      </c>
      <c r="B31" s="101" t="s">
        <v>157</v>
      </c>
      <c r="C31" s="14"/>
      <c r="D31" s="14"/>
      <c r="E31" s="7"/>
      <c r="F31" s="7"/>
      <c r="G31" s="7"/>
      <c r="H31" s="13"/>
      <c r="I31" s="7"/>
      <c r="J31" s="7"/>
      <c r="K31" s="7"/>
      <c r="L31" s="7"/>
      <c r="M31" s="7"/>
      <c r="N31" s="7"/>
      <c r="O31" s="7"/>
      <c r="P31" s="7"/>
      <c r="Q31" s="7"/>
    </row>
    <row r="32" spans="1:17" ht="19.55" customHeight="1" x14ac:dyDescent="0.25">
      <c r="A32" s="8" t="s">
        <v>78</v>
      </c>
      <c r="B32" s="101" t="s">
        <v>158</v>
      </c>
      <c r="C32" s="14"/>
      <c r="D32" s="1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ht="19.55" customHeight="1" x14ac:dyDescent="0.25">
      <c r="A33" s="2" t="s">
        <v>20</v>
      </c>
      <c r="B33" s="101" t="s">
        <v>158</v>
      </c>
      <c r="C33" s="14"/>
      <c r="D33" s="1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ht="19.55" customHeight="1" x14ac:dyDescent="0.25">
      <c r="A34" s="8" t="s">
        <v>81</v>
      </c>
      <c r="B34" s="101" t="s">
        <v>158</v>
      </c>
      <c r="C34" s="14"/>
      <c r="D34" s="1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ht="19.55" customHeight="1" x14ac:dyDescent="0.25">
      <c r="A35" s="2" t="s">
        <v>11</v>
      </c>
      <c r="B35" s="101" t="s">
        <v>158</v>
      </c>
      <c r="C35" s="14"/>
      <c r="D35" s="1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ht="19.55" customHeight="1" x14ac:dyDescent="0.25">
      <c r="A36" s="8" t="s">
        <v>12</v>
      </c>
      <c r="B36" s="101" t="s">
        <v>159</v>
      </c>
      <c r="C36" s="14"/>
      <c r="D36" s="1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19.55" customHeight="1" x14ac:dyDescent="0.25">
      <c r="A37" s="2" t="s">
        <v>22</v>
      </c>
      <c r="B37" s="101" t="s">
        <v>160</v>
      </c>
      <c r="C37" s="14"/>
      <c r="D37" s="1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ht="19.55" customHeight="1" x14ac:dyDescent="0.25">
      <c r="A38" s="8" t="s">
        <v>13</v>
      </c>
      <c r="B38" s="101" t="s">
        <v>161</v>
      </c>
      <c r="C38" s="14"/>
      <c r="D38" s="1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ht="19.55" customHeight="1" x14ac:dyDescent="0.25">
      <c r="A39" s="2" t="s">
        <v>14</v>
      </c>
      <c r="B39" s="101" t="s">
        <v>162</v>
      </c>
      <c r="D39" s="105"/>
      <c r="E39" s="14"/>
      <c r="F39" s="14"/>
      <c r="G39" s="14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ht="19.55" customHeight="1" x14ac:dyDescent="0.25">
      <c r="A40" s="54" t="s">
        <v>21</v>
      </c>
      <c r="B40" s="101" t="s">
        <v>162</v>
      </c>
      <c r="C40" s="14"/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ht="19.55" customHeight="1" x14ac:dyDescent="0.25">
      <c r="A41" s="14"/>
      <c r="B41" s="14"/>
      <c r="C41" s="14"/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ht="19.55" customHeight="1" x14ac:dyDescent="0.25">
      <c r="A42" s="14"/>
      <c r="B42" s="14"/>
      <c r="C42" s="14"/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ht="19.55" customHeight="1" x14ac:dyDescent="0.25">
      <c r="A43" s="14"/>
      <c r="B43" s="14"/>
      <c r="C43" s="14"/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ht="19.55" customHeight="1" x14ac:dyDescent="0.25">
      <c r="A44" s="138" t="s">
        <v>131</v>
      </c>
      <c r="B44" s="138"/>
      <c r="C44" s="138"/>
      <c r="D44" s="138"/>
      <c r="E44" s="138"/>
      <c r="F44" s="138"/>
      <c r="G44" s="138"/>
      <c r="H44" s="138"/>
      <c r="I44" s="7"/>
      <c r="J44" s="7"/>
      <c r="K44" s="7"/>
      <c r="L44" s="7"/>
      <c r="M44" s="7"/>
      <c r="N44" s="7"/>
      <c r="O44" s="7"/>
      <c r="P44" s="7"/>
      <c r="Q44" s="7"/>
    </row>
    <row r="45" spans="1:17" ht="19.55" customHeight="1" x14ac:dyDescent="0.25">
      <c r="A45" s="137" t="s">
        <v>125</v>
      </c>
      <c r="B45" s="137" t="s">
        <v>126</v>
      </c>
      <c r="C45" s="137"/>
      <c r="D45" s="137"/>
      <c r="E45" s="137"/>
      <c r="F45" s="137"/>
      <c r="G45" s="137"/>
      <c r="H45" s="137"/>
      <c r="I45" s="7"/>
      <c r="J45" s="7"/>
      <c r="K45" s="7"/>
      <c r="L45" s="7"/>
      <c r="M45" s="7"/>
      <c r="N45" s="7"/>
      <c r="O45" s="7"/>
      <c r="P45" s="7"/>
      <c r="Q45" s="7"/>
    </row>
    <row r="46" spans="1:17" ht="19.55" customHeight="1" x14ac:dyDescent="0.25">
      <c r="A46" s="137"/>
      <c r="B46" s="137" t="s">
        <v>127</v>
      </c>
      <c r="C46" s="137"/>
      <c r="D46" s="137"/>
      <c r="E46" s="137"/>
      <c r="F46" s="137"/>
      <c r="G46" s="137"/>
      <c r="H46" s="137"/>
      <c r="I46" s="7"/>
      <c r="J46" s="7"/>
      <c r="K46" s="7"/>
      <c r="L46" s="7"/>
      <c r="M46" s="7"/>
      <c r="N46" s="7"/>
      <c r="O46" s="7"/>
      <c r="P46" s="7"/>
      <c r="Q46" s="7"/>
    </row>
    <row r="47" spans="1:17" ht="19.55" customHeight="1" x14ac:dyDescent="0.25">
      <c r="A47" s="137"/>
      <c r="B47" s="137" t="s">
        <v>128</v>
      </c>
      <c r="C47" s="137"/>
      <c r="D47" s="137"/>
      <c r="E47" s="137"/>
      <c r="F47" s="137"/>
      <c r="G47" s="137"/>
      <c r="H47" s="137"/>
      <c r="I47" s="7"/>
      <c r="J47" s="7"/>
      <c r="K47" s="7"/>
      <c r="L47" s="7"/>
      <c r="M47" s="7"/>
      <c r="N47" s="7"/>
      <c r="O47" s="7"/>
      <c r="P47" s="7"/>
      <c r="Q47" s="7"/>
    </row>
    <row r="48" spans="1:17" ht="19.55" customHeight="1" x14ac:dyDescent="0.25">
      <c r="A48" s="137"/>
      <c r="B48" s="137" t="s">
        <v>146</v>
      </c>
      <c r="C48" s="137"/>
      <c r="D48" s="137"/>
      <c r="E48" s="137"/>
      <c r="F48" s="137"/>
      <c r="G48" s="137"/>
      <c r="H48" s="137"/>
      <c r="I48" s="7"/>
      <c r="J48" s="7"/>
      <c r="K48" s="7"/>
      <c r="L48" s="7"/>
      <c r="M48" s="7"/>
      <c r="N48" s="7"/>
      <c r="O48" s="7"/>
      <c r="P48" s="7"/>
      <c r="Q48" s="7"/>
    </row>
    <row r="49" spans="1:17" ht="19.55" customHeight="1" x14ac:dyDescent="0.25">
      <c r="A49" s="137"/>
      <c r="B49" s="137" t="s">
        <v>129</v>
      </c>
      <c r="C49" s="137"/>
      <c r="D49" s="137"/>
      <c r="E49" s="137"/>
      <c r="F49" s="137"/>
      <c r="G49" s="137"/>
      <c r="H49" s="137"/>
      <c r="I49" s="7"/>
      <c r="J49" s="7"/>
      <c r="K49" s="7"/>
      <c r="L49" s="7"/>
      <c r="M49" s="7"/>
      <c r="N49" s="7"/>
      <c r="O49" s="7"/>
      <c r="P49" s="7"/>
      <c r="Q49" s="7"/>
    </row>
    <row r="50" spans="1:17" ht="19.55" customHeight="1" x14ac:dyDescent="0.25">
      <c r="A50" s="139" t="s">
        <v>130</v>
      </c>
      <c r="B50" s="137" t="s">
        <v>132</v>
      </c>
      <c r="C50" s="137"/>
      <c r="D50" s="137"/>
      <c r="E50" s="137"/>
      <c r="F50" s="137"/>
      <c r="G50" s="137"/>
      <c r="H50" s="137"/>
      <c r="I50" s="7"/>
      <c r="J50" s="7"/>
      <c r="K50" s="7"/>
      <c r="L50" s="7"/>
      <c r="M50" s="7"/>
      <c r="N50" s="7"/>
      <c r="O50" s="7"/>
      <c r="P50" s="7"/>
      <c r="Q50" s="7"/>
    </row>
    <row r="51" spans="1:17" ht="19.55" customHeight="1" x14ac:dyDescent="0.25">
      <c r="A51" s="140"/>
      <c r="B51" s="137" t="s">
        <v>133</v>
      </c>
      <c r="C51" s="137"/>
      <c r="D51" s="137"/>
      <c r="E51" s="137"/>
      <c r="F51" s="137"/>
      <c r="G51" s="137"/>
      <c r="H51" s="137"/>
      <c r="I51" s="7"/>
      <c r="J51" s="7"/>
      <c r="K51" s="7"/>
      <c r="L51" s="7"/>
      <c r="M51" s="7"/>
      <c r="N51" s="7"/>
      <c r="O51" s="7"/>
      <c r="P51" s="7"/>
      <c r="Q51" s="7"/>
    </row>
    <row r="52" spans="1:17" ht="19.55" customHeight="1" x14ac:dyDescent="0.25">
      <c r="A52" s="140"/>
      <c r="B52" s="137" t="s">
        <v>134</v>
      </c>
      <c r="C52" s="137"/>
      <c r="D52" s="137"/>
      <c r="E52" s="137"/>
      <c r="F52" s="137"/>
      <c r="G52" s="137"/>
      <c r="H52" s="137"/>
      <c r="I52" s="7"/>
      <c r="J52" s="7"/>
      <c r="K52" s="7"/>
      <c r="L52" s="7"/>
      <c r="M52" s="7"/>
      <c r="N52" s="7"/>
      <c r="O52" s="7"/>
      <c r="P52" s="7"/>
      <c r="Q52" s="7"/>
    </row>
    <row r="53" spans="1:17" ht="19.55" customHeight="1" x14ac:dyDescent="0.25">
      <c r="A53" s="140"/>
      <c r="B53" s="137" t="s">
        <v>135</v>
      </c>
      <c r="C53" s="137"/>
      <c r="D53" s="137"/>
      <c r="E53" s="137"/>
      <c r="F53" s="137"/>
      <c r="G53" s="137"/>
      <c r="H53" s="137"/>
      <c r="I53" s="7"/>
      <c r="J53" s="7"/>
      <c r="K53" s="7"/>
      <c r="L53" s="7"/>
      <c r="M53" s="7"/>
      <c r="N53" s="7"/>
      <c r="O53" s="7"/>
      <c r="P53" s="7"/>
      <c r="Q53" s="7"/>
    </row>
    <row r="54" spans="1:17" ht="19.55" customHeight="1" x14ac:dyDescent="0.25">
      <c r="A54" s="141"/>
      <c r="B54" s="137" t="s">
        <v>146</v>
      </c>
      <c r="C54" s="137"/>
      <c r="D54" s="137"/>
      <c r="E54" s="137"/>
      <c r="F54" s="137"/>
      <c r="G54" s="137"/>
      <c r="H54" s="137"/>
      <c r="I54" s="7"/>
      <c r="J54" s="7"/>
      <c r="K54" s="7"/>
      <c r="L54" s="7"/>
      <c r="M54" s="7"/>
      <c r="N54" s="7"/>
      <c r="O54" s="7"/>
      <c r="P54" s="7"/>
      <c r="Q54" s="7"/>
    </row>
    <row r="55" spans="1:17" ht="19.55" customHeight="1" x14ac:dyDescent="0.25">
      <c r="A55" s="137" t="s">
        <v>136</v>
      </c>
      <c r="B55" s="137" t="s">
        <v>137</v>
      </c>
      <c r="C55" s="137"/>
      <c r="D55" s="137"/>
      <c r="E55" s="137"/>
      <c r="F55" s="137"/>
      <c r="G55" s="137"/>
      <c r="H55" s="137"/>
      <c r="I55" s="7"/>
      <c r="J55" s="7"/>
      <c r="K55" s="7"/>
      <c r="L55" s="7"/>
      <c r="M55" s="7"/>
      <c r="N55" s="7"/>
      <c r="O55" s="7"/>
      <c r="P55" s="7"/>
      <c r="Q55" s="7"/>
    </row>
    <row r="56" spans="1:17" ht="19.55" customHeight="1" x14ac:dyDescent="0.25">
      <c r="A56" s="137"/>
      <c r="B56" s="137" t="s">
        <v>138</v>
      </c>
      <c r="C56" s="137"/>
      <c r="D56" s="137"/>
      <c r="E56" s="137"/>
      <c r="F56" s="137"/>
      <c r="G56" s="137"/>
      <c r="H56" s="137"/>
      <c r="I56" s="7"/>
      <c r="J56" s="7"/>
      <c r="K56" s="7"/>
      <c r="L56" s="7"/>
      <c r="M56" s="7"/>
      <c r="N56" s="7"/>
      <c r="O56" s="7"/>
      <c r="P56" s="7"/>
      <c r="Q56" s="7"/>
    </row>
    <row r="57" spans="1:17" ht="19.55" customHeight="1" x14ac:dyDescent="0.25">
      <c r="A57" s="137"/>
      <c r="B57" s="137" t="s">
        <v>139</v>
      </c>
      <c r="C57" s="137"/>
      <c r="D57" s="137"/>
      <c r="E57" s="137"/>
      <c r="F57" s="137"/>
      <c r="G57" s="137"/>
      <c r="H57" s="137"/>
      <c r="I57" s="7"/>
      <c r="J57" s="7"/>
      <c r="K57" s="7"/>
      <c r="L57" s="7"/>
      <c r="M57" s="7"/>
      <c r="N57" s="7"/>
      <c r="O57" s="7"/>
      <c r="P57" s="7"/>
      <c r="Q57" s="7"/>
    </row>
    <row r="58" spans="1:17" ht="19.55" customHeight="1" x14ac:dyDescent="0.25">
      <c r="A58" s="137"/>
      <c r="B58" s="137" t="s">
        <v>140</v>
      </c>
      <c r="C58" s="137"/>
      <c r="D58" s="137"/>
      <c r="E58" s="137"/>
      <c r="F58" s="137"/>
      <c r="G58" s="137"/>
      <c r="H58" s="137"/>
      <c r="I58" s="7"/>
      <c r="J58" s="7"/>
      <c r="K58" s="7"/>
      <c r="L58" s="7"/>
      <c r="M58" s="7"/>
      <c r="N58" s="7"/>
      <c r="O58" s="7"/>
      <c r="P58" s="7"/>
      <c r="Q58" s="7"/>
    </row>
    <row r="59" spans="1:17" ht="19.55" customHeight="1" x14ac:dyDescent="0.25">
      <c r="A59" s="137" t="s">
        <v>141</v>
      </c>
      <c r="B59" s="137" t="s">
        <v>143</v>
      </c>
      <c r="C59" s="137" t="s">
        <v>142</v>
      </c>
      <c r="D59" s="137"/>
      <c r="E59" s="137"/>
      <c r="F59" s="137"/>
      <c r="G59" s="137"/>
      <c r="H59" s="137"/>
      <c r="I59" s="7"/>
      <c r="J59" s="7"/>
      <c r="K59" s="7"/>
      <c r="L59" s="7"/>
      <c r="M59" s="7"/>
      <c r="N59" s="7"/>
      <c r="O59" s="7"/>
      <c r="P59" s="7"/>
      <c r="Q59" s="7"/>
    </row>
    <row r="60" spans="1:17" ht="19.55" customHeight="1" x14ac:dyDescent="0.25">
      <c r="A60" s="137"/>
      <c r="B60" s="137" t="s">
        <v>144</v>
      </c>
      <c r="C60" s="137"/>
      <c r="D60" s="137"/>
      <c r="E60" s="137"/>
      <c r="F60" s="137"/>
      <c r="G60" s="137"/>
      <c r="H60" s="137"/>
      <c r="I60" s="7"/>
      <c r="J60" s="7"/>
      <c r="K60" s="7"/>
      <c r="L60" s="7"/>
      <c r="M60" s="7"/>
      <c r="N60" s="7"/>
      <c r="O60" s="7"/>
      <c r="P60" s="7"/>
      <c r="Q60" s="7"/>
    </row>
    <row r="61" spans="1:17" ht="19.55" customHeight="1" x14ac:dyDescent="0.25">
      <c r="A61" s="137"/>
      <c r="B61" s="137" t="s">
        <v>132</v>
      </c>
      <c r="C61" s="137"/>
      <c r="D61" s="137"/>
      <c r="E61" s="137"/>
      <c r="F61" s="137"/>
      <c r="G61" s="137"/>
      <c r="H61" s="137"/>
      <c r="I61" s="7"/>
      <c r="J61" s="7"/>
      <c r="K61" s="7"/>
      <c r="L61" s="7"/>
      <c r="M61" s="7"/>
      <c r="N61" s="7"/>
      <c r="O61" s="7"/>
      <c r="P61" s="7"/>
      <c r="Q61" s="7"/>
    </row>
    <row r="62" spans="1:17" ht="19.55" customHeight="1" x14ac:dyDescent="0.25">
      <c r="A62" s="137"/>
      <c r="B62" s="137" t="s">
        <v>145</v>
      </c>
      <c r="C62" s="137"/>
      <c r="D62" s="137"/>
      <c r="E62" s="137"/>
      <c r="F62" s="137"/>
      <c r="G62" s="137"/>
      <c r="H62" s="137"/>
      <c r="I62" s="7"/>
      <c r="J62" s="7"/>
      <c r="K62" s="7"/>
      <c r="L62" s="7"/>
      <c r="M62" s="7"/>
      <c r="N62" s="7"/>
      <c r="O62" s="7"/>
      <c r="P62" s="7"/>
      <c r="Q62" s="7"/>
    </row>
    <row r="63" spans="1:17" ht="19.55" customHeight="1" x14ac:dyDescent="0.25">
      <c r="A63" s="7"/>
      <c r="B63" s="7"/>
      <c r="C63" s="14"/>
      <c r="D63" s="1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ht="19.55" customHeight="1" x14ac:dyDescent="0.25">
      <c r="A64" s="7"/>
      <c r="B64" s="7"/>
      <c r="C64" s="14"/>
      <c r="D64" s="1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ht="19.55" customHeight="1" x14ac:dyDescent="0.25">
      <c r="A65" s="7"/>
      <c r="B65" s="7"/>
      <c r="C65" s="14"/>
      <c r="D65" s="14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ht="19.55" customHeight="1" x14ac:dyDescent="0.25">
      <c r="A66" s="7"/>
      <c r="B66" s="7"/>
      <c r="C66" s="14"/>
      <c r="D66" s="1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ht="19.55" customHeight="1" x14ac:dyDescent="0.25">
      <c r="A67" s="7"/>
      <c r="B67" s="7"/>
      <c r="C67" s="14"/>
      <c r="D67" s="1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ht="19.55" customHeight="1" x14ac:dyDescent="0.25">
      <c r="A68" s="7"/>
      <c r="B68" s="7"/>
      <c r="C68" s="14"/>
      <c r="D68" s="14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ht="19.55" customHeight="1" x14ac:dyDescent="0.25">
      <c r="A69" s="7"/>
      <c r="B69" s="7"/>
      <c r="C69" s="14"/>
      <c r="D69" s="1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ht="19.55" customHeight="1" x14ac:dyDescent="0.25">
      <c r="A70" s="7"/>
      <c r="B70" s="7"/>
      <c r="C70" s="14"/>
      <c r="D70" s="14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ht="19.55" customHeight="1" x14ac:dyDescent="0.25">
      <c r="A71" s="7"/>
      <c r="B71" s="7"/>
      <c r="C71" s="14"/>
      <c r="D71" s="14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ht="19.55" customHeight="1" x14ac:dyDescent="0.25">
      <c r="A72" s="7"/>
      <c r="B72" s="7"/>
      <c r="C72" s="14"/>
      <c r="D72" s="14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ht="19.55" customHeight="1" x14ac:dyDescent="0.25">
      <c r="A73" s="7"/>
      <c r="B73" s="7"/>
      <c r="C73" s="14"/>
      <c r="D73" s="14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ht="19.55" customHeight="1" x14ac:dyDescent="0.25">
      <c r="A74" s="7"/>
      <c r="B74" s="7"/>
      <c r="C74" s="14"/>
      <c r="D74" s="14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ht="19.55" customHeight="1" x14ac:dyDescent="0.25">
      <c r="A75" s="7"/>
      <c r="B75" s="7"/>
      <c r="C75" s="14"/>
      <c r="D75" s="14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ht="19.55" customHeight="1" x14ac:dyDescent="0.25">
      <c r="A76" s="7"/>
      <c r="B76" s="7"/>
      <c r="C76" s="14"/>
      <c r="D76" s="14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ht="19.55" customHeight="1" x14ac:dyDescent="0.25">
      <c r="A77" s="7"/>
      <c r="B77" s="7"/>
      <c r="C77" s="14"/>
      <c r="D77" s="14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ht="19.55" customHeight="1" x14ac:dyDescent="0.25">
      <c r="A78" s="7"/>
      <c r="B78" s="7"/>
      <c r="C78" s="14"/>
      <c r="D78" s="14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ht="19.55" customHeight="1" x14ac:dyDescent="0.25">
      <c r="A79" s="7"/>
      <c r="B79" s="7"/>
      <c r="C79" s="14"/>
      <c r="D79" s="14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ht="19.55" customHeight="1" x14ac:dyDescent="0.25">
      <c r="A80" s="7"/>
      <c r="B80" s="7"/>
      <c r="C80" s="14"/>
      <c r="D80" s="14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ht="19.55" customHeight="1" x14ac:dyDescent="0.25">
      <c r="A81" s="7"/>
      <c r="B81" s="7"/>
      <c r="C81" s="14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ht="19.55" customHeight="1" x14ac:dyDescent="0.25">
      <c r="A82" s="7"/>
      <c r="B82" s="7"/>
      <c r="C82" s="14"/>
      <c r="D82" s="14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ht="19.55" customHeight="1" x14ac:dyDescent="0.25">
      <c r="A83" s="7"/>
      <c r="B83" s="7"/>
      <c r="C83" s="14"/>
      <c r="D83" s="14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ht="19.55" customHeight="1" x14ac:dyDescent="0.25">
      <c r="A84" s="7"/>
      <c r="B84" s="7"/>
      <c r="C84" s="14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ht="19.55" customHeight="1" x14ac:dyDescent="0.25">
      <c r="A85" s="7"/>
      <c r="B85" s="7"/>
      <c r="C85" s="14"/>
      <c r="D85" s="1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9.55" customHeight="1" x14ac:dyDescent="0.25">
      <c r="A86" s="7"/>
      <c r="B86" s="7"/>
      <c r="C86" s="14"/>
      <c r="D86" s="14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9.55" customHeight="1" x14ac:dyDescent="0.25">
      <c r="A87" s="7"/>
      <c r="B87" s="7"/>
      <c r="C87" s="14"/>
      <c r="D87" s="14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ht="19.55" customHeight="1" x14ac:dyDescent="0.25">
      <c r="A88" s="7"/>
      <c r="B88" s="7"/>
      <c r="C88" s="14"/>
      <c r="D88" s="14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ht="19.55" customHeight="1" x14ac:dyDescent="0.25">
      <c r="A89" s="7"/>
      <c r="B89" s="7"/>
      <c r="C89" s="14"/>
      <c r="D89" s="14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9.55" customHeight="1" x14ac:dyDescent="0.25">
      <c r="A90" s="7"/>
      <c r="B90" s="7"/>
      <c r="C90" s="14"/>
      <c r="D90" s="14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ht="19.55" customHeight="1" x14ac:dyDescent="0.25">
      <c r="A91" s="7"/>
      <c r="B91" s="7"/>
      <c r="C91" s="14"/>
      <c r="D91" s="14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ht="19.55" customHeight="1" x14ac:dyDescent="0.25">
      <c r="A92" s="7"/>
      <c r="B92" s="7"/>
      <c r="C92" s="14"/>
      <c r="D92" s="14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9.55" customHeight="1" x14ac:dyDescent="0.25">
      <c r="A93" s="7"/>
      <c r="B93" s="7"/>
      <c r="C93" s="14"/>
      <c r="D93" s="14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9.55" customHeight="1" x14ac:dyDescent="0.25">
      <c r="A94" s="7"/>
      <c r="B94" s="7"/>
      <c r="C94" s="14"/>
      <c r="D94" s="14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ht="19.55" customHeight="1" x14ac:dyDescent="0.25">
      <c r="A95" s="7"/>
      <c r="B95" s="7"/>
      <c r="C95" s="14"/>
      <c r="D95" s="14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9.55" customHeight="1" x14ac:dyDescent="0.25">
      <c r="A96" s="7"/>
      <c r="B96" s="7"/>
      <c r="C96" s="14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ht="19.55" customHeight="1" x14ac:dyDescent="0.25">
      <c r="A97" s="7"/>
      <c r="B97" s="7"/>
      <c r="C97" s="14"/>
      <c r="D97" s="1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ht="19.55" customHeight="1" x14ac:dyDescent="0.25">
      <c r="A98" s="7"/>
      <c r="B98" s="7"/>
      <c r="C98" s="14"/>
      <c r="D98" s="1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ht="19.55" customHeight="1" x14ac:dyDescent="0.25">
      <c r="A99" s="7"/>
      <c r="B99" s="7"/>
      <c r="C99" s="14"/>
      <c r="D99" s="14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ht="19.55" customHeight="1" x14ac:dyDescent="0.25">
      <c r="A100" s="7"/>
      <c r="B100" s="7"/>
      <c r="C100" s="14"/>
      <c r="D100" s="14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ht="19.55" customHeight="1" x14ac:dyDescent="0.25">
      <c r="A101" s="7"/>
      <c r="B101" s="7"/>
      <c r="C101" s="14"/>
      <c r="D101" s="14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ht="19.55" customHeight="1" x14ac:dyDescent="0.25">
      <c r="A102" s="7"/>
      <c r="B102" s="7"/>
      <c r="C102" s="14"/>
      <c r="D102" s="14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ht="19.55" customHeight="1" x14ac:dyDescent="0.25">
      <c r="A103" s="7"/>
      <c r="B103" s="7"/>
      <c r="C103" s="14"/>
      <c r="D103" s="14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ht="19.55" customHeight="1" x14ac:dyDescent="0.25">
      <c r="A104" s="7"/>
      <c r="B104" s="7"/>
      <c r="C104" s="14"/>
      <c r="D104" s="14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ht="19.55" customHeight="1" x14ac:dyDescent="0.25">
      <c r="A105" s="7"/>
      <c r="B105" s="7"/>
      <c r="C105" s="14"/>
      <c r="D105" s="14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ht="19.55" customHeight="1" x14ac:dyDescent="0.25">
      <c r="A106" s="7"/>
      <c r="B106" s="7"/>
      <c r="C106" s="14"/>
      <c r="D106" s="14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ht="19.55" customHeight="1" x14ac:dyDescent="0.25">
      <c r="A107" s="7"/>
      <c r="B107" s="7"/>
      <c r="C107" s="14"/>
      <c r="D107" s="14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ht="19.55" customHeight="1" x14ac:dyDescent="0.25">
      <c r="A108" s="7"/>
      <c r="B108" s="7"/>
      <c r="C108" s="14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ht="19.55" customHeight="1" x14ac:dyDescent="0.25">
      <c r="A109" s="7"/>
      <c r="B109" s="7"/>
      <c r="C109" s="14"/>
      <c r="D109" s="14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ht="19.55" customHeight="1" x14ac:dyDescent="0.25">
      <c r="A110" s="7"/>
      <c r="B110" s="7"/>
      <c r="C110" s="14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ht="19.55" customHeight="1" x14ac:dyDescent="0.25">
      <c r="A111" s="7"/>
      <c r="B111" s="7"/>
      <c r="C111" s="14"/>
      <c r="D111" s="14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ht="19.55" customHeight="1" x14ac:dyDescent="0.25">
      <c r="A112" s="7"/>
      <c r="B112" s="7"/>
      <c r="C112" s="14"/>
      <c r="D112" s="14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ht="19.55" customHeight="1" x14ac:dyDescent="0.25">
      <c r="A113" s="7"/>
      <c r="B113" s="7"/>
      <c r="C113" s="14"/>
      <c r="D113" s="14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ht="19.55" customHeight="1" x14ac:dyDescent="0.25">
      <c r="A114" s="7"/>
      <c r="B114" s="7"/>
      <c r="C114" s="14"/>
      <c r="D114" s="14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ht="19.55" customHeight="1" x14ac:dyDescent="0.25">
      <c r="A115" s="7"/>
      <c r="B115" s="7"/>
      <c r="C115" s="14"/>
      <c r="D115" s="1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ht="19.55" customHeight="1" x14ac:dyDescent="0.25">
      <c r="A116" s="7"/>
      <c r="B116" s="7"/>
      <c r="C116" s="14"/>
      <c r="D116" s="14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ht="19.55" customHeight="1" x14ac:dyDescent="0.25">
      <c r="A117" s="7"/>
      <c r="B117" s="7"/>
      <c r="C117" s="14"/>
      <c r="D117" s="14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ht="19.55" customHeight="1" x14ac:dyDescent="0.25">
      <c r="A118" s="7"/>
      <c r="B118" s="7"/>
      <c r="C118" s="14"/>
      <c r="D118" s="14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ht="19.55" customHeight="1" x14ac:dyDescent="0.25">
      <c r="A119" s="7"/>
      <c r="B119" s="7"/>
      <c r="C119" s="14"/>
      <c r="D119" s="14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ht="19.55" customHeight="1" x14ac:dyDescent="0.25">
      <c r="A120" s="7"/>
      <c r="B120" s="7"/>
      <c r="C120" s="14"/>
      <c r="D120" s="14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ht="19.55" customHeight="1" x14ac:dyDescent="0.25">
      <c r="A121" s="7"/>
      <c r="B121" s="7"/>
      <c r="C121" s="14"/>
      <c r="D121" s="14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ht="19.55" customHeight="1" x14ac:dyDescent="0.25">
      <c r="A122" s="7"/>
      <c r="B122" s="7"/>
      <c r="C122" s="14"/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ht="19.55" customHeight="1" x14ac:dyDescent="0.25">
      <c r="A123" s="7"/>
      <c r="B123" s="7"/>
      <c r="C123" s="14"/>
      <c r="D123" s="14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ht="19.55" customHeight="1" x14ac:dyDescent="0.25">
      <c r="A124" s="7"/>
      <c r="B124" s="7"/>
      <c r="C124" s="14"/>
      <c r="D124" s="14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ht="19.55" customHeight="1" x14ac:dyDescent="0.25">
      <c r="A125" s="7"/>
      <c r="B125" s="7"/>
      <c r="C125" s="14"/>
      <c r="D125" s="14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ht="19.55" customHeight="1" x14ac:dyDescent="0.25">
      <c r="A126" s="7"/>
      <c r="B126" s="7"/>
      <c r="C126" s="14"/>
      <c r="D126" s="14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ht="19.55" customHeight="1" x14ac:dyDescent="0.25">
      <c r="A127" s="7"/>
      <c r="B127" s="7"/>
      <c r="C127" s="14"/>
      <c r="D127" s="1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ht="19.55" customHeight="1" x14ac:dyDescent="0.25">
      <c r="A128" s="7"/>
      <c r="B128" s="7"/>
      <c r="C128" s="14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ht="19.55" customHeight="1" x14ac:dyDescent="0.25">
      <c r="A129" s="7"/>
      <c r="B129" s="7"/>
      <c r="C129" s="14"/>
      <c r="D129" s="1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ht="19.55" customHeight="1" x14ac:dyDescent="0.25">
      <c r="A130" s="7"/>
      <c r="B130" s="7"/>
      <c r="C130" s="14"/>
      <c r="D130" s="14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ht="19.55" customHeight="1" x14ac:dyDescent="0.25">
      <c r="A131" s="7"/>
      <c r="B131" s="7"/>
      <c r="C131" s="14"/>
      <c r="D131" s="14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ht="19.55" customHeight="1" x14ac:dyDescent="0.25">
      <c r="A132" s="7"/>
      <c r="B132" s="7"/>
      <c r="C132" s="14"/>
      <c r="D132" s="14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ht="19.55" customHeight="1" x14ac:dyDescent="0.25">
      <c r="A133" s="7"/>
      <c r="B133" s="7"/>
      <c r="C133" s="14"/>
      <c r="D133" s="14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ht="19.55" customHeight="1" x14ac:dyDescent="0.25">
      <c r="A134" s="7"/>
      <c r="B134" s="7"/>
      <c r="C134" s="14"/>
      <c r="D134" s="14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ht="19.55" customHeight="1" x14ac:dyDescent="0.25">
      <c r="A135" s="7"/>
      <c r="B135" s="7"/>
      <c r="C135" s="14"/>
      <c r="D135" s="14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ht="19.55" customHeight="1" x14ac:dyDescent="0.25">
      <c r="A136" s="7"/>
      <c r="B136" s="7"/>
      <c r="C136" s="14"/>
      <c r="D136" s="14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ht="19.55" customHeight="1" x14ac:dyDescent="0.25">
      <c r="A137" s="7"/>
      <c r="B137" s="7"/>
      <c r="C137" s="14"/>
      <c r="D137" s="14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ht="19.55" customHeight="1" x14ac:dyDescent="0.25">
      <c r="A138" s="7"/>
      <c r="B138" s="7"/>
      <c r="C138" s="14"/>
      <c r="D138" s="14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ht="19.55" customHeight="1" x14ac:dyDescent="0.25">
      <c r="A139" s="7"/>
      <c r="B139" s="7"/>
      <c r="C139" s="14"/>
      <c r="D139" s="14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ht="19.55" customHeight="1" x14ac:dyDescent="0.25">
      <c r="A140" s="7"/>
      <c r="B140" s="7"/>
      <c r="C140" s="14"/>
      <c r="D140" s="14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ht="19.55" customHeight="1" x14ac:dyDescent="0.25">
      <c r="A141" s="7"/>
      <c r="B141" s="7"/>
      <c r="C141" s="14"/>
      <c r="D141" s="14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19.55" customHeight="1" x14ac:dyDescent="0.25">
      <c r="A142" s="7"/>
      <c r="B142" s="7"/>
      <c r="C142" s="14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ht="19.55" customHeight="1" x14ac:dyDescent="0.25">
      <c r="A143" s="7"/>
      <c r="B143" s="7"/>
      <c r="C143" s="14"/>
      <c r="D143" s="1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ht="19.55" customHeight="1" x14ac:dyDescent="0.25">
      <c r="A144" s="7"/>
      <c r="B144" s="7"/>
      <c r="C144" s="14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ht="19.55" customHeight="1" x14ac:dyDescent="0.25">
      <c r="A145" s="7"/>
      <c r="B145" s="7"/>
      <c r="C145" s="14"/>
      <c r="D145" s="14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ht="19.55" customHeight="1" x14ac:dyDescent="0.25">
      <c r="A146" s="7"/>
      <c r="B146" s="7"/>
      <c r="C146" s="14"/>
      <c r="D146" s="14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ht="19.55" customHeight="1" x14ac:dyDescent="0.25">
      <c r="A147" s="7"/>
      <c r="B147" s="7"/>
      <c r="C147" s="14"/>
      <c r="D147" s="14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ht="19.55" customHeight="1" x14ac:dyDescent="0.25">
      <c r="A148" s="7"/>
      <c r="B148" s="7"/>
      <c r="C148" s="14"/>
      <c r="D148" s="14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ht="19.55" customHeight="1" x14ac:dyDescent="0.25">
      <c r="A149" s="7"/>
      <c r="B149" s="7"/>
      <c r="C149" s="14"/>
      <c r="D149" s="14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ht="19.55" customHeight="1" x14ac:dyDescent="0.25">
      <c r="A150" s="7"/>
      <c r="B150" s="7"/>
      <c r="C150" s="14"/>
      <c r="D150" s="14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ht="19.55" customHeight="1" x14ac:dyDescent="0.25">
      <c r="A151" s="7"/>
      <c r="B151" s="7"/>
      <c r="C151" s="14"/>
      <c r="D151" s="14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ht="19.55" customHeight="1" x14ac:dyDescent="0.25">
      <c r="A152" s="7"/>
      <c r="B152" s="7"/>
      <c r="C152" s="14"/>
      <c r="D152" s="14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ht="19.55" customHeight="1" x14ac:dyDescent="0.25">
      <c r="A153" s="7"/>
      <c r="B153" s="7"/>
      <c r="C153" s="14"/>
      <c r="D153" s="14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ht="19.55" customHeight="1" x14ac:dyDescent="0.25">
      <c r="A154" s="7"/>
      <c r="B154" s="7"/>
      <c r="C154" s="14"/>
      <c r="D154" s="14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ht="19.55" customHeight="1" x14ac:dyDescent="0.25">
      <c r="A155" s="7"/>
      <c r="B155" s="7"/>
      <c r="C155" s="14"/>
      <c r="D155" s="14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ht="19.55" customHeight="1" x14ac:dyDescent="0.25">
      <c r="A156" s="7"/>
      <c r="B156" s="7"/>
      <c r="C156" s="14"/>
      <c r="D156" s="14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ht="19.55" customHeight="1" x14ac:dyDescent="0.25">
      <c r="A157" s="7"/>
      <c r="B157" s="7"/>
      <c r="C157" s="14"/>
      <c r="D157" s="14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ht="19.55" customHeight="1" x14ac:dyDescent="0.25">
      <c r="A158" s="7"/>
      <c r="B158" s="7"/>
      <c r="C158" s="14"/>
      <c r="D158" s="14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ht="19.55" customHeight="1" x14ac:dyDescent="0.25">
      <c r="A159" s="7"/>
      <c r="B159" s="7"/>
      <c r="C159" s="14"/>
      <c r="D159" s="14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ht="19.55" customHeight="1" x14ac:dyDescent="0.25">
      <c r="A160" s="7"/>
      <c r="B160" s="7"/>
      <c r="C160" s="14"/>
      <c r="D160" s="1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ht="19.55" customHeight="1" x14ac:dyDescent="0.25">
      <c r="A161" s="7"/>
      <c r="B161" s="7"/>
      <c r="C161" s="14"/>
      <c r="D161" s="14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ht="19.55" customHeight="1" x14ac:dyDescent="0.25">
      <c r="A162" s="7"/>
      <c r="B162" s="7"/>
      <c r="C162" s="14"/>
      <c r="D162" s="14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ht="19.55" customHeight="1" x14ac:dyDescent="0.25">
      <c r="A163" s="7"/>
      <c r="B163" s="7"/>
      <c r="C163" s="14"/>
      <c r="D163" s="14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ht="19.55" customHeight="1" x14ac:dyDescent="0.25">
      <c r="A164" s="7"/>
      <c r="B164" s="7"/>
      <c r="C164" s="14"/>
      <c r="D164" s="14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ht="19.55" customHeight="1" x14ac:dyDescent="0.25">
      <c r="A165" s="7"/>
      <c r="B165" s="7"/>
      <c r="C165" s="14"/>
      <c r="D165" s="14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ht="19.55" customHeight="1" x14ac:dyDescent="0.25">
      <c r="A166" s="7"/>
      <c r="B166" s="7"/>
      <c r="C166" s="14"/>
      <c r="D166" s="14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ht="19.55" customHeight="1" x14ac:dyDescent="0.25">
      <c r="A167" s="7"/>
      <c r="B167" s="7"/>
      <c r="C167" s="14"/>
      <c r="D167" s="14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ht="19.55" customHeight="1" x14ac:dyDescent="0.25">
      <c r="A168" s="7"/>
      <c r="B168" s="7"/>
      <c r="C168" s="14"/>
      <c r="D168" s="14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ht="19.55" customHeight="1" x14ac:dyDescent="0.25">
      <c r="A169" s="7"/>
      <c r="B169" s="7"/>
      <c r="C169" s="14"/>
      <c r="D169" s="14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ht="19.55" customHeight="1" x14ac:dyDescent="0.25">
      <c r="A170" s="7"/>
      <c r="B170" s="7"/>
      <c r="C170" s="14"/>
      <c r="D170" s="14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ht="19.55" customHeight="1" x14ac:dyDescent="0.25">
      <c r="A171" s="7"/>
      <c r="B171" s="7"/>
      <c r="C171" s="14"/>
      <c r="D171" s="14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ht="19.55" customHeight="1" x14ac:dyDescent="0.25">
      <c r="A172" s="7"/>
      <c r="B172" s="7"/>
      <c r="C172" s="14"/>
      <c r="D172" s="14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ht="19.55" customHeight="1" x14ac:dyDescent="0.25">
      <c r="A173" s="7"/>
      <c r="B173" s="7"/>
      <c r="C173" s="14"/>
      <c r="D173" s="14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ht="19.55" customHeight="1" x14ac:dyDescent="0.25">
      <c r="A174" s="7"/>
      <c r="B174" s="7"/>
      <c r="C174" s="14"/>
      <c r="D174" s="14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ht="19.55" customHeight="1" x14ac:dyDescent="0.25">
      <c r="A175" s="7"/>
      <c r="B175" s="7"/>
      <c r="C175" s="14"/>
      <c r="D175" s="14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ht="19.55" customHeight="1" x14ac:dyDescent="0.25">
      <c r="A176" s="7"/>
      <c r="B176" s="7"/>
      <c r="C176" s="14"/>
      <c r="D176" s="14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ht="19.55" customHeight="1" x14ac:dyDescent="0.25">
      <c r="A177" s="7"/>
      <c r="B177" s="7"/>
      <c r="C177" s="14"/>
      <c r="D177" s="14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ht="19.55" customHeight="1" x14ac:dyDescent="0.25">
      <c r="A178" s="7"/>
      <c r="B178" s="7"/>
      <c r="C178" s="14"/>
      <c r="D178" s="14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ht="19.55" customHeight="1" x14ac:dyDescent="0.25">
      <c r="A179" s="7"/>
      <c r="B179" s="7"/>
      <c r="C179" s="14"/>
      <c r="D179" s="14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ht="19.55" customHeight="1" x14ac:dyDescent="0.25">
      <c r="A180" s="7"/>
      <c r="B180" s="7"/>
      <c r="C180" s="14"/>
      <c r="D180" s="14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ht="19.55" customHeight="1" x14ac:dyDescent="0.25">
      <c r="A181" s="7"/>
      <c r="B181" s="7"/>
      <c r="C181" s="14"/>
      <c r="D181" s="14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ht="19.55" customHeight="1" x14ac:dyDescent="0.25">
      <c r="A182" s="7"/>
      <c r="B182" s="7"/>
      <c r="C182" s="14"/>
      <c r="D182" s="14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ht="19.55" customHeight="1" x14ac:dyDescent="0.25">
      <c r="A183" s="7"/>
      <c r="B183" s="7"/>
      <c r="C183" s="14"/>
      <c r="D183" s="1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ht="19.55" customHeight="1" x14ac:dyDescent="0.25">
      <c r="A184" s="7"/>
      <c r="B184" s="7"/>
      <c r="C184" s="14"/>
      <c r="D184" s="14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ht="19.55" customHeight="1" x14ac:dyDescent="0.25">
      <c r="A185" s="7"/>
      <c r="B185" s="7"/>
      <c r="C185" s="14"/>
      <c r="D185" s="14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ht="19.55" customHeight="1" x14ac:dyDescent="0.25">
      <c r="A186" s="7"/>
      <c r="B186" s="7"/>
      <c r="C186" s="14"/>
      <c r="D186" s="14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ht="19.55" customHeight="1" x14ac:dyDescent="0.25">
      <c r="A187" s="7"/>
      <c r="B187" s="7"/>
      <c r="C187" s="14"/>
      <c r="D187" s="14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ht="19.55" customHeight="1" x14ac:dyDescent="0.25">
      <c r="A188" s="7"/>
      <c r="B188" s="7"/>
      <c r="C188" s="14"/>
      <c r="D188" s="14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ht="19.55" customHeight="1" x14ac:dyDescent="0.25">
      <c r="A189" s="7"/>
      <c r="B189" s="7"/>
      <c r="C189" s="14"/>
      <c r="D189" s="14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ht="19.55" customHeight="1" x14ac:dyDescent="0.25">
      <c r="A190" s="7"/>
      <c r="B190" s="7"/>
      <c r="C190" s="14"/>
      <c r="D190" s="14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ht="19.55" customHeight="1" x14ac:dyDescent="0.25">
      <c r="A191" s="7"/>
      <c r="B191" s="7"/>
      <c r="C191" s="14"/>
      <c r="D191" s="14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ht="19.55" customHeight="1" x14ac:dyDescent="0.25">
      <c r="A192" s="7"/>
      <c r="B192" s="7"/>
      <c r="C192" s="14"/>
      <c r="D192" s="14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ht="19.55" customHeight="1" x14ac:dyDescent="0.25">
      <c r="A193" s="7"/>
      <c r="B193" s="7"/>
      <c r="C193" s="14"/>
      <c r="D193" s="14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ht="19.55" customHeight="1" x14ac:dyDescent="0.25">
      <c r="A194" s="7"/>
      <c r="B194" s="7"/>
      <c r="C194" s="14"/>
      <c r="D194" s="14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ht="19.55" customHeight="1" x14ac:dyDescent="0.25">
      <c r="A195" s="7"/>
      <c r="B195" s="7"/>
      <c r="C195" s="14"/>
      <c r="D195" s="14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ht="19.55" customHeight="1" x14ac:dyDescent="0.25">
      <c r="A196" s="7"/>
      <c r="B196" s="7"/>
      <c r="C196" s="14"/>
      <c r="D196" s="14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ht="19.55" customHeight="1" x14ac:dyDescent="0.25">
      <c r="A197" s="7"/>
      <c r="B197" s="7"/>
      <c r="C197" s="14"/>
      <c r="D197" s="14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ht="19.55" customHeight="1" x14ac:dyDescent="0.25">
      <c r="A198" s="7"/>
      <c r="B198" s="7"/>
      <c r="C198" s="14"/>
      <c r="D198" s="14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ht="19.55" customHeight="1" x14ac:dyDescent="0.25">
      <c r="A199" s="7"/>
      <c r="B199" s="7"/>
      <c r="C199" s="14"/>
      <c r="D199" s="14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ht="19.55" customHeight="1" x14ac:dyDescent="0.25">
      <c r="A200" s="7"/>
      <c r="B200" s="7"/>
      <c r="C200" s="14"/>
      <c r="D200" s="14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ht="19.55" customHeight="1" x14ac:dyDescent="0.25">
      <c r="A201" s="7"/>
      <c r="B201" s="7"/>
      <c r="C201" s="14"/>
      <c r="D201" s="14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ht="19.55" customHeight="1" x14ac:dyDescent="0.25">
      <c r="A202" s="7"/>
      <c r="B202" s="7"/>
      <c r="C202" s="14"/>
      <c r="D202" s="14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ht="19.55" customHeight="1" x14ac:dyDescent="0.25">
      <c r="A203" s="7"/>
      <c r="B203" s="7"/>
      <c r="C203" s="14"/>
      <c r="D203" s="14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ht="19.55" customHeight="1" x14ac:dyDescent="0.25">
      <c r="A204" s="7"/>
      <c r="B204" s="7"/>
      <c r="C204" s="14"/>
      <c r="D204" s="14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ht="19.55" customHeight="1" x14ac:dyDescent="0.25">
      <c r="A205" s="7"/>
      <c r="B205" s="7"/>
      <c r="C205" s="14"/>
      <c r="D205" s="1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ht="19.55" customHeight="1" x14ac:dyDescent="0.25">
      <c r="A206" s="7"/>
      <c r="B206" s="7"/>
      <c r="C206" s="14"/>
      <c r="D206" s="14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ht="19.55" customHeight="1" x14ac:dyDescent="0.25">
      <c r="A207" s="7"/>
      <c r="B207" s="7"/>
      <c r="C207" s="14"/>
      <c r="D207" s="14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ht="19.55" customHeight="1" x14ac:dyDescent="0.25">
      <c r="A208" s="7"/>
      <c r="B208" s="7"/>
      <c r="C208" s="14"/>
      <c r="D208" s="1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ht="19.55" customHeight="1" x14ac:dyDescent="0.25">
      <c r="A209" s="7"/>
      <c r="B209" s="7"/>
      <c r="C209" s="14"/>
      <c r="D209" s="14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ht="19.55" customHeight="1" x14ac:dyDescent="0.25">
      <c r="A210" s="7"/>
      <c r="B210" s="7"/>
      <c r="C210" s="14"/>
      <c r="D210" s="14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ht="19.55" customHeight="1" x14ac:dyDescent="0.25">
      <c r="A211" s="7"/>
      <c r="B211" s="7"/>
      <c r="C211" s="14"/>
      <c r="D211" s="1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ht="19.55" customHeight="1" x14ac:dyDescent="0.25">
      <c r="A212" s="7"/>
      <c r="B212" s="7"/>
      <c r="C212" s="14"/>
      <c r="D212" s="1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ht="19.55" customHeight="1" x14ac:dyDescent="0.25">
      <c r="A213" s="7"/>
      <c r="B213" s="7"/>
      <c r="C213" s="14"/>
      <c r="D213" s="1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ht="19.55" customHeight="1" x14ac:dyDescent="0.25">
      <c r="A214" s="7"/>
      <c r="B214" s="7"/>
      <c r="C214" s="14"/>
      <c r="D214" s="1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ht="19.55" customHeight="1" x14ac:dyDescent="0.25">
      <c r="A215" s="7"/>
      <c r="B215" s="7"/>
      <c r="C215" s="14"/>
      <c r="D215" s="1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ht="19.55" customHeight="1" x14ac:dyDescent="0.25">
      <c r="A216" s="7"/>
      <c r="B216" s="7"/>
      <c r="C216" s="14"/>
      <c r="D216" s="14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ht="19.55" customHeight="1" x14ac:dyDescent="0.25">
      <c r="A217" s="7"/>
      <c r="B217" s="7"/>
      <c r="C217" s="14"/>
      <c r="D217" s="14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ht="19.55" customHeight="1" x14ac:dyDescent="0.25">
      <c r="A218" s="7"/>
      <c r="B218" s="7"/>
      <c r="C218" s="14"/>
      <c r="D218" s="14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ht="19.55" customHeight="1" x14ac:dyDescent="0.25">
      <c r="A219" s="7"/>
      <c r="B219" s="7"/>
      <c r="C219" s="14"/>
      <c r="D219" s="14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ht="19.55" customHeight="1" x14ac:dyDescent="0.25">
      <c r="A220" s="7"/>
      <c r="B220" s="7"/>
      <c r="C220" s="14"/>
      <c r="D220" s="14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ht="19.55" customHeight="1" x14ac:dyDescent="0.25">
      <c r="A221" s="7"/>
      <c r="B221" s="7"/>
      <c r="C221" s="14"/>
      <c r="D221" s="14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ht="19.55" customHeight="1" x14ac:dyDescent="0.25">
      <c r="A222" s="7"/>
      <c r="B222" s="7"/>
      <c r="C222" s="14"/>
      <c r="D222" s="14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spans="1:17" ht="19.55" customHeight="1" x14ac:dyDescent="0.25">
      <c r="A223" s="7"/>
      <c r="B223" s="7"/>
      <c r="C223" s="14"/>
      <c r="D223" s="14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spans="1:17" ht="19.55" customHeight="1" x14ac:dyDescent="0.25">
      <c r="A224" s="7"/>
      <c r="B224" s="7"/>
      <c r="C224" s="14"/>
      <c r="D224" s="14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17" ht="19.55" customHeight="1" x14ac:dyDescent="0.25">
      <c r="A225" s="7"/>
      <c r="B225" s="7"/>
      <c r="C225" s="14"/>
      <c r="D225" s="1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1:17" ht="19.55" customHeight="1" x14ac:dyDescent="0.25">
      <c r="A226" s="7"/>
      <c r="B226" s="7"/>
      <c r="C226" s="14"/>
      <c r="D226" s="1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spans="1:17" ht="19.55" customHeight="1" x14ac:dyDescent="0.25">
      <c r="A227" s="7"/>
      <c r="B227" s="7"/>
      <c r="C227" s="14"/>
      <c r="D227" s="14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spans="1:17" ht="19.55" customHeight="1" x14ac:dyDescent="0.25">
      <c r="A228" s="7"/>
      <c r="B228" s="7"/>
      <c r="C228" s="14"/>
      <c r="D228" s="14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spans="1:17" ht="19.55" customHeight="1" x14ac:dyDescent="0.25">
      <c r="A229" s="7"/>
      <c r="B229" s="7"/>
      <c r="C229" s="14"/>
      <c r="D229" s="14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 spans="1:17" ht="19.55" customHeight="1" x14ac:dyDescent="0.25">
      <c r="A230" s="7"/>
      <c r="B230" s="7"/>
      <c r="C230" s="14"/>
      <c r="D230" s="14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spans="1:17" ht="19.55" customHeight="1" x14ac:dyDescent="0.25">
      <c r="A231" s="7"/>
      <c r="B231" s="7"/>
      <c r="C231" s="14"/>
      <c r="D231" s="14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spans="1:17" ht="19.55" customHeight="1" x14ac:dyDescent="0.25">
      <c r="A232" s="7"/>
      <c r="B232" s="7"/>
      <c r="C232" s="14"/>
      <c r="D232" s="14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spans="1:17" ht="19.55" customHeight="1" x14ac:dyDescent="0.25">
      <c r="A233" s="7"/>
      <c r="B233" s="7"/>
      <c r="C233" s="14"/>
      <c r="D233" s="14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spans="1:17" ht="19.55" customHeight="1" x14ac:dyDescent="0.25">
      <c r="A234" s="7"/>
      <c r="B234" s="7"/>
      <c r="C234" s="14"/>
      <c r="D234" s="14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spans="1:17" ht="19.55" customHeight="1" x14ac:dyDescent="0.25">
      <c r="A235" s="7"/>
      <c r="B235" s="7"/>
      <c r="C235" s="14"/>
      <c r="D235" s="1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spans="1:17" ht="19.55" customHeight="1" x14ac:dyDescent="0.25">
      <c r="A236" s="7"/>
      <c r="B236" s="7"/>
      <c r="C236" s="14"/>
      <c r="D236" s="14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spans="1:17" ht="19.55" customHeight="1" x14ac:dyDescent="0.25">
      <c r="A237" s="7"/>
      <c r="B237" s="7"/>
      <c r="C237" s="14"/>
      <c r="D237" s="14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spans="1:17" ht="19.55" customHeight="1" x14ac:dyDescent="0.25">
      <c r="A238" s="7"/>
      <c r="B238" s="7"/>
      <c r="C238" s="14"/>
      <c r="D238" s="1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spans="1:17" ht="19.55" customHeight="1" x14ac:dyDescent="0.25">
      <c r="A239" s="7"/>
      <c r="B239" s="7"/>
      <c r="C239" s="14"/>
      <c r="D239" s="1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spans="1:17" ht="19.55" customHeight="1" x14ac:dyDescent="0.25">
      <c r="A240" s="7"/>
      <c r="B240" s="7"/>
      <c r="C240" s="14"/>
      <c r="D240" s="14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spans="1:17" ht="19.55" customHeight="1" x14ac:dyDescent="0.25">
      <c r="A241" s="7"/>
      <c r="B241" s="7"/>
      <c r="C241" s="14"/>
      <c r="D241" s="1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spans="1:17" ht="19.55" customHeight="1" x14ac:dyDescent="0.25">
      <c r="A242" s="7"/>
      <c r="B242" s="7"/>
      <c r="C242" s="14"/>
      <c r="D242" s="14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spans="1:17" ht="19.55" customHeight="1" x14ac:dyDescent="0.25">
      <c r="A243" s="7"/>
      <c r="B243" s="7"/>
      <c r="C243" s="14"/>
      <c r="D243" s="14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spans="1:17" ht="19.55" customHeight="1" x14ac:dyDescent="0.25">
      <c r="A244" s="7"/>
      <c r="B244" s="7"/>
      <c r="C244" s="14"/>
      <c r="D244" s="1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spans="1:17" ht="19.55" customHeight="1" x14ac:dyDescent="0.25">
      <c r="A245" s="7"/>
      <c r="B245" s="7"/>
      <c r="C245" s="14"/>
      <c r="D245" s="14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spans="1:17" ht="19.55" customHeight="1" x14ac:dyDescent="0.25">
      <c r="A246" s="7"/>
      <c r="B246" s="7"/>
      <c r="C246" s="14"/>
      <c r="D246" s="14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spans="1:17" ht="19.55" customHeight="1" x14ac:dyDescent="0.25">
      <c r="A247" s="7"/>
      <c r="B247" s="7"/>
      <c r="C247" s="14"/>
      <c r="D247" s="1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spans="1:17" ht="19.55" customHeight="1" x14ac:dyDescent="0.25">
      <c r="A248" s="7"/>
      <c r="B248" s="7"/>
      <c r="C248" s="14"/>
      <c r="D248" s="14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 spans="1:17" ht="19.55" customHeight="1" x14ac:dyDescent="0.25">
      <c r="A249" s="7"/>
      <c r="B249" s="7"/>
      <c r="C249" s="14"/>
      <c r="D249" s="14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spans="1:17" ht="19.55" customHeight="1" x14ac:dyDescent="0.25">
      <c r="A250" s="7"/>
      <c r="B250" s="7"/>
      <c r="C250" s="14"/>
      <c r="D250" s="1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spans="1:17" ht="19.55" customHeight="1" x14ac:dyDescent="0.25">
      <c r="A251" s="7"/>
      <c r="B251" s="7"/>
      <c r="C251" s="14"/>
      <c r="D251" s="14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spans="1:17" ht="19.55" customHeight="1" x14ac:dyDescent="0.25">
      <c r="A252" s="7"/>
      <c r="B252" s="7"/>
      <c r="C252" s="14"/>
      <c r="D252" s="1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spans="1:17" ht="19.55" customHeight="1" x14ac:dyDescent="0.25">
      <c r="A253" s="7"/>
      <c r="B253" s="7"/>
      <c r="C253" s="14"/>
      <c r="D253" s="14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spans="1:17" ht="19.55" customHeight="1" x14ac:dyDescent="0.25">
      <c r="A254" s="7"/>
      <c r="B254" s="7"/>
      <c r="C254" s="14"/>
      <c r="D254" s="14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spans="1:17" ht="19.55" customHeight="1" x14ac:dyDescent="0.25">
      <c r="A255" s="7"/>
      <c r="B255" s="7"/>
      <c r="C255" s="14"/>
      <c r="D255" s="14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spans="1:17" ht="19.55" customHeight="1" x14ac:dyDescent="0.25">
      <c r="A256" s="7"/>
      <c r="B256" s="7"/>
      <c r="C256" s="14"/>
      <c r="D256" s="14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spans="1:17" ht="19.55" customHeight="1" x14ac:dyDescent="0.25">
      <c r="A257" s="7"/>
      <c r="B257" s="7"/>
      <c r="C257" s="14"/>
      <c r="D257" s="14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 spans="1:17" ht="19.55" customHeight="1" x14ac:dyDescent="0.25">
      <c r="A258" s="7"/>
      <c r="B258" s="7"/>
      <c r="C258" s="14"/>
      <c r="D258" s="14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spans="1:17" ht="19.55" customHeight="1" x14ac:dyDescent="0.25">
      <c r="A259" s="7"/>
      <c r="B259" s="7"/>
      <c r="C259" s="14"/>
      <c r="D259" s="14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spans="1:17" ht="19.55" customHeight="1" x14ac:dyDescent="0.25">
      <c r="A260" s="7"/>
      <c r="B260" s="7"/>
      <c r="C260" s="14"/>
      <c r="D260" s="14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spans="1:17" ht="19.55" customHeight="1" x14ac:dyDescent="0.25">
      <c r="A261" s="7"/>
      <c r="B261" s="7"/>
      <c r="C261" s="14"/>
      <c r="D261" s="14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spans="1:17" ht="19.55" customHeight="1" x14ac:dyDescent="0.25">
      <c r="A262" s="7"/>
      <c r="B262" s="7"/>
      <c r="C262" s="14"/>
      <c r="D262" s="14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spans="1:17" ht="19.55" customHeight="1" x14ac:dyDescent="0.25">
      <c r="A263" s="7"/>
      <c r="B263" s="7"/>
      <c r="C263" s="14"/>
      <c r="D263" s="14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spans="1:17" ht="19.55" customHeight="1" x14ac:dyDescent="0.25">
      <c r="A264" s="7"/>
      <c r="B264" s="7"/>
      <c r="C264" s="14"/>
      <c r="D264" s="14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spans="1:17" ht="19.55" customHeight="1" x14ac:dyDescent="0.25">
      <c r="A265" s="7"/>
      <c r="B265" s="7"/>
      <c r="C265" s="14"/>
      <c r="D265" s="14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spans="1:17" ht="19.55" customHeight="1" x14ac:dyDescent="0.25">
      <c r="A266" s="7"/>
      <c r="B266" s="7"/>
      <c r="C266" s="14"/>
      <c r="D266" s="14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7" ht="19.55" customHeight="1" x14ac:dyDescent="0.25">
      <c r="A267" s="7"/>
      <c r="B267" s="7"/>
      <c r="C267" s="14"/>
      <c r="D267" s="14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spans="1:17" ht="19.55" customHeight="1" x14ac:dyDescent="0.25">
      <c r="A268" s="7"/>
      <c r="B268" s="7"/>
      <c r="C268" s="14"/>
      <c r="D268" s="14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spans="1:17" ht="19.55" customHeight="1" x14ac:dyDescent="0.25">
      <c r="A269" s="7"/>
      <c r="B269" s="7"/>
      <c r="C269" s="14"/>
      <c r="D269" s="14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spans="1:17" ht="19.55" customHeight="1" x14ac:dyDescent="0.25">
      <c r="A270" s="7"/>
      <c r="B270" s="7"/>
      <c r="C270" s="14"/>
      <c r="D270" s="14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spans="1:17" ht="19.55" customHeight="1" x14ac:dyDescent="0.25">
      <c r="A271" s="7"/>
      <c r="B271" s="7"/>
      <c r="C271" s="14"/>
      <c r="D271" s="1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spans="1:17" ht="19.55" customHeight="1" x14ac:dyDescent="0.25">
      <c r="A272" s="7"/>
      <c r="B272" s="7"/>
      <c r="C272" s="14"/>
      <c r="D272" s="14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spans="1:17" ht="19.55" customHeight="1" x14ac:dyDescent="0.25">
      <c r="A273" s="7"/>
      <c r="B273" s="7"/>
      <c r="C273" s="14"/>
      <c r="D273" s="14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spans="1:17" ht="19.55" customHeight="1" x14ac:dyDescent="0.25">
      <c r="A274" s="7"/>
      <c r="B274" s="7"/>
      <c r="C274" s="14"/>
      <c r="D274" s="14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spans="1:17" ht="19.55" customHeight="1" x14ac:dyDescent="0.25">
      <c r="A275" s="7"/>
      <c r="B275" s="7"/>
      <c r="C275" s="14"/>
      <c r="D275" s="14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spans="1:17" ht="19.55" customHeight="1" x14ac:dyDescent="0.25">
      <c r="A276" s="7"/>
      <c r="B276" s="7"/>
      <c r="C276" s="14"/>
      <c r="D276" s="14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spans="1:17" ht="19.55" customHeight="1" x14ac:dyDescent="0.25">
      <c r="A277" s="7"/>
      <c r="B277" s="7"/>
      <c r="C277" s="14"/>
      <c r="D277" s="14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spans="1:17" ht="19.55" customHeight="1" x14ac:dyDescent="0.25">
      <c r="A278" s="7"/>
      <c r="B278" s="7"/>
      <c r="C278" s="14"/>
      <c r="D278" s="14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spans="1:17" ht="19.55" customHeight="1" x14ac:dyDescent="0.25">
      <c r="A279" s="7"/>
      <c r="B279" s="7"/>
      <c r="C279" s="14"/>
      <c r="D279" s="14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spans="1:17" ht="19.55" customHeight="1" x14ac:dyDescent="0.25">
      <c r="A280" s="7"/>
      <c r="B280" s="7"/>
      <c r="C280" s="14"/>
      <c r="D280" s="14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spans="1:17" ht="19.55" customHeight="1" x14ac:dyDescent="0.25">
      <c r="A281" s="7"/>
      <c r="B281" s="7"/>
      <c r="C281" s="14"/>
      <c r="D281" s="14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spans="1:17" ht="19.55" customHeight="1" x14ac:dyDescent="0.25">
      <c r="A282" s="7"/>
      <c r="B282" s="7"/>
      <c r="C282" s="14"/>
      <c r="D282" s="1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spans="1:17" ht="19.55" customHeight="1" x14ac:dyDescent="0.25">
      <c r="A283" s="7"/>
      <c r="B283" s="7"/>
      <c r="C283" s="14"/>
      <c r="D283" s="1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spans="1:17" ht="19.55" customHeight="1" x14ac:dyDescent="0.25">
      <c r="A284" s="7"/>
      <c r="B284" s="7"/>
      <c r="C284" s="14"/>
      <c r="D284" s="14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spans="1:17" ht="19.55" customHeight="1" x14ac:dyDescent="0.25">
      <c r="A285" s="7"/>
      <c r="B285" s="7"/>
      <c r="C285" s="14"/>
      <c r="D285" s="14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spans="1:17" ht="19.55" customHeight="1" x14ac:dyDescent="0.25">
      <c r="A286" s="7"/>
      <c r="B286" s="7"/>
      <c r="C286" s="14"/>
      <c r="D286" s="14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 spans="1:17" ht="19.55" customHeight="1" x14ac:dyDescent="0.25">
      <c r="A287" s="7"/>
      <c r="B287" s="7"/>
      <c r="C287" s="14"/>
      <c r="D287" s="14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 spans="1:17" ht="19.55" customHeight="1" x14ac:dyDescent="0.25">
      <c r="A288" s="7"/>
      <c r="B288" s="7"/>
      <c r="C288" s="14"/>
      <c r="D288" s="14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 spans="1:17" ht="19.55" customHeight="1" x14ac:dyDescent="0.25">
      <c r="A289" s="7"/>
      <c r="B289" s="7"/>
      <c r="C289" s="14"/>
      <c r="D289" s="14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 spans="1:17" ht="19.55" customHeight="1" x14ac:dyDescent="0.25">
      <c r="A290" s="7"/>
      <c r="B290" s="7"/>
      <c r="C290" s="14"/>
      <c r="D290" s="14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 spans="1:17" ht="19.55" customHeight="1" x14ac:dyDescent="0.25">
      <c r="A291" s="7"/>
      <c r="B291" s="7"/>
      <c r="C291" s="14"/>
      <c r="D291" s="14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 spans="1:17" ht="19.55" customHeight="1" x14ac:dyDescent="0.25">
      <c r="A292" s="7"/>
      <c r="B292" s="7"/>
      <c r="C292" s="14"/>
      <c r="D292" s="14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 spans="1:17" ht="19.55" customHeight="1" x14ac:dyDescent="0.25">
      <c r="A293" s="7"/>
      <c r="B293" s="7"/>
      <c r="C293" s="14"/>
      <c r="D293" s="14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 spans="1:17" ht="19.55" customHeight="1" x14ac:dyDescent="0.25">
      <c r="A294" s="7"/>
      <c r="B294" s="7"/>
      <c r="C294" s="14"/>
      <c r="D294" s="14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 spans="1:17" ht="19.55" customHeight="1" x14ac:dyDescent="0.25">
      <c r="A295" s="7"/>
      <c r="B295" s="7"/>
      <c r="C295" s="14"/>
      <c r="D295" s="14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spans="1:17" ht="19.55" customHeight="1" x14ac:dyDescent="0.25">
      <c r="A296" s="7"/>
      <c r="B296" s="7"/>
      <c r="C296" s="14"/>
      <c r="D296" s="14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 spans="1:17" ht="19.55" customHeight="1" x14ac:dyDescent="0.25">
      <c r="A297" s="7"/>
      <c r="B297" s="7"/>
      <c r="C297" s="14"/>
      <c r="D297" s="14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 spans="1:17" ht="19.55" customHeight="1" x14ac:dyDescent="0.25">
      <c r="A298" s="7"/>
      <c r="B298" s="7"/>
      <c r="C298" s="14"/>
      <c r="D298" s="1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 spans="1:17" ht="19.55" customHeight="1" x14ac:dyDescent="0.25">
      <c r="A299" s="7"/>
      <c r="B299" s="7"/>
      <c r="C299" s="14"/>
      <c r="D299" s="1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spans="1:17" ht="19.55" customHeight="1" x14ac:dyDescent="0.25">
      <c r="A300" s="7"/>
      <c r="B300" s="7"/>
      <c r="C300" s="14"/>
      <c r="D300" s="14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spans="1:17" ht="19.55" customHeight="1" x14ac:dyDescent="0.25">
      <c r="A301" s="7"/>
      <c r="B301" s="7"/>
      <c r="C301" s="14"/>
      <c r="D301" s="14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spans="1:17" ht="19.55" customHeight="1" x14ac:dyDescent="0.25">
      <c r="A302" s="7"/>
      <c r="B302" s="7"/>
      <c r="C302" s="14"/>
      <c r="D302" s="14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spans="1:17" ht="19.55" customHeight="1" x14ac:dyDescent="0.25">
      <c r="A303" s="7"/>
      <c r="B303" s="7"/>
      <c r="C303" s="14"/>
      <c r="D303" s="14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spans="1:17" ht="19.55" customHeight="1" x14ac:dyDescent="0.25">
      <c r="A304" s="7"/>
      <c r="B304" s="7"/>
      <c r="C304" s="14"/>
      <c r="D304" s="14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spans="1:17" ht="19.55" customHeight="1" x14ac:dyDescent="0.25">
      <c r="A305" s="7"/>
      <c r="B305" s="7"/>
      <c r="C305" s="14"/>
      <c r="D305" s="1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spans="1:17" ht="19.55" customHeight="1" x14ac:dyDescent="0.25">
      <c r="A306" s="7"/>
      <c r="B306" s="7"/>
      <c r="C306" s="14"/>
      <c r="D306" s="14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spans="1:17" ht="19.55" customHeight="1" x14ac:dyDescent="0.25">
      <c r="A307" s="7"/>
      <c r="B307" s="7"/>
      <c r="C307" s="14"/>
      <c r="D307" s="14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spans="1:17" ht="19.55" customHeight="1" x14ac:dyDescent="0.25">
      <c r="A308" s="7"/>
      <c r="B308" s="7"/>
      <c r="C308" s="14"/>
      <c r="D308" s="14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spans="1:17" ht="19.55" customHeight="1" x14ac:dyDescent="0.25">
      <c r="A309" s="7"/>
      <c r="B309" s="7"/>
      <c r="C309" s="14"/>
      <c r="D309" s="1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spans="1:17" ht="19.55" customHeight="1" x14ac:dyDescent="0.25">
      <c r="A310" s="7"/>
      <c r="B310" s="7"/>
      <c r="C310" s="14"/>
      <c r="D310" s="14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spans="1:17" ht="19.55" customHeight="1" x14ac:dyDescent="0.25">
      <c r="A311" s="7"/>
      <c r="B311" s="7"/>
      <c r="C311" s="14"/>
      <c r="D311" s="14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spans="1:17" ht="19.55" customHeight="1" x14ac:dyDescent="0.25">
      <c r="A312" s="7"/>
      <c r="B312" s="7"/>
      <c r="C312" s="14"/>
      <c r="D312" s="1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spans="1:17" ht="19.55" customHeight="1" x14ac:dyDescent="0.25">
      <c r="A313" s="7"/>
      <c r="B313" s="7"/>
      <c r="C313" s="14"/>
      <c r="D313" s="14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spans="1:17" ht="19.55" customHeight="1" x14ac:dyDescent="0.25">
      <c r="A314" s="7"/>
      <c r="B314" s="7"/>
      <c r="C314" s="14"/>
      <c r="D314" s="1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spans="1:17" ht="19.55" customHeight="1" x14ac:dyDescent="0.25">
      <c r="A315" s="7"/>
      <c r="B315" s="7"/>
      <c r="C315" s="14"/>
      <c r="D315" s="1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spans="1:17" ht="19.55" customHeight="1" x14ac:dyDescent="0.25">
      <c r="A316" s="7"/>
      <c r="B316" s="7"/>
      <c r="C316" s="14"/>
      <c r="D316" s="1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spans="1:17" ht="19.55" customHeight="1" x14ac:dyDescent="0.25">
      <c r="A317" s="7"/>
      <c r="B317" s="7"/>
      <c r="C317" s="14"/>
      <c r="D317" s="1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spans="1:17" ht="19.55" customHeight="1" x14ac:dyDescent="0.25">
      <c r="A318" s="7"/>
      <c r="B318" s="7"/>
      <c r="C318" s="14"/>
      <c r="D318" s="1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spans="1:17" ht="19.55" customHeight="1" x14ac:dyDescent="0.25">
      <c r="A319" s="7"/>
      <c r="B319" s="7"/>
      <c r="C319" s="14"/>
      <c r="D319" s="14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spans="1:17" ht="19.55" customHeight="1" x14ac:dyDescent="0.25">
      <c r="A320" s="7"/>
      <c r="B320" s="7"/>
      <c r="C320" s="14"/>
      <c r="D320" s="14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spans="1:17" ht="19.55" customHeight="1" x14ac:dyDescent="0.25">
      <c r="A321" s="7"/>
      <c r="B321" s="7"/>
      <c r="C321" s="14"/>
      <c r="D321" s="14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spans="1:17" ht="19.55" customHeight="1" x14ac:dyDescent="0.25">
      <c r="A322" s="7"/>
      <c r="B322" s="7"/>
      <c r="C322" s="14"/>
      <c r="D322" s="14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spans="1:17" ht="19.55" customHeight="1" x14ac:dyDescent="0.25">
      <c r="A323" s="7"/>
      <c r="B323" s="7"/>
      <c r="C323" s="14"/>
      <c r="D323" s="14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spans="1:17" ht="19.55" customHeight="1" x14ac:dyDescent="0.25">
      <c r="A324" s="7"/>
      <c r="B324" s="7"/>
      <c r="C324" s="14"/>
      <c r="D324" s="14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spans="1:17" ht="19.55" customHeight="1" x14ac:dyDescent="0.25">
      <c r="A325" s="7"/>
      <c r="B325" s="7"/>
      <c r="C325" s="14"/>
      <c r="D325" s="14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spans="1:17" ht="19.55" customHeight="1" x14ac:dyDescent="0.25">
      <c r="A326" s="7"/>
      <c r="B326" s="7"/>
      <c r="C326" s="14"/>
      <c r="D326" s="14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spans="1:17" ht="19.55" customHeight="1" x14ac:dyDescent="0.25">
      <c r="A327" s="7"/>
      <c r="B327" s="7"/>
      <c r="C327" s="14"/>
      <c r="D327" s="14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spans="1:17" ht="19.55" customHeight="1" x14ac:dyDescent="0.25">
      <c r="A328" s="7"/>
      <c r="B328" s="7"/>
      <c r="C328" s="14"/>
      <c r="D328" s="14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spans="1:17" ht="19.55" customHeight="1" x14ac:dyDescent="0.25">
      <c r="A329" s="7"/>
      <c r="B329" s="7"/>
      <c r="C329" s="14"/>
      <c r="D329" s="14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spans="1:17" ht="19.55" customHeight="1" x14ac:dyDescent="0.25">
      <c r="A330" s="7"/>
      <c r="B330" s="7"/>
      <c r="C330" s="14"/>
      <c r="D330" s="14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spans="1:17" ht="19.55" customHeight="1" x14ac:dyDescent="0.25">
      <c r="A331" s="7"/>
      <c r="B331" s="7"/>
      <c r="C331" s="14"/>
      <c r="D331" s="14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spans="1:17" ht="19.55" customHeight="1" x14ac:dyDescent="0.25">
      <c r="A332" s="7"/>
      <c r="B332" s="7"/>
      <c r="C332" s="14"/>
      <c r="D332" s="14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spans="1:17" ht="19.55" customHeight="1" x14ac:dyDescent="0.25">
      <c r="A333" s="7"/>
      <c r="B333" s="7"/>
      <c r="C333" s="14"/>
      <c r="D333" s="14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spans="1:17" ht="19.55" customHeight="1" x14ac:dyDescent="0.25">
      <c r="A334" s="7"/>
      <c r="B334" s="7"/>
      <c r="C334" s="14"/>
      <c r="D334" s="14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spans="1:17" ht="19.55" customHeight="1" x14ac:dyDescent="0.25">
      <c r="A335" s="7"/>
      <c r="B335" s="7"/>
      <c r="C335" s="14"/>
      <c r="D335" s="14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spans="1:17" ht="19.55" customHeight="1" x14ac:dyDescent="0.25">
      <c r="A336" s="7"/>
      <c r="B336" s="7"/>
      <c r="C336" s="14"/>
      <c r="D336" s="14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spans="1:17" ht="19.55" customHeight="1" x14ac:dyDescent="0.25">
      <c r="A337" s="7"/>
      <c r="B337" s="7"/>
      <c r="C337" s="14"/>
      <c r="D337" s="1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spans="1:17" ht="19.55" customHeight="1" x14ac:dyDescent="0.25">
      <c r="A338" s="7"/>
      <c r="B338" s="7"/>
      <c r="C338" s="14"/>
      <c r="D338" s="14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spans="1:17" ht="19.55" customHeight="1" x14ac:dyDescent="0.25">
      <c r="A339" s="7"/>
      <c r="B339" s="7"/>
      <c r="C339" s="14"/>
      <c r="D339" s="1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17" ht="19.55" customHeight="1" x14ac:dyDescent="0.25">
      <c r="A340" s="7"/>
      <c r="B340" s="7"/>
      <c r="C340" s="14"/>
      <c r="D340" s="14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spans="1:17" ht="19.55" customHeight="1" x14ac:dyDescent="0.25">
      <c r="A341" s="7"/>
      <c r="B341" s="7"/>
      <c r="C341" s="14"/>
      <c r="D341" s="14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spans="1:17" ht="19.55" customHeight="1" x14ac:dyDescent="0.25">
      <c r="A342" s="7"/>
      <c r="B342" s="7"/>
      <c r="C342" s="14"/>
      <c r="D342" s="14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spans="1:17" ht="19.55" customHeight="1" x14ac:dyDescent="0.25">
      <c r="A343" s="7"/>
      <c r="B343" s="7"/>
      <c r="C343" s="14"/>
      <c r="D343" s="14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spans="1:17" ht="19.55" customHeight="1" x14ac:dyDescent="0.25">
      <c r="A344" s="7"/>
      <c r="B344" s="7"/>
      <c r="C344" s="14"/>
      <c r="D344" s="14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spans="1:17" ht="19.55" customHeight="1" x14ac:dyDescent="0.25">
      <c r="A345" s="7"/>
      <c r="B345" s="7"/>
      <c r="C345" s="14"/>
      <c r="D345" s="14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spans="1:17" ht="19.55" customHeight="1" x14ac:dyDescent="0.25">
      <c r="A346" s="7"/>
      <c r="B346" s="7"/>
      <c r="C346" s="14"/>
      <c r="D346" s="14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spans="1:17" ht="19.55" customHeight="1" x14ac:dyDescent="0.25">
      <c r="A347" s="7"/>
      <c r="B347" s="7"/>
      <c r="C347" s="14"/>
      <c r="D347" s="14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spans="1:17" ht="19.55" customHeight="1" x14ac:dyDescent="0.25">
      <c r="A348" s="7"/>
      <c r="B348" s="7"/>
      <c r="C348" s="14"/>
      <c r="D348" s="14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spans="1:17" ht="19.55" customHeight="1" x14ac:dyDescent="0.25">
      <c r="A349" s="7"/>
      <c r="B349" s="7"/>
      <c r="C349" s="14"/>
      <c r="D349" s="1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spans="1:17" ht="19.55" customHeight="1" x14ac:dyDescent="0.25">
      <c r="A350" s="7"/>
      <c r="B350" s="7"/>
      <c r="C350" s="14"/>
      <c r="D350" s="14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spans="1:17" ht="19.55" customHeight="1" x14ac:dyDescent="0.25">
      <c r="A351" s="7"/>
      <c r="B351" s="7"/>
      <c r="C351" s="14"/>
      <c r="D351" s="14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spans="1:17" ht="19.55" customHeight="1" x14ac:dyDescent="0.25">
      <c r="A352" s="7"/>
      <c r="B352" s="7"/>
      <c r="C352" s="14"/>
      <c r="D352" s="14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spans="1:17" ht="19.55" customHeight="1" x14ac:dyDescent="0.25">
      <c r="A353" s="7"/>
      <c r="B353" s="7"/>
      <c r="C353" s="14"/>
      <c r="D353" s="14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spans="1:17" ht="19.55" customHeight="1" x14ac:dyDescent="0.25">
      <c r="A354" s="7"/>
      <c r="B354" s="7"/>
      <c r="C354" s="14"/>
      <c r="D354" s="14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spans="1:17" ht="19.55" customHeight="1" x14ac:dyDescent="0.25">
      <c r="A355" s="7"/>
      <c r="B355" s="7"/>
      <c r="C355" s="14"/>
      <c r="D355" s="14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spans="1:17" ht="19.55" customHeight="1" x14ac:dyDescent="0.25">
      <c r="A356" s="7"/>
      <c r="B356" s="7"/>
      <c r="C356" s="14"/>
      <c r="D356" s="14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spans="1:17" ht="19.55" customHeight="1" x14ac:dyDescent="0.25">
      <c r="A357" s="7"/>
      <c r="B357" s="7"/>
      <c r="C357" s="14"/>
      <c r="D357" s="1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spans="1:17" ht="19.55" customHeight="1" x14ac:dyDescent="0.25">
      <c r="A358" s="7"/>
      <c r="B358" s="7"/>
      <c r="C358" s="14"/>
      <c r="D358" s="1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spans="1:17" ht="19.55" customHeight="1" x14ac:dyDescent="0.25">
      <c r="A359" s="7"/>
      <c r="B359" s="7"/>
      <c r="C359" s="14"/>
      <c r="D359" s="1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spans="1:17" ht="19.55" customHeight="1" x14ac:dyDescent="0.25">
      <c r="A360" s="7"/>
      <c r="B360" s="7"/>
      <c r="C360" s="14"/>
      <c r="D360" s="14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spans="1:17" ht="19.55" customHeight="1" x14ac:dyDescent="0.25">
      <c r="A361" s="7"/>
      <c r="B361" s="7"/>
      <c r="C361" s="14"/>
      <c r="D361" s="14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17" ht="19.55" customHeight="1" x14ac:dyDescent="0.25">
      <c r="A362" s="7"/>
      <c r="B362" s="7"/>
      <c r="C362" s="14"/>
      <c r="D362" s="1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spans="1:17" ht="19.55" customHeight="1" x14ac:dyDescent="0.25">
      <c r="A363" s="7"/>
      <c r="B363" s="7"/>
      <c r="C363" s="14"/>
      <c r="D363" s="1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spans="1:17" ht="19.55" customHeight="1" x14ac:dyDescent="0.25">
      <c r="A364" s="7"/>
      <c r="B364" s="7"/>
      <c r="C364" s="14"/>
      <c r="D364" s="14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spans="1:17" ht="19.55" customHeight="1" x14ac:dyDescent="0.25">
      <c r="A365" s="7"/>
      <c r="B365" s="7"/>
      <c r="C365" s="14"/>
      <c r="D365" s="14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spans="1:17" ht="19.55" customHeight="1" x14ac:dyDescent="0.25">
      <c r="A366" s="7"/>
      <c r="B366" s="7"/>
      <c r="C366" s="14"/>
      <c r="D366" s="14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spans="1:17" ht="19.55" customHeight="1" x14ac:dyDescent="0.25">
      <c r="A367" s="7"/>
      <c r="B367" s="7"/>
      <c r="C367" s="14"/>
      <c r="D367" s="14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spans="1:17" ht="19.55" customHeight="1" x14ac:dyDescent="0.25">
      <c r="A368" s="7"/>
      <c r="B368" s="7"/>
      <c r="C368" s="14"/>
      <c r="D368" s="14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spans="1:17" ht="19.55" customHeight="1" x14ac:dyDescent="0.25">
      <c r="A369" s="7"/>
      <c r="B369" s="7"/>
      <c r="C369" s="14"/>
      <c r="D369" s="14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spans="1:17" ht="19.55" customHeight="1" x14ac:dyDescent="0.25">
      <c r="A370" s="7"/>
      <c r="B370" s="7"/>
      <c r="C370" s="14"/>
      <c r="D370" s="14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spans="1:17" ht="19.55" customHeight="1" x14ac:dyDescent="0.25">
      <c r="A371" s="7"/>
      <c r="B371" s="7"/>
      <c r="C371" s="14"/>
      <c r="D371" s="14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spans="1:17" ht="19.55" customHeight="1" x14ac:dyDescent="0.25">
      <c r="A372" s="7"/>
      <c r="B372" s="7"/>
      <c r="C372" s="14"/>
      <c r="D372" s="14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spans="1:17" ht="19.55" customHeight="1" x14ac:dyDescent="0.25">
      <c r="A373" s="7"/>
      <c r="B373" s="7"/>
      <c r="C373" s="14"/>
      <c r="D373" s="14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17" ht="19.55" customHeight="1" x14ac:dyDescent="0.25">
      <c r="A374" s="7"/>
      <c r="B374" s="7"/>
      <c r="C374" s="14"/>
      <c r="D374" s="14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17" ht="19.55" customHeight="1" x14ac:dyDescent="0.25">
      <c r="A375" s="7"/>
      <c r="B375" s="7"/>
      <c r="C375" s="14"/>
      <c r="D375" s="14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spans="1:17" ht="19.55" customHeight="1" x14ac:dyDescent="0.25">
      <c r="A376" s="7"/>
      <c r="B376" s="7"/>
      <c r="C376" s="14"/>
      <c r="D376" s="14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spans="1:17" ht="19.55" customHeight="1" x14ac:dyDescent="0.25">
      <c r="A377" s="7"/>
      <c r="B377" s="7"/>
      <c r="C377" s="14"/>
      <c r="D377" s="14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spans="1:17" ht="19.55" customHeight="1" x14ac:dyDescent="0.25">
      <c r="A378" s="7"/>
      <c r="B378" s="7"/>
      <c r="C378" s="14"/>
      <c r="D378" s="14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spans="1:17" ht="19.55" customHeight="1" x14ac:dyDescent="0.25">
      <c r="A379" s="7"/>
      <c r="B379" s="7"/>
      <c r="C379" s="14"/>
      <c r="D379" s="14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spans="1:17" ht="19.55" customHeight="1" x14ac:dyDescent="0.25">
      <c r="A380" s="7"/>
      <c r="B380" s="7"/>
      <c r="C380" s="14"/>
      <c r="D380" s="14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17" ht="19.55" customHeight="1" x14ac:dyDescent="0.25">
      <c r="A381" s="7"/>
      <c r="B381" s="7"/>
      <c r="C381" s="14"/>
      <c r="D381" s="14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spans="1:17" ht="19.55" customHeight="1" x14ac:dyDescent="0.25">
      <c r="A382" s="7"/>
      <c r="B382" s="7"/>
      <c r="C382" s="14"/>
      <c r="D382" s="14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spans="1:17" ht="19.55" customHeight="1" x14ac:dyDescent="0.25">
      <c r="A383" s="7"/>
      <c r="B383" s="7"/>
      <c r="C383" s="14"/>
      <c r="D383" s="14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spans="1:17" ht="19.55" customHeight="1" x14ac:dyDescent="0.25">
      <c r="A384" s="7"/>
      <c r="B384" s="7"/>
      <c r="C384" s="14"/>
      <c r="D384" s="14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spans="1:17" ht="19.55" customHeight="1" x14ac:dyDescent="0.25">
      <c r="A385" s="7"/>
      <c r="B385" s="7"/>
      <c r="C385" s="14"/>
      <c r="D385" s="14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spans="1:17" ht="19.55" customHeight="1" x14ac:dyDescent="0.25">
      <c r="A386" s="7"/>
      <c r="B386" s="7"/>
      <c r="C386" s="14"/>
      <c r="D386" s="14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spans="1:17" ht="19.55" customHeight="1" x14ac:dyDescent="0.25">
      <c r="A387" s="7"/>
      <c r="B387" s="7"/>
      <c r="C387" s="14"/>
      <c r="D387" s="14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spans="1:17" ht="19.55" customHeight="1" x14ac:dyDescent="0.25">
      <c r="A388" s="7"/>
      <c r="B388" s="7"/>
      <c r="C388" s="14"/>
      <c r="D388" s="14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spans="1:17" ht="19.55" customHeight="1" x14ac:dyDescent="0.25">
      <c r="A389" s="7"/>
      <c r="B389" s="7"/>
      <c r="C389" s="14"/>
      <c r="D389" s="14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spans="1:17" ht="19.55" customHeight="1" x14ac:dyDescent="0.25">
      <c r="A390" s="7"/>
      <c r="B390" s="7"/>
      <c r="C390" s="14"/>
      <c r="D390" s="14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spans="1:17" ht="19.55" customHeight="1" x14ac:dyDescent="0.25">
      <c r="A391" s="7"/>
      <c r="B391" s="7"/>
      <c r="C391" s="14"/>
      <c r="D391" s="14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spans="1:17" ht="19.55" customHeight="1" x14ac:dyDescent="0.25">
      <c r="A392" s="7"/>
      <c r="B392" s="7"/>
      <c r="C392" s="14"/>
      <c r="D392" s="14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spans="1:17" ht="19.55" customHeight="1" x14ac:dyDescent="0.25">
      <c r="A393" s="7"/>
      <c r="B393" s="7"/>
      <c r="C393" s="14"/>
      <c r="D393" s="14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spans="1:17" ht="19.55" customHeight="1" x14ac:dyDescent="0.25">
      <c r="A394" s="7"/>
      <c r="B394" s="7"/>
      <c r="C394" s="14"/>
      <c r="D394" s="14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spans="1:17" ht="19.55" customHeight="1" x14ac:dyDescent="0.25">
      <c r="A395" s="7"/>
      <c r="B395" s="7"/>
      <c r="C395" s="14"/>
      <c r="D395" s="14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spans="1:17" ht="19.55" customHeight="1" x14ac:dyDescent="0.25">
      <c r="A396" s="7"/>
      <c r="B396" s="7"/>
      <c r="C396" s="14"/>
      <c r="D396" s="14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spans="1:17" ht="19.55" customHeight="1" x14ac:dyDescent="0.25">
      <c r="A397" s="7"/>
      <c r="B397" s="7"/>
      <c r="C397" s="14"/>
      <c r="D397" s="14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spans="1:17" ht="19.55" customHeight="1" x14ac:dyDescent="0.25">
      <c r="A398" s="7"/>
      <c r="B398" s="7"/>
      <c r="C398" s="14"/>
      <c r="D398" s="14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spans="1:17" ht="19.55" customHeight="1" x14ac:dyDescent="0.25">
      <c r="A399" s="7"/>
      <c r="B399" s="7"/>
      <c r="C399" s="14"/>
      <c r="D399" s="14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spans="1:17" ht="19.55" customHeight="1" x14ac:dyDescent="0.25">
      <c r="A400" s="7"/>
      <c r="B400" s="7"/>
      <c r="C400" s="14"/>
      <c r="D400" s="14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spans="1:17" ht="19.55" customHeight="1" x14ac:dyDescent="0.25">
      <c r="A401" s="7"/>
      <c r="B401" s="7"/>
      <c r="C401" s="14"/>
      <c r="D401" s="14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spans="1:17" ht="19.55" customHeight="1" x14ac:dyDescent="0.25">
      <c r="A402" s="7"/>
      <c r="B402" s="7"/>
      <c r="C402" s="14"/>
      <c r="D402" s="14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spans="1:17" ht="19.55" customHeight="1" x14ac:dyDescent="0.25">
      <c r="A403" s="7"/>
      <c r="B403" s="7"/>
      <c r="C403" s="14"/>
      <c r="D403" s="14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spans="1:17" ht="19.55" customHeight="1" x14ac:dyDescent="0.25">
      <c r="A404" s="7"/>
      <c r="B404" s="7"/>
      <c r="C404" s="14"/>
      <c r="D404" s="14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spans="1:17" ht="19.55" customHeight="1" x14ac:dyDescent="0.25">
      <c r="A405" s="7"/>
      <c r="B405" s="7"/>
      <c r="C405" s="14"/>
      <c r="D405" s="14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spans="1:17" ht="19.55" customHeight="1" x14ac:dyDescent="0.25">
      <c r="A406" s="7"/>
      <c r="B406" s="7"/>
      <c r="C406" s="14"/>
      <c r="D406" s="14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spans="1:17" ht="19.55" customHeight="1" x14ac:dyDescent="0.25">
      <c r="A407" s="7"/>
      <c r="B407" s="7"/>
      <c r="C407" s="14"/>
      <c r="D407" s="14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spans="1:17" ht="19.55" customHeight="1" x14ac:dyDescent="0.25">
      <c r="A408" s="7"/>
      <c r="B408" s="7"/>
      <c r="C408" s="14"/>
      <c r="D408" s="14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spans="1:17" ht="19.55" customHeight="1" x14ac:dyDescent="0.25">
      <c r="A409" s="7"/>
      <c r="B409" s="7"/>
      <c r="C409" s="14"/>
      <c r="D409" s="14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spans="1:17" ht="19.55" customHeight="1" x14ac:dyDescent="0.25">
      <c r="A410" s="7"/>
      <c r="B410" s="7"/>
      <c r="C410" s="14"/>
      <c r="D410" s="14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spans="1:17" ht="19.55" customHeight="1" x14ac:dyDescent="0.25">
      <c r="A411" s="7"/>
      <c r="B411" s="7"/>
      <c r="C411" s="14"/>
      <c r="D411" s="14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spans="1:17" ht="19.55" customHeight="1" x14ac:dyDescent="0.25">
      <c r="A412" s="7"/>
      <c r="B412" s="7"/>
      <c r="C412" s="14"/>
      <c r="D412" s="14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spans="1:17" ht="19.55" customHeight="1" x14ac:dyDescent="0.25">
      <c r="A413" s="7"/>
      <c r="B413" s="7"/>
      <c r="C413" s="14"/>
      <c r="D413" s="14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spans="1:17" ht="19.55" customHeight="1" x14ac:dyDescent="0.25">
      <c r="A414" s="7"/>
      <c r="B414" s="7"/>
      <c r="C414" s="14"/>
      <c r="D414" s="14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spans="1:17" ht="19.55" customHeight="1" x14ac:dyDescent="0.25">
      <c r="A415" s="7"/>
      <c r="B415" s="7"/>
      <c r="C415" s="14"/>
      <c r="D415" s="14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spans="1:17" ht="19.55" customHeight="1" x14ac:dyDescent="0.25">
      <c r="A416" s="7"/>
      <c r="B416" s="7"/>
      <c r="C416" s="14"/>
      <c r="D416" s="14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spans="1:17" ht="19.55" customHeight="1" x14ac:dyDescent="0.25">
      <c r="A417" s="7"/>
      <c r="B417" s="7"/>
      <c r="C417" s="14"/>
      <c r="D417" s="14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spans="1:17" ht="19.55" customHeight="1" x14ac:dyDescent="0.25">
      <c r="A418" s="7"/>
      <c r="B418" s="7"/>
      <c r="C418" s="14"/>
      <c r="D418" s="14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spans="1:17" ht="19.55" customHeight="1" x14ac:dyDescent="0.25">
      <c r="A419" s="7"/>
      <c r="B419" s="7"/>
      <c r="C419" s="14"/>
      <c r="D419" s="14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spans="1:17" ht="19.55" customHeight="1" x14ac:dyDescent="0.25">
      <c r="A420" s="7"/>
      <c r="B420" s="7"/>
      <c r="C420" s="14"/>
      <c r="D420" s="14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spans="1:17" ht="19.55" customHeight="1" x14ac:dyDescent="0.25">
      <c r="A421" s="7"/>
      <c r="B421" s="7"/>
      <c r="C421" s="14"/>
      <c r="D421" s="14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spans="1:17" ht="19.55" customHeight="1" x14ac:dyDescent="0.25">
      <c r="A422" s="7"/>
      <c r="B422" s="7"/>
      <c r="C422" s="14"/>
      <c r="D422" s="14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spans="1:17" ht="19.55" customHeight="1" x14ac:dyDescent="0.25">
      <c r="A423" s="7"/>
      <c r="B423" s="7"/>
      <c r="C423" s="14"/>
      <c r="D423" s="14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spans="1:17" ht="19.55" customHeight="1" x14ac:dyDescent="0.25">
      <c r="A424" s="7"/>
      <c r="B424" s="7"/>
      <c r="C424" s="14"/>
      <c r="D424" s="14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spans="1:17" ht="19.55" customHeight="1" x14ac:dyDescent="0.25">
      <c r="A425" s="7"/>
      <c r="B425" s="7"/>
      <c r="C425" s="14"/>
      <c r="D425" s="14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spans="1:17" ht="19.55" customHeight="1" x14ac:dyDescent="0.25">
      <c r="A426" s="7"/>
      <c r="B426" s="7"/>
      <c r="C426" s="14"/>
      <c r="D426" s="14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spans="1:17" ht="19.55" customHeight="1" x14ac:dyDescent="0.25">
      <c r="A427" s="7"/>
      <c r="B427" s="7"/>
      <c r="C427" s="14"/>
      <c r="D427" s="14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spans="1:17" ht="19.55" customHeight="1" x14ac:dyDescent="0.25">
      <c r="A428" s="7"/>
      <c r="B428" s="7"/>
      <c r="C428" s="14"/>
      <c r="D428" s="14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spans="1:17" ht="19.55" customHeight="1" x14ac:dyDescent="0.25">
      <c r="A429" s="7"/>
      <c r="B429" s="7"/>
      <c r="C429" s="14"/>
      <c r="D429" s="14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spans="1:17" ht="19.55" customHeight="1" x14ac:dyDescent="0.25">
      <c r="A430" s="7"/>
      <c r="B430" s="7"/>
      <c r="C430" s="14"/>
      <c r="D430" s="14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spans="1:17" ht="19.55" customHeight="1" x14ac:dyDescent="0.25">
      <c r="A431" s="7"/>
      <c r="B431" s="7"/>
      <c r="C431" s="14"/>
      <c r="D431" s="14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spans="1:17" ht="19.55" customHeight="1" x14ac:dyDescent="0.25">
      <c r="A432" s="7"/>
      <c r="B432" s="7"/>
      <c r="C432" s="14"/>
      <c r="D432" s="14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spans="1:17" ht="19.55" customHeight="1" x14ac:dyDescent="0.25">
      <c r="A433" s="7"/>
      <c r="B433" s="7"/>
      <c r="C433" s="14"/>
      <c r="D433" s="14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spans="1:17" ht="19.55" customHeight="1" x14ac:dyDescent="0.25">
      <c r="A434" s="7"/>
      <c r="B434" s="7"/>
      <c r="C434" s="14"/>
      <c r="D434" s="14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spans="1:17" ht="19.55" customHeight="1" x14ac:dyDescent="0.25">
      <c r="A435" s="7"/>
      <c r="B435" s="7"/>
      <c r="C435" s="14"/>
      <c r="D435" s="14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spans="1:17" ht="19.55" customHeight="1" x14ac:dyDescent="0.25">
      <c r="A436" s="7"/>
      <c r="B436" s="7"/>
      <c r="C436" s="14"/>
      <c r="D436" s="14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spans="1:17" ht="19.55" customHeight="1" x14ac:dyDescent="0.25">
      <c r="A437" s="7"/>
      <c r="B437" s="7"/>
      <c r="C437" s="14"/>
      <c r="D437" s="14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spans="1:17" ht="19.55" customHeight="1" x14ac:dyDescent="0.25">
      <c r="A438" s="7"/>
      <c r="B438" s="7"/>
      <c r="C438" s="14"/>
      <c r="D438" s="14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spans="1:17" ht="19.55" customHeight="1" x14ac:dyDescent="0.25">
      <c r="A439" s="7"/>
      <c r="B439" s="7"/>
      <c r="C439" s="14"/>
      <c r="D439" s="14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spans="1:17" ht="19.55" customHeight="1" x14ac:dyDescent="0.25">
      <c r="A440" s="7"/>
      <c r="B440" s="7"/>
      <c r="C440" s="14"/>
      <c r="D440" s="14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spans="1:17" ht="19.55" customHeight="1" x14ac:dyDescent="0.25">
      <c r="A441" s="7"/>
      <c r="B441" s="7"/>
      <c r="C441" s="14"/>
      <c r="D441" s="14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spans="1:17" ht="19.55" customHeight="1" x14ac:dyDescent="0.25">
      <c r="A442" s="7"/>
      <c r="B442" s="7"/>
      <c r="C442" s="14"/>
      <c r="D442" s="14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spans="1:17" ht="19.55" customHeight="1" x14ac:dyDescent="0.25">
      <c r="A443" s="7"/>
      <c r="B443" s="7"/>
      <c r="C443" s="14"/>
      <c r="D443" s="14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spans="1:17" ht="19.55" customHeight="1" x14ac:dyDescent="0.25">
      <c r="A444" s="7"/>
      <c r="B444" s="7"/>
      <c r="C444" s="14"/>
      <c r="D444" s="14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spans="1:17" ht="19.55" customHeight="1" x14ac:dyDescent="0.25">
      <c r="A445" s="7"/>
      <c r="B445" s="7"/>
      <c r="C445" s="14"/>
      <c r="D445" s="14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spans="1:17" ht="19.55" customHeight="1" x14ac:dyDescent="0.25">
      <c r="A446" s="7"/>
      <c r="B446" s="7"/>
      <c r="C446" s="14"/>
      <c r="D446" s="14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spans="1:17" ht="19.55" customHeight="1" x14ac:dyDescent="0.25">
      <c r="A447" s="7"/>
      <c r="B447" s="7"/>
      <c r="C447" s="14"/>
      <c r="D447" s="14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spans="1:17" ht="19.55" customHeight="1" x14ac:dyDescent="0.25">
      <c r="A448" s="7"/>
      <c r="B448" s="7"/>
      <c r="C448" s="14"/>
      <c r="D448" s="14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spans="1:17" ht="19.55" customHeight="1" x14ac:dyDescent="0.25">
      <c r="A449" s="7"/>
      <c r="B449" s="7"/>
      <c r="C449" s="14"/>
      <c r="D449" s="14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spans="1:17" ht="19.55" customHeight="1" x14ac:dyDescent="0.25">
      <c r="A450" s="7"/>
      <c r="B450" s="7"/>
      <c r="C450" s="14"/>
      <c r="D450" s="14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spans="1:17" ht="19.55" customHeight="1" x14ac:dyDescent="0.25">
      <c r="A451" s="7"/>
      <c r="B451" s="7"/>
      <c r="C451" s="14"/>
      <c r="D451" s="14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spans="1:17" ht="19.55" customHeight="1" x14ac:dyDescent="0.25">
      <c r="A452" s="7"/>
      <c r="B452" s="7"/>
      <c r="C452" s="14"/>
      <c r="D452" s="14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spans="1:17" ht="19.55" customHeight="1" x14ac:dyDescent="0.25">
      <c r="A453" s="7"/>
      <c r="B453" s="7"/>
      <c r="C453" s="14"/>
      <c r="D453" s="14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spans="1:17" ht="19.55" customHeight="1" x14ac:dyDescent="0.25">
      <c r="A454" s="7"/>
      <c r="B454" s="7"/>
      <c r="C454" s="14"/>
      <c r="D454" s="14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spans="1:17" ht="19.55" customHeight="1" x14ac:dyDescent="0.25">
      <c r="A455" s="7"/>
      <c r="B455" s="7"/>
      <c r="C455" s="14"/>
      <c r="D455" s="14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spans="1:17" ht="19.55" customHeight="1" x14ac:dyDescent="0.25">
      <c r="A456" s="7"/>
      <c r="B456" s="7"/>
      <c r="C456" s="14"/>
      <c r="D456" s="14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spans="1:17" ht="19.55" customHeight="1" x14ac:dyDescent="0.25">
      <c r="A457" s="7"/>
      <c r="B457" s="7"/>
      <c r="C457" s="14"/>
      <c r="D457" s="14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spans="1:17" ht="19.55" customHeight="1" x14ac:dyDescent="0.25">
      <c r="A458" s="7"/>
      <c r="B458" s="7"/>
      <c r="C458" s="14"/>
      <c r="D458" s="14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spans="1:17" ht="19.55" customHeight="1" x14ac:dyDescent="0.25">
      <c r="A459" s="7"/>
      <c r="B459" s="7"/>
      <c r="C459" s="14"/>
      <c r="D459" s="14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 spans="1:17" ht="19.55" customHeight="1" x14ac:dyDescent="0.25">
      <c r="A460" s="7"/>
      <c r="B460" s="7"/>
      <c r="C460" s="14"/>
      <c r="D460" s="14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 spans="1:17" ht="19.55" customHeight="1" x14ac:dyDescent="0.25">
      <c r="A461" s="7"/>
      <c r="B461" s="7"/>
      <c r="C461" s="14"/>
      <c r="D461" s="14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 spans="1:17" ht="19.55" customHeight="1" x14ac:dyDescent="0.25">
      <c r="A462" s="7"/>
      <c r="B462" s="7"/>
      <c r="C462" s="14"/>
      <c r="D462" s="14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 spans="1:17" ht="19.55" customHeight="1" x14ac:dyDescent="0.25">
      <c r="A463" s="7"/>
      <c r="B463" s="7"/>
      <c r="C463" s="14"/>
      <c r="D463" s="14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 spans="1:17" ht="19.55" customHeight="1" x14ac:dyDescent="0.25">
      <c r="A464" s="7"/>
      <c r="B464" s="7"/>
      <c r="C464" s="14"/>
      <c r="D464" s="14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 spans="1:17" ht="19.55" customHeight="1" x14ac:dyDescent="0.25">
      <c r="A465" s="7"/>
      <c r="B465" s="7"/>
      <c r="C465" s="14"/>
      <c r="D465" s="14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 spans="1:17" ht="19.55" customHeight="1" x14ac:dyDescent="0.25">
      <c r="A466" s="7"/>
      <c r="B466" s="7"/>
      <c r="C466" s="14"/>
      <c r="D466" s="14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 spans="1:17" ht="19.55" customHeight="1" x14ac:dyDescent="0.25">
      <c r="A467" s="7"/>
      <c r="B467" s="7"/>
      <c r="C467" s="14"/>
      <c r="D467" s="14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 spans="1:17" ht="19.55" customHeight="1" x14ac:dyDescent="0.25">
      <c r="A468" s="7"/>
      <c r="B468" s="7"/>
      <c r="C468" s="14"/>
      <c r="D468" s="14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 spans="1:17" ht="19.55" customHeight="1" x14ac:dyDescent="0.25">
      <c r="A469" s="7"/>
      <c r="B469" s="7"/>
      <c r="C469" s="14"/>
      <c r="D469" s="14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 spans="1:17" ht="19.55" customHeight="1" x14ac:dyDescent="0.25">
      <c r="A470" s="7"/>
      <c r="B470" s="7"/>
      <c r="C470" s="14"/>
      <c r="D470" s="14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 spans="1:17" ht="19.55" customHeight="1" x14ac:dyDescent="0.25">
      <c r="A471" s="7"/>
      <c r="B471" s="7"/>
      <c r="C471" s="14"/>
      <c r="D471" s="14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 spans="1:17" ht="19.55" customHeight="1" x14ac:dyDescent="0.25">
      <c r="A472" s="7"/>
      <c r="B472" s="7"/>
      <c r="C472" s="14"/>
      <c r="D472" s="14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 spans="1:17" ht="19.55" customHeight="1" x14ac:dyDescent="0.25">
      <c r="A473" s="7"/>
      <c r="B473" s="7"/>
      <c r="C473" s="14"/>
      <c r="D473" s="14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 spans="1:17" ht="19.55" customHeight="1" x14ac:dyDescent="0.25">
      <c r="A474" s="7"/>
      <c r="B474" s="7"/>
      <c r="C474" s="14"/>
      <c r="D474" s="14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 spans="1:17" ht="19.55" customHeight="1" x14ac:dyDescent="0.25">
      <c r="A475" s="7"/>
      <c r="B475" s="7"/>
      <c r="C475" s="14"/>
      <c r="D475" s="14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spans="1:17" ht="19.55" customHeight="1" x14ac:dyDescent="0.25">
      <c r="A476" s="7"/>
      <c r="B476" s="7"/>
      <c r="C476" s="14"/>
      <c r="D476" s="14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spans="1:17" ht="19.55" customHeight="1" x14ac:dyDescent="0.25">
      <c r="A477" s="7"/>
      <c r="B477" s="7"/>
      <c r="C477" s="14"/>
      <c r="D477" s="14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 spans="1:17" ht="19.55" customHeight="1" x14ac:dyDescent="0.25">
      <c r="A478" s="7"/>
      <c r="B478" s="7"/>
      <c r="C478" s="14"/>
      <c r="D478" s="14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 spans="1:17" ht="19.55" customHeight="1" x14ac:dyDescent="0.25">
      <c r="A479" s="7"/>
      <c r="B479" s="7"/>
      <c r="C479" s="14"/>
      <c r="D479" s="14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 spans="1:17" ht="19.55" customHeight="1" x14ac:dyDescent="0.25">
      <c r="A480" s="7"/>
      <c r="B480" s="7"/>
      <c r="C480" s="14"/>
      <c r="D480" s="14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 spans="1:17" ht="19.55" customHeight="1" x14ac:dyDescent="0.25">
      <c r="A481" s="7"/>
      <c r="B481" s="7"/>
      <c r="C481" s="14"/>
      <c r="D481" s="14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 spans="1:17" ht="19.55" customHeight="1" x14ac:dyDescent="0.25">
      <c r="A482" s="7"/>
      <c r="B482" s="7"/>
      <c r="C482" s="14"/>
      <c r="D482" s="14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 spans="1:17" ht="19.55" customHeight="1" x14ac:dyDescent="0.25">
      <c r="A483" s="7"/>
      <c r="B483" s="7"/>
      <c r="C483" s="14"/>
      <c r="D483" s="14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 spans="1:17" ht="19.55" customHeight="1" x14ac:dyDescent="0.25">
      <c r="A484" s="7"/>
      <c r="B484" s="7"/>
      <c r="C484" s="14"/>
      <c r="D484" s="14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 spans="1:17" ht="19.55" customHeight="1" x14ac:dyDescent="0.25">
      <c r="A485" s="7"/>
      <c r="B485" s="7"/>
      <c r="C485" s="14"/>
      <c r="D485" s="14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 spans="1:17" ht="19.55" customHeight="1" x14ac:dyDescent="0.25">
      <c r="A486" s="7"/>
      <c r="B486" s="7"/>
      <c r="C486" s="14"/>
      <c r="D486" s="14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 spans="1:17" ht="19.55" customHeight="1" x14ac:dyDescent="0.25">
      <c r="A487" s="7"/>
      <c r="B487" s="7"/>
      <c r="C487" s="14"/>
      <c r="D487" s="14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 spans="1:17" ht="19.55" customHeight="1" x14ac:dyDescent="0.25">
      <c r="A488" s="7"/>
      <c r="B488" s="7"/>
      <c r="C488" s="14"/>
      <c r="D488" s="14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 spans="1:17" ht="19.55" customHeight="1" x14ac:dyDescent="0.25">
      <c r="A489" s="7"/>
      <c r="B489" s="7"/>
      <c r="C489" s="14"/>
      <c r="D489" s="14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 spans="1:17" ht="19.55" customHeight="1" x14ac:dyDescent="0.25">
      <c r="A490" s="7"/>
      <c r="B490" s="7"/>
      <c r="C490" s="14"/>
      <c r="D490" s="14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spans="1:17" ht="19.55" customHeight="1" x14ac:dyDescent="0.25">
      <c r="A491" s="7"/>
      <c r="B491" s="7"/>
      <c r="C491" s="14"/>
      <c r="D491" s="14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spans="1:17" ht="19.55" customHeight="1" x14ac:dyDescent="0.25">
      <c r="A492" s="7"/>
      <c r="B492" s="7"/>
      <c r="C492" s="14"/>
      <c r="D492" s="14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spans="1:17" ht="19.55" customHeight="1" x14ac:dyDescent="0.25">
      <c r="A493" s="7"/>
      <c r="B493" s="7"/>
      <c r="C493" s="14"/>
      <c r="D493" s="14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spans="1:17" ht="19.55" customHeight="1" x14ac:dyDescent="0.25">
      <c r="A494" s="7"/>
      <c r="B494" s="7"/>
      <c r="C494" s="14"/>
      <c r="D494" s="14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spans="1:17" ht="19.55" customHeight="1" x14ac:dyDescent="0.25">
      <c r="A495" s="7"/>
      <c r="B495" s="7"/>
      <c r="C495" s="14"/>
      <c r="D495" s="14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 spans="1:17" ht="19.55" customHeight="1" x14ac:dyDescent="0.25">
      <c r="A496" s="7"/>
      <c r="B496" s="7"/>
      <c r="C496" s="14"/>
      <c r="D496" s="14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 spans="1:17" ht="19.55" customHeight="1" x14ac:dyDescent="0.25">
      <c r="A497" s="7"/>
      <c r="B497" s="7"/>
      <c r="C497" s="14"/>
      <c r="D497" s="14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 spans="1:17" ht="19.55" customHeight="1" x14ac:dyDescent="0.25">
      <c r="A498" s="7"/>
      <c r="B498" s="7"/>
      <c r="C498" s="14"/>
      <c r="D498" s="14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 spans="1:17" ht="19.55" customHeight="1" x14ac:dyDescent="0.25">
      <c r="A499" s="7"/>
      <c r="B499" s="7"/>
      <c r="C499" s="14"/>
      <c r="D499" s="14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 spans="1:17" ht="19.55" customHeight="1" x14ac:dyDescent="0.25">
      <c r="A500" s="7"/>
      <c r="B500" s="7"/>
      <c r="C500" s="14"/>
      <c r="D500" s="14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 spans="1:17" ht="19.55" customHeight="1" x14ac:dyDescent="0.25">
      <c r="A501" s="7"/>
      <c r="B501" s="7"/>
      <c r="C501" s="14"/>
      <c r="D501" s="14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 spans="1:17" ht="19.55" customHeight="1" x14ac:dyDescent="0.25">
      <c r="A502" s="7"/>
      <c r="B502" s="7"/>
      <c r="C502" s="14"/>
      <c r="D502" s="14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 spans="1:17" ht="19.55" customHeight="1" x14ac:dyDescent="0.25">
      <c r="A503" s="7"/>
      <c r="B503" s="7"/>
      <c r="C503" s="14"/>
      <c r="D503" s="14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 spans="1:17" ht="19.55" customHeight="1" x14ac:dyDescent="0.25">
      <c r="A504" s="7"/>
      <c r="B504" s="7"/>
      <c r="C504" s="14"/>
      <c r="D504" s="14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 spans="1:17" ht="19.55" customHeight="1" x14ac:dyDescent="0.25">
      <c r="A505" s="7"/>
      <c r="B505" s="7"/>
      <c r="C505" s="14"/>
      <c r="D505" s="14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 spans="1:17" ht="19.55" customHeight="1" x14ac:dyDescent="0.25">
      <c r="A506" s="7"/>
      <c r="B506" s="7"/>
      <c r="C506" s="14"/>
      <c r="D506" s="14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 spans="1:17" ht="19.55" customHeight="1" x14ac:dyDescent="0.25">
      <c r="A507" s="7"/>
      <c r="B507" s="7"/>
      <c r="C507" s="14"/>
      <c r="D507" s="14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 spans="1:17" ht="19.55" customHeight="1" x14ac:dyDescent="0.25">
      <c r="A508" s="7"/>
      <c r="B508" s="7"/>
      <c r="C508" s="14"/>
      <c r="D508" s="14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 spans="1:17" ht="19.55" customHeight="1" x14ac:dyDescent="0.25">
      <c r="A509" s="7"/>
      <c r="B509" s="7"/>
      <c r="C509" s="14"/>
      <c r="D509" s="14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spans="1:17" ht="19.55" customHeight="1" x14ac:dyDescent="0.25">
      <c r="A510" s="7"/>
      <c r="B510" s="7"/>
      <c r="C510" s="14"/>
      <c r="D510" s="14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spans="1:17" ht="19.55" customHeight="1" x14ac:dyDescent="0.25">
      <c r="A511" s="7"/>
      <c r="B511" s="7"/>
      <c r="C511" s="14"/>
      <c r="D511" s="14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spans="1:17" ht="19.55" customHeight="1" x14ac:dyDescent="0.25">
      <c r="A512" s="7"/>
      <c r="B512" s="7"/>
      <c r="C512" s="14"/>
      <c r="D512" s="14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spans="1:17" ht="19.55" customHeight="1" x14ac:dyDescent="0.25">
      <c r="A513" s="7"/>
      <c r="B513" s="7"/>
      <c r="C513" s="14"/>
      <c r="D513" s="14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spans="1:17" ht="19.55" customHeight="1" x14ac:dyDescent="0.25">
      <c r="A514" s="7"/>
      <c r="B514" s="7"/>
      <c r="C514" s="14"/>
      <c r="D514" s="14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spans="1:17" ht="19.55" customHeight="1" x14ac:dyDescent="0.25">
      <c r="A515" s="7"/>
      <c r="B515" s="7"/>
      <c r="C515" s="14"/>
      <c r="D515" s="14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spans="1:17" ht="19.55" customHeight="1" x14ac:dyDescent="0.25">
      <c r="A516" s="7"/>
      <c r="B516" s="7"/>
      <c r="C516" s="14"/>
      <c r="D516" s="14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spans="1:17" ht="19.55" customHeight="1" x14ac:dyDescent="0.25">
      <c r="A517" s="7"/>
      <c r="B517" s="7"/>
      <c r="C517" s="14"/>
      <c r="D517" s="14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spans="1:17" ht="19.55" customHeight="1" x14ac:dyDescent="0.25">
      <c r="A518" s="7"/>
      <c r="B518" s="7"/>
      <c r="C518" s="14"/>
      <c r="D518" s="14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spans="1:17" ht="19.55" customHeight="1" x14ac:dyDescent="0.25">
      <c r="A519" s="7"/>
      <c r="B519" s="7"/>
      <c r="C519" s="14"/>
      <c r="D519" s="14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spans="1:17" ht="19.55" customHeight="1" x14ac:dyDescent="0.25">
      <c r="A520" s="7"/>
      <c r="B520" s="7"/>
      <c r="C520" s="14"/>
      <c r="D520" s="14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spans="1:17" ht="19.55" customHeight="1" x14ac:dyDescent="0.25">
      <c r="A521" s="7"/>
      <c r="B521" s="7"/>
      <c r="C521" s="14"/>
      <c r="D521" s="14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spans="1:17" ht="19.55" customHeight="1" x14ac:dyDescent="0.25">
      <c r="A522" s="7"/>
      <c r="B522" s="7"/>
      <c r="C522" s="14"/>
      <c r="D522" s="14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spans="1:17" ht="19.55" customHeight="1" x14ac:dyDescent="0.25">
      <c r="A523" s="7"/>
      <c r="B523" s="7"/>
      <c r="C523" s="14"/>
      <c r="D523" s="14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spans="1:17" ht="19.55" customHeight="1" x14ac:dyDescent="0.25">
      <c r="A524" s="7"/>
      <c r="B524" s="7"/>
      <c r="C524" s="14"/>
      <c r="D524" s="14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spans="1:17" ht="19.55" customHeight="1" x14ac:dyDescent="0.25">
      <c r="A525" s="7"/>
      <c r="B525" s="7"/>
      <c r="C525" s="14"/>
      <c r="D525" s="14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spans="1:17" ht="19.55" customHeight="1" x14ac:dyDescent="0.25">
      <c r="A526" s="7"/>
      <c r="B526" s="7"/>
      <c r="C526" s="14"/>
      <c r="D526" s="14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spans="1:17" ht="19.55" customHeight="1" x14ac:dyDescent="0.25">
      <c r="A527" s="7"/>
      <c r="B527" s="7"/>
      <c r="C527" s="14"/>
      <c r="D527" s="14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spans="1:17" ht="19.55" customHeight="1" x14ac:dyDescent="0.25">
      <c r="A528" s="7"/>
      <c r="B528" s="7"/>
      <c r="C528" s="14"/>
      <c r="D528" s="14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spans="1:17" ht="19.55" customHeight="1" x14ac:dyDescent="0.25">
      <c r="A529" s="7"/>
      <c r="B529" s="7"/>
      <c r="C529" s="14"/>
      <c r="D529" s="14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spans="1:17" ht="19.55" customHeight="1" x14ac:dyDescent="0.25">
      <c r="A530" s="7"/>
      <c r="B530" s="7"/>
      <c r="C530" s="14"/>
      <c r="D530" s="14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spans="1:17" ht="19.55" customHeight="1" x14ac:dyDescent="0.25">
      <c r="A531" s="7"/>
      <c r="B531" s="7"/>
      <c r="C531" s="14"/>
      <c r="D531" s="14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spans="1:17" ht="19.55" customHeight="1" x14ac:dyDescent="0.25">
      <c r="A532" s="7"/>
      <c r="B532" s="7"/>
      <c r="C532" s="14"/>
      <c r="D532" s="14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spans="1:17" ht="19.55" customHeight="1" x14ac:dyDescent="0.25">
      <c r="A533" s="7"/>
      <c r="B533" s="7"/>
      <c r="C533" s="14"/>
      <c r="D533" s="14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spans="1:17" ht="19.55" customHeight="1" x14ac:dyDescent="0.25">
      <c r="A534" s="7"/>
      <c r="B534" s="7"/>
      <c r="C534" s="14"/>
      <c r="D534" s="14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spans="1:17" ht="19.55" customHeight="1" x14ac:dyDescent="0.25">
      <c r="A535" s="7"/>
      <c r="B535" s="7"/>
      <c r="C535" s="14"/>
      <c r="D535" s="14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spans="1:17" ht="19.55" customHeight="1" x14ac:dyDescent="0.25">
      <c r="A536" s="7"/>
      <c r="B536" s="7"/>
      <c r="C536" s="14"/>
      <c r="D536" s="14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spans="1:17" ht="19.55" customHeight="1" x14ac:dyDescent="0.25">
      <c r="A537" s="7"/>
      <c r="B537" s="7"/>
      <c r="C537" s="14"/>
      <c r="D537" s="14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spans="1:17" ht="19.55" customHeight="1" x14ac:dyDescent="0.25">
      <c r="A538" s="7"/>
      <c r="B538" s="7"/>
      <c r="C538" s="14"/>
      <c r="D538" s="14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spans="1:17" ht="19.55" customHeight="1" x14ac:dyDescent="0.25">
      <c r="A539" s="7"/>
      <c r="B539" s="7"/>
      <c r="C539" s="14"/>
      <c r="D539" s="14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spans="1:17" ht="19.55" customHeight="1" x14ac:dyDescent="0.25">
      <c r="A540" s="7"/>
      <c r="B540" s="7"/>
      <c r="C540" s="14"/>
      <c r="D540" s="14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spans="1:17" ht="19.55" customHeight="1" x14ac:dyDescent="0.25">
      <c r="A541" s="7"/>
      <c r="B541" s="7"/>
      <c r="C541" s="14"/>
      <c r="D541" s="14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 spans="1:17" ht="19.55" customHeight="1" x14ac:dyDescent="0.25">
      <c r="A542" s="7"/>
      <c r="B542" s="7"/>
      <c r="C542" s="14"/>
      <c r="D542" s="14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 spans="1:17" ht="19.55" customHeight="1" x14ac:dyDescent="0.25">
      <c r="A543" s="7"/>
      <c r="B543" s="7"/>
      <c r="C543" s="14"/>
      <c r="D543" s="14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spans="1:17" ht="19.55" customHeight="1" x14ac:dyDescent="0.25">
      <c r="A544" s="7"/>
      <c r="B544" s="7"/>
      <c r="C544" s="14"/>
      <c r="D544" s="14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spans="1:17" ht="19.55" customHeight="1" x14ac:dyDescent="0.25">
      <c r="A545" s="7"/>
      <c r="B545" s="7"/>
      <c r="C545" s="14"/>
      <c r="D545" s="14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spans="1:17" ht="19.55" customHeight="1" x14ac:dyDescent="0.25">
      <c r="A546" s="7"/>
      <c r="B546" s="7"/>
      <c r="C546" s="14"/>
      <c r="D546" s="14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spans="1:17" ht="19.55" customHeight="1" x14ac:dyDescent="0.25">
      <c r="A547" s="7"/>
      <c r="B547" s="7"/>
      <c r="C547" s="14"/>
      <c r="D547" s="14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spans="1:17" ht="19.55" customHeight="1" x14ac:dyDescent="0.25">
      <c r="A548" s="7"/>
      <c r="B548" s="7"/>
      <c r="C548" s="14"/>
      <c r="D548" s="14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spans="1:17" ht="19.55" customHeight="1" x14ac:dyDescent="0.25">
      <c r="A549" s="7"/>
      <c r="B549" s="7"/>
      <c r="C549" s="14"/>
      <c r="D549" s="14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spans="1:17" ht="19.55" customHeight="1" x14ac:dyDescent="0.25">
      <c r="A550" s="7"/>
      <c r="B550" s="7"/>
      <c r="C550" s="14"/>
      <c r="D550" s="14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 spans="1:17" ht="19.55" customHeight="1" x14ac:dyDescent="0.25">
      <c r="A551" s="7"/>
      <c r="B551" s="7"/>
      <c r="C551" s="14"/>
      <c r="D551" s="14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spans="1:17" ht="19.55" customHeight="1" x14ac:dyDescent="0.25">
      <c r="A552" s="7"/>
      <c r="B552" s="7"/>
      <c r="C552" s="14"/>
      <c r="D552" s="14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 spans="1:17" ht="19.55" customHeight="1" x14ac:dyDescent="0.25">
      <c r="A553" s="7"/>
      <c r="B553" s="7"/>
      <c r="C553" s="14"/>
      <c r="D553" s="14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 spans="1:17" ht="19.55" customHeight="1" x14ac:dyDescent="0.25">
      <c r="A554" s="7"/>
      <c r="B554" s="7"/>
      <c r="C554" s="14"/>
      <c r="D554" s="14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 spans="1:17" ht="19.55" customHeight="1" x14ac:dyDescent="0.25">
      <c r="A555" s="7"/>
      <c r="B555" s="7"/>
      <c r="C555" s="14"/>
      <c r="D555" s="14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 spans="1:17" ht="19.55" customHeight="1" x14ac:dyDescent="0.25">
      <c r="A556" s="7"/>
      <c r="B556" s="7"/>
      <c r="C556" s="14"/>
      <c r="D556" s="14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 spans="1:17" ht="19.55" customHeight="1" x14ac:dyDescent="0.25">
      <c r="A557" s="7"/>
      <c r="B557" s="7"/>
      <c r="C557" s="14"/>
      <c r="D557" s="14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 spans="1:17" ht="19.55" customHeight="1" x14ac:dyDescent="0.25">
      <c r="A558" s="7"/>
      <c r="B558" s="7"/>
      <c r="C558" s="14"/>
      <c r="D558" s="14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spans="1:17" ht="19.55" customHeight="1" x14ac:dyDescent="0.25">
      <c r="A559" s="7"/>
      <c r="B559" s="7"/>
      <c r="C559" s="14"/>
      <c r="D559" s="14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 spans="1:17" ht="19.55" customHeight="1" x14ac:dyDescent="0.25">
      <c r="A560" s="7"/>
      <c r="B560" s="7"/>
      <c r="C560" s="14"/>
      <c r="D560" s="14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 spans="1:17" ht="19.55" customHeight="1" x14ac:dyDescent="0.25">
      <c r="A561" s="7"/>
      <c r="B561" s="7"/>
      <c r="C561" s="14"/>
      <c r="D561" s="14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 spans="1:17" ht="19.55" customHeight="1" x14ac:dyDescent="0.25">
      <c r="A562" s="7"/>
      <c r="B562" s="7"/>
      <c r="C562" s="14"/>
      <c r="D562" s="14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 spans="1:17" ht="19.55" customHeight="1" x14ac:dyDescent="0.25">
      <c r="A563" s="7"/>
      <c r="B563" s="7"/>
      <c r="C563" s="14"/>
      <c r="D563" s="14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 spans="1:17" ht="19.55" customHeight="1" x14ac:dyDescent="0.25">
      <c r="A564" s="7"/>
      <c r="B564" s="7"/>
      <c r="C564" s="14"/>
      <c r="D564" s="14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 spans="1:17" ht="19.55" customHeight="1" x14ac:dyDescent="0.25">
      <c r="A565" s="7"/>
      <c r="B565" s="7"/>
      <c r="C565" s="14"/>
      <c r="D565" s="14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 spans="1:17" ht="19.55" customHeight="1" x14ac:dyDescent="0.25">
      <c r="A566" s="7"/>
      <c r="B566" s="7"/>
      <c r="C566" s="14"/>
      <c r="D566" s="14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 spans="1:17" ht="19.55" customHeight="1" x14ac:dyDescent="0.25">
      <c r="A567" s="7"/>
      <c r="B567" s="7"/>
      <c r="C567" s="14"/>
      <c r="D567" s="14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 spans="1:17" ht="19.55" customHeight="1" x14ac:dyDescent="0.25">
      <c r="A568" s="7"/>
      <c r="B568" s="7"/>
      <c r="C568" s="14"/>
      <c r="D568" s="14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 spans="1:17" ht="19.55" customHeight="1" x14ac:dyDescent="0.25">
      <c r="A569" s="7"/>
      <c r="B569" s="7"/>
      <c r="C569" s="14"/>
      <c r="D569" s="14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 spans="1:17" ht="19.55" customHeight="1" x14ac:dyDescent="0.25">
      <c r="A570" s="7"/>
      <c r="B570" s="7"/>
      <c r="C570" s="14"/>
      <c r="D570" s="14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spans="1:17" ht="19.55" customHeight="1" x14ac:dyDescent="0.25">
      <c r="A571" s="7"/>
      <c r="B571" s="7"/>
      <c r="C571" s="14"/>
      <c r="D571" s="14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 spans="1:17" ht="19.55" customHeight="1" x14ac:dyDescent="0.25">
      <c r="A572" s="7"/>
      <c r="B572" s="7"/>
      <c r="C572" s="14"/>
      <c r="D572" s="14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 spans="1:17" ht="19.55" customHeight="1" x14ac:dyDescent="0.25">
      <c r="A573" s="7"/>
      <c r="B573" s="7"/>
      <c r="C573" s="14"/>
      <c r="D573" s="14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 spans="1:17" ht="19.55" customHeight="1" x14ac:dyDescent="0.25">
      <c r="A574" s="7"/>
      <c r="B574" s="7"/>
      <c r="C574" s="14"/>
      <c r="D574" s="14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 spans="1:17" ht="19.55" customHeight="1" x14ac:dyDescent="0.25">
      <c r="A575" s="7"/>
      <c r="B575" s="7"/>
      <c r="C575" s="14"/>
      <c r="D575" s="14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 spans="1:17" ht="19.55" customHeight="1" x14ac:dyDescent="0.25">
      <c r="A576" s="7"/>
      <c r="B576" s="7"/>
      <c r="C576" s="14"/>
      <c r="D576" s="14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 spans="1:17" ht="19.55" customHeight="1" x14ac:dyDescent="0.25">
      <c r="A577" s="7"/>
      <c r="B577" s="7"/>
      <c r="C577" s="14"/>
      <c r="D577" s="14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spans="1:17" ht="19.55" customHeight="1" x14ac:dyDescent="0.25">
      <c r="A578" s="7"/>
      <c r="B578" s="7"/>
      <c r="C578" s="14"/>
      <c r="D578" s="14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spans="1:17" ht="19.55" customHeight="1" x14ac:dyDescent="0.25">
      <c r="A579" s="7"/>
      <c r="B579" s="7"/>
      <c r="C579" s="14"/>
      <c r="D579" s="14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 spans="1:17" ht="19.55" customHeight="1" x14ac:dyDescent="0.25">
      <c r="A580" s="7"/>
      <c r="B580" s="7"/>
      <c r="C580" s="14"/>
      <c r="D580" s="14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 spans="1:17" ht="19.55" customHeight="1" x14ac:dyDescent="0.25">
      <c r="A581" s="7"/>
      <c r="B581" s="7"/>
      <c r="C581" s="14"/>
      <c r="D581" s="14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 spans="1:17" ht="19.55" customHeight="1" x14ac:dyDescent="0.25">
      <c r="A582" s="7"/>
      <c r="B582" s="7"/>
      <c r="C582" s="14"/>
      <c r="D582" s="14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 spans="1:17" ht="19.55" customHeight="1" x14ac:dyDescent="0.25">
      <c r="A583" s="7"/>
      <c r="B583" s="7"/>
      <c r="C583" s="14"/>
      <c r="D583" s="14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 spans="1:17" ht="19.55" customHeight="1" x14ac:dyDescent="0.25">
      <c r="A584" s="7"/>
      <c r="B584" s="7"/>
      <c r="C584" s="14"/>
      <c r="D584" s="14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 spans="1:17" ht="19.55" customHeight="1" x14ac:dyDescent="0.25">
      <c r="A585" s="7"/>
      <c r="B585" s="7"/>
      <c r="C585" s="14"/>
      <c r="D585" s="14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 spans="1:17" ht="19.55" customHeight="1" x14ac:dyDescent="0.25">
      <c r="A586" s="7"/>
      <c r="B586" s="7"/>
      <c r="C586" s="14"/>
      <c r="D586" s="14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 spans="1:17" ht="19.55" customHeight="1" x14ac:dyDescent="0.25">
      <c r="A587" s="7"/>
      <c r="B587" s="7"/>
      <c r="C587" s="14"/>
      <c r="D587" s="14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 spans="1:17" ht="19.55" customHeight="1" x14ac:dyDescent="0.25">
      <c r="A588" s="7"/>
      <c r="B588" s="7"/>
      <c r="C588" s="14"/>
      <c r="D588" s="14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 spans="1:17" ht="19.55" customHeight="1" x14ac:dyDescent="0.25">
      <c r="A589" s="7"/>
      <c r="B589" s="7"/>
      <c r="C589" s="14"/>
      <c r="D589" s="14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spans="1:17" ht="19.55" customHeight="1" x14ac:dyDescent="0.25">
      <c r="A590" s="7"/>
      <c r="B590" s="7"/>
      <c r="C590" s="14"/>
      <c r="D590" s="14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 spans="1:17" ht="19.55" customHeight="1" x14ac:dyDescent="0.25">
      <c r="A591" s="7"/>
      <c r="B591" s="7"/>
      <c r="C591" s="14"/>
      <c r="D591" s="14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 spans="1:17" ht="19.55" customHeight="1" x14ac:dyDescent="0.25">
      <c r="A592" s="7"/>
      <c r="B592" s="7"/>
      <c r="C592" s="14"/>
      <c r="D592" s="14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 spans="1:17" ht="19.55" customHeight="1" x14ac:dyDescent="0.25">
      <c r="A593" s="7"/>
      <c r="B593" s="7"/>
      <c r="C593" s="14"/>
      <c r="D593" s="14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 spans="1:17" ht="19.55" customHeight="1" x14ac:dyDescent="0.25">
      <c r="A594" s="7"/>
      <c r="B594" s="7"/>
      <c r="C594" s="14"/>
      <c r="D594" s="14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 spans="1:17" ht="19.55" customHeight="1" x14ac:dyDescent="0.25">
      <c r="A595" s="7"/>
      <c r="B595" s="7"/>
      <c r="C595" s="14"/>
      <c r="D595" s="14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 spans="1:17" ht="19.55" customHeight="1" x14ac:dyDescent="0.25">
      <c r="A596" s="7"/>
      <c r="B596" s="7"/>
      <c r="C596" s="14"/>
      <c r="D596" s="14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 spans="1:17" ht="19.55" customHeight="1" x14ac:dyDescent="0.25">
      <c r="A597" s="7"/>
      <c r="B597" s="7"/>
      <c r="C597" s="14"/>
      <c r="D597" s="14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 spans="1:17" ht="19.55" customHeight="1" x14ac:dyDescent="0.25">
      <c r="A598" s="7"/>
      <c r="B598" s="7"/>
      <c r="C598" s="14"/>
      <c r="D598" s="14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 spans="1:17" ht="19.55" customHeight="1" x14ac:dyDescent="0.25">
      <c r="A599" s="7"/>
      <c r="B599" s="7"/>
      <c r="C599" s="14"/>
      <c r="D599" s="14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 spans="1:17" ht="19.55" customHeight="1" x14ac:dyDescent="0.25">
      <c r="A600" s="7"/>
      <c r="B600" s="7"/>
      <c r="C600" s="14"/>
      <c r="D600" s="14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 spans="1:17" ht="19.55" customHeight="1" x14ac:dyDescent="0.25">
      <c r="A601" s="7"/>
      <c r="B601" s="7"/>
      <c r="C601" s="14"/>
      <c r="D601" s="14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 spans="1:17" ht="19.55" customHeight="1" x14ac:dyDescent="0.25">
      <c r="A602" s="7"/>
      <c r="B602" s="7"/>
      <c r="C602" s="14"/>
      <c r="D602" s="14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spans="1:17" ht="19.55" customHeight="1" x14ac:dyDescent="0.25">
      <c r="A603" s="7"/>
      <c r="B603" s="7"/>
      <c r="C603" s="14"/>
      <c r="D603" s="14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spans="1:17" ht="19.55" customHeight="1" x14ac:dyDescent="0.25">
      <c r="A604" s="7"/>
      <c r="B604" s="7"/>
      <c r="C604" s="14"/>
      <c r="D604" s="14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spans="1:17" ht="19.55" customHeight="1" x14ac:dyDescent="0.25">
      <c r="A605" s="7"/>
      <c r="B605" s="7"/>
      <c r="C605" s="14"/>
      <c r="D605" s="14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spans="1:17" ht="19.55" customHeight="1" x14ac:dyDescent="0.25">
      <c r="A606" s="7"/>
      <c r="B606" s="7"/>
      <c r="C606" s="14"/>
      <c r="D606" s="14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spans="1:17" ht="19.55" customHeight="1" x14ac:dyDescent="0.25">
      <c r="A607" s="7"/>
      <c r="B607" s="7"/>
      <c r="C607" s="14"/>
      <c r="D607" s="14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spans="1:17" ht="19.55" customHeight="1" x14ac:dyDescent="0.25">
      <c r="A608" s="7"/>
      <c r="B608" s="7"/>
      <c r="C608" s="14"/>
      <c r="D608" s="14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spans="1:17" ht="19.55" customHeight="1" x14ac:dyDescent="0.25">
      <c r="A609" s="7"/>
      <c r="B609" s="7"/>
      <c r="C609" s="14"/>
      <c r="D609" s="14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spans="1:17" ht="19.55" customHeight="1" x14ac:dyDescent="0.25">
      <c r="A610" s="7"/>
      <c r="B610" s="7"/>
      <c r="C610" s="14"/>
      <c r="D610" s="14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spans="1:17" ht="19.55" customHeight="1" x14ac:dyDescent="0.25">
      <c r="A611" s="7"/>
      <c r="B611" s="7"/>
      <c r="C611" s="14"/>
      <c r="D611" s="14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spans="1:17" ht="19.55" customHeight="1" x14ac:dyDescent="0.25">
      <c r="A612" s="7"/>
      <c r="B612" s="7"/>
      <c r="C612" s="14"/>
      <c r="D612" s="14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spans="1:17" ht="19.55" customHeight="1" x14ac:dyDescent="0.25">
      <c r="A613" s="7"/>
      <c r="B613" s="7"/>
      <c r="C613" s="14"/>
      <c r="D613" s="14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spans="1:17" ht="19.55" customHeight="1" x14ac:dyDescent="0.25">
      <c r="A614" s="7"/>
      <c r="B614" s="7"/>
      <c r="C614" s="14"/>
      <c r="D614" s="1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spans="1:17" ht="19.55" customHeight="1" x14ac:dyDescent="0.25">
      <c r="A615" s="7"/>
      <c r="B615" s="7"/>
      <c r="C615" s="14"/>
      <c r="D615" s="14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spans="1:17" ht="19.55" customHeight="1" x14ac:dyDescent="0.25">
      <c r="A616" s="7"/>
      <c r="B616" s="7"/>
      <c r="C616" s="14"/>
      <c r="D616" s="14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spans="1:17" ht="19.55" customHeight="1" x14ac:dyDescent="0.25">
      <c r="A617" s="7"/>
      <c r="B617" s="7"/>
      <c r="C617" s="14"/>
      <c r="D617" s="14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spans="1:17" ht="19.55" customHeight="1" x14ac:dyDescent="0.25">
      <c r="A618" s="7"/>
      <c r="B618" s="7"/>
      <c r="C618" s="14"/>
      <c r="D618" s="14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spans="1:17" ht="19.55" customHeight="1" x14ac:dyDescent="0.25">
      <c r="A619" s="7"/>
      <c r="B619" s="7"/>
      <c r="C619" s="14"/>
      <c r="D619" s="14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spans="1:17" ht="19.55" customHeight="1" x14ac:dyDescent="0.25">
      <c r="A620" s="7"/>
      <c r="B620" s="7"/>
      <c r="C620" s="14"/>
      <c r="D620" s="14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spans="1:17" ht="19.55" customHeight="1" x14ac:dyDescent="0.25">
      <c r="A621" s="7"/>
      <c r="B621" s="7"/>
      <c r="C621" s="14"/>
      <c r="D621" s="14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spans="1:17" ht="19.55" customHeight="1" x14ac:dyDescent="0.25">
      <c r="A622" s="7"/>
      <c r="B622" s="7"/>
      <c r="C622" s="14"/>
      <c r="D622" s="14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spans="1:17" ht="19.55" customHeight="1" x14ac:dyDescent="0.25">
      <c r="A623" s="7"/>
      <c r="B623" s="7"/>
      <c r="C623" s="14"/>
      <c r="D623" s="14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spans="1:17" ht="19.55" customHeight="1" x14ac:dyDescent="0.25">
      <c r="A624" s="7"/>
      <c r="B624" s="7"/>
      <c r="C624" s="14"/>
      <c r="D624" s="14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spans="1:17" ht="19.55" customHeight="1" x14ac:dyDescent="0.25">
      <c r="A625" s="7"/>
      <c r="B625" s="7"/>
      <c r="C625" s="14"/>
      <c r="D625" s="14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spans="1:17" ht="19.55" customHeight="1" x14ac:dyDescent="0.25">
      <c r="A626" s="7"/>
      <c r="B626" s="7"/>
      <c r="C626" s="14"/>
      <c r="D626" s="14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spans="1:17" ht="19.55" customHeight="1" x14ac:dyDescent="0.25">
      <c r="A627" s="7"/>
      <c r="B627" s="7"/>
      <c r="C627" s="14"/>
      <c r="D627" s="14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spans="1:17" ht="19.55" customHeight="1" x14ac:dyDescent="0.25">
      <c r="A628" s="7"/>
      <c r="B628" s="7"/>
      <c r="C628" s="14"/>
      <c r="D628" s="14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spans="1:17" ht="19.55" customHeight="1" x14ac:dyDescent="0.25">
      <c r="A629" s="7"/>
      <c r="B629" s="7"/>
      <c r="C629" s="14"/>
      <c r="D629" s="14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spans="1:17" ht="19.55" customHeight="1" x14ac:dyDescent="0.25">
      <c r="A630" s="7"/>
      <c r="B630" s="7"/>
      <c r="C630" s="14"/>
      <c r="D630" s="14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spans="1:17" ht="19.55" customHeight="1" x14ac:dyDescent="0.25">
      <c r="A631" s="7"/>
      <c r="B631" s="7"/>
      <c r="C631" s="14"/>
      <c r="D631" s="14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spans="1:17" ht="19.55" customHeight="1" x14ac:dyDescent="0.25">
      <c r="A632" s="7"/>
      <c r="B632" s="7"/>
      <c r="C632" s="14"/>
      <c r="D632" s="14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spans="1:17" ht="19.55" customHeight="1" x14ac:dyDescent="0.25">
      <c r="A633" s="7"/>
      <c r="B633" s="7"/>
      <c r="C633" s="14"/>
      <c r="D633" s="14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spans="1:17" ht="19.55" customHeight="1" x14ac:dyDescent="0.25">
      <c r="A634" s="7"/>
      <c r="B634" s="7"/>
      <c r="C634" s="14"/>
      <c r="D634" s="14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spans="1:17" ht="19.55" customHeight="1" x14ac:dyDescent="0.25">
      <c r="A635" s="7"/>
      <c r="B635" s="7"/>
      <c r="C635" s="14"/>
      <c r="D635" s="14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spans="1:17" ht="19.55" customHeight="1" x14ac:dyDescent="0.25">
      <c r="A636" s="7"/>
      <c r="B636" s="7"/>
      <c r="C636" s="14"/>
      <c r="D636" s="14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spans="1:17" ht="19.55" customHeight="1" x14ac:dyDescent="0.25">
      <c r="A637" s="7"/>
      <c r="B637" s="7"/>
      <c r="C637" s="14"/>
      <c r="D637" s="14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spans="1:17" ht="19.55" customHeight="1" x14ac:dyDescent="0.25">
      <c r="A638" s="7"/>
      <c r="B638" s="7"/>
      <c r="C638" s="14"/>
      <c r="D638" s="14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spans="1:17" ht="19.55" customHeight="1" x14ac:dyDescent="0.25">
      <c r="A639" s="7"/>
      <c r="B639" s="7"/>
      <c r="C639" s="14"/>
      <c r="D639" s="14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spans="1:17" ht="19.55" customHeight="1" x14ac:dyDescent="0.25">
      <c r="A640" s="7"/>
      <c r="B640" s="7"/>
      <c r="C640" s="14"/>
      <c r="D640" s="14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spans="1:17" ht="19.55" customHeight="1" x14ac:dyDescent="0.25">
      <c r="A641" s="7"/>
      <c r="B641" s="7"/>
      <c r="C641" s="14"/>
      <c r="D641" s="14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spans="1:17" ht="19.55" customHeight="1" x14ac:dyDescent="0.25">
      <c r="A642" s="7"/>
      <c r="B642" s="7"/>
      <c r="C642" s="14"/>
      <c r="D642" s="14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spans="1:17" ht="19.55" customHeight="1" x14ac:dyDescent="0.25">
      <c r="A643" s="7"/>
      <c r="B643" s="7"/>
      <c r="C643" s="14"/>
      <c r="D643" s="14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spans="1:17" ht="19.55" customHeight="1" x14ac:dyDescent="0.25">
      <c r="A644" s="7"/>
      <c r="B644" s="7"/>
      <c r="C644" s="14"/>
      <c r="D644" s="14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spans="1:17" ht="19.55" customHeight="1" x14ac:dyDescent="0.25">
      <c r="A645" s="7"/>
      <c r="B645" s="7"/>
      <c r="C645" s="14"/>
      <c r="D645" s="14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spans="1:17" ht="19.55" customHeight="1" x14ac:dyDescent="0.25">
      <c r="A646" s="7"/>
      <c r="B646" s="7"/>
      <c r="C646" s="14"/>
      <c r="D646" s="14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spans="1:17" ht="19.55" customHeight="1" x14ac:dyDescent="0.25">
      <c r="A647" s="7"/>
      <c r="B647" s="7"/>
      <c r="C647" s="14"/>
      <c r="D647" s="14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spans="1:17" ht="19.55" customHeight="1" x14ac:dyDescent="0.25">
      <c r="A648" s="7"/>
      <c r="B648" s="7"/>
      <c r="C648" s="14"/>
      <c r="D648" s="14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spans="1:17" ht="19.55" customHeight="1" x14ac:dyDescent="0.25">
      <c r="A649" s="7"/>
      <c r="B649" s="7"/>
      <c r="C649" s="14"/>
      <c r="D649" s="14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spans="1:17" ht="19.55" customHeight="1" x14ac:dyDescent="0.25">
      <c r="A650" s="7"/>
      <c r="B650" s="7"/>
      <c r="C650" s="14"/>
      <c r="D650" s="14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spans="1:17" ht="19.55" customHeight="1" x14ac:dyDescent="0.25">
      <c r="A651" s="7"/>
      <c r="B651" s="7"/>
      <c r="C651" s="14"/>
      <c r="D651" s="14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spans="1:17" ht="19.55" customHeight="1" x14ac:dyDescent="0.25">
      <c r="A652" s="7"/>
      <c r="B652" s="7"/>
      <c r="C652" s="14"/>
      <c r="D652" s="14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spans="1:17" ht="19.55" customHeight="1" x14ac:dyDescent="0.25">
      <c r="A653" s="7"/>
      <c r="B653" s="7"/>
      <c r="C653" s="14"/>
      <c r="D653" s="14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spans="1:17" ht="19.55" customHeight="1" x14ac:dyDescent="0.25">
      <c r="A654" s="7"/>
      <c r="B654" s="7"/>
      <c r="C654" s="14"/>
      <c r="D654" s="14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spans="1:17" ht="19.55" customHeight="1" x14ac:dyDescent="0.25">
      <c r="A655" s="7"/>
      <c r="B655" s="7"/>
      <c r="C655" s="14"/>
      <c r="D655" s="14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spans="1:17" ht="19.55" customHeight="1" x14ac:dyDescent="0.25">
      <c r="A656" s="7"/>
      <c r="B656" s="7"/>
      <c r="C656" s="14"/>
      <c r="D656" s="14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spans="1:17" ht="19.55" customHeight="1" x14ac:dyDescent="0.25">
      <c r="A657" s="7"/>
      <c r="B657" s="7"/>
      <c r="C657" s="14"/>
      <c r="D657" s="14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spans="1:17" ht="19.55" customHeight="1" x14ac:dyDescent="0.25">
      <c r="A658" s="7"/>
      <c r="B658" s="7"/>
      <c r="C658" s="14"/>
      <c r="D658" s="14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spans="1:17" ht="19.55" customHeight="1" x14ac:dyDescent="0.25">
      <c r="A659" s="7"/>
      <c r="B659" s="7"/>
      <c r="C659" s="14"/>
      <c r="D659" s="14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spans="1:17" ht="19.55" customHeight="1" x14ac:dyDescent="0.25">
      <c r="A660" s="7"/>
      <c r="B660" s="7"/>
      <c r="C660" s="14"/>
      <c r="D660" s="14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spans="1:17" ht="19.55" customHeight="1" x14ac:dyDescent="0.25">
      <c r="A661" s="7"/>
      <c r="B661" s="7"/>
      <c r="C661" s="14"/>
      <c r="D661" s="14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spans="1:17" ht="19.55" customHeight="1" x14ac:dyDescent="0.25">
      <c r="A662" s="7"/>
      <c r="B662" s="7"/>
      <c r="C662" s="14"/>
      <c r="D662" s="14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spans="1:17" ht="19.55" customHeight="1" x14ac:dyDescent="0.25">
      <c r="A663" s="7"/>
      <c r="B663" s="7"/>
      <c r="C663" s="14"/>
      <c r="D663" s="14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spans="1:17" ht="19.55" customHeight="1" x14ac:dyDescent="0.25">
      <c r="A664" s="7"/>
      <c r="B664" s="7"/>
      <c r="C664" s="14"/>
      <c r="D664" s="14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spans="1:17" ht="19.55" customHeight="1" x14ac:dyDescent="0.25">
      <c r="A665" s="7"/>
      <c r="B665" s="7"/>
      <c r="C665" s="14"/>
      <c r="D665" s="14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spans="1:17" ht="19.55" customHeight="1" x14ac:dyDescent="0.25">
      <c r="A666" s="7"/>
      <c r="B666" s="7"/>
      <c r="C666" s="14"/>
      <c r="D666" s="14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spans="1:17" ht="19.55" customHeight="1" x14ac:dyDescent="0.25">
      <c r="A667" s="7"/>
      <c r="B667" s="7"/>
      <c r="C667" s="14"/>
      <c r="D667" s="14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spans="1:17" ht="19.55" customHeight="1" x14ac:dyDescent="0.25">
      <c r="A668" s="7"/>
      <c r="B668" s="7"/>
      <c r="C668" s="14"/>
      <c r="D668" s="14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spans="1:17" ht="19.55" customHeight="1" x14ac:dyDescent="0.25">
      <c r="A669" s="7"/>
      <c r="B669" s="7"/>
      <c r="C669" s="14"/>
      <c r="D669" s="14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spans="1:17" ht="19.55" customHeight="1" x14ac:dyDescent="0.25">
      <c r="A670" s="7"/>
      <c r="B670" s="7"/>
      <c r="C670" s="14"/>
      <c r="D670" s="14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spans="1:17" ht="19.55" customHeight="1" x14ac:dyDescent="0.25">
      <c r="A671" s="7"/>
      <c r="B671" s="7"/>
      <c r="C671" s="14"/>
      <c r="D671" s="14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spans="1:17" ht="19.55" customHeight="1" x14ac:dyDescent="0.25">
      <c r="A672" s="7"/>
      <c r="B672" s="7"/>
      <c r="C672" s="14"/>
      <c r="D672" s="14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spans="1:17" ht="19.55" customHeight="1" x14ac:dyDescent="0.25">
      <c r="A673" s="7"/>
      <c r="B673" s="7"/>
      <c r="C673" s="14"/>
      <c r="D673" s="14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spans="1:17" ht="19.55" customHeight="1" x14ac:dyDescent="0.25">
      <c r="A674" s="7"/>
      <c r="B674" s="7"/>
      <c r="C674" s="14"/>
      <c r="D674" s="14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spans="1:17" ht="19.55" customHeight="1" x14ac:dyDescent="0.25">
      <c r="A675" s="7"/>
      <c r="B675" s="7"/>
      <c r="C675" s="14"/>
      <c r="D675" s="14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spans="1:17" ht="19.55" customHeight="1" x14ac:dyDescent="0.25">
      <c r="A676" s="7"/>
      <c r="B676" s="7"/>
      <c r="C676" s="14"/>
      <c r="D676" s="14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spans="1:17" ht="19.55" customHeight="1" x14ac:dyDescent="0.25">
      <c r="A677" s="7"/>
      <c r="B677" s="7"/>
      <c r="C677" s="14"/>
      <c r="D677" s="14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spans="1:17" ht="19.55" customHeight="1" x14ac:dyDescent="0.25">
      <c r="A678" s="7"/>
      <c r="B678" s="7"/>
      <c r="C678" s="14"/>
      <c r="D678" s="14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spans="1:17" ht="19.55" customHeight="1" x14ac:dyDescent="0.25">
      <c r="A679" s="7"/>
      <c r="B679" s="7"/>
      <c r="C679" s="14"/>
      <c r="D679" s="14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spans="1:17" ht="19.55" customHeight="1" x14ac:dyDescent="0.25">
      <c r="A680" s="7"/>
      <c r="B680" s="7"/>
      <c r="C680" s="14"/>
      <c r="D680" s="14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spans="1:17" ht="19.55" customHeight="1" x14ac:dyDescent="0.25">
      <c r="A681" s="7"/>
      <c r="B681" s="7"/>
      <c r="C681" s="14"/>
      <c r="D681" s="14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spans="1:17" ht="19.55" customHeight="1" x14ac:dyDescent="0.25">
      <c r="A682" s="7"/>
      <c r="B682" s="7"/>
      <c r="C682" s="14"/>
      <c r="D682" s="14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spans="1:17" ht="19.55" customHeight="1" x14ac:dyDescent="0.25">
      <c r="A683" s="7"/>
      <c r="B683" s="7"/>
      <c r="C683" s="14"/>
      <c r="D683" s="14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spans="1:17" ht="19.55" customHeight="1" x14ac:dyDescent="0.25">
      <c r="A684" s="7"/>
      <c r="B684" s="7"/>
      <c r="C684" s="14"/>
      <c r="D684" s="14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spans="1:17" ht="19.55" customHeight="1" x14ac:dyDescent="0.25">
      <c r="A685" s="7"/>
      <c r="B685" s="7"/>
      <c r="C685" s="14"/>
      <c r="D685" s="14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spans="1:17" ht="19.55" customHeight="1" x14ac:dyDescent="0.25">
      <c r="A686" s="7"/>
      <c r="B686" s="7"/>
      <c r="C686" s="14"/>
      <c r="D686" s="14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spans="1:17" ht="19.55" customHeight="1" x14ac:dyDescent="0.25">
      <c r="A687" s="7"/>
      <c r="B687" s="7"/>
      <c r="C687" s="14"/>
      <c r="D687" s="14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spans="1:17" ht="19.55" customHeight="1" x14ac:dyDescent="0.25">
      <c r="A688" s="7"/>
      <c r="B688" s="7"/>
      <c r="C688" s="14"/>
      <c r="D688" s="14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spans="1:17" ht="19.55" customHeight="1" x14ac:dyDescent="0.25">
      <c r="A689" s="7"/>
      <c r="B689" s="7"/>
      <c r="C689" s="14"/>
      <c r="D689" s="14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spans="1:17" ht="19.55" customHeight="1" x14ac:dyDescent="0.25">
      <c r="A690" s="7"/>
      <c r="B690" s="7"/>
      <c r="C690" s="14"/>
      <c r="D690" s="14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spans="1:17" ht="19.55" customHeight="1" x14ac:dyDescent="0.25">
      <c r="A691" s="7"/>
      <c r="B691" s="7"/>
      <c r="C691" s="14"/>
      <c r="D691" s="14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spans="1:17" ht="19.55" customHeight="1" x14ac:dyDescent="0.25">
      <c r="A692" s="7"/>
      <c r="B692" s="7"/>
      <c r="C692" s="14"/>
      <c r="D692" s="14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spans="1:17" ht="19.55" customHeight="1" x14ac:dyDescent="0.25">
      <c r="A693" s="7"/>
      <c r="B693" s="7"/>
      <c r="C693" s="14"/>
      <c r="D693" s="14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spans="1:17" ht="19.55" customHeight="1" x14ac:dyDescent="0.25">
      <c r="A694" s="7"/>
      <c r="B694" s="7"/>
      <c r="C694" s="14"/>
      <c r="D694" s="14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spans="1:17" ht="19.55" customHeight="1" x14ac:dyDescent="0.25">
      <c r="A695" s="7"/>
      <c r="B695" s="7"/>
      <c r="C695" s="14"/>
      <c r="D695" s="14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spans="1:17" ht="19.55" customHeight="1" x14ac:dyDescent="0.25">
      <c r="A696" s="7"/>
      <c r="B696" s="7"/>
      <c r="C696" s="14"/>
      <c r="D696" s="14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spans="1:17" ht="19.55" customHeight="1" x14ac:dyDescent="0.25">
      <c r="A697" s="7"/>
      <c r="B697" s="7"/>
      <c r="C697" s="14"/>
      <c r="D697" s="14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spans="1:17" ht="19.55" customHeight="1" x14ac:dyDescent="0.25">
      <c r="A698" s="7"/>
      <c r="B698" s="7"/>
      <c r="C698" s="14"/>
      <c r="D698" s="14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spans="1:17" ht="19.55" customHeight="1" x14ac:dyDescent="0.25">
      <c r="A699" s="7"/>
      <c r="B699" s="7"/>
      <c r="C699" s="14"/>
      <c r="D699" s="14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spans="1:17" ht="19.55" customHeight="1" x14ac:dyDescent="0.25">
      <c r="A700" s="7"/>
      <c r="B700" s="7"/>
      <c r="C700" s="14"/>
      <c r="D700" s="14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spans="1:17" ht="19.55" customHeight="1" x14ac:dyDescent="0.25">
      <c r="A701" s="7"/>
      <c r="B701" s="7"/>
      <c r="C701" s="14"/>
      <c r="D701" s="14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spans="1:17" ht="19.55" customHeight="1" x14ac:dyDescent="0.25">
      <c r="A702" s="7"/>
      <c r="B702" s="7"/>
      <c r="C702" s="14"/>
      <c r="D702" s="14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spans="1:17" ht="19.55" customHeight="1" x14ac:dyDescent="0.25">
      <c r="A703" s="7"/>
      <c r="B703" s="7"/>
      <c r="C703" s="14"/>
      <c r="D703" s="14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spans="1:17" ht="19.55" customHeight="1" x14ac:dyDescent="0.25">
      <c r="A704" s="7"/>
      <c r="B704" s="7"/>
      <c r="C704" s="14"/>
      <c r="D704" s="14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spans="1:17" ht="19.55" customHeight="1" x14ac:dyDescent="0.25">
      <c r="A705" s="7"/>
      <c r="B705" s="7"/>
      <c r="C705" s="14"/>
      <c r="D705" s="14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spans="1:17" ht="19.55" customHeight="1" x14ac:dyDescent="0.25">
      <c r="A706" s="7"/>
      <c r="B706" s="7"/>
      <c r="C706" s="14"/>
      <c r="D706" s="14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spans="1:17" ht="19.55" customHeight="1" x14ac:dyDescent="0.25">
      <c r="A707" s="7"/>
      <c r="B707" s="7"/>
      <c r="C707" s="14"/>
      <c r="D707" s="14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spans="1:17" ht="19.55" customHeight="1" x14ac:dyDescent="0.25">
      <c r="A708" s="7"/>
      <c r="B708" s="7"/>
      <c r="C708" s="14"/>
      <c r="D708" s="14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spans="1:17" ht="19.55" customHeight="1" x14ac:dyDescent="0.25">
      <c r="A709" s="7"/>
      <c r="B709" s="7"/>
      <c r="C709" s="14"/>
      <c r="D709" s="14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spans="1:17" ht="19.55" customHeight="1" x14ac:dyDescent="0.25">
      <c r="A710" s="7"/>
      <c r="B710" s="7"/>
      <c r="C710" s="14"/>
      <c r="D710" s="14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spans="1:17" ht="19.55" customHeight="1" x14ac:dyDescent="0.25">
      <c r="A711" s="7"/>
      <c r="B711" s="7"/>
      <c r="C711" s="14"/>
      <c r="D711" s="14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spans="1:17" ht="19.55" customHeight="1" x14ac:dyDescent="0.25">
      <c r="A712" s="7"/>
      <c r="B712" s="7"/>
      <c r="C712" s="14"/>
      <c r="D712" s="14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spans="1:17" ht="19.55" customHeight="1" x14ac:dyDescent="0.25">
      <c r="A713" s="7"/>
      <c r="B713" s="7"/>
      <c r="C713" s="14"/>
      <c r="D713" s="14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spans="1:17" ht="19.55" customHeight="1" x14ac:dyDescent="0.25">
      <c r="A714" s="7"/>
      <c r="B714" s="7"/>
      <c r="C714" s="14"/>
      <c r="D714" s="14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spans="1:17" ht="19.55" customHeight="1" x14ac:dyDescent="0.25">
      <c r="A715" s="7"/>
      <c r="B715" s="7"/>
      <c r="C715" s="14"/>
      <c r="D715" s="14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spans="1:17" ht="19.55" customHeight="1" x14ac:dyDescent="0.25">
      <c r="A716" s="7"/>
      <c r="B716" s="7"/>
      <c r="C716" s="14"/>
      <c r="D716" s="14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spans="1:17" ht="19.55" customHeight="1" x14ac:dyDescent="0.25">
      <c r="A717" s="7"/>
      <c r="B717" s="7"/>
      <c r="C717" s="14"/>
      <c r="D717" s="14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spans="1:17" ht="19.55" customHeight="1" x14ac:dyDescent="0.25">
      <c r="A718" s="7"/>
      <c r="B718" s="7"/>
      <c r="C718" s="14"/>
      <c r="D718" s="14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spans="1:17" ht="19.55" customHeight="1" x14ac:dyDescent="0.25">
      <c r="A719" s="7"/>
      <c r="B719" s="7"/>
      <c r="C719" s="14"/>
      <c r="D719" s="14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spans="1:17" ht="19.55" customHeight="1" x14ac:dyDescent="0.25">
      <c r="A720" s="7"/>
      <c r="B720" s="7"/>
      <c r="C720" s="14"/>
      <c r="D720" s="14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spans="1:17" ht="19.55" customHeight="1" x14ac:dyDescent="0.25">
      <c r="A721" s="7"/>
      <c r="B721" s="7"/>
      <c r="C721" s="14"/>
      <c r="D721" s="14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spans="1:17" ht="19.55" customHeight="1" x14ac:dyDescent="0.25">
      <c r="A722" s="7"/>
      <c r="B722" s="7"/>
      <c r="C722" s="14"/>
      <c r="D722" s="14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spans="1:17" ht="19.55" customHeight="1" x14ac:dyDescent="0.25">
      <c r="A723" s="7"/>
      <c r="B723" s="7"/>
      <c r="C723" s="14"/>
      <c r="D723" s="14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spans="1:17" ht="19.55" customHeight="1" x14ac:dyDescent="0.25">
      <c r="A724" s="7"/>
      <c r="B724" s="7"/>
      <c r="C724" s="14"/>
      <c r="D724" s="14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spans="1:17" ht="19.55" customHeight="1" x14ac:dyDescent="0.25">
      <c r="A725" s="7"/>
      <c r="B725" s="7"/>
      <c r="C725" s="14"/>
      <c r="D725" s="14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spans="1:17" ht="19.55" customHeight="1" x14ac:dyDescent="0.25">
      <c r="A726" s="7"/>
      <c r="B726" s="7"/>
      <c r="C726" s="14"/>
      <c r="D726" s="14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spans="1:17" ht="19.55" customHeight="1" x14ac:dyDescent="0.25">
      <c r="A727" s="7"/>
      <c r="B727" s="7"/>
      <c r="C727" s="14"/>
      <c r="D727" s="14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spans="1:17" ht="19.55" customHeight="1" x14ac:dyDescent="0.25">
      <c r="A728" s="7"/>
      <c r="B728" s="7"/>
      <c r="C728" s="14"/>
      <c r="D728" s="14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spans="1:17" ht="19.55" customHeight="1" x14ac:dyDescent="0.25">
      <c r="A729" s="7"/>
      <c r="B729" s="7"/>
      <c r="C729" s="14"/>
      <c r="D729" s="14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spans="1:17" ht="19.55" customHeight="1" x14ac:dyDescent="0.25">
      <c r="A730" s="7"/>
      <c r="B730" s="7"/>
      <c r="C730" s="14"/>
      <c r="D730" s="14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spans="1:17" ht="19.55" customHeight="1" x14ac:dyDescent="0.25">
      <c r="A731" s="7"/>
      <c r="B731" s="7"/>
      <c r="C731" s="14"/>
      <c r="D731" s="14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spans="1:17" ht="19.55" customHeight="1" x14ac:dyDescent="0.25">
      <c r="A732" s="7"/>
      <c r="B732" s="7"/>
      <c r="C732" s="14"/>
      <c r="D732" s="14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 spans="1:17" ht="19.55" customHeight="1" x14ac:dyDescent="0.25">
      <c r="A733" s="7"/>
      <c r="B733" s="7"/>
      <c r="C733" s="14"/>
      <c r="D733" s="14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 spans="1:17" ht="19.55" customHeight="1" x14ac:dyDescent="0.25">
      <c r="A734" s="7"/>
      <c r="B734" s="7"/>
      <c r="C734" s="14"/>
      <c r="D734" s="14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 spans="1:17" ht="19.55" customHeight="1" x14ac:dyDescent="0.25">
      <c r="A735" s="7"/>
      <c r="B735" s="7"/>
      <c r="C735" s="14"/>
      <c r="D735" s="14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 spans="1:17" ht="19.55" customHeight="1" x14ac:dyDescent="0.25">
      <c r="A736" s="7"/>
      <c r="B736" s="7"/>
      <c r="C736" s="14"/>
      <c r="D736" s="14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 spans="1:17" ht="19.55" customHeight="1" x14ac:dyDescent="0.25">
      <c r="A737" s="7"/>
      <c r="B737" s="7"/>
      <c r="C737" s="14"/>
      <c r="D737" s="14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 spans="1:17" ht="19.55" customHeight="1" x14ac:dyDescent="0.25">
      <c r="A738" s="7"/>
      <c r="B738" s="7"/>
      <c r="C738" s="14"/>
      <c r="D738" s="14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 spans="1:17" ht="19.55" customHeight="1" x14ac:dyDescent="0.25">
      <c r="A739" s="7"/>
      <c r="B739" s="7"/>
      <c r="C739" s="14"/>
      <c r="D739" s="14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 spans="1:17" ht="19.55" customHeight="1" x14ac:dyDescent="0.25">
      <c r="A740" s="7"/>
      <c r="B740" s="7"/>
      <c r="C740" s="14"/>
      <c r="D740" s="14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 spans="1:17" ht="19.55" customHeight="1" x14ac:dyDescent="0.25">
      <c r="A741" s="7"/>
      <c r="B741" s="7"/>
      <c r="C741" s="14"/>
      <c r="D741" s="14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 spans="1:17" ht="19.55" customHeight="1" x14ac:dyDescent="0.25">
      <c r="A742" s="7"/>
      <c r="B742" s="7"/>
      <c r="C742" s="14"/>
      <c r="D742" s="14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 spans="1:17" ht="19.55" customHeight="1" x14ac:dyDescent="0.25">
      <c r="A743" s="7"/>
      <c r="B743" s="7"/>
      <c r="C743" s="14"/>
      <c r="D743" s="14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 spans="1:17" ht="19.55" customHeight="1" x14ac:dyDescent="0.25">
      <c r="A744" s="7"/>
      <c r="B744" s="7"/>
      <c r="C744" s="14"/>
      <c r="D744" s="14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spans="1:17" ht="19.55" customHeight="1" x14ac:dyDescent="0.25">
      <c r="A745" s="7"/>
      <c r="B745" s="7"/>
      <c r="C745" s="14"/>
      <c r="D745" s="14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 spans="1:17" ht="19.55" customHeight="1" x14ac:dyDescent="0.25">
      <c r="A746" s="7"/>
      <c r="B746" s="7"/>
      <c r="C746" s="14"/>
      <c r="D746" s="14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 spans="1:17" ht="19.55" customHeight="1" x14ac:dyDescent="0.25">
      <c r="A747" s="7"/>
      <c r="B747" s="7"/>
      <c r="C747" s="14"/>
      <c r="D747" s="14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 spans="1:17" ht="19.55" customHeight="1" x14ac:dyDescent="0.25">
      <c r="A748" s="7"/>
      <c r="B748" s="7"/>
      <c r="C748" s="14"/>
      <c r="D748" s="14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 spans="1:17" ht="19.55" customHeight="1" x14ac:dyDescent="0.25">
      <c r="A749" s="7"/>
      <c r="B749" s="7"/>
      <c r="C749" s="14"/>
      <c r="D749" s="14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 spans="1:17" ht="19.55" customHeight="1" x14ac:dyDescent="0.25">
      <c r="A750" s="7"/>
      <c r="B750" s="7"/>
      <c r="C750" s="14"/>
      <c r="D750" s="14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 spans="1:17" ht="19.55" customHeight="1" x14ac:dyDescent="0.25">
      <c r="A751" s="7"/>
      <c r="B751" s="7"/>
      <c r="C751" s="14"/>
      <c r="D751" s="14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 spans="1:17" ht="19.55" customHeight="1" x14ac:dyDescent="0.25">
      <c r="A752" s="7"/>
      <c r="B752" s="7"/>
      <c r="C752" s="14"/>
      <c r="D752" s="14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 spans="1:17" ht="19.55" customHeight="1" x14ac:dyDescent="0.25">
      <c r="A753" s="7"/>
      <c r="B753" s="7"/>
      <c r="C753" s="14"/>
      <c r="D753" s="14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 spans="1:17" ht="19.55" customHeight="1" x14ac:dyDescent="0.25">
      <c r="A754" s="7"/>
      <c r="B754" s="7"/>
      <c r="C754" s="14"/>
      <c r="D754" s="14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 spans="1:17" ht="19.55" customHeight="1" x14ac:dyDescent="0.25">
      <c r="A755" s="7"/>
      <c r="B755" s="7"/>
      <c r="C755" s="14"/>
      <c r="D755" s="14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 spans="1:17" ht="19.55" customHeight="1" x14ac:dyDescent="0.25">
      <c r="A756" s="7"/>
      <c r="B756" s="7"/>
      <c r="C756" s="14"/>
      <c r="D756" s="14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 spans="1:17" ht="19.55" customHeight="1" x14ac:dyDescent="0.25">
      <c r="A757" s="7"/>
      <c r="B757" s="7"/>
      <c r="C757" s="14"/>
      <c r="D757" s="14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 spans="1:17" ht="19.55" customHeight="1" x14ac:dyDescent="0.25">
      <c r="A758" s="7"/>
      <c r="B758" s="7"/>
      <c r="C758" s="14"/>
      <c r="D758" s="14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 spans="1:17" ht="19.55" customHeight="1" x14ac:dyDescent="0.25">
      <c r="A759" s="7"/>
      <c r="B759" s="7"/>
      <c r="C759" s="14"/>
      <c r="D759" s="14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 spans="1:17" ht="19.55" customHeight="1" x14ac:dyDescent="0.25">
      <c r="A760" s="7"/>
      <c r="B760" s="7"/>
      <c r="C760" s="14"/>
      <c r="D760" s="14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 spans="1:17" ht="19.55" customHeight="1" x14ac:dyDescent="0.25">
      <c r="A761" s="7"/>
      <c r="B761" s="7"/>
      <c r="C761" s="14"/>
      <c r="D761" s="14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 spans="1:17" ht="19.55" customHeight="1" x14ac:dyDescent="0.25">
      <c r="A762" s="7"/>
      <c r="B762" s="7"/>
      <c r="C762" s="14"/>
      <c r="D762" s="14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 spans="1:17" ht="19.55" customHeight="1" x14ac:dyDescent="0.25">
      <c r="A763" s="7"/>
      <c r="B763" s="7"/>
      <c r="C763" s="14"/>
      <c r="D763" s="14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 spans="1:17" ht="19.55" customHeight="1" x14ac:dyDescent="0.25">
      <c r="A764" s="7"/>
      <c r="B764" s="7"/>
      <c r="C764" s="14"/>
      <c r="D764" s="14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spans="1:17" ht="19.55" customHeight="1" x14ac:dyDescent="0.25">
      <c r="A765" s="7"/>
      <c r="B765" s="7"/>
      <c r="C765" s="14"/>
      <c r="D765" s="14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spans="1:17" ht="19.55" customHeight="1" x14ac:dyDescent="0.25">
      <c r="A766" s="7"/>
      <c r="B766" s="7"/>
      <c r="C766" s="14"/>
      <c r="D766" s="14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spans="1:17" ht="19.55" customHeight="1" x14ac:dyDescent="0.25">
      <c r="A767" s="7"/>
      <c r="B767" s="7"/>
      <c r="C767" s="14"/>
      <c r="D767" s="14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spans="1:17" ht="19.55" customHeight="1" x14ac:dyDescent="0.25">
      <c r="A768" s="7"/>
      <c r="B768" s="7"/>
      <c r="C768" s="14"/>
      <c r="D768" s="14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spans="1:17" ht="19.55" customHeight="1" x14ac:dyDescent="0.25">
      <c r="A769" s="7"/>
      <c r="B769" s="7"/>
      <c r="C769" s="14"/>
      <c r="D769" s="14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 spans="1:17" ht="19.55" customHeight="1" x14ac:dyDescent="0.25">
      <c r="A770" s="7"/>
      <c r="B770" s="7"/>
      <c r="C770" s="14"/>
      <c r="D770" s="14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 spans="1:17" ht="19.55" customHeight="1" x14ac:dyDescent="0.25">
      <c r="A771" s="7"/>
      <c r="B771" s="7"/>
      <c r="C771" s="14"/>
      <c r="D771" s="14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 spans="1:17" ht="19.55" customHeight="1" x14ac:dyDescent="0.25">
      <c r="A772" s="7"/>
      <c r="B772" s="7"/>
      <c r="C772" s="14"/>
      <c r="D772" s="14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 spans="1:17" ht="19.55" customHeight="1" x14ac:dyDescent="0.25">
      <c r="A773" s="7"/>
      <c r="B773" s="7"/>
      <c r="C773" s="14"/>
      <c r="D773" s="14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 spans="1:17" ht="19.55" customHeight="1" x14ac:dyDescent="0.25">
      <c r="A774" s="7"/>
      <c r="B774" s="7"/>
      <c r="C774" s="14"/>
      <c r="D774" s="14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 spans="1:17" ht="19.55" customHeight="1" x14ac:dyDescent="0.25">
      <c r="A775" s="7"/>
      <c r="B775" s="7"/>
      <c r="C775" s="14"/>
      <c r="D775" s="14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 spans="1:17" ht="19.55" customHeight="1" x14ac:dyDescent="0.25">
      <c r="A776" s="7"/>
      <c r="B776" s="7"/>
      <c r="C776" s="14"/>
      <c r="D776" s="14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 spans="1:17" ht="19.55" customHeight="1" x14ac:dyDescent="0.25">
      <c r="A777" s="7"/>
      <c r="B777" s="7"/>
      <c r="C777" s="14"/>
      <c r="D777" s="14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 spans="1:17" ht="19.55" customHeight="1" x14ac:dyDescent="0.25">
      <c r="A778" s="7"/>
      <c r="B778" s="7"/>
      <c r="C778" s="14"/>
      <c r="D778" s="14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 spans="1:17" ht="19.55" customHeight="1" x14ac:dyDescent="0.25">
      <c r="A779" s="7"/>
      <c r="B779" s="7"/>
      <c r="C779" s="14"/>
      <c r="D779" s="14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 spans="1:17" ht="19.55" customHeight="1" x14ac:dyDescent="0.25">
      <c r="A780" s="7"/>
      <c r="B780" s="7"/>
      <c r="C780" s="14"/>
      <c r="D780" s="14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 spans="1:17" ht="19.55" customHeight="1" x14ac:dyDescent="0.25">
      <c r="A781" s="7"/>
      <c r="B781" s="7"/>
      <c r="C781" s="14"/>
      <c r="D781" s="14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 spans="1:17" ht="19.55" customHeight="1" x14ac:dyDescent="0.25">
      <c r="A782" s="7"/>
      <c r="B782" s="7"/>
      <c r="C782" s="14"/>
      <c r="D782" s="14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 spans="1:17" ht="19.55" customHeight="1" x14ac:dyDescent="0.25">
      <c r="A783" s="7"/>
      <c r="B783" s="7"/>
      <c r="C783" s="14"/>
      <c r="D783" s="14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 spans="1:17" ht="19.55" customHeight="1" x14ac:dyDescent="0.25">
      <c r="A784" s="7"/>
      <c r="B784" s="7"/>
      <c r="C784" s="14"/>
      <c r="D784" s="14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 spans="1:17" ht="19.55" customHeight="1" x14ac:dyDescent="0.25">
      <c r="A785" s="7"/>
      <c r="B785" s="7"/>
      <c r="C785" s="14"/>
      <c r="D785" s="14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 spans="1:17" ht="19.55" customHeight="1" x14ac:dyDescent="0.25">
      <c r="A786" s="7"/>
      <c r="B786" s="7"/>
      <c r="C786" s="14"/>
      <c r="D786" s="14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 spans="1:17" ht="19.55" customHeight="1" x14ac:dyDescent="0.25">
      <c r="A787" s="7"/>
      <c r="B787" s="7"/>
      <c r="C787" s="14"/>
      <c r="D787" s="14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 spans="1:17" ht="19.55" customHeight="1" x14ac:dyDescent="0.25">
      <c r="A788" s="7"/>
      <c r="B788" s="7"/>
      <c r="C788" s="14"/>
      <c r="D788" s="14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 spans="1:17" ht="19.55" customHeight="1" x14ac:dyDescent="0.25">
      <c r="A789" s="7"/>
      <c r="B789" s="7"/>
      <c r="C789" s="14"/>
      <c r="D789" s="14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 spans="1:17" ht="19.55" customHeight="1" x14ac:dyDescent="0.25">
      <c r="A790" s="7"/>
      <c r="B790" s="7"/>
      <c r="C790" s="14"/>
      <c r="D790" s="14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 spans="1:17" ht="19.55" customHeight="1" x14ac:dyDescent="0.25">
      <c r="A791" s="7"/>
      <c r="B791" s="7"/>
      <c r="C791" s="14"/>
      <c r="D791" s="14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 spans="1:17" ht="19.55" customHeight="1" x14ac:dyDescent="0.25">
      <c r="A792" s="7"/>
      <c r="B792" s="7"/>
      <c r="C792" s="14"/>
      <c r="D792" s="14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 spans="1:17" ht="19.55" customHeight="1" x14ac:dyDescent="0.25">
      <c r="A793" s="7"/>
      <c r="B793" s="7"/>
      <c r="C793" s="14"/>
      <c r="D793" s="14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 spans="1:17" ht="19.55" customHeight="1" x14ac:dyDescent="0.25">
      <c r="A794" s="7"/>
      <c r="B794" s="7"/>
      <c r="C794" s="14"/>
      <c r="D794" s="14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 spans="1:17" ht="19.55" customHeight="1" x14ac:dyDescent="0.25">
      <c r="A795" s="7"/>
      <c r="B795" s="7"/>
      <c r="C795" s="14"/>
      <c r="D795" s="14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 spans="1:17" ht="19.55" customHeight="1" x14ac:dyDescent="0.25">
      <c r="A796" s="7"/>
      <c r="B796" s="7"/>
      <c r="C796" s="14"/>
      <c r="D796" s="14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 spans="1:17" ht="19.55" customHeight="1" x14ac:dyDescent="0.25">
      <c r="A797" s="7"/>
      <c r="B797" s="7"/>
      <c r="C797" s="14"/>
      <c r="D797" s="14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 spans="1:17" ht="19.55" customHeight="1" x14ac:dyDescent="0.25">
      <c r="A798" s="7"/>
      <c r="B798" s="7"/>
      <c r="C798" s="14"/>
      <c r="D798" s="14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 spans="1:17" ht="19.55" customHeight="1" x14ac:dyDescent="0.25">
      <c r="A799" s="7"/>
      <c r="B799" s="7"/>
      <c r="C799" s="14"/>
      <c r="D799" s="14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 spans="1:17" ht="19.55" customHeight="1" x14ac:dyDescent="0.25">
      <c r="A800" s="7"/>
      <c r="B800" s="7"/>
      <c r="C800" s="14"/>
      <c r="D800" s="14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 spans="1:17" ht="19.55" customHeight="1" x14ac:dyDescent="0.25">
      <c r="A801" s="7"/>
      <c r="B801" s="7"/>
      <c r="C801" s="14"/>
      <c r="D801" s="14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 spans="1:17" ht="19.55" customHeight="1" x14ac:dyDescent="0.25">
      <c r="A802" s="7"/>
      <c r="B802" s="7"/>
      <c r="C802" s="14"/>
      <c r="D802" s="14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 spans="1:17" ht="19.55" customHeight="1" x14ac:dyDescent="0.25">
      <c r="A803" s="7"/>
      <c r="B803" s="7"/>
      <c r="C803" s="14"/>
      <c r="D803" s="14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 spans="1:17" ht="19.55" customHeight="1" x14ac:dyDescent="0.25">
      <c r="A804" s="7"/>
      <c r="B804" s="7"/>
      <c r="C804" s="14"/>
      <c r="D804" s="14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spans="1:17" ht="19.55" customHeight="1" x14ac:dyDescent="0.25">
      <c r="A805" s="7"/>
      <c r="B805" s="7"/>
      <c r="C805" s="14"/>
      <c r="D805" s="14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spans="1:17" ht="19.55" customHeight="1" x14ac:dyDescent="0.25">
      <c r="A806" s="7"/>
      <c r="B806" s="7"/>
      <c r="C806" s="14"/>
      <c r="D806" s="14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spans="1:17" ht="19.55" customHeight="1" x14ac:dyDescent="0.25">
      <c r="A807" s="7"/>
      <c r="B807" s="7"/>
      <c r="C807" s="14"/>
      <c r="D807" s="14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spans="1:17" ht="19.55" customHeight="1" x14ac:dyDescent="0.25">
      <c r="A808" s="7"/>
      <c r="B808" s="7"/>
      <c r="C808" s="14"/>
      <c r="D808" s="14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spans="1:17" ht="19.55" customHeight="1" x14ac:dyDescent="0.25">
      <c r="A809" s="7"/>
      <c r="B809" s="7"/>
      <c r="C809" s="14"/>
      <c r="D809" s="14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 spans="1:17" ht="19.55" customHeight="1" x14ac:dyDescent="0.25">
      <c r="A810" s="7"/>
      <c r="B810" s="7"/>
      <c r="C810" s="14"/>
      <c r="D810" s="14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 spans="1:17" ht="19.55" customHeight="1" x14ac:dyDescent="0.25">
      <c r="A811" s="7"/>
      <c r="B811" s="7"/>
      <c r="C811" s="14"/>
      <c r="D811" s="14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 spans="1:17" ht="19.55" customHeight="1" x14ac:dyDescent="0.25">
      <c r="A812" s="7"/>
      <c r="B812" s="7"/>
      <c r="C812" s="14"/>
      <c r="D812" s="14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 spans="1:17" ht="19.55" customHeight="1" x14ac:dyDescent="0.25">
      <c r="A813" s="7"/>
      <c r="B813" s="7"/>
      <c r="C813" s="14"/>
      <c r="D813" s="14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 spans="1:17" ht="19.55" customHeight="1" x14ac:dyDescent="0.25">
      <c r="A814" s="7"/>
      <c r="B814" s="7"/>
      <c r="C814" s="14"/>
      <c r="D814" s="14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 spans="1:17" ht="19.55" customHeight="1" x14ac:dyDescent="0.25">
      <c r="A815" s="7"/>
      <c r="B815" s="7"/>
      <c r="C815" s="14"/>
      <c r="D815" s="14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 spans="1:17" ht="19.55" customHeight="1" x14ac:dyDescent="0.25">
      <c r="A816" s="7"/>
      <c r="B816" s="7"/>
      <c r="C816" s="14"/>
      <c r="D816" s="14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 spans="1:17" ht="19.55" customHeight="1" x14ac:dyDescent="0.25">
      <c r="A817" s="7"/>
      <c r="B817" s="7"/>
      <c r="C817" s="14"/>
      <c r="D817" s="14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 spans="1:17" ht="19.55" customHeight="1" x14ac:dyDescent="0.25">
      <c r="A818" s="7"/>
      <c r="B818" s="7"/>
      <c r="C818" s="14"/>
      <c r="D818" s="14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 spans="1:17" ht="19.55" customHeight="1" x14ac:dyDescent="0.25">
      <c r="A819" s="7"/>
      <c r="B819" s="7"/>
      <c r="C819" s="14"/>
      <c r="D819" s="14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 spans="1:17" ht="19.55" customHeight="1" x14ac:dyDescent="0.25">
      <c r="A820" s="7"/>
      <c r="B820" s="7"/>
      <c r="C820" s="14"/>
      <c r="D820" s="14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 spans="1:17" ht="19.55" customHeight="1" x14ac:dyDescent="0.25">
      <c r="A821" s="7"/>
      <c r="B821" s="7"/>
      <c r="C821" s="14"/>
      <c r="D821" s="14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 spans="1:17" ht="19.55" customHeight="1" x14ac:dyDescent="0.25">
      <c r="A822" s="7"/>
      <c r="B822" s="7"/>
      <c r="C822" s="14"/>
      <c r="D822" s="14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 spans="1:17" ht="19.55" customHeight="1" x14ac:dyDescent="0.25">
      <c r="A823" s="7"/>
      <c r="B823" s="7"/>
      <c r="C823" s="14"/>
      <c r="D823" s="14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 spans="1:17" ht="19.55" customHeight="1" x14ac:dyDescent="0.25">
      <c r="A824" s="7"/>
      <c r="B824" s="7"/>
      <c r="C824" s="14"/>
      <c r="D824" s="14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 spans="1:17" ht="19.55" customHeight="1" x14ac:dyDescent="0.25">
      <c r="A825" s="7"/>
      <c r="B825" s="7"/>
      <c r="C825" s="14"/>
      <c r="D825" s="14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 spans="1:17" ht="19.55" customHeight="1" x14ac:dyDescent="0.25">
      <c r="A826" s="7"/>
      <c r="B826" s="7"/>
      <c r="C826" s="14"/>
      <c r="D826" s="14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 spans="1:17" ht="19.55" customHeight="1" x14ac:dyDescent="0.25">
      <c r="A827" s="7"/>
      <c r="B827" s="7"/>
      <c r="C827" s="14"/>
      <c r="D827" s="14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 spans="1:17" ht="19.55" customHeight="1" x14ac:dyDescent="0.25">
      <c r="A828" s="7"/>
      <c r="B828" s="7"/>
      <c r="C828" s="14"/>
      <c r="D828" s="14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 spans="1:17" ht="19.55" customHeight="1" x14ac:dyDescent="0.25">
      <c r="A829" s="7"/>
      <c r="B829" s="7"/>
      <c r="C829" s="14"/>
      <c r="D829" s="14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 spans="1:17" ht="19.55" customHeight="1" x14ac:dyDescent="0.25">
      <c r="A830" s="7"/>
      <c r="B830" s="7"/>
      <c r="C830" s="14"/>
      <c r="D830" s="14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 spans="1:17" ht="19.55" customHeight="1" x14ac:dyDescent="0.25">
      <c r="A831" s="7"/>
      <c r="B831" s="7"/>
      <c r="C831" s="14"/>
      <c r="D831" s="14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 spans="1:17" ht="19.55" customHeight="1" x14ac:dyDescent="0.25">
      <c r="A832" s="7"/>
      <c r="B832" s="7"/>
      <c r="C832" s="14"/>
      <c r="D832" s="14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 spans="1:17" ht="19.55" customHeight="1" x14ac:dyDescent="0.25">
      <c r="A833" s="7"/>
      <c r="B833" s="7"/>
      <c r="C833" s="14"/>
      <c r="D833" s="14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 spans="1:17" ht="19.55" customHeight="1" x14ac:dyDescent="0.25">
      <c r="A834" s="7"/>
      <c r="B834" s="7"/>
      <c r="C834" s="14"/>
      <c r="D834" s="14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 spans="1:17" ht="19.55" customHeight="1" x14ac:dyDescent="0.25">
      <c r="A835" s="7"/>
      <c r="B835" s="7"/>
      <c r="C835" s="14"/>
      <c r="D835" s="14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 spans="1:17" ht="19.55" customHeight="1" x14ac:dyDescent="0.25">
      <c r="A836" s="7"/>
      <c r="B836" s="7"/>
      <c r="C836" s="14"/>
      <c r="D836" s="14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 spans="1:17" ht="19.55" customHeight="1" x14ac:dyDescent="0.25">
      <c r="A837" s="7"/>
      <c r="B837" s="7"/>
      <c r="C837" s="14"/>
      <c r="D837" s="14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 spans="1:17" ht="19.55" customHeight="1" x14ac:dyDescent="0.25">
      <c r="A838" s="7"/>
      <c r="B838" s="7"/>
      <c r="C838" s="14"/>
      <c r="D838" s="14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 spans="1:17" ht="19.55" customHeight="1" x14ac:dyDescent="0.25">
      <c r="A839" s="7"/>
      <c r="B839" s="7"/>
      <c r="C839" s="14"/>
      <c r="D839" s="14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 spans="1:17" ht="19.55" customHeight="1" x14ac:dyDescent="0.25">
      <c r="A840" s="7"/>
      <c r="B840" s="7"/>
      <c r="C840" s="14"/>
      <c r="D840" s="14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 spans="1:17" ht="19.55" customHeight="1" x14ac:dyDescent="0.25">
      <c r="A841" s="7"/>
      <c r="B841" s="7"/>
      <c r="C841" s="14"/>
      <c r="D841" s="14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 spans="1:17" ht="19.55" customHeight="1" x14ac:dyDescent="0.25">
      <c r="A842" s="7"/>
      <c r="B842" s="7"/>
      <c r="C842" s="14"/>
      <c r="D842" s="14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 spans="1:17" ht="19.55" customHeight="1" x14ac:dyDescent="0.25">
      <c r="A843" s="7"/>
      <c r="B843" s="7"/>
      <c r="C843" s="14"/>
      <c r="D843" s="14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 spans="1:17" ht="19.55" customHeight="1" x14ac:dyDescent="0.25">
      <c r="A844" s="7"/>
      <c r="B844" s="7"/>
      <c r="C844" s="14"/>
      <c r="D844" s="14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 spans="1:17" ht="19.55" customHeight="1" x14ac:dyDescent="0.25">
      <c r="A845" s="7"/>
      <c r="B845" s="7"/>
      <c r="C845" s="14"/>
      <c r="D845" s="14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 spans="1:17" ht="19.55" customHeight="1" x14ac:dyDescent="0.25">
      <c r="A846" s="7"/>
      <c r="B846" s="7"/>
      <c r="C846" s="14"/>
      <c r="D846" s="14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 spans="1:17" ht="19.55" customHeight="1" x14ac:dyDescent="0.25">
      <c r="A847" s="7"/>
      <c r="B847" s="7"/>
      <c r="C847" s="14"/>
      <c r="D847" s="14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 spans="1:17" ht="19.55" customHeight="1" x14ac:dyDescent="0.25">
      <c r="A848" s="7"/>
      <c r="B848" s="7"/>
      <c r="C848" s="14"/>
      <c r="D848" s="14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 spans="1:17" ht="19.55" customHeight="1" x14ac:dyDescent="0.25">
      <c r="A849" s="7"/>
      <c r="B849" s="7"/>
      <c r="C849" s="14"/>
      <c r="D849" s="14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 spans="1:17" ht="19.55" customHeight="1" x14ac:dyDescent="0.25">
      <c r="A850" s="7"/>
      <c r="B850" s="7"/>
      <c r="C850" s="14"/>
      <c r="D850" s="14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 spans="1:17" ht="19.55" customHeight="1" x14ac:dyDescent="0.25">
      <c r="A851" s="7"/>
      <c r="B851" s="7"/>
      <c r="C851" s="14"/>
      <c r="D851" s="14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 spans="1:17" ht="19.55" customHeight="1" x14ac:dyDescent="0.25">
      <c r="A852" s="7"/>
      <c r="B852" s="7"/>
      <c r="C852" s="14"/>
      <c r="D852" s="14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 spans="1:17" ht="19.55" customHeight="1" x14ac:dyDescent="0.25">
      <c r="A853" s="7"/>
      <c r="B853" s="7"/>
      <c r="C853" s="14"/>
      <c r="D853" s="14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 spans="1:17" ht="19.55" customHeight="1" x14ac:dyDescent="0.25">
      <c r="A854" s="7"/>
      <c r="B854" s="7"/>
      <c r="C854" s="14"/>
      <c r="D854" s="14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 spans="1:17" ht="19.55" customHeight="1" x14ac:dyDescent="0.25">
      <c r="A855" s="7"/>
      <c r="B855" s="7"/>
      <c r="C855" s="14"/>
      <c r="D855" s="14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 spans="1:17" ht="19.55" customHeight="1" x14ac:dyDescent="0.25">
      <c r="A856" s="7"/>
      <c r="B856" s="7"/>
      <c r="C856" s="14"/>
      <c r="D856" s="14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 spans="1:17" ht="19.55" customHeight="1" x14ac:dyDescent="0.25">
      <c r="A857" s="7"/>
      <c r="B857" s="7"/>
      <c r="C857" s="14"/>
      <c r="D857" s="14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 spans="1:17" ht="19.55" customHeight="1" x14ac:dyDescent="0.25">
      <c r="A858" s="7"/>
      <c r="B858" s="7"/>
      <c r="C858" s="14"/>
      <c r="D858" s="14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 spans="1:17" ht="19.55" customHeight="1" x14ac:dyDescent="0.25">
      <c r="A859" s="7"/>
      <c r="B859" s="7"/>
      <c r="C859" s="14"/>
      <c r="D859" s="14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 spans="1:17" ht="19.55" customHeight="1" x14ac:dyDescent="0.25">
      <c r="A860" s="7"/>
      <c r="B860" s="7"/>
      <c r="C860" s="14"/>
      <c r="D860" s="14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 spans="1:17" ht="19.55" customHeight="1" x14ac:dyDescent="0.25">
      <c r="A861" s="7"/>
      <c r="B861" s="7"/>
      <c r="C861" s="14"/>
      <c r="D861" s="14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 spans="1:17" ht="19.55" customHeight="1" x14ac:dyDescent="0.25">
      <c r="A862" s="7"/>
      <c r="B862" s="7"/>
      <c r="C862" s="14"/>
      <c r="D862" s="14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 spans="1:17" ht="19.55" customHeight="1" x14ac:dyDescent="0.25">
      <c r="A863" s="7"/>
      <c r="B863" s="7"/>
      <c r="C863" s="14"/>
      <c r="D863" s="14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 spans="1:17" ht="19.55" customHeight="1" x14ac:dyDescent="0.25">
      <c r="A864" s="7"/>
      <c r="B864" s="7"/>
      <c r="C864" s="14"/>
      <c r="D864" s="14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 spans="1:17" ht="19.55" customHeight="1" x14ac:dyDescent="0.25">
      <c r="A865" s="7"/>
      <c r="B865" s="7"/>
      <c r="C865" s="14"/>
      <c r="D865" s="14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spans="1:17" ht="19.55" customHeight="1" x14ac:dyDescent="0.25">
      <c r="A866" s="7"/>
      <c r="B866" s="7"/>
      <c r="C866" s="14"/>
      <c r="D866" s="14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spans="1:17" ht="19.55" customHeight="1" x14ac:dyDescent="0.25">
      <c r="A867" s="7"/>
      <c r="B867" s="7"/>
      <c r="C867" s="14"/>
      <c r="D867" s="14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spans="1:17" ht="19.55" customHeight="1" x14ac:dyDescent="0.25">
      <c r="A868" s="7"/>
      <c r="B868" s="7"/>
      <c r="C868" s="14"/>
      <c r="D868" s="14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spans="1:17" ht="19.55" customHeight="1" x14ac:dyDescent="0.25">
      <c r="A869" s="7"/>
      <c r="B869" s="7"/>
      <c r="C869" s="14"/>
      <c r="D869" s="14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spans="1:17" ht="19.55" customHeight="1" x14ac:dyDescent="0.25">
      <c r="A870" s="7"/>
      <c r="B870" s="7"/>
      <c r="C870" s="14"/>
      <c r="D870" s="14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 spans="1:17" ht="19.55" customHeight="1" x14ac:dyDescent="0.25">
      <c r="A871" s="7"/>
      <c r="B871" s="7"/>
      <c r="C871" s="14"/>
      <c r="D871" s="14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 spans="1:17" ht="19.55" customHeight="1" x14ac:dyDescent="0.25">
      <c r="A872" s="7"/>
      <c r="B872" s="7"/>
      <c r="C872" s="14"/>
      <c r="D872" s="14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 spans="1:17" ht="19.55" customHeight="1" x14ac:dyDescent="0.25">
      <c r="A873" s="7"/>
      <c r="B873" s="7"/>
      <c r="C873" s="14"/>
      <c r="D873" s="14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 spans="1:17" ht="19.55" customHeight="1" x14ac:dyDescent="0.25">
      <c r="A874" s="7"/>
      <c r="B874" s="7"/>
      <c r="C874" s="14"/>
      <c r="D874" s="14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 spans="1:17" ht="19.55" customHeight="1" x14ac:dyDescent="0.25">
      <c r="A875" s="7"/>
      <c r="B875" s="7"/>
      <c r="C875" s="14"/>
      <c r="D875" s="14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 spans="1:17" ht="19.55" customHeight="1" x14ac:dyDescent="0.25">
      <c r="A876" s="7"/>
      <c r="B876" s="7"/>
      <c r="C876" s="14"/>
      <c r="D876" s="14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 spans="1:17" ht="19.55" customHeight="1" x14ac:dyDescent="0.25">
      <c r="A877" s="7"/>
      <c r="B877" s="7"/>
      <c r="C877" s="14"/>
      <c r="D877" s="14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 spans="1:17" ht="19.55" customHeight="1" x14ac:dyDescent="0.25">
      <c r="A878" s="7"/>
      <c r="B878" s="7"/>
      <c r="C878" s="14"/>
      <c r="D878" s="14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 spans="1:17" ht="19.55" customHeight="1" x14ac:dyDescent="0.25">
      <c r="A879" s="7"/>
      <c r="B879" s="7"/>
      <c r="C879" s="14"/>
      <c r="D879" s="14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 spans="1:17" ht="19.55" customHeight="1" x14ac:dyDescent="0.25">
      <c r="A880" s="7"/>
      <c r="B880" s="7"/>
      <c r="C880" s="14"/>
      <c r="D880" s="14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 spans="1:17" ht="19.55" customHeight="1" x14ac:dyDescent="0.25">
      <c r="A881" s="7"/>
      <c r="B881" s="7"/>
      <c r="C881" s="14"/>
      <c r="D881" s="14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 spans="1:17" ht="19.55" customHeight="1" x14ac:dyDescent="0.25">
      <c r="A882" s="7"/>
      <c r="B882" s="7"/>
      <c r="C882" s="14"/>
      <c r="D882" s="14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 spans="1:17" ht="19.55" customHeight="1" x14ac:dyDescent="0.25">
      <c r="A883" s="7"/>
      <c r="B883" s="7"/>
      <c r="C883" s="14"/>
      <c r="D883" s="14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 spans="1:17" ht="19.55" customHeight="1" x14ac:dyDescent="0.25">
      <c r="A884" s="7"/>
      <c r="B884" s="7"/>
      <c r="C884" s="14"/>
      <c r="D884" s="14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 spans="1:17" ht="19.55" customHeight="1" x14ac:dyDescent="0.25">
      <c r="A885" s="7"/>
      <c r="B885" s="7"/>
      <c r="C885" s="14"/>
      <c r="D885" s="14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 spans="1:17" ht="19.55" customHeight="1" x14ac:dyDescent="0.25">
      <c r="A886" s="7"/>
      <c r="B886" s="7"/>
      <c r="C886" s="14"/>
      <c r="D886" s="14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spans="1:17" ht="19.55" customHeight="1" x14ac:dyDescent="0.25">
      <c r="A887" s="7"/>
      <c r="B887" s="7"/>
      <c r="C887" s="14"/>
      <c r="D887" s="14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 spans="1:17" ht="19.55" customHeight="1" x14ac:dyDescent="0.25">
      <c r="A888" s="7"/>
      <c r="B888" s="7"/>
      <c r="C888" s="14"/>
      <c r="D888" s="14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 spans="1:17" ht="19.55" customHeight="1" x14ac:dyDescent="0.25">
      <c r="A889" s="7"/>
      <c r="B889" s="7"/>
      <c r="C889" s="14"/>
      <c r="D889" s="14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 spans="1:17" ht="19.55" customHeight="1" x14ac:dyDescent="0.25">
      <c r="A890" s="7"/>
      <c r="B890" s="7"/>
      <c r="C890" s="14"/>
      <c r="D890" s="14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 spans="1:17" ht="19.55" customHeight="1" x14ac:dyDescent="0.25">
      <c r="A891" s="7"/>
      <c r="B891" s="7"/>
      <c r="C891" s="14"/>
      <c r="D891" s="14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 spans="1:17" ht="19.55" customHeight="1" x14ac:dyDescent="0.25">
      <c r="A892" s="7"/>
      <c r="B892" s="7"/>
      <c r="C892" s="14"/>
      <c r="D892" s="14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 spans="1:17" ht="19.55" customHeight="1" x14ac:dyDescent="0.25">
      <c r="A893" s="7"/>
      <c r="B893" s="7"/>
      <c r="C893" s="14"/>
      <c r="D893" s="14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 spans="1:17" ht="19.55" customHeight="1" x14ac:dyDescent="0.25">
      <c r="A894" s="7"/>
      <c r="B894" s="7"/>
      <c r="C894" s="14"/>
      <c r="D894" s="14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 spans="1:17" ht="19.55" customHeight="1" x14ac:dyDescent="0.25">
      <c r="A895" s="7"/>
      <c r="B895" s="7"/>
      <c r="C895" s="14"/>
      <c r="D895" s="14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 spans="1:17" ht="19.55" customHeight="1" x14ac:dyDescent="0.25">
      <c r="A896" s="7"/>
      <c r="B896" s="7"/>
      <c r="C896" s="14"/>
      <c r="D896" s="14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 spans="1:17" ht="19.55" customHeight="1" x14ac:dyDescent="0.25">
      <c r="A897" s="7"/>
      <c r="B897" s="7"/>
      <c r="C897" s="14"/>
      <c r="D897" s="14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 spans="1:17" ht="19.55" customHeight="1" x14ac:dyDescent="0.25">
      <c r="A898" s="7"/>
      <c r="B898" s="7"/>
      <c r="C898" s="14"/>
      <c r="D898" s="14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 spans="1:17" ht="19.55" customHeight="1" x14ac:dyDescent="0.25">
      <c r="A899" s="7"/>
      <c r="B899" s="7"/>
      <c r="C899" s="14"/>
      <c r="D899" s="14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 spans="1:17" ht="19.55" customHeight="1" x14ac:dyDescent="0.25">
      <c r="A900" s="7"/>
      <c r="B900" s="7"/>
      <c r="C900" s="14"/>
      <c r="D900" s="14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 spans="1:17" ht="19.55" customHeight="1" x14ac:dyDescent="0.25">
      <c r="A901" s="7"/>
      <c r="B901" s="7"/>
      <c r="C901" s="14"/>
      <c r="D901" s="14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 spans="1:17" ht="19.55" customHeight="1" x14ac:dyDescent="0.25">
      <c r="A902" s="7"/>
      <c r="B902" s="7"/>
      <c r="C902" s="14"/>
      <c r="D902" s="14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 spans="1:17" ht="19.55" customHeight="1" x14ac:dyDescent="0.25">
      <c r="A903" s="7"/>
      <c r="B903" s="7"/>
      <c r="C903" s="14"/>
      <c r="D903" s="14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 spans="1:17" ht="19.55" customHeight="1" x14ac:dyDescent="0.25">
      <c r="A904" s="7"/>
      <c r="B904" s="7"/>
      <c r="C904" s="14"/>
      <c r="D904" s="14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 spans="1:17" ht="19.55" customHeight="1" x14ac:dyDescent="0.25">
      <c r="A905" s="7"/>
      <c r="B905" s="7"/>
      <c r="C905" s="14"/>
      <c r="D905" s="14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 spans="1:17" ht="19.55" customHeight="1" x14ac:dyDescent="0.25">
      <c r="A906" s="7"/>
      <c r="B906" s="7"/>
      <c r="C906" s="14"/>
      <c r="D906" s="14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spans="1:17" ht="19.55" customHeight="1" x14ac:dyDescent="0.25">
      <c r="A907" s="7"/>
      <c r="B907" s="7"/>
      <c r="C907" s="14"/>
      <c r="D907" s="14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 spans="1:17" ht="19.55" customHeight="1" x14ac:dyDescent="0.25">
      <c r="A908" s="7"/>
      <c r="B908" s="7"/>
      <c r="C908" s="14"/>
      <c r="D908" s="14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 spans="1:17" ht="19.55" customHeight="1" x14ac:dyDescent="0.25">
      <c r="A909" s="7"/>
      <c r="B909" s="7"/>
      <c r="C909" s="14"/>
      <c r="D909" s="14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 spans="1:17" ht="19.55" customHeight="1" x14ac:dyDescent="0.25">
      <c r="A910" s="7"/>
      <c r="B910" s="7"/>
      <c r="C910" s="14"/>
      <c r="D910" s="14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 spans="1:17" ht="19.55" customHeight="1" x14ac:dyDescent="0.25">
      <c r="A911" s="7"/>
      <c r="B911" s="7"/>
      <c r="C911" s="14"/>
      <c r="D911" s="14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 spans="1:17" ht="19.55" customHeight="1" x14ac:dyDescent="0.25">
      <c r="A912" s="7"/>
      <c r="B912" s="7"/>
      <c r="C912" s="14"/>
      <c r="D912" s="14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 spans="1:17" ht="19.55" customHeight="1" x14ac:dyDescent="0.25">
      <c r="A913" s="7"/>
      <c r="B913" s="7"/>
      <c r="C913" s="14"/>
      <c r="D913" s="14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 spans="1:17" ht="19.55" customHeight="1" x14ac:dyDescent="0.25">
      <c r="A914" s="7"/>
      <c r="B914" s="7"/>
      <c r="C914" s="14"/>
      <c r="D914" s="14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 spans="1:17" ht="19.55" customHeight="1" x14ac:dyDescent="0.25">
      <c r="A915" s="7"/>
      <c r="B915" s="7"/>
      <c r="C915" s="14"/>
      <c r="D915" s="14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 spans="1:17" ht="19.55" customHeight="1" x14ac:dyDescent="0.25">
      <c r="A916" s="7"/>
      <c r="B916" s="7"/>
      <c r="C916" s="14"/>
      <c r="D916" s="14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 spans="1:17" ht="19.55" customHeight="1" x14ac:dyDescent="0.25">
      <c r="A917" s="7"/>
      <c r="B917" s="7"/>
      <c r="C917" s="14"/>
      <c r="D917" s="14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 spans="1:17" ht="19.55" customHeight="1" x14ac:dyDescent="0.25">
      <c r="A918" s="7"/>
      <c r="B918" s="7"/>
      <c r="C918" s="14"/>
      <c r="D918" s="14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 spans="1:17" ht="19.55" customHeight="1" x14ac:dyDescent="0.25">
      <c r="A919" s="7"/>
      <c r="B919" s="7"/>
      <c r="C919" s="14"/>
      <c r="D919" s="14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 spans="1:17" ht="19.55" customHeight="1" x14ac:dyDescent="0.25">
      <c r="A920" s="7"/>
      <c r="B920" s="7"/>
      <c r="C920" s="14"/>
      <c r="D920" s="14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 spans="1:17" ht="19.55" customHeight="1" x14ac:dyDescent="0.25">
      <c r="A921" s="7"/>
      <c r="B921" s="7"/>
      <c r="C921" s="14"/>
      <c r="D921" s="14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 spans="1:17" ht="19.55" customHeight="1" x14ac:dyDescent="0.25">
      <c r="A922" s="7"/>
      <c r="B922" s="7"/>
      <c r="C922" s="14"/>
      <c r="D922" s="14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 spans="1:17" ht="19.55" customHeight="1" x14ac:dyDescent="0.25">
      <c r="A923" s="7"/>
      <c r="B923" s="7"/>
      <c r="C923" s="14"/>
      <c r="D923" s="14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 spans="1:17" ht="19.55" customHeight="1" x14ac:dyDescent="0.25">
      <c r="A924" s="7"/>
      <c r="B924" s="7"/>
      <c r="C924" s="14"/>
      <c r="D924" s="14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 spans="1:17" ht="19.55" customHeight="1" x14ac:dyDescent="0.25">
      <c r="A925" s="7"/>
      <c r="B925" s="7"/>
      <c r="C925" s="14"/>
      <c r="D925" s="14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 spans="1:17" ht="19.55" customHeight="1" x14ac:dyDescent="0.25">
      <c r="A926" s="7"/>
      <c r="B926" s="7"/>
      <c r="C926" s="14"/>
      <c r="D926" s="14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 spans="1:17" ht="19.55" customHeight="1" x14ac:dyDescent="0.25">
      <c r="A927" s="7"/>
      <c r="B927" s="7"/>
      <c r="C927" s="14"/>
      <c r="D927" s="14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 spans="1:17" ht="19.55" customHeight="1" x14ac:dyDescent="0.25">
      <c r="A928" s="7"/>
      <c r="B928" s="7"/>
      <c r="C928" s="14"/>
      <c r="D928" s="14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 spans="1:17" ht="19.55" customHeight="1" x14ac:dyDescent="0.25">
      <c r="A929" s="7"/>
      <c r="B929" s="7"/>
      <c r="C929" s="14"/>
      <c r="D929" s="14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spans="1:17" ht="19.55" customHeight="1" x14ac:dyDescent="0.25">
      <c r="A930" s="7"/>
      <c r="B930" s="7"/>
      <c r="C930" s="14"/>
      <c r="D930" s="14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spans="1:17" ht="19.55" customHeight="1" x14ac:dyDescent="0.25">
      <c r="A931" s="7"/>
      <c r="B931" s="7"/>
      <c r="C931" s="14"/>
      <c r="D931" s="14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spans="1:17" ht="19.55" customHeight="1" x14ac:dyDescent="0.25">
      <c r="A932" s="7"/>
      <c r="B932" s="7"/>
      <c r="C932" s="14"/>
      <c r="D932" s="14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spans="1:17" ht="19.55" customHeight="1" x14ac:dyDescent="0.25">
      <c r="A933" s="7"/>
      <c r="B933" s="7"/>
      <c r="C933" s="14"/>
      <c r="D933" s="14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spans="1:17" ht="19.55" customHeight="1" x14ac:dyDescent="0.25">
      <c r="A934" s="7"/>
      <c r="B934" s="7"/>
      <c r="C934" s="14"/>
      <c r="D934" s="14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 spans="1:17" ht="19.55" customHeight="1" x14ac:dyDescent="0.25">
      <c r="A935" s="7"/>
      <c r="B935" s="7"/>
      <c r="C935" s="14"/>
      <c r="D935" s="14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 spans="1:17" ht="19.55" customHeight="1" x14ac:dyDescent="0.25">
      <c r="A936" s="7"/>
      <c r="B936" s="7"/>
      <c r="C936" s="14"/>
      <c r="D936" s="14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 spans="1:17" ht="19.55" customHeight="1" x14ac:dyDescent="0.25">
      <c r="A937" s="7"/>
      <c r="B937" s="7"/>
      <c r="C937" s="14"/>
      <c r="D937" s="14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 spans="1:17" ht="19.55" customHeight="1" x14ac:dyDescent="0.25">
      <c r="A938" s="7"/>
      <c r="B938" s="7"/>
      <c r="C938" s="14"/>
      <c r="D938" s="14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 spans="1:17" ht="19.55" customHeight="1" x14ac:dyDescent="0.25">
      <c r="A939" s="7"/>
      <c r="B939" s="7"/>
      <c r="C939" s="14"/>
      <c r="D939" s="14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 spans="1:17" ht="19.55" customHeight="1" x14ac:dyDescent="0.25">
      <c r="A940" s="7"/>
      <c r="B940" s="7"/>
      <c r="C940" s="14"/>
      <c r="D940" s="14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 spans="1:17" ht="19.55" customHeight="1" x14ac:dyDescent="0.25">
      <c r="A941" s="7"/>
      <c r="B941" s="7"/>
      <c r="C941" s="14"/>
      <c r="D941" s="14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 spans="1:17" ht="19.55" customHeight="1" x14ac:dyDescent="0.25">
      <c r="A942" s="7"/>
      <c r="B942" s="7"/>
      <c r="C942" s="14"/>
      <c r="D942" s="14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 spans="1:17" ht="19.55" customHeight="1" x14ac:dyDescent="0.25">
      <c r="A943" s="7"/>
      <c r="B943" s="7"/>
      <c r="C943" s="14"/>
      <c r="D943" s="14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 spans="1:17" ht="19.55" customHeight="1" x14ac:dyDescent="0.25">
      <c r="A944" s="7"/>
      <c r="B944" s="7"/>
      <c r="C944" s="14"/>
      <c r="D944" s="14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 spans="1:17" ht="19.55" customHeight="1" x14ac:dyDescent="0.25">
      <c r="A945" s="7"/>
      <c r="B945" s="7"/>
      <c r="C945" s="14"/>
      <c r="D945" s="14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spans="1:17" ht="19.55" customHeight="1" x14ac:dyDescent="0.25">
      <c r="A946" s="7"/>
      <c r="B946" s="7"/>
      <c r="C946" s="14"/>
      <c r="D946" s="14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spans="1:17" ht="19.55" customHeight="1" x14ac:dyDescent="0.25">
      <c r="A947" s="7"/>
      <c r="B947" s="7"/>
      <c r="C947" s="14"/>
      <c r="D947" s="14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spans="1:17" ht="19.55" customHeight="1" x14ac:dyDescent="0.25">
      <c r="A948" s="7"/>
      <c r="B948" s="7"/>
      <c r="C948" s="14"/>
      <c r="D948" s="14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spans="1:17" ht="19.55" customHeight="1" x14ac:dyDescent="0.25">
      <c r="A949" s="7"/>
      <c r="B949" s="7"/>
      <c r="C949" s="14"/>
      <c r="D949" s="14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spans="1:17" ht="19.55" customHeight="1" x14ac:dyDescent="0.25">
      <c r="A950" s="7"/>
      <c r="B950" s="7"/>
      <c r="C950" s="14"/>
      <c r="D950" s="14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spans="1:17" ht="19.55" customHeight="1" x14ac:dyDescent="0.25">
      <c r="A951" s="7"/>
      <c r="B951" s="7"/>
      <c r="C951" s="14"/>
      <c r="D951" s="14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spans="1:17" ht="19.55" customHeight="1" x14ac:dyDescent="0.25">
      <c r="A952" s="7"/>
      <c r="B952" s="7"/>
      <c r="C952" s="14"/>
      <c r="D952" s="14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spans="1:17" ht="19.55" customHeight="1" x14ac:dyDescent="0.25">
      <c r="A953" s="7"/>
      <c r="B953" s="7"/>
      <c r="C953" s="14"/>
      <c r="D953" s="14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spans="1:17" ht="19.55" customHeight="1" x14ac:dyDescent="0.25">
      <c r="A954" s="7"/>
      <c r="B954" s="7"/>
      <c r="C954" s="14"/>
      <c r="D954" s="14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spans="1:17" ht="19.55" customHeight="1" x14ac:dyDescent="0.25">
      <c r="A955" s="7"/>
      <c r="B955" s="7"/>
      <c r="C955" s="14"/>
      <c r="D955" s="14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spans="1:17" ht="19.55" customHeight="1" x14ac:dyDescent="0.25">
      <c r="A956" s="7"/>
      <c r="B956" s="7"/>
      <c r="C956" s="14"/>
      <c r="D956" s="14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spans="1:17" ht="19.55" customHeight="1" x14ac:dyDescent="0.25">
      <c r="A957" s="7"/>
      <c r="B957" s="7"/>
      <c r="C957" s="14"/>
      <c r="D957" s="14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spans="1:17" ht="19.55" customHeight="1" x14ac:dyDescent="0.25">
      <c r="A958" s="7"/>
      <c r="B958" s="7"/>
      <c r="C958" s="14"/>
      <c r="D958" s="14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spans="1:17" ht="19.55" customHeight="1" x14ac:dyDescent="0.25">
      <c r="A959" s="7"/>
      <c r="B959" s="7"/>
      <c r="C959" s="14"/>
      <c r="D959" s="14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spans="1:17" ht="19.55" customHeight="1" x14ac:dyDescent="0.25">
      <c r="A960" s="7"/>
      <c r="B960" s="7"/>
      <c r="C960" s="14"/>
      <c r="D960" s="14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spans="1:17" ht="19.55" customHeight="1" x14ac:dyDescent="0.25">
      <c r="A961" s="7"/>
      <c r="B961" s="7"/>
      <c r="C961" s="14"/>
      <c r="D961" s="14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spans="1:17" ht="19.55" customHeight="1" x14ac:dyDescent="0.25">
      <c r="A962" s="7"/>
      <c r="B962" s="7"/>
      <c r="C962" s="14"/>
      <c r="D962" s="14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spans="1:17" ht="19.55" customHeight="1" x14ac:dyDescent="0.25">
      <c r="A963" s="7"/>
      <c r="B963" s="7"/>
      <c r="C963" s="14"/>
      <c r="D963" s="14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spans="1:17" ht="19.55" customHeight="1" x14ac:dyDescent="0.25">
      <c r="A964" s="7"/>
      <c r="B964" s="7"/>
      <c r="C964" s="14"/>
      <c r="D964" s="14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spans="1:17" ht="19.55" customHeight="1" x14ac:dyDescent="0.25">
      <c r="A965" s="7"/>
      <c r="B965" s="7"/>
      <c r="C965" s="14"/>
      <c r="D965" s="14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spans="1:17" ht="19.55" customHeight="1" x14ac:dyDescent="0.25">
      <c r="A966" s="7"/>
      <c r="B966" s="7"/>
      <c r="C966" s="14"/>
      <c r="D966" s="14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spans="1:17" ht="19.55" customHeight="1" x14ac:dyDescent="0.25">
      <c r="A967" s="7"/>
      <c r="B967" s="7"/>
      <c r="C967" s="14"/>
      <c r="D967" s="14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spans="1:17" ht="19.55" customHeight="1" x14ac:dyDescent="0.25">
      <c r="A968" s="7"/>
      <c r="B968" s="7"/>
      <c r="C968" s="14"/>
      <c r="D968" s="14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spans="1:17" ht="19.55" customHeight="1" x14ac:dyDescent="0.25">
      <c r="A969" s="7"/>
      <c r="B969" s="7"/>
      <c r="C969" s="14"/>
      <c r="D969" s="14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spans="1:17" ht="19.55" customHeight="1" x14ac:dyDescent="0.25">
      <c r="A970" s="7"/>
      <c r="B970" s="7"/>
      <c r="C970" s="14"/>
      <c r="D970" s="14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spans="1:17" ht="19.55" customHeight="1" x14ac:dyDescent="0.25">
      <c r="A971" s="7"/>
      <c r="B971" s="7"/>
      <c r="C971" s="14"/>
      <c r="D971" s="14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spans="1:17" ht="19.55" customHeight="1" x14ac:dyDescent="0.25">
      <c r="A972" s="7"/>
      <c r="B972" s="7"/>
      <c r="C972" s="14"/>
      <c r="D972" s="14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spans="1:17" ht="19.55" customHeight="1" x14ac:dyDescent="0.25">
      <c r="A973" s="7"/>
      <c r="B973" s="7"/>
      <c r="C973" s="14"/>
      <c r="D973" s="14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spans="1:17" ht="19.55" customHeight="1" x14ac:dyDescent="0.25">
      <c r="A974" s="7"/>
      <c r="B974" s="7"/>
      <c r="C974" s="14"/>
      <c r="D974" s="14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spans="1:17" ht="19.55" customHeight="1" x14ac:dyDescent="0.25">
      <c r="A975" s="7"/>
      <c r="B975" s="7"/>
      <c r="C975" s="14"/>
      <c r="D975" s="14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spans="1:17" ht="19.55" customHeight="1" x14ac:dyDescent="0.25">
      <c r="A976" s="7"/>
      <c r="B976" s="7"/>
      <c r="C976" s="14"/>
      <c r="D976" s="14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spans="1:17" ht="19.55" customHeight="1" x14ac:dyDescent="0.25">
      <c r="A977" s="7"/>
      <c r="B977" s="7"/>
      <c r="C977" s="14"/>
      <c r="D977" s="14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spans="1:17" ht="19.55" customHeight="1" x14ac:dyDescent="0.25">
      <c r="A978" s="7"/>
      <c r="B978" s="7"/>
      <c r="C978" s="14"/>
      <c r="D978" s="14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spans="1:17" ht="19.55" customHeight="1" x14ac:dyDescent="0.25">
      <c r="A979" s="7"/>
      <c r="B979" s="7"/>
      <c r="C979" s="14"/>
      <c r="D979" s="14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spans="1:17" ht="19.55" customHeight="1" x14ac:dyDescent="0.25">
      <c r="A980" s="7"/>
      <c r="B980" s="7"/>
      <c r="C980" s="14"/>
      <c r="D980" s="14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spans="1:17" ht="19.55" customHeight="1" x14ac:dyDescent="0.25">
      <c r="A981" s="7"/>
      <c r="B981" s="7"/>
      <c r="C981" s="14"/>
      <c r="D981" s="14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spans="1:17" ht="19.55" customHeight="1" x14ac:dyDescent="0.25">
      <c r="A982" s="7"/>
      <c r="B982" s="7"/>
      <c r="C982" s="14"/>
      <c r="D982" s="14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spans="1:17" ht="19.55" customHeight="1" x14ac:dyDescent="0.25">
      <c r="A983" s="7"/>
      <c r="B983" s="7"/>
      <c r="C983" s="14"/>
      <c r="D983" s="14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spans="1:17" ht="19.55" customHeight="1" x14ac:dyDescent="0.25">
      <c r="A984" s="7"/>
      <c r="B984" s="7"/>
      <c r="C984" s="14"/>
      <c r="D984" s="14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spans="1:17" ht="19.55" customHeight="1" x14ac:dyDescent="0.25">
      <c r="A985" s="7"/>
      <c r="B985" s="7"/>
      <c r="C985" s="14"/>
      <c r="D985" s="14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spans="1:17" ht="19.55" customHeight="1" x14ac:dyDescent="0.25">
      <c r="A986" s="7"/>
      <c r="B986" s="7"/>
      <c r="C986" s="14"/>
      <c r="D986" s="14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spans="1:17" ht="19.55" customHeight="1" x14ac:dyDescent="0.25">
      <c r="A987" s="7"/>
      <c r="B987" s="7"/>
      <c r="C987" s="14"/>
      <c r="D987" s="14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spans="1:17" ht="19.55" customHeight="1" x14ac:dyDescent="0.25">
      <c r="A988" s="7"/>
      <c r="B988" s="7"/>
      <c r="C988" s="14"/>
      <c r="D988" s="14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spans="1:17" ht="19.55" customHeight="1" x14ac:dyDescent="0.25">
      <c r="A989" s="7"/>
      <c r="B989" s="7"/>
      <c r="C989" s="14"/>
      <c r="D989" s="14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spans="1:17" ht="19.55" customHeight="1" x14ac:dyDescent="0.25">
      <c r="A990" s="7"/>
      <c r="B990" s="7"/>
      <c r="C990" s="14"/>
      <c r="D990" s="14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spans="1:17" ht="19.55" customHeight="1" x14ac:dyDescent="0.25">
      <c r="A991" s="7"/>
      <c r="B991" s="7"/>
      <c r="C991" s="14"/>
      <c r="D991" s="14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spans="1:17" ht="19.55" customHeight="1" x14ac:dyDescent="0.25">
      <c r="A992" s="7"/>
      <c r="B992" s="7"/>
      <c r="C992" s="14"/>
      <c r="D992" s="14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spans="1:17" ht="19.55" customHeight="1" x14ac:dyDescent="0.25">
      <c r="A993" s="7"/>
      <c r="B993" s="7"/>
      <c r="C993" s="14"/>
      <c r="D993" s="14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spans="1:17" ht="19.55" customHeight="1" x14ac:dyDescent="0.25">
      <c r="A994" s="7"/>
      <c r="B994" s="7"/>
      <c r="C994" s="14"/>
      <c r="D994" s="14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spans="1:17" ht="19.55" customHeight="1" x14ac:dyDescent="0.25">
      <c r="A995" s="7"/>
      <c r="B995" s="7"/>
      <c r="C995" s="14"/>
      <c r="D995" s="14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spans="1:17" ht="19.55" customHeight="1" x14ac:dyDescent="0.25">
      <c r="A996" s="7"/>
      <c r="B996" s="7"/>
      <c r="C996" s="14"/>
      <c r="D996" s="14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spans="1:17" ht="19.55" customHeight="1" x14ac:dyDescent="0.25">
      <c r="A997" s="7"/>
      <c r="B997" s="7"/>
      <c r="C997" s="14"/>
      <c r="D997" s="14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spans="1:17" ht="19.55" customHeight="1" x14ac:dyDescent="0.25">
      <c r="A998" s="7"/>
      <c r="B998" s="7"/>
      <c r="C998" s="14"/>
      <c r="D998" s="14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spans="1:17" ht="19.55" customHeight="1" x14ac:dyDescent="0.25">
      <c r="A999" s="7"/>
      <c r="B999" s="7"/>
      <c r="C999" s="14"/>
      <c r="D999" s="14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spans="1:17" ht="19.55" customHeight="1" x14ac:dyDescent="0.25">
      <c r="A1000" s="7"/>
      <c r="B1000" s="7"/>
      <c r="C1000" s="14"/>
      <c r="D1000" s="14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  <row r="1001" spans="1:17" ht="19.55" customHeight="1" x14ac:dyDescent="0.25">
      <c r="A1001" s="7"/>
      <c r="B1001" s="7"/>
      <c r="C1001" s="14"/>
      <c r="D1001" s="14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</row>
  </sheetData>
  <mergeCells count="23">
    <mergeCell ref="A44:H44"/>
    <mergeCell ref="B58:H58"/>
    <mergeCell ref="A45:A49"/>
    <mergeCell ref="B45:H45"/>
    <mergeCell ref="B46:H46"/>
    <mergeCell ref="B47:H47"/>
    <mergeCell ref="B49:H49"/>
    <mergeCell ref="B48:H48"/>
    <mergeCell ref="A50:A54"/>
    <mergeCell ref="B54:H54"/>
    <mergeCell ref="B50:H50"/>
    <mergeCell ref="B51:H51"/>
    <mergeCell ref="B52:H52"/>
    <mergeCell ref="B53:H53"/>
    <mergeCell ref="A55:A58"/>
    <mergeCell ref="B55:H55"/>
    <mergeCell ref="B56:H56"/>
    <mergeCell ref="B57:H57"/>
    <mergeCell ref="A59:A62"/>
    <mergeCell ref="B59:H59"/>
    <mergeCell ref="B60:H60"/>
    <mergeCell ref="B61:H61"/>
    <mergeCell ref="B62:H62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R33"/>
  <sheetViews>
    <sheetView tabSelected="1" topLeftCell="C1" zoomScale="90" zoomScaleNormal="90" workbookViewId="0">
      <selection activeCell="M8" sqref="M8"/>
    </sheetView>
  </sheetViews>
  <sheetFormatPr defaultRowHeight="14.3" x14ac:dyDescent="0.25"/>
  <cols>
    <col min="2" max="2" width="66.125" customWidth="1"/>
    <col min="3" max="3" width="16.875" bestFit="1" customWidth="1"/>
    <col min="4" max="4" width="24" customWidth="1"/>
    <col min="5" max="5" width="18.875" customWidth="1"/>
    <col min="6" max="6" width="20.375" bestFit="1" customWidth="1"/>
    <col min="7" max="8" width="20.375" customWidth="1"/>
    <col min="9" max="9" width="17" bestFit="1" customWidth="1"/>
    <col min="10" max="10" width="21.375" bestFit="1" customWidth="1"/>
    <col min="11" max="11" width="9.625" bestFit="1" customWidth="1"/>
    <col min="12" max="13" width="17" style="43" customWidth="1"/>
    <col min="15" max="15" width="9" customWidth="1"/>
  </cols>
  <sheetData>
    <row r="1" spans="2:13" ht="13.75" customHeight="1" x14ac:dyDescent="0.25"/>
    <row r="2" spans="2:13" ht="13.75" customHeight="1" thickBot="1" x14ac:dyDescent="0.3"/>
    <row r="3" spans="2:13" ht="13.75" customHeight="1" x14ac:dyDescent="0.25">
      <c r="C3" s="41" t="s">
        <v>25</v>
      </c>
      <c r="D3" s="74">
        <v>44682</v>
      </c>
      <c r="E3" s="41" t="s">
        <v>25</v>
      </c>
      <c r="F3" s="74">
        <v>44682</v>
      </c>
      <c r="G3" s="41" t="s">
        <v>25</v>
      </c>
      <c r="H3" s="110">
        <v>44958</v>
      </c>
      <c r="I3" s="41" t="s">
        <v>25</v>
      </c>
      <c r="J3" s="74">
        <v>44805</v>
      </c>
    </row>
    <row r="4" spans="2:13" ht="13.75" customHeight="1" thickBot="1" x14ac:dyDescent="0.3">
      <c r="C4" s="42" t="s">
        <v>28</v>
      </c>
      <c r="D4" s="118">
        <v>2470.83</v>
      </c>
      <c r="E4" s="42" t="s">
        <v>28</v>
      </c>
      <c r="F4" s="118">
        <v>2770.83</v>
      </c>
      <c r="G4" s="42" t="s">
        <v>28</v>
      </c>
      <c r="H4" s="119">
        <v>14888.46</v>
      </c>
      <c r="I4" s="42" t="s">
        <v>28</v>
      </c>
      <c r="J4" s="131">
        <v>2623.42</v>
      </c>
    </row>
    <row r="5" spans="2:13" ht="13.75" customHeight="1" thickBot="1" x14ac:dyDescent="0.3"/>
    <row r="6" spans="2:13" ht="19.05" customHeight="1" thickBot="1" x14ac:dyDescent="0.3">
      <c r="C6" s="144" t="s">
        <v>105</v>
      </c>
      <c r="D6" s="145"/>
      <c r="E6" s="144" t="s">
        <v>106</v>
      </c>
      <c r="F6" s="146"/>
      <c r="G6" s="144" t="s">
        <v>147</v>
      </c>
      <c r="H6" s="146"/>
      <c r="I6" s="146" t="s">
        <v>107</v>
      </c>
      <c r="J6" s="145"/>
      <c r="L6" s="142" t="s">
        <v>31</v>
      </c>
      <c r="M6" s="142"/>
    </row>
    <row r="7" spans="2:13" ht="19.05" customHeight="1" thickBot="1" x14ac:dyDescent="0.3">
      <c r="B7" s="20"/>
      <c r="C7" s="40" t="s">
        <v>29</v>
      </c>
      <c r="D7" s="40" t="s">
        <v>30</v>
      </c>
      <c r="E7" s="40" t="s">
        <v>29</v>
      </c>
      <c r="F7" s="40" t="s">
        <v>30</v>
      </c>
      <c r="G7" s="40"/>
      <c r="H7" s="40"/>
      <c r="I7" s="40" t="s">
        <v>29</v>
      </c>
      <c r="J7" s="40" t="s">
        <v>30</v>
      </c>
      <c r="L7" s="44" t="s">
        <v>32</v>
      </c>
      <c r="M7" s="44" t="s">
        <v>33</v>
      </c>
    </row>
    <row r="8" spans="2:13" ht="19.05" customHeight="1" thickBot="1" x14ac:dyDescent="0.7">
      <c r="B8" s="33" t="s">
        <v>24</v>
      </c>
      <c r="C8" s="116">
        <v>526.30999999999995</v>
      </c>
      <c r="D8" s="78">
        <f>ORÇAMENTO_EXECUTIVO!$B$19/CÁLCULO_MÉDIAS!D$4*C8</f>
        <v>402.4748589340424</v>
      </c>
      <c r="E8" s="116">
        <v>504.2</v>
      </c>
      <c r="F8" s="78">
        <f>ORÇAMENTO_EXECUTIVO!$B$19/CÁLCULO_MÉDIAS!F$4*E8</f>
        <v>343.82144483782838</v>
      </c>
      <c r="G8" s="109">
        <v>192.54</v>
      </c>
      <c r="H8" s="111">
        <f>ORÇAMENTO_EXECUTIVO!$B$19/CÁLCULO_MÉDIAS!H$4*G8</f>
        <v>24.434935097384152</v>
      </c>
      <c r="I8" s="116">
        <v>466.94</v>
      </c>
      <c r="J8" s="62">
        <f>ORÇAMENTO_EXECUTIVO!$B$19/CÁLCULO_MÉDIAS!J$4*I8</f>
        <v>336.30494613900936</v>
      </c>
      <c r="L8" s="45">
        <v>460</v>
      </c>
      <c r="M8" s="45">
        <v>530</v>
      </c>
    </row>
    <row r="9" spans="2:13" ht="19.05" customHeight="1" thickBot="1" x14ac:dyDescent="0.3">
      <c r="B9" s="34" t="s">
        <v>4</v>
      </c>
      <c r="C9" s="117">
        <v>5.47</v>
      </c>
      <c r="D9" s="78">
        <f>ORÇAMENTO_EXECUTIVO!$B$19/CÁLCULO_MÉDIAS!D$4*C9</f>
        <v>4.1829672215409399</v>
      </c>
      <c r="E9" s="117">
        <v>14.78</v>
      </c>
      <c r="F9" s="78">
        <f>ORÇAMENTO_EXECUTIVO!$B$19/CÁLCULO_MÉDIAS!F$4*E9</f>
        <v>10.078700822497229</v>
      </c>
      <c r="G9" s="114">
        <v>131.35</v>
      </c>
      <c r="H9" s="115">
        <f>ORÇAMENTO_EXECUTIVO!$B$19/CÁLCULO_MÉDIAS!H$4*G9</f>
        <v>16.669412719649984</v>
      </c>
      <c r="I9" s="117">
        <v>32.65</v>
      </c>
      <c r="J9" s="62">
        <f>ORÇAMENTO_EXECUTIVO!$B$19/CÁLCULO_MÉDIAS!J$4*I9</f>
        <v>23.515561938233297</v>
      </c>
      <c r="L9" s="45">
        <v>10</v>
      </c>
      <c r="M9" s="45">
        <v>25</v>
      </c>
    </row>
    <row r="10" spans="2:13" ht="19.05" customHeight="1" thickBot="1" x14ac:dyDescent="0.3">
      <c r="B10" s="35" t="s">
        <v>5</v>
      </c>
      <c r="C10" s="116">
        <v>95.87</v>
      </c>
      <c r="D10" s="78">
        <f>ORÇAMENTO_EXECUTIVO!$B$19/CÁLCULO_MÉDIAS!D$4*C10</f>
        <v>73.312809420316256</v>
      </c>
      <c r="E10" s="116">
        <v>66.709999999999994</v>
      </c>
      <c r="F10" s="78">
        <f>ORÇAMENTO_EXECUTIVO!$B$19/CÁLCULO_MÉDIAS!F$4*E10</f>
        <v>45.490536662299739</v>
      </c>
      <c r="G10" s="112">
        <v>99.33</v>
      </c>
      <c r="H10" s="111">
        <f>ORÇAMENTO_EXECUTIVO!$B$19/CÁLCULO_MÉDIAS!H$4*G10</f>
        <v>12.605807121757389</v>
      </c>
      <c r="I10" s="116">
        <v>43.56</v>
      </c>
      <c r="J10" s="62">
        <f>ORÇAMENTO_EXECUTIVO!$B$19/CÁLCULO_MÉDIAS!J$4*I10</f>
        <v>31.37328876047297</v>
      </c>
      <c r="L10" s="45">
        <v>65</v>
      </c>
      <c r="M10" s="45">
        <v>100</v>
      </c>
    </row>
    <row r="11" spans="2:13" ht="19.05" customHeight="1" thickBot="1" x14ac:dyDescent="0.3">
      <c r="B11" s="34" t="s">
        <v>6</v>
      </c>
      <c r="C11" s="117">
        <v>310.02</v>
      </c>
      <c r="D11" s="78">
        <f>ORÇAMENTO_EXECUTIVO!$B$19/CÁLCULO_MÉDIAS!D$4*C11</f>
        <v>237.07559378832215</v>
      </c>
      <c r="E11" s="117">
        <v>440.86</v>
      </c>
      <c r="F11" s="78">
        <f>ORÇAMENTO_EXECUTIVO!$B$19/CÁLCULO_MÉDIAS!F$4*E11</f>
        <v>300.62896106942685</v>
      </c>
      <c r="G11" s="77">
        <v>670.84</v>
      </c>
      <c r="H11" s="111">
        <f>ORÇAMENTO_EXECUTIVO!$B$19/CÁLCULO_MÉDIAS!H$4*G11</f>
        <v>85.135202351351325</v>
      </c>
      <c r="I11" s="117">
        <v>515.42999999999995</v>
      </c>
      <c r="J11" s="62">
        <f>ORÇAMENTO_EXECUTIVO!$B$19/CÁLCULO_MÉDIAS!J$4*I11</f>
        <v>371.22897671741464</v>
      </c>
      <c r="L11" s="45">
        <v>515</v>
      </c>
      <c r="M11" s="45">
        <v>670</v>
      </c>
    </row>
    <row r="12" spans="2:13" ht="19.05" customHeight="1" thickBot="1" x14ac:dyDescent="0.3">
      <c r="B12" s="36" t="s">
        <v>7</v>
      </c>
      <c r="C12" s="116">
        <v>113.35</v>
      </c>
      <c r="D12" s="78">
        <f>ORÇAMENTO_EXECUTIVO!$B$19/CÁLCULO_MÉDIAS!D$4*C12</f>
        <v>86.679951473796251</v>
      </c>
      <c r="E12" s="116">
        <v>59.84</v>
      </c>
      <c r="F12" s="78">
        <f>ORÇAMENTO_EXECUTIVO!$B$19/CÁLCULO_MÉDIAS!F$4*E12</f>
        <v>40.805781949812875</v>
      </c>
      <c r="G12" s="112">
        <v>151.38999999999999</v>
      </c>
      <c r="H12" s="111">
        <f>ORÇAMENTO_EXECUTIVO!$B$19/CÁLCULO_MÉDIAS!H$4*G12</f>
        <v>19.212656198156157</v>
      </c>
      <c r="I12" s="116">
        <v>72.44</v>
      </c>
      <c r="J12" s="62">
        <f>ORÇAMENTO_EXECUTIVO!$B$19/CÁLCULO_MÉDIAS!J$4*I12</f>
        <v>52.173577543816847</v>
      </c>
      <c r="L12" s="45">
        <v>70</v>
      </c>
      <c r="M12" s="45">
        <v>120</v>
      </c>
    </row>
    <row r="13" spans="2:13" ht="19.05" customHeight="1" thickBot="1" x14ac:dyDescent="0.3">
      <c r="B13" s="34" t="s">
        <v>8</v>
      </c>
      <c r="C13" s="117">
        <v>332.12</v>
      </c>
      <c r="D13" s="78">
        <f>ORÇAMENTO_EXECUTIVO!$B$19/CÁLCULO_MÉDIAS!D$4*C13</f>
        <v>253.9756990161201</v>
      </c>
      <c r="E13" s="117">
        <v>296.60000000000002</v>
      </c>
      <c r="F13" s="78">
        <f>ORÇAMENTO_EXECUTIVO!$B$19/CÁLCULO_MÉDIAS!F$4*E13</f>
        <v>202.25593125525566</v>
      </c>
      <c r="G13" s="77">
        <v>301.64999999999998</v>
      </c>
      <c r="H13" s="111">
        <f>ORÇAMENTO_EXECUTIVO!$B$19/CÁLCULO_MÉDIAS!H$4*G13</f>
        <v>38.281905952664012</v>
      </c>
      <c r="I13" s="117">
        <v>300.70999999999998</v>
      </c>
      <c r="J13" s="62">
        <f>ORÇAMENTO_EXECUTIVO!$B$19/CÁLCULO_MÉDIAS!J$4*I13</f>
        <v>216.58084626174991</v>
      </c>
      <c r="L13" s="45">
        <v>290</v>
      </c>
      <c r="M13" s="45">
        <v>335</v>
      </c>
    </row>
    <row r="14" spans="2:13" ht="19.05" customHeight="1" thickBot="1" x14ac:dyDescent="0.3">
      <c r="B14" s="36" t="s">
        <v>23</v>
      </c>
      <c r="C14" s="116">
        <v>254.78</v>
      </c>
      <c r="D14" s="78">
        <f>ORÇAMENTO_EXECUTIVO!$B$19/CÁLCULO_MÉDIAS!D$4*C14</f>
        <v>194.8329778252652</v>
      </c>
      <c r="E14" s="116">
        <v>194.51</v>
      </c>
      <c r="F14" s="78">
        <f>ORÇAMENTO_EXECUTIVO!$B$19/CÁLCULO_MÉDIAS!F$4*E14</f>
        <v>132.63924878105115</v>
      </c>
      <c r="G14" s="112">
        <v>121.63</v>
      </c>
      <c r="H14" s="111">
        <f>ORÇAMENTO_EXECUTIVO!$B$19/CÁLCULO_MÉDIAS!H$4*G14</f>
        <v>15.435863487560166</v>
      </c>
      <c r="I14" s="116">
        <v>125.08</v>
      </c>
      <c r="J14" s="62">
        <f>ORÇAMENTO_EXECUTIVO!$B$19/CÁLCULO_MÉDIAS!J$4*I14</f>
        <v>90.086569287418712</v>
      </c>
      <c r="L14" s="45">
        <v>125</v>
      </c>
      <c r="M14" s="45">
        <v>255</v>
      </c>
    </row>
    <row r="15" spans="2:13" ht="19.05" customHeight="1" thickBot="1" x14ac:dyDescent="0.3">
      <c r="B15" s="36" t="s">
        <v>9</v>
      </c>
      <c r="C15" s="117">
        <v>34.01</v>
      </c>
      <c r="D15" s="78">
        <f>ORÇAMENTO_EXECUTIVO!$B$19/CÁLCULO_MÉDIAS!D$4*C15</f>
        <v>26.007808995357834</v>
      </c>
      <c r="E15" s="117">
        <v>23.16</v>
      </c>
      <c r="F15" s="78">
        <f>ORÇAMENTO_EXECUTIVO!$B$19/CÁLCULO_MÉDIAS!F$4*E15</f>
        <v>15.793146891003779</v>
      </c>
      <c r="G15" s="120">
        <v>61.19</v>
      </c>
      <c r="H15" s="111">
        <f>ORÇAMENTO_EXECUTIVO!$B$19/CÁLCULO_MÉDIAS!H$4*G15</f>
        <v>7.7655223777341655</v>
      </c>
      <c r="I15" s="117">
        <v>33.56</v>
      </c>
      <c r="J15" s="62">
        <f>ORÇAMENTO_EXECUTIVO!$B$19/CÁLCULO_MÉDIAS!J$4*I15</f>
        <v>24.170972699758334</v>
      </c>
      <c r="L15" s="45">
        <v>35</v>
      </c>
      <c r="M15" s="45">
        <v>65</v>
      </c>
    </row>
    <row r="16" spans="2:13" ht="19.05" customHeight="1" thickBot="1" x14ac:dyDescent="0.3">
      <c r="B16" s="34" t="s">
        <v>19</v>
      </c>
      <c r="C16" s="116">
        <v>65.180000000000007</v>
      </c>
      <c r="D16" s="78">
        <f>ORÇAMENTO_EXECUTIVO!$B$19/CÁLCULO_MÉDIAS!D$4*C16</f>
        <v>49.843839762347073</v>
      </c>
      <c r="E16" s="116">
        <v>109.14</v>
      </c>
      <c r="F16" s="78">
        <f>ORÇAMENTO_EXECUTIVO!$B$19/CÁLCULO_MÉDIAS!F$4*E16</f>
        <v>74.424181851647347</v>
      </c>
      <c r="G16" s="112">
        <v>161.74</v>
      </c>
      <c r="H16" s="111">
        <f>ORÇAMENTO_EXECUTIVO!$B$19/CÁLCULO_MÉDIAS!H$4*G16</f>
        <v>20.526157695288838</v>
      </c>
      <c r="I16" s="116">
        <v>89.84</v>
      </c>
      <c r="J16" s="62">
        <f>ORÇAMENTO_EXECUTIVO!$B$19/CÁLCULO_MÉDIAS!J$4*I16</f>
        <v>64.70560748946032</v>
      </c>
      <c r="L16" s="45">
        <v>65</v>
      </c>
      <c r="M16" s="45">
        <v>165</v>
      </c>
    </row>
    <row r="17" spans="2:18" ht="19.05" customHeight="1" thickBot="1" x14ac:dyDescent="0.3">
      <c r="B17" s="36" t="s">
        <v>20</v>
      </c>
      <c r="C17" s="117">
        <v>69.400000000000006</v>
      </c>
      <c r="D17" s="78">
        <f>ORÇAMENTO_EXECUTIVO!$B$19/CÁLCULO_MÉDIAS!D$4*C17</f>
        <v>53.070918679148313</v>
      </c>
      <c r="E17" s="117">
        <v>68.790000000000006</v>
      </c>
      <c r="F17" s="78">
        <f>ORÇAMENTO_EXECUTIVO!$B$19/CÁLCULO_MÉDIAS!F$4*E17</f>
        <v>46.90891945734672</v>
      </c>
      <c r="G17" s="77">
        <v>38.14</v>
      </c>
      <c r="H17" s="111">
        <f>ORÇAMENTO_EXECUTIVO!$B$19/CÁLCULO_MÉDIAS!H$4*G17</f>
        <v>4.840284744023224</v>
      </c>
      <c r="I17" s="117">
        <v>69.989999999999995</v>
      </c>
      <c r="J17" s="62">
        <f>ORÇAMENTO_EXECUTIVO!$B$19/CÁLCULO_MÉDIAS!J$4*I17</f>
        <v>50.409010108941757</v>
      </c>
      <c r="L17" s="45">
        <v>38</v>
      </c>
      <c r="M17" s="45">
        <v>60</v>
      </c>
    </row>
    <row r="18" spans="2:18" ht="19.05" customHeight="1" thickBot="1" x14ac:dyDescent="0.3">
      <c r="B18" s="34" t="s">
        <v>10</v>
      </c>
      <c r="C18" s="116">
        <v>231.88</v>
      </c>
      <c r="D18" s="78">
        <f>ORÇAMENTO_EXECUTIVO!$B$19/CÁLCULO_MÉDIAS!D$4*C18</f>
        <v>177.32110408243386</v>
      </c>
      <c r="E18" s="116">
        <v>226.88</v>
      </c>
      <c r="F18" s="78">
        <f>ORÇAMENTO_EXECUTIVO!$B$19/CÁLCULO_MÉDIAS!F$4*E18</f>
        <v>154.71283102896965</v>
      </c>
      <c r="G18" s="112">
        <v>233.5</v>
      </c>
      <c r="H18" s="111">
        <f>ORÇAMENTO_EXECUTIVO!$B$19/CÁLCULO_MÉDIAS!H$4*G18</f>
        <v>29.633101408742075</v>
      </c>
      <c r="I18" s="116">
        <v>78.12</v>
      </c>
      <c r="J18" s="62">
        <f>ORÇAMENTO_EXECUTIVO!$B$19/CÁLCULO_MÉDIAS!J$4*I18</f>
        <v>56.264493066302769</v>
      </c>
      <c r="L18" s="45">
        <v>220</v>
      </c>
      <c r="M18" s="45">
        <v>235</v>
      </c>
    </row>
    <row r="19" spans="2:18" ht="19.7" customHeight="1" thickBot="1" x14ac:dyDescent="0.3">
      <c r="B19" s="36" t="s">
        <v>11</v>
      </c>
      <c r="C19" s="117">
        <v>62.33</v>
      </c>
      <c r="D19" s="78">
        <f>ORÇAMENTO_EXECUTIVO!$B$19/CÁLCULO_MÉDIAS!D$4*C19</f>
        <v>47.664414427540542</v>
      </c>
      <c r="E19" s="117">
        <v>69.709999999999994</v>
      </c>
      <c r="F19" s="78">
        <f>ORÇAMENTO_EXECUTIVO!$B$19/CÁLCULO_MÉDIAS!F$4*E19</f>
        <v>47.536281078232875</v>
      </c>
      <c r="G19" s="77">
        <v>60.25</v>
      </c>
      <c r="H19" s="111">
        <f>ORÇAMENTO_EXECUTIVO!$B$19/CÁLCULO_MÉDIAS!H$4*G19</f>
        <v>7.6462285219559316</v>
      </c>
      <c r="I19" s="117">
        <v>65.03</v>
      </c>
      <c r="J19" s="62">
        <f>ORÇAMENTO_EXECUTIVO!$B$19/CÁLCULO_MÉDIAS!J$4*I19</f>
        <v>46.836661342827306</v>
      </c>
      <c r="L19" s="45">
        <v>65</v>
      </c>
      <c r="M19" s="45">
        <v>70</v>
      </c>
      <c r="Q19">
        <v>116.72</v>
      </c>
      <c r="R19" t="s">
        <v>163</v>
      </c>
    </row>
    <row r="20" spans="2:18" ht="21.75" thickBot="1" x14ac:dyDescent="0.3">
      <c r="B20" s="34" t="s">
        <v>12</v>
      </c>
      <c r="C20" s="116">
        <v>200.81</v>
      </c>
      <c r="D20" s="78">
        <f>ORÇAMENTO_EXECUTIVO!$B$19/CÁLCULO_MÉDIAS!D$4*C20</f>
        <v>153.5615443798238</v>
      </c>
      <c r="E20" s="116">
        <v>361.82</v>
      </c>
      <c r="F20" s="78">
        <f>ORÇAMENTO_EXECUTIVO!$B$19/CÁLCULO_MÉDIAS!F$4*E20</f>
        <v>246.73041485764193</v>
      </c>
      <c r="G20" s="112">
        <v>393.73</v>
      </c>
      <c r="H20" s="111">
        <f>ORÇAMENTO_EXECUTIVO!$B$19/CÁLCULO_MÉDIAS!H$4*G20</f>
        <v>49.967627484642477</v>
      </c>
      <c r="I20" s="116">
        <v>401.96</v>
      </c>
      <c r="J20" s="62">
        <f>ORÇAMENTO_EXECUTIVO!$B$19/CÁLCULO_MÉDIAS!J$4*I20</f>
        <v>289.50429637648563</v>
      </c>
      <c r="L20" s="45">
        <v>360</v>
      </c>
      <c r="M20" s="45">
        <v>400</v>
      </c>
    </row>
    <row r="21" spans="2:18" ht="19.05" customHeight="1" thickBot="1" x14ac:dyDescent="0.3">
      <c r="B21" s="36" t="s">
        <v>22</v>
      </c>
      <c r="C21" s="117">
        <v>3.62</v>
      </c>
      <c r="D21" s="78">
        <f>ORÇAMENTO_EXECUTIVO!$B$19/CÁLCULO_MÉDIAS!D$4*C21</f>
        <v>2.7682525305261798</v>
      </c>
      <c r="E21" s="117">
        <v>3.43</v>
      </c>
      <c r="F21" s="78">
        <f>ORÇAMENTO_EXECUTIVO!$B$19/CÁLCULO_MÉDIAS!F$4*E21</f>
        <v>2.3389677822168808</v>
      </c>
      <c r="G21" s="77">
        <v>18.059999999999999</v>
      </c>
      <c r="H21" s="111">
        <f>ORÇAMENTO_EXECUTIVO!$B$19/CÁLCULO_MÉDIAS!H$4*G21</f>
        <v>2.2919649312286161</v>
      </c>
      <c r="I21" s="117">
        <v>0</v>
      </c>
      <c r="J21" s="62">
        <f>ORÇAMENTO_EXECUTIVO!$B$19/CÁLCULO_MÉDIAS!J$4*I21</f>
        <v>0</v>
      </c>
      <c r="L21" s="45">
        <v>3</v>
      </c>
      <c r="M21" s="45">
        <v>8</v>
      </c>
    </row>
    <row r="22" spans="2:18" ht="19.05" customHeight="1" thickBot="1" x14ac:dyDescent="0.3">
      <c r="B22" s="34" t="s">
        <v>13</v>
      </c>
      <c r="C22" s="116">
        <v>81.12</v>
      </c>
      <c r="D22" s="78">
        <f>ORÇAMENTO_EXECUTIVO!$B$19/CÁLCULO_MÉDIAS!D$4*C22</f>
        <v>62.033327424387764</v>
      </c>
      <c r="E22" s="116">
        <v>70.040000000000006</v>
      </c>
      <c r="F22" s="78">
        <f>ORÇAMENTO_EXECUTIVO!$B$19/CÁLCULO_MÉDIAS!F$4*E22</f>
        <v>47.761312963985525</v>
      </c>
      <c r="G22" s="112">
        <v>152.18</v>
      </c>
      <c r="H22" s="111">
        <f>ORÇAMENTO_EXECUTIVO!$B$19/CÁLCULO_MÉDIAS!H$4*G22</f>
        <v>19.31291380035276</v>
      </c>
      <c r="I22" s="116">
        <v>190.5</v>
      </c>
      <c r="J22" s="62">
        <f>ORÇAMENTO_EXECUTIVO!$B$19/CÁLCULO_MÉDIAS!J$4*I22</f>
        <v>137.20412095661388</v>
      </c>
      <c r="L22" s="45">
        <v>150</v>
      </c>
      <c r="M22" s="45">
        <v>190</v>
      </c>
    </row>
    <row r="23" spans="2:18" ht="19.05" customHeight="1" thickBot="1" x14ac:dyDescent="0.3">
      <c r="B23" s="37" t="s">
        <v>14</v>
      </c>
      <c r="C23" s="117">
        <v>112.85</v>
      </c>
      <c r="D23" s="78">
        <f>ORÇAMENTO_EXECUTIVO!$B$19/CÁLCULO_MÉDIAS!D$4*C23</f>
        <v>86.297596151900379</v>
      </c>
      <c r="E23" s="117">
        <v>84.68</v>
      </c>
      <c r="F23" s="78">
        <f>ORÇAMENTO_EXECUTIVO!$B$19/CÁLCULO_MÉDIAS!F$4*E23</f>
        <v>57.744545713739207</v>
      </c>
      <c r="G23" s="113">
        <v>152.51</v>
      </c>
      <c r="H23" s="111">
        <f>ORÇAMENTO_EXECUTIVO!$B$19/CÁLCULO_MÉDIAS!H$4*G23</f>
        <v>19.354793558232352</v>
      </c>
      <c r="I23" s="117">
        <v>85.44</v>
      </c>
      <c r="J23" s="62">
        <f>ORÇAMENTO_EXECUTIVO!$B$19/CÁLCULO_MÉDIAS!J$4*I23</f>
        <v>61.536588422745879</v>
      </c>
      <c r="L23" s="46">
        <v>80</v>
      </c>
      <c r="M23" s="46">
        <v>150</v>
      </c>
    </row>
    <row r="24" spans="2:18" ht="19.05" customHeight="1" thickBot="1" x14ac:dyDescent="0.3">
      <c r="B24" s="38" t="s">
        <v>15</v>
      </c>
      <c r="C24" s="39">
        <f>SUM(C8:C23)</f>
        <v>2499.1199999999994</v>
      </c>
      <c r="D24" s="63">
        <f t="shared" ref="D24:J24" si="0">SUM(D8:D23)</f>
        <v>1911.1036641128687</v>
      </c>
      <c r="E24" s="39">
        <f t="shared" si="0"/>
        <v>2595.15</v>
      </c>
      <c r="F24" s="63">
        <f t="shared" si="0"/>
        <v>1769.671207002956</v>
      </c>
      <c r="G24" s="39">
        <f t="shared" si="0"/>
        <v>2940.0299999999997</v>
      </c>
      <c r="H24" s="63">
        <f t="shared" si="0"/>
        <v>373.11437745072368</v>
      </c>
      <c r="I24" s="39">
        <f t="shared" si="0"/>
        <v>2571.2499999999995</v>
      </c>
      <c r="J24" s="121">
        <f t="shared" si="0"/>
        <v>1851.8955171112516</v>
      </c>
      <c r="L24" s="47">
        <f>SUM(L9:L23)</f>
        <v>2091</v>
      </c>
      <c r="M24" s="47">
        <f>SUM(M9:M23)</f>
        <v>2848</v>
      </c>
    </row>
    <row r="26" spans="2:18" x14ac:dyDescent="0.25">
      <c r="B26" s="21"/>
      <c r="C26" s="143" t="s">
        <v>108</v>
      </c>
      <c r="D26" s="143"/>
      <c r="E26" s="75" t="s">
        <v>108</v>
      </c>
      <c r="F26" s="76"/>
      <c r="G26" s="75" t="s">
        <v>108</v>
      </c>
      <c r="H26" s="76"/>
      <c r="I26" s="75" t="s">
        <v>109</v>
      </c>
      <c r="J26" s="76"/>
    </row>
    <row r="27" spans="2:18" x14ac:dyDescent="0.25">
      <c r="C27" s="22"/>
      <c r="F27" s="22"/>
      <c r="G27" s="22"/>
      <c r="H27" s="22"/>
      <c r="J27" s="22"/>
    </row>
    <row r="29" spans="2:18" x14ac:dyDescent="0.25">
      <c r="I29" s="43"/>
      <c r="J29" s="43"/>
      <c r="K29" s="43"/>
    </row>
    <row r="30" spans="2:18" x14ac:dyDescent="0.25">
      <c r="I30" s="43"/>
      <c r="J30" s="43"/>
      <c r="K30" s="43"/>
    </row>
    <row r="31" spans="2:18" x14ac:dyDescent="0.25">
      <c r="I31" s="43"/>
      <c r="J31" s="43"/>
      <c r="K31" s="43"/>
    </row>
    <row r="32" spans="2:18" x14ac:dyDescent="0.25">
      <c r="I32" s="43"/>
      <c r="J32" s="43"/>
      <c r="K32" s="43"/>
    </row>
    <row r="33" spans="9:11" x14ac:dyDescent="0.25">
      <c r="I33" s="43"/>
      <c r="J33" s="43"/>
      <c r="K33" s="43"/>
    </row>
  </sheetData>
  <mergeCells count="6">
    <mergeCell ref="L6:M6"/>
    <mergeCell ref="C26:D26"/>
    <mergeCell ref="C6:D6"/>
    <mergeCell ref="E6:F6"/>
    <mergeCell ref="G6:H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A0A9-F3BF-46D9-B1DC-C43B6B4229CA}">
  <dimension ref="C4:E48"/>
  <sheetViews>
    <sheetView workbookViewId="0">
      <selection activeCell="G6" sqref="G6"/>
    </sheetView>
  </sheetViews>
  <sheetFormatPr defaultRowHeight="14.3" x14ac:dyDescent="0.25"/>
  <cols>
    <col min="3" max="3" width="61.75" bestFit="1" customWidth="1"/>
    <col min="4" max="4" width="17.875" bestFit="1" customWidth="1"/>
    <col min="5" max="5" width="10.25" bestFit="1" customWidth="1"/>
  </cols>
  <sheetData>
    <row r="4" spans="3:4" ht="19.7" x14ac:dyDescent="0.25">
      <c r="C4" s="82" t="s">
        <v>118</v>
      </c>
      <c r="D4" s="7"/>
    </row>
    <row r="5" spans="3:4" ht="19.7" x14ac:dyDescent="0.25">
      <c r="C5" s="82" t="s">
        <v>111</v>
      </c>
      <c r="D5" s="7"/>
    </row>
    <row r="6" spans="3:4" ht="19.7" x14ac:dyDescent="0.25">
      <c r="C6" s="82" t="s">
        <v>112</v>
      </c>
      <c r="D6" s="7"/>
    </row>
    <row r="7" spans="3:4" ht="19.7" x14ac:dyDescent="0.25">
      <c r="C7" s="82" t="s">
        <v>113</v>
      </c>
      <c r="D7" s="7"/>
    </row>
    <row r="8" spans="3:4" ht="19.7" x14ac:dyDescent="0.25">
      <c r="C8" s="82" t="s">
        <v>114</v>
      </c>
      <c r="D8" s="7"/>
    </row>
    <row r="9" spans="3:4" ht="19.7" x14ac:dyDescent="0.25">
      <c r="C9" s="82" t="s">
        <v>115</v>
      </c>
      <c r="D9" s="7"/>
    </row>
    <row r="10" spans="3:4" ht="19.7" x14ac:dyDescent="0.25">
      <c r="C10" s="82" t="s">
        <v>116</v>
      </c>
      <c r="D10" s="7"/>
    </row>
    <row r="11" spans="3:4" ht="19.7" x14ac:dyDescent="0.25">
      <c r="C11" s="82" t="s">
        <v>117</v>
      </c>
      <c r="D11" s="7"/>
    </row>
    <row r="12" spans="3:4" ht="19.7" x14ac:dyDescent="0.25">
      <c r="C12" s="7"/>
      <c r="D12" s="7"/>
    </row>
    <row r="13" spans="3:4" ht="19.7" x14ac:dyDescent="0.25">
      <c r="C13" s="82" t="s">
        <v>119</v>
      </c>
      <c r="D13" s="7"/>
    </row>
    <row r="14" spans="3:4" ht="19.7" x14ac:dyDescent="0.25">
      <c r="C14" s="88">
        <v>8645.48</v>
      </c>
    </row>
    <row r="15" spans="3:4" ht="19.7" x14ac:dyDescent="0.25">
      <c r="C15" s="89">
        <v>30185.13</v>
      </c>
    </row>
    <row r="16" spans="3:4" ht="19.7" x14ac:dyDescent="0.25">
      <c r="C16" s="89">
        <v>8112.23</v>
      </c>
    </row>
    <row r="17" spans="3:4" ht="19.7" x14ac:dyDescent="0.25">
      <c r="C17" s="89">
        <v>23715.3</v>
      </c>
    </row>
    <row r="18" spans="3:4" ht="19.7" x14ac:dyDescent="0.25">
      <c r="C18" s="89">
        <v>19218.72</v>
      </c>
    </row>
    <row r="19" spans="3:4" ht="19.7" x14ac:dyDescent="0.25">
      <c r="C19" s="89">
        <v>11031.98</v>
      </c>
    </row>
    <row r="20" spans="3:4" ht="19.7" x14ac:dyDescent="0.25">
      <c r="C20" s="89">
        <v>11407.23</v>
      </c>
    </row>
    <row r="21" spans="3:4" ht="19.7" x14ac:dyDescent="0.25">
      <c r="C21" s="89">
        <v>9383.25</v>
      </c>
    </row>
    <row r="22" spans="3:4" ht="19.7" x14ac:dyDescent="0.25">
      <c r="C22" s="88">
        <f>24638.61/2</f>
        <v>12319.305</v>
      </c>
    </row>
    <row r="23" spans="3:4" ht="19.7" x14ac:dyDescent="0.25">
      <c r="C23" s="88">
        <f>29675.88/2</f>
        <v>14837.94</v>
      </c>
    </row>
    <row r="24" spans="3:4" ht="19.7" x14ac:dyDescent="0.25">
      <c r="C24" s="88">
        <f>39848.85/2</f>
        <v>19924.424999999999</v>
      </c>
    </row>
    <row r="25" spans="3:4" ht="19.7" x14ac:dyDescent="0.25">
      <c r="C25" s="88">
        <f>29918.64/2</f>
        <v>14959.32</v>
      </c>
    </row>
    <row r="26" spans="3:4" ht="19.7" x14ac:dyDescent="0.25">
      <c r="C26" s="88">
        <f>70119.9/2</f>
        <v>35059.949999999997</v>
      </c>
    </row>
    <row r="27" spans="3:4" ht="19.7" x14ac:dyDescent="0.25">
      <c r="C27" s="88">
        <f>21920.82/2</f>
        <v>10960.41</v>
      </c>
    </row>
    <row r="28" spans="3:4" ht="19.7" x14ac:dyDescent="0.25">
      <c r="C28" s="88">
        <f>20985.48/2</f>
        <v>10492.74</v>
      </c>
    </row>
    <row r="29" spans="3:4" ht="19.7" x14ac:dyDescent="0.25">
      <c r="C29" s="88">
        <f>23443.68/2</f>
        <v>11721.84</v>
      </c>
    </row>
    <row r="30" spans="3:4" ht="19.7" x14ac:dyDescent="0.25">
      <c r="C30" s="83">
        <f>SUM(C14:C29)</f>
        <v>251975.25</v>
      </c>
      <c r="D30" s="80" t="s">
        <v>121</v>
      </c>
    </row>
    <row r="31" spans="3:4" ht="19.7" x14ac:dyDescent="0.25">
      <c r="C31" s="82">
        <v>2373.64</v>
      </c>
      <c r="D31" s="80" t="s">
        <v>110</v>
      </c>
    </row>
    <row r="32" spans="3:4" ht="19.7" x14ac:dyDescent="0.25">
      <c r="C32" s="84">
        <f>C30/C31</f>
        <v>106.15563017138236</v>
      </c>
      <c r="D32" s="85" t="s">
        <v>120</v>
      </c>
    </row>
    <row r="37" spans="3:5" x14ac:dyDescent="0.25">
      <c r="C37" s="86">
        <v>23676.880000000001</v>
      </c>
      <c r="D37">
        <v>2373.64</v>
      </c>
    </row>
    <row r="38" spans="3:5" x14ac:dyDescent="0.25">
      <c r="D38">
        <v>4309.7700000000004</v>
      </c>
    </row>
    <row r="39" spans="3:5" x14ac:dyDescent="0.25">
      <c r="C39" s="87">
        <f>C37*D38</f>
        <v>102041907.11760001</v>
      </c>
    </row>
    <row r="40" spans="3:5" x14ac:dyDescent="0.25">
      <c r="C40" s="87">
        <f>C39/D37</f>
        <v>42989.630743330927</v>
      </c>
    </row>
    <row r="42" spans="3:5" x14ac:dyDescent="0.25">
      <c r="C42" s="92" t="s">
        <v>124</v>
      </c>
      <c r="D42" s="79"/>
    </row>
    <row r="43" spans="3:5" x14ac:dyDescent="0.25">
      <c r="C43" s="80" t="s">
        <v>122</v>
      </c>
      <c r="D43" s="79">
        <v>14888.46</v>
      </c>
    </row>
    <row r="44" spans="3:5" x14ac:dyDescent="0.25">
      <c r="C44" s="80" t="s">
        <v>2</v>
      </c>
      <c r="D44" s="81">
        <v>422100</v>
      </c>
    </row>
    <row r="45" spans="3:5" x14ac:dyDescent="0.25">
      <c r="C45" s="85" t="s">
        <v>123</v>
      </c>
      <c r="D45" s="91">
        <f>D44/D43</f>
        <v>28.350816672778784</v>
      </c>
    </row>
    <row r="46" spans="3:5" x14ac:dyDescent="0.25">
      <c r="C46" s="80" t="s">
        <v>122</v>
      </c>
      <c r="D46" s="79">
        <v>4309.7700000000004</v>
      </c>
    </row>
    <row r="47" spans="3:5" x14ac:dyDescent="0.25">
      <c r="C47" s="80" t="s">
        <v>2</v>
      </c>
      <c r="D47" s="81">
        <f>D45*D46</f>
        <v>122185.49917184183</v>
      </c>
      <c r="E47" s="90">
        <f>D47/224.24</f>
        <v>544.88717076276237</v>
      </c>
    </row>
    <row r="48" spans="3:5" x14ac:dyDescent="0.25">
      <c r="C48" s="85" t="s">
        <v>123</v>
      </c>
      <c r="D48" s="91">
        <f>D47/D46</f>
        <v>28.350816672778784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E191-5628-4060-9CFE-5046692709C6}">
  <dimension ref="A1:AH62"/>
  <sheetViews>
    <sheetView topLeftCell="A13" zoomScale="74" zoomScaleNormal="74" workbookViewId="0">
      <selection activeCell="AF25" sqref="AF25"/>
    </sheetView>
  </sheetViews>
  <sheetFormatPr defaultRowHeight="14.3" x14ac:dyDescent="0.25"/>
  <cols>
    <col min="1" max="1" width="10.25" style="20" bestFit="1" customWidth="1"/>
    <col min="2" max="2" width="0.875" style="20" bestFit="1" customWidth="1"/>
    <col min="3" max="3" width="1.375" style="20" bestFit="1" customWidth="1"/>
    <col min="4" max="4" width="6.125" style="20" bestFit="1" customWidth="1"/>
    <col min="5" max="5" width="11.25" style="20" bestFit="1" customWidth="1"/>
    <col min="6" max="6" width="2.75" style="20" bestFit="1" customWidth="1"/>
    <col min="7" max="7" width="0.875" style="20" bestFit="1" customWidth="1"/>
    <col min="8" max="8" width="3.75" style="20" bestFit="1" customWidth="1"/>
    <col min="9" max="9" width="2.75" style="20" bestFit="1" customWidth="1"/>
    <col min="10" max="10" width="0.875" style="20" bestFit="1" customWidth="1"/>
    <col min="11" max="11" width="5.625" style="20" bestFit="1" customWidth="1"/>
    <col min="12" max="12" width="1.875" style="20" bestFit="1" customWidth="1"/>
    <col min="13" max="13" width="0.875" style="20" bestFit="1" customWidth="1"/>
    <col min="14" max="15" width="1.875" style="20" bestFit="1" customWidth="1"/>
    <col min="16" max="16" width="3.75" style="20" bestFit="1" customWidth="1"/>
    <col min="17" max="17" width="2.75" style="20" bestFit="1" customWidth="1"/>
    <col min="18" max="18" width="0.875" style="20" bestFit="1" customWidth="1"/>
    <col min="19" max="19" width="1.875" style="20" bestFit="1" customWidth="1"/>
    <col min="20" max="20" width="0.875" style="20" bestFit="1" customWidth="1"/>
    <col min="21" max="21" width="1.875" style="20" bestFit="1" customWidth="1"/>
    <col min="22" max="22" width="3.75" style="20" bestFit="1" customWidth="1"/>
    <col min="23" max="23" width="0.875" style="20" bestFit="1" customWidth="1"/>
    <col min="24" max="30" width="5.625" style="20" customWidth="1"/>
    <col min="31" max="31" width="10.375" style="20" bestFit="1" customWidth="1"/>
    <col min="32" max="32" width="13" style="20" bestFit="1" customWidth="1"/>
    <col min="33" max="256" width="9" style="20"/>
    <col min="257" max="257" width="10.25" style="20" bestFit="1" customWidth="1"/>
    <col min="258" max="258" width="0.875" style="20" bestFit="1" customWidth="1"/>
    <col min="259" max="259" width="1.375" style="20" bestFit="1" customWidth="1"/>
    <col min="260" max="260" width="6.125" style="20" bestFit="1" customWidth="1"/>
    <col min="261" max="261" width="11.25" style="20" bestFit="1" customWidth="1"/>
    <col min="262" max="262" width="2.75" style="20" bestFit="1" customWidth="1"/>
    <col min="263" max="263" width="0.875" style="20" bestFit="1" customWidth="1"/>
    <col min="264" max="264" width="3.75" style="20" bestFit="1" customWidth="1"/>
    <col min="265" max="265" width="2.75" style="20" bestFit="1" customWidth="1"/>
    <col min="266" max="266" width="0.875" style="20" bestFit="1" customWidth="1"/>
    <col min="267" max="267" width="5.625" style="20" bestFit="1" customWidth="1"/>
    <col min="268" max="268" width="1.875" style="20" bestFit="1" customWidth="1"/>
    <col min="269" max="269" width="0.875" style="20" bestFit="1" customWidth="1"/>
    <col min="270" max="271" width="1.875" style="20" bestFit="1" customWidth="1"/>
    <col min="272" max="272" width="3.75" style="20" bestFit="1" customWidth="1"/>
    <col min="273" max="273" width="2.75" style="20" bestFit="1" customWidth="1"/>
    <col min="274" max="274" width="0.875" style="20" bestFit="1" customWidth="1"/>
    <col min="275" max="275" width="1.875" style="20" bestFit="1" customWidth="1"/>
    <col min="276" max="276" width="0.875" style="20" bestFit="1" customWidth="1"/>
    <col min="277" max="277" width="1.875" style="20" bestFit="1" customWidth="1"/>
    <col min="278" max="278" width="3.75" style="20" bestFit="1" customWidth="1"/>
    <col min="279" max="280" width="0.875" style="20" bestFit="1" customWidth="1"/>
    <col min="281" max="281" width="2.75" style="20" bestFit="1" customWidth="1"/>
    <col min="282" max="282" width="0.875" style="20" bestFit="1" customWidth="1"/>
    <col min="283" max="283" width="3.75" style="20" bestFit="1" customWidth="1"/>
    <col min="284" max="284" width="2.75" style="20" bestFit="1" customWidth="1"/>
    <col min="285" max="285" width="0.875" style="20" bestFit="1" customWidth="1"/>
    <col min="286" max="286" width="1.875" style="20" bestFit="1" customWidth="1"/>
    <col min="287" max="287" width="9.375" style="20" bestFit="1" customWidth="1"/>
    <col min="288" max="512" width="9" style="20"/>
    <col min="513" max="513" width="10.25" style="20" bestFit="1" customWidth="1"/>
    <col min="514" max="514" width="0.875" style="20" bestFit="1" customWidth="1"/>
    <col min="515" max="515" width="1.375" style="20" bestFit="1" customWidth="1"/>
    <col min="516" max="516" width="6.125" style="20" bestFit="1" customWidth="1"/>
    <col min="517" max="517" width="11.25" style="20" bestFit="1" customWidth="1"/>
    <col min="518" max="518" width="2.75" style="20" bestFit="1" customWidth="1"/>
    <col min="519" max="519" width="0.875" style="20" bestFit="1" customWidth="1"/>
    <col min="520" max="520" width="3.75" style="20" bestFit="1" customWidth="1"/>
    <col min="521" max="521" width="2.75" style="20" bestFit="1" customWidth="1"/>
    <col min="522" max="522" width="0.875" style="20" bestFit="1" customWidth="1"/>
    <col min="523" max="523" width="5.625" style="20" bestFit="1" customWidth="1"/>
    <col min="524" max="524" width="1.875" style="20" bestFit="1" customWidth="1"/>
    <col min="525" max="525" width="0.875" style="20" bestFit="1" customWidth="1"/>
    <col min="526" max="527" width="1.875" style="20" bestFit="1" customWidth="1"/>
    <col min="528" max="528" width="3.75" style="20" bestFit="1" customWidth="1"/>
    <col min="529" max="529" width="2.75" style="20" bestFit="1" customWidth="1"/>
    <col min="530" max="530" width="0.875" style="20" bestFit="1" customWidth="1"/>
    <col min="531" max="531" width="1.875" style="20" bestFit="1" customWidth="1"/>
    <col min="532" max="532" width="0.875" style="20" bestFit="1" customWidth="1"/>
    <col min="533" max="533" width="1.875" style="20" bestFit="1" customWidth="1"/>
    <col min="534" max="534" width="3.75" style="20" bestFit="1" customWidth="1"/>
    <col min="535" max="536" width="0.875" style="20" bestFit="1" customWidth="1"/>
    <col min="537" max="537" width="2.75" style="20" bestFit="1" customWidth="1"/>
    <col min="538" max="538" width="0.875" style="20" bestFit="1" customWidth="1"/>
    <col min="539" max="539" width="3.75" style="20" bestFit="1" customWidth="1"/>
    <col min="540" max="540" width="2.75" style="20" bestFit="1" customWidth="1"/>
    <col min="541" max="541" width="0.875" style="20" bestFit="1" customWidth="1"/>
    <col min="542" max="542" width="1.875" style="20" bestFit="1" customWidth="1"/>
    <col min="543" max="543" width="9.375" style="20" bestFit="1" customWidth="1"/>
    <col min="544" max="768" width="9" style="20"/>
    <col min="769" max="769" width="10.25" style="20" bestFit="1" customWidth="1"/>
    <col min="770" max="770" width="0.875" style="20" bestFit="1" customWidth="1"/>
    <col min="771" max="771" width="1.375" style="20" bestFit="1" customWidth="1"/>
    <col min="772" max="772" width="6.125" style="20" bestFit="1" customWidth="1"/>
    <col min="773" max="773" width="11.25" style="20" bestFit="1" customWidth="1"/>
    <col min="774" max="774" width="2.75" style="20" bestFit="1" customWidth="1"/>
    <col min="775" max="775" width="0.875" style="20" bestFit="1" customWidth="1"/>
    <col min="776" max="776" width="3.75" style="20" bestFit="1" customWidth="1"/>
    <col min="777" max="777" width="2.75" style="20" bestFit="1" customWidth="1"/>
    <col min="778" max="778" width="0.875" style="20" bestFit="1" customWidth="1"/>
    <col min="779" max="779" width="5.625" style="20" bestFit="1" customWidth="1"/>
    <col min="780" max="780" width="1.875" style="20" bestFit="1" customWidth="1"/>
    <col min="781" max="781" width="0.875" style="20" bestFit="1" customWidth="1"/>
    <col min="782" max="783" width="1.875" style="20" bestFit="1" customWidth="1"/>
    <col min="784" max="784" width="3.75" style="20" bestFit="1" customWidth="1"/>
    <col min="785" max="785" width="2.75" style="20" bestFit="1" customWidth="1"/>
    <col min="786" max="786" width="0.875" style="20" bestFit="1" customWidth="1"/>
    <col min="787" max="787" width="1.875" style="20" bestFit="1" customWidth="1"/>
    <col min="788" max="788" width="0.875" style="20" bestFit="1" customWidth="1"/>
    <col min="789" max="789" width="1.875" style="20" bestFit="1" customWidth="1"/>
    <col min="790" max="790" width="3.75" style="20" bestFit="1" customWidth="1"/>
    <col min="791" max="792" width="0.875" style="20" bestFit="1" customWidth="1"/>
    <col min="793" max="793" width="2.75" style="20" bestFit="1" customWidth="1"/>
    <col min="794" max="794" width="0.875" style="20" bestFit="1" customWidth="1"/>
    <col min="795" max="795" width="3.75" style="20" bestFit="1" customWidth="1"/>
    <col min="796" max="796" width="2.75" style="20" bestFit="1" customWidth="1"/>
    <col min="797" max="797" width="0.875" style="20" bestFit="1" customWidth="1"/>
    <col min="798" max="798" width="1.875" style="20" bestFit="1" customWidth="1"/>
    <col min="799" max="799" width="9.375" style="20" bestFit="1" customWidth="1"/>
    <col min="800" max="1024" width="9" style="20"/>
    <col min="1025" max="1025" width="10.25" style="20" bestFit="1" customWidth="1"/>
    <col min="1026" max="1026" width="0.875" style="20" bestFit="1" customWidth="1"/>
    <col min="1027" max="1027" width="1.375" style="20" bestFit="1" customWidth="1"/>
    <col min="1028" max="1028" width="6.125" style="20" bestFit="1" customWidth="1"/>
    <col min="1029" max="1029" width="11.25" style="20" bestFit="1" customWidth="1"/>
    <col min="1030" max="1030" width="2.75" style="20" bestFit="1" customWidth="1"/>
    <col min="1031" max="1031" width="0.875" style="20" bestFit="1" customWidth="1"/>
    <col min="1032" max="1032" width="3.75" style="20" bestFit="1" customWidth="1"/>
    <col min="1033" max="1033" width="2.75" style="20" bestFit="1" customWidth="1"/>
    <col min="1034" max="1034" width="0.875" style="20" bestFit="1" customWidth="1"/>
    <col min="1035" max="1035" width="5.625" style="20" bestFit="1" customWidth="1"/>
    <col min="1036" max="1036" width="1.875" style="20" bestFit="1" customWidth="1"/>
    <col min="1037" max="1037" width="0.875" style="20" bestFit="1" customWidth="1"/>
    <col min="1038" max="1039" width="1.875" style="20" bestFit="1" customWidth="1"/>
    <col min="1040" max="1040" width="3.75" style="20" bestFit="1" customWidth="1"/>
    <col min="1041" max="1041" width="2.75" style="20" bestFit="1" customWidth="1"/>
    <col min="1042" max="1042" width="0.875" style="20" bestFit="1" customWidth="1"/>
    <col min="1043" max="1043" width="1.875" style="20" bestFit="1" customWidth="1"/>
    <col min="1044" max="1044" width="0.875" style="20" bestFit="1" customWidth="1"/>
    <col min="1045" max="1045" width="1.875" style="20" bestFit="1" customWidth="1"/>
    <col min="1046" max="1046" width="3.75" style="20" bestFit="1" customWidth="1"/>
    <col min="1047" max="1048" width="0.875" style="20" bestFit="1" customWidth="1"/>
    <col min="1049" max="1049" width="2.75" style="20" bestFit="1" customWidth="1"/>
    <col min="1050" max="1050" width="0.875" style="20" bestFit="1" customWidth="1"/>
    <col min="1051" max="1051" width="3.75" style="20" bestFit="1" customWidth="1"/>
    <col min="1052" max="1052" width="2.75" style="20" bestFit="1" customWidth="1"/>
    <col min="1053" max="1053" width="0.875" style="20" bestFit="1" customWidth="1"/>
    <col min="1054" max="1054" width="1.875" style="20" bestFit="1" customWidth="1"/>
    <col min="1055" max="1055" width="9.375" style="20" bestFit="1" customWidth="1"/>
    <col min="1056" max="1280" width="9" style="20"/>
    <col min="1281" max="1281" width="10.25" style="20" bestFit="1" customWidth="1"/>
    <col min="1282" max="1282" width="0.875" style="20" bestFit="1" customWidth="1"/>
    <col min="1283" max="1283" width="1.375" style="20" bestFit="1" customWidth="1"/>
    <col min="1284" max="1284" width="6.125" style="20" bestFit="1" customWidth="1"/>
    <col min="1285" max="1285" width="11.25" style="20" bestFit="1" customWidth="1"/>
    <col min="1286" max="1286" width="2.75" style="20" bestFit="1" customWidth="1"/>
    <col min="1287" max="1287" width="0.875" style="20" bestFit="1" customWidth="1"/>
    <col min="1288" max="1288" width="3.75" style="20" bestFit="1" customWidth="1"/>
    <col min="1289" max="1289" width="2.75" style="20" bestFit="1" customWidth="1"/>
    <col min="1290" max="1290" width="0.875" style="20" bestFit="1" customWidth="1"/>
    <col min="1291" max="1291" width="5.625" style="20" bestFit="1" customWidth="1"/>
    <col min="1292" max="1292" width="1.875" style="20" bestFit="1" customWidth="1"/>
    <col min="1293" max="1293" width="0.875" style="20" bestFit="1" customWidth="1"/>
    <col min="1294" max="1295" width="1.875" style="20" bestFit="1" customWidth="1"/>
    <col min="1296" max="1296" width="3.75" style="20" bestFit="1" customWidth="1"/>
    <col min="1297" max="1297" width="2.75" style="20" bestFit="1" customWidth="1"/>
    <col min="1298" max="1298" width="0.875" style="20" bestFit="1" customWidth="1"/>
    <col min="1299" max="1299" width="1.875" style="20" bestFit="1" customWidth="1"/>
    <col min="1300" max="1300" width="0.875" style="20" bestFit="1" customWidth="1"/>
    <col min="1301" max="1301" width="1.875" style="20" bestFit="1" customWidth="1"/>
    <col min="1302" max="1302" width="3.75" style="20" bestFit="1" customWidth="1"/>
    <col min="1303" max="1304" width="0.875" style="20" bestFit="1" customWidth="1"/>
    <col min="1305" max="1305" width="2.75" style="20" bestFit="1" customWidth="1"/>
    <col min="1306" max="1306" width="0.875" style="20" bestFit="1" customWidth="1"/>
    <col min="1307" max="1307" width="3.75" style="20" bestFit="1" customWidth="1"/>
    <col min="1308" max="1308" width="2.75" style="20" bestFit="1" customWidth="1"/>
    <col min="1309" max="1309" width="0.875" style="20" bestFit="1" customWidth="1"/>
    <col min="1310" max="1310" width="1.875" style="20" bestFit="1" customWidth="1"/>
    <col min="1311" max="1311" width="9.375" style="20" bestFit="1" customWidth="1"/>
    <col min="1312" max="1536" width="9" style="20"/>
    <col min="1537" max="1537" width="10.25" style="20" bestFit="1" customWidth="1"/>
    <col min="1538" max="1538" width="0.875" style="20" bestFit="1" customWidth="1"/>
    <col min="1539" max="1539" width="1.375" style="20" bestFit="1" customWidth="1"/>
    <col min="1540" max="1540" width="6.125" style="20" bestFit="1" customWidth="1"/>
    <col min="1541" max="1541" width="11.25" style="20" bestFit="1" customWidth="1"/>
    <col min="1542" max="1542" width="2.75" style="20" bestFit="1" customWidth="1"/>
    <col min="1543" max="1543" width="0.875" style="20" bestFit="1" customWidth="1"/>
    <col min="1544" max="1544" width="3.75" style="20" bestFit="1" customWidth="1"/>
    <col min="1545" max="1545" width="2.75" style="20" bestFit="1" customWidth="1"/>
    <col min="1546" max="1546" width="0.875" style="20" bestFit="1" customWidth="1"/>
    <col min="1547" max="1547" width="5.625" style="20" bestFit="1" customWidth="1"/>
    <col min="1548" max="1548" width="1.875" style="20" bestFit="1" customWidth="1"/>
    <col min="1549" max="1549" width="0.875" style="20" bestFit="1" customWidth="1"/>
    <col min="1550" max="1551" width="1.875" style="20" bestFit="1" customWidth="1"/>
    <col min="1552" max="1552" width="3.75" style="20" bestFit="1" customWidth="1"/>
    <col min="1553" max="1553" width="2.75" style="20" bestFit="1" customWidth="1"/>
    <col min="1554" max="1554" width="0.875" style="20" bestFit="1" customWidth="1"/>
    <col min="1555" max="1555" width="1.875" style="20" bestFit="1" customWidth="1"/>
    <col min="1556" max="1556" width="0.875" style="20" bestFit="1" customWidth="1"/>
    <col min="1557" max="1557" width="1.875" style="20" bestFit="1" customWidth="1"/>
    <col min="1558" max="1558" width="3.75" style="20" bestFit="1" customWidth="1"/>
    <col min="1559" max="1560" width="0.875" style="20" bestFit="1" customWidth="1"/>
    <col min="1561" max="1561" width="2.75" style="20" bestFit="1" customWidth="1"/>
    <col min="1562" max="1562" width="0.875" style="20" bestFit="1" customWidth="1"/>
    <col min="1563" max="1563" width="3.75" style="20" bestFit="1" customWidth="1"/>
    <col min="1564" max="1564" width="2.75" style="20" bestFit="1" customWidth="1"/>
    <col min="1565" max="1565" width="0.875" style="20" bestFit="1" customWidth="1"/>
    <col min="1566" max="1566" width="1.875" style="20" bestFit="1" customWidth="1"/>
    <col min="1567" max="1567" width="9.375" style="20" bestFit="1" customWidth="1"/>
    <col min="1568" max="1792" width="9" style="20"/>
    <col min="1793" max="1793" width="10.25" style="20" bestFit="1" customWidth="1"/>
    <col min="1794" max="1794" width="0.875" style="20" bestFit="1" customWidth="1"/>
    <col min="1795" max="1795" width="1.375" style="20" bestFit="1" customWidth="1"/>
    <col min="1796" max="1796" width="6.125" style="20" bestFit="1" customWidth="1"/>
    <col min="1797" max="1797" width="11.25" style="20" bestFit="1" customWidth="1"/>
    <col min="1798" max="1798" width="2.75" style="20" bestFit="1" customWidth="1"/>
    <col min="1799" max="1799" width="0.875" style="20" bestFit="1" customWidth="1"/>
    <col min="1800" max="1800" width="3.75" style="20" bestFit="1" customWidth="1"/>
    <col min="1801" max="1801" width="2.75" style="20" bestFit="1" customWidth="1"/>
    <col min="1802" max="1802" width="0.875" style="20" bestFit="1" customWidth="1"/>
    <col min="1803" max="1803" width="5.625" style="20" bestFit="1" customWidth="1"/>
    <col min="1804" max="1804" width="1.875" style="20" bestFit="1" customWidth="1"/>
    <col min="1805" max="1805" width="0.875" style="20" bestFit="1" customWidth="1"/>
    <col min="1806" max="1807" width="1.875" style="20" bestFit="1" customWidth="1"/>
    <col min="1808" max="1808" width="3.75" style="20" bestFit="1" customWidth="1"/>
    <col min="1809" max="1809" width="2.75" style="20" bestFit="1" customWidth="1"/>
    <col min="1810" max="1810" width="0.875" style="20" bestFit="1" customWidth="1"/>
    <col min="1811" max="1811" width="1.875" style="20" bestFit="1" customWidth="1"/>
    <col min="1812" max="1812" width="0.875" style="20" bestFit="1" customWidth="1"/>
    <col min="1813" max="1813" width="1.875" style="20" bestFit="1" customWidth="1"/>
    <col min="1814" max="1814" width="3.75" style="20" bestFit="1" customWidth="1"/>
    <col min="1815" max="1816" width="0.875" style="20" bestFit="1" customWidth="1"/>
    <col min="1817" max="1817" width="2.75" style="20" bestFit="1" customWidth="1"/>
    <col min="1818" max="1818" width="0.875" style="20" bestFit="1" customWidth="1"/>
    <col min="1819" max="1819" width="3.75" style="20" bestFit="1" customWidth="1"/>
    <col min="1820" max="1820" width="2.75" style="20" bestFit="1" customWidth="1"/>
    <col min="1821" max="1821" width="0.875" style="20" bestFit="1" customWidth="1"/>
    <col min="1822" max="1822" width="1.875" style="20" bestFit="1" customWidth="1"/>
    <col min="1823" max="1823" width="9.375" style="20" bestFit="1" customWidth="1"/>
    <col min="1824" max="2048" width="9" style="20"/>
    <col min="2049" max="2049" width="10.25" style="20" bestFit="1" customWidth="1"/>
    <col min="2050" max="2050" width="0.875" style="20" bestFit="1" customWidth="1"/>
    <col min="2051" max="2051" width="1.375" style="20" bestFit="1" customWidth="1"/>
    <col min="2052" max="2052" width="6.125" style="20" bestFit="1" customWidth="1"/>
    <col min="2053" max="2053" width="11.25" style="20" bestFit="1" customWidth="1"/>
    <col min="2054" max="2054" width="2.75" style="20" bestFit="1" customWidth="1"/>
    <col min="2055" max="2055" width="0.875" style="20" bestFit="1" customWidth="1"/>
    <col min="2056" max="2056" width="3.75" style="20" bestFit="1" customWidth="1"/>
    <col min="2057" max="2057" width="2.75" style="20" bestFit="1" customWidth="1"/>
    <col min="2058" max="2058" width="0.875" style="20" bestFit="1" customWidth="1"/>
    <col min="2059" max="2059" width="5.625" style="20" bestFit="1" customWidth="1"/>
    <col min="2060" max="2060" width="1.875" style="20" bestFit="1" customWidth="1"/>
    <col min="2061" max="2061" width="0.875" style="20" bestFit="1" customWidth="1"/>
    <col min="2062" max="2063" width="1.875" style="20" bestFit="1" customWidth="1"/>
    <col min="2064" max="2064" width="3.75" style="20" bestFit="1" customWidth="1"/>
    <col min="2065" max="2065" width="2.75" style="20" bestFit="1" customWidth="1"/>
    <col min="2066" max="2066" width="0.875" style="20" bestFit="1" customWidth="1"/>
    <col min="2067" max="2067" width="1.875" style="20" bestFit="1" customWidth="1"/>
    <col min="2068" max="2068" width="0.875" style="20" bestFit="1" customWidth="1"/>
    <col min="2069" max="2069" width="1.875" style="20" bestFit="1" customWidth="1"/>
    <col min="2070" max="2070" width="3.75" style="20" bestFit="1" customWidth="1"/>
    <col min="2071" max="2072" width="0.875" style="20" bestFit="1" customWidth="1"/>
    <col min="2073" max="2073" width="2.75" style="20" bestFit="1" customWidth="1"/>
    <col min="2074" max="2074" width="0.875" style="20" bestFit="1" customWidth="1"/>
    <col min="2075" max="2075" width="3.75" style="20" bestFit="1" customWidth="1"/>
    <col min="2076" max="2076" width="2.75" style="20" bestFit="1" customWidth="1"/>
    <col min="2077" max="2077" width="0.875" style="20" bestFit="1" customWidth="1"/>
    <col min="2078" max="2078" width="1.875" style="20" bestFit="1" customWidth="1"/>
    <col min="2079" max="2079" width="9.375" style="20" bestFit="1" customWidth="1"/>
    <col min="2080" max="2304" width="9" style="20"/>
    <col min="2305" max="2305" width="10.25" style="20" bestFit="1" customWidth="1"/>
    <col min="2306" max="2306" width="0.875" style="20" bestFit="1" customWidth="1"/>
    <col min="2307" max="2307" width="1.375" style="20" bestFit="1" customWidth="1"/>
    <col min="2308" max="2308" width="6.125" style="20" bestFit="1" customWidth="1"/>
    <col min="2309" max="2309" width="11.25" style="20" bestFit="1" customWidth="1"/>
    <col min="2310" max="2310" width="2.75" style="20" bestFit="1" customWidth="1"/>
    <col min="2311" max="2311" width="0.875" style="20" bestFit="1" customWidth="1"/>
    <col min="2312" max="2312" width="3.75" style="20" bestFit="1" customWidth="1"/>
    <col min="2313" max="2313" width="2.75" style="20" bestFit="1" customWidth="1"/>
    <col min="2314" max="2314" width="0.875" style="20" bestFit="1" customWidth="1"/>
    <col min="2315" max="2315" width="5.625" style="20" bestFit="1" customWidth="1"/>
    <col min="2316" max="2316" width="1.875" style="20" bestFit="1" customWidth="1"/>
    <col min="2317" max="2317" width="0.875" style="20" bestFit="1" customWidth="1"/>
    <col min="2318" max="2319" width="1.875" style="20" bestFit="1" customWidth="1"/>
    <col min="2320" max="2320" width="3.75" style="20" bestFit="1" customWidth="1"/>
    <col min="2321" max="2321" width="2.75" style="20" bestFit="1" customWidth="1"/>
    <col min="2322" max="2322" width="0.875" style="20" bestFit="1" customWidth="1"/>
    <col min="2323" max="2323" width="1.875" style="20" bestFit="1" customWidth="1"/>
    <col min="2324" max="2324" width="0.875" style="20" bestFit="1" customWidth="1"/>
    <col min="2325" max="2325" width="1.875" style="20" bestFit="1" customWidth="1"/>
    <col min="2326" max="2326" width="3.75" style="20" bestFit="1" customWidth="1"/>
    <col min="2327" max="2328" width="0.875" style="20" bestFit="1" customWidth="1"/>
    <col min="2329" max="2329" width="2.75" style="20" bestFit="1" customWidth="1"/>
    <col min="2330" max="2330" width="0.875" style="20" bestFit="1" customWidth="1"/>
    <col min="2331" max="2331" width="3.75" style="20" bestFit="1" customWidth="1"/>
    <col min="2332" max="2332" width="2.75" style="20" bestFit="1" customWidth="1"/>
    <col min="2333" max="2333" width="0.875" style="20" bestFit="1" customWidth="1"/>
    <col min="2334" max="2334" width="1.875" style="20" bestFit="1" customWidth="1"/>
    <col min="2335" max="2335" width="9.375" style="20" bestFit="1" customWidth="1"/>
    <col min="2336" max="2560" width="9" style="20"/>
    <col min="2561" max="2561" width="10.25" style="20" bestFit="1" customWidth="1"/>
    <col min="2562" max="2562" width="0.875" style="20" bestFit="1" customWidth="1"/>
    <col min="2563" max="2563" width="1.375" style="20" bestFit="1" customWidth="1"/>
    <col min="2564" max="2564" width="6.125" style="20" bestFit="1" customWidth="1"/>
    <col min="2565" max="2565" width="11.25" style="20" bestFit="1" customWidth="1"/>
    <col min="2566" max="2566" width="2.75" style="20" bestFit="1" customWidth="1"/>
    <col min="2567" max="2567" width="0.875" style="20" bestFit="1" customWidth="1"/>
    <col min="2568" max="2568" width="3.75" style="20" bestFit="1" customWidth="1"/>
    <col min="2569" max="2569" width="2.75" style="20" bestFit="1" customWidth="1"/>
    <col min="2570" max="2570" width="0.875" style="20" bestFit="1" customWidth="1"/>
    <col min="2571" max="2571" width="5.625" style="20" bestFit="1" customWidth="1"/>
    <col min="2572" max="2572" width="1.875" style="20" bestFit="1" customWidth="1"/>
    <col min="2573" max="2573" width="0.875" style="20" bestFit="1" customWidth="1"/>
    <col min="2574" max="2575" width="1.875" style="20" bestFit="1" customWidth="1"/>
    <col min="2576" max="2576" width="3.75" style="20" bestFit="1" customWidth="1"/>
    <col min="2577" max="2577" width="2.75" style="20" bestFit="1" customWidth="1"/>
    <col min="2578" max="2578" width="0.875" style="20" bestFit="1" customWidth="1"/>
    <col min="2579" max="2579" width="1.875" style="20" bestFit="1" customWidth="1"/>
    <col min="2580" max="2580" width="0.875" style="20" bestFit="1" customWidth="1"/>
    <col min="2581" max="2581" width="1.875" style="20" bestFit="1" customWidth="1"/>
    <col min="2582" max="2582" width="3.75" style="20" bestFit="1" customWidth="1"/>
    <col min="2583" max="2584" width="0.875" style="20" bestFit="1" customWidth="1"/>
    <col min="2585" max="2585" width="2.75" style="20" bestFit="1" customWidth="1"/>
    <col min="2586" max="2586" width="0.875" style="20" bestFit="1" customWidth="1"/>
    <col min="2587" max="2587" width="3.75" style="20" bestFit="1" customWidth="1"/>
    <col min="2588" max="2588" width="2.75" style="20" bestFit="1" customWidth="1"/>
    <col min="2589" max="2589" width="0.875" style="20" bestFit="1" customWidth="1"/>
    <col min="2590" max="2590" width="1.875" style="20" bestFit="1" customWidth="1"/>
    <col min="2591" max="2591" width="9.375" style="20" bestFit="1" customWidth="1"/>
    <col min="2592" max="2816" width="9" style="20"/>
    <col min="2817" max="2817" width="10.25" style="20" bestFit="1" customWidth="1"/>
    <col min="2818" max="2818" width="0.875" style="20" bestFit="1" customWidth="1"/>
    <col min="2819" max="2819" width="1.375" style="20" bestFit="1" customWidth="1"/>
    <col min="2820" max="2820" width="6.125" style="20" bestFit="1" customWidth="1"/>
    <col min="2821" max="2821" width="11.25" style="20" bestFit="1" customWidth="1"/>
    <col min="2822" max="2822" width="2.75" style="20" bestFit="1" customWidth="1"/>
    <col min="2823" max="2823" width="0.875" style="20" bestFit="1" customWidth="1"/>
    <col min="2824" max="2824" width="3.75" style="20" bestFit="1" customWidth="1"/>
    <col min="2825" max="2825" width="2.75" style="20" bestFit="1" customWidth="1"/>
    <col min="2826" max="2826" width="0.875" style="20" bestFit="1" customWidth="1"/>
    <col min="2827" max="2827" width="5.625" style="20" bestFit="1" customWidth="1"/>
    <col min="2828" max="2828" width="1.875" style="20" bestFit="1" customWidth="1"/>
    <col min="2829" max="2829" width="0.875" style="20" bestFit="1" customWidth="1"/>
    <col min="2830" max="2831" width="1.875" style="20" bestFit="1" customWidth="1"/>
    <col min="2832" max="2832" width="3.75" style="20" bestFit="1" customWidth="1"/>
    <col min="2833" max="2833" width="2.75" style="20" bestFit="1" customWidth="1"/>
    <col min="2834" max="2834" width="0.875" style="20" bestFit="1" customWidth="1"/>
    <col min="2835" max="2835" width="1.875" style="20" bestFit="1" customWidth="1"/>
    <col min="2836" max="2836" width="0.875" style="20" bestFit="1" customWidth="1"/>
    <col min="2837" max="2837" width="1.875" style="20" bestFit="1" customWidth="1"/>
    <col min="2838" max="2838" width="3.75" style="20" bestFit="1" customWidth="1"/>
    <col min="2839" max="2840" width="0.875" style="20" bestFit="1" customWidth="1"/>
    <col min="2841" max="2841" width="2.75" style="20" bestFit="1" customWidth="1"/>
    <col min="2842" max="2842" width="0.875" style="20" bestFit="1" customWidth="1"/>
    <col min="2843" max="2843" width="3.75" style="20" bestFit="1" customWidth="1"/>
    <col min="2844" max="2844" width="2.75" style="20" bestFit="1" customWidth="1"/>
    <col min="2845" max="2845" width="0.875" style="20" bestFit="1" customWidth="1"/>
    <col min="2846" max="2846" width="1.875" style="20" bestFit="1" customWidth="1"/>
    <col min="2847" max="2847" width="9.375" style="20" bestFit="1" customWidth="1"/>
    <col min="2848" max="3072" width="9" style="20"/>
    <col min="3073" max="3073" width="10.25" style="20" bestFit="1" customWidth="1"/>
    <col min="3074" max="3074" width="0.875" style="20" bestFit="1" customWidth="1"/>
    <col min="3075" max="3075" width="1.375" style="20" bestFit="1" customWidth="1"/>
    <col min="3076" max="3076" width="6.125" style="20" bestFit="1" customWidth="1"/>
    <col min="3077" max="3077" width="11.25" style="20" bestFit="1" customWidth="1"/>
    <col min="3078" max="3078" width="2.75" style="20" bestFit="1" customWidth="1"/>
    <col min="3079" max="3079" width="0.875" style="20" bestFit="1" customWidth="1"/>
    <col min="3080" max="3080" width="3.75" style="20" bestFit="1" customWidth="1"/>
    <col min="3081" max="3081" width="2.75" style="20" bestFit="1" customWidth="1"/>
    <col min="3082" max="3082" width="0.875" style="20" bestFit="1" customWidth="1"/>
    <col min="3083" max="3083" width="5.625" style="20" bestFit="1" customWidth="1"/>
    <col min="3084" max="3084" width="1.875" style="20" bestFit="1" customWidth="1"/>
    <col min="3085" max="3085" width="0.875" style="20" bestFit="1" customWidth="1"/>
    <col min="3086" max="3087" width="1.875" style="20" bestFit="1" customWidth="1"/>
    <col min="3088" max="3088" width="3.75" style="20" bestFit="1" customWidth="1"/>
    <col min="3089" max="3089" width="2.75" style="20" bestFit="1" customWidth="1"/>
    <col min="3090" max="3090" width="0.875" style="20" bestFit="1" customWidth="1"/>
    <col min="3091" max="3091" width="1.875" style="20" bestFit="1" customWidth="1"/>
    <col min="3092" max="3092" width="0.875" style="20" bestFit="1" customWidth="1"/>
    <col min="3093" max="3093" width="1.875" style="20" bestFit="1" customWidth="1"/>
    <col min="3094" max="3094" width="3.75" style="20" bestFit="1" customWidth="1"/>
    <col min="3095" max="3096" width="0.875" style="20" bestFit="1" customWidth="1"/>
    <col min="3097" max="3097" width="2.75" style="20" bestFit="1" customWidth="1"/>
    <col min="3098" max="3098" width="0.875" style="20" bestFit="1" customWidth="1"/>
    <col min="3099" max="3099" width="3.75" style="20" bestFit="1" customWidth="1"/>
    <col min="3100" max="3100" width="2.75" style="20" bestFit="1" customWidth="1"/>
    <col min="3101" max="3101" width="0.875" style="20" bestFit="1" customWidth="1"/>
    <col min="3102" max="3102" width="1.875" style="20" bestFit="1" customWidth="1"/>
    <col min="3103" max="3103" width="9.375" style="20" bestFit="1" customWidth="1"/>
    <col min="3104" max="3328" width="9" style="20"/>
    <col min="3329" max="3329" width="10.25" style="20" bestFit="1" customWidth="1"/>
    <col min="3330" max="3330" width="0.875" style="20" bestFit="1" customWidth="1"/>
    <col min="3331" max="3331" width="1.375" style="20" bestFit="1" customWidth="1"/>
    <col min="3332" max="3332" width="6.125" style="20" bestFit="1" customWidth="1"/>
    <col min="3333" max="3333" width="11.25" style="20" bestFit="1" customWidth="1"/>
    <col min="3334" max="3334" width="2.75" style="20" bestFit="1" customWidth="1"/>
    <col min="3335" max="3335" width="0.875" style="20" bestFit="1" customWidth="1"/>
    <col min="3336" max="3336" width="3.75" style="20" bestFit="1" customWidth="1"/>
    <col min="3337" max="3337" width="2.75" style="20" bestFit="1" customWidth="1"/>
    <col min="3338" max="3338" width="0.875" style="20" bestFit="1" customWidth="1"/>
    <col min="3339" max="3339" width="5.625" style="20" bestFit="1" customWidth="1"/>
    <col min="3340" max="3340" width="1.875" style="20" bestFit="1" customWidth="1"/>
    <col min="3341" max="3341" width="0.875" style="20" bestFit="1" customWidth="1"/>
    <col min="3342" max="3343" width="1.875" style="20" bestFit="1" customWidth="1"/>
    <col min="3344" max="3344" width="3.75" style="20" bestFit="1" customWidth="1"/>
    <col min="3345" max="3345" width="2.75" style="20" bestFit="1" customWidth="1"/>
    <col min="3346" max="3346" width="0.875" style="20" bestFit="1" customWidth="1"/>
    <col min="3347" max="3347" width="1.875" style="20" bestFit="1" customWidth="1"/>
    <col min="3348" max="3348" width="0.875" style="20" bestFit="1" customWidth="1"/>
    <col min="3349" max="3349" width="1.875" style="20" bestFit="1" customWidth="1"/>
    <col min="3350" max="3350" width="3.75" style="20" bestFit="1" customWidth="1"/>
    <col min="3351" max="3352" width="0.875" style="20" bestFit="1" customWidth="1"/>
    <col min="3353" max="3353" width="2.75" style="20" bestFit="1" customWidth="1"/>
    <col min="3354" max="3354" width="0.875" style="20" bestFit="1" customWidth="1"/>
    <col min="3355" max="3355" width="3.75" style="20" bestFit="1" customWidth="1"/>
    <col min="3356" max="3356" width="2.75" style="20" bestFit="1" customWidth="1"/>
    <col min="3357" max="3357" width="0.875" style="20" bestFit="1" customWidth="1"/>
    <col min="3358" max="3358" width="1.875" style="20" bestFit="1" customWidth="1"/>
    <col min="3359" max="3359" width="9.375" style="20" bestFit="1" customWidth="1"/>
    <col min="3360" max="3584" width="9" style="20"/>
    <col min="3585" max="3585" width="10.25" style="20" bestFit="1" customWidth="1"/>
    <col min="3586" max="3586" width="0.875" style="20" bestFit="1" customWidth="1"/>
    <col min="3587" max="3587" width="1.375" style="20" bestFit="1" customWidth="1"/>
    <col min="3588" max="3588" width="6.125" style="20" bestFit="1" customWidth="1"/>
    <col min="3589" max="3589" width="11.25" style="20" bestFit="1" customWidth="1"/>
    <col min="3590" max="3590" width="2.75" style="20" bestFit="1" customWidth="1"/>
    <col min="3591" max="3591" width="0.875" style="20" bestFit="1" customWidth="1"/>
    <col min="3592" max="3592" width="3.75" style="20" bestFit="1" customWidth="1"/>
    <col min="3593" max="3593" width="2.75" style="20" bestFit="1" customWidth="1"/>
    <col min="3594" max="3594" width="0.875" style="20" bestFit="1" customWidth="1"/>
    <col min="3595" max="3595" width="5.625" style="20" bestFit="1" customWidth="1"/>
    <col min="3596" max="3596" width="1.875" style="20" bestFit="1" customWidth="1"/>
    <col min="3597" max="3597" width="0.875" style="20" bestFit="1" customWidth="1"/>
    <col min="3598" max="3599" width="1.875" style="20" bestFit="1" customWidth="1"/>
    <col min="3600" max="3600" width="3.75" style="20" bestFit="1" customWidth="1"/>
    <col min="3601" max="3601" width="2.75" style="20" bestFit="1" customWidth="1"/>
    <col min="3602" max="3602" width="0.875" style="20" bestFit="1" customWidth="1"/>
    <col min="3603" max="3603" width="1.875" style="20" bestFit="1" customWidth="1"/>
    <col min="3604" max="3604" width="0.875" style="20" bestFit="1" customWidth="1"/>
    <col min="3605" max="3605" width="1.875" style="20" bestFit="1" customWidth="1"/>
    <col min="3606" max="3606" width="3.75" style="20" bestFit="1" customWidth="1"/>
    <col min="3607" max="3608" width="0.875" style="20" bestFit="1" customWidth="1"/>
    <col min="3609" max="3609" width="2.75" style="20" bestFit="1" customWidth="1"/>
    <col min="3610" max="3610" width="0.875" style="20" bestFit="1" customWidth="1"/>
    <col min="3611" max="3611" width="3.75" style="20" bestFit="1" customWidth="1"/>
    <col min="3612" max="3612" width="2.75" style="20" bestFit="1" customWidth="1"/>
    <col min="3613" max="3613" width="0.875" style="20" bestFit="1" customWidth="1"/>
    <col min="3614" max="3614" width="1.875" style="20" bestFit="1" customWidth="1"/>
    <col min="3615" max="3615" width="9.375" style="20" bestFit="1" customWidth="1"/>
    <col min="3616" max="3840" width="9" style="20"/>
    <col min="3841" max="3841" width="10.25" style="20" bestFit="1" customWidth="1"/>
    <col min="3842" max="3842" width="0.875" style="20" bestFit="1" customWidth="1"/>
    <col min="3843" max="3843" width="1.375" style="20" bestFit="1" customWidth="1"/>
    <col min="3844" max="3844" width="6.125" style="20" bestFit="1" customWidth="1"/>
    <col min="3845" max="3845" width="11.25" style="20" bestFit="1" customWidth="1"/>
    <col min="3846" max="3846" width="2.75" style="20" bestFit="1" customWidth="1"/>
    <col min="3847" max="3847" width="0.875" style="20" bestFit="1" customWidth="1"/>
    <col min="3848" max="3848" width="3.75" style="20" bestFit="1" customWidth="1"/>
    <col min="3849" max="3849" width="2.75" style="20" bestFit="1" customWidth="1"/>
    <col min="3850" max="3850" width="0.875" style="20" bestFit="1" customWidth="1"/>
    <col min="3851" max="3851" width="5.625" style="20" bestFit="1" customWidth="1"/>
    <col min="3852" max="3852" width="1.875" style="20" bestFit="1" customWidth="1"/>
    <col min="3853" max="3853" width="0.875" style="20" bestFit="1" customWidth="1"/>
    <col min="3854" max="3855" width="1.875" style="20" bestFit="1" customWidth="1"/>
    <col min="3856" max="3856" width="3.75" style="20" bestFit="1" customWidth="1"/>
    <col min="3857" max="3857" width="2.75" style="20" bestFit="1" customWidth="1"/>
    <col min="3858" max="3858" width="0.875" style="20" bestFit="1" customWidth="1"/>
    <col min="3859" max="3859" width="1.875" style="20" bestFit="1" customWidth="1"/>
    <col min="3860" max="3860" width="0.875" style="20" bestFit="1" customWidth="1"/>
    <col min="3861" max="3861" width="1.875" style="20" bestFit="1" customWidth="1"/>
    <col min="3862" max="3862" width="3.75" style="20" bestFit="1" customWidth="1"/>
    <col min="3863" max="3864" width="0.875" style="20" bestFit="1" customWidth="1"/>
    <col min="3865" max="3865" width="2.75" style="20" bestFit="1" customWidth="1"/>
    <col min="3866" max="3866" width="0.875" style="20" bestFit="1" customWidth="1"/>
    <col min="3867" max="3867" width="3.75" style="20" bestFit="1" customWidth="1"/>
    <col min="3868" max="3868" width="2.75" style="20" bestFit="1" customWidth="1"/>
    <col min="3869" max="3869" width="0.875" style="20" bestFit="1" customWidth="1"/>
    <col min="3870" max="3870" width="1.875" style="20" bestFit="1" customWidth="1"/>
    <col min="3871" max="3871" width="9.375" style="20" bestFit="1" customWidth="1"/>
    <col min="3872" max="4096" width="9" style="20"/>
    <col min="4097" max="4097" width="10.25" style="20" bestFit="1" customWidth="1"/>
    <col min="4098" max="4098" width="0.875" style="20" bestFit="1" customWidth="1"/>
    <col min="4099" max="4099" width="1.375" style="20" bestFit="1" customWidth="1"/>
    <col min="4100" max="4100" width="6.125" style="20" bestFit="1" customWidth="1"/>
    <col min="4101" max="4101" width="11.25" style="20" bestFit="1" customWidth="1"/>
    <col min="4102" max="4102" width="2.75" style="20" bestFit="1" customWidth="1"/>
    <col min="4103" max="4103" width="0.875" style="20" bestFit="1" customWidth="1"/>
    <col min="4104" max="4104" width="3.75" style="20" bestFit="1" customWidth="1"/>
    <col min="4105" max="4105" width="2.75" style="20" bestFit="1" customWidth="1"/>
    <col min="4106" max="4106" width="0.875" style="20" bestFit="1" customWidth="1"/>
    <col min="4107" max="4107" width="5.625" style="20" bestFit="1" customWidth="1"/>
    <col min="4108" max="4108" width="1.875" style="20" bestFit="1" customWidth="1"/>
    <col min="4109" max="4109" width="0.875" style="20" bestFit="1" customWidth="1"/>
    <col min="4110" max="4111" width="1.875" style="20" bestFit="1" customWidth="1"/>
    <col min="4112" max="4112" width="3.75" style="20" bestFit="1" customWidth="1"/>
    <col min="4113" max="4113" width="2.75" style="20" bestFit="1" customWidth="1"/>
    <col min="4114" max="4114" width="0.875" style="20" bestFit="1" customWidth="1"/>
    <col min="4115" max="4115" width="1.875" style="20" bestFit="1" customWidth="1"/>
    <col min="4116" max="4116" width="0.875" style="20" bestFit="1" customWidth="1"/>
    <col min="4117" max="4117" width="1.875" style="20" bestFit="1" customWidth="1"/>
    <col min="4118" max="4118" width="3.75" style="20" bestFit="1" customWidth="1"/>
    <col min="4119" max="4120" width="0.875" style="20" bestFit="1" customWidth="1"/>
    <col min="4121" max="4121" width="2.75" style="20" bestFit="1" customWidth="1"/>
    <col min="4122" max="4122" width="0.875" style="20" bestFit="1" customWidth="1"/>
    <col min="4123" max="4123" width="3.75" style="20" bestFit="1" customWidth="1"/>
    <col min="4124" max="4124" width="2.75" style="20" bestFit="1" customWidth="1"/>
    <col min="4125" max="4125" width="0.875" style="20" bestFit="1" customWidth="1"/>
    <col min="4126" max="4126" width="1.875" style="20" bestFit="1" customWidth="1"/>
    <col min="4127" max="4127" width="9.375" style="20" bestFit="1" customWidth="1"/>
    <col min="4128" max="4352" width="9" style="20"/>
    <col min="4353" max="4353" width="10.25" style="20" bestFit="1" customWidth="1"/>
    <col min="4354" max="4354" width="0.875" style="20" bestFit="1" customWidth="1"/>
    <col min="4355" max="4355" width="1.375" style="20" bestFit="1" customWidth="1"/>
    <col min="4356" max="4356" width="6.125" style="20" bestFit="1" customWidth="1"/>
    <col min="4357" max="4357" width="11.25" style="20" bestFit="1" customWidth="1"/>
    <col min="4358" max="4358" width="2.75" style="20" bestFit="1" customWidth="1"/>
    <col min="4359" max="4359" width="0.875" style="20" bestFit="1" customWidth="1"/>
    <col min="4360" max="4360" width="3.75" style="20" bestFit="1" customWidth="1"/>
    <col min="4361" max="4361" width="2.75" style="20" bestFit="1" customWidth="1"/>
    <col min="4362" max="4362" width="0.875" style="20" bestFit="1" customWidth="1"/>
    <col min="4363" max="4363" width="5.625" style="20" bestFit="1" customWidth="1"/>
    <col min="4364" max="4364" width="1.875" style="20" bestFit="1" customWidth="1"/>
    <col min="4365" max="4365" width="0.875" style="20" bestFit="1" customWidth="1"/>
    <col min="4366" max="4367" width="1.875" style="20" bestFit="1" customWidth="1"/>
    <col min="4368" max="4368" width="3.75" style="20" bestFit="1" customWidth="1"/>
    <col min="4369" max="4369" width="2.75" style="20" bestFit="1" customWidth="1"/>
    <col min="4370" max="4370" width="0.875" style="20" bestFit="1" customWidth="1"/>
    <col min="4371" max="4371" width="1.875" style="20" bestFit="1" customWidth="1"/>
    <col min="4372" max="4372" width="0.875" style="20" bestFit="1" customWidth="1"/>
    <col min="4373" max="4373" width="1.875" style="20" bestFit="1" customWidth="1"/>
    <col min="4374" max="4374" width="3.75" style="20" bestFit="1" customWidth="1"/>
    <col min="4375" max="4376" width="0.875" style="20" bestFit="1" customWidth="1"/>
    <col min="4377" max="4377" width="2.75" style="20" bestFit="1" customWidth="1"/>
    <col min="4378" max="4378" width="0.875" style="20" bestFit="1" customWidth="1"/>
    <col min="4379" max="4379" width="3.75" style="20" bestFit="1" customWidth="1"/>
    <col min="4380" max="4380" width="2.75" style="20" bestFit="1" customWidth="1"/>
    <col min="4381" max="4381" width="0.875" style="20" bestFit="1" customWidth="1"/>
    <col min="4382" max="4382" width="1.875" style="20" bestFit="1" customWidth="1"/>
    <col min="4383" max="4383" width="9.375" style="20" bestFit="1" customWidth="1"/>
    <col min="4384" max="4608" width="9" style="20"/>
    <col min="4609" max="4609" width="10.25" style="20" bestFit="1" customWidth="1"/>
    <col min="4610" max="4610" width="0.875" style="20" bestFit="1" customWidth="1"/>
    <col min="4611" max="4611" width="1.375" style="20" bestFit="1" customWidth="1"/>
    <col min="4612" max="4612" width="6.125" style="20" bestFit="1" customWidth="1"/>
    <col min="4613" max="4613" width="11.25" style="20" bestFit="1" customWidth="1"/>
    <col min="4614" max="4614" width="2.75" style="20" bestFit="1" customWidth="1"/>
    <col min="4615" max="4615" width="0.875" style="20" bestFit="1" customWidth="1"/>
    <col min="4616" max="4616" width="3.75" style="20" bestFit="1" customWidth="1"/>
    <col min="4617" max="4617" width="2.75" style="20" bestFit="1" customWidth="1"/>
    <col min="4618" max="4618" width="0.875" style="20" bestFit="1" customWidth="1"/>
    <col min="4619" max="4619" width="5.625" style="20" bestFit="1" customWidth="1"/>
    <col min="4620" max="4620" width="1.875" style="20" bestFit="1" customWidth="1"/>
    <col min="4621" max="4621" width="0.875" style="20" bestFit="1" customWidth="1"/>
    <col min="4622" max="4623" width="1.875" style="20" bestFit="1" customWidth="1"/>
    <col min="4624" max="4624" width="3.75" style="20" bestFit="1" customWidth="1"/>
    <col min="4625" max="4625" width="2.75" style="20" bestFit="1" customWidth="1"/>
    <col min="4626" max="4626" width="0.875" style="20" bestFit="1" customWidth="1"/>
    <col min="4627" max="4627" width="1.875" style="20" bestFit="1" customWidth="1"/>
    <col min="4628" max="4628" width="0.875" style="20" bestFit="1" customWidth="1"/>
    <col min="4629" max="4629" width="1.875" style="20" bestFit="1" customWidth="1"/>
    <col min="4630" max="4630" width="3.75" style="20" bestFit="1" customWidth="1"/>
    <col min="4631" max="4632" width="0.875" style="20" bestFit="1" customWidth="1"/>
    <col min="4633" max="4633" width="2.75" style="20" bestFit="1" customWidth="1"/>
    <col min="4634" max="4634" width="0.875" style="20" bestFit="1" customWidth="1"/>
    <col min="4635" max="4635" width="3.75" style="20" bestFit="1" customWidth="1"/>
    <col min="4636" max="4636" width="2.75" style="20" bestFit="1" customWidth="1"/>
    <col min="4637" max="4637" width="0.875" style="20" bestFit="1" customWidth="1"/>
    <col min="4638" max="4638" width="1.875" style="20" bestFit="1" customWidth="1"/>
    <col min="4639" max="4639" width="9.375" style="20" bestFit="1" customWidth="1"/>
    <col min="4640" max="4864" width="9" style="20"/>
    <col min="4865" max="4865" width="10.25" style="20" bestFit="1" customWidth="1"/>
    <col min="4866" max="4866" width="0.875" style="20" bestFit="1" customWidth="1"/>
    <col min="4867" max="4867" width="1.375" style="20" bestFit="1" customWidth="1"/>
    <col min="4868" max="4868" width="6.125" style="20" bestFit="1" customWidth="1"/>
    <col min="4869" max="4869" width="11.25" style="20" bestFit="1" customWidth="1"/>
    <col min="4870" max="4870" width="2.75" style="20" bestFit="1" customWidth="1"/>
    <col min="4871" max="4871" width="0.875" style="20" bestFit="1" customWidth="1"/>
    <col min="4872" max="4872" width="3.75" style="20" bestFit="1" customWidth="1"/>
    <col min="4873" max="4873" width="2.75" style="20" bestFit="1" customWidth="1"/>
    <col min="4874" max="4874" width="0.875" style="20" bestFit="1" customWidth="1"/>
    <col min="4875" max="4875" width="5.625" style="20" bestFit="1" customWidth="1"/>
    <col min="4876" max="4876" width="1.875" style="20" bestFit="1" customWidth="1"/>
    <col min="4877" max="4877" width="0.875" style="20" bestFit="1" customWidth="1"/>
    <col min="4878" max="4879" width="1.875" style="20" bestFit="1" customWidth="1"/>
    <col min="4880" max="4880" width="3.75" style="20" bestFit="1" customWidth="1"/>
    <col min="4881" max="4881" width="2.75" style="20" bestFit="1" customWidth="1"/>
    <col min="4882" max="4882" width="0.875" style="20" bestFit="1" customWidth="1"/>
    <col min="4883" max="4883" width="1.875" style="20" bestFit="1" customWidth="1"/>
    <col min="4884" max="4884" width="0.875" style="20" bestFit="1" customWidth="1"/>
    <col min="4885" max="4885" width="1.875" style="20" bestFit="1" customWidth="1"/>
    <col min="4886" max="4886" width="3.75" style="20" bestFit="1" customWidth="1"/>
    <col min="4887" max="4888" width="0.875" style="20" bestFit="1" customWidth="1"/>
    <col min="4889" max="4889" width="2.75" style="20" bestFit="1" customWidth="1"/>
    <col min="4890" max="4890" width="0.875" style="20" bestFit="1" customWidth="1"/>
    <col min="4891" max="4891" width="3.75" style="20" bestFit="1" customWidth="1"/>
    <col min="4892" max="4892" width="2.75" style="20" bestFit="1" customWidth="1"/>
    <col min="4893" max="4893" width="0.875" style="20" bestFit="1" customWidth="1"/>
    <col min="4894" max="4894" width="1.875" style="20" bestFit="1" customWidth="1"/>
    <col min="4895" max="4895" width="9.375" style="20" bestFit="1" customWidth="1"/>
    <col min="4896" max="5120" width="9" style="20"/>
    <col min="5121" max="5121" width="10.25" style="20" bestFit="1" customWidth="1"/>
    <col min="5122" max="5122" width="0.875" style="20" bestFit="1" customWidth="1"/>
    <col min="5123" max="5123" width="1.375" style="20" bestFit="1" customWidth="1"/>
    <col min="5124" max="5124" width="6.125" style="20" bestFit="1" customWidth="1"/>
    <col min="5125" max="5125" width="11.25" style="20" bestFit="1" customWidth="1"/>
    <col min="5126" max="5126" width="2.75" style="20" bestFit="1" customWidth="1"/>
    <col min="5127" max="5127" width="0.875" style="20" bestFit="1" customWidth="1"/>
    <col min="5128" max="5128" width="3.75" style="20" bestFit="1" customWidth="1"/>
    <col min="5129" max="5129" width="2.75" style="20" bestFit="1" customWidth="1"/>
    <col min="5130" max="5130" width="0.875" style="20" bestFit="1" customWidth="1"/>
    <col min="5131" max="5131" width="5.625" style="20" bestFit="1" customWidth="1"/>
    <col min="5132" max="5132" width="1.875" style="20" bestFit="1" customWidth="1"/>
    <col min="5133" max="5133" width="0.875" style="20" bestFit="1" customWidth="1"/>
    <col min="5134" max="5135" width="1.875" style="20" bestFit="1" customWidth="1"/>
    <col min="5136" max="5136" width="3.75" style="20" bestFit="1" customWidth="1"/>
    <col min="5137" max="5137" width="2.75" style="20" bestFit="1" customWidth="1"/>
    <col min="5138" max="5138" width="0.875" style="20" bestFit="1" customWidth="1"/>
    <col min="5139" max="5139" width="1.875" style="20" bestFit="1" customWidth="1"/>
    <col min="5140" max="5140" width="0.875" style="20" bestFit="1" customWidth="1"/>
    <col min="5141" max="5141" width="1.875" style="20" bestFit="1" customWidth="1"/>
    <col min="5142" max="5142" width="3.75" style="20" bestFit="1" customWidth="1"/>
    <col min="5143" max="5144" width="0.875" style="20" bestFit="1" customWidth="1"/>
    <col min="5145" max="5145" width="2.75" style="20" bestFit="1" customWidth="1"/>
    <col min="5146" max="5146" width="0.875" style="20" bestFit="1" customWidth="1"/>
    <col min="5147" max="5147" width="3.75" style="20" bestFit="1" customWidth="1"/>
    <col min="5148" max="5148" width="2.75" style="20" bestFit="1" customWidth="1"/>
    <col min="5149" max="5149" width="0.875" style="20" bestFit="1" customWidth="1"/>
    <col min="5150" max="5150" width="1.875" style="20" bestFit="1" customWidth="1"/>
    <col min="5151" max="5151" width="9.375" style="20" bestFit="1" customWidth="1"/>
    <col min="5152" max="5376" width="9" style="20"/>
    <col min="5377" max="5377" width="10.25" style="20" bestFit="1" customWidth="1"/>
    <col min="5378" max="5378" width="0.875" style="20" bestFit="1" customWidth="1"/>
    <col min="5379" max="5379" width="1.375" style="20" bestFit="1" customWidth="1"/>
    <col min="5380" max="5380" width="6.125" style="20" bestFit="1" customWidth="1"/>
    <col min="5381" max="5381" width="11.25" style="20" bestFit="1" customWidth="1"/>
    <col min="5382" max="5382" width="2.75" style="20" bestFit="1" customWidth="1"/>
    <col min="5383" max="5383" width="0.875" style="20" bestFit="1" customWidth="1"/>
    <col min="5384" max="5384" width="3.75" style="20" bestFit="1" customWidth="1"/>
    <col min="5385" max="5385" width="2.75" style="20" bestFit="1" customWidth="1"/>
    <col min="5386" max="5386" width="0.875" style="20" bestFit="1" customWidth="1"/>
    <col min="5387" max="5387" width="5.625" style="20" bestFit="1" customWidth="1"/>
    <col min="5388" max="5388" width="1.875" style="20" bestFit="1" customWidth="1"/>
    <col min="5389" max="5389" width="0.875" style="20" bestFit="1" customWidth="1"/>
    <col min="5390" max="5391" width="1.875" style="20" bestFit="1" customWidth="1"/>
    <col min="5392" max="5392" width="3.75" style="20" bestFit="1" customWidth="1"/>
    <col min="5393" max="5393" width="2.75" style="20" bestFit="1" customWidth="1"/>
    <col min="5394" max="5394" width="0.875" style="20" bestFit="1" customWidth="1"/>
    <col min="5395" max="5395" width="1.875" style="20" bestFit="1" customWidth="1"/>
    <col min="5396" max="5396" width="0.875" style="20" bestFit="1" customWidth="1"/>
    <col min="5397" max="5397" width="1.875" style="20" bestFit="1" customWidth="1"/>
    <col min="5398" max="5398" width="3.75" style="20" bestFit="1" customWidth="1"/>
    <col min="5399" max="5400" width="0.875" style="20" bestFit="1" customWidth="1"/>
    <col min="5401" max="5401" width="2.75" style="20" bestFit="1" customWidth="1"/>
    <col min="5402" max="5402" width="0.875" style="20" bestFit="1" customWidth="1"/>
    <col min="5403" max="5403" width="3.75" style="20" bestFit="1" customWidth="1"/>
    <col min="5404" max="5404" width="2.75" style="20" bestFit="1" customWidth="1"/>
    <col min="5405" max="5405" width="0.875" style="20" bestFit="1" customWidth="1"/>
    <col min="5406" max="5406" width="1.875" style="20" bestFit="1" customWidth="1"/>
    <col min="5407" max="5407" width="9.375" style="20" bestFit="1" customWidth="1"/>
    <col min="5408" max="5632" width="9" style="20"/>
    <col min="5633" max="5633" width="10.25" style="20" bestFit="1" customWidth="1"/>
    <col min="5634" max="5634" width="0.875" style="20" bestFit="1" customWidth="1"/>
    <col min="5635" max="5635" width="1.375" style="20" bestFit="1" customWidth="1"/>
    <col min="5636" max="5636" width="6.125" style="20" bestFit="1" customWidth="1"/>
    <col min="5637" max="5637" width="11.25" style="20" bestFit="1" customWidth="1"/>
    <col min="5638" max="5638" width="2.75" style="20" bestFit="1" customWidth="1"/>
    <col min="5639" max="5639" width="0.875" style="20" bestFit="1" customWidth="1"/>
    <col min="5640" max="5640" width="3.75" style="20" bestFit="1" customWidth="1"/>
    <col min="5641" max="5641" width="2.75" style="20" bestFit="1" customWidth="1"/>
    <col min="5642" max="5642" width="0.875" style="20" bestFit="1" customWidth="1"/>
    <col min="5643" max="5643" width="5.625" style="20" bestFit="1" customWidth="1"/>
    <col min="5644" max="5644" width="1.875" style="20" bestFit="1" customWidth="1"/>
    <col min="5645" max="5645" width="0.875" style="20" bestFit="1" customWidth="1"/>
    <col min="5646" max="5647" width="1.875" style="20" bestFit="1" customWidth="1"/>
    <col min="5648" max="5648" width="3.75" style="20" bestFit="1" customWidth="1"/>
    <col min="5649" max="5649" width="2.75" style="20" bestFit="1" customWidth="1"/>
    <col min="5650" max="5650" width="0.875" style="20" bestFit="1" customWidth="1"/>
    <col min="5651" max="5651" width="1.875" style="20" bestFit="1" customWidth="1"/>
    <col min="5652" max="5652" width="0.875" style="20" bestFit="1" customWidth="1"/>
    <col min="5653" max="5653" width="1.875" style="20" bestFit="1" customWidth="1"/>
    <col min="5654" max="5654" width="3.75" style="20" bestFit="1" customWidth="1"/>
    <col min="5655" max="5656" width="0.875" style="20" bestFit="1" customWidth="1"/>
    <col min="5657" max="5657" width="2.75" style="20" bestFit="1" customWidth="1"/>
    <col min="5658" max="5658" width="0.875" style="20" bestFit="1" customWidth="1"/>
    <col min="5659" max="5659" width="3.75" style="20" bestFit="1" customWidth="1"/>
    <col min="5660" max="5660" width="2.75" style="20" bestFit="1" customWidth="1"/>
    <col min="5661" max="5661" width="0.875" style="20" bestFit="1" customWidth="1"/>
    <col min="5662" max="5662" width="1.875" style="20" bestFit="1" customWidth="1"/>
    <col min="5663" max="5663" width="9.375" style="20" bestFit="1" customWidth="1"/>
    <col min="5664" max="5888" width="9" style="20"/>
    <col min="5889" max="5889" width="10.25" style="20" bestFit="1" customWidth="1"/>
    <col min="5890" max="5890" width="0.875" style="20" bestFit="1" customWidth="1"/>
    <col min="5891" max="5891" width="1.375" style="20" bestFit="1" customWidth="1"/>
    <col min="5892" max="5892" width="6.125" style="20" bestFit="1" customWidth="1"/>
    <col min="5893" max="5893" width="11.25" style="20" bestFit="1" customWidth="1"/>
    <col min="5894" max="5894" width="2.75" style="20" bestFit="1" customWidth="1"/>
    <col min="5895" max="5895" width="0.875" style="20" bestFit="1" customWidth="1"/>
    <col min="5896" max="5896" width="3.75" style="20" bestFit="1" customWidth="1"/>
    <col min="5897" max="5897" width="2.75" style="20" bestFit="1" customWidth="1"/>
    <col min="5898" max="5898" width="0.875" style="20" bestFit="1" customWidth="1"/>
    <col min="5899" max="5899" width="5.625" style="20" bestFit="1" customWidth="1"/>
    <col min="5900" max="5900" width="1.875" style="20" bestFit="1" customWidth="1"/>
    <col min="5901" max="5901" width="0.875" style="20" bestFit="1" customWidth="1"/>
    <col min="5902" max="5903" width="1.875" style="20" bestFit="1" customWidth="1"/>
    <col min="5904" max="5904" width="3.75" style="20" bestFit="1" customWidth="1"/>
    <col min="5905" max="5905" width="2.75" style="20" bestFit="1" customWidth="1"/>
    <col min="5906" max="5906" width="0.875" style="20" bestFit="1" customWidth="1"/>
    <col min="5907" max="5907" width="1.875" style="20" bestFit="1" customWidth="1"/>
    <col min="5908" max="5908" width="0.875" style="20" bestFit="1" customWidth="1"/>
    <col min="5909" max="5909" width="1.875" style="20" bestFit="1" customWidth="1"/>
    <col min="5910" max="5910" width="3.75" style="20" bestFit="1" customWidth="1"/>
    <col min="5911" max="5912" width="0.875" style="20" bestFit="1" customWidth="1"/>
    <col min="5913" max="5913" width="2.75" style="20" bestFit="1" customWidth="1"/>
    <col min="5914" max="5914" width="0.875" style="20" bestFit="1" customWidth="1"/>
    <col min="5915" max="5915" width="3.75" style="20" bestFit="1" customWidth="1"/>
    <col min="5916" max="5916" width="2.75" style="20" bestFit="1" customWidth="1"/>
    <col min="5917" max="5917" width="0.875" style="20" bestFit="1" customWidth="1"/>
    <col min="5918" max="5918" width="1.875" style="20" bestFit="1" customWidth="1"/>
    <col min="5919" max="5919" width="9.375" style="20" bestFit="1" customWidth="1"/>
    <col min="5920" max="6144" width="9" style="20"/>
    <col min="6145" max="6145" width="10.25" style="20" bestFit="1" customWidth="1"/>
    <col min="6146" max="6146" width="0.875" style="20" bestFit="1" customWidth="1"/>
    <col min="6147" max="6147" width="1.375" style="20" bestFit="1" customWidth="1"/>
    <col min="6148" max="6148" width="6.125" style="20" bestFit="1" customWidth="1"/>
    <col min="6149" max="6149" width="11.25" style="20" bestFit="1" customWidth="1"/>
    <col min="6150" max="6150" width="2.75" style="20" bestFit="1" customWidth="1"/>
    <col min="6151" max="6151" width="0.875" style="20" bestFit="1" customWidth="1"/>
    <col min="6152" max="6152" width="3.75" style="20" bestFit="1" customWidth="1"/>
    <col min="6153" max="6153" width="2.75" style="20" bestFit="1" customWidth="1"/>
    <col min="6154" max="6154" width="0.875" style="20" bestFit="1" customWidth="1"/>
    <col min="6155" max="6155" width="5.625" style="20" bestFit="1" customWidth="1"/>
    <col min="6156" max="6156" width="1.875" style="20" bestFit="1" customWidth="1"/>
    <col min="6157" max="6157" width="0.875" style="20" bestFit="1" customWidth="1"/>
    <col min="6158" max="6159" width="1.875" style="20" bestFit="1" customWidth="1"/>
    <col min="6160" max="6160" width="3.75" style="20" bestFit="1" customWidth="1"/>
    <col min="6161" max="6161" width="2.75" style="20" bestFit="1" customWidth="1"/>
    <col min="6162" max="6162" width="0.875" style="20" bestFit="1" customWidth="1"/>
    <col min="6163" max="6163" width="1.875" style="20" bestFit="1" customWidth="1"/>
    <col min="6164" max="6164" width="0.875" style="20" bestFit="1" customWidth="1"/>
    <col min="6165" max="6165" width="1.875" style="20" bestFit="1" customWidth="1"/>
    <col min="6166" max="6166" width="3.75" style="20" bestFit="1" customWidth="1"/>
    <col min="6167" max="6168" width="0.875" style="20" bestFit="1" customWidth="1"/>
    <col min="6169" max="6169" width="2.75" style="20" bestFit="1" customWidth="1"/>
    <col min="6170" max="6170" width="0.875" style="20" bestFit="1" customWidth="1"/>
    <col min="6171" max="6171" width="3.75" style="20" bestFit="1" customWidth="1"/>
    <col min="6172" max="6172" width="2.75" style="20" bestFit="1" customWidth="1"/>
    <col min="6173" max="6173" width="0.875" style="20" bestFit="1" customWidth="1"/>
    <col min="6174" max="6174" width="1.875" style="20" bestFit="1" customWidth="1"/>
    <col min="6175" max="6175" width="9.375" style="20" bestFit="1" customWidth="1"/>
    <col min="6176" max="6400" width="9" style="20"/>
    <col min="6401" max="6401" width="10.25" style="20" bestFit="1" customWidth="1"/>
    <col min="6402" max="6402" width="0.875" style="20" bestFit="1" customWidth="1"/>
    <col min="6403" max="6403" width="1.375" style="20" bestFit="1" customWidth="1"/>
    <col min="6404" max="6404" width="6.125" style="20" bestFit="1" customWidth="1"/>
    <col min="6405" max="6405" width="11.25" style="20" bestFit="1" customWidth="1"/>
    <col min="6406" max="6406" width="2.75" style="20" bestFit="1" customWidth="1"/>
    <col min="6407" max="6407" width="0.875" style="20" bestFit="1" customWidth="1"/>
    <col min="6408" max="6408" width="3.75" style="20" bestFit="1" customWidth="1"/>
    <col min="6409" max="6409" width="2.75" style="20" bestFit="1" customWidth="1"/>
    <col min="6410" max="6410" width="0.875" style="20" bestFit="1" customWidth="1"/>
    <col min="6411" max="6411" width="5.625" style="20" bestFit="1" customWidth="1"/>
    <col min="6412" max="6412" width="1.875" style="20" bestFit="1" customWidth="1"/>
    <col min="6413" max="6413" width="0.875" style="20" bestFit="1" customWidth="1"/>
    <col min="6414" max="6415" width="1.875" style="20" bestFit="1" customWidth="1"/>
    <col min="6416" max="6416" width="3.75" style="20" bestFit="1" customWidth="1"/>
    <col min="6417" max="6417" width="2.75" style="20" bestFit="1" customWidth="1"/>
    <col min="6418" max="6418" width="0.875" style="20" bestFit="1" customWidth="1"/>
    <col min="6419" max="6419" width="1.875" style="20" bestFit="1" customWidth="1"/>
    <col min="6420" max="6420" width="0.875" style="20" bestFit="1" customWidth="1"/>
    <col min="6421" max="6421" width="1.875" style="20" bestFit="1" customWidth="1"/>
    <col min="6422" max="6422" width="3.75" style="20" bestFit="1" customWidth="1"/>
    <col min="6423" max="6424" width="0.875" style="20" bestFit="1" customWidth="1"/>
    <col min="6425" max="6425" width="2.75" style="20" bestFit="1" customWidth="1"/>
    <col min="6426" max="6426" width="0.875" style="20" bestFit="1" customWidth="1"/>
    <col min="6427" max="6427" width="3.75" style="20" bestFit="1" customWidth="1"/>
    <col min="6428" max="6428" width="2.75" style="20" bestFit="1" customWidth="1"/>
    <col min="6429" max="6429" width="0.875" style="20" bestFit="1" customWidth="1"/>
    <col min="6430" max="6430" width="1.875" style="20" bestFit="1" customWidth="1"/>
    <col min="6431" max="6431" width="9.375" style="20" bestFit="1" customWidth="1"/>
    <col min="6432" max="6656" width="9" style="20"/>
    <col min="6657" max="6657" width="10.25" style="20" bestFit="1" customWidth="1"/>
    <col min="6658" max="6658" width="0.875" style="20" bestFit="1" customWidth="1"/>
    <col min="6659" max="6659" width="1.375" style="20" bestFit="1" customWidth="1"/>
    <col min="6660" max="6660" width="6.125" style="20" bestFit="1" customWidth="1"/>
    <col min="6661" max="6661" width="11.25" style="20" bestFit="1" customWidth="1"/>
    <col min="6662" max="6662" width="2.75" style="20" bestFit="1" customWidth="1"/>
    <col min="6663" max="6663" width="0.875" style="20" bestFit="1" customWidth="1"/>
    <col min="6664" max="6664" width="3.75" style="20" bestFit="1" customWidth="1"/>
    <col min="6665" max="6665" width="2.75" style="20" bestFit="1" customWidth="1"/>
    <col min="6666" max="6666" width="0.875" style="20" bestFit="1" customWidth="1"/>
    <col min="6667" max="6667" width="5.625" style="20" bestFit="1" customWidth="1"/>
    <col min="6668" max="6668" width="1.875" style="20" bestFit="1" customWidth="1"/>
    <col min="6669" max="6669" width="0.875" style="20" bestFit="1" customWidth="1"/>
    <col min="6670" max="6671" width="1.875" style="20" bestFit="1" customWidth="1"/>
    <col min="6672" max="6672" width="3.75" style="20" bestFit="1" customWidth="1"/>
    <col min="6673" max="6673" width="2.75" style="20" bestFit="1" customWidth="1"/>
    <col min="6674" max="6674" width="0.875" style="20" bestFit="1" customWidth="1"/>
    <col min="6675" max="6675" width="1.875" style="20" bestFit="1" customWidth="1"/>
    <col min="6676" max="6676" width="0.875" style="20" bestFit="1" customWidth="1"/>
    <col min="6677" max="6677" width="1.875" style="20" bestFit="1" customWidth="1"/>
    <col min="6678" max="6678" width="3.75" style="20" bestFit="1" customWidth="1"/>
    <col min="6679" max="6680" width="0.875" style="20" bestFit="1" customWidth="1"/>
    <col min="6681" max="6681" width="2.75" style="20" bestFit="1" customWidth="1"/>
    <col min="6682" max="6682" width="0.875" style="20" bestFit="1" customWidth="1"/>
    <col min="6683" max="6683" width="3.75" style="20" bestFit="1" customWidth="1"/>
    <col min="6684" max="6684" width="2.75" style="20" bestFit="1" customWidth="1"/>
    <col min="6685" max="6685" width="0.875" style="20" bestFit="1" customWidth="1"/>
    <col min="6686" max="6686" width="1.875" style="20" bestFit="1" customWidth="1"/>
    <col min="6687" max="6687" width="9.375" style="20" bestFit="1" customWidth="1"/>
    <col min="6688" max="6912" width="9" style="20"/>
    <col min="6913" max="6913" width="10.25" style="20" bestFit="1" customWidth="1"/>
    <col min="6914" max="6914" width="0.875" style="20" bestFit="1" customWidth="1"/>
    <col min="6915" max="6915" width="1.375" style="20" bestFit="1" customWidth="1"/>
    <col min="6916" max="6916" width="6.125" style="20" bestFit="1" customWidth="1"/>
    <col min="6917" max="6917" width="11.25" style="20" bestFit="1" customWidth="1"/>
    <col min="6918" max="6918" width="2.75" style="20" bestFit="1" customWidth="1"/>
    <col min="6919" max="6919" width="0.875" style="20" bestFit="1" customWidth="1"/>
    <col min="6920" max="6920" width="3.75" style="20" bestFit="1" customWidth="1"/>
    <col min="6921" max="6921" width="2.75" style="20" bestFit="1" customWidth="1"/>
    <col min="6922" max="6922" width="0.875" style="20" bestFit="1" customWidth="1"/>
    <col min="6923" max="6923" width="5.625" style="20" bestFit="1" customWidth="1"/>
    <col min="6924" max="6924" width="1.875" style="20" bestFit="1" customWidth="1"/>
    <col min="6925" max="6925" width="0.875" style="20" bestFit="1" customWidth="1"/>
    <col min="6926" max="6927" width="1.875" style="20" bestFit="1" customWidth="1"/>
    <col min="6928" max="6928" width="3.75" style="20" bestFit="1" customWidth="1"/>
    <col min="6929" max="6929" width="2.75" style="20" bestFit="1" customWidth="1"/>
    <col min="6930" max="6930" width="0.875" style="20" bestFit="1" customWidth="1"/>
    <col min="6931" max="6931" width="1.875" style="20" bestFit="1" customWidth="1"/>
    <col min="6932" max="6932" width="0.875" style="20" bestFit="1" customWidth="1"/>
    <col min="6933" max="6933" width="1.875" style="20" bestFit="1" customWidth="1"/>
    <col min="6934" max="6934" width="3.75" style="20" bestFit="1" customWidth="1"/>
    <col min="6935" max="6936" width="0.875" style="20" bestFit="1" customWidth="1"/>
    <col min="6937" max="6937" width="2.75" style="20" bestFit="1" customWidth="1"/>
    <col min="6938" max="6938" width="0.875" style="20" bestFit="1" customWidth="1"/>
    <col min="6939" max="6939" width="3.75" style="20" bestFit="1" customWidth="1"/>
    <col min="6940" max="6940" width="2.75" style="20" bestFit="1" customWidth="1"/>
    <col min="6941" max="6941" width="0.875" style="20" bestFit="1" customWidth="1"/>
    <col min="6942" max="6942" width="1.875" style="20" bestFit="1" customWidth="1"/>
    <col min="6943" max="6943" width="9.375" style="20" bestFit="1" customWidth="1"/>
    <col min="6944" max="7168" width="9" style="20"/>
    <col min="7169" max="7169" width="10.25" style="20" bestFit="1" customWidth="1"/>
    <col min="7170" max="7170" width="0.875" style="20" bestFit="1" customWidth="1"/>
    <col min="7171" max="7171" width="1.375" style="20" bestFit="1" customWidth="1"/>
    <col min="7172" max="7172" width="6.125" style="20" bestFit="1" customWidth="1"/>
    <col min="7173" max="7173" width="11.25" style="20" bestFit="1" customWidth="1"/>
    <col min="7174" max="7174" width="2.75" style="20" bestFit="1" customWidth="1"/>
    <col min="7175" max="7175" width="0.875" style="20" bestFit="1" customWidth="1"/>
    <col min="7176" max="7176" width="3.75" style="20" bestFit="1" customWidth="1"/>
    <col min="7177" max="7177" width="2.75" style="20" bestFit="1" customWidth="1"/>
    <col min="7178" max="7178" width="0.875" style="20" bestFit="1" customWidth="1"/>
    <col min="7179" max="7179" width="5.625" style="20" bestFit="1" customWidth="1"/>
    <col min="7180" max="7180" width="1.875" style="20" bestFit="1" customWidth="1"/>
    <col min="7181" max="7181" width="0.875" style="20" bestFit="1" customWidth="1"/>
    <col min="7182" max="7183" width="1.875" style="20" bestFit="1" customWidth="1"/>
    <col min="7184" max="7184" width="3.75" style="20" bestFit="1" customWidth="1"/>
    <col min="7185" max="7185" width="2.75" style="20" bestFit="1" customWidth="1"/>
    <col min="7186" max="7186" width="0.875" style="20" bestFit="1" customWidth="1"/>
    <col min="7187" max="7187" width="1.875" style="20" bestFit="1" customWidth="1"/>
    <col min="7188" max="7188" width="0.875" style="20" bestFit="1" customWidth="1"/>
    <col min="7189" max="7189" width="1.875" style="20" bestFit="1" customWidth="1"/>
    <col min="7190" max="7190" width="3.75" style="20" bestFit="1" customWidth="1"/>
    <col min="7191" max="7192" width="0.875" style="20" bestFit="1" customWidth="1"/>
    <col min="7193" max="7193" width="2.75" style="20" bestFit="1" customWidth="1"/>
    <col min="7194" max="7194" width="0.875" style="20" bestFit="1" customWidth="1"/>
    <col min="7195" max="7195" width="3.75" style="20" bestFit="1" customWidth="1"/>
    <col min="7196" max="7196" width="2.75" style="20" bestFit="1" customWidth="1"/>
    <col min="7197" max="7197" width="0.875" style="20" bestFit="1" customWidth="1"/>
    <col min="7198" max="7198" width="1.875" style="20" bestFit="1" customWidth="1"/>
    <col min="7199" max="7199" width="9.375" style="20" bestFit="1" customWidth="1"/>
    <col min="7200" max="7424" width="9" style="20"/>
    <col min="7425" max="7425" width="10.25" style="20" bestFit="1" customWidth="1"/>
    <col min="7426" max="7426" width="0.875" style="20" bestFit="1" customWidth="1"/>
    <col min="7427" max="7427" width="1.375" style="20" bestFit="1" customWidth="1"/>
    <col min="7428" max="7428" width="6.125" style="20" bestFit="1" customWidth="1"/>
    <col min="7429" max="7429" width="11.25" style="20" bestFit="1" customWidth="1"/>
    <col min="7430" max="7430" width="2.75" style="20" bestFit="1" customWidth="1"/>
    <col min="7431" max="7431" width="0.875" style="20" bestFit="1" customWidth="1"/>
    <col min="7432" max="7432" width="3.75" style="20" bestFit="1" customWidth="1"/>
    <col min="7433" max="7433" width="2.75" style="20" bestFit="1" customWidth="1"/>
    <col min="7434" max="7434" width="0.875" style="20" bestFit="1" customWidth="1"/>
    <col min="7435" max="7435" width="5.625" style="20" bestFit="1" customWidth="1"/>
    <col min="7436" max="7436" width="1.875" style="20" bestFit="1" customWidth="1"/>
    <col min="7437" max="7437" width="0.875" style="20" bestFit="1" customWidth="1"/>
    <col min="7438" max="7439" width="1.875" style="20" bestFit="1" customWidth="1"/>
    <col min="7440" max="7440" width="3.75" style="20" bestFit="1" customWidth="1"/>
    <col min="7441" max="7441" width="2.75" style="20" bestFit="1" customWidth="1"/>
    <col min="7442" max="7442" width="0.875" style="20" bestFit="1" customWidth="1"/>
    <col min="7443" max="7443" width="1.875" style="20" bestFit="1" customWidth="1"/>
    <col min="7444" max="7444" width="0.875" style="20" bestFit="1" customWidth="1"/>
    <col min="7445" max="7445" width="1.875" style="20" bestFit="1" customWidth="1"/>
    <col min="7446" max="7446" width="3.75" style="20" bestFit="1" customWidth="1"/>
    <col min="7447" max="7448" width="0.875" style="20" bestFit="1" customWidth="1"/>
    <col min="7449" max="7449" width="2.75" style="20" bestFit="1" customWidth="1"/>
    <col min="7450" max="7450" width="0.875" style="20" bestFit="1" customWidth="1"/>
    <col min="7451" max="7451" width="3.75" style="20" bestFit="1" customWidth="1"/>
    <col min="7452" max="7452" width="2.75" style="20" bestFit="1" customWidth="1"/>
    <col min="7453" max="7453" width="0.875" style="20" bestFit="1" customWidth="1"/>
    <col min="7454" max="7454" width="1.875" style="20" bestFit="1" customWidth="1"/>
    <col min="7455" max="7455" width="9.375" style="20" bestFit="1" customWidth="1"/>
    <col min="7456" max="7680" width="9" style="20"/>
    <col min="7681" max="7681" width="10.25" style="20" bestFit="1" customWidth="1"/>
    <col min="7682" max="7682" width="0.875" style="20" bestFit="1" customWidth="1"/>
    <col min="7683" max="7683" width="1.375" style="20" bestFit="1" customWidth="1"/>
    <col min="7684" max="7684" width="6.125" style="20" bestFit="1" customWidth="1"/>
    <col min="7685" max="7685" width="11.25" style="20" bestFit="1" customWidth="1"/>
    <col min="7686" max="7686" width="2.75" style="20" bestFit="1" customWidth="1"/>
    <col min="7687" max="7687" width="0.875" style="20" bestFit="1" customWidth="1"/>
    <col min="7688" max="7688" width="3.75" style="20" bestFit="1" customWidth="1"/>
    <col min="7689" max="7689" width="2.75" style="20" bestFit="1" customWidth="1"/>
    <col min="7690" max="7690" width="0.875" style="20" bestFit="1" customWidth="1"/>
    <col min="7691" max="7691" width="5.625" style="20" bestFit="1" customWidth="1"/>
    <col min="7692" max="7692" width="1.875" style="20" bestFit="1" customWidth="1"/>
    <col min="7693" max="7693" width="0.875" style="20" bestFit="1" customWidth="1"/>
    <col min="7694" max="7695" width="1.875" style="20" bestFit="1" customWidth="1"/>
    <col min="7696" max="7696" width="3.75" style="20" bestFit="1" customWidth="1"/>
    <col min="7697" max="7697" width="2.75" style="20" bestFit="1" customWidth="1"/>
    <col min="7698" max="7698" width="0.875" style="20" bestFit="1" customWidth="1"/>
    <col min="7699" max="7699" width="1.875" style="20" bestFit="1" customWidth="1"/>
    <col min="7700" max="7700" width="0.875" style="20" bestFit="1" customWidth="1"/>
    <col min="7701" max="7701" width="1.875" style="20" bestFit="1" customWidth="1"/>
    <col min="7702" max="7702" width="3.75" style="20" bestFit="1" customWidth="1"/>
    <col min="7703" max="7704" width="0.875" style="20" bestFit="1" customWidth="1"/>
    <col min="7705" max="7705" width="2.75" style="20" bestFit="1" customWidth="1"/>
    <col min="7706" max="7706" width="0.875" style="20" bestFit="1" customWidth="1"/>
    <col min="7707" max="7707" width="3.75" style="20" bestFit="1" customWidth="1"/>
    <col min="7708" max="7708" width="2.75" style="20" bestFit="1" customWidth="1"/>
    <col min="7709" max="7709" width="0.875" style="20" bestFit="1" customWidth="1"/>
    <col min="7710" max="7710" width="1.875" style="20" bestFit="1" customWidth="1"/>
    <col min="7711" max="7711" width="9.375" style="20" bestFit="1" customWidth="1"/>
    <col min="7712" max="7936" width="9" style="20"/>
    <col min="7937" max="7937" width="10.25" style="20" bestFit="1" customWidth="1"/>
    <col min="7938" max="7938" width="0.875" style="20" bestFit="1" customWidth="1"/>
    <col min="7939" max="7939" width="1.375" style="20" bestFit="1" customWidth="1"/>
    <col min="7940" max="7940" width="6.125" style="20" bestFit="1" customWidth="1"/>
    <col min="7941" max="7941" width="11.25" style="20" bestFit="1" customWidth="1"/>
    <col min="7942" max="7942" width="2.75" style="20" bestFit="1" customWidth="1"/>
    <col min="7943" max="7943" width="0.875" style="20" bestFit="1" customWidth="1"/>
    <col min="7944" max="7944" width="3.75" style="20" bestFit="1" customWidth="1"/>
    <col min="7945" max="7945" width="2.75" style="20" bestFit="1" customWidth="1"/>
    <col min="7946" max="7946" width="0.875" style="20" bestFit="1" customWidth="1"/>
    <col min="7947" max="7947" width="5.625" style="20" bestFit="1" customWidth="1"/>
    <col min="7948" max="7948" width="1.875" style="20" bestFit="1" customWidth="1"/>
    <col min="7949" max="7949" width="0.875" style="20" bestFit="1" customWidth="1"/>
    <col min="7950" max="7951" width="1.875" style="20" bestFit="1" customWidth="1"/>
    <col min="7952" max="7952" width="3.75" style="20" bestFit="1" customWidth="1"/>
    <col min="7953" max="7953" width="2.75" style="20" bestFit="1" customWidth="1"/>
    <col min="7954" max="7954" width="0.875" style="20" bestFit="1" customWidth="1"/>
    <col min="7955" max="7955" width="1.875" style="20" bestFit="1" customWidth="1"/>
    <col min="7956" max="7956" width="0.875" style="20" bestFit="1" customWidth="1"/>
    <col min="7957" max="7957" width="1.875" style="20" bestFit="1" customWidth="1"/>
    <col min="7958" max="7958" width="3.75" style="20" bestFit="1" customWidth="1"/>
    <col min="7959" max="7960" width="0.875" style="20" bestFit="1" customWidth="1"/>
    <col min="7961" max="7961" width="2.75" style="20" bestFit="1" customWidth="1"/>
    <col min="7962" max="7962" width="0.875" style="20" bestFit="1" customWidth="1"/>
    <col min="7963" max="7963" width="3.75" style="20" bestFit="1" customWidth="1"/>
    <col min="7964" max="7964" width="2.75" style="20" bestFit="1" customWidth="1"/>
    <col min="7965" max="7965" width="0.875" style="20" bestFit="1" customWidth="1"/>
    <col min="7966" max="7966" width="1.875" style="20" bestFit="1" customWidth="1"/>
    <col min="7967" max="7967" width="9.375" style="20" bestFit="1" customWidth="1"/>
    <col min="7968" max="8192" width="9" style="20"/>
    <col min="8193" max="8193" width="10.25" style="20" bestFit="1" customWidth="1"/>
    <col min="8194" max="8194" width="0.875" style="20" bestFit="1" customWidth="1"/>
    <col min="8195" max="8195" width="1.375" style="20" bestFit="1" customWidth="1"/>
    <col min="8196" max="8196" width="6.125" style="20" bestFit="1" customWidth="1"/>
    <col min="8197" max="8197" width="11.25" style="20" bestFit="1" customWidth="1"/>
    <col min="8198" max="8198" width="2.75" style="20" bestFit="1" customWidth="1"/>
    <col min="8199" max="8199" width="0.875" style="20" bestFit="1" customWidth="1"/>
    <col min="8200" max="8200" width="3.75" style="20" bestFit="1" customWidth="1"/>
    <col min="8201" max="8201" width="2.75" style="20" bestFit="1" customWidth="1"/>
    <col min="8202" max="8202" width="0.875" style="20" bestFit="1" customWidth="1"/>
    <col min="8203" max="8203" width="5.625" style="20" bestFit="1" customWidth="1"/>
    <col min="8204" max="8204" width="1.875" style="20" bestFit="1" customWidth="1"/>
    <col min="8205" max="8205" width="0.875" style="20" bestFit="1" customWidth="1"/>
    <col min="8206" max="8207" width="1.875" style="20" bestFit="1" customWidth="1"/>
    <col min="8208" max="8208" width="3.75" style="20" bestFit="1" customWidth="1"/>
    <col min="8209" max="8209" width="2.75" style="20" bestFit="1" customWidth="1"/>
    <col min="8210" max="8210" width="0.875" style="20" bestFit="1" customWidth="1"/>
    <col min="8211" max="8211" width="1.875" style="20" bestFit="1" customWidth="1"/>
    <col min="8212" max="8212" width="0.875" style="20" bestFit="1" customWidth="1"/>
    <col min="8213" max="8213" width="1.875" style="20" bestFit="1" customWidth="1"/>
    <col min="8214" max="8214" width="3.75" style="20" bestFit="1" customWidth="1"/>
    <col min="8215" max="8216" width="0.875" style="20" bestFit="1" customWidth="1"/>
    <col min="8217" max="8217" width="2.75" style="20" bestFit="1" customWidth="1"/>
    <col min="8218" max="8218" width="0.875" style="20" bestFit="1" customWidth="1"/>
    <col min="8219" max="8219" width="3.75" style="20" bestFit="1" customWidth="1"/>
    <col min="8220" max="8220" width="2.75" style="20" bestFit="1" customWidth="1"/>
    <col min="8221" max="8221" width="0.875" style="20" bestFit="1" customWidth="1"/>
    <col min="8222" max="8222" width="1.875" style="20" bestFit="1" customWidth="1"/>
    <col min="8223" max="8223" width="9.375" style="20" bestFit="1" customWidth="1"/>
    <col min="8224" max="8448" width="9" style="20"/>
    <col min="8449" max="8449" width="10.25" style="20" bestFit="1" customWidth="1"/>
    <col min="8450" max="8450" width="0.875" style="20" bestFit="1" customWidth="1"/>
    <col min="8451" max="8451" width="1.375" style="20" bestFit="1" customWidth="1"/>
    <col min="8452" max="8452" width="6.125" style="20" bestFit="1" customWidth="1"/>
    <col min="8453" max="8453" width="11.25" style="20" bestFit="1" customWidth="1"/>
    <col min="8454" max="8454" width="2.75" style="20" bestFit="1" customWidth="1"/>
    <col min="8455" max="8455" width="0.875" style="20" bestFit="1" customWidth="1"/>
    <col min="8456" max="8456" width="3.75" style="20" bestFit="1" customWidth="1"/>
    <col min="8457" max="8457" width="2.75" style="20" bestFit="1" customWidth="1"/>
    <col min="8458" max="8458" width="0.875" style="20" bestFit="1" customWidth="1"/>
    <col min="8459" max="8459" width="5.625" style="20" bestFit="1" customWidth="1"/>
    <col min="8460" max="8460" width="1.875" style="20" bestFit="1" customWidth="1"/>
    <col min="8461" max="8461" width="0.875" style="20" bestFit="1" customWidth="1"/>
    <col min="8462" max="8463" width="1.875" style="20" bestFit="1" customWidth="1"/>
    <col min="8464" max="8464" width="3.75" style="20" bestFit="1" customWidth="1"/>
    <col min="8465" max="8465" width="2.75" style="20" bestFit="1" customWidth="1"/>
    <col min="8466" max="8466" width="0.875" style="20" bestFit="1" customWidth="1"/>
    <col min="8467" max="8467" width="1.875" style="20" bestFit="1" customWidth="1"/>
    <col min="8468" max="8468" width="0.875" style="20" bestFit="1" customWidth="1"/>
    <col min="8469" max="8469" width="1.875" style="20" bestFit="1" customWidth="1"/>
    <col min="8470" max="8470" width="3.75" style="20" bestFit="1" customWidth="1"/>
    <col min="8471" max="8472" width="0.875" style="20" bestFit="1" customWidth="1"/>
    <col min="8473" max="8473" width="2.75" style="20" bestFit="1" customWidth="1"/>
    <col min="8474" max="8474" width="0.875" style="20" bestFit="1" customWidth="1"/>
    <col min="8475" max="8475" width="3.75" style="20" bestFit="1" customWidth="1"/>
    <col min="8476" max="8476" width="2.75" style="20" bestFit="1" customWidth="1"/>
    <col min="8477" max="8477" width="0.875" style="20" bestFit="1" customWidth="1"/>
    <col min="8478" max="8478" width="1.875" style="20" bestFit="1" customWidth="1"/>
    <col min="8479" max="8479" width="9.375" style="20" bestFit="1" customWidth="1"/>
    <col min="8480" max="8704" width="9" style="20"/>
    <col min="8705" max="8705" width="10.25" style="20" bestFit="1" customWidth="1"/>
    <col min="8706" max="8706" width="0.875" style="20" bestFit="1" customWidth="1"/>
    <col min="8707" max="8707" width="1.375" style="20" bestFit="1" customWidth="1"/>
    <col min="8708" max="8708" width="6.125" style="20" bestFit="1" customWidth="1"/>
    <col min="8709" max="8709" width="11.25" style="20" bestFit="1" customWidth="1"/>
    <col min="8710" max="8710" width="2.75" style="20" bestFit="1" customWidth="1"/>
    <col min="8711" max="8711" width="0.875" style="20" bestFit="1" customWidth="1"/>
    <col min="8712" max="8712" width="3.75" style="20" bestFit="1" customWidth="1"/>
    <col min="8713" max="8713" width="2.75" style="20" bestFit="1" customWidth="1"/>
    <col min="8714" max="8714" width="0.875" style="20" bestFit="1" customWidth="1"/>
    <col min="8715" max="8715" width="5.625" style="20" bestFit="1" customWidth="1"/>
    <col min="8716" max="8716" width="1.875" style="20" bestFit="1" customWidth="1"/>
    <col min="8717" max="8717" width="0.875" style="20" bestFit="1" customWidth="1"/>
    <col min="8718" max="8719" width="1.875" style="20" bestFit="1" customWidth="1"/>
    <col min="8720" max="8720" width="3.75" style="20" bestFit="1" customWidth="1"/>
    <col min="8721" max="8721" width="2.75" style="20" bestFit="1" customWidth="1"/>
    <col min="8722" max="8722" width="0.875" style="20" bestFit="1" customWidth="1"/>
    <col min="8723" max="8723" width="1.875" style="20" bestFit="1" customWidth="1"/>
    <col min="8724" max="8724" width="0.875" style="20" bestFit="1" customWidth="1"/>
    <col min="8725" max="8725" width="1.875" style="20" bestFit="1" customWidth="1"/>
    <col min="8726" max="8726" width="3.75" style="20" bestFit="1" customWidth="1"/>
    <col min="8727" max="8728" width="0.875" style="20" bestFit="1" customWidth="1"/>
    <col min="8729" max="8729" width="2.75" style="20" bestFit="1" customWidth="1"/>
    <col min="8730" max="8730" width="0.875" style="20" bestFit="1" customWidth="1"/>
    <col min="8731" max="8731" width="3.75" style="20" bestFit="1" customWidth="1"/>
    <col min="8732" max="8732" width="2.75" style="20" bestFit="1" customWidth="1"/>
    <col min="8733" max="8733" width="0.875" style="20" bestFit="1" customWidth="1"/>
    <col min="8734" max="8734" width="1.875" style="20" bestFit="1" customWidth="1"/>
    <col min="8735" max="8735" width="9.375" style="20" bestFit="1" customWidth="1"/>
    <col min="8736" max="8960" width="9" style="20"/>
    <col min="8961" max="8961" width="10.25" style="20" bestFit="1" customWidth="1"/>
    <col min="8962" max="8962" width="0.875" style="20" bestFit="1" customWidth="1"/>
    <col min="8963" max="8963" width="1.375" style="20" bestFit="1" customWidth="1"/>
    <col min="8964" max="8964" width="6.125" style="20" bestFit="1" customWidth="1"/>
    <col min="8965" max="8965" width="11.25" style="20" bestFit="1" customWidth="1"/>
    <col min="8966" max="8966" width="2.75" style="20" bestFit="1" customWidth="1"/>
    <col min="8967" max="8967" width="0.875" style="20" bestFit="1" customWidth="1"/>
    <col min="8968" max="8968" width="3.75" style="20" bestFit="1" customWidth="1"/>
    <col min="8969" max="8969" width="2.75" style="20" bestFit="1" customWidth="1"/>
    <col min="8970" max="8970" width="0.875" style="20" bestFit="1" customWidth="1"/>
    <col min="8971" max="8971" width="5.625" style="20" bestFit="1" customWidth="1"/>
    <col min="8972" max="8972" width="1.875" style="20" bestFit="1" customWidth="1"/>
    <col min="8973" max="8973" width="0.875" style="20" bestFit="1" customWidth="1"/>
    <col min="8974" max="8975" width="1.875" style="20" bestFit="1" customWidth="1"/>
    <col min="8976" max="8976" width="3.75" style="20" bestFit="1" customWidth="1"/>
    <col min="8977" max="8977" width="2.75" style="20" bestFit="1" customWidth="1"/>
    <col min="8978" max="8978" width="0.875" style="20" bestFit="1" customWidth="1"/>
    <col min="8979" max="8979" width="1.875" style="20" bestFit="1" customWidth="1"/>
    <col min="8980" max="8980" width="0.875" style="20" bestFit="1" customWidth="1"/>
    <col min="8981" max="8981" width="1.875" style="20" bestFit="1" customWidth="1"/>
    <col min="8982" max="8982" width="3.75" style="20" bestFit="1" customWidth="1"/>
    <col min="8983" max="8984" width="0.875" style="20" bestFit="1" customWidth="1"/>
    <col min="8985" max="8985" width="2.75" style="20" bestFit="1" customWidth="1"/>
    <col min="8986" max="8986" width="0.875" style="20" bestFit="1" customWidth="1"/>
    <col min="8987" max="8987" width="3.75" style="20" bestFit="1" customWidth="1"/>
    <col min="8988" max="8988" width="2.75" style="20" bestFit="1" customWidth="1"/>
    <col min="8989" max="8989" width="0.875" style="20" bestFit="1" customWidth="1"/>
    <col min="8990" max="8990" width="1.875" style="20" bestFit="1" customWidth="1"/>
    <col min="8991" max="8991" width="9.375" style="20" bestFit="1" customWidth="1"/>
    <col min="8992" max="9216" width="9" style="20"/>
    <col min="9217" max="9217" width="10.25" style="20" bestFit="1" customWidth="1"/>
    <col min="9218" max="9218" width="0.875" style="20" bestFit="1" customWidth="1"/>
    <col min="9219" max="9219" width="1.375" style="20" bestFit="1" customWidth="1"/>
    <col min="9220" max="9220" width="6.125" style="20" bestFit="1" customWidth="1"/>
    <col min="9221" max="9221" width="11.25" style="20" bestFit="1" customWidth="1"/>
    <col min="9222" max="9222" width="2.75" style="20" bestFit="1" customWidth="1"/>
    <col min="9223" max="9223" width="0.875" style="20" bestFit="1" customWidth="1"/>
    <col min="9224" max="9224" width="3.75" style="20" bestFit="1" customWidth="1"/>
    <col min="9225" max="9225" width="2.75" style="20" bestFit="1" customWidth="1"/>
    <col min="9226" max="9226" width="0.875" style="20" bestFit="1" customWidth="1"/>
    <col min="9227" max="9227" width="5.625" style="20" bestFit="1" customWidth="1"/>
    <col min="9228" max="9228" width="1.875" style="20" bestFit="1" customWidth="1"/>
    <col min="9229" max="9229" width="0.875" style="20" bestFit="1" customWidth="1"/>
    <col min="9230" max="9231" width="1.875" style="20" bestFit="1" customWidth="1"/>
    <col min="9232" max="9232" width="3.75" style="20" bestFit="1" customWidth="1"/>
    <col min="9233" max="9233" width="2.75" style="20" bestFit="1" customWidth="1"/>
    <col min="9234" max="9234" width="0.875" style="20" bestFit="1" customWidth="1"/>
    <col min="9235" max="9235" width="1.875" style="20" bestFit="1" customWidth="1"/>
    <col min="9236" max="9236" width="0.875" style="20" bestFit="1" customWidth="1"/>
    <col min="9237" max="9237" width="1.875" style="20" bestFit="1" customWidth="1"/>
    <col min="9238" max="9238" width="3.75" style="20" bestFit="1" customWidth="1"/>
    <col min="9239" max="9240" width="0.875" style="20" bestFit="1" customWidth="1"/>
    <col min="9241" max="9241" width="2.75" style="20" bestFit="1" customWidth="1"/>
    <col min="9242" max="9242" width="0.875" style="20" bestFit="1" customWidth="1"/>
    <col min="9243" max="9243" width="3.75" style="20" bestFit="1" customWidth="1"/>
    <col min="9244" max="9244" width="2.75" style="20" bestFit="1" customWidth="1"/>
    <col min="9245" max="9245" width="0.875" style="20" bestFit="1" customWidth="1"/>
    <col min="9246" max="9246" width="1.875" style="20" bestFit="1" customWidth="1"/>
    <col min="9247" max="9247" width="9.375" style="20" bestFit="1" customWidth="1"/>
    <col min="9248" max="9472" width="9" style="20"/>
    <col min="9473" max="9473" width="10.25" style="20" bestFit="1" customWidth="1"/>
    <col min="9474" max="9474" width="0.875" style="20" bestFit="1" customWidth="1"/>
    <col min="9475" max="9475" width="1.375" style="20" bestFit="1" customWidth="1"/>
    <col min="9476" max="9476" width="6.125" style="20" bestFit="1" customWidth="1"/>
    <col min="9477" max="9477" width="11.25" style="20" bestFit="1" customWidth="1"/>
    <col min="9478" max="9478" width="2.75" style="20" bestFit="1" customWidth="1"/>
    <col min="9479" max="9479" width="0.875" style="20" bestFit="1" customWidth="1"/>
    <col min="9480" max="9480" width="3.75" style="20" bestFit="1" customWidth="1"/>
    <col min="9481" max="9481" width="2.75" style="20" bestFit="1" customWidth="1"/>
    <col min="9482" max="9482" width="0.875" style="20" bestFit="1" customWidth="1"/>
    <col min="9483" max="9483" width="5.625" style="20" bestFit="1" customWidth="1"/>
    <col min="9484" max="9484" width="1.875" style="20" bestFit="1" customWidth="1"/>
    <col min="9485" max="9485" width="0.875" style="20" bestFit="1" customWidth="1"/>
    <col min="9486" max="9487" width="1.875" style="20" bestFit="1" customWidth="1"/>
    <col min="9488" max="9488" width="3.75" style="20" bestFit="1" customWidth="1"/>
    <col min="9489" max="9489" width="2.75" style="20" bestFit="1" customWidth="1"/>
    <col min="9490" max="9490" width="0.875" style="20" bestFit="1" customWidth="1"/>
    <col min="9491" max="9491" width="1.875" style="20" bestFit="1" customWidth="1"/>
    <col min="9492" max="9492" width="0.875" style="20" bestFit="1" customWidth="1"/>
    <col min="9493" max="9493" width="1.875" style="20" bestFit="1" customWidth="1"/>
    <col min="9494" max="9494" width="3.75" style="20" bestFit="1" customWidth="1"/>
    <col min="9495" max="9496" width="0.875" style="20" bestFit="1" customWidth="1"/>
    <col min="9497" max="9497" width="2.75" style="20" bestFit="1" customWidth="1"/>
    <col min="9498" max="9498" width="0.875" style="20" bestFit="1" customWidth="1"/>
    <col min="9499" max="9499" width="3.75" style="20" bestFit="1" customWidth="1"/>
    <col min="9500" max="9500" width="2.75" style="20" bestFit="1" customWidth="1"/>
    <col min="9501" max="9501" width="0.875" style="20" bestFit="1" customWidth="1"/>
    <col min="9502" max="9502" width="1.875" style="20" bestFit="1" customWidth="1"/>
    <col min="9503" max="9503" width="9.375" style="20" bestFit="1" customWidth="1"/>
    <col min="9504" max="9728" width="9" style="20"/>
    <col min="9729" max="9729" width="10.25" style="20" bestFit="1" customWidth="1"/>
    <col min="9730" max="9730" width="0.875" style="20" bestFit="1" customWidth="1"/>
    <col min="9731" max="9731" width="1.375" style="20" bestFit="1" customWidth="1"/>
    <col min="9732" max="9732" width="6.125" style="20" bestFit="1" customWidth="1"/>
    <col min="9733" max="9733" width="11.25" style="20" bestFit="1" customWidth="1"/>
    <col min="9734" max="9734" width="2.75" style="20" bestFit="1" customWidth="1"/>
    <col min="9735" max="9735" width="0.875" style="20" bestFit="1" customWidth="1"/>
    <col min="9736" max="9736" width="3.75" style="20" bestFit="1" customWidth="1"/>
    <col min="9737" max="9737" width="2.75" style="20" bestFit="1" customWidth="1"/>
    <col min="9738" max="9738" width="0.875" style="20" bestFit="1" customWidth="1"/>
    <col min="9739" max="9739" width="5.625" style="20" bestFit="1" customWidth="1"/>
    <col min="9740" max="9740" width="1.875" style="20" bestFit="1" customWidth="1"/>
    <col min="9741" max="9741" width="0.875" style="20" bestFit="1" customWidth="1"/>
    <col min="9742" max="9743" width="1.875" style="20" bestFit="1" customWidth="1"/>
    <col min="9744" max="9744" width="3.75" style="20" bestFit="1" customWidth="1"/>
    <col min="9745" max="9745" width="2.75" style="20" bestFit="1" customWidth="1"/>
    <col min="9746" max="9746" width="0.875" style="20" bestFit="1" customWidth="1"/>
    <col min="9747" max="9747" width="1.875" style="20" bestFit="1" customWidth="1"/>
    <col min="9748" max="9748" width="0.875" style="20" bestFit="1" customWidth="1"/>
    <col min="9749" max="9749" width="1.875" style="20" bestFit="1" customWidth="1"/>
    <col min="9750" max="9750" width="3.75" style="20" bestFit="1" customWidth="1"/>
    <col min="9751" max="9752" width="0.875" style="20" bestFit="1" customWidth="1"/>
    <col min="9753" max="9753" width="2.75" style="20" bestFit="1" customWidth="1"/>
    <col min="9754" max="9754" width="0.875" style="20" bestFit="1" customWidth="1"/>
    <col min="9755" max="9755" width="3.75" style="20" bestFit="1" customWidth="1"/>
    <col min="9756" max="9756" width="2.75" style="20" bestFit="1" customWidth="1"/>
    <col min="9757" max="9757" width="0.875" style="20" bestFit="1" customWidth="1"/>
    <col min="9758" max="9758" width="1.875" style="20" bestFit="1" customWidth="1"/>
    <col min="9759" max="9759" width="9.375" style="20" bestFit="1" customWidth="1"/>
    <col min="9760" max="9984" width="9" style="20"/>
    <col min="9985" max="9985" width="10.25" style="20" bestFit="1" customWidth="1"/>
    <col min="9986" max="9986" width="0.875" style="20" bestFit="1" customWidth="1"/>
    <col min="9987" max="9987" width="1.375" style="20" bestFit="1" customWidth="1"/>
    <col min="9988" max="9988" width="6.125" style="20" bestFit="1" customWidth="1"/>
    <col min="9989" max="9989" width="11.25" style="20" bestFit="1" customWidth="1"/>
    <col min="9990" max="9990" width="2.75" style="20" bestFit="1" customWidth="1"/>
    <col min="9991" max="9991" width="0.875" style="20" bestFit="1" customWidth="1"/>
    <col min="9992" max="9992" width="3.75" style="20" bestFit="1" customWidth="1"/>
    <col min="9993" max="9993" width="2.75" style="20" bestFit="1" customWidth="1"/>
    <col min="9994" max="9994" width="0.875" style="20" bestFit="1" customWidth="1"/>
    <col min="9995" max="9995" width="5.625" style="20" bestFit="1" customWidth="1"/>
    <col min="9996" max="9996" width="1.875" style="20" bestFit="1" customWidth="1"/>
    <col min="9997" max="9997" width="0.875" style="20" bestFit="1" customWidth="1"/>
    <col min="9998" max="9999" width="1.875" style="20" bestFit="1" customWidth="1"/>
    <col min="10000" max="10000" width="3.75" style="20" bestFit="1" customWidth="1"/>
    <col min="10001" max="10001" width="2.75" style="20" bestFit="1" customWidth="1"/>
    <col min="10002" max="10002" width="0.875" style="20" bestFit="1" customWidth="1"/>
    <col min="10003" max="10003" width="1.875" style="20" bestFit="1" customWidth="1"/>
    <col min="10004" max="10004" width="0.875" style="20" bestFit="1" customWidth="1"/>
    <col min="10005" max="10005" width="1.875" style="20" bestFit="1" customWidth="1"/>
    <col min="10006" max="10006" width="3.75" style="20" bestFit="1" customWidth="1"/>
    <col min="10007" max="10008" width="0.875" style="20" bestFit="1" customWidth="1"/>
    <col min="10009" max="10009" width="2.75" style="20" bestFit="1" customWidth="1"/>
    <col min="10010" max="10010" width="0.875" style="20" bestFit="1" customWidth="1"/>
    <col min="10011" max="10011" width="3.75" style="20" bestFit="1" customWidth="1"/>
    <col min="10012" max="10012" width="2.75" style="20" bestFit="1" customWidth="1"/>
    <col min="10013" max="10013" width="0.875" style="20" bestFit="1" customWidth="1"/>
    <col min="10014" max="10014" width="1.875" style="20" bestFit="1" customWidth="1"/>
    <col min="10015" max="10015" width="9.375" style="20" bestFit="1" customWidth="1"/>
    <col min="10016" max="10240" width="9" style="20"/>
    <col min="10241" max="10241" width="10.25" style="20" bestFit="1" customWidth="1"/>
    <col min="10242" max="10242" width="0.875" style="20" bestFit="1" customWidth="1"/>
    <col min="10243" max="10243" width="1.375" style="20" bestFit="1" customWidth="1"/>
    <col min="10244" max="10244" width="6.125" style="20" bestFit="1" customWidth="1"/>
    <col min="10245" max="10245" width="11.25" style="20" bestFit="1" customWidth="1"/>
    <col min="10246" max="10246" width="2.75" style="20" bestFit="1" customWidth="1"/>
    <col min="10247" max="10247" width="0.875" style="20" bestFit="1" customWidth="1"/>
    <col min="10248" max="10248" width="3.75" style="20" bestFit="1" customWidth="1"/>
    <col min="10249" max="10249" width="2.75" style="20" bestFit="1" customWidth="1"/>
    <col min="10250" max="10250" width="0.875" style="20" bestFit="1" customWidth="1"/>
    <col min="10251" max="10251" width="5.625" style="20" bestFit="1" customWidth="1"/>
    <col min="10252" max="10252" width="1.875" style="20" bestFit="1" customWidth="1"/>
    <col min="10253" max="10253" width="0.875" style="20" bestFit="1" customWidth="1"/>
    <col min="10254" max="10255" width="1.875" style="20" bestFit="1" customWidth="1"/>
    <col min="10256" max="10256" width="3.75" style="20" bestFit="1" customWidth="1"/>
    <col min="10257" max="10257" width="2.75" style="20" bestFit="1" customWidth="1"/>
    <col min="10258" max="10258" width="0.875" style="20" bestFit="1" customWidth="1"/>
    <col min="10259" max="10259" width="1.875" style="20" bestFit="1" customWidth="1"/>
    <col min="10260" max="10260" width="0.875" style="20" bestFit="1" customWidth="1"/>
    <col min="10261" max="10261" width="1.875" style="20" bestFit="1" customWidth="1"/>
    <col min="10262" max="10262" width="3.75" style="20" bestFit="1" customWidth="1"/>
    <col min="10263" max="10264" width="0.875" style="20" bestFit="1" customWidth="1"/>
    <col min="10265" max="10265" width="2.75" style="20" bestFit="1" customWidth="1"/>
    <col min="10266" max="10266" width="0.875" style="20" bestFit="1" customWidth="1"/>
    <col min="10267" max="10267" width="3.75" style="20" bestFit="1" customWidth="1"/>
    <col min="10268" max="10268" width="2.75" style="20" bestFit="1" customWidth="1"/>
    <col min="10269" max="10269" width="0.875" style="20" bestFit="1" customWidth="1"/>
    <col min="10270" max="10270" width="1.875" style="20" bestFit="1" customWidth="1"/>
    <col min="10271" max="10271" width="9.375" style="20" bestFit="1" customWidth="1"/>
    <col min="10272" max="10496" width="9" style="20"/>
    <col min="10497" max="10497" width="10.25" style="20" bestFit="1" customWidth="1"/>
    <col min="10498" max="10498" width="0.875" style="20" bestFit="1" customWidth="1"/>
    <col min="10499" max="10499" width="1.375" style="20" bestFit="1" customWidth="1"/>
    <col min="10500" max="10500" width="6.125" style="20" bestFit="1" customWidth="1"/>
    <col min="10501" max="10501" width="11.25" style="20" bestFit="1" customWidth="1"/>
    <col min="10502" max="10502" width="2.75" style="20" bestFit="1" customWidth="1"/>
    <col min="10503" max="10503" width="0.875" style="20" bestFit="1" customWidth="1"/>
    <col min="10504" max="10504" width="3.75" style="20" bestFit="1" customWidth="1"/>
    <col min="10505" max="10505" width="2.75" style="20" bestFit="1" customWidth="1"/>
    <col min="10506" max="10506" width="0.875" style="20" bestFit="1" customWidth="1"/>
    <col min="10507" max="10507" width="5.625" style="20" bestFit="1" customWidth="1"/>
    <col min="10508" max="10508" width="1.875" style="20" bestFit="1" customWidth="1"/>
    <col min="10509" max="10509" width="0.875" style="20" bestFit="1" customWidth="1"/>
    <col min="10510" max="10511" width="1.875" style="20" bestFit="1" customWidth="1"/>
    <col min="10512" max="10512" width="3.75" style="20" bestFit="1" customWidth="1"/>
    <col min="10513" max="10513" width="2.75" style="20" bestFit="1" customWidth="1"/>
    <col min="10514" max="10514" width="0.875" style="20" bestFit="1" customWidth="1"/>
    <col min="10515" max="10515" width="1.875" style="20" bestFit="1" customWidth="1"/>
    <col min="10516" max="10516" width="0.875" style="20" bestFit="1" customWidth="1"/>
    <col min="10517" max="10517" width="1.875" style="20" bestFit="1" customWidth="1"/>
    <col min="10518" max="10518" width="3.75" style="20" bestFit="1" customWidth="1"/>
    <col min="10519" max="10520" width="0.875" style="20" bestFit="1" customWidth="1"/>
    <col min="10521" max="10521" width="2.75" style="20" bestFit="1" customWidth="1"/>
    <col min="10522" max="10522" width="0.875" style="20" bestFit="1" customWidth="1"/>
    <col min="10523" max="10523" width="3.75" style="20" bestFit="1" customWidth="1"/>
    <col min="10524" max="10524" width="2.75" style="20" bestFit="1" customWidth="1"/>
    <col min="10525" max="10525" width="0.875" style="20" bestFit="1" customWidth="1"/>
    <col min="10526" max="10526" width="1.875" style="20" bestFit="1" customWidth="1"/>
    <col min="10527" max="10527" width="9.375" style="20" bestFit="1" customWidth="1"/>
    <col min="10528" max="10752" width="9" style="20"/>
    <col min="10753" max="10753" width="10.25" style="20" bestFit="1" customWidth="1"/>
    <col min="10754" max="10754" width="0.875" style="20" bestFit="1" customWidth="1"/>
    <col min="10755" max="10755" width="1.375" style="20" bestFit="1" customWidth="1"/>
    <col min="10756" max="10756" width="6.125" style="20" bestFit="1" customWidth="1"/>
    <col min="10757" max="10757" width="11.25" style="20" bestFit="1" customWidth="1"/>
    <col min="10758" max="10758" width="2.75" style="20" bestFit="1" customWidth="1"/>
    <col min="10759" max="10759" width="0.875" style="20" bestFit="1" customWidth="1"/>
    <col min="10760" max="10760" width="3.75" style="20" bestFit="1" customWidth="1"/>
    <col min="10761" max="10761" width="2.75" style="20" bestFit="1" customWidth="1"/>
    <col min="10762" max="10762" width="0.875" style="20" bestFit="1" customWidth="1"/>
    <col min="10763" max="10763" width="5.625" style="20" bestFit="1" customWidth="1"/>
    <col min="10764" max="10764" width="1.875" style="20" bestFit="1" customWidth="1"/>
    <col min="10765" max="10765" width="0.875" style="20" bestFit="1" customWidth="1"/>
    <col min="10766" max="10767" width="1.875" style="20" bestFit="1" customWidth="1"/>
    <col min="10768" max="10768" width="3.75" style="20" bestFit="1" customWidth="1"/>
    <col min="10769" max="10769" width="2.75" style="20" bestFit="1" customWidth="1"/>
    <col min="10770" max="10770" width="0.875" style="20" bestFit="1" customWidth="1"/>
    <col min="10771" max="10771" width="1.875" style="20" bestFit="1" customWidth="1"/>
    <col min="10772" max="10772" width="0.875" style="20" bestFit="1" customWidth="1"/>
    <col min="10773" max="10773" width="1.875" style="20" bestFit="1" customWidth="1"/>
    <col min="10774" max="10774" width="3.75" style="20" bestFit="1" customWidth="1"/>
    <col min="10775" max="10776" width="0.875" style="20" bestFit="1" customWidth="1"/>
    <col min="10777" max="10777" width="2.75" style="20" bestFit="1" customWidth="1"/>
    <col min="10778" max="10778" width="0.875" style="20" bestFit="1" customWidth="1"/>
    <col min="10779" max="10779" width="3.75" style="20" bestFit="1" customWidth="1"/>
    <col min="10780" max="10780" width="2.75" style="20" bestFit="1" customWidth="1"/>
    <col min="10781" max="10781" width="0.875" style="20" bestFit="1" customWidth="1"/>
    <col min="10782" max="10782" width="1.875" style="20" bestFit="1" customWidth="1"/>
    <col min="10783" max="10783" width="9.375" style="20" bestFit="1" customWidth="1"/>
    <col min="10784" max="11008" width="9" style="20"/>
    <col min="11009" max="11009" width="10.25" style="20" bestFit="1" customWidth="1"/>
    <col min="11010" max="11010" width="0.875" style="20" bestFit="1" customWidth="1"/>
    <col min="11011" max="11011" width="1.375" style="20" bestFit="1" customWidth="1"/>
    <col min="11012" max="11012" width="6.125" style="20" bestFit="1" customWidth="1"/>
    <col min="11013" max="11013" width="11.25" style="20" bestFit="1" customWidth="1"/>
    <col min="11014" max="11014" width="2.75" style="20" bestFit="1" customWidth="1"/>
    <col min="11015" max="11015" width="0.875" style="20" bestFit="1" customWidth="1"/>
    <col min="11016" max="11016" width="3.75" style="20" bestFit="1" customWidth="1"/>
    <col min="11017" max="11017" width="2.75" style="20" bestFit="1" customWidth="1"/>
    <col min="11018" max="11018" width="0.875" style="20" bestFit="1" customWidth="1"/>
    <col min="11019" max="11019" width="5.625" style="20" bestFit="1" customWidth="1"/>
    <col min="11020" max="11020" width="1.875" style="20" bestFit="1" customWidth="1"/>
    <col min="11021" max="11021" width="0.875" style="20" bestFit="1" customWidth="1"/>
    <col min="11022" max="11023" width="1.875" style="20" bestFit="1" customWidth="1"/>
    <col min="11024" max="11024" width="3.75" style="20" bestFit="1" customWidth="1"/>
    <col min="11025" max="11025" width="2.75" style="20" bestFit="1" customWidth="1"/>
    <col min="11026" max="11026" width="0.875" style="20" bestFit="1" customWidth="1"/>
    <col min="11027" max="11027" width="1.875" style="20" bestFit="1" customWidth="1"/>
    <col min="11028" max="11028" width="0.875" style="20" bestFit="1" customWidth="1"/>
    <col min="11029" max="11029" width="1.875" style="20" bestFit="1" customWidth="1"/>
    <col min="11030" max="11030" width="3.75" style="20" bestFit="1" customWidth="1"/>
    <col min="11031" max="11032" width="0.875" style="20" bestFit="1" customWidth="1"/>
    <col min="11033" max="11033" width="2.75" style="20" bestFit="1" customWidth="1"/>
    <col min="11034" max="11034" width="0.875" style="20" bestFit="1" customWidth="1"/>
    <col min="11035" max="11035" width="3.75" style="20" bestFit="1" customWidth="1"/>
    <col min="11036" max="11036" width="2.75" style="20" bestFit="1" customWidth="1"/>
    <col min="11037" max="11037" width="0.875" style="20" bestFit="1" customWidth="1"/>
    <col min="11038" max="11038" width="1.875" style="20" bestFit="1" customWidth="1"/>
    <col min="11039" max="11039" width="9.375" style="20" bestFit="1" customWidth="1"/>
    <col min="11040" max="11264" width="9" style="20"/>
    <col min="11265" max="11265" width="10.25" style="20" bestFit="1" customWidth="1"/>
    <col min="11266" max="11266" width="0.875" style="20" bestFit="1" customWidth="1"/>
    <col min="11267" max="11267" width="1.375" style="20" bestFit="1" customWidth="1"/>
    <col min="11268" max="11268" width="6.125" style="20" bestFit="1" customWidth="1"/>
    <col min="11269" max="11269" width="11.25" style="20" bestFit="1" customWidth="1"/>
    <col min="11270" max="11270" width="2.75" style="20" bestFit="1" customWidth="1"/>
    <col min="11271" max="11271" width="0.875" style="20" bestFit="1" customWidth="1"/>
    <col min="11272" max="11272" width="3.75" style="20" bestFit="1" customWidth="1"/>
    <col min="11273" max="11273" width="2.75" style="20" bestFit="1" customWidth="1"/>
    <col min="11274" max="11274" width="0.875" style="20" bestFit="1" customWidth="1"/>
    <col min="11275" max="11275" width="5.625" style="20" bestFit="1" customWidth="1"/>
    <col min="11276" max="11276" width="1.875" style="20" bestFit="1" customWidth="1"/>
    <col min="11277" max="11277" width="0.875" style="20" bestFit="1" customWidth="1"/>
    <col min="11278" max="11279" width="1.875" style="20" bestFit="1" customWidth="1"/>
    <col min="11280" max="11280" width="3.75" style="20" bestFit="1" customWidth="1"/>
    <col min="11281" max="11281" width="2.75" style="20" bestFit="1" customWidth="1"/>
    <col min="11282" max="11282" width="0.875" style="20" bestFit="1" customWidth="1"/>
    <col min="11283" max="11283" width="1.875" style="20" bestFit="1" customWidth="1"/>
    <col min="11284" max="11284" width="0.875" style="20" bestFit="1" customWidth="1"/>
    <col min="11285" max="11285" width="1.875" style="20" bestFit="1" customWidth="1"/>
    <col min="11286" max="11286" width="3.75" style="20" bestFit="1" customWidth="1"/>
    <col min="11287" max="11288" width="0.875" style="20" bestFit="1" customWidth="1"/>
    <col min="11289" max="11289" width="2.75" style="20" bestFit="1" customWidth="1"/>
    <col min="11290" max="11290" width="0.875" style="20" bestFit="1" customWidth="1"/>
    <col min="11291" max="11291" width="3.75" style="20" bestFit="1" customWidth="1"/>
    <col min="11292" max="11292" width="2.75" style="20" bestFit="1" customWidth="1"/>
    <col min="11293" max="11293" width="0.875" style="20" bestFit="1" customWidth="1"/>
    <col min="11294" max="11294" width="1.875" style="20" bestFit="1" customWidth="1"/>
    <col min="11295" max="11295" width="9.375" style="20" bestFit="1" customWidth="1"/>
    <col min="11296" max="11520" width="9" style="20"/>
    <col min="11521" max="11521" width="10.25" style="20" bestFit="1" customWidth="1"/>
    <col min="11522" max="11522" width="0.875" style="20" bestFit="1" customWidth="1"/>
    <col min="11523" max="11523" width="1.375" style="20" bestFit="1" customWidth="1"/>
    <col min="11524" max="11524" width="6.125" style="20" bestFit="1" customWidth="1"/>
    <col min="11525" max="11525" width="11.25" style="20" bestFit="1" customWidth="1"/>
    <col min="11526" max="11526" width="2.75" style="20" bestFit="1" customWidth="1"/>
    <col min="11527" max="11527" width="0.875" style="20" bestFit="1" customWidth="1"/>
    <col min="11528" max="11528" width="3.75" style="20" bestFit="1" customWidth="1"/>
    <col min="11529" max="11529" width="2.75" style="20" bestFit="1" customWidth="1"/>
    <col min="11530" max="11530" width="0.875" style="20" bestFit="1" customWidth="1"/>
    <col min="11531" max="11531" width="5.625" style="20" bestFit="1" customWidth="1"/>
    <col min="11532" max="11532" width="1.875" style="20" bestFit="1" customWidth="1"/>
    <col min="11533" max="11533" width="0.875" style="20" bestFit="1" customWidth="1"/>
    <col min="11534" max="11535" width="1.875" style="20" bestFit="1" customWidth="1"/>
    <col min="11536" max="11536" width="3.75" style="20" bestFit="1" customWidth="1"/>
    <col min="11537" max="11537" width="2.75" style="20" bestFit="1" customWidth="1"/>
    <col min="11538" max="11538" width="0.875" style="20" bestFit="1" customWidth="1"/>
    <col min="11539" max="11539" width="1.875" style="20" bestFit="1" customWidth="1"/>
    <col min="11540" max="11540" width="0.875" style="20" bestFit="1" customWidth="1"/>
    <col min="11541" max="11541" width="1.875" style="20" bestFit="1" customWidth="1"/>
    <col min="11542" max="11542" width="3.75" style="20" bestFit="1" customWidth="1"/>
    <col min="11543" max="11544" width="0.875" style="20" bestFit="1" customWidth="1"/>
    <col min="11545" max="11545" width="2.75" style="20" bestFit="1" customWidth="1"/>
    <col min="11546" max="11546" width="0.875" style="20" bestFit="1" customWidth="1"/>
    <col min="11547" max="11547" width="3.75" style="20" bestFit="1" customWidth="1"/>
    <col min="11548" max="11548" width="2.75" style="20" bestFit="1" customWidth="1"/>
    <col min="11549" max="11549" width="0.875" style="20" bestFit="1" customWidth="1"/>
    <col min="11550" max="11550" width="1.875" style="20" bestFit="1" customWidth="1"/>
    <col min="11551" max="11551" width="9.375" style="20" bestFit="1" customWidth="1"/>
    <col min="11552" max="11776" width="9" style="20"/>
    <col min="11777" max="11777" width="10.25" style="20" bestFit="1" customWidth="1"/>
    <col min="11778" max="11778" width="0.875" style="20" bestFit="1" customWidth="1"/>
    <col min="11779" max="11779" width="1.375" style="20" bestFit="1" customWidth="1"/>
    <col min="11780" max="11780" width="6.125" style="20" bestFit="1" customWidth="1"/>
    <col min="11781" max="11781" width="11.25" style="20" bestFit="1" customWidth="1"/>
    <col min="11782" max="11782" width="2.75" style="20" bestFit="1" customWidth="1"/>
    <col min="11783" max="11783" width="0.875" style="20" bestFit="1" customWidth="1"/>
    <col min="11784" max="11784" width="3.75" style="20" bestFit="1" customWidth="1"/>
    <col min="11785" max="11785" width="2.75" style="20" bestFit="1" customWidth="1"/>
    <col min="11786" max="11786" width="0.875" style="20" bestFit="1" customWidth="1"/>
    <col min="11787" max="11787" width="5.625" style="20" bestFit="1" customWidth="1"/>
    <col min="11788" max="11788" width="1.875" style="20" bestFit="1" customWidth="1"/>
    <col min="11789" max="11789" width="0.875" style="20" bestFit="1" customWidth="1"/>
    <col min="11790" max="11791" width="1.875" style="20" bestFit="1" customWidth="1"/>
    <col min="11792" max="11792" width="3.75" style="20" bestFit="1" customWidth="1"/>
    <col min="11793" max="11793" width="2.75" style="20" bestFit="1" customWidth="1"/>
    <col min="11794" max="11794" width="0.875" style="20" bestFit="1" customWidth="1"/>
    <col min="11795" max="11795" width="1.875" style="20" bestFit="1" customWidth="1"/>
    <col min="11796" max="11796" width="0.875" style="20" bestFit="1" customWidth="1"/>
    <col min="11797" max="11797" width="1.875" style="20" bestFit="1" customWidth="1"/>
    <col min="11798" max="11798" width="3.75" style="20" bestFit="1" customWidth="1"/>
    <col min="11799" max="11800" width="0.875" style="20" bestFit="1" customWidth="1"/>
    <col min="11801" max="11801" width="2.75" style="20" bestFit="1" customWidth="1"/>
    <col min="11802" max="11802" width="0.875" style="20" bestFit="1" customWidth="1"/>
    <col min="11803" max="11803" width="3.75" style="20" bestFit="1" customWidth="1"/>
    <col min="11804" max="11804" width="2.75" style="20" bestFit="1" customWidth="1"/>
    <col min="11805" max="11805" width="0.875" style="20" bestFit="1" customWidth="1"/>
    <col min="11806" max="11806" width="1.875" style="20" bestFit="1" customWidth="1"/>
    <col min="11807" max="11807" width="9.375" style="20" bestFit="1" customWidth="1"/>
    <col min="11808" max="12032" width="9" style="20"/>
    <col min="12033" max="12033" width="10.25" style="20" bestFit="1" customWidth="1"/>
    <col min="12034" max="12034" width="0.875" style="20" bestFit="1" customWidth="1"/>
    <col min="12035" max="12035" width="1.375" style="20" bestFit="1" customWidth="1"/>
    <col min="12036" max="12036" width="6.125" style="20" bestFit="1" customWidth="1"/>
    <col min="12037" max="12037" width="11.25" style="20" bestFit="1" customWidth="1"/>
    <col min="12038" max="12038" width="2.75" style="20" bestFit="1" customWidth="1"/>
    <col min="12039" max="12039" width="0.875" style="20" bestFit="1" customWidth="1"/>
    <col min="12040" max="12040" width="3.75" style="20" bestFit="1" customWidth="1"/>
    <col min="12041" max="12041" width="2.75" style="20" bestFit="1" customWidth="1"/>
    <col min="12042" max="12042" width="0.875" style="20" bestFit="1" customWidth="1"/>
    <col min="12043" max="12043" width="5.625" style="20" bestFit="1" customWidth="1"/>
    <col min="12044" max="12044" width="1.875" style="20" bestFit="1" customWidth="1"/>
    <col min="12045" max="12045" width="0.875" style="20" bestFit="1" customWidth="1"/>
    <col min="12046" max="12047" width="1.875" style="20" bestFit="1" customWidth="1"/>
    <col min="12048" max="12048" width="3.75" style="20" bestFit="1" customWidth="1"/>
    <col min="12049" max="12049" width="2.75" style="20" bestFit="1" customWidth="1"/>
    <col min="12050" max="12050" width="0.875" style="20" bestFit="1" customWidth="1"/>
    <col min="12051" max="12051" width="1.875" style="20" bestFit="1" customWidth="1"/>
    <col min="12052" max="12052" width="0.875" style="20" bestFit="1" customWidth="1"/>
    <col min="12053" max="12053" width="1.875" style="20" bestFit="1" customWidth="1"/>
    <col min="12054" max="12054" width="3.75" style="20" bestFit="1" customWidth="1"/>
    <col min="12055" max="12056" width="0.875" style="20" bestFit="1" customWidth="1"/>
    <col min="12057" max="12057" width="2.75" style="20" bestFit="1" customWidth="1"/>
    <col min="12058" max="12058" width="0.875" style="20" bestFit="1" customWidth="1"/>
    <col min="12059" max="12059" width="3.75" style="20" bestFit="1" customWidth="1"/>
    <col min="12060" max="12060" width="2.75" style="20" bestFit="1" customWidth="1"/>
    <col min="12061" max="12061" width="0.875" style="20" bestFit="1" customWidth="1"/>
    <col min="12062" max="12062" width="1.875" style="20" bestFit="1" customWidth="1"/>
    <col min="12063" max="12063" width="9.375" style="20" bestFit="1" customWidth="1"/>
    <col min="12064" max="12288" width="9" style="20"/>
    <col min="12289" max="12289" width="10.25" style="20" bestFit="1" customWidth="1"/>
    <col min="12290" max="12290" width="0.875" style="20" bestFit="1" customWidth="1"/>
    <col min="12291" max="12291" width="1.375" style="20" bestFit="1" customWidth="1"/>
    <col min="12292" max="12292" width="6.125" style="20" bestFit="1" customWidth="1"/>
    <col min="12293" max="12293" width="11.25" style="20" bestFit="1" customWidth="1"/>
    <col min="12294" max="12294" width="2.75" style="20" bestFit="1" customWidth="1"/>
    <col min="12295" max="12295" width="0.875" style="20" bestFit="1" customWidth="1"/>
    <col min="12296" max="12296" width="3.75" style="20" bestFit="1" customWidth="1"/>
    <col min="12297" max="12297" width="2.75" style="20" bestFit="1" customWidth="1"/>
    <col min="12298" max="12298" width="0.875" style="20" bestFit="1" customWidth="1"/>
    <col min="12299" max="12299" width="5.625" style="20" bestFit="1" customWidth="1"/>
    <col min="12300" max="12300" width="1.875" style="20" bestFit="1" customWidth="1"/>
    <col min="12301" max="12301" width="0.875" style="20" bestFit="1" customWidth="1"/>
    <col min="12302" max="12303" width="1.875" style="20" bestFit="1" customWidth="1"/>
    <col min="12304" max="12304" width="3.75" style="20" bestFit="1" customWidth="1"/>
    <col min="12305" max="12305" width="2.75" style="20" bestFit="1" customWidth="1"/>
    <col min="12306" max="12306" width="0.875" style="20" bestFit="1" customWidth="1"/>
    <col min="12307" max="12307" width="1.875" style="20" bestFit="1" customWidth="1"/>
    <col min="12308" max="12308" width="0.875" style="20" bestFit="1" customWidth="1"/>
    <col min="12309" max="12309" width="1.875" style="20" bestFit="1" customWidth="1"/>
    <col min="12310" max="12310" width="3.75" style="20" bestFit="1" customWidth="1"/>
    <col min="12311" max="12312" width="0.875" style="20" bestFit="1" customWidth="1"/>
    <col min="12313" max="12313" width="2.75" style="20" bestFit="1" customWidth="1"/>
    <col min="12314" max="12314" width="0.875" style="20" bestFit="1" customWidth="1"/>
    <col min="12315" max="12315" width="3.75" style="20" bestFit="1" customWidth="1"/>
    <col min="12316" max="12316" width="2.75" style="20" bestFit="1" customWidth="1"/>
    <col min="12317" max="12317" width="0.875" style="20" bestFit="1" customWidth="1"/>
    <col min="12318" max="12318" width="1.875" style="20" bestFit="1" customWidth="1"/>
    <col min="12319" max="12319" width="9.375" style="20" bestFit="1" customWidth="1"/>
    <col min="12320" max="12544" width="9" style="20"/>
    <col min="12545" max="12545" width="10.25" style="20" bestFit="1" customWidth="1"/>
    <col min="12546" max="12546" width="0.875" style="20" bestFit="1" customWidth="1"/>
    <col min="12547" max="12547" width="1.375" style="20" bestFit="1" customWidth="1"/>
    <col min="12548" max="12548" width="6.125" style="20" bestFit="1" customWidth="1"/>
    <col min="12549" max="12549" width="11.25" style="20" bestFit="1" customWidth="1"/>
    <col min="12550" max="12550" width="2.75" style="20" bestFit="1" customWidth="1"/>
    <col min="12551" max="12551" width="0.875" style="20" bestFit="1" customWidth="1"/>
    <col min="12552" max="12552" width="3.75" style="20" bestFit="1" customWidth="1"/>
    <col min="12553" max="12553" width="2.75" style="20" bestFit="1" customWidth="1"/>
    <col min="12554" max="12554" width="0.875" style="20" bestFit="1" customWidth="1"/>
    <col min="12555" max="12555" width="5.625" style="20" bestFit="1" customWidth="1"/>
    <col min="12556" max="12556" width="1.875" style="20" bestFit="1" customWidth="1"/>
    <col min="12557" max="12557" width="0.875" style="20" bestFit="1" customWidth="1"/>
    <col min="12558" max="12559" width="1.875" style="20" bestFit="1" customWidth="1"/>
    <col min="12560" max="12560" width="3.75" style="20" bestFit="1" customWidth="1"/>
    <col min="12561" max="12561" width="2.75" style="20" bestFit="1" customWidth="1"/>
    <col min="12562" max="12562" width="0.875" style="20" bestFit="1" customWidth="1"/>
    <col min="12563" max="12563" width="1.875" style="20" bestFit="1" customWidth="1"/>
    <col min="12564" max="12564" width="0.875" style="20" bestFit="1" customWidth="1"/>
    <col min="12565" max="12565" width="1.875" style="20" bestFit="1" customWidth="1"/>
    <col min="12566" max="12566" width="3.75" style="20" bestFit="1" customWidth="1"/>
    <col min="12567" max="12568" width="0.875" style="20" bestFit="1" customWidth="1"/>
    <col min="12569" max="12569" width="2.75" style="20" bestFit="1" customWidth="1"/>
    <col min="12570" max="12570" width="0.875" style="20" bestFit="1" customWidth="1"/>
    <col min="12571" max="12571" width="3.75" style="20" bestFit="1" customWidth="1"/>
    <col min="12572" max="12572" width="2.75" style="20" bestFit="1" customWidth="1"/>
    <col min="12573" max="12573" width="0.875" style="20" bestFit="1" customWidth="1"/>
    <col min="12574" max="12574" width="1.875" style="20" bestFit="1" customWidth="1"/>
    <col min="12575" max="12575" width="9.375" style="20" bestFit="1" customWidth="1"/>
    <col min="12576" max="12800" width="9" style="20"/>
    <col min="12801" max="12801" width="10.25" style="20" bestFit="1" customWidth="1"/>
    <col min="12802" max="12802" width="0.875" style="20" bestFit="1" customWidth="1"/>
    <col min="12803" max="12803" width="1.375" style="20" bestFit="1" customWidth="1"/>
    <col min="12804" max="12804" width="6.125" style="20" bestFit="1" customWidth="1"/>
    <col min="12805" max="12805" width="11.25" style="20" bestFit="1" customWidth="1"/>
    <col min="12806" max="12806" width="2.75" style="20" bestFit="1" customWidth="1"/>
    <col min="12807" max="12807" width="0.875" style="20" bestFit="1" customWidth="1"/>
    <col min="12808" max="12808" width="3.75" style="20" bestFit="1" customWidth="1"/>
    <col min="12809" max="12809" width="2.75" style="20" bestFit="1" customWidth="1"/>
    <col min="12810" max="12810" width="0.875" style="20" bestFit="1" customWidth="1"/>
    <col min="12811" max="12811" width="5.625" style="20" bestFit="1" customWidth="1"/>
    <col min="12812" max="12812" width="1.875" style="20" bestFit="1" customWidth="1"/>
    <col min="12813" max="12813" width="0.875" style="20" bestFit="1" customWidth="1"/>
    <col min="12814" max="12815" width="1.875" style="20" bestFit="1" customWidth="1"/>
    <col min="12816" max="12816" width="3.75" style="20" bestFit="1" customWidth="1"/>
    <col min="12817" max="12817" width="2.75" style="20" bestFit="1" customWidth="1"/>
    <col min="12818" max="12818" width="0.875" style="20" bestFit="1" customWidth="1"/>
    <col min="12819" max="12819" width="1.875" style="20" bestFit="1" customWidth="1"/>
    <col min="12820" max="12820" width="0.875" style="20" bestFit="1" customWidth="1"/>
    <col min="12821" max="12821" width="1.875" style="20" bestFit="1" customWidth="1"/>
    <col min="12822" max="12822" width="3.75" style="20" bestFit="1" customWidth="1"/>
    <col min="12823" max="12824" width="0.875" style="20" bestFit="1" customWidth="1"/>
    <col min="12825" max="12825" width="2.75" style="20" bestFit="1" customWidth="1"/>
    <col min="12826" max="12826" width="0.875" style="20" bestFit="1" customWidth="1"/>
    <col min="12827" max="12827" width="3.75" style="20" bestFit="1" customWidth="1"/>
    <col min="12828" max="12828" width="2.75" style="20" bestFit="1" customWidth="1"/>
    <col min="12829" max="12829" width="0.875" style="20" bestFit="1" customWidth="1"/>
    <col min="12830" max="12830" width="1.875" style="20" bestFit="1" customWidth="1"/>
    <col min="12831" max="12831" width="9.375" style="20" bestFit="1" customWidth="1"/>
    <col min="12832" max="13056" width="9" style="20"/>
    <col min="13057" max="13057" width="10.25" style="20" bestFit="1" customWidth="1"/>
    <col min="13058" max="13058" width="0.875" style="20" bestFit="1" customWidth="1"/>
    <col min="13059" max="13059" width="1.375" style="20" bestFit="1" customWidth="1"/>
    <col min="13060" max="13060" width="6.125" style="20" bestFit="1" customWidth="1"/>
    <col min="13061" max="13061" width="11.25" style="20" bestFit="1" customWidth="1"/>
    <col min="13062" max="13062" width="2.75" style="20" bestFit="1" customWidth="1"/>
    <col min="13063" max="13063" width="0.875" style="20" bestFit="1" customWidth="1"/>
    <col min="13064" max="13064" width="3.75" style="20" bestFit="1" customWidth="1"/>
    <col min="13065" max="13065" width="2.75" style="20" bestFit="1" customWidth="1"/>
    <col min="13066" max="13066" width="0.875" style="20" bestFit="1" customWidth="1"/>
    <col min="13067" max="13067" width="5.625" style="20" bestFit="1" customWidth="1"/>
    <col min="13068" max="13068" width="1.875" style="20" bestFit="1" customWidth="1"/>
    <col min="13069" max="13069" width="0.875" style="20" bestFit="1" customWidth="1"/>
    <col min="13070" max="13071" width="1.875" style="20" bestFit="1" customWidth="1"/>
    <col min="13072" max="13072" width="3.75" style="20" bestFit="1" customWidth="1"/>
    <col min="13073" max="13073" width="2.75" style="20" bestFit="1" customWidth="1"/>
    <col min="13074" max="13074" width="0.875" style="20" bestFit="1" customWidth="1"/>
    <col min="13075" max="13075" width="1.875" style="20" bestFit="1" customWidth="1"/>
    <col min="13076" max="13076" width="0.875" style="20" bestFit="1" customWidth="1"/>
    <col min="13077" max="13077" width="1.875" style="20" bestFit="1" customWidth="1"/>
    <col min="13078" max="13078" width="3.75" style="20" bestFit="1" customWidth="1"/>
    <col min="13079" max="13080" width="0.875" style="20" bestFit="1" customWidth="1"/>
    <col min="13081" max="13081" width="2.75" style="20" bestFit="1" customWidth="1"/>
    <col min="13082" max="13082" width="0.875" style="20" bestFit="1" customWidth="1"/>
    <col min="13083" max="13083" width="3.75" style="20" bestFit="1" customWidth="1"/>
    <col min="13084" max="13084" width="2.75" style="20" bestFit="1" customWidth="1"/>
    <col min="13085" max="13085" width="0.875" style="20" bestFit="1" customWidth="1"/>
    <col min="13086" max="13086" width="1.875" style="20" bestFit="1" customWidth="1"/>
    <col min="13087" max="13087" width="9.375" style="20" bestFit="1" customWidth="1"/>
    <col min="13088" max="13312" width="9" style="20"/>
    <col min="13313" max="13313" width="10.25" style="20" bestFit="1" customWidth="1"/>
    <col min="13314" max="13314" width="0.875" style="20" bestFit="1" customWidth="1"/>
    <col min="13315" max="13315" width="1.375" style="20" bestFit="1" customWidth="1"/>
    <col min="13316" max="13316" width="6.125" style="20" bestFit="1" customWidth="1"/>
    <col min="13317" max="13317" width="11.25" style="20" bestFit="1" customWidth="1"/>
    <col min="13318" max="13318" width="2.75" style="20" bestFit="1" customWidth="1"/>
    <col min="13319" max="13319" width="0.875" style="20" bestFit="1" customWidth="1"/>
    <col min="13320" max="13320" width="3.75" style="20" bestFit="1" customWidth="1"/>
    <col min="13321" max="13321" width="2.75" style="20" bestFit="1" customWidth="1"/>
    <col min="13322" max="13322" width="0.875" style="20" bestFit="1" customWidth="1"/>
    <col min="13323" max="13323" width="5.625" style="20" bestFit="1" customWidth="1"/>
    <col min="13324" max="13324" width="1.875" style="20" bestFit="1" customWidth="1"/>
    <col min="13325" max="13325" width="0.875" style="20" bestFit="1" customWidth="1"/>
    <col min="13326" max="13327" width="1.875" style="20" bestFit="1" customWidth="1"/>
    <col min="13328" max="13328" width="3.75" style="20" bestFit="1" customWidth="1"/>
    <col min="13329" max="13329" width="2.75" style="20" bestFit="1" customWidth="1"/>
    <col min="13330" max="13330" width="0.875" style="20" bestFit="1" customWidth="1"/>
    <col min="13331" max="13331" width="1.875" style="20" bestFit="1" customWidth="1"/>
    <col min="13332" max="13332" width="0.875" style="20" bestFit="1" customWidth="1"/>
    <col min="13333" max="13333" width="1.875" style="20" bestFit="1" customWidth="1"/>
    <col min="13334" max="13334" width="3.75" style="20" bestFit="1" customWidth="1"/>
    <col min="13335" max="13336" width="0.875" style="20" bestFit="1" customWidth="1"/>
    <col min="13337" max="13337" width="2.75" style="20" bestFit="1" customWidth="1"/>
    <col min="13338" max="13338" width="0.875" style="20" bestFit="1" customWidth="1"/>
    <col min="13339" max="13339" width="3.75" style="20" bestFit="1" customWidth="1"/>
    <col min="13340" max="13340" width="2.75" style="20" bestFit="1" customWidth="1"/>
    <col min="13341" max="13341" width="0.875" style="20" bestFit="1" customWidth="1"/>
    <col min="13342" max="13342" width="1.875" style="20" bestFit="1" customWidth="1"/>
    <col min="13343" max="13343" width="9.375" style="20" bestFit="1" customWidth="1"/>
    <col min="13344" max="13568" width="9" style="20"/>
    <col min="13569" max="13569" width="10.25" style="20" bestFit="1" customWidth="1"/>
    <col min="13570" max="13570" width="0.875" style="20" bestFit="1" customWidth="1"/>
    <col min="13571" max="13571" width="1.375" style="20" bestFit="1" customWidth="1"/>
    <col min="13572" max="13572" width="6.125" style="20" bestFit="1" customWidth="1"/>
    <col min="13573" max="13573" width="11.25" style="20" bestFit="1" customWidth="1"/>
    <col min="13574" max="13574" width="2.75" style="20" bestFit="1" customWidth="1"/>
    <col min="13575" max="13575" width="0.875" style="20" bestFit="1" customWidth="1"/>
    <col min="13576" max="13576" width="3.75" style="20" bestFit="1" customWidth="1"/>
    <col min="13577" max="13577" width="2.75" style="20" bestFit="1" customWidth="1"/>
    <col min="13578" max="13578" width="0.875" style="20" bestFit="1" customWidth="1"/>
    <col min="13579" max="13579" width="5.625" style="20" bestFit="1" customWidth="1"/>
    <col min="13580" max="13580" width="1.875" style="20" bestFit="1" customWidth="1"/>
    <col min="13581" max="13581" width="0.875" style="20" bestFit="1" customWidth="1"/>
    <col min="13582" max="13583" width="1.875" style="20" bestFit="1" customWidth="1"/>
    <col min="13584" max="13584" width="3.75" style="20" bestFit="1" customWidth="1"/>
    <col min="13585" max="13585" width="2.75" style="20" bestFit="1" customWidth="1"/>
    <col min="13586" max="13586" width="0.875" style="20" bestFit="1" customWidth="1"/>
    <col min="13587" max="13587" width="1.875" style="20" bestFit="1" customWidth="1"/>
    <col min="13588" max="13588" width="0.875" style="20" bestFit="1" customWidth="1"/>
    <col min="13589" max="13589" width="1.875" style="20" bestFit="1" customWidth="1"/>
    <col min="13590" max="13590" width="3.75" style="20" bestFit="1" customWidth="1"/>
    <col min="13591" max="13592" width="0.875" style="20" bestFit="1" customWidth="1"/>
    <col min="13593" max="13593" width="2.75" style="20" bestFit="1" customWidth="1"/>
    <col min="13594" max="13594" width="0.875" style="20" bestFit="1" customWidth="1"/>
    <col min="13595" max="13595" width="3.75" style="20" bestFit="1" customWidth="1"/>
    <col min="13596" max="13596" width="2.75" style="20" bestFit="1" customWidth="1"/>
    <col min="13597" max="13597" width="0.875" style="20" bestFit="1" customWidth="1"/>
    <col min="13598" max="13598" width="1.875" style="20" bestFit="1" customWidth="1"/>
    <col min="13599" max="13599" width="9.375" style="20" bestFit="1" customWidth="1"/>
    <col min="13600" max="13824" width="9" style="20"/>
    <col min="13825" max="13825" width="10.25" style="20" bestFit="1" customWidth="1"/>
    <col min="13826" max="13826" width="0.875" style="20" bestFit="1" customWidth="1"/>
    <col min="13827" max="13827" width="1.375" style="20" bestFit="1" customWidth="1"/>
    <col min="13828" max="13828" width="6.125" style="20" bestFit="1" customWidth="1"/>
    <col min="13829" max="13829" width="11.25" style="20" bestFit="1" customWidth="1"/>
    <col min="13830" max="13830" width="2.75" style="20" bestFit="1" customWidth="1"/>
    <col min="13831" max="13831" width="0.875" style="20" bestFit="1" customWidth="1"/>
    <col min="13832" max="13832" width="3.75" style="20" bestFit="1" customWidth="1"/>
    <col min="13833" max="13833" width="2.75" style="20" bestFit="1" customWidth="1"/>
    <col min="13834" max="13834" width="0.875" style="20" bestFit="1" customWidth="1"/>
    <col min="13835" max="13835" width="5.625" style="20" bestFit="1" customWidth="1"/>
    <col min="13836" max="13836" width="1.875" style="20" bestFit="1" customWidth="1"/>
    <col min="13837" max="13837" width="0.875" style="20" bestFit="1" customWidth="1"/>
    <col min="13838" max="13839" width="1.875" style="20" bestFit="1" customWidth="1"/>
    <col min="13840" max="13840" width="3.75" style="20" bestFit="1" customWidth="1"/>
    <col min="13841" max="13841" width="2.75" style="20" bestFit="1" customWidth="1"/>
    <col min="13842" max="13842" width="0.875" style="20" bestFit="1" customWidth="1"/>
    <col min="13843" max="13843" width="1.875" style="20" bestFit="1" customWidth="1"/>
    <col min="13844" max="13844" width="0.875" style="20" bestFit="1" customWidth="1"/>
    <col min="13845" max="13845" width="1.875" style="20" bestFit="1" customWidth="1"/>
    <col min="13846" max="13846" width="3.75" style="20" bestFit="1" customWidth="1"/>
    <col min="13847" max="13848" width="0.875" style="20" bestFit="1" customWidth="1"/>
    <col min="13849" max="13849" width="2.75" style="20" bestFit="1" customWidth="1"/>
    <col min="13850" max="13850" width="0.875" style="20" bestFit="1" customWidth="1"/>
    <col min="13851" max="13851" width="3.75" style="20" bestFit="1" customWidth="1"/>
    <col min="13852" max="13852" width="2.75" style="20" bestFit="1" customWidth="1"/>
    <col min="13853" max="13853" width="0.875" style="20" bestFit="1" customWidth="1"/>
    <col min="13854" max="13854" width="1.875" style="20" bestFit="1" customWidth="1"/>
    <col min="13855" max="13855" width="9.375" style="20" bestFit="1" customWidth="1"/>
    <col min="13856" max="14080" width="9" style="20"/>
    <col min="14081" max="14081" width="10.25" style="20" bestFit="1" customWidth="1"/>
    <col min="14082" max="14082" width="0.875" style="20" bestFit="1" customWidth="1"/>
    <col min="14083" max="14083" width="1.375" style="20" bestFit="1" customWidth="1"/>
    <col min="14084" max="14084" width="6.125" style="20" bestFit="1" customWidth="1"/>
    <col min="14085" max="14085" width="11.25" style="20" bestFit="1" customWidth="1"/>
    <col min="14086" max="14086" width="2.75" style="20" bestFit="1" customWidth="1"/>
    <col min="14087" max="14087" width="0.875" style="20" bestFit="1" customWidth="1"/>
    <col min="14088" max="14088" width="3.75" style="20" bestFit="1" customWidth="1"/>
    <col min="14089" max="14089" width="2.75" style="20" bestFit="1" customWidth="1"/>
    <col min="14090" max="14090" width="0.875" style="20" bestFit="1" customWidth="1"/>
    <col min="14091" max="14091" width="5.625" style="20" bestFit="1" customWidth="1"/>
    <col min="14092" max="14092" width="1.875" style="20" bestFit="1" customWidth="1"/>
    <col min="14093" max="14093" width="0.875" style="20" bestFit="1" customWidth="1"/>
    <col min="14094" max="14095" width="1.875" style="20" bestFit="1" customWidth="1"/>
    <col min="14096" max="14096" width="3.75" style="20" bestFit="1" customWidth="1"/>
    <col min="14097" max="14097" width="2.75" style="20" bestFit="1" customWidth="1"/>
    <col min="14098" max="14098" width="0.875" style="20" bestFit="1" customWidth="1"/>
    <col min="14099" max="14099" width="1.875" style="20" bestFit="1" customWidth="1"/>
    <col min="14100" max="14100" width="0.875" style="20" bestFit="1" customWidth="1"/>
    <col min="14101" max="14101" width="1.875" style="20" bestFit="1" customWidth="1"/>
    <col min="14102" max="14102" width="3.75" style="20" bestFit="1" customWidth="1"/>
    <col min="14103" max="14104" width="0.875" style="20" bestFit="1" customWidth="1"/>
    <col min="14105" max="14105" width="2.75" style="20" bestFit="1" customWidth="1"/>
    <col min="14106" max="14106" width="0.875" style="20" bestFit="1" customWidth="1"/>
    <col min="14107" max="14107" width="3.75" style="20" bestFit="1" customWidth="1"/>
    <col min="14108" max="14108" width="2.75" style="20" bestFit="1" customWidth="1"/>
    <col min="14109" max="14109" width="0.875" style="20" bestFit="1" customWidth="1"/>
    <col min="14110" max="14110" width="1.875" style="20" bestFit="1" customWidth="1"/>
    <col min="14111" max="14111" width="9.375" style="20" bestFit="1" customWidth="1"/>
    <col min="14112" max="14336" width="9" style="20"/>
    <col min="14337" max="14337" width="10.25" style="20" bestFit="1" customWidth="1"/>
    <col min="14338" max="14338" width="0.875" style="20" bestFit="1" customWidth="1"/>
    <col min="14339" max="14339" width="1.375" style="20" bestFit="1" customWidth="1"/>
    <col min="14340" max="14340" width="6.125" style="20" bestFit="1" customWidth="1"/>
    <col min="14341" max="14341" width="11.25" style="20" bestFit="1" customWidth="1"/>
    <col min="14342" max="14342" width="2.75" style="20" bestFit="1" customWidth="1"/>
    <col min="14343" max="14343" width="0.875" style="20" bestFit="1" customWidth="1"/>
    <col min="14344" max="14344" width="3.75" style="20" bestFit="1" customWidth="1"/>
    <col min="14345" max="14345" width="2.75" style="20" bestFit="1" customWidth="1"/>
    <col min="14346" max="14346" width="0.875" style="20" bestFit="1" customWidth="1"/>
    <col min="14347" max="14347" width="5.625" style="20" bestFit="1" customWidth="1"/>
    <col min="14348" max="14348" width="1.875" style="20" bestFit="1" customWidth="1"/>
    <col min="14349" max="14349" width="0.875" style="20" bestFit="1" customWidth="1"/>
    <col min="14350" max="14351" width="1.875" style="20" bestFit="1" customWidth="1"/>
    <col min="14352" max="14352" width="3.75" style="20" bestFit="1" customWidth="1"/>
    <col min="14353" max="14353" width="2.75" style="20" bestFit="1" customWidth="1"/>
    <col min="14354" max="14354" width="0.875" style="20" bestFit="1" customWidth="1"/>
    <col min="14355" max="14355" width="1.875" style="20" bestFit="1" customWidth="1"/>
    <col min="14356" max="14356" width="0.875" style="20" bestFit="1" customWidth="1"/>
    <col min="14357" max="14357" width="1.875" style="20" bestFit="1" customWidth="1"/>
    <col min="14358" max="14358" width="3.75" style="20" bestFit="1" customWidth="1"/>
    <col min="14359" max="14360" width="0.875" style="20" bestFit="1" customWidth="1"/>
    <col min="14361" max="14361" width="2.75" style="20" bestFit="1" customWidth="1"/>
    <col min="14362" max="14362" width="0.875" style="20" bestFit="1" customWidth="1"/>
    <col min="14363" max="14363" width="3.75" style="20" bestFit="1" customWidth="1"/>
    <col min="14364" max="14364" width="2.75" style="20" bestFit="1" customWidth="1"/>
    <col min="14365" max="14365" width="0.875" style="20" bestFit="1" customWidth="1"/>
    <col min="14366" max="14366" width="1.875" style="20" bestFit="1" customWidth="1"/>
    <col min="14367" max="14367" width="9.375" style="20" bestFit="1" customWidth="1"/>
    <col min="14368" max="14592" width="9" style="20"/>
    <col min="14593" max="14593" width="10.25" style="20" bestFit="1" customWidth="1"/>
    <col min="14594" max="14594" width="0.875" style="20" bestFit="1" customWidth="1"/>
    <col min="14595" max="14595" width="1.375" style="20" bestFit="1" customWidth="1"/>
    <col min="14596" max="14596" width="6.125" style="20" bestFit="1" customWidth="1"/>
    <col min="14597" max="14597" width="11.25" style="20" bestFit="1" customWidth="1"/>
    <col min="14598" max="14598" width="2.75" style="20" bestFit="1" customWidth="1"/>
    <col min="14599" max="14599" width="0.875" style="20" bestFit="1" customWidth="1"/>
    <col min="14600" max="14600" width="3.75" style="20" bestFit="1" customWidth="1"/>
    <col min="14601" max="14601" width="2.75" style="20" bestFit="1" customWidth="1"/>
    <col min="14602" max="14602" width="0.875" style="20" bestFit="1" customWidth="1"/>
    <col min="14603" max="14603" width="5.625" style="20" bestFit="1" customWidth="1"/>
    <col min="14604" max="14604" width="1.875" style="20" bestFit="1" customWidth="1"/>
    <col min="14605" max="14605" width="0.875" style="20" bestFit="1" customWidth="1"/>
    <col min="14606" max="14607" width="1.875" style="20" bestFit="1" customWidth="1"/>
    <col min="14608" max="14608" width="3.75" style="20" bestFit="1" customWidth="1"/>
    <col min="14609" max="14609" width="2.75" style="20" bestFit="1" customWidth="1"/>
    <col min="14610" max="14610" width="0.875" style="20" bestFit="1" customWidth="1"/>
    <col min="14611" max="14611" width="1.875" style="20" bestFit="1" customWidth="1"/>
    <col min="14612" max="14612" width="0.875" style="20" bestFit="1" customWidth="1"/>
    <col min="14613" max="14613" width="1.875" style="20" bestFit="1" customWidth="1"/>
    <col min="14614" max="14614" width="3.75" style="20" bestFit="1" customWidth="1"/>
    <col min="14615" max="14616" width="0.875" style="20" bestFit="1" customWidth="1"/>
    <col min="14617" max="14617" width="2.75" style="20" bestFit="1" customWidth="1"/>
    <col min="14618" max="14618" width="0.875" style="20" bestFit="1" customWidth="1"/>
    <col min="14619" max="14619" width="3.75" style="20" bestFit="1" customWidth="1"/>
    <col min="14620" max="14620" width="2.75" style="20" bestFit="1" customWidth="1"/>
    <col min="14621" max="14621" width="0.875" style="20" bestFit="1" customWidth="1"/>
    <col min="14622" max="14622" width="1.875" style="20" bestFit="1" customWidth="1"/>
    <col min="14623" max="14623" width="9.375" style="20" bestFit="1" customWidth="1"/>
    <col min="14624" max="14848" width="9" style="20"/>
    <col min="14849" max="14849" width="10.25" style="20" bestFit="1" customWidth="1"/>
    <col min="14850" max="14850" width="0.875" style="20" bestFit="1" customWidth="1"/>
    <col min="14851" max="14851" width="1.375" style="20" bestFit="1" customWidth="1"/>
    <col min="14852" max="14852" width="6.125" style="20" bestFit="1" customWidth="1"/>
    <col min="14853" max="14853" width="11.25" style="20" bestFit="1" customWidth="1"/>
    <col min="14854" max="14854" width="2.75" style="20" bestFit="1" customWidth="1"/>
    <col min="14855" max="14855" width="0.875" style="20" bestFit="1" customWidth="1"/>
    <col min="14856" max="14856" width="3.75" style="20" bestFit="1" customWidth="1"/>
    <col min="14857" max="14857" width="2.75" style="20" bestFit="1" customWidth="1"/>
    <col min="14858" max="14858" width="0.875" style="20" bestFit="1" customWidth="1"/>
    <col min="14859" max="14859" width="5.625" style="20" bestFit="1" customWidth="1"/>
    <col min="14860" max="14860" width="1.875" style="20" bestFit="1" customWidth="1"/>
    <col min="14861" max="14861" width="0.875" style="20" bestFit="1" customWidth="1"/>
    <col min="14862" max="14863" width="1.875" style="20" bestFit="1" customWidth="1"/>
    <col min="14864" max="14864" width="3.75" style="20" bestFit="1" customWidth="1"/>
    <col min="14865" max="14865" width="2.75" style="20" bestFit="1" customWidth="1"/>
    <col min="14866" max="14866" width="0.875" style="20" bestFit="1" customWidth="1"/>
    <col min="14867" max="14867" width="1.875" style="20" bestFit="1" customWidth="1"/>
    <col min="14868" max="14868" width="0.875" style="20" bestFit="1" customWidth="1"/>
    <col min="14869" max="14869" width="1.875" style="20" bestFit="1" customWidth="1"/>
    <col min="14870" max="14870" width="3.75" style="20" bestFit="1" customWidth="1"/>
    <col min="14871" max="14872" width="0.875" style="20" bestFit="1" customWidth="1"/>
    <col min="14873" max="14873" width="2.75" style="20" bestFit="1" customWidth="1"/>
    <col min="14874" max="14874" width="0.875" style="20" bestFit="1" customWidth="1"/>
    <col min="14875" max="14875" width="3.75" style="20" bestFit="1" customWidth="1"/>
    <col min="14876" max="14876" width="2.75" style="20" bestFit="1" customWidth="1"/>
    <col min="14877" max="14877" width="0.875" style="20" bestFit="1" customWidth="1"/>
    <col min="14878" max="14878" width="1.875" style="20" bestFit="1" customWidth="1"/>
    <col min="14879" max="14879" width="9.375" style="20" bestFit="1" customWidth="1"/>
    <col min="14880" max="15104" width="9" style="20"/>
    <col min="15105" max="15105" width="10.25" style="20" bestFit="1" customWidth="1"/>
    <col min="15106" max="15106" width="0.875" style="20" bestFit="1" customWidth="1"/>
    <col min="15107" max="15107" width="1.375" style="20" bestFit="1" customWidth="1"/>
    <col min="15108" max="15108" width="6.125" style="20" bestFit="1" customWidth="1"/>
    <col min="15109" max="15109" width="11.25" style="20" bestFit="1" customWidth="1"/>
    <col min="15110" max="15110" width="2.75" style="20" bestFit="1" customWidth="1"/>
    <col min="15111" max="15111" width="0.875" style="20" bestFit="1" customWidth="1"/>
    <col min="15112" max="15112" width="3.75" style="20" bestFit="1" customWidth="1"/>
    <col min="15113" max="15113" width="2.75" style="20" bestFit="1" customWidth="1"/>
    <col min="15114" max="15114" width="0.875" style="20" bestFit="1" customWidth="1"/>
    <col min="15115" max="15115" width="5.625" style="20" bestFit="1" customWidth="1"/>
    <col min="15116" max="15116" width="1.875" style="20" bestFit="1" customWidth="1"/>
    <col min="15117" max="15117" width="0.875" style="20" bestFit="1" customWidth="1"/>
    <col min="15118" max="15119" width="1.875" style="20" bestFit="1" customWidth="1"/>
    <col min="15120" max="15120" width="3.75" style="20" bestFit="1" customWidth="1"/>
    <col min="15121" max="15121" width="2.75" style="20" bestFit="1" customWidth="1"/>
    <col min="15122" max="15122" width="0.875" style="20" bestFit="1" customWidth="1"/>
    <col min="15123" max="15123" width="1.875" style="20" bestFit="1" customWidth="1"/>
    <col min="15124" max="15124" width="0.875" style="20" bestFit="1" customWidth="1"/>
    <col min="15125" max="15125" width="1.875" style="20" bestFit="1" customWidth="1"/>
    <col min="15126" max="15126" width="3.75" style="20" bestFit="1" customWidth="1"/>
    <col min="15127" max="15128" width="0.875" style="20" bestFit="1" customWidth="1"/>
    <col min="15129" max="15129" width="2.75" style="20" bestFit="1" customWidth="1"/>
    <col min="15130" max="15130" width="0.875" style="20" bestFit="1" customWidth="1"/>
    <col min="15131" max="15131" width="3.75" style="20" bestFit="1" customWidth="1"/>
    <col min="15132" max="15132" width="2.75" style="20" bestFit="1" customWidth="1"/>
    <col min="15133" max="15133" width="0.875" style="20" bestFit="1" customWidth="1"/>
    <col min="15134" max="15134" width="1.875" style="20" bestFit="1" customWidth="1"/>
    <col min="15135" max="15135" width="9.375" style="20" bestFit="1" customWidth="1"/>
    <col min="15136" max="15360" width="9" style="20"/>
    <col min="15361" max="15361" width="10.25" style="20" bestFit="1" customWidth="1"/>
    <col min="15362" max="15362" width="0.875" style="20" bestFit="1" customWidth="1"/>
    <col min="15363" max="15363" width="1.375" style="20" bestFit="1" customWidth="1"/>
    <col min="15364" max="15364" width="6.125" style="20" bestFit="1" customWidth="1"/>
    <col min="15365" max="15365" width="11.25" style="20" bestFit="1" customWidth="1"/>
    <col min="15366" max="15366" width="2.75" style="20" bestFit="1" customWidth="1"/>
    <col min="15367" max="15367" width="0.875" style="20" bestFit="1" customWidth="1"/>
    <col min="15368" max="15368" width="3.75" style="20" bestFit="1" customWidth="1"/>
    <col min="15369" max="15369" width="2.75" style="20" bestFit="1" customWidth="1"/>
    <col min="15370" max="15370" width="0.875" style="20" bestFit="1" customWidth="1"/>
    <col min="15371" max="15371" width="5.625" style="20" bestFit="1" customWidth="1"/>
    <col min="15372" max="15372" width="1.875" style="20" bestFit="1" customWidth="1"/>
    <col min="15373" max="15373" width="0.875" style="20" bestFit="1" customWidth="1"/>
    <col min="15374" max="15375" width="1.875" style="20" bestFit="1" customWidth="1"/>
    <col min="15376" max="15376" width="3.75" style="20" bestFit="1" customWidth="1"/>
    <col min="15377" max="15377" width="2.75" style="20" bestFit="1" customWidth="1"/>
    <col min="15378" max="15378" width="0.875" style="20" bestFit="1" customWidth="1"/>
    <col min="15379" max="15379" width="1.875" style="20" bestFit="1" customWidth="1"/>
    <col min="15380" max="15380" width="0.875" style="20" bestFit="1" customWidth="1"/>
    <col min="15381" max="15381" width="1.875" style="20" bestFit="1" customWidth="1"/>
    <col min="15382" max="15382" width="3.75" style="20" bestFit="1" customWidth="1"/>
    <col min="15383" max="15384" width="0.875" style="20" bestFit="1" customWidth="1"/>
    <col min="15385" max="15385" width="2.75" style="20" bestFit="1" customWidth="1"/>
    <col min="15386" max="15386" width="0.875" style="20" bestFit="1" customWidth="1"/>
    <col min="15387" max="15387" width="3.75" style="20" bestFit="1" customWidth="1"/>
    <col min="15388" max="15388" width="2.75" style="20" bestFit="1" customWidth="1"/>
    <col min="15389" max="15389" width="0.875" style="20" bestFit="1" customWidth="1"/>
    <col min="15390" max="15390" width="1.875" style="20" bestFit="1" customWidth="1"/>
    <col min="15391" max="15391" width="9.375" style="20" bestFit="1" customWidth="1"/>
    <col min="15392" max="15616" width="9" style="20"/>
    <col min="15617" max="15617" width="10.25" style="20" bestFit="1" customWidth="1"/>
    <col min="15618" max="15618" width="0.875" style="20" bestFit="1" customWidth="1"/>
    <col min="15619" max="15619" width="1.375" style="20" bestFit="1" customWidth="1"/>
    <col min="15620" max="15620" width="6.125" style="20" bestFit="1" customWidth="1"/>
    <col min="15621" max="15621" width="11.25" style="20" bestFit="1" customWidth="1"/>
    <col min="15622" max="15622" width="2.75" style="20" bestFit="1" customWidth="1"/>
    <col min="15623" max="15623" width="0.875" style="20" bestFit="1" customWidth="1"/>
    <col min="15624" max="15624" width="3.75" style="20" bestFit="1" customWidth="1"/>
    <col min="15625" max="15625" width="2.75" style="20" bestFit="1" customWidth="1"/>
    <col min="15626" max="15626" width="0.875" style="20" bestFit="1" customWidth="1"/>
    <col min="15627" max="15627" width="5.625" style="20" bestFit="1" customWidth="1"/>
    <col min="15628" max="15628" width="1.875" style="20" bestFit="1" customWidth="1"/>
    <col min="15629" max="15629" width="0.875" style="20" bestFit="1" customWidth="1"/>
    <col min="15630" max="15631" width="1.875" style="20" bestFit="1" customWidth="1"/>
    <col min="15632" max="15632" width="3.75" style="20" bestFit="1" customWidth="1"/>
    <col min="15633" max="15633" width="2.75" style="20" bestFit="1" customWidth="1"/>
    <col min="15634" max="15634" width="0.875" style="20" bestFit="1" customWidth="1"/>
    <col min="15635" max="15635" width="1.875" style="20" bestFit="1" customWidth="1"/>
    <col min="15636" max="15636" width="0.875" style="20" bestFit="1" customWidth="1"/>
    <col min="15637" max="15637" width="1.875" style="20" bestFit="1" customWidth="1"/>
    <col min="15638" max="15638" width="3.75" style="20" bestFit="1" customWidth="1"/>
    <col min="15639" max="15640" width="0.875" style="20" bestFit="1" customWidth="1"/>
    <col min="15641" max="15641" width="2.75" style="20" bestFit="1" customWidth="1"/>
    <col min="15642" max="15642" width="0.875" style="20" bestFit="1" customWidth="1"/>
    <col min="15643" max="15643" width="3.75" style="20" bestFit="1" customWidth="1"/>
    <col min="15644" max="15644" width="2.75" style="20" bestFit="1" customWidth="1"/>
    <col min="15645" max="15645" width="0.875" style="20" bestFit="1" customWidth="1"/>
    <col min="15646" max="15646" width="1.875" style="20" bestFit="1" customWidth="1"/>
    <col min="15647" max="15647" width="9.375" style="20" bestFit="1" customWidth="1"/>
    <col min="15648" max="15872" width="9" style="20"/>
    <col min="15873" max="15873" width="10.25" style="20" bestFit="1" customWidth="1"/>
    <col min="15874" max="15874" width="0.875" style="20" bestFit="1" customWidth="1"/>
    <col min="15875" max="15875" width="1.375" style="20" bestFit="1" customWidth="1"/>
    <col min="15876" max="15876" width="6.125" style="20" bestFit="1" customWidth="1"/>
    <col min="15877" max="15877" width="11.25" style="20" bestFit="1" customWidth="1"/>
    <col min="15878" max="15878" width="2.75" style="20" bestFit="1" customWidth="1"/>
    <col min="15879" max="15879" width="0.875" style="20" bestFit="1" customWidth="1"/>
    <col min="15880" max="15880" width="3.75" style="20" bestFit="1" customWidth="1"/>
    <col min="15881" max="15881" width="2.75" style="20" bestFit="1" customWidth="1"/>
    <col min="15882" max="15882" width="0.875" style="20" bestFit="1" customWidth="1"/>
    <col min="15883" max="15883" width="5.625" style="20" bestFit="1" customWidth="1"/>
    <col min="15884" max="15884" width="1.875" style="20" bestFit="1" customWidth="1"/>
    <col min="15885" max="15885" width="0.875" style="20" bestFit="1" customWidth="1"/>
    <col min="15886" max="15887" width="1.875" style="20" bestFit="1" customWidth="1"/>
    <col min="15888" max="15888" width="3.75" style="20" bestFit="1" customWidth="1"/>
    <col min="15889" max="15889" width="2.75" style="20" bestFit="1" customWidth="1"/>
    <col min="15890" max="15890" width="0.875" style="20" bestFit="1" customWidth="1"/>
    <col min="15891" max="15891" width="1.875" style="20" bestFit="1" customWidth="1"/>
    <col min="15892" max="15892" width="0.875" style="20" bestFit="1" customWidth="1"/>
    <col min="15893" max="15893" width="1.875" style="20" bestFit="1" customWidth="1"/>
    <col min="15894" max="15894" width="3.75" style="20" bestFit="1" customWidth="1"/>
    <col min="15895" max="15896" width="0.875" style="20" bestFit="1" customWidth="1"/>
    <col min="15897" max="15897" width="2.75" style="20" bestFit="1" customWidth="1"/>
    <col min="15898" max="15898" width="0.875" style="20" bestFit="1" customWidth="1"/>
    <col min="15899" max="15899" width="3.75" style="20" bestFit="1" customWidth="1"/>
    <col min="15900" max="15900" width="2.75" style="20" bestFit="1" customWidth="1"/>
    <col min="15901" max="15901" width="0.875" style="20" bestFit="1" customWidth="1"/>
    <col min="15902" max="15902" width="1.875" style="20" bestFit="1" customWidth="1"/>
    <col min="15903" max="15903" width="9.375" style="20" bestFit="1" customWidth="1"/>
    <col min="15904" max="16128" width="9" style="20"/>
    <col min="16129" max="16129" width="10.25" style="20" bestFit="1" customWidth="1"/>
    <col min="16130" max="16130" width="0.875" style="20" bestFit="1" customWidth="1"/>
    <col min="16131" max="16131" width="1.375" style="20" bestFit="1" customWidth="1"/>
    <col min="16132" max="16132" width="6.125" style="20" bestFit="1" customWidth="1"/>
    <col min="16133" max="16133" width="11.25" style="20" bestFit="1" customWidth="1"/>
    <col min="16134" max="16134" width="2.75" style="20" bestFit="1" customWidth="1"/>
    <col min="16135" max="16135" width="0.875" style="20" bestFit="1" customWidth="1"/>
    <col min="16136" max="16136" width="3.75" style="20" bestFit="1" customWidth="1"/>
    <col min="16137" max="16137" width="2.75" style="20" bestFit="1" customWidth="1"/>
    <col min="16138" max="16138" width="0.875" style="20" bestFit="1" customWidth="1"/>
    <col min="16139" max="16139" width="5.625" style="20" bestFit="1" customWidth="1"/>
    <col min="16140" max="16140" width="1.875" style="20" bestFit="1" customWidth="1"/>
    <col min="16141" max="16141" width="0.875" style="20" bestFit="1" customWidth="1"/>
    <col min="16142" max="16143" width="1.875" style="20" bestFit="1" customWidth="1"/>
    <col min="16144" max="16144" width="3.75" style="20" bestFit="1" customWidth="1"/>
    <col min="16145" max="16145" width="2.75" style="20" bestFit="1" customWidth="1"/>
    <col min="16146" max="16146" width="0.875" style="20" bestFit="1" customWidth="1"/>
    <col min="16147" max="16147" width="1.875" style="20" bestFit="1" customWidth="1"/>
    <col min="16148" max="16148" width="0.875" style="20" bestFit="1" customWidth="1"/>
    <col min="16149" max="16149" width="1.875" style="20" bestFit="1" customWidth="1"/>
    <col min="16150" max="16150" width="3.75" style="20" bestFit="1" customWidth="1"/>
    <col min="16151" max="16152" width="0.875" style="20" bestFit="1" customWidth="1"/>
    <col min="16153" max="16153" width="2.75" style="20" bestFit="1" customWidth="1"/>
    <col min="16154" max="16154" width="0.875" style="20" bestFit="1" customWidth="1"/>
    <col min="16155" max="16155" width="3.75" style="20" bestFit="1" customWidth="1"/>
    <col min="16156" max="16156" width="2.75" style="20" bestFit="1" customWidth="1"/>
    <col min="16157" max="16157" width="0.875" style="20" bestFit="1" customWidth="1"/>
    <col min="16158" max="16158" width="1.875" style="20" bestFit="1" customWidth="1"/>
    <col min="16159" max="16159" width="9.375" style="20" bestFit="1" customWidth="1"/>
    <col min="16160" max="16384" width="9" style="20"/>
  </cols>
  <sheetData>
    <row r="1" spans="1:34" ht="10.9" customHeight="1" x14ac:dyDescent="0.3">
      <c r="A1" s="203"/>
      <c r="B1" s="204"/>
      <c r="C1" s="205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86"/>
      <c r="AF1" s="122"/>
      <c r="AG1" s="122"/>
      <c r="AH1" s="122"/>
    </row>
    <row r="2" spans="1:34" ht="18.350000000000001" customHeight="1" x14ac:dyDescent="0.3">
      <c r="A2" s="206"/>
      <c r="B2" s="207"/>
      <c r="C2" s="208"/>
      <c r="D2" s="187" t="s">
        <v>35</v>
      </c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8"/>
      <c r="AF2" s="122"/>
      <c r="AG2" s="122"/>
      <c r="AH2" s="122"/>
    </row>
    <row r="3" spans="1:34" ht="15.8" customHeight="1" x14ac:dyDescent="0.3">
      <c r="A3" s="206"/>
      <c r="B3" s="202"/>
      <c r="C3" s="208"/>
      <c r="D3" s="189" t="s">
        <v>36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90"/>
      <c r="AF3" s="122"/>
      <c r="AG3" s="122"/>
      <c r="AH3" s="122"/>
    </row>
    <row r="4" spans="1:34" ht="14.3" customHeight="1" x14ac:dyDescent="0.3">
      <c r="A4" s="209"/>
      <c r="B4" s="210"/>
      <c r="C4" s="21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2"/>
      <c r="AF4" s="122"/>
      <c r="AG4" s="122"/>
      <c r="AH4" s="122"/>
    </row>
    <row r="5" spans="1:34" ht="17" customHeight="1" x14ac:dyDescent="0.3">
      <c r="A5" s="202"/>
      <c r="B5" s="202"/>
      <c r="C5" s="202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22"/>
      <c r="AG5" s="122"/>
      <c r="AH5" s="122"/>
    </row>
    <row r="6" spans="1:34" ht="17" customHeight="1" x14ac:dyDescent="0.3">
      <c r="A6" s="180" t="s">
        <v>37</v>
      </c>
      <c r="B6" s="181"/>
      <c r="C6" s="181"/>
      <c r="D6" s="182"/>
      <c r="E6" s="168" t="s">
        <v>38</v>
      </c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69"/>
      <c r="AF6" s="122"/>
      <c r="AG6" s="122"/>
      <c r="AH6" s="122"/>
    </row>
    <row r="7" spans="1:34" ht="17" customHeight="1" x14ac:dyDescent="0.3">
      <c r="A7" s="180" t="s">
        <v>39</v>
      </c>
      <c r="B7" s="181"/>
      <c r="C7" s="181"/>
      <c r="D7" s="182"/>
      <c r="E7" s="168" t="s">
        <v>40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69"/>
      <c r="AF7" s="122"/>
      <c r="AG7" s="122"/>
      <c r="AH7" s="122"/>
    </row>
    <row r="8" spans="1:34" ht="17" customHeight="1" x14ac:dyDescent="0.3">
      <c r="A8" s="180" t="s">
        <v>41</v>
      </c>
      <c r="B8" s="181"/>
      <c r="C8" s="181"/>
      <c r="D8" s="182"/>
      <c r="E8" s="168" t="s">
        <v>42</v>
      </c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69"/>
      <c r="AF8" s="122"/>
      <c r="AG8" s="122"/>
      <c r="AH8" s="122"/>
    </row>
    <row r="9" spans="1:34" ht="17" customHeight="1" x14ac:dyDescent="0.3">
      <c r="A9" s="180" t="s">
        <v>43</v>
      </c>
      <c r="B9" s="181"/>
      <c r="C9" s="181"/>
      <c r="D9" s="182"/>
      <c r="E9" s="168" t="s">
        <v>44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69"/>
      <c r="AF9" s="122"/>
      <c r="AG9" s="122"/>
      <c r="AH9" s="122"/>
    </row>
    <row r="10" spans="1:34" ht="17" customHeight="1" x14ac:dyDescent="0.3">
      <c r="A10" s="180" t="s">
        <v>45</v>
      </c>
      <c r="B10" s="181"/>
      <c r="C10" s="181"/>
      <c r="D10" s="182"/>
      <c r="E10" s="168" t="s">
        <v>46</v>
      </c>
      <c r="F10" s="170"/>
      <c r="G10" s="170"/>
      <c r="H10" s="170"/>
      <c r="I10" s="170"/>
      <c r="J10" s="170"/>
      <c r="K10" s="169"/>
      <c r="L10" s="180" t="s">
        <v>47</v>
      </c>
      <c r="M10" s="181"/>
      <c r="N10" s="181"/>
      <c r="O10" s="181"/>
      <c r="P10" s="181"/>
      <c r="Q10" s="181"/>
      <c r="R10" s="181"/>
      <c r="S10" s="181"/>
      <c r="T10" s="181"/>
      <c r="U10" s="182"/>
      <c r="V10" s="168" t="s">
        <v>48</v>
      </c>
      <c r="W10" s="170"/>
      <c r="X10" s="170"/>
      <c r="Y10" s="170"/>
      <c r="Z10" s="170"/>
      <c r="AA10" s="170"/>
      <c r="AB10" s="170"/>
      <c r="AC10" s="170"/>
      <c r="AD10" s="170"/>
      <c r="AE10" s="169"/>
      <c r="AF10" s="122"/>
      <c r="AG10" s="122"/>
      <c r="AH10" s="122"/>
    </row>
    <row r="11" spans="1:34" ht="17" customHeight="1" x14ac:dyDescent="0.3">
      <c r="A11" s="180" t="s">
        <v>49</v>
      </c>
      <c r="B11" s="181"/>
      <c r="C11" s="181"/>
      <c r="D11" s="182"/>
      <c r="E11" s="168" t="s">
        <v>50</v>
      </c>
      <c r="F11" s="170"/>
      <c r="G11" s="170"/>
      <c r="H11" s="170"/>
      <c r="I11" s="170"/>
      <c r="J11" s="170"/>
      <c r="K11" s="169"/>
      <c r="L11" s="180" t="s">
        <v>51</v>
      </c>
      <c r="M11" s="181"/>
      <c r="N11" s="181"/>
      <c r="O11" s="181"/>
      <c r="P11" s="181"/>
      <c r="Q11" s="181"/>
      <c r="R11" s="181"/>
      <c r="S11" s="181"/>
      <c r="T11" s="181"/>
      <c r="U11" s="182"/>
      <c r="V11" s="168" t="s">
        <v>50</v>
      </c>
      <c r="W11" s="170"/>
      <c r="X11" s="170"/>
      <c r="Y11" s="170"/>
      <c r="Z11" s="170"/>
      <c r="AA11" s="170"/>
      <c r="AB11" s="170"/>
      <c r="AC11" s="170"/>
      <c r="AD11" s="170"/>
      <c r="AE11" s="169"/>
      <c r="AF11" s="122"/>
      <c r="AG11" s="122"/>
      <c r="AH11" s="122"/>
    </row>
    <row r="12" spans="1:34" ht="17" customHeight="1" x14ac:dyDescent="0.3">
      <c r="A12" s="180" t="s">
        <v>52</v>
      </c>
      <c r="B12" s="181"/>
      <c r="C12" s="181"/>
      <c r="D12" s="182"/>
      <c r="E12" s="168" t="s">
        <v>53</v>
      </c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69"/>
      <c r="AF12" s="122"/>
      <c r="AG12" s="122"/>
      <c r="AH12" s="122"/>
    </row>
    <row r="13" spans="1:34" ht="17" customHeight="1" x14ac:dyDescent="0.3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22"/>
    </row>
    <row r="14" spans="1:34" ht="9.6999999999999993" customHeight="1" x14ac:dyDescent="0.3">
      <c r="A14" s="199" t="s">
        <v>54</v>
      </c>
      <c r="B14" s="200"/>
      <c r="C14" s="199" t="s">
        <v>55</v>
      </c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0"/>
      <c r="X14" s="180" t="s">
        <v>56</v>
      </c>
      <c r="Y14" s="181"/>
      <c r="Z14" s="181"/>
      <c r="AA14" s="181"/>
      <c r="AB14" s="181"/>
      <c r="AC14" s="181"/>
      <c r="AD14" s="182"/>
      <c r="AE14" s="123" t="s">
        <v>57</v>
      </c>
      <c r="AF14" s="122"/>
    </row>
    <row r="15" spans="1:34" ht="17" customHeight="1" x14ac:dyDescent="0.3">
      <c r="A15" s="168" t="s">
        <v>58</v>
      </c>
      <c r="B15" s="169"/>
      <c r="C15" s="168" t="s">
        <v>4</v>
      </c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69"/>
      <c r="X15" s="153">
        <v>76735.27</v>
      </c>
      <c r="Y15" s="154"/>
      <c r="Z15" s="154"/>
      <c r="AA15" s="154"/>
      <c r="AB15" s="154"/>
      <c r="AC15" s="154"/>
      <c r="AD15" s="155"/>
      <c r="AE15" s="70">
        <v>0.74</v>
      </c>
      <c r="AF15" s="122"/>
    </row>
    <row r="16" spans="1:34" ht="17" customHeight="1" x14ac:dyDescent="0.3">
      <c r="A16" s="168" t="s">
        <v>59</v>
      </c>
      <c r="B16" s="169"/>
      <c r="C16" s="168" t="s">
        <v>5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69"/>
      <c r="X16" s="147">
        <v>783900.64</v>
      </c>
      <c r="Y16" s="148"/>
      <c r="Z16" s="148"/>
      <c r="AA16" s="148"/>
      <c r="AB16" s="148"/>
      <c r="AC16" s="148"/>
      <c r="AD16" s="149"/>
      <c r="AE16" s="70">
        <v>7.42</v>
      </c>
      <c r="AF16" s="122"/>
    </row>
    <row r="17" spans="1:32" ht="17" customHeight="1" x14ac:dyDescent="0.3">
      <c r="A17" s="168" t="s">
        <v>60</v>
      </c>
      <c r="B17" s="169"/>
      <c r="C17" s="168" t="s">
        <v>6</v>
      </c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69"/>
      <c r="X17" s="150">
        <v>2467160.79</v>
      </c>
      <c r="Y17" s="151"/>
      <c r="Z17" s="151"/>
      <c r="AA17" s="151"/>
      <c r="AB17" s="151"/>
      <c r="AC17" s="151"/>
      <c r="AD17" s="152"/>
      <c r="AE17" s="71">
        <v>23.64</v>
      </c>
      <c r="AF17" s="122"/>
    </row>
    <row r="18" spans="1:32" ht="17" customHeight="1" x14ac:dyDescent="0.3">
      <c r="A18" s="168" t="s">
        <v>61</v>
      </c>
      <c r="B18" s="169"/>
      <c r="C18" s="168" t="s">
        <v>7</v>
      </c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69"/>
      <c r="X18" s="147">
        <v>348134.35</v>
      </c>
      <c r="Y18" s="148"/>
      <c r="Z18" s="148"/>
      <c r="AA18" s="148"/>
      <c r="AB18" s="148"/>
      <c r="AC18" s="148"/>
      <c r="AD18" s="149"/>
      <c r="AE18" s="70">
        <v>3.34</v>
      </c>
      <c r="AF18" s="122"/>
    </row>
    <row r="19" spans="1:32" ht="17" customHeight="1" x14ac:dyDescent="0.3">
      <c r="A19" s="168" t="s">
        <v>62</v>
      </c>
      <c r="B19" s="169"/>
      <c r="C19" s="168" t="s">
        <v>63</v>
      </c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69"/>
      <c r="X19" s="147">
        <v>249600.14</v>
      </c>
      <c r="Y19" s="148"/>
      <c r="Z19" s="148"/>
      <c r="AA19" s="148"/>
      <c r="AB19" s="148"/>
      <c r="AC19" s="148"/>
      <c r="AD19" s="149"/>
      <c r="AE19" s="70">
        <v>2.39</v>
      </c>
      <c r="AF19" s="122"/>
    </row>
    <row r="20" spans="1:32" ht="17" customHeight="1" x14ac:dyDescent="0.3">
      <c r="A20" s="168" t="s">
        <v>64</v>
      </c>
      <c r="B20" s="169"/>
      <c r="C20" s="168" t="s">
        <v>65</v>
      </c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69"/>
      <c r="X20" s="147">
        <v>328992.26</v>
      </c>
      <c r="Y20" s="148"/>
      <c r="Z20" s="148"/>
      <c r="AA20" s="148"/>
      <c r="AB20" s="148"/>
      <c r="AC20" s="148"/>
      <c r="AD20" s="149"/>
      <c r="AE20" s="70">
        <v>3.15</v>
      </c>
      <c r="AF20" s="127">
        <f>X20+X21+X22+X23+X24+X34</f>
        <v>1164752.43</v>
      </c>
    </row>
    <row r="21" spans="1:32" ht="17" customHeight="1" x14ac:dyDescent="0.3">
      <c r="A21" s="168" t="s">
        <v>66</v>
      </c>
      <c r="B21" s="169"/>
      <c r="C21" s="168" t="s">
        <v>67</v>
      </c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69"/>
      <c r="X21" s="147">
        <v>263670.32</v>
      </c>
      <c r="Y21" s="148"/>
      <c r="Z21" s="148"/>
      <c r="AA21" s="148"/>
      <c r="AB21" s="148"/>
      <c r="AC21" s="148"/>
      <c r="AD21" s="149"/>
      <c r="AE21" s="70">
        <v>2.5299999999999998</v>
      </c>
      <c r="AF21" s="122"/>
    </row>
    <row r="22" spans="1:32" ht="17" customHeight="1" x14ac:dyDescent="0.3">
      <c r="A22" s="168" t="s">
        <v>68</v>
      </c>
      <c r="B22" s="169"/>
      <c r="C22" s="168" t="s">
        <v>69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69"/>
      <c r="X22" s="153">
        <v>49156.19</v>
      </c>
      <c r="Y22" s="154"/>
      <c r="Z22" s="154"/>
      <c r="AA22" s="154"/>
      <c r="AB22" s="154"/>
      <c r="AC22" s="154"/>
      <c r="AD22" s="155"/>
      <c r="AE22" s="70">
        <v>0.47</v>
      </c>
      <c r="AF22" s="122"/>
    </row>
    <row r="23" spans="1:32" ht="17" customHeight="1" x14ac:dyDescent="0.3">
      <c r="A23" s="168" t="s">
        <v>70</v>
      </c>
      <c r="B23" s="169"/>
      <c r="C23" s="168" t="s">
        <v>71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69"/>
      <c r="X23" s="147">
        <v>151855.37</v>
      </c>
      <c r="Y23" s="148"/>
      <c r="Z23" s="148"/>
      <c r="AA23" s="148"/>
      <c r="AB23" s="148"/>
      <c r="AC23" s="148"/>
      <c r="AD23" s="149"/>
      <c r="AE23" s="70">
        <v>1.45</v>
      </c>
      <c r="AF23" s="122"/>
    </row>
    <row r="24" spans="1:32" ht="17" customHeight="1" x14ac:dyDescent="0.3">
      <c r="A24" s="168" t="s">
        <v>72</v>
      </c>
      <c r="B24" s="169"/>
      <c r="C24" s="168" t="s">
        <v>73</v>
      </c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69"/>
      <c r="X24" s="147">
        <v>249943.24</v>
      </c>
      <c r="Y24" s="148"/>
      <c r="Z24" s="148"/>
      <c r="AA24" s="148"/>
      <c r="AB24" s="148"/>
      <c r="AC24" s="148"/>
      <c r="AD24" s="149"/>
      <c r="AE24" s="70">
        <v>2.39</v>
      </c>
      <c r="AF24" s="122"/>
    </row>
    <row r="25" spans="1:32" ht="17" customHeight="1" x14ac:dyDescent="0.3">
      <c r="A25" s="168" t="s">
        <v>74</v>
      </c>
      <c r="B25" s="169"/>
      <c r="C25" s="168" t="s">
        <v>23</v>
      </c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69"/>
      <c r="X25" s="147">
        <v>275000</v>
      </c>
      <c r="Y25" s="148"/>
      <c r="Z25" s="148"/>
      <c r="AA25" s="148"/>
      <c r="AB25" s="148"/>
      <c r="AC25" s="148"/>
      <c r="AD25" s="149"/>
      <c r="AE25" s="70">
        <v>2.63</v>
      </c>
      <c r="AF25" s="127">
        <f>X25+X26</f>
        <v>334750</v>
      </c>
    </row>
    <row r="26" spans="1:32" ht="17" customHeight="1" x14ac:dyDescent="0.3">
      <c r="A26" s="168" t="s">
        <v>75</v>
      </c>
      <c r="B26" s="169"/>
      <c r="C26" s="168" t="s">
        <v>76</v>
      </c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69"/>
      <c r="X26" s="153">
        <v>59750</v>
      </c>
      <c r="Y26" s="154"/>
      <c r="Z26" s="154"/>
      <c r="AA26" s="154"/>
      <c r="AB26" s="154"/>
      <c r="AC26" s="154"/>
      <c r="AD26" s="155"/>
      <c r="AE26" s="70">
        <v>0.56999999999999995</v>
      </c>
      <c r="AF26" s="122"/>
    </row>
    <row r="27" spans="1:32" ht="17" customHeight="1" x14ac:dyDescent="0.3">
      <c r="A27" s="168" t="s">
        <v>77</v>
      </c>
      <c r="B27" s="169"/>
      <c r="C27" s="168" t="s">
        <v>78</v>
      </c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69"/>
      <c r="X27" s="147">
        <v>605982.31999999995</v>
      </c>
      <c r="Y27" s="148"/>
      <c r="Z27" s="148"/>
      <c r="AA27" s="148"/>
      <c r="AB27" s="148"/>
      <c r="AC27" s="148"/>
      <c r="AD27" s="149"/>
      <c r="AE27" s="70">
        <v>5.81</v>
      </c>
      <c r="AF27" s="122"/>
    </row>
    <row r="28" spans="1:32" ht="17" customHeight="1" x14ac:dyDescent="0.3">
      <c r="A28" s="168" t="s">
        <v>79</v>
      </c>
      <c r="B28" s="169"/>
      <c r="C28" s="168" t="s">
        <v>20</v>
      </c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69"/>
      <c r="X28" s="147">
        <v>119794.21</v>
      </c>
      <c r="Y28" s="148"/>
      <c r="Z28" s="148"/>
      <c r="AA28" s="148"/>
      <c r="AB28" s="148"/>
      <c r="AC28" s="148"/>
      <c r="AD28" s="149"/>
      <c r="AE28" s="70">
        <v>1.1499999999999999</v>
      </c>
      <c r="AF28" s="122"/>
    </row>
    <row r="29" spans="1:32" ht="17" customHeight="1" x14ac:dyDescent="0.3">
      <c r="A29" s="168" t="s">
        <v>80</v>
      </c>
      <c r="B29" s="169"/>
      <c r="C29" s="168" t="s">
        <v>81</v>
      </c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69"/>
      <c r="X29" s="147">
        <v>515781.63</v>
      </c>
      <c r="Y29" s="148"/>
      <c r="Z29" s="148"/>
      <c r="AA29" s="148"/>
      <c r="AB29" s="148"/>
      <c r="AC29" s="148"/>
      <c r="AD29" s="149"/>
      <c r="AE29" s="70">
        <v>4.9400000000000004</v>
      </c>
      <c r="AF29" s="122"/>
    </row>
    <row r="30" spans="1:32" ht="17" customHeight="1" x14ac:dyDescent="0.3">
      <c r="A30" s="168" t="s">
        <v>82</v>
      </c>
      <c r="B30" s="169"/>
      <c r="C30" s="168" t="s">
        <v>83</v>
      </c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69"/>
      <c r="X30" s="147">
        <v>237376.62</v>
      </c>
      <c r="Y30" s="148"/>
      <c r="Z30" s="148"/>
      <c r="AA30" s="148"/>
      <c r="AB30" s="148"/>
      <c r="AC30" s="148"/>
      <c r="AD30" s="149"/>
      <c r="AE30" s="70">
        <v>2.27</v>
      </c>
      <c r="AF30" s="122"/>
    </row>
    <row r="31" spans="1:32" ht="17" customHeight="1" x14ac:dyDescent="0.3">
      <c r="A31" s="168" t="s">
        <v>84</v>
      </c>
      <c r="B31" s="169"/>
      <c r="C31" s="168" t="s">
        <v>85</v>
      </c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69"/>
      <c r="X31" s="147">
        <v>601239.89</v>
      </c>
      <c r="Y31" s="148"/>
      <c r="Z31" s="148"/>
      <c r="AA31" s="148"/>
      <c r="AB31" s="148"/>
      <c r="AC31" s="148"/>
      <c r="AD31" s="149"/>
      <c r="AE31" s="70">
        <v>5.76</v>
      </c>
      <c r="AF31" s="122"/>
    </row>
    <row r="32" spans="1:32" ht="17" customHeight="1" x14ac:dyDescent="0.3">
      <c r="A32" s="168" t="s">
        <v>86</v>
      </c>
      <c r="B32" s="169"/>
      <c r="C32" s="168" t="s">
        <v>87</v>
      </c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69"/>
      <c r="X32" s="147">
        <v>137244.22</v>
      </c>
      <c r="Y32" s="148"/>
      <c r="Z32" s="148"/>
      <c r="AA32" s="148"/>
      <c r="AB32" s="148"/>
      <c r="AC32" s="148"/>
      <c r="AD32" s="149"/>
      <c r="AE32" s="70">
        <v>1.31</v>
      </c>
      <c r="AF32" s="122"/>
    </row>
    <row r="33" spans="1:34" ht="17" customHeight="1" x14ac:dyDescent="0.3">
      <c r="A33" s="168" t="s">
        <v>88</v>
      </c>
      <c r="B33" s="169"/>
      <c r="C33" s="168" t="s">
        <v>89</v>
      </c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69"/>
      <c r="X33" s="147">
        <v>329112.5</v>
      </c>
      <c r="Y33" s="148"/>
      <c r="Z33" s="148"/>
      <c r="AA33" s="148"/>
      <c r="AB33" s="148"/>
      <c r="AC33" s="148"/>
      <c r="AD33" s="149"/>
      <c r="AE33" s="70">
        <v>3.15</v>
      </c>
      <c r="AF33" s="122"/>
    </row>
    <row r="34" spans="1:34" ht="17" customHeight="1" x14ac:dyDescent="0.3">
      <c r="A34" s="168" t="s">
        <v>90</v>
      </c>
      <c r="B34" s="169"/>
      <c r="C34" s="168" t="s">
        <v>91</v>
      </c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69"/>
      <c r="X34" s="147">
        <v>121135.05</v>
      </c>
      <c r="Y34" s="148"/>
      <c r="Z34" s="148"/>
      <c r="AA34" s="148"/>
      <c r="AB34" s="148"/>
      <c r="AC34" s="148"/>
      <c r="AD34" s="149"/>
      <c r="AE34" s="70">
        <v>1.1599999999999999</v>
      </c>
      <c r="AF34" s="218">
        <f>X34/3120</f>
        <v>38.825336538461542</v>
      </c>
    </row>
    <row r="35" spans="1:34" ht="17" customHeight="1" x14ac:dyDescent="0.3">
      <c r="A35" s="168" t="s">
        <v>92</v>
      </c>
      <c r="B35" s="169"/>
      <c r="C35" s="168" t="s">
        <v>94</v>
      </c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69"/>
      <c r="X35" s="147">
        <v>506232.01</v>
      </c>
      <c r="Y35" s="148"/>
      <c r="Z35" s="148"/>
      <c r="AA35" s="148"/>
      <c r="AB35" s="148"/>
      <c r="AC35" s="148"/>
      <c r="AD35" s="149"/>
      <c r="AE35" s="70">
        <v>4.8499999999999996</v>
      </c>
      <c r="AF35" s="122"/>
    </row>
    <row r="36" spans="1:34" ht="17" customHeight="1" x14ac:dyDescent="0.3">
      <c r="A36" s="168" t="s">
        <v>93</v>
      </c>
      <c r="B36" s="169"/>
      <c r="C36" s="168" t="s">
        <v>14</v>
      </c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69"/>
      <c r="X36" s="153">
        <v>86568.1</v>
      </c>
      <c r="Y36" s="154"/>
      <c r="Z36" s="154"/>
      <c r="AA36" s="154"/>
      <c r="AB36" s="154"/>
      <c r="AC36" s="154"/>
      <c r="AD36" s="155"/>
      <c r="AE36" s="70">
        <v>0.83</v>
      </c>
      <c r="AF36" s="122"/>
    </row>
    <row r="37" spans="1:34" ht="17" customHeight="1" x14ac:dyDescent="0.3">
      <c r="A37" s="168" t="s">
        <v>95</v>
      </c>
      <c r="B37" s="169"/>
      <c r="C37" s="168" t="s">
        <v>96</v>
      </c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69"/>
      <c r="X37" s="147">
        <v>125105</v>
      </c>
      <c r="Y37" s="148"/>
      <c r="Z37" s="148"/>
      <c r="AA37" s="148"/>
      <c r="AB37" s="148"/>
      <c r="AC37" s="148"/>
      <c r="AD37" s="149"/>
      <c r="AE37" s="70">
        <v>1.2</v>
      </c>
      <c r="AF37" s="122"/>
    </row>
    <row r="38" spans="1:34" ht="17" customHeight="1" x14ac:dyDescent="0.3">
      <c r="A38" s="180" t="s">
        <v>97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2"/>
      <c r="X38" s="183">
        <f>SUM(X15:AD37)</f>
        <v>8689470.120000001</v>
      </c>
      <c r="Y38" s="184"/>
      <c r="Z38" s="184"/>
      <c r="AA38" s="184"/>
      <c r="AB38" s="184"/>
      <c r="AC38" s="184"/>
      <c r="AD38" s="185"/>
      <c r="AE38" s="72">
        <v>86.58</v>
      </c>
      <c r="AF38" s="122"/>
    </row>
    <row r="39" spans="1:34" ht="10.9" customHeight="1" x14ac:dyDescent="0.3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22"/>
      <c r="AG39" s="122"/>
      <c r="AH39" s="122"/>
    </row>
    <row r="40" spans="1:34" ht="17" customHeight="1" x14ac:dyDescent="0.3">
      <c r="A40" s="180" t="s">
        <v>37</v>
      </c>
      <c r="B40" s="181"/>
      <c r="C40" s="181"/>
      <c r="D40" s="182"/>
      <c r="E40" s="168" t="s">
        <v>38</v>
      </c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69"/>
      <c r="AF40" s="122"/>
      <c r="AG40" s="122"/>
      <c r="AH40" s="122"/>
    </row>
    <row r="41" spans="1:34" ht="17" customHeight="1" x14ac:dyDescent="0.3">
      <c r="A41" s="180" t="s">
        <v>39</v>
      </c>
      <c r="B41" s="181"/>
      <c r="C41" s="181"/>
      <c r="D41" s="182"/>
      <c r="E41" s="168" t="s">
        <v>98</v>
      </c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69"/>
      <c r="AF41" s="122"/>
      <c r="AG41" s="122"/>
      <c r="AH41" s="122"/>
    </row>
    <row r="42" spans="1:34" ht="17" customHeight="1" x14ac:dyDescent="0.3">
      <c r="A42" s="180" t="s">
        <v>41</v>
      </c>
      <c r="B42" s="181"/>
      <c r="C42" s="181"/>
      <c r="D42" s="182"/>
      <c r="E42" s="168" t="s">
        <v>42</v>
      </c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69"/>
      <c r="AF42" s="122"/>
      <c r="AG42" s="122"/>
      <c r="AH42" s="122"/>
    </row>
    <row r="43" spans="1:34" ht="17" customHeight="1" x14ac:dyDescent="0.3">
      <c r="A43" s="180" t="s">
        <v>43</v>
      </c>
      <c r="B43" s="181"/>
      <c r="C43" s="181"/>
      <c r="D43" s="182"/>
      <c r="E43" s="168" t="s">
        <v>44</v>
      </c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69"/>
      <c r="AF43" s="122"/>
      <c r="AG43" s="122"/>
      <c r="AH43" s="122"/>
    </row>
    <row r="44" spans="1:34" ht="17" customHeight="1" x14ac:dyDescent="0.3">
      <c r="A44" s="180" t="s">
        <v>45</v>
      </c>
      <c r="B44" s="181"/>
      <c r="C44" s="181"/>
      <c r="D44" s="182"/>
      <c r="E44" s="168" t="s">
        <v>46</v>
      </c>
      <c r="F44" s="170"/>
      <c r="G44" s="170"/>
      <c r="H44" s="170"/>
      <c r="I44" s="170"/>
      <c r="J44" s="170"/>
      <c r="K44" s="169"/>
      <c r="L44" s="180" t="s">
        <v>47</v>
      </c>
      <c r="M44" s="181"/>
      <c r="N44" s="181"/>
      <c r="O44" s="181"/>
      <c r="P44" s="181"/>
      <c r="Q44" s="181"/>
      <c r="R44" s="181"/>
      <c r="S44" s="181"/>
      <c r="T44" s="181"/>
      <c r="U44" s="182"/>
      <c r="V44" s="168" t="s">
        <v>48</v>
      </c>
      <c r="W44" s="170"/>
      <c r="X44" s="170"/>
      <c r="Y44" s="170"/>
      <c r="Z44" s="170"/>
      <c r="AA44" s="170"/>
      <c r="AB44" s="170"/>
      <c r="AC44" s="170"/>
      <c r="AD44" s="170"/>
      <c r="AE44" s="169"/>
      <c r="AF44" s="122"/>
      <c r="AG44" s="122"/>
      <c r="AH44" s="122"/>
    </row>
    <row r="45" spans="1:34" ht="17" customHeight="1" x14ac:dyDescent="0.3">
      <c r="A45" s="180" t="s">
        <v>49</v>
      </c>
      <c r="B45" s="181"/>
      <c r="C45" s="181"/>
      <c r="D45" s="182"/>
      <c r="E45" s="168" t="s">
        <v>50</v>
      </c>
      <c r="F45" s="170"/>
      <c r="G45" s="170"/>
      <c r="H45" s="170"/>
      <c r="I45" s="170"/>
      <c r="J45" s="170"/>
      <c r="K45" s="169"/>
      <c r="L45" s="180" t="s">
        <v>51</v>
      </c>
      <c r="M45" s="181"/>
      <c r="N45" s="181"/>
      <c r="O45" s="181"/>
      <c r="P45" s="181"/>
      <c r="Q45" s="181"/>
      <c r="R45" s="181"/>
      <c r="S45" s="181"/>
      <c r="T45" s="181"/>
      <c r="U45" s="182"/>
      <c r="V45" s="168" t="s">
        <v>50</v>
      </c>
      <c r="W45" s="170"/>
      <c r="X45" s="170"/>
      <c r="Y45" s="170"/>
      <c r="Z45" s="170"/>
      <c r="AA45" s="170"/>
      <c r="AB45" s="170"/>
      <c r="AC45" s="170"/>
      <c r="AD45" s="170"/>
      <c r="AE45" s="169"/>
      <c r="AF45" s="122"/>
      <c r="AG45" s="122"/>
      <c r="AH45" s="122"/>
    </row>
    <row r="46" spans="1:34" ht="17" customHeight="1" x14ac:dyDescent="0.3">
      <c r="A46" s="180" t="s">
        <v>52</v>
      </c>
      <c r="B46" s="181"/>
      <c r="C46" s="181"/>
      <c r="D46" s="182"/>
      <c r="E46" s="168" t="s">
        <v>53</v>
      </c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69"/>
      <c r="AF46" s="122"/>
      <c r="AG46" s="122"/>
      <c r="AH46" s="122"/>
    </row>
    <row r="47" spans="1:34" ht="17" customHeight="1" x14ac:dyDescent="0.3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22"/>
      <c r="AG47" s="122"/>
      <c r="AH47" s="122"/>
    </row>
    <row r="48" spans="1:34" ht="17" customHeight="1" x14ac:dyDescent="0.3">
      <c r="A48" s="177" t="s">
        <v>54</v>
      </c>
      <c r="B48" s="178"/>
      <c r="C48" s="177" t="s">
        <v>55</v>
      </c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8"/>
      <c r="X48" s="157" t="s">
        <v>56</v>
      </c>
      <c r="Y48" s="158"/>
      <c r="Z48" s="158"/>
      <c r="AA48" s="158"/>
      <c r="AB48" s="158"/>
      <c r="AC48" s="158"/>
      <c r="AD48" s="159"/>
      <c r="AE48" s="126" t="s">
        <v>57</v>
      </c>
      <c r="AF48" s="122"/>
      <c r="AG48" s="122"/>
      <c r="AH48" s="122"/>
    </row>
    <row r="49" spans="1:34" ht="17" customHeight="1" x14ac:dyDescent="0.3">
      <c r="A49" s="168" t="s">
        <v>58</v>
      </c>
      <c r="B49" s="169"/>
      <c r="C49" s="168" t="s">
        <v>99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69"/>
      <c r="X49" s="171">
        <v>403956</v>
      </c>
      <c r="Y49" s="172"/>
      <c r="Z49" s="172"/>
      <c r="AA49" s="172"/>
      <c r="AB49" s="172"/>
      <c r="AC49" s="172"/>
      <c r="AD49" s="173"/>
      <c r="AE49" s="70">
        <v>3.87</v>
      </c>
      <c r="AF49" s="122"/>
      <c r="AG49" s="122"/>
      <c r="AH49" s="122"/>
    </row>
    <row r="50" spans="1:34" ht="17" customHeight="1" x14ac:dyDescent="0.3">
      <c r="A50" s="168" t="s">
        <v>59</v>
      </c>
      <c r="B50" s="169"/>
      <c r="C50" s="168" t="s">
        <v>100</v>
      </c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69"/>
      <c r="X50" s="174">
        <v>1353068.42</v>
      </c>
      <c r="Y50" s="175"/>
      <c r="Z50" s="175"/>
      <c r="AA50" s="175"/>
      <c r="AB50" s="175"/>
      <c r="AC50" s="175"/>
      <c r="AD50" s="176"/>
      <c r="AE50" s="70">
        <v>12.96</v>
      </c>
      <c r="AF50" s="122"/>
      <c r="AG50" s="122"/>
      <c r="AH50" s="122"/>
    </row>
    <row r="51" spans="1:34" ht="17" customHeight="1" x14ac:dyDescent="0.3">
      <c r="A51" s="168" t="s">
        <v>60</v>
      </c>
      <c r="B51" s="169"/>
      <c r="C51" s="168" t="s">
        <v>101</v>
      </c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69"/>
      <c r="X51" s="196">
        <v>0</v>
      </c>
      <c r="Y51" s="197"/>
      <c r="Z51" s="197"/>
      <c r="AA51" s="197"/>
      <c r="AB51" s="197"/>
      <c r="AC51" s="197"/>
      <c r="AD51" s="198"/>
      <c r="AE51" s="70">
        <v>0</v>
      </c>
      <c r="AF51" s="122"/>
      <c r="AG51" s="122"/>
      <c r="AH51" s="122"/>
    </row>
    <row r="52" spans="1:34" ht="17" customHeight="1" x14ac:dyDescent="0.3">
      <c r="A52" s="157" t="s">
        <v>97</v>
      </c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9"/>
      <c r="X52" s="193">
        <f>SUM(X49:AD51)</f>
        <v>1757024.42</v>
      </c>
      <c r="Y52" s="194"/>
      <c r="Z52" s="194"/>
      <c r="AA52" s="194"/>
      <c r="AB52" s="194"/>
      <c r="AC52" s="194"/>
      <c r="AD52" s="195"/>
      <c r="AE52" s="124">
        <v>13.42</v>
      </c>
      <c r="AF52" s="122"/>
      <c r="AG52" s="122"/>
      <c r="AH52" s="122"/>
    </row>
    <row r="53" spans="1:34" ht="17" customHeight="1" x14ac:dyDescent="0.3">
      <c r="A53" s="157" t="s">
        <v>102</v>
      </c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9"/>
      <c r="X53" s="160">
        <f>X38+X52</f>
        <v>10446494.540000001</v>
      </c>
      <c r="Y53" s="161"/>
      <c r="Z53" s="161"/>
      <c r="AA53" s="161"/>
      <c r="AB53" s="161"/>
      <c r="AC53" s="161"/>
      <c r="AD53" s="162"/>
      <c r="AE53" s="125">
        <v>100</v>
      </c>
      <c r="AF53" s="122"/>
      <c r="AG53" s="122"/>
      <c r="AH53" s="122"/>
    </row>
    <row r="54" spans="1:34" ht="17" customHeight="1" x14ac:dyDescent="0.3">
      <c r="A54" s="156"/>
      <c r="B54" s="156"/>
      <c r="C54" s="156"/>
      <c r="D54" s="156"/>
      <c r="E54" s="156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22"/>
      <c r="AG54" s="122"/>
      <c r="AH54" s="122"/>
    </row>
    <row r="55" spans="1:34" ht="17" customHeight="1" x14ac:dyDescent="0.3">
      <c r="A55" s="163" t="s">
        <v>150</v>
      </c>
      <c r="B55" s="163"/>
      <c r="C55" s="163"/>
      <c r="D55" s="163"/>
      <c r="E55" s="163"/>
      <c r="F55" s="164" t="s">
        <v>103</v>
      </c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22"/>
      <c r="AG55" s="122"/>
      <c r="AH55" s="122"/>
    </row>
    <row r="56" spans="1:34" ht="17" customHeight="1" x14ac:dyDescent="0.3">
      <c r="A56" s="156" t="s">
        <v>104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22"/>
      <c r="AG56" s="122"/>
      <c r="AH56" s="122"/>
    </row>
    <row r="57" spans="1:34" ht="17" customHeight="1" x14ac:dyDescent="0.3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</row>
    <row r="58" spans="1:34" ht="17" customHeight="1" x14ac:dyDescent="0.3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</row>
    <row r="59" spans="1:34" ht="16.3" x14ac:dyDescent="0.3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</row>
    <row r="60" spans="1:34" ht="16.3" x14ac:dyDescent="0.3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</row>
    <row r="61" spans="1:34" ht="16.3" x14ac:dyDescent="0.3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</row>
    <row r="62" spans="1:34" ht="16.3" x14ac:dyDescent="0.3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</row>
  </sheetData>
  <mergeCells count="144">
    <mergeCell ref="A8:D8"/>
    <mergeCell ref="A9:D9"/>
    <mergeCell ref="A10:D10"/>
    <mergeCell ref="E10:K10"/>
    <mergeCell ref="L10:U10"/>
    <mergeCell ref="A5:C5"/>
    <mergeCell ref="A6:D6"/>
    <mergeCell ref="A7:D7"/>
    <mergeCell ref="A1:C3"/>
    <mergeCell ref="A4:C4"/>
    <mergeCell ref="A14:B14"/>
    <mergeCell ref="C14:W14"/>
    <mergeCell ref="X14:AD14"/>
    <mergeCell ref="A15:B15"/>
    <mergeCell ref="C15:W15"/>
    <mergeCell ref="A11:D11"/>
    <mergeCell ref="E11:K11"/>
    <mergeCell ref="L11:U11"/>
    <mergeCell ref="A12:D12"/>
    <mergeCell ref="A20:B20"/>
    <mergeCell ref="C20:W20"/>
    <mergeCell ref="A21:B21"/>
    <mergeCell ref="C21:W21"/>
    <mergeCell ref="A18:B18"/>
    <mergeCell ref="C18:W18"/>
    <mergeCell ref="A19:B19"/>
    <mergeCell ref="C19:W19"/>
    <mergeCell ref="A16:B16"/>
    <mergeCell ref="C16:W16"/>
    <mergeCell ref="A17:B17"/>
    <mergeCell ref="C17:W17"/>
    <mergeCell ref="C26:W26"/>
    <mergeCell ref="A27:B27"/>
    <mergeCell ref="C27:W27"/>
    <mergeCell ref="A24:B24"/>
    <mergeCell ref="C24:W24"/>
    <mergeCell ref="A25:B25"/>
    <mergeCell ref="C25:W25"/>
    <mergeCell ref="A22:B22"/>
    <mergeCell ref="C22:W22"/>
    <mergeCell ref="A23:B23"/>
    <mergeCell ref="C23:W23"/>
    <mergeCell ref="A39:AE39"/>
    <mergeCell ref="A40:D40"/>
    <mergeCell ref="E40:AE40"/>
    <mergeCell ref="A34:B34"/>
    <mergeCell ref="C34:W34"/>
    <mergeCell ref="A35:B35"/>
    <mergeCell ref="C35:W35"/>
    <mergeCell ref="X52:AD52"/>
    <mergeCell ref="A32:B32"/>
    <mergeCell ref="C32:W32"/>
    <mergeCell ref="A33:B33"/>
    <mergeCell ref="C33:W33"/>
    <mergeCell ref="A36:B36"/>
    <mergeCell ref="C36:W36"/>
    <mergeCell ref="A37:B37"/>
    <mergeCell ref="C37:W37"/>
    <mergeCell ref="V44:AE44"/>
    <mergeCell ref="V45:AE45"/>
    <mergeCell ref="X51:AD51"/>
    <mergeCell ref="A41:D41"/>
    <mergeCell ref="A42:D42"/>
    <mergeCell ref="X38:AD38"/>
    <mergeCell ref="D1:AE1"/>
    <mergeCell ref="D2:AE2"/>
    <mergeCell ref="D3:AE3"/>
    <mergeCell ref="D4:AE4"/>
    <mergeCell ref="D5:AE5"/>
    <mergeCell ref="E6:AE6"/>
    <mergeCell ref="E7:AE7"/>
    <mergeCell ref="E8:AE8"/>
    <mergeCell ref="E9:AE9"/>
    <mergeCell ref="V10:AE10"/>
    <mergeCell ref="V11:AE11"/>
    <mergeCell ref="E12:AE12"/>
    <mergeCell ref="A13:AE13"/>
    <mergeCell ref="A38:W38"/>
    <mergeCell ref="A30:B30"/>
    <mergeCell ref="C30:W30"/>
    <mergeCell ref="A31:B31"/>
    <mergeCell ref="C31:W31"/>
    <mergeCell ref="A28:B28"/>
    <mergeCell ref="C28:W28"/>
    <mergeCell ref="A29:B29"/>
    <mergeCell ref="C29:W29"/>
    <mergeCell ref="A26:B26"/>
    <mergeCell ref="A47:AE47"/>
    <mergeCell ref="A44:D44"/>
    <mergeCell ref="A45:D45"/>
    <mergeCell ref="E45:K45"/>
    <mergeCell ref="L45:U45"/>
    <mergeCell ref="E44:K44"/>
    <mergeCell ref="L44:U44"/>
    <mergeCell ref="A43:D43"/>
    <mergeCell ref="E41:AE41"/>
    <mergeCell ref="E42:AE42"/>
    <mergeCell ref="E43:AE43"/>
    <mergeCell ref="X37:AD37"/>
    <mergeCell ref="A56:AE56"/>
    <mergeCell ref="A53:W53"/>
    <mergeCell ref="X53:AD53"/>
    <mergeCell ref="A55:E55"/>
    <mergeCell ref="F55:T55"/>
    <mergeCell ref="A54:E54"/>
    <mergeCell ref="F54:T54"/>
    <mergeCell ref="U54:AE54"/>
    <mergeCell ref="U55:AE55"/>
    <mergeCell ref="A51:B51"/>
    <mergeCell ref="C51:W51"/>
    <mergeCell ref="A52:W52"/>
    <mergeCell ref="A49:B49"/>
    <mergeCell ref="C49:W49"/>
    <mergeCell ref="X49:AD49"/>
    <mergeCell ref="A50:B50"/>
    <mergeCell ref="C50:W50"/>
    <mergeCell ref="X50:AD50"/>
    <mergeCell ref="A48:B48"/>
    <mergeCell ref="C48:W48"/>
    <mergeCell ref="X48:AD48"/>
    <mergeCell ref="A46:D46"/>
    <mergeCell ref="E46:AE46"/>
    <mergeCell ref="X21:AD21"/>
    <mergeCell ref="X18:AD18"/>
    <mergeCell ref="X19:AD19"/>
    <mergeCell ref="X16:AD16"/>
    <mergeCell ref="X17:AD17"/>
    <mergeCell ref="X15:AD15"/>
    <mergeCell ref="X36:AD36"/>
    <mergeCell ref="X34:AD34"/>
    <mergeCell ref="X35:AD35"/>
    <mergeCell ref="X32:AD32"/>
    <mergeCell ref="X33:AD33"/>
    <mergeCell ref="X30:AD30"/>
    <mergeCell ref="X31:AD31"/>
    <mergeCell ref="X28:AD28"/>
    <mergeCell ref="X29:AD29"/>
    <mergeCell ref="X26:AD26"/>
    <mergeCell ref="X27:AD27"/>
    <mergeCell ref="X24:AD24"/>
    <mergeCell ref="X25:AD25"/>
    <mergeCell ref="X22:AD22"/>
    <mergeCell ref="X23:AD23"/>
    <mergeCell ref="X20:AD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ANÁLISE_CUSTOS</vt:lpstr>
      <vt:lpstr>ORÇAMENTO_EXECUTIVO</vt:lpstr>
      <vt:lpstr>CÁLCULO_MÉDIAS</vt:lpstr>
      <vt:lpstr>Planilha2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Bianca Karine Galvin</cp:lastModifiedBy>
  <dcterms:created xsi:type="dcterms:W3CDTF">2021-06-30T18:49:34Z</dcterms:created>
  <dcterms:modified xsi:type="dcterms:W3CDTF">2024-06-11T16:24:30Z</dcterms:modified>
</cp:coreProperties>
</file>