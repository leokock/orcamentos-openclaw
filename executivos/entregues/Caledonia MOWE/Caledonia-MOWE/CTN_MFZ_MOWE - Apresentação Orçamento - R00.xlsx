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aledonia MOWE (Edu Momesso)\04. Custo\03.6 Custo - Determinação de orçamento\"/>
    </mc:Choice>
  </mc:AlternateContent>
  <xr:revisionPtr revIDLastSave="0" documentId="13_ncr:1_{061EC58A-8783-4589-AAEF-B00441350FF6}" xr6:coauthVersionLast="47" xr6:coauthVersionMax="47" xr10:uidLastSave="{00000000-0000-0000-0000-000000000000}"/>
  <bookViews>
    <workbookView xWindow="10290" yWindow="2850" windowWidth="23070" windowHeight="12240" tabRatio="776" activeTab="2" xr2:uid="{00000000-000D-0000-FFFF-FFFF00000000}"/>
  </bookViews>
  <sheets>
    <sheet name="EAP" sheetId="22" r:id="rId1"/>
    <sheet name="ORÇAMENTO_EXECUTIVO" sheetId="11" r:id="rId2"/>
    <sheet name="ANÁLISE_CUSTOS " sheetId="20" r:id="rId3"/>
    <sheet name="CÁLCULO_MÉDIAS" sheetId="12" state="hidden" r:id="rId4"/>
    <sheet name="CÁLCULO_MÉDIAS (2)" sheetId="25" r:id="rId5"/>
    <sheet name="ANÁLISE_CUSTOS LOTEAMENTO" sheetId="18" state="hidden" r:id="rId6"/>
    <sheet name="COMPARAÇÃO " sheetId="16" state="hidden" r:id="rId7"/>
  </sheets>
  <externalReferences>
    <externalReference r:id="rId8"/>
    <externalReference r:id="rId9"/>
    <externalReference r:id="rId10"/>
  </externalReferences>
  <definedNames>
    <definedName name="_xlchart.v1.0" hidden="1">ORÇAMENTO_EXECUTIVO!$A$2:$A$26</definedName>
    <definedName name="_xlchart.v1.1" hidden="1">ORÇAMENTO_EXECUTIVO!$C$1</definedName>
    <definedName name="_xlchart.v1.2" hidden="1">ORÇAMENTO_EXECUTIVO!$C$2:$C$26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2" roundtripDataSignature="AMtx7mi6xe1SFltZWVqnyhpgiyWbNfDL2Q=="/>
    </ext>
  </extLst>
</workbook>
</file>

<file path=xl/calcChain.xml><?xml version="1.0" encoding="utf-8"?>
<calcChain xmlns="http://schemas.openxmlformats.org/spreadsheetml/2006/main">
  <c r="D18" i="20" l="1"/>
  <c r="L27" i="25"/>
  <c r="D17" i="20"/>
  <c r="D16" i="20"/>
  <c r="D15" i="20"/>
  <c r="A8" i="20"/>
  <c r="D9" i="20"/>
  <c r="D10" i="20"/>
  <c r="D11" i="20"/>
  <c r="D12" i="20"/>
  <c r="D13" i="20"/>
  <c r="D14" i="20"/>
  <c r="D5" i="20"/>
  <c r="D6" i="20"/>
  <c r="D7" i="20"/>
  <c r="D8" i="20"/>
  <c r="D4" i="20"/>
  <c r="D3" i="20"/>
  <c r="M27" i="25"/>
  <c r="I27" i="25"/>
  <c r="G27" i="25"/>
  <c r="E27" i="25"/>
  <c r="C27" i="25"/>
  <c r="J26" i="25"/>
  <c r="H26" i="25"/>
  <c r="F26" i="25"/>
  <c r="D26" i="25"/>
  <c r="J25" i="25"/>
  <c r="H25" i="25"/>
  <c r="F25" i="25"/>
  <c r="D25" i="25"/>
  <c r="J24" i="25"/>
  <c r="H24" i="25"/>
  <c r="F24" i="25"/>
  <c r="D24" i="25"/>
  <c r="J23" i="25"/>
  <c r="H23" i="25"/>
  <c r="F23" i="25"/>
  <c r="D23" i="25"/>
  <c r="J22" i="25"/>
  <c r="H22" i="25"/>
  <c r="F22" i="25"/>
  <c r="D22" i="25"/>
  <c r="J21" i="25"/>
  <c r="H21" i="25"/>
  <c r="F21" i="25"/>
  <c r="D21" i="25"/>
  <c r="J20" i="25"/>
  <c r="H20" i="25"/>
  <c r="F20" i="25"/>
  <c r="D20" i="25"/>
  <c r="J19" i="25"/>
  <c r="H19" i="25"/>
  <c r="F19" i="25"/>
  <c r="D19" i="25"/>
  <c r="J18" i="25"/>
  <c r="H18" i="25"/>
  <c r="F18" i="25"/>
  <c r="D18" i="25"/>
  <c r="J17" i="25"/>
  <c r="H17" i="25"/>
  <c r="F17" i="25"/>
  <c r="D17" i="25"/>
  <c r="J16" i="25"/>
  <c r="H16" i="25"/>
  <c r="F16" i="25"/>
  <c r="D16" i="25"/>
  <c r="J15" i="25"/>
  <c r="H15" i="25"/>
  <c r="F15" i="25"/>
  <c r="D15" i="25"/>
  <c r="J14" i="25"/>
  <c r="H14" i="25"/>
  <c r="F14" i="25"/>
  <c r="D14" i="25"/>
  <c r="J13" i="25"/>
  <c r="H13" i="25"/>
  <c r="F13" i="25"/>
  <c r="D13" i="25"/>
  <c r="J12" i="25"/>
  <c r="H12" i="25"/>
  <c r="F12" i="25"/>
  <c r="D12" i="25"/>
  <c r="J11" i="25"/>
  <c r="H11" i="25"/>
  <c r="F11" i="25"/>
  <c r="D11" i="25"/>
  <c r="J10" i="25"/>
  <c r="H10" i="25"/>
  <c r="H27" i="25" s="1"/>
  <c r="F10" i="25"/>
  <c r="D10" i="25"/>
  <c r="D27" i="25" s="1"/>
  <c r="J9" i="25"/>
  <c r="J27" i="25" s="1"/>
  <c r="H9" i="25"/>
  <c r="F9" i="25"/>
  <c r="D9" i="25"/>
  <c r="F27" i="25" l="1"/>
  <c r="A3" i="20" l="1"/>
  <c r="H2" i="20"/>
  <c r="G15" i="18" l="1"/>
  <c r="F16" i="18"/>
  <c r="F15" i="18"/>
  <c r="F14" i="18"/>
  <c r="F11" i="18"/>
  <c r="F10" i="18"/>
  <c r="F9" i="18"/>
  <c r="H2" i="18" l="1"/>
  <c r="H1" i="18"/>
  <c r="A17" i="20"/>
  <c r="A15" i="20"/>
  <c r="A7" i="20"/>
  <c r="A6" i="20"/>
  <c r="A5" i="20"/>
  <c r="A4" i="20"/>
  <c r="D9" i="18"/>
  <c r="D3" i="18"/>
  <c r="D13" i="18" s="1"/>
  <c r="A3" i="18"/>
  <c r="L27" i="12" l="1"/>
  <c r="M27" i="12"/>
  <c r="H26" i="12" l="1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D21" i="12" l="1"/>
  <c r="D19" i="12"/>
  <c r="D13" i="12"/>
  <c r="D11" i="12"/>
  <c r="D10" i="12"/>
  <c r="D26" i="12"/>
  <c r="D25" i="12"/>
  <c r="D24" i="12"/>
  <c r="D23" i="12"/>
  <c r="D22" i="12"/>
  <c r="D20" i="12"/>
  <c r="D18" i="12"/>
  <c r="D17" i="12"/>
  <c r="D16" i="12"/>
  <c r="D15" i="12"/>
  <c r="D14" i="12"/>
  <c r="D12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C17" i="16"/>
  <c r="C3" i="16"/>
  <c r="C2" i="16"/>
  <c r="B20" i="16"/>
  <c r="C4" i="16" l="1"/>
  <c r="C6" i="16"/>
  <c r="C5" i="16"/>
  <c r="C7" i="16"/>
  <c r="C10" i="16"/>
  <c r="C18" i="16"/>
  <c r="C9" i="16"/>
  <c r="C11" i="16"/>
  <c r="C12" i="16"/>
  <c r="C14" i="16"/>
  <c r="C19" i="16"/>
  <c r="C8" i="16"/>
  <c r="B22" i="16"/>
  <c r="B23" i="16" s="1"/>
  <c r="C13" i="16"/>
  <c r="C15" i="16"/>
  <c r="C16" i="16"/>
  <c r="C20" i="16" l="1"/>
  <c r="I27" i="12" l="1"/>
  <c r="J27" i="12" l="1"/>
  <c r="H27" i="12"/>
  <c r="F27" i="12"/>
  <c r="D27" i="12"/>
  <c r="D5" i="16" l="1"/>
  <c r="E5" i="16" l="1"/>
  <c r="G5" i="16" s="1"/>
  <c r="F5" i="16"/>
  <c r="H5" i="16" s="1"/>
  <c r="B6" i="18" l="1"/>
  <c r="C6" i="18" s="1"/>
  <c r="B3" i="18"/>
  <c r="C3" i="18" l="1"/>
  <c r="B9" i="18" l="1"/>
  <c r="C9" i="18" s="1"/>
  <c r="D18" i="16" l="1"/>
  <c r="F18" i="16" l="1"/>
  <c r="H18" i="16" s="1"/>
  <c r="E18" i="16"/>
  <c r="G18" i="16" s="1"/>
  <c r="B4" i="18" l="1"/>
  <c r="C4" i="18" l="1"/>
  <c r="B5" i="18" l="1"/>
  <c r="C5" i="18" s="1"/>
  <c r="B8" i="18" l="1"/>
  <c r="C8" i="18" s="1"/>
  <c r="B7" i="18" l="1"/>
  <c r="C7" i="18" l="1"/>
  <c r="B10" i="18" l="1"/>
  <c r="C10" i="18" s="1"/>
  <c r="B13" i="18" l="1"/>
  <c r="C13" i="18"/>
  <c r="B11" i="18" l="1"/>
  <c r="C11" i="18" s="1"/>
  <c r="B24" i="11" l="1"/>
  <c r="D24" i="11" l="1"/>
  <c r="D16" i="16"/>
  <c r="E16" i="16" l="1"/>
  <c r="G16" i="16" s="1"/>
  <c r="F16" i="16"/>
  <c r="H16" i="16" s="1"/>
  <c r="B11" i="11" l="1"/>
  <c r="D11" i="11" l="1"/>
  <c r="B12" i="11" l="1"/>
  <c r="B11" i="20" s="1"/>
  <c r="C11" i="20" s="1"/>
  <c r="D12" i="11" l="1"/>
  <c r="D10" i="16"/>
  <c r="E10" i="16" l="1"/>
  <c r="G10" i="16" s="1"/>
  <c r="F10" i="16"/>
  <c r="H10" i="16" s="1"/>
  <c r="B10" i="11" l="1"/>
  <c r="B23" i="11"/>
  <c r="B21" i="11"/>
  <c r="D21" i="11" s="1"/>
  <c r="B20" i="11"/>
  <c r="D20" i="11" s="1"/>
  <c r="D10" i="11" l="1"/>
  <c r="D23" i="11"/>
  <c r="D12" i="16"/>
  <c r="D15" i="16"/>
  <c r="D13" i="16"/>
  <c r="B25" i="11"/>
  <c r="B6" i="11"/>
  <c r="B9" i="11"/>
  <c r="D9" i="11" s="1"/>
  <c r="B7" i="11"/>
  <c r="B8" i="20" s="1"/>
  <c r="B4" i="11"/>
  <c r="B3" i="11"/>
  <c r="B13" i="11"/>
  <c r="B8" i="11"/>
  <c r="B9" i="20" s="1"/>
  <c r="B22" i="11"/>
  <c r="B14" i="11"/>
  <c r="B18" i="11"/>
  <c r="B26" i="11"/>
  <c r="D26" i="11" s="1"/>
  <c r="D14" i="11" l="1"/>
  <c r="B10" i="20"/>
  <c r="C10" i="20" s="1"/>
  <c r="B4" i="20"/>
  <c r="C4" i="20" s="1"/>
  <c r="D25" i="11"/>
  <c r="B17" i="20"/>
  <c r="C17" i="20" s="1"/>
  <c r="D22" i="11"/>
  <c r="B15" i="20"/>
  <c r="C15" i="20" s="1"/>
  <c r="D18" i="11"/>
  <c r="B14" i="20"/>
  <c r="C14" i="20" s="1"/>
  <c r="D13" i="11"/>
  <c r="D8" i="11"/>
  <c r="C9" i="20"/>
  <c r="D7" i="11"/>
  <c r="C8" i="20"/>
  <c r="D6" i="11"/>
  <c r="B7" i="20"/>
  <c r="C7" i="20" s="1"/>
  <c r="D4" i="11"/>
  <c r="B5" i="20"/>
  <c r="C5" i="20" s="1"/>
  <c r="B16" i="11"/>
  <c r="D16" i="11" s="1"/>
  <c r="D17" i="16"/>
  <c r="F15" i="16"/>
  <c r="H15" i="16" s="1"/>
  <c r="E15" i="16"/>
  <c r="G15" i="16" s="1"/>
  <c r="D7" i="16"/>
  <c r="B5" i="11"/>
  <c r="B19" i="11"/>
  <c r="B16" i="20" s="1"/>
  <c r="C16" i="20" s="1"/>
  <c r="B17" i="11"/>
  <c r="D17" i="11" s="1"/>
  <c r="D9" i="16"/>
  <c r="E13" i="16"/>
  <c r="G13" i="16" s="1"/>
  <c r="F13" i="16"/>
  <c r="H13" i="16" s="1"/>
  <c r="D14" i="16"/>
  <c r="D19" i="16"/>
  <c r="F12" i="16"/>
  <c r="H12" i="16" s="1"/>
  <c r="E12" i="16"/>
  <c r="G12" i="16" s="1"/>
  <c r="D8" i="16"/>
  <c r="B15" i="11"/>
  <c r="D3" i="16"/>
  <c r="D3" i="11"/>
  <c r="B30" i="11" l="1"/>
  <c r="D19" i="11"/>
  <c r="D15" i="11"/>
  <c r="B13" i="20"/>
  <c r="C13" i="20" s="1"/>
  <c r="B12" i="20"/>
  <c r="C12" i="20" s="1"/>
  <c r="D5" i="11"/>
  <c r="B6" i="20"/>
  <c r="F7" i="16"/>
  <c r="H7" i="16" s="1"/>
  <c r="E7" i="16"/>
  <c r="G7" i="16" s="1"/>
  <c r="E8" i="16"/>
  <c r="G8" i="16" s="1"/>
  <c r="F8" i="16"/>
  <c r="H8" i="16" s="1"/>
  <c r="E14" i="16"/>
  <c r="G14" i="16" s="1"/>
  <c r="F14" i="16"/>
  <c r="H14" i="16" s="1"/>
  <c r="E9" i="16"/>
  <c r="G9" i="16" s="1"/>
  <c r="F9" i="16"/>
  <c r="H9" i="16" s="1"/>
  <c r="F17" i="16"/>
  <c r="H17" i="16" s="1"/>
  <c r="E17" i="16"/>
  <c r="G17" i="16" s="1"/>
  <c r="E19" i="16"/>
  <c r="G19" i="16" s="1"/>
  <c r="F19" i="16"/>
  <c r="H19" i="16" s="1"/>
  <c r="D6" i="16"/>
  <c r="D11" i="16"/>
  <c r="D4" i="16"/>
  <c r="E3" i="16"/>
  <c r="G3" i="16" s="1"/>
  <c r="F3" i="16"/>
  <c r="H3" i="16" s="1"/>
  <c r="B18" i="20" l="1"/>
  <c r="C6" i="20"/>
  <c r="C18" i="20" s="1"/>
  <c r="F11" i="16"/>
  <c r="H11" i="16" s="1"/>
  <c r="E11" i="16"/>
  <c r="G11" i="16" s="1"/>
  <c r="E6" i="16"/>
  <c r="G6" i="16" s="1"/>
  <c r="F6" i="16"/>
  <c r="H6" i="16" s="1"/>
  <c r="F4" i="16"/>
  <c r="H4" i="16" s="1"/>
  <c r="E4" i="16"/>
  <c r="G4" i="16" s="1"/>
  <c r="B2" i="11" l="1"/>
  <c r="B3" i="20" s="1"/>
  <c r="C3" i="20" s="1"/>
  <c r="D2" i="11" l="1"/>
  <c r="B27" i="11"/>
  <c r="C3" i="11" s="1"/>
  <c r="D2" i="16"/>
  <c r="E2" i="16" s="1"/>
  <c r="C2" i="11" l="1"/>
  <c r="C24" i="11"/>
  <c r="C11" i="11"/>
  <c r="C12" i="11"/>
  <c r="C21" i="11"/>
  <c r="C23" i="11"/>
  <c r="C10" i="11"/>
  <c r="C20" i="11"/>
  <c r="C18" i="11"/>
  <c r="C7" i="11"/>
  <c r="C9" i="11"/>
  <c r="C13" i="11"/>
  <c r="C14" i="11"/>
  <c r="C22" i="11"/>
  <c r="C25" i="11"/>
  <c r="C4" i="11"/>
  <c r="C26" i="11"/>
  <c r="C8" i="11"/>
  <c r="C6" i="11"/>
  <c r="C19" i="11"/>
  <c r="C5" i="11"/>
  <c r="C15" i="11"/>
  <c r="C16" i="11"/>
  <c r="C17" i="11"/>
  <c r="D27" i="11"/>
  <c r="D28" i="11" s="1"/>
  <c r="F2" i="16"/>
  <c r="F20" i="16" s="1"/>
  <c r="D20" i="16"/>
  <c r="G2" i="16"/>
  <c r="G20" i="16" s="1"/>
  <c r="E20" i="16"/>
  <c r="H2" i="16" l="1"/>
  <c r="C2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tc={DAE70693-B753-4AD0-9A68-9AB2D17FA769}</author>
  </authors>
  <commentList>
    <comment ref="E12" authorId="0" shapeId="0" xr:uid="{DAE70693-B753-4AD0-9A68-9AB2D17FA76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Alvenaria Estrutural
Responder:
    Considerando Laje Treliçada + Escoramento + Escada + vigas + pilares de concreto armado </t>
      </text>
    </comment>
  </commentList>
</comments>
</file>

<file path=xl/sharedStrings.xml><?xml version="1.0" encoding="utf-8"?>
<sst xmlns="http://schemas.openxmlformats.org/spreadsheetml/2006/main" count="294" uniqueCount="178">
  <si>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</si>
  <si>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</si>
  <si>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</si>
  <si>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</si>
  <si>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</si>
  <si>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</si>
  <si>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</si>
  <si>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</si>
  <si>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</si>
  <si>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</si>
  <si>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</si>
  <si>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</si>
  <si>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</si>
  <si>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</si>
  <si>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</si>
  <si>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</si>
  <si>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</si>
  <si>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</si>
  <si>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</si>
  <si>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</si>
  <si>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</si>
  <si>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</si>
  <si>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</si>
  <si>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</si>
  <si>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</si>
  <si>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</si>
  <si>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</si>
  <si>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</si>
  <si>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</si>
  <si>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</si>
  <si>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m²</t>
  </si>
  <si>
    <t>PAREDES E PAINÉIS</t>
  </si>
  <si>
    <t>REVESTIMENTOS INTERNOS DE PISO E PAREDE</t>
  </si>
  <si>
    <t>CONTENÇÕES</t>
  </si>
  <si>
    <t>ACABAMENTOS DE PISO E PAREDE</t>
  </si>
  <si>
    <t>REGIÃO</t>
  </si>
  <si>
    <t>GERENCIAMENTO TÉCNICO ADMINISTRATIVO</t>
  </si>
  <si>
    <t>INSTALAÇÕES</t>
  </si>
  <si>
    <t>SISTEMAS E EQUIPAMENTOS ESPECIAIS</t>
  </si>
  <si>
    <t>SC</t>
  </si>
  <si>
    <t>IMPREVISTOS E CONTINGÊNCIAS</t>
  </si>
  <si>
    <t>DIFERENÇA</t>
  </si>
  <si>
    <t>VALOR</t>
  </si>
  <si>
    <t>Maior tempo de execução porém com maior área para distribuição</t>
  </si>
  <si>
    <t>Maior área de subsolo e aumento dos índices considerados conforme solicitação da Viva4</t>
  </si>
  <si>
    <t>Aumento não proporcional entre custo de fundação e área construída</t>
  </si>
  <si>
    <t>Acréscimos de pavimentos, utilização de cubetas em subestituição à laje treliçada e aumento do custo de escoramento conforme solicitação da Viva4</t>
  </si>
  <si>
    <t>Aumento não proporcional entre área de parede e área construída</t>
  </si>
  <si>
    <t>Aumento proporcional de custo para ar condicionado, exaustões e climatização, porém custo de piscina, gerador e subestação distribuídos em maior área construída</t>
  </si>
  <si>
    <t>Aumento de área construida para distribuição do custo de lajes impermeabilizadas na cobertura</t>
  </si>
  <si>
    <t>Aumento de áreas de recebem forro nos pavimentos duplex (antes mezanino) e cobertura</t>
  </si>
  <si>
    <t>Aumento de áreas de rebem contrapiso e manta acústica nos pavimentos duplex (antes mezanino)</t>
  </si>
  <si>
    <t>Aumento não proporcional entre área de esquadrias e área construída</t>
  </si>
  <si>
    <t>Aumento da área de pergolado</t>
  </si>
  <si>
    <t>Aumento de áreas de fachada não proprcional ao aumento de área construída</t>
  </si>
  <si>
    <t>Maior área construída para distribuição dos custos de mobiliário e redução do custo de paisagismo</t>
  </si>
  <si>
    <t>Mesmas estruturas de contenção com maior área construída</t>
  </si>
  <si>
    <t>m2</t>
  </si>
  <si>
    <t>Paramétrico R03</t>
  </si>
  <si>
    <t>DIFERENÇA
 %</t>
  </si>
  <si>
    <t>OBSERVAÇÃO DIFERENÇAS ENTRE O PARAMÉTRICO E O EXECUTIVO</t>
  </si>
  <si>
    <t>OBSERVAÇÃO ENTREGUES NO PARAMÉTRICO</t>
  </si>
  <si>
    <t>DIFERENÇA 
/ m²</t>
  </si>
  <si>
    <t>Paramétrico
R00 / m²</t>
  </si>
  <si>
    <t>CUB/ESTADO</t>
  </si>
  <si>
    <t>Executivo R00</t>
  </si>
  <si>
    <t>Executivo
R00 / m²</t>
  </si>
  <si>
    <t>Numero de unidades</t>
  </si>
  <si>
    <t>ok</t>
  </si>
  <si>
    <t>CGL - CASAS</t>
  </si>
  <si>
    <t>CGL - SALÃO</t>
  </si>
  <si>
    <t>Estilo</t>
  </si>
  <si>
    <t>CONTENÇÃO</t>
  </si>
  <si>
    <t>CLIMATIZAÇÃO, EXAUSTÃO MECÂNICA E PRESSURIZAÇÃO</t>
  </si>
  <si>
    <t>REVESTIMENTOS ARGAMASSADOS TETO</t>
  </si>
  <si>
    <t>ACABAMENTOS INTERNOS EM PAREDE</t>
  </si>
  <si>
    <t>ACABAMENTOS EM PISOS E PAVIMENTAÇÕES</t>
  </si>
  <si>
    <t>ACABAMENTOS INTERNOS EM TETO</t>
  </si>
  <si>
    <t>LOUÇAS E METAIS</t>
  </si>
  <si>
    <t>LAUSANNE - LOTEAMENTO</t>
  </si>
  <si>
    <t>RECREAÇÃO E PORTARIA</t>
  </si>
  <si>
    <t>OBRA SIMILAR - ESTILO</t>
  </si>
  <si>
    <t>MUROS E CERCAMENTOS</t>
  </si>
  <si>
    <t>REDE ELETRICA</t>
  </si>
  <si>
    <t>REDE HIDRAULICA</t>
  </si>
  <si>
    <t>REDE DE DRENAGEM</t>
  </si>
  <si>
    <t>REDE SANITARIA</t>
  </si>
  <si>
    <t>PAVIMENTAÇÃO</t>
  </si>
  <si>
    <t>Área Terreno</t>
  </si>
  <si>
    <t>SERVIÇOS COMPLEMENTARES E FINAIS</t>
  </si>
  <si>
    <t>pq?</t>
  </si>
  <si>
    <t>Castelo  Dágua Representa 60% do custo de hidro externa.</t>
  </si>
  <si>
    <t>REDE GÁS</t>
  </si>
  <si>
    <t>60mil representa o material da Rede propriamente dita, mas contém Posteamento transformador cabeamento que representa 49% do custo.</t>
  </si>
  <si>
    <t xml:space="preserve">MOVIMENTAÇÃO DE TERRA	</t>
  </si>
  <si>
    <t>ALVENARIAS E VEDAÇÕES</t>
  </si>
  <si>
    <t>IMPERMEABILIZAÇÃO E TRATAMENTOS</t>
  </si>
  <si>
    <t>SISTEMAS E INSTALAÇÕES ELÉTRICAS</t>
  </si>
  <si>
    <t>SISTEMAS E INSTALAÇÕES HIDROSSANITÁRIAS E DRENAGEM</t>
  </si>
  <si>
    <t>INSTALAÇÕES DE GÁS</t>
  </si>
  <si>
    <t>INSTALAÇÕES DE COMUNICAÇÕES</t>
  </si>
  <si>
    <t>REVESTIMENTOS INTERNOS DE PAREDE</t>
  </si>
  <si>
    <t>REVESTIMENTOS INTERNOS DE TETO</t>
  </si>
  <si>
    <t>PISOS E PAVIMENTAÇÕES</t>
  </si>
  <si>
    <t>SISTEMAS DE PINTURA INTERNA</t>
  </si>
  <si>
    <t>REVESTIMENTOS E ACABAMENTOS EM FACHADA</t>
  </si>
  <si>
    <t xml:space="preserve">IMPREVISTOS E CONTINGÊNCIAS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</si>
  <si>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</si>
  <si>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</si>
  <si>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</si>
  <si>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</si>
  <si>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</si>
  <si>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</si>
  <si>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</si>
  <si>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</si>
  <si>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</si>
  <si>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</si>
  <si>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</si>
  <si>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</si>
  <si>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</si>
  <si>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</si>
  <si>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</si>
  <si>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</si>
  <si>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</si>
  <si>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</si>
  <si>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</si>
  <si>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</si>
  <si>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</si>
  <si>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Item</t>
  </si>
  <si>
    <t xml:space="preserve">INFRAESTRUTURA URBANA E REDES </t>
  </si>
  <si>
    <t>01.01</t>
  </si>
  <si>
    <t>01.02</t>
  </si>
  <si>
    <t>REDE ELÉTRICA</t>
  </si>
  <si>
    <t>01.03</t>
  </si>
  <si>
    <t>REDE HIDRÁULICA</t>
  </si>
  <si>
    <t>01.04</t>
  </si>
  <si>
    <t>01.05</t>
  </si>
  <si>
    <t>REDE SANITÁRIA</t>
  </si>
  <si>
    <t>01.06</t>
  </si>
  <si>
    <t>01.07</t>
  </si>
  <si>
    <t>01.08</t>
  </si>
  <si>
    <t>CASAS E ÁREAS COMUNS</t>
  </si>
  <si>
    <t>CUB/SC</t>
  </si>
  <si>
    <t>INSTALAÇÕES ESPECIAIS</t>
  </si>
  <si>
    <t>REVESTIMENTOS ARGAMASSADOS PISO</t>
  </si>
  <si>
    <t>REVESTIMENTOS ARGAMASSADOS PAREDE</t>
  </si>
  <si>
    <t>PINTURA DE FACHADA</t>
  </si>
  <si>
    <t>REVESTIMENTOS ARGAMASSADOS DE FACHADA</t>
  </si>
  <si>
    <t>ACABAMENTOS DE FACHADA</t>
  </si>
  <si>
    <t>OBRA</t>
  </si>
  <si>
    <t>EQUIPAMENTOS ESPECIAIS</t>
  </si>
  <si>
    <t>ACABAMENTOS INTERNOS EM PAREDE E PISO</t>
  </si>
  <si>
    <t>ACABAMENTOS  E REVESTIMENTOS INTERNOS EM TETO</t>
  </si>
  <si>
    <t>Lausanne - casas</t>
  </si>
  <si>
    <t>SP</t>
  </si>
  <si>
    <t>ÁREA - 4.375,1</t>
  </si>
  <si>
    <t>ÁREA - 600,6</t>
  </si>
  <si>
    <t>ÁREA - 358,31</t>
  </si>
  <si>
    <t>ÁREA - 7959,45</t>
  </si>
  <si>
    <t>LAUSANE</t>
  </si>
  <si>
    <t>PISA</t>
  </si>
  <si>
    <t>HOMESET</t>
  </si>
  <si>
    <t>EMPREITADA GLOBAL</t>
  </si>
  <si>
    <t xml:space="preserve">ALVENARIA </t>
  </si>
  <si>
    <t>MURO</t>
  </si>
  <si>
    <t>Equipamentos alto padrao</t>
  </si>
  <si>
    <t>sem entrega de equioamentos</t>
  </si>
  <si>
    <t>REVESTIMENTOS INTERNOS EM PAREDE E PISO</t>
  </si>
  <si>
    <t>OK</t>
  </si>
  <si>
    <t>LAJE NO PISO</t>
  </si>
  <si>
    <t>inclui limpeza de terreno</t>
  </si>
  <si>
    <t>Projetos ato padrão, tapume</t>
  </si>
  <si>
    <t>quase sem reaproveitamento de formas</t>
  </si>
  <si>
    <t>cobertura impermeabilizada, toda area externa e floreiras</t>
  </si>
  <si>
    <t>forro steel frame e acm</t>
  </si>
  <si>
    <t>acabamentos de alto padrão com porcelanato A e perdras</t>
  </si>
  <si>
    <t>brises e porcelanatos</t>
  </si>
  <si>
    <t>pqqqq?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</si>
</sst>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6" formatCode="_-* #.##0.00_-;\-* #.##0.00_-;_-* &quot;-&quot;??_-;_-@_-"/>
    <numFmt numFmtId="167" formatCode="_-&quot;R$&quot;\ * #.##0.00_-;\-&quot;R$&quot;\ * #.##0.00_-;_-&quot;R$&quot;\ * &quot;-&quot;??_-;_-@_-"/>
    <numFmt numFmtId="168" formatCode="[$-416]mmm\-yy;@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Poppins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9"/>
      <color indexed="8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43" fontId="13" fillId="0" borderId="0" applyFont="0" applyFill="0" applyBorder="0" applyAlignment="0" applyProtection="0"/>
    <xf numFmtId="0" fontId="4" fillId="0" borderId="4"/>
    <xf numFmtId="9" fontId="4" fillId="0" borderId="4" applyFont="0" applyFill="0" applyBorder="0" applyAlignment="0" applyProtection="0"/>
    <xf numFmtId="0" fontId="19" fillId="0" borderId="4"/>
    <xf numFmtId="166" fontId="3" fillId="0" borderId="4" applyFont="0" applyFill="0" applyBorder="0" applyAlignment="0" applyProtection="0"/>
    <xf numFmtId="167" fontId="3" fillId="0" borderId="4" applyFont="0" applyFill="0" applyBorder="0" applyAlignment="0" applyProtection="0"/>
    <xf numFmtId="0" fontId="2" fillId="0" borderId="4"/>
    <xf numFmtId="9" fontId="2" fillId="0" borderId="4" applyFont="0" applyFill="0" applyBorder="0" applyAlignment="0" applyProtection="0"/>
    <xf numFmtId="44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5" fillId="0" borderId="4" applyNumberFormat="0" applyFont="0" applyFill="0" applyBorder="0" applyAlignment="0" applyProtection="0"/>
    <xf numFmtId="0" fontId="1" fillId="0" borderId="4"/>
    <xf numFmtId="43" fontId="1" fillId="0" borderId="4" applyFont="0" applyFill="0" applyBorder="0" applyAlignment="0" applyProtection="0"/>
    <xf numFmtId="44" fontId="1" fillId="0" borderId="4" applyFont="0" applyFill="0" applyBorder="0" applyAlignment="0" applyProtection="0"/>
  </cellStyleXfs>
  <cellXfs count="204">
    <xf numFmtId="0" fontId="0" fillId="0" borderId="0" xfId="0"/>
    <xf numFmtId="0" fontId="8" fillId="0" borderId="0" xfId="0" applyFont="1"/>
    <xf numFmtId="0" fontId="8" fillId="3" borderId="1" xfId="0" applyFont="1" applyFill="1" applyBorder="1" applyAlignment="1">
      <alignment horizontal="left" vertical="center"/>
    </xf>
    <xf numFmtId="164" fontId="8" fillId="0" borderId="0" xfId="0" applyNumberFormat="1" applyFont="1"/>
    <xf numFmtId="0" fontId="9" fillId="0" borderId="0" xfId="0" applyFont="1" applyAlignment="1">
      <alignment vertical="center"/>
    </xf>
    <xf numFmtId="10" fontId="8" fillId="3" borderId="2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" fontId="10" fillId="0" borderId="0" xfId="0" applyNumberFormat="1" applyFont="1"/>
    <xf numFmtId="166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vertical="center"/>
    </xf>
    <xf numFmtId="164" fontId="11" fillId="0" borderId="4" xfId="0" applyNumberFormat="1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43" fontId="0" fillId="0" borderId="0" xfId="1" applyFont="1"/>
    <xf numFmtId="43" fontId="8" fillId="0" borderId="0" xfId="1" applyFont="1" applyAlignment="1">
      <alignment horizontal="center"/>
    </xf>
    <xf numFmtId="43" fontId="8" fillId="0" borderId="0" xfId="1" applyFont="1"/>
    <xf numFmtId="0" fontId="8" fillId="4" borderId="19" xfId="0" applyFont="1" applyFill="1" applyBorder="1" applyAlignment="1">
      <alignment horizontal="left" vertical="center"/>
    </xf>
    <xf numFmtId="10" fontId="8" fillId="4" borderId="20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9" fontId="5" fillId="2" borderId="11" xfId="0" applyNumberFormat="1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7" fontId="5" fillId="2" borderId="11" xfId="0" applyNumberFormat="1" applyFont="1" applyFill="1" applyBorder="1" applyAlignment="1">
      <alignment horizontal="center" vertical="center"/>
    </xf>
    <xf numFmtId="43" fontId="9" fillId="0" borderId="13" xfId="0" applyNumberFormat="1" applyFont="1" applyBorder="1" applyAlignment="1">
      <alignment vertical="center"/>
    </xf>
    <xf numFmtId="43" fontId="9" fillId="0" borderId="0" xfId="0" applyNumberFormat="1" applyFont="1" applyAlignment="1">
      <alignment vertical="center"/>
    </xf>
    <xf numFmtId="166" fontId="0" fillId="0" borderId="0" xfId="0" applyNumberFormat="1"/>
    <xf numFmtId="2" fontId="9" fillId="0" borderId="0" xfId="0" applyNumberFormat="1" applyFont="1" applyAlignment="1">
      <alignment vertical="center"/>
    </xf>
    <xf numFmtId="4" fontId="0" fillId="0" borderId="0" xfId="0" applyNumberFormat="1" applyAlignment="1">
      <alignment vertical="top"/>
    </xf>
    <xf numFmtId="0" fontId="19" fillId="0" borderId="4" xfId="4"/>
    <xf numFmtId="166" fontId="0" fillId="0" borderId="4" xfId="5" applyFont="1"/>
    <xf numFmtId="0" fontId="15" fillId="5" borderId="5" xfId="4" applyFont="1" applyFill="1" applyBorder="1"/>
    <xf numFmtId="17" fontId="19" fillId="0" borderId="6" xfId="4" applyNumberFormat="1" applyBorder="1"/>
    <xf numFmtId="0" fontId="15" fillId="5" borderId="7" xfId="4" applyFont="1" applyFill="1" applyBorder="1"/>
    <xf numFmtId="0" fontId="15" fillId="5" borderId="9" xfId="4" applyFont="1" applyFill="1" applyBorder="1"/>
    <xf numFmtId="44" fontId="15" fillId="5" borderId="18" xfId="4" applyNumberFormat="1" applyFont="1" applyFill="1" applyBorder="1" applyAlignment="1">
      <alignment horizontal="center"/>
    </xf>
    <xf numFmtId="44" fontId="15" fillId="5" borderId="15" xfId="4" applyNumberFormat="1" applyFont="1" applyFill="1" applyBorder="1" applyAlignment="1">
      <alignment horizontal="center"/>
    </xf>
    <xf numFmtId="44" fontId="15" fillId="5" borderId="16" xfId="4" applyNumberFormat="1" applyFont="1" applyFill="1" applyBorder="1" applyAlignment="1">
      <alignment horizontal="center"/>
    </xf>
    <xf numFmtId="166" fontId="15" fillId="5" borderId="11" xfId="5" applyFont="1" applyFill="1" applyBorder="1" applyAlignment="1">
      <alignment horizontal="center"/>
    </xf>
    <xf numFmtId="0" fontId="8" fillId="3" borderId="21" xfId="4" applyFont="1" applyFill="1" applyBorder="1" applyAlignment="1">
      <alignment horizontal="left" vertical="center"/>
    </xf>
    <xf numFmtId="0" fontId="8" fillId="4" borderId="24" xfId="4" applyFont="1" applyFill="1" applyBorder="1" applyAlignment="1">
      <alignment horizontal="left" vertical="center"/>
    </xf>
    <xf numFmtId="0" fontId="8" fillId="3" borderId="24" xfId="4" applyFont="1" applyFill="1" applyBorder="1" applyAlignment="1">
      <alignment horizontal="left" vertical="center"/>
    </xf>
    <xf numFmtId="0" fontId="8" fillId="3" borderId="25" xfId="4" applyFont="1" applyFill="1" applyBorder="1" applyAlignment="1">
      <alignment horizontal="left" vertical="center"/>
    </xf>
    <xf numFmtId="0" fontId="5" fillId="7" borderId="26" xfId="4" applyFont="1" applyFill="1" applyBorder="1" applyAlignment="1">
      <alignment horizontal="left" vertical="center"/>
    </xf>
    <xf numFmtId="0" fontId="12" fillId="0" borderId="4" xfId="4" applyFont="1"/>
    <xf numFmtId="0" fontId="3" fillId="0" borderId="4" xfId="4" applyFont="1"/>
    <xf numFmtId="166" fontId="3" fillId="0" borderId="4" xfId="5" applyFont="1"/>
    <xf numFmtId="44" fontId="19" fillId="0" borderId="4" xfId="4" applyNumberFormat="1"/>
    <xf numFmtId="2" fontId="0" fillId="0" borderId="8" xfId="5" applyNumberFormat="1" applyFont="1" applyBorder="1"/>
    <xf numFmtId="2" fontId="15" fillId="5" borderId="7" xfId="4" applyNumberFormat="1" applyFont="1" applyFill="1" applyBorder="1"/>
    <xf numFmtId="2" fontId="3" fillId="0" borderId="8" xfId="4" applyNumberFormat="1" applyFont="1" applyBorder="1" applyAlignment="1">
      <alignment vertical="center"/>
    </xf>
    <xf numFmtId="2" fontId="3" fillId="0" borderId="8" xfId="4" applyNumberFormat="1" applyFont="1" applyBorder="1"/>
    <xf numFmtId="2" fontId="0" fillId="0" borderId="10" xfId="5" applyNumberFormat="1" applyFont="1" applyBorder="1"/>
    <xf numFmtId="2" fontId="15" fillId="5" borderId="9" xfId="4" applyNumberFormat="1" applyFont="1" applyFill="1" applyBorder="1"/>
    <xf numFmtId="2" fontId="15" fillId="5" borderId="18" xfId="4" applyNumberFormat="1" applyFont="1" applyFill="1" applyBorder="1"/>
    <xf numFmtId="2" fontId="15" fillId="5" borderId="15" xfId="4" applyNumberFormat="1" applyFont="1" applyFill="1" applyBorder="1"/>
    <xf numFmtId="2" fontId="18" fillId="6" borderId="15" xfId="4" applyNumberFormat="1" applyFont="1" applyFill="1" applyBorder="1"/>
    <xf numFmtId="2" fontId="18" fillId="6" borderId="16" xfId="4" applyNumberFormat="1" applyFont="1" applyFill="1" applyBorder="1"/>
    <xf numFmtId="2" fontId="0" fillId="0" borderId="11" xfId="5" applyNumberFormat="1" applyFont="1" applyBorder="1"/>
    <xf numFmtId="2" fontId="0" fillId="0" borderId="11" xfId="5" applyNumberFormat="1" applyFont="1" applyFill="1" applyBorder="1"/>
    <xf numFmtId="2" fontId="15" fillId="5" borderId="15" xfId="5" applyNumberFormat="1" applyFont="1" applyFill="1" applyBorder="1"/>
    <xf numFmtId="2" fontId="8" fillId="4" borderId="20" xfId="0" applyNumberFormat="1" applyFont="1" applyFill="1" applyBorder="1" applyAlignment="1">
      <alignment horizontal="center" vertical="center"/>
    </xf>
    <xf numFmtId="2" fontId="14" fillId="3" borderId="2" xfId="0" applyNumberFormat="1" applyFont="1" applyFill="1" applyBorder="1" applyAlignment="1">
      <alignment horizontal="center" vertical="center"/>
    </xf>
    <xf numFmtId="44" fontId="14" fillId="4" borderId="27" xfId="9" applyFont="1" applyFill="1" applyBorder="1" applyAlignment="1">
      <alignment horizontal="left" vertical="center"/>
    </xf>
    <xf numFmtId="44" fontId="14" fillId="3" borderId="28" xfId="9" applyFont="1" applyFill="1" applyBorder="1" applyAlignment="1">
      <alignment horizontal="left" vertical="center"/>
    </xf>
    <xf numFmtId="44" fontId="8" fillId="4" borderId="2" xfId="9" applyFont="1" applyFill="1" applyBorder="1" applyAlignment="1">
      <alignment horizontal="left" vertical="center"/>
    </xf>
    <xf numFmtId="44" fontId="8" fillId="3" borderId="2" xfId="9" applyFont="1" applyFill="1" applyBorder="1" applyAlignment="1">
      <alignment horizontal="left" vertical="center"/>
    </xf>
    <xf numFmtId="44" fontId="5" fillId="2" borderId="11" xfId="9" applyFont="1" applyFill="1" applyBorder="1" applyAlignment="1">
      <alignment horizontal="left" vertical="center"/>
    </xf>
    <xf numFmtId="44" fontId="8" fillId="4" borderId="3" xfId="9" applyFont="1" applyFill="1" applyBorder="1" applyAlignment="1">
      <alignment horizontal="center" vertical="center"/>
    </xf>
    <xf numFmtId="44" fontId="8" fillId="3" borderId="3" xfId="9" applyFont="1" applyFill="1" applyBorder="1" applyAlignment="1">
      <alignment horizontal="center" vertical="center"/>
    </xf>
    <xf numFmtId="44" fontId="5" fillId="2" borderId="11" xfId="9" applyFont="1" applyFill="1" applyBorder="1" applyAlignment="1">
      <alignment horizontal="center" vertical="center"/>
    </xf>
    <xf numFmtId="0" fontId="5" fillId="2" borderId="11" xfId="7" applyFont="1" applyFill="1" applyBorder="1" applyAlignment="1">
      <alignment horizontal="left" vertical="center" wrapText="1"/>
    </xf>
    <xf numFmtId="0" fontId="5" fillId="2" borderId="11" xfId="7" applyFont="1" applyFill="1" applyBorder="1" applyAlignment="1">
      <alignment horizontal="center" vertical="center" wrapText="1"/>
    </xf>
    <xf numFmtId="0" fontId="9" fillId="0" borderId="4" xfId="7" applyFont="1" applyAlignment="1">
      <alignment vertical="center" wrapText="1"/>
    </xf>
    <xf numFmtId="0" fontId="2" fillId="0" borderId="4" xfId="7" applyAlignment="1">
      <alignment wrapText="1"/>
    </xf>
    <xf numFmtId="0" fontId="8" fillId="4" borderId="19" xfId="7" applyFont="1" applyFill="1" applyBorder="1" applyAlignment="1">
      <alignment horizontal="left" vertical="center" wrapText="1"/>
    </xf>
    <xf numFmtId="44" fontId="8" fillId="4" borderId="27" xfId="9" applyFont="1" applyFill="1" applyBorder="1" applyAlignment="1">
      <alignment horizontal="left" vertical="center" wrapText="1"/>
    </xf>
    <xf numFmtId="44" fontId="8" fillId="4" borderId="20" xfId="9" applyFont="1" applyFill="1" applyBorder="1" applyAlignment="1">
      <alignment horizontal="center" vertical="center" wrapText="1"/>
    </xf>
    <xf numFmtId="44" fontId="8" fillId="4" borderId="2" xfId="9" applyFont="1" applyFill="1" applyBorder="1" applyAlignment="1">
      <alignment horizontal="left" vertical="center" wrapText="1"/>
    </xf>
    <xf numFmtId="0" fontId="8" fillId="3" borderId="1" xfId="7" applyFont="1" applyFill="1" applyBorder="1" applyAlignment="1">
      <alignment horizontal="left" vertical="center" wrapText="1"/>
    </xf>
    <xf numFmtId="44" fontId="8" fillId="3" borderId="28" xfId="9" applyFont="1" applyFill="1" applyBorder="1" applyAlignment="1">
      <alignment horizontal="left" vertical="center" wrapText="1"/>
    </xf>
    <xf numFmtId="44" fontId="14" fillId="3" borderId="2" xfId="9" applyFont="1" applyFill="1" applyBorder="1" applyAlignment="1">
      <alignment horizontal="center" vertical="center" wrapText="1"/>
    </xf>
    <xf numFmtId="44" fontId="14" fillId="3" borderId="2" xfId="9" applyFont="1" applyFill="1" applyBorder="1" applyAlignment="1">
      <alignment horizontal="left" vertical="center" wrapText="1"/>
    </xf>
    <xf numFmtId="0" fontId="14" fillId="3" borderId="1" xfId="7" applyFont="1" applyFill="1" applyBorder="1" applyAlignment="1">
      <alignment horizontal="left" vertical="center" wrapText="1"/>
    </xf>
    <xf numFmtId="44" fontId="14" fillId="3" borderId="28" xfId="9" applyFont="1" applyFill="1" applyBorder="1" applyAlignment="1">
      <alignment horizontal="left" vertical="center" wrapText="1"/>
    </xf>
    <xf numFmtId="0" fontId="14" fillId="4" borderId="19" xfId="7" applyFont="1" applyFill="1" applyBorder="1" applyAlignment="1">
      <alignment horizontal="left" vertical="center" wrapText="1"/>
    </xf>
    <xf numFmtId="44" fontId="14" fillId="4" borderId="27" xfId="9" applyFont="1" applyFill="1" applyBorder="1" applyAlignment="1">
      <alignment horizontal="left" vertical="center" wrapText="1"/>
    </xf>
    <xf numFmtId="44" fontId="5" fillId="2" borderId="11" xfId="9" applyFont="1" applyFill="1" applyBorder="1" applyAlignment="1">
      <alignment horizontal="center" vertical="center" wrapText="1"/>
    </xf>
    <xf numFmtId="44" fontId="5" fillId="2" borderId="11" xfId="9" applyFont="1" applyFill="1" applyBorder="1" applyAlignment="1">
      <alignment horizontal="left" vertical="center" wrapText="1"/>
    </xf>
    <xf numFmtId="44" fontId="5" fillId="2" borderId="11" xfId="9" applyFont="1" applyFill="1" applyBorder="1" applyAlignment="1">
      <alignment vertical="center" wrapText="1"/>
    </xf>
    <xf numFmtId="0" fontId="9" fillId="0" borderId="4" xfId="7" applyFont="1" applyAlignment="1">
      <alignment horizontal="center" vertical="center" wrapText="1"/>
    </xf>
    <xf numFmtId="43" fontId="9" fillId="0" borderId="4" xfId="7" applyNumberFormat="1" applyFont="1" applyAlignment="1">
      <alignment vertical="center" wrapText="1"/>
    </xf>
    <xf numFmtId="164" fontId="9" fillId="0" borderId="4" xfId="7" applyNumberFormat="1" applyFont="1" applyAlignment="1">
      <alignment vertical="center" wrapText="1"/>
    </xf>
    <xf numFmtId="43" fontId="9" fillId="0" borderId="4" xfId="7" applyNumberFormat="1" applyFont="1" applyAlignment="1">
      <alignment horizontal="center" vertical="center" wrapText="1"/>
    </xf>
    <xf numFmtId="0" fontId="2" fillId="0" borderId="4" xfId="7" applyAlignment="1">
      <alignment horizontal="center" wrapText="1"/>
    </xf>
    <xf numFmtId="44" fontId="21" fillId="4" borderId="2" xfId="9" applyFont="1" applyFill="1" applyBorder="1" applyAlignment="1">
      <alignment horizontal="left" vertical="center" wrapText="1"/>
    </xf>
    <xf numFmtId="44" fontId="21" fillId="4" borderId="2" xfId="9" applyFont="1" applyFill="1" applyBorder="1" applyAlignment="1">
      <alignment vertical="center" wrapText="1"/>
    </xf>
    <xf numFmtId="44" fontId="21" fillId="3" borderId="2" xfId="9" applyFont="1" applyFill="1" applyBorder="1" applyAlignment="1">
      <alignment horizontal="left" vertical="center" wrapText="1"/>
    </xf>
    <xf numFmtId="44" fontId="21" fillId="3" borderId="2" xfId="9" applyFont="1" applyFill="1" applyBorder="1" applyAlignment="1">
      <alignment vertical="center" wrapText="1"/>
    </xf>
    <xf numFmtId="0" fontId="5" fillId="2" borderId="11" xfId="7" applyFont="1" applyFill="1" applyBorder="1" applyAlignment="1">
      <alignment horizontal="center" vertical="center"/>
    </xf>
    <xf numFmtId="10" fontId="21" fillId="4" borderId="2" xfId="10" applyNumberFormat="1" applyFont="1" applyFill="1" applyBorder="1" applyAlignment="1">
      <alignment vertical="center" wrapText="1"/>
    </xf>
    <xf numFmtId="44" fontId="14" fillId="4" borderId="2" xfId="9" applyFont="1" applyFill="1" applyBorder="1" applyAlignment="1">
      <alignment vertical="center"/>
    </xf>
    <xf numFmtId="10" fontId="21" fillId="3" borderId="2" xfId="10" applyNumberFormat="1" applyFont="1" applyFill="1" applyBorder="1" applyAlignment="1">
      <alignment vertical="center" wrapText="1"/>
    </xf>
    <xf numFmtId="44" fontId="14" fillId="3" borderId="2" xfId="9" applyFont="1" applyFill="1" applyBorder="1" applyAlignment="1">
      <alignment vertical="center"/>
    </xf>
    <xf numFmtId="10" fontId="5" fillId="2" borderId="11" xfId="9" applyNumberFormat="1" applyFont="1" applyFill="1" applyBorder="1" applyAlignment="1">
      <alignment vertical="center" wrapText="1"/>
    </xf>
    <xf numFmtId="44" fontId="5" fillId="2" borderId="11" xfId="9" applyFont="1" applyFill="1" applyBorder="1" applyAlignment="1">
      <alignment vertical="center"/>
    </xf>
    <xf numFmtId="0" fontId="9" fillId="0" borderId="4" xfId="7" applyFont="1" applyAlignment="1">
      <alignment vertical="center"/>
    </xf>
    <xf numFmtId="43" fontId="9" fillId="0" borderId="4" xfId="1" applyFont="1" applyBorder="1" applyAlignment="1">
      <alignment vertical="center" wrapText="1"/>
    </xf>
    <xf numFmtId="43" fontId="9" fillId="0" borderId="4" xfId="7" applyNumberFormat="1" applyFont="1" applyAlignment="1">
      <alignment vertical="center"/>
    </xf>
    <xf numFmtId="0" fontId="2" fillId="0" borderId="4" xfId="7"/>
    <xf numFmtId="44" fontId="14" fillId="4" borderId="2" xfId="9" applyFont="1" applyFill="1" applyBorder="1" applyAlignment="1">
      <alignment vertical="center" wrapText="1"/>
    </xf>
    <xf numFmtId="44" fontId="14" fillId="3" borderId="2" xfId="9" applyFont="1" applyFill="1" applyBorder="1" applyAlignment="1">
      <alignment vertical="center" wrapText="1"/>
    </xf>
    <xf numFmtId="43" fontId="5" fillId="2" borderId="17" xfId="1" applyFont="1" applyFill="1" applyBorder="1" applyAlignment="1">
      <alignment horizontal="center" vertical="center"/>
    </xf>
    <xf numFmtId="44" fontId="8" fillId="0" borderId="0" xfId="0" applyNumberFormat="1" applyFont="1"/>
    <xf numFmtId="43" fontId="5" fillId="2" borderId="11" xfId="1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right"/>
    </xf>
    <xf numFmtId="44" fontId="5" fillId="2" borderId="11" xfId="9" applyFont="1" applyFill="1" applyBorder="1" applyAlignment="1">
      <alignment horizontal="center"/>
    </xf>
    <xf numFmtId="4" fontId="5" fillId="2" borderId="11" xfId="0" applyNumberFormat="1" applyFont="1" applyFill="1" applyBorder="1" applyAlignment="1">
      <alignment horizontal="center"/>
    </xf>
    <xf numFmtId="43" fontId="6" fillId="2" borderId="11" xfId="1" applyFont="1" applyFill="1" applyBorder="1" applyAlignment="1">
      <alignment horizontal="center"/>
    </xf>
    <xf numFmtId="43" fontId="0" fillId="0" borderId="17" xfId="1" applyFont="1" applyBorder="1"/>
    <xf numFmtId="43" fontId="0" fillId="6" borderId="22" xfId="1" applyFont="1" applyFill="1" applyBorder="1"/>
    <xf numFmtId="43" fontId="0" fillId="0" borderId="7" xfId="1" applyFont="1" applyFill="1" applyBorder="1"/>
    <xf numFmtId="43" fontId="0" fillId="0" borderId="7" xfId="1" applyFont="1" applyBorder="1"/>
    <xf numFmtId="43" fontId="0" fillId="6" borderId="23" xfId="1" applyFont="1" applyFill="1" applyBorder="1"/>
    <xf numFmtId="43" fontId="17" fillId="0" borderId="17" xfId="1" applyFont="1" applyBorder="1"/>
    <xf numFmtId="43" fontId="3" fillId="0" borderId="17" xfId="1" applyFont="1" applyBorder="1"/>
    <xf numFmtId="43" fontId="0" fillId="0" borderId="4" xfId="1" applyFont="1" applyBorder="1"/>
    <xf numFmtId="17" fontId="0" fillId="0" borderId="6" xfId="0" applyNumberFormat="1" applyBorder="1"/>
    <xf numFmtId="0" fontId="0" fillId="0" borderId="10" xfId="0" applyBorder="1"/>
    <xf numFmtId="2" fontId="0" fillId="8" borderId="11" xfId="5" applyNumberFormat="1" applyFont="1" applyFill="1" applyBorder="1"/>
    <xf numFmtId="43" fontId="0" fillId="0" borderId="0" xfId="0" applyNumberFormat="1"/>
    <xf numFmtId="2" fontId="19" fillId="0" borderId="4" xfId="4" applyNumberFormat="1"/>
    <xf numFmtId="0" fontId="23" fillId="0" borderId="4" xfId="0" applyFont="1" applyBorder="1"/>
    <xf numFmtId="44" fontId="8" fillId="4" borderId="20" xfId="9" applyFont="1" applyFill="1" applyBorder="1" applyAlignment="1">
      <alignment horizontal="center" vertical="center"/>
    </xf>
    <xf numFmtId="44" fontId="8" fillId="4" borderId="31" xfId="9" applyFont="1" applyFill="1" applyBorder="1" applyAlignment="1">
      <alignment horizontal="center" vertical="center"/>
    </xf>
    <xf numFmtId="44" fontId="14" fillId="3" borderId="2" xfId="9" applyFont="1" applyFill="1" applyBorder="1" applyAlignment="1">
      <alignment horizontal="center" vertical="center"/>
    </xf>
    <xf numFmtId="44" fontId="14" fillId="3" borderId="33" xfId="9" applyFont="1" applyFill="1" applyBorder="1" applyAlignment="1">
      <alignment horizontal="center" vertical="center"/>
    </xf>
    <xf numFmtId="44" fontId="0" fillId="0" borderId="0" xfId="0" applyNumberFormat="1"/>
    <xf numFmtId="0" fontId="24" fillId="10" borderId="34" xfId="0" applyFont="1" applyFill="1" applyBorder="1"/>
    <xf numFmtId="0" fontId="24" fillId="10" borderId="35" xfId="0" applyFont="1" applyFill="1" applyBorder="1"/>
    <xf numFmtId="0" fontId="0" fillId="11" borderId="36" xfId="0" applyFill="1" applyBorder="1"/>
    <xf numFmtId="0" fontId="0" fillId="11" borderId="37" xfId="0" applyFill="1" applyBorder="1"/>
    <xf numFmtId="0" fontId="0" fillId="12" borderId="36" xfId="0" applyFill="1" applyBorder="1"/>
    <xf numFmtId="0" fontId="0" fillId="12" borderId="37" xfId="0" applyFill="1" applyBorder="1"/>
    <xf numFmtId="0" fontId="5" fillId="2" borderId="11" xfId="0" applyFont="1" applyFill="1" applyBorder="1" applyAlignment="1">
      <alignment horizontal="center" vertical="center"/>
    </xf>
    <xf numFmtId="0" fontId="7" fillId="0" borderId="11" xfId="0" applyFont="1" applyBorder="1"/>
    <xf numFmtId="43" fontId="5" fillId="2" borderId="29" xfId="1" applyFont="1" applyFill="1" applyBorder="1" applyAlignment="1">
      <alignment horizontal="center" vertical="center"/>
    </xf>
    <xf numFmtId="43" fontId="5" fillId="2" borderId="17" xfId="1" applyFont="1" applyFill="1" applyBorder="1" applyAlignment="1">
      <alignment horizontal="center" vertical="center"/>
    </xf>
    <xf numFmtId="0" fontId="5" fillId="2" borderId="18" xfId="4" applyFont="1" applyFill="1" applyBorder="1" applyAlignment="1">
      <alignment horizontal="center" vertical="center"/>
    </xf>
    <xf numFmtId="0" fontId="5" fillId="2" borderId="16" xfId="4" applyFont="1" applyFill="1" applyBorder="1" applyAlignment="1">
      <alignment horizontal="center" vertical="center"/>
    </xf>
    <xf numFmtId="0" fontId="5" fillId="2" borderId="15" xfId="4" applyFont="1" applyFill="1" applyBorder="1" applyAlignment="1">
      <alignment horizontal="center" vertical="center"/>
    </xf>
    <xf numFmtId="166" fontId="5" fillId="2" borderId="11" xfId="5" applyFont="1" applyFill="1" applyBorder="1" applyAlignment="1">
      <alignment horizontal="center" vertical="center"/>
    </xf>
    <xf numFmtId="0" fontId="1" fillId="0" borderId="4" xfId="12"/>
    <xf numFmtId="43" fontId="0" fillId="0" borderId="4" xfId="13" applyFont="1"/>
    <xf numFmtId="0" fontId="1" fillId="0" borderId="4" xfId="12" applyAlignment="1">
      <alignment horizontal="right"/>
    </xf>
    <xf numFmtId="0" fontId="15" fillId="5" borderId="5" xfId="12" applyFont="1" applyFill="1" applyBorder="1"/>
    <xf numFmtId="168" fontId="1" fillId="0" borderId="6" xfId="12" applyNumberFormat="1" applyBorder="1"/>
    <xf numFmtId="0" fontId="15" fillId="5" borderId="9" xfId="12" applyFont="1" applyFill="1" applyBorder="1"/>
    <xf numFmtId="0" fontId="1" fillId="0" borderId="10" xfId="12" applyBorder="1"/>
    <xf numFmtId="0" fontId="5" fillId="2" borderId="38" xfId="12" applyFont="1" applyFill="1" applyBorder="1" applyAlignment="1">
      <alignment horizontal="center" vertical="center"/>
    </xf>
    <xf numFmtId="0" fontId="5" fillId="2" borderId="39" xfId="12" applyFont="1" applyFill="1" applyBorder="1" applyAlignment="1">
      <alignment horizontal="center" vertical="center"/>
    </xf>
    <xf numFmtId="0" fontId="5" fillId="2" borderId="40" xfId="12" applyFont="1" applyFill="1" applyBorder="1" applyAlignment="1">
      <alignment horizontal="center" vertical="center"/>
    </xf>
    <xf numFmtId="0" fontId="5" fillId="2" borderId="41" xfId="12" applyFont="1" applyFill="1" applyBorder="1" applyAlignment="1">
      <alignment horizontal="center" vertical="center"/>
    </xf>
    <xf numFmtId="0" fontId="5" fillId="2" borderId="18" xfId="12" applyFont="1" applyFill="1" applyBorder="1" applyAlignment="1">
      <alignment horizontal="center" vertical="center"/>
    </xf>
    <xf numFmtId="0" fontId="5" fillId="2" borderId="16" xfId="12" applyFont="1" applyFill="1" applyBorder="1" applyAlignment="1">
      <alignment horizontal="center" vertical="center"/>
    </xf>
    <xf numFmtId="0" fontId="5" fillId="2" borderId="15" xfId="12" applyFont="1" applyFill="1" applyBorder="1" applyAlignment="1">
      <alignment horizontal="center" vertical="center"/>
    </xf>
    <xf numFmtId="43" fontId="5" fillId="2" borderId="11" xfId="13" applyFont="1" applyFill="1" applyBorder="1" applyAlignment="1">
      <alignment horizontal="center" vertical="center"/>
    </xf>
    <xf numFmtId="44" fontId="15" fillId="5" borderId="18" xfId="12" applyNumberFormat="1" applyFont="1" applyFill="1" applyBorder="1" applyAlignment="1">
      <alignment horizontal="center"/>
    </xf>
    <xf numFmtId="44" fontId="15" fillId="5" borderId="15" xfId="12" applyNumberFormat="1" applyFont="1" applyFill="1" applyBorder="1" applyAlignment="1">
      <alignment horizontal="center"/>
    </xf>
    <xf numFmtId="44" fontId="15" fillId="5" borderId="16" xfId="12" applyNumberFormat="1" applyFont="1" applyFill="1" applyBorder="1" applyAlignment="1">
      <alignment horizontal="center"/>
    </xf>
    <xf numFmtId="43" fontId="15" fillId="5" borderId="11" xfId="13" applyFont="1" applyFill="1" applyBorder="1" applyAlignment="1">
      <alignment horizontal="center"/>
    </xf>
    <xf numFmtId="0" fontId="8" fillId="4" borderId="42" xfId="12" applyFont="1" applyFill="1" applyBorder="1" applyAlignment="1">
      <alignment horizontal="left" vertical="center"/>
    </xf>
    <xf numFmtId="44" fontId="0" fillId="0" borderId="43" xfId="14" applyFont="1" applyBorder="1"/>
    <xf numFmtId="44" fontId="0" fillId="6" borderId="44" xfId="14" applyFont="1" applyFill="1" applyBorder="1"/>
    <xf numFmtId="44" fontId="0" fillId="6" borderId="45" xfId="14" applyFont="1" applyFill="1" applyBorder="1"/>
    <xf numFmtId="43" fontId="0" fillId="0" borderId="11" xfId="13" applyFont="1" applyBorder="1"/>
    <xf numFmtId="0" fontId="8" fillId="3" borderId="46" xfId="12" applyFont="1" applyFill="1" applyBorder="1" applyAlignment="1">
      <alignment horizontal="left" vertical="center"/>
    </xf>
    <xf numFmtId="44" fontId="0" fillId="0" borderId="47" xfId="14" applyFont="1" applyBorder="1"/>
    <xf numFmtId="44" fontId="0" fillId="6" borderId="48" xfId="14" applyFont="1" applyFill="1" applyBorder="1"/>
    <xf numFmtId="44" fontId="0" fillId="6" borderId="49" xfId="14" applyFont="1" applyFill="1" applyBorder="1"/>
    <xf numFmtId="0" fontId="8" fillId="4" borderId="46" xfId="12" applyFont="1" applyFill="1" applyBorder="1" applyAlignment="1">
      <alignment horizontal="left" vertical="center"/>
    </xf>
    <xf numFmtId="44" fontId="23" fillId="0" borderId="47" xfId="14" applyFont="1" applyBorder="1"/>
    <xf numFmtId="44" fontId="0" fillId="0" borderId="50" xfId="14" applyFont="1" applyBorder="1"/>
    <xf numFmtId="44" fontId="0" fillId="6" borderId="51" xfId="14" applyFont="1" applyFill="1" applyBorder="1"/>
    <xf numFmtId="44" fontId="0" fillId="6" borderId="52" xfId="14" applyFont="1" applyFill="1" applyBorder="1"/>
    <xf numFmtId="0" fontId="5" fillId="7" borderId="53" xfId="12" applyFont="1" applyFill="1" applyBorder="1" applyAlignment="1">
      <alignment horizontal="left" vertical="center"/>
    </xf>
    <xf numFmtId="44" fontId="15" fillId="5" borderId="18" xfId="12" applyNumberFormat="1" applyFont="1" applyFill="1" applyBorder="1"/>
    <xf numFmtId="44" fontId="18" fillId="6" borderId="15" xfId="12" applyNumberFormat="1" applyFont="1" applyFill="1" applyBorder="1"/>
    <xf numFmtId="44" fontId="15" fillId="5" borderId="15" xfId="12" applyNumberFormat="1" applyFont="1" applyFill="1" applyBorder="1"/>
    <xf numFmtId="44" fontId="18" fillId="6" borderId="16" xfId="12" applyNumberFormat="1" applyFont="1" applyFill="1" applyBorder="1"/>
    <xf numFmtId="43" fontId="15" fillId="5" borderId="15" xfId="13" applyFont="1" applyFill="1" applyBorder="1"/>
    <xf numFmtId="0" fontId="12" fillId="0" borderId="4" xfId="12" applyFont="1"/>
    <xf numFmtId="0" fontId="1" fillId="0" borderId="0" xfId="0" applyFont="1"/>
    <xf numFmtId="0" fontId="1" fillId="13" borderId="0" xfId="0" applyFont="1" applyFill="1"/>
    <xf numFmtId="0" fontId="1" fillId="13" borderId="4" xfId="0" applyFont="1" applyFill="1" applyBorder="1"/>
    <xf numFmtId="0" fontId="1" fillId="14" borderId="4" xfId="0" applyFont="1" applyFill="1" applyBorder="1"/>
    <xf numFmtId="0" fontId="1" fillId="14" borderId="0" xfId="0" applyFont="1" applyFill="1"/>
    <xf numFmtId="0" fontId="1" fillId="9" borderId="0" xfId="0" applyFont="1" applyFill="1"/>
    <xf numFmtId="2" fontId="1" fillId="0" borderId="0" xfId="0" applyNumberFormat="1" applyFont="1"/>
    <xf numFmtId="2" fontId="1" fillId="9" borderId="0" xfId="0" applyNumberFormat="1" applyFont="1" applyFill="1"/>
  </cellXfs>
  <cellStyles count="15">
    <cellStyle name="Moeda" xfId="9" builtinId="4"/>
    <cellStyle name="Moeda 2" xfId="6" xr:uid="{5F7624E5-FE1F-4622-BE4A-9A8D53C5839A}"/>
    <cellStyle name="Moeda 3" xfId="14" xr:uid="{B9F45E89-F344-41BE-BACD-E0AA21B04162}"/>
    <cellStyle name="Normal" xfId="0" builtinId="0"/>
    <cellStyle name="Normal 2" xfId="2" xr:uid="{89934119-66BE-4554-8D7F-F4FDAB4F0E33}"/>
    <cellStyle name="Normal 2 2" xfId="4" xr:uid="{A209BEEC-1AAF-45E0-A714-85F84E9EE704}"/>
    <cellStyle name="Normal 3" xfId="7" xr:uid="{549D39C5-4642-4139-BB33-F4645E01B0F2}"/>
    <cellStyle name="Normal 4" xfId="12" xr:uid="{3C27EE20-332C-48F2-9D18-4760E7030E61}"/>
    <cellStyle name="Normal 4 2" xfId="11" xr:uid="{20E85060-FCD6-47C8-B6F5-E33EDA9AC6BB}"/>
    <cellStyle name="Porcentagem" xfId="10" builtinId="5"/>
    <cellStyle name="Porcentagem 2" xfId="3" xr:uid="{910739D4-B953-4402-8BEC-DCBA788BEB45}"/>
    <cellStyle name="Porcentagem 3" xfId="8" xr:uid="{B6934AD6-FA91-4136-82ED-81A179702627}"/>
    <cellStyle name="Vírgula" xfId="1" builtinId="3"/>
    <cellStyle name="Vírgula 2" xfId="5" xr:uid="{8D361A77-E259-4B50-94FD-0C1579C7B5D3}"/>
    <cellStyle name="Vírgula 3" xfId="13" xr:uid="{1CA5AFDB-578E-4F1C-B035-931EBC6A4958}"/>
  </cellStyles>
  <dxfs count="0"/>
  <tableStyles count="0" defaultTableStyle="TableStyleMedium2" defaultPivotStyle="PivotStyleLight16"/>
  <colors>
    <mruColors>
      <color rgb="FF255AE5"/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1400" b="0" i="0" u="none" strike="noStrike" baseline="0">
            <a:solidFill>
              <a:srgbClr val="121212">
                <a:lumMod val="65000"/>
                <a:lumOff val="35000"/>
              </a:srgbClr>
            </a:solidFill>
            <a:latin typeface="Calibri"/>
            <a:ea typeface="Calibri"/>
            <a:cs typeface="Calibri"/>
          </a:endParaRPr>
        </a:p>
      </cx:txPr>
    </cx:title>
    <cx:plotArea>
      <cx:plotAreaRegion>
        <cx:series layoutId="clusteredColumn" uniqueId="{CAEE12DD-11EF-4654-B168-CAE8FF019F1C}" formatIdx="0">
          <cx:tx>
            <cx:txData>
              <cx:f>_xlchart.v1.1</cx:f>
              <cx:v>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6EDCB7D8-A170-4CC2-81FC-30399CFEDE4F}" formatIdx="1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139390</xdr:colOff>
      <xdr:row>2</xdr:row>
      <xdr:rowOff>220701</xdr:rowOff>
    </xdr:from>
    <xdr:to>
      <xdr:col>18</xdr:col>
      <xdr:colOff>81310</xdr:colOff>
      <xdr:row>28</xdr:row>
      <xdr:rowOff>23231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AB41C64-5FFD-481B-AD65-4E6E3C4BE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1335" y="801726"/>
              <a:ext cx="10026990" cy="458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602855</xdr:colOff>
      <xdr:row>7</xdr:row>
      <xdr:rowOff>54429</xdr:rowOff>
    </xdr:from>
    <xdr:to>
      <xdr:col>25</xdr:col>
      <xdr:colOff>194751</xdr:colOff>
      <xdr:row>22</xdr:row>
      <xdr:rowOff>161653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4FC09C-5115-4715-BA8A-EFA154A8B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75440" y="1467939"/>
          <a:ext cx="6907096" cy="36790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Santo%20Andr&#233;/Lausanne/03.%20Custo/03.5%20Custo%20-%20Determina&#231;&#227;o%20do%20or&#231;amento/Valida&#231;&#227;o%20interna/CTN_STA_LAU%20-%20Or&#231;amento.xlsb_R0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aledonia%20MOWE%20(Edu%20Momesso)\04.%20Custo\03.6%20Custo%20-%20Determina&#231;&#227;o%20de%20or&#231;amento\CTN_MFZ_MOWE%20-%20Or&#231;amento_R00.xlsx" TargetMode="External"/><Relationship Id="rId1" Type="http://schemas.openxmlformats.org/officeDocument/2006/relationships/externalLinkPath" Target="CTN_MFZ_MOWE%20-%20Or&#231;amento_R0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TecVerde\04.%20Custo\03.0%20Custo%20-%20Or&#231;amento%20Preliminar\Apresenta&#231;&#227;o\CTN-TCV-C4E%20-%20Apresenta&#231;&#227;o%20Or&#231;amento%20-%20R00.xlsx" TargetMode="External"/><Relationship Id="rId1" Type="http://schemas.openxmlformats.org/officeDocument/2006/relationships/externalLinkPath" Target="/.shortcut-targets-by-id/16oaQUYgx8kiowDwLhg-oO1zGZ777DJUb/2.%20Projetos%20em%20Andamento/TecVerde/04.%20Custo/03.0%20Custo%20-%20Or&#231;amento%20Preliminar/Apresenta&#231;&#227;o/CTN-TCV-C4E%20-%20Apresenta&#231;&#227;o%20Or&#231;amento%20-%20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S"/>
      <sheetName val="CPU"/>
      <sheetName val="Obra "/>
      <sheetName val="Ger_Tec e Adm"/>
      <sheetName val="Ger_Executivo Casa"/>
      <sheetName val="Ger_Executivo Comum"/>
      <sheetName val="Hidrossanitário|Gás"/>
      <sheetName val="Infra_Instalações"/>
      <sheetName val="Muro"/>
      <sheetName val="EPCs"/>
      <sheetName val="CANTEIRO"/>
      <sheetName val="Casa Benton"/>
      <sheetName val="Casa Blanc"/>
      <sheetName val="Casa Ciment"/>
      <sheetName val="Casa Pierre"/>
      <sheetName val="Área Comum"/>
      <sheetName val="Portaria"/>
      <sheetName val="Piscina"/>
      <sheetName val="ESQUADRIAS"/>
      <sheetName val="Terraplenagem"/>
      <sheetName val="Pavimentação"/>
      <sheetName val="Fundação"/>
      <sheetName val="Supra"/>
      <sheetName val="Aço"/>
      <sheetName val="Alvenaria Estrutural"/>
      <sheetName val="Contenção"/>
      <sheetName val="LOUÇAS E METAIS"/>
      <sheetName val="MOBILIÁRIO"/>
      <sheetName val="Elétrica"/>
    </sheetNames>
    <sheetDataSet>
      <sheetData sheetId="0"/>
      <sheetData sheetId="1"/>
      <sheetData sheetId="2">
        <row r="8">
          <cell r="E8">
            <v>25999.02</v>
          </cell>
        </row>
        <row r="10">
          <cell r="E10">
            <v>122</v>
          </cell>
        </row>
      </sheetData>
      <sheetData sheetId="3"/>
      <sheetData sheetId="4"/>
      <sheetData sheetId="5">
        <row r="9">
          <cell r="N9">
            <v>1450076.4159106398</v>
          </cell>
        </row>
        <row r="21">
          <cell r="N21">
            <v>1893554.92</v>
          </cell>
        </row>
        <row r="28">
          <cell r="N28">
            <v>429844.03642000002</v>
          </cell>
        </row>
        <row r="35">
          <cell r="N35">
            <v>395577.13666666672</v>
          </cell>
        </row>
        <row r="42">
          <cell r="N42">
            <v>166899.815</v>
          </cell>
        </row>
        <row r="49">
          <cell r="N49">
            <v>297070.02028124995</v>
          </cell>
        </row>
        <row r="56">
          <cell r="N56">
            <v>1617268.8171085599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 "/>
      <sheetName val="EAP Análise"/>
      <sheetName val="Ensaios "/>
      <sheetName val="CANTEIRO"/>
      <sheetName val="Ger_Tec e Adm"/>
      <sheetName val="Ger_Executivo"/>
      <sheetName val="ARQUITETURA"/>
      <sheetName val="CPU"/>
      <sheetName val="Insumos"/>
      <sheetName val="Fundação Rasa"/>
      <sheetName val="Aço_Infraestrutura"/>
      <sheetName val="Supraestrutura"/>
      <sheetName val="LAJE_TRELIÇADA"/>
      <sheetName val="Tijolos refratários"/>
      <sheetName val="COMUNICAÇÃO"/>
      <sheetName val="INSTALAÇÕES"/>
      <sheetName val="Louças e metais"/>
      <sheetName val="MO Infra"/>
      <sheetName val="Cotações"/>
      <sheetName val="Estacas"/>
      <sheetName val="Arm. Cortina"/>
      <sheetName val="Cortina"/>
      <sheetName val="Tabela de Aço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/>
      <sheetData sheetId="1">
        <row r="2">
          <cell r="B2">
            <v>243899.46582717574</v>
          </cell>
        </row>
        <row r="3">
          <cell r="B3">
            <v>10084.167840185286</v>
          </cell>
        </row>
        <row r="4">
          <cell r="B4">
            <v>102925.63074964285</v>
          </cell>
        </row>
        <row r="5">
          <cell r="B5">
            <v>190194.42273595065</v>
          </cell>
        </row>
        <row r="6">
          <cell r="B6">
            <v>60429.042308205993</v>
          </cell>
        </row>
        <row r="7">
          <cell r="B7">
            <v>127201.76085779698</v>
          </cell>
        </row>
        <row r="8">
          <cell r="B8">
            <v>11221.223</v>
          </cell>
        </row>
        <row r="9">
          <cell r="B9">
            <v>0</v>
          </cell>
        </row>
        <row r="10">
          <cell r="B10">
            <v>10955.697999999999</v>
          </cell>
        </row>
        <row r="11">
          <cell r="B11">
            <v>26511.959507799998</v>
          </cell>
        </row>
        <row r="12">
          <cell r="B12">
            <v>33446.834324250005</v>
          </cell>
        </row>
        <row r="13">
          <cell r="B13">
            <v>380.67219999999998</v>
          </cell>
        </row>
        <row r="14">
          <cell r="B14">
            <v>90264.650210655294</v>
          </cell>
        </row>
        <row r="15">
          <cell r="B15">
            <v>28197.116854000004</v>
          </cell>
        </row>
        <row r="16">
          <cell r="B16">
            <v>122733.17982400004</v>
          </cell>
        </row>
        <row r="17">
          <cell r="B17">
            <v>50092.53</v>
          </cell>
        </row>
        <row r="18">
          <cell r="B18">
            <v>41028.63363603333</v>
          </cell>
        </row>
        <row r="19">
          <cell r="B19">
            <v>49075.814340671212</v>
          </cell>
        </row>
        <row r="20">
          <cell r="B20">
            <v>48409.091874559992</v>
          </cell>
        </row>
        <row r="21">
          <cell r="B21">
            <v>100308.05190661384</v>
          </cell>
        </row>
        <row r="22">
          <cell r="B22">
            <v>137257.00257303804</v>
          </cell>
        </row>
        <row r="23">
          <cell r="B23">
            <v>68854.816000000006</v>
          </cell>
        </row>
        <row r="24">
          <cell r="B24">
            <v>0</v>
          </cell>
        </row>
        <row r="25">
          <cell r="B25">
            <v>23121.191607979999</v>
          </cell>
        </row>
        <row r="26">
          <cell r="B26">
            <v>26653.869807027662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ÓRIO"/>
      <sheetName val="ORÇAMENTO_EXECUTIVO"/>
      <sheetName val="ANÁLISE_CUSTOS"/>
      <sheetName val="CÁLCULO_MÉDIAS"/>
    </sheetNames>
    <sheetDataSet>
      <sheetData sheetId="0" refreshError="1"/>
      <sheetData sheetId="1">
        <row r="18">
          <cell r="B18">
            <v>2032</v>
          </cell>
        </row>
      </sheetData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elle Oliveira" id="{34260BC6-D023-41F2-BE79-A7E80D3C6BC5}" userId="5e761594a592f5f8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3CC60-9417-447A-937C-6C38DFEF5267}" name="Tabela2" displayName="Tabela2" ref="A1:B22" totalsRowShown="0">
  <tableColumns count="2">
    <tableColumn id="1" xr3:uid="{336E3123-58C1-4973-8BAC-1FC4162D3542}" name="Item"/>
    <tableColumn id="2" xr3:uid="{2C04C351-23B9-4227-85A9-0E4D17D13AA3}" name="CASAS E ÁREAS COMUN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" dT="2024-11-26T00:18:40.10" personId="{34260BC6-D023-41F2-BE79-A7E80D3C6BC5}" id="{DAE70693-B753-4AD0-9A68-9AB2D17FA769}">
    <text>Alvenaria Estrutural</text>
  </threadedComment>
  <threadedComment ref="E12" dT="2024-11-26T00:20:51.49" personId="{34260BC6-D023-41F2-BE79-A7E80D3C6BC5}" id="{B3ECFA2E-D517-4816-BC27-B522765B5E03}" parentId="{DAE70693-B753-4AD0-9A68-9AB2D17FA769}">
    <text xml:space="preserve">Considerando Laje Treliçada + Escoramento + Escada + vigas + pilares de concreto armado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1AD6-7E29-4FD2-8CF1-4E493F351077}">
  <dimension ref="A1:B31"/>
  <sheetViews>
    <sheetView topLeftCell="A10" zoomScale="85" zoomScaleNormal="85" workbookViewId="0">
      <selection activeCell="F26" sqref="F26"/>
    </sheetView>
  </sheetViews>
  <sheetFormatPr defaultRowHeight="15" x14ac:dyDescent="0.25"/>
  <cols>
    <col min="1" max="1" width="10.28515625" customWidth="1"/>
    <col min="2" max="2" width="54.7109375" bestFit="1" customWidth="1"/>
    <col min="5" max="5" width="10.28515625" customWidth="1"/>
    <col min="6" max="6" width="42.5703125" customWidth="1"/>
  </cols>
  <sheetData>
    <row r="1" spans="1:2" x14ac:dyDescent="0.25">
      <c r="A1" t="s">
        <v>128</v>
      </c>
      <c r="B1" t="s">
        <v>141</v>
      </c>
    </row>
    <row r="2" spans="1:2" x14ac:dyDescent="0.25">
      <c r="A2" t="s">
        <v>107</v>
      </c>
      <c r="B2" t="s">
        <v>3</v>
      </c>
    </row>
    <row r="3" spans="1:2" x14ac:dyDescent="0.25">
      <c r="A3" t="s">
        <v>108</v>
      </c>
      <c r="B3" t="s">
        <v>4</v>
      </c>
    </row>
    <row r="4" spans="1:2" x14ac:dyDescent="0.25">
      <c r="A4" t="s">
        <v>109</v>
      </c>
      <c r="B4" t="s">
        <v>72</v>
      </c>
    </row>
    <row r="5" spans="1:2" x14ac:dyDescent="0.25">
      <c r="A5" t="s">
        <v>110</v>
      </c>
      <c r="B5" t="s">
        <v>5</v>
      </c>
    </row>
    <row r="6" spans="1:2" x14ac:dyDescent="0.25">
      <c r="A6" t="s">
        <v>111</v>
      </c>
      <c r="B6" t="s">
        <v>95</v>
      </c>
    </row>
    <row r="7" spans="1:2" x14ac:dyDescent="0.25">
      <c r="A7" t="s">
        <v>112</v>
      </c>
      <c r="B7" t="s">
        <v>96</v>
      </c>
    </row>
    <row r="8" spans="1:2" x14ac:dyDescent="0.25">
      <c r="A8" t="s">
        <v>113</v>
      </c>
      <c r="B8" t="s">
        <v>97</v>
      </c>
    </row>
    <row r="9" spans="1:2" x14ac:dyDescent="0.25">
      <c r="A9" t="s">
        <v>114</v>
      </c>
      <c r="B9" t="s">
        <v>98</v>
      </c>
    </row>
    <row r="10" spans="1:2" x14ac:dyDescent="0.25">
      <c r="A10" t="s">
        <v>115</v>
      </c>
      <c r="B10" t="s">
        <v>99</v>
      </c>
    </row>
    <row r="11" spans="1:2" x14ac:dyDescent="0.25">
      <c r="A11" t="s">
        <v>116</v>
      </c>
      <c r="B11" t="s">
        <v>100</v>
      </c>
    </row>
    <row r="12" spans="1:2" x14ac:dyDescent="0.25">
      <c r="A12" t="s">
        <v>117</v>
      </c>
      <c r="B12" t="s">
        <v>21</v>
      </c>
    </row>
    <row r="13" spans="1:2" x14ac:dyDescent="0.25">
      <c r="A13" t="s">
        <v>118</v>
      </c>
      <c r="B13" t="s">
        <v>73</v>
      </c>
    </row>
    <row r="14" spans="1:2" x14ac:dyDescent="0.25">
      <c r="A14" t="s">
        <v>119</v>
      </c>
      <c r="B14" t="s">
        <v>101</v>
      </c>
    </row>
    <row r="15" spans="1:2" x14ac:dyDescent="0.25">
      <c r="A15" t="s">
        <v>120</v>
      </c>
      <c r="B15" t="s">
        <v>102</v>
      </c>
    </row>
    <row r="16" spans="1:2" x14ac:dyDescent="0.25">
      <c r="A16" t="s">
        <v>121</v>
      </c>
      <c r="B16" t="s">
        <v>103</v>
      </c>
    </row>
    <row r="17" spans="1:2" x14ac:dyDescent="0.25">
      <c r="A17" t="s">
        <v>122</v>
      </c>
      <c r="B17" t="s">
        <v>104</v>
      </c>
    </row>
    <row r="18" spans="1:2" x14ac:dyDescent="0.25">
      <c r="A18" t="s">
        <v>123</v>
      </c>
      <c r="B18" t="s">
        <v>11</v>
      </c>
    </row>
    <row r="19" spans="1:2" x14ac:dyDescent="0.25">
      <c r="A19" t="s">
        <v>124</v>
      </c>
      <c r="B19" t="s">
        <v>20</v>
      </c>
    </row>
    <row r="20" spans="1:2" x14ac:dyDescent="0.25">
      <c r="A20" t="s">
        <v>125</v>
      </c>
      <c r="B20" t="s">
        <v>105</v>
      </c>
    </row>
    <row r="21" spans="1:2" x14ac:dyDescent="0.25">
      <c r="A21" t="s">
        <v>126</v>
      </c>
      <c r="B21" t="s">
        <v>89</v>
      </c>
    </row>
    <row r="22" spans="1:2" x14ac:dyDescent="0.25">
      <c r="A22" t="s">
        <v>127</v>
      </c>
      <c r="B22" t="s">
        <v>106</v>
      </c>
    </row>
    <row r="23" spans="1:2" ht="15.75" thickBot="1" x14ac:dyDescent="0.3">
      <c r="A23" s="142" t="s">
        <v>128</v>
      </c>
      <c r="B23" s="143" t="s">
        <v>129</v>
      </c>
    </row>
    <row r="24" spans="1:2" ht="15.75" thickTop="1" x14ac:dyDescent="0.25">
      <c r="A24" s="144" t="s">
        <v>130</v>
      </c>
      <c r="B24" s="145" t="s">
        <v>94</v>
      </c>
    </row>
    <row r="25" spans="1:2" x14ac:dyDescent="0.25">
      <c r="A25" s="146" t="s">
        <v>131</v>
      </c>
      <c r="B25" s="147" t="s">
        <v>132</v>
      </c>
    </row>
    <row r="26" spans="1:2" x14ac:dyDescent="0.25">
      <c r="A26" s="144" t="s">
        <v>133</v>
      </c>
      <c r="B26" s="145" t="s">
        <v>134</v>
      </c>
    </row>
    <row r="27" spans="1:2" x14ac:dyDescent="0.25">
      <c r="A27" s="146" t="s">
        <v>135</v>
      </c>
      <c r="B27" s="147" t="s">
        <v>85</v>
      </c>
    </row>
    <row r="28" spans="1:2" x14ac:dyDescent="0.25">
      <c r="A28" s="144" t="s">
        <v>136</v>
      </c>
      <c r="B28" s="145" t="s">
        <v>137</v>
      </c>
    </row>
    <row r="29" spans="1:2" x14ac:dyDescent="0.25">
      <c r="A29" s="146" t="s">
        <v>138</v>
      </c>
      <c r="B29" s="147" t="s">
        <v>92</v>
      </c>
    </row>
    <row r="30" spans="1:2" x14ac:dyDescent="0.25">
      <c r="A30" s="144" t="s">
        <v>139</v>
      </c>
      <c r="B30" s="145" t="s">
        <v>87</v>
      </c>
    </row>
    <row r="31" spans="1:2" x14ac:dyDescent="0.25">
      <c r="A31" s="146" t="s">
        <v>140</v>
      </c>
      <c r="B31" s="147" t="s">
        <v>89</v>
      </c>
    </row>
  </sheetData>
  <pageMargins left="0.511811024" right="0.511811024" top="0.78740157499999996" bottom="0.78740157499999996" header="0.31496062000000002" footer="0.31496062000000002"/>
  <ignoredErrors>
    <ignoredError sqref="A2:A22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54C6-623B-4891-B3E0-3366959FF1C5}">
  <dimension ref="A1:M989"/>
  <sheetViews>
    <sheetView showGridLines="0" zoomScale="82" zoomScaleNormal="82" workbookViewId="0">
      <selection activeCell="B6" sqref="B6:B7"/>
    </sheetView>
  </sheetViews>
  <sheetFormatPr defaultColWidth="14.42578125" defaultRowHeight="15" customHeight="1" x14ac:dyDescent="0.25"/>
  <cols>
    <col min="1" max="1" width="56.5703125" bestFit="1" customWidth="1"/>
    <col min="2" max="2" width="23.28515625" bestFit="1" customWidth="1"/>
    <col min="3" max="3" width="20.28515625" style="11" bestFit="1" customWidth="1"/>
    <col min="4" max="4" width="18.85546875" style="11" bestFit="1" customWidth="1"/>
    <col min="5" max="5" width="2.5703125" customWidth="1"/>
    <col min="6" max="6" width="20.140625" bestFit="1" customWidth="1"/>
    <col min="7" max="7" width="12.140625" bestFit="1" customWidth="1"/>
    <col min="8" max="8" width="11.28515625" customWidth="1"/>
    <col min="9" max="13" width="6.5703125" bestFit="1" customWidth="1"/>
  </cols>
  <sheetData>
    <row r="1" spans="1:13" ht="22.5" customHeight="1" thickBot="1" x14ac:dyDescent="0.3">
      <c r="A1" s="21" t="s">
        <v>0</v>
      </c>
      <c r="B1" s="22" t="s">
        <v>15</v>
      </c>
      <c r="C1" s="22" t="s">
        <v>16</v>
      </c>
      <c r="D1" s="22" t="s">
        <v>2</v>
      </c>
      <c r="E1" s="4"/>
      <c r="F1" s="4"/>
      <c r="G1" s="4"/>
      <c r="H1" s="4"/>
      <c r="I1" s="4"/>
      <c r="J1" s="4"/>
      <c r="K1" s="4"/>
      <c r="L1" s="4"/>
      <c r="M1" s="4"/>
    </row>
    <row r="2" spans="1:13" ht="22.5" customHeight="1" thickBot="1" x14ac:dyDescent="0.3">
      <c r="A2" s="19" t="s">
        <v>17</v>
      </c>
      <c r="B2" s="67">
        <f ca="1">'[2]EAP Análise'!$B2</f>
        <v>243899.46582717574</v>
      </c>
      <c r="C2" s="20">
        <f ca="1">B2/B$27</f>
        <v>0.15212845699990071</v>
      </c>
      <c r="D2" s="70">
        <f ca="1">B2/ORÇAMENTO_EXECUTIVO!G$2</f>
        <v>740.05360265550792</v>
      </c>
      <c r="E2" s="4"/>
      <c r="F2" s="14" t="s">
        <v>23</v>
      </c>
      <c r="G2" s="26">
        <v>329.57</v>
      </c>
      <c r="H2" s="15" t="s">
        <v>30</v>
      </c>
      <c r="I2" s="4"/>
      <c r="J2" s="4"/>
      <c r="K2" s="4"/>
      <c r="L2" s="4"/>
      <c r="M2" s="4"/>
    </row>
    <row r="3" spans="1:13" ht="19.5" customHeight="1" x14ac:dyDescent="0.25">
      <c r="A3" s="2" t="s">
        <v>3</v>
      </c>
      <c r="B3" s="68">
        <f ca="1">'[2]EAP Análise'!$B3</f>
        <v>10084.167840185286</v>
      </c>
      <c r="C3" s="5">
        <f ca="1">B3/B$27</f>
        <v>6.2898411378335944E-3</v>
      </c>
      <c r="D3" s="71">
        <f ca="1">B3/ORÇAMENTO_EXECUTIVO!G$2</f>
        <v>30.597954426025687</v>
      </c>
      <c r="E3" s="4"/>
      <c r="F3" s="4"/>
      <c r="G3" s="4"/>
      <c r="H3" s="4"/>
      <c r="I3" s="4"/>
      <c r="J3" s="4"/>
      <c r="K3" s="4"/>
      <c r="L3" s="4"/>
      <c r="M3" s="4"/>
    </row>
    <row r="4" spans="1:13" ht="19.5" customHeight="1" x14ac:dyDescent="0.25">
      <c r="A4" s="19" t="s">
        <v>4</v>
      </c>
      <c r="B4" s="67">
        <f ca="1">'[2]EAP Análise'!$B4</f>
        <v>102925.63074964285</v>
      </c>
      <c r="C4" s="20">
        <f t="shared" ref="C4:C26" ca="1" si="0">B4/B$27</f>
        <v>6.4198243889470902E-2</v>
      </c>
      <c r="D4" s="70">
        <f ca="1">B4/ORÇAMENTO_EXECUTIVO!G$2</f>
        <v>312.30279075657023</v>
      </c>
      <c r="E4" s="4"/>
      <c r="F4" s="4"/>
      <c r="G4" s="13"/>
      <c r="H4" s="4"/>
      <c r="I4" s="4"/>
      <c r="J4" s="4"/>
      <c r="K4" s="4"/>
      <c r="L4" s="4"/>
      <c r="M4" s="4"/>
    </row>
    <row r="5" spans="1:13" ht="19.5" customHeight="1" x14ac:dyDescent="0.25">
      <c r="A5" s="2" t="s">
        <v>5</v>
      </c>
      <c r="B5" s="68">
        <f ca="1">'[2]EAP Análise'!$B5</f>
        <v>190194.42273595065</v>
      </c>
      <c r="C5" s="5">
        <f t="shared" ca="1" si="0"/>
        <v>0.11863078077140719</v>
      </c>
      <c r="D5" s="71">
        <f ca="1">B5/ORÇAMENTO_EXECUTIVO!G$2</f>
        <v>577.09871267394078</v>
      </c>
      <c r="E5" s="4"/>
      <c r="F5" s="6"/>
      <c r="G5" s="4"/>
      <c r="H5" s="4"/>
      <c r="I5" s="29"/>
      <c r="J5" s="4"/>
      <c r="K5" s="4"/>
      <c r="L5" s="4"/>
      <c r="M5" s="4"/>
    </row>
    <row r="6" spans="1:13" ht="19.5" customHeight="1" x14ac:dyDescent="0.25">
      <c r="A6" s="19" t="s">
        <v>6</v>
      </c>
      <c r="B6" s="67">
        <f ca="1">'[2]EAP Análise'!$B6</f>
        <v>60429.042308205993</v>
      </c>
      <c r="C6" s="20">
        <f t="shared" ca="1" si="0"/>
        <v>3.7691665019238423E-2</v>
      </c>
      <c r="D6" s="70">
        <f ca="1">B6/ORÇAMENTO_EXECUTIVO!G$2</f>
        <v>183.35723005190397</v>
      </c>
      <c r="E6" s="4"/>
      <c r="F6" s="4"/>
      <c r="G6" s="4"/>
      <c r="H6" s="4"/>
      <c r="I6" s="29"/>
      <c r="J6" s="4"/>
      <c r="K6" s="4"/>
      <c r="L6" s="4"/>
      <c r="M6" s="4"/>
    </row>
    <row r="7" spans="1:13" ht="19.5" customHeight="1" x14ac:dyDescent="0.25">
      <c r="A7" s="2" t="s">
        <v>7</v>
      </c>
      <c r="B7" s="68">
        <f ca="1">'[2]EAP Análise'!$B7</f>
        <v>127201.76085779698</v>
      </c>
      <c r="C7" s="5">
        <f t="shared" ca="1" si="0"/>
        <v>7.9340098352978422E-2</v>
      </c>
      <c r="D7" s="71">
        <f ca="1">B7/ORÇAMENTO_EXECUTIVO!G$2</f>
        <v>385.9628026149133</v>
      </c>
      <c r="E7" s="4"/>
      <c r="F7" s="8"/>
      <c r="G7" s="4"/>
      <c r="H7" s="4"/>
      <c r="I7" s="29"/>
      <c r="J7" s="4"/>
      <c r="K7" s="4"/>
      <c r="L7" s="4"/>
      <c r="M7" s="4"/>
    </row>
    <row r="8" spans="1:13" ht="19.5" customHeight="1" x14ac:dyDescent="0.25">
      <c r="A8" s="19" t="s">
        <v>73</v>
      </c>
      <c r="B8" s="67">
        <f ca="1">'[2]EAP Análise'!$B8</f>
        <v>11221.223</v>
      </c>
      <c r="C8" s="20">
        <f t="shared" ca="1" si="0"/>
        <v>6.9990614159499819E-3</v>
      </c>
      <c r="D8" s="70">
        <f ca="1">B8/ORÇAMENTO_EXECUTIVO!G$2</f>
        <v>34.048071729829779</v>
      </c>
      <c r="E8" s="10"/>
      <c r="F8" s="9"/>
      <c r="G8" s="4"/>
      <c r="H8" s="4"/>
      <c r="I8" s="4"/>
      <c r="J8" s="4"/>
      <c r="K8" s="4"/>
      <c r="L8" s="4"/>
      <c r="M8" s="4"/>
    </row>
    <row r="9" spans="1:13" ht="19.5" customHeight="1" x14ac:dyDescent="0.25">
      <c r="A9" s="2" t="s">
        <v>21</v>
      </c>
      <c r="B9" s="68">
        <f>'[2]EAP Análise'!$B9</f>
        <v>0</v>
      </c>
      <c r="C9" s="5">
        <f t="shared" ca="1" si="0"/>
        <v>0</v>
      </c>
      <c r="D9" s="71">
        <f>B9/ORÇAMENTO_EXECUTIVO!G$2</f>
        <v>0</v>
      </c>
      <c r="E9" s="10"/>
      <c r="F9" s="9"/>
      <c r="G9" s="4"/>
      <c r="H9" s="4"/>
      <c r="I9" s="4"/>
      <c r="J9" s="4"/>
      <c r="K9" s="4"/>
      <c r="L9" s="4"/>
      <c r="M9" s="4"/>
    </row>
    <row r="10" spans="1:13" ht="19.5" customHeight="1" x14ac:dyDescent="0.25">
      <c r="A10" s="19" t="s">
        <v>143</v>
      </c>
      <c r="B10" s="67">
        <f ca="1">'[2]EAP Análise'!$B10</f>
        <v>10955.697999999999</v>
      </c>
      <c r="C10" s="20">
        <f t="shared" ca="1" si="0"/>
        <v>6.8334443720261488E-3</v>
      </c>
      <c r="D10" s="70">
        <f ca="1">B10/ORÇAMENTO_EXECUTIVO!G$2</f>
        <v>33.242400703947567</v>
      </c>
      <c r="E10" s="10"/>
      <c r="F10" s="9"/>
      <c r="G10" s="4"/>
      <c r="H10" s="4"/>
      <c r="I10" s="4"/>
      <c r="J10" s="4"/>
      <c r="K10" s="4"/>
      <c r="L10" s="4"/>
      <c r="M10" s="4"/>
    </row>
    <row r="11" spans="1:13" ht="19.5" customHeight="1" x14ac:dyDescent="0.25">
      <c r="A11" s="2" t="s">
        <v>144</v>
      </c>
      <c r="B11" s="68">
        <f>'[2]EAP Análise'!$B11</f>
        <v>26511.959507799998</v>
      </c>
      <c r="C11" s="5">
        <f t="shared" ca="1" si="0"/>
        <v>1.6536417897788078E-2</v>
      </c>
      <c r="D11" s="71">
        <f>B11/ORÇAMENTO_EXECUTIVO!G$2</f>
        <v>80.444092325757808</v>
      </c>
      <c r="E11" s="10"/>
      <c r="F11" s="9"/>
      <c r="G11" s="4"/>
      <c r="H11" s="4"/>
      <c r="I11" s="4"/>
      <c r="J11" s="4"/>
      <c r="K11" s="4"/>
      <c r="L11" s="4"/>
      <c r="M11" s="4"/>
    </row>
    <row r="12" spans="1:13" ht="19.5" customHeight="1" x14ac:dyDescent="0.25">
      <c r="A12" s="19" t="s">
        <v>145</v>
      </c>
      <c r="B12" s="67">
        <f>'[2]EAP Análise'!$B12</f>
        <v>33446.834324250005</v>
      </c>
      <c r="C12" s="20">
        <f t="shared" ca="1" si="0"/>
        <v>2.0861937028123379E-2</v>
      </c>
      <c r="D12" s="70">
        <f>B12/ORÇAMENTO_EXECUTIVO!G$2</f>
        <v>101.4862831090512</v>
      </c>
      <c r="E12" s="4"/>
      <c r="F12" s="8"/>
      <c r="G12" s="12"/>
      <c r="H12" s="4"/>
      <c r="I12" s="4"/>
      <c r="J12" s="4"/>
      <c r="K12" s="4"/>
      <c r="L12" s="4"/>
      <c r="M12" s="4"/>
    </row>
    <row r="13" spans="1:13" ht="19.5" customHeight="1" x14ac:dyDescent="0.25">
      <c r="A13" s="2" t="s">
        <v>74</v>
      </c>
      <c r="B13" s="68">
        <f ca="1">'[2]EAP Análise'!$B13</f>
        <v>380.67219999999998</v>
      </c>
      <c r="C13" s="5">
        <f t="shared" ca="1" si="0"/>
        <v>2.3743829947455767E-4</v>
      </c>
      <c r="D13" s="71">
        <f ca="1">B13/ORÇAMENTO_EXECUTIVO!G$2</f>
        <v>1.1550571957399034</v>
      </c>
      <c r="E13" s="4"/>
      <c r="F13" s="8"/>
      <c r="G13" s="12"/>
      <c r="H13" s="4"/>
      <c r="I13" s="4"/>
      <c r="J13" s="4"/>
      <c r="K13" s="4"/>
      <c r="L13" s="4"/>
      <c r="M13" s="4"/>
    </row>
    <row r="14" spans="1:13" ht="19.5" customHeight="1" x14ac:dyDescent="0.25">
      <c r="A14" s="19" t="s">
        <v>8</v>
      </c>
      <c r="B14" s="67">
        <f ca="1">'[2]EAP Análise'!$B14</f>
        <v>90264.650210655294</v>
      </c>
      <c r="C14" s="20">
        <f t="shared" ca="1" si="0"/>
        <v>5.6301156345758288E-2</v>
      </c>
      <c r="D14" s="70">
        <f ca="1">B14/ORÇAMENTO_EXECUTIVO!G$2</f>
        <v>273.88612498302422</v>
      </c>
      <c r="E14" s="4"/>
      <c r="F14" s="8"/>
      <c r="G14" s="12"/>
      <c r="H14" s="4"/>
      <c r="I14" s="4"/>
      <c r="J14" s="4"/>
      <c r="K14" s="4"/>
      <c r="L14" s="4"/>
      <c r="M14" s="4"/>
    </row>
    <row r="15" spans="1:13" ht="19.5" customHeight="1" x14ac:dyDescent="0.25">
      <c r="A15" s="2" t="s">
        <v>75</v>
      </c>
      <c r="B15" s="68">
        <f ca="1">'[2]EAP Análise'!$B15</f>
        <v>28197.116854000004</v>
      </c>
      <c r="C15" s="5">
        <f t="shared" ca="1" si="0"/>
        <v>1.7587508296899933E-2</v>
      </c>
      <c r="D15" s="71">
        <f ca="1">B15/ORÇAMENTO_EXECUTIVO!G$2</f>
        <v>85.557292393118317</v>
      </c>
      <c r="E15" s="4"/>
      <c r="F15" s="8"/>
      <c r="G15" s="12"/>
      <c r="H15" s="4"/>
      <c r="I15" s="4"/>
      <c r="J15" s="4"/>
      <c r="K15" s="4"/>
      <c r="L15" s="4"/>
      <c r="M15" s="4"/>
    </row>
    <row r="16" spans="1:13" ht="19.5" customHeight="1" x14ac:dyDescent="0.25">
      <c r="A16" s="19" t="s">
        <v>76</v>
      </c>
      <c r="B16" s="67">
        <f ca="1">'[2]EAP Análise'!$B16</f>
        <v>122733.17982400004</v>
      </c>
      <c r="C16" s="20">
        <f t="shared" ca="1" si="0"/>
        <v>7.6552891192253239E-2</v>
      </c>
      <c r="D16" s="70">
        <f ca="1">B16/ORÇAMENTO_EXECUTIVO!G$2</f>
        <v>372.40398041083847</v>
      </c>
      <c r="E16" s="4"/>
      <c r="F16" s="8"/>
      <c r="G16" s="12"/>
      <c r="H16" s="4"/>
      <c r="I16" s="4"/>
      <c r="J16" s="4"/>
      <c r="K16" s="4"/>
      <c r="L16" s="4"/>
      <c r="M16" s="4"/>
    </row>
    <row r="17" spans="1:13" ht="19.5" customHeight="1" x14ac:dyDescent="0.25">
      <c r="A17" s="2" t="s">
        <v>77</v>
      </c>
      <c r="B17" s="68">
        <f ca="1">'[2]EAP Análise'!$B17</f>
        <v>50092.53</v>
      </c>
      <c r="C17" s="5">
        <f t="shared" ca="1" si="0"/>
        <v>3.1244427987066736E-2</v>
      </c>
      <c r="D17" s="71">
        <f ca="1">B17/ORÇAMENTO_EXECUTIVO!G$2</f>
        <v>151.99359771823893</v>
      </c>
      <c r="E17" s="4"/>
      <c r="F17" s="8"/>
      <c r="G17" s="12"/>
      <c r="H17" s="4"/>
      <c r="I17" s="4"/>
      <c r="J17" s="4"/>
      <c r="K17" s="4"/>
      <c r="L17" s="4"/>
      <c r="M17" s="4"/>
    </row>
    <row r="18" spans="1:13" ht="19.5" customHeight="1" x14ac:dyDescent="0.25">
      <c r="A18" s="19" t="s">
        <v>10</v>
      </c>
      <c r="B18" s="67">
        <f ca="1">'[2]EAP Análise'!$B18</f>
        <v>41028.63363603333</v>
      </c>
      <c r="C18" s="20">
        <f t="shared" ca="1" si="0"/>
        <v>2.5590965140886025E-2</v>
      </c>
      <c r="D18" s="70">
        <f ca="1">B18/ORÇAMENTO_EXECUTIVO!G$2</f>
        <v>124.4914089147475</v>
      </c>
      <c r="E18" s="4"/>
      <c r="F18" s="8"/>
      <c r="G18" s="12"/>
      <c r="H18" s="4"/>
      <c r="I18" s="4"/>
      <c r="J18" s="4"/>
      <c r="K18" s="4"/>
      <c r="L18" s="4"/>
      <c r="M18" s="4"/>
    </row>
    <row r="19" spans="1:13" ht="21.75" x14ac:dyDescent="0.25">
      <c r="A19" s="2" t="s">
        <v>146</v>
      </c>
      <c r="B19" s="68">
        <f ca="1">'[2]EAP Análise'!$B19</f>
        <v>49075.814340671212</v>
      </c>
      <c r="C19" s="5">
        <f t="shared" ca="1" si="0"/>
        <v>3.0610267580291086E-2</v>
      </c>
      <c r="D19" s="71">
        <f ca="1">B19/ORÇAMENTO_EXECUTIVO!G$2</f>
        <v>148.9086213571357</v>
      </c>
      <c r="E19" s="4"/>
      <c r="F19" s="7"/>
      <c r="G19" s="4"/>
      <c r="H19" s="4"/>
      <c r="I19" s="4"/>
      <c r="J19" s="4"/>
      <c r="K19" s="4"/>
      <c r="L19" s="4"/>
      <c r="M19" s="4"/>
    </row>
    <row r="20" spans="1:13" ht="19.5" customHeight="1" x14ac:dyDescent="0.25">
      <c r="A20" s="19" t="s">
        <v>147</v>
      </c>
      <c r="B20" s="67">
        <f ca="1">'[2]EAP Análise'!$B20</f>
        <v>48409.091874559992</v>
      </c>
      <c r="C20" s="20">
        <f t="shared" ca="1" si="0"/>
        <v>3.0194409924872774E-2</v>
      </c>
      <c r="D20" s="70">
        <f ca="1">B20/ORÇAMENTO_EXECUTIVO!G$2</f>
        <v>146.88561420808929</v>
      </c>
      <c r="E20" s="4"/>
      <c r="F20" s="4"/>
      <c r="G20" s="13"/>
      <c r="H20" s="4"/>
      <c r="I20" s="4"/>
      <c r="J20" s="4"/>
      <c r="K20" s="4"/>
      <c r="L20" s="4"/>
      <c r="M20" s="4"/>
    </row>
    <row r="21" spans="1:13" ht="19.5" customHeight="1" x14ac:dyDescent="0.25">
      <c r="A21" s="2" t="s">
        <v>148</v>
      </c>
      <c r="B21" s="68">
        <f ca="1">'[2]EAP Análise'!$B21</f>
        <v>100308.05190661384</v>
      </c>
      <c r="C21" s="5">
        <f t="shared" ca="1" si="0"/>
        <v>6.2565570242092944E-2</v>
      </c>
      <c r="D21" s="71">
        <f ca="1">B21/ORÇAMENTO_EXECUTIVO!G$2</f>
        <v>304.36038446039942</v>
      </c>
      <c r="E21" s="4"/>
      <c r="F21" s="4"/>
      <c r="G21" s="7"/>
      <c r="H21" s="4"/>
      <c r="I21" s="4"/>
      <c r="J21" s="4"/>
      <c r="K21" s="4"/>
      <c r="L21" s="4"/>
      <c r="M21" s="4"/>
    </row>
    <row r="22" spans="1:13" ht="19.5" customHeight="1" x14ac:dyDescent="0.25">
      <c r="A22" s="19" t="s">
        <v>11</v>
      </c>
      <c r="B22" s="67">
        <f ca="1">'[2]EAP Análise'!$B22</f>
        <v>137257.00257303804</v>
      </c>
      <c r="C22" s="20">
        <f t="shared" ca="1" si="0"/>
        <v>8.5611897275180968E-2</v>
      </c>
      <c r="D22" s="70">
        <f ca="1">B22/ORÇAMENTO_EXECUTIVO!G$2</f>
        <v>416.47298775082089</v>
      </c>
      <c r="E22" s="4"/>
      <c r="F22" s="4"/>
      <c r="G22" s="4"/>
      <c r="H22" s="4"/>
      <c r="I22" s="4"/>
      <c r="J22" s="4"/>
      <c r="K22" s="4"/>
      <c r="L22" s="4"/>
      <c r="M22" s="4"/>
    </row>
    <row r="23" spans="1:13" ht="19.5" customHeight="1" x14ac:dyDescent="0.25">
      <c r="A23" s="2" t="s">
        <v>78</v>
      </c>
      <c r="B23" s="68">
        <f ca="1">'[2]EAP Análise'!$B23</f>
        <v>68854.816000000006</v>
      </c>
      <c r="C23" s="5">
        <f t="shared" ca="1" si="0"/>
        <v>4.2947108881797959E-2</v>
      </c>
      <c r="D23" s="71">
        <f ca="1">B23/ORÇAMENTO_EXECUTIVO!G$2</f>
        <v>208.92319082440758</v>
      </c>
      <c r="E23" s="4"/>
      <c r="F23" s="27"/>
      <c r="G23" s="4"/>
      <c r="H23" s="4"/>
      <c r="I23" s="4"/>
      <c r="J23" s="4"/>
      <c r="K23" s="4"/>
      <c r="L23" s="4"/>
      <c r="M23" s="4"/>
    </row>
    <row r="24" spans="1:13" ht="19.5" customHeight="1" x14ac:dyDescent="0.25">
      <c r="A24" s="19" t="s">
        <v>20</v>
      </c>
      <c r="B24" s="67">
        <f>'[2]EAP Análise'!$B24</f>
        <v>0</v>
      </c>
      <c r="C24" s="20">
        <f t="shared" ca="1" si="0"/>
        <v>0</v>
      </c>
      <c r="D24" s="70">
        <f>B24/ORÇAMENTO_EXECUTIVO!G$2</f>
        <v>0</v>
      </c>
      <c r="E24" s="4"/>
      <c r="F24" s="4"/>
      <c r="G24" s="4"/>
      <c r="H24" s="4"/>
      <c r="I24" s="4"/>
      <c r="J24" s="4"/>
      <c r="K24" s="4"/>
      <c r="L24" s="4"/>
      <c r="M24" s="4"/>
    </row>
    <row r="25" spans="1:13" ht="19.5" customHeight="1" x14ac:dyDescent="0.25">
      <c r="A25" s="2" t="s">
        <v>13</v>
      </c>
      <c r="B25" s="68">
        <f ca="1">'[2]EAP Análise'!$B25</f>
        <v>23121.191607979999</v>
      </c>
      <c r="C25" s="5">
        <f t="shared" ca="1" si="0"/>
        <v>1.442147973302013E-2</v>
      </c>
      <c r="D25" s="71">
        <f ca="1">B25/ORÇAMENTO_EXECUTIVO!G$2</f>
        <v>70.155631908183395</v>
      </c>
      <c r="E25" s="4"/>
      <c r="F25" s="4"/>
      <c r="G25" s="13"/>
      <c r="H25" s="4"/>
      <c r="I25" s="4"/>
      <c r="J25" s="4"/>
      <c r="K25" s="4"/>
      <c r="L25" s="4"/>
      <c r="M25" s="4"/>
    </row>
    <row r="26" spans="1:13" ht="19.5" customHeight="1" x14ac:dyDescent="0.25">
      <c r="A26" s="19" t="s">
        <v>40</v>
      </c>
      <c r="B26" s="67">
        <f ca="1">'[2]EAP Análise'!$B26</f>
        <v>26653.869807027662</v>
      </c>
      <c r="C26" s="20">
        <f t="shared" ca="1" si="0"/>
        <v>1.6624932215688209E-2</v>
      </c>
      <c r="D26" s="70">
        <f ca="1">B26/ORÇAMENTO_EXECUTIVO!G$2</f>
        <v>80.874684610333659</v>
      </c>
      <c r="E26" s="4"/>
      <c r="F26" s="4"/>
      <c r="G26" s="13"/>
      <c r="H26" s="4"/>
      <c r="I26" s="4"/>
      <c r="J26" s="4"/>
      <c r="K26" s="4"/>
      <c r="L26" s="4"/>
      <c r="M26" s="4"/>
    </row>
    <row r="27" spans="1:13" ht="19.5" customHeight="1" x14ac:dyDescent="0.25">
      <c r="A27" s="21" t="s">
        <v>14</v>
      </c>
      <c r="B27" s="69">
        <f ca="1">SUM(B2:B26)</f>
        <v>1603246.8259855874</v>
      </c>
      <c r="C27" s="23">
        <f ca="1">SUM(C2:C26)</f>
        <v>0.99999999999999956</v>
      </c>
      <c r="D27" s="72">
        <f ca="1">SUM(D2:D26)</f>
        <v>4864.6625177825263</v>
      </c>
      <c r="E27" s="7"/>
      <c r="F27" s="27"/>
      <c r="G27" s="4"/>
      <c r="H27" s="4"/>
      <c r="I27" s="4"/>
      <c r="J27" s="4"/>
      <c r="K27" s="4"/>
      <c r="L27" s="4"/>
      <c r="M27" s="4"/>
    </row>
    <row r="28" spans="1:13" ht="19.5" customHeight="1" x14ac:dyDescent="0.25">
      <c r="A28" s="21" t="s">
        <v>142</v>
      </c>
      <c r="B28" s="24">
        <v>2978.02</v>
      </c>
      <c r="C28" s="25">
        <v>45875</v>
      </c>
      <c r="D28" s="24">
        <f ca="1">+D27/B28</f>
        <v>1.6335224470562744</v>
      </c>
      <c r="E28" s="7"/>
      <c r="F28" s="4"/>
      <c r="G28" s="4"/>
      <c r="H28" s="4"/>
      <c r="I28" s="4"/>
      <c r="J28" s="4"/>
      <c r="K28" s="4"/>
      <c r="L28" s="4"/>
      <c r="M28" s="4"/>
    </row>
    <row r="29" spans="1:13" ht="19.5" x14ac:dyDescent="0.25">
      <c r="B29" s="28"/>
      <c r="C29" s="8"/>
      <c r="D29" s="8"/>
      <c r="E29" s="4"/>
      <c r="F29" s="7"/>
      <c r="G29" s="4"/>
      <c r="H29" s="4"/>
      <c r="I29" s="4"/>
      <c r="J29" s="4"/>
      <c r="K29" s="4"/>
      <c r="L29" s="4"/>
      <c r="M29" s="4"/>
    </row>
    <row r="30" spans="1:13" ht="22.5" customHeight="1" x14ac:dyDescent="0.25">
      <c r="A30" s="4"/>
      <c r="B30" s="7">
        <f ca="1">SUM(B3:B25)</f>
        <v>1332693.4903513833</v>
      </c>
      <c r="C30" s="8"/>
      <c r="D30" s="8"/>
      <c r="E30" s="4"/>
      <c r="F30" s="27"/>
      <c r="G30" s="27"/>
      <c r="H30" s="4"/>
      <c r="I30" s="4"/>
      <c r="J30" s="4"/>
      <c r="K30" s="4"/>
      <c r="L30" s="4"/>
      <c r="M30" s="4"/>
    </row>
    <row r="31" spans="1:13" x14ac:dyDescent="0.25">
      <c r="C31"/>
      <c r="D31"/>
    </row>
    <row r="32" spans="1:13" ht="19.5" x14ac:dyDescent="0.25">
      <c r="C32" s="8"/>
      <c r="D32" s="8"/>
      <c r="E32" s="4"/>
      <c r="F32" s="4"/>
      <c r="G32" s="4"/>
      <c r="H32" s="4"/>
      <c r="I32" s="4"/>
      <c r="J32" s="4"/>
      <c r="K32" s="4"/>
      <c r="L32" s="4"/>
      <c r="M32" s="4"/>
    </row>
    <row r="33" spans="1:13" ht="19.5" x14ac:dyDescent="0.25">
      <c r="C33" s="8"/>
      <c r="D33" s="8"/>
      <c r="E33" s="4"/>
      <c r="F33" s="4"/>
      <c r="G33" s="4"/>
      <c r="H33" s="4"/>
      <c r="I33" s="4"/>
      <c r="J33" s="4"/>
      <c r="K33" s="4"/>
      <c r="L33" s="4"/>
      <c r="M33" s="4"/>
    </row>
    <row r="34" spans="1:13" ht="19.5" x14ac:dyDescent="0.25">
      <c r="C34" s="8"/>
      <c r="D34" s="8"/>
      <c r="E34" s="4"/>
      <c r="F34" s="4"/>
      <c r="G34" s="4"/>
      <c r="H34" s="4"/>
      <c r="I34" s="4"/>
      <c r="J34" s="4"/>
      <c r="K34" s="4"/>
      <c r="L34" s="4"/>
      <c r="M34" s="4"/>
    </row>
    <row r="35" spans="1:13" ht="19.5" x14ac:dyDescent="0.25">
      <c r="C35" s="8"/>
      <c r="D35" s="8"/>
      <c r="E35" s="4"/>
      <c r="F35" s="4"/>
      <c r="G35" s="4"/>
      <c r="H35" s="4"/>
      <c r="I35" s="4"/>
      <c r="J35" s="4"/>
      <c r="K35" s="4"/>
      <c r="L35" s="4"/>
      <c r="M35" s="4"/>
    </row>
    <row r="36" spans="1:13" ht="19.5" x14ac:dyDescent="0.25">
      <c r="C36" s="8"/>
      <c r="D36" s="8"/>
      <c r="E36" s="4"/>
      <c r="F36" s="4"/>
      <c r="G36" s="4"/>
      <c r="H36" s="4"/>
      <c r="I36" s="4"/>
      <c r="J36" s="4"/>
      <c r="K36" s="4"/>
      <c r="L36" s="4"/>
      <c r="M36" s="4"/>
    </row>
    <row r="37" spans="1:13" ht="19.5" x14ac:dyDescent="0.25">
      <c r="C37" s="8"/>
      <c r="D37" s="8"/>
      <c r="E37" s="4"/>
      <c r="F37" s="4"/>
      <c r="G37" s="4"/>
      <c r="H37" s="4"/>
      <c r="I37" s="4"/>
      <c r="J37" s="4"/>
      <c r="K37" s="4"/>
      <c r="L37" s="4"/>
      <c r="M37" s="4"/>
    </row>
    <row r="38" spans="1:13" ht="19.5" x14ac:dyDescent="0.25">
      <c r="C38" s="8"/>
      <c r="D38" s="8"/>
      <c r="E38" s="4"/>
      <c r="F38" s="4"/>
      <c r="G38" s="4"/>
      <c r="H38" s="4"/>
      <c r="I38" s="4"/>
      <c r="J38" s="4"/>
      <c r="K38" s="4"/>
      <c r="L38" s="4"/>
      <c r="M38" s="4"/>
    </row>
    <row r="39" spans="1:13" ht="19.5" x14ac:dyDescent="0.25">
      <c r="C39" s="8"/>
      <c r="D39" s="8"/>
      <c r="E39" s="4"/>
      <c r="F39" s="4"/>
      <c r="G39" s="4"/>
      <c r="H39" s="4"/>
      <c r="I39" s="4"/>
      <c r="J39" s="4"/>
      <c r="K39" s="4"/>
      <c r="L39" s="4"/>
      <c r="M39" s="4"/>
    </row>
    <row r="40" spans="1:13" ht="19.5" x14ac:dyDescent="0.25">
      <c r="C40" s="8"/>
      <c r="D40" s="8"/>
      <c r="E40" s="4"/>
      <c r="F40" s="4"/>
      <c r="G40" s="4"/>
      <c r="H40" s="4"/>
      <c r="I40" s="4"/>
      <c r="J40" s="4"/>
      <c r="K40" s="4"/>
      <c r="L40" s="4"/>
      <c r="M40" s="4"/>
    </row>
    <row r="41" spans="1:13" ht="19.5" x14ac:dyDescent="0.25">
      <c r="C41" s="8"/>
      <c r="D41" s="8"/>
      <c r="E41" s="4"/>
      <c r="F41" s="4"/>
      <c r="G41" s="4"/>
      <c r="H41" s="4"/>
      <c r="I41" s="4"/>
      <c r="J41" s="4"/>
      <c r="K41" s="4"/>
      <c r="L41" s="4"/>
      <c r="M41" s="4"/>
    </row>
    <row r="42" spans="1:13" ht="19.5" x14ac:dyDescent="0.25">
      <c r="C42" s="8"/>
      <c r="D42" s="8"/>
      <c r="E42" s="4"/>
      <c r="F42" s="4"/>
      <c r="G42" s="4"/>
      <c r="H42" s="4"/>
      <c r="I42" s="4"/>
      <c r="J42" s="4"/>
      <c r="K42" s="4"/>
      <c r="L42" s="4"/>
      <c r="M42" s="4"/>
    </row>
    <row r="43" spans="1:13" ht="19.5" x14ac:dyDescent="0.25">
      <c r="C43" s="8"/>
      <c r="D43" s="8"/>
      <c r="E43" s="4"/>
      <c r="F43" s="4"/>
      <c r="G43" s="4"/>
      <c r="H43" s="4"/>
      <c r="I43" s="4"/>
      <c r="J43" s="4"/>
      <c r="K43" s="4"/>
      <c r="L43" s="4"/>
      <c r="M43" s="4"/>
    </row>
    <row r="44" spans="1:13" ht="19.5" x14ac:dyDescent="0.25">
      <c r="C44" s="8"/>
      <c r="D44" s="8"/>
      <c r="E44" s="4"/>
      <c r="F44" s="4"/>
      <c r="G44" s="4"/>
      <c r="H44" s="4"/>
      <c r="I44" s="4"/>
      <c r="J44" s="4"/>
      <c r="K44" s="4"/>
      <c r="L44" s="4"/>
      <c r="M44" s="4"/>
    </row>
    <row r="45" spans="1:13" ht="19.5" x14ac:dyDescent="0.25">
      <c r="C45" s="8"/>
      <c r="D45" s="8"/>
      <c r="E45" s="4"/>
      <c r="F45" s="4"/>
      <c r="G45" s="4"/>
      <c r="H45" s="4"/>
      <c r="I45" s="4"/>
      <c r="J45" s="4"/>
      <c r="K45" s="4"/>
      <c r="L45" s="4"/>
      <c r="M45" s="4"/>
    </row>
    <row r="46" spans="1:13" ht="19.5" x14ac:dyDescent="0.25">
      <c r="C46" s="8"/>
      <c r="D46" s="8"/>
      <c r="E46" s="4"/>
      <c r="F46" s="4"/>
      <c r="G46" s="4"/>
      <c r="H46" s="4"/>
      <c r="I46" s="4"/>
      <c r="J46" s="4"/>
      <c r="K46" s="4"/>
      <c r="L46" s="4"/>
      <c r="M46" s="4"/>
    </row>
    <row r="47" spans="1:13" ht="19.5" x14ac:dyDescent="0.25">
      <c r="C47" s="8"/>
      <c r="D47" s="8"/>
      <c r="E47" s="4"/>
      <c r="F47" s="4"/>
      <c r="G47" s="4"/>
      <c r="H47" s="4"/>
      <c r="I47" s="4"/>
      <c r="J47" s="4"/>
      <c r="K47" s="4"/>
      <c r="L47" s="4"/>
      <c r="M47" s="4"/>
    </row>
    <row r="48" spans="1:13" ht="19.5" customHeight="1" x14ac:dyDescent="0.25">
      <c r="A48" s="4"/>
      <c r="B48" s="4"/>
      <c r="C48" s="8"/>
      <c r="D48" s="8"/>
      <c r="E48" s="4"/>
      <c r="F48" s="4"/>
      <c r="G48" s="4"/>
      <c r="H48" s="4"/>
      <c r="I48" s="4"/>
      <c r="J48" s="4"/>
      <c r="K48" s="4"/>
      <c r="L48" s="4"/>
      <c r="M48" s="4"/>
    </row>
    <row r="49" spans="1:13" ht="19.5" customHeight="1" x14ac:dyDescent="0.25">
      <c r="A49" s="4"/>
      <c r="B49" s="4"/>
      <c r="C49" s="8"/>
      <c r="D49" s="8"/>
      <c r="E49" s="4"/>
      <c r="F49" s="4"/>
      <c r="G49" s="4"/>
      <c r="H49" s="4"/>
      <c r="I49" s="4"/>
      <c r="J49" s="4"/>
      <c r="K49" s="4"/>
      <c r="L49" s="4"/>
      <c r="M49" s="4"/>
    </row>
    <row r="50" spans="1:13" ht="19.5" customHeight="1" x14ac:dyDescent="0.25">
      <c r="A50" s="4"/>
      <c r="B50" s="4"/>
      <c r="C50" s="8"/>
      <c r="D50" s="8"/>
      <c r="E50" s="4"/>
      <c r="F50" s="4"/>
      <c r="G50" s="4"/>
      <c r="H50" s="4"/>
      <c r="I50" s="4"/>
      <c r="J50" s="4"/>
      <c r="K50" s="4"/>
      <c r="L50" s="4"/>
      <c r="M50" s="4"/>
    </row>
    <row r="51" spans="1:13" ht="19.5" customHeight="1" x14ac:dyDescent="0.25">
      <c r="A51" s="4"/>
      <c r="B51" s="4"/>
      <c r="C51" s="8"/>
      <c r="D51" s="8"/>
      <c r="E51" s="4"/>
      <c r="F51" s="4"/>
      <c r="G51" s="4"/>
      <c r="H51" s="4"/>
      <c r="I51" s="4"/>
      <c r="J51" s="4"/>
      <c r="K51" s="4"/>
      <c r="L51" s="4"/>
      <c r="M51" s="4"/>
    </row>
    <row r="52" spans="1:13" ht="19.5" customHeight="1" x14ac:dyDescent="0.25">
      <c r="A52" s="4"/>
      <c r="B52" s="4"/>
      <c r="C52" s="8"/>
      <c r="D52" s="8"/>
      <c r="E52" s="4"/>
      <c r="F52" s="4"/>
      <c r="G52" s="4"/>
      <c r="H52" s="4"/>
      <c r="I52" s="4"/>
      <c r="J52" s="4"/>
      <c r="K52" s="4"/>
      <c r="L52" s="4"/>
      <c r="M52" s="4"/>
    </row>
    <row r="53" spans="1:13" ht="19.5" customHeight="1" x14ac:dyDescent="0.25">
      <c r="A53" s="4"/>
      <c r="B53" s="4"/>
      <c r="C53" s="8"/>
      <c r="D53" s="8"/>
      <c r="E53" s="4"/>
      <c r="F53" s="4"/>
      <c r="G53" s="4"/>
      <c r="H53" s="4"/>
      <c r="I53" s="4"/>
      <c r="J53" s="4"/>
      <c r="K53" s="4"/>
      <c r="L53" s="4"/>
      <c r="M53" s="4"/>
    </row>
    <row r="54" spans="1:13" ht="19.5" customHeight="1" x14ac:dyDescent="0.25">
      <c r="A54" s="4"/>
      <c r="B54" s="4"/>
      <c r="C54" s="8"/>
      <c r="D54" s="8"/>
      <c r="E54" s="4"/>
      <c r="F54" s="4"/>
      <c r="G54" s="4"/>
      <c r="H54" s="4"/>
      <c r="I54" s="4"/>
      <c r="J54" s="4"/>
      <c r="K54" s="4"/>
      <c r="L54" s="4"/>
      <c r="M54" s="4"/>
    </row>
    <row r="55" spans="1:13" ht="19.5" customHeight="1" x14ac:dyDescent="0.25">
      <c r="A55" s="4"/>
      <c r="B55" s="4"/>
      <c r="C55" s="8"/>
      <c r="D55" s="8"/>
      <c r="E55" s="4"/>
      <c r="F55" s="4"/>
      <c r="G55" s="4"/>
      <c r="H55" s="4"/>
      <c r="I55" s="4"/>
      <c r="J55" s="4"/>
      <c r="K55" s="4"/>
      <c r="L55" s="4"/>
      <c r="M55" s="4"/>
    </row>
    <row r="56" spans="1:13" ht="19.5" customHeight="1" x14ac:dyDescent="0.25">
      <c r="A56" s="4"/>
      <c r="B56" s="4"/>
      <c r="C56" s="8"/>
      <c r="D56" s="8"/>
      <c r="E56" s="4"/>
      <c r="F56" s="4"/>
      <c r="G56" s="4"/>
      <c r="H56" s="4"/>
      <c r="I56" s="4"/>
      <c r="J56" s="4"/>
      <c r="K56" s="4"/>
      <c r="L56" s="4"/>
      <c r="M56" s="4"/>
    </row>
    <row r="57" spans="1:13" ht="19.5" customHeight="1" x14ac:dyDescent="0.25">
      <c r="A57" s="4"/>
      <c r="B57" s="4"/>
      <c r="C57" s="8"/>
      <c r="D57" s="8"/>
      <c r="E57" s="4"/>
      <c r="F57" s="4"/>
      <c r="G57" s="4"/>
      <c r="H57" s="4"/>
      <c r="I57" s="4"/>
      <c r="J57" s="4"/>
      <c r="K57" s="4"/>
      <c r="L57" s="4"/>
      <c r="M57" s="4"/>
    </row>
    <row r="58" spans="1:13" ht="19.5" customHeight="1" x14ac:dyDescent="0.25">
      <c r="A58" s="4"/>
      <c r="B58" s="4"/>
      <c r="C58" s="8"/>
      <c r="D58" s="8"/>
      <c r="E58" s="4"/>
      <c r="F58" s="4"/>
      <c r="G58" s="4"/>
      <c r="H58" s="4"/>
      <c r="I58" s="4"/>
      <c r="J58" s="4"/>
      <c r="K58" s="4"/>
      <c r="L58" s="4"/>
      <c r="M58" s="4"/>
    </row>
    <row r="59" spans="1:13" ht="19.5" customHeight="1" x14ac:dyDescent="0.25">
      <c r="A59" s="4"/>
      <c r="B59" s="4"/>
      <c r="C59" s="8"/>
      <c r="D59" s="8"/>
      <c r="E59" s="4"/>
      <c r="F59" s="4"/>
      <c r="G59" s="4"/>
      <c r="H59" s="4"/>
      <c r="I59" s="4"/>
      <c r="J59" s="4"/>
      <c r="K59" s="4"/>
      <c r="L59" s="4"/>
      <c r="M59" s="4"/>
    </row>
    <row r="60" spans="1:13" ht="19.5" customHeight="1" x14ac:dyDescent="0.25">
      <c r="A60" s="4"/>
      <c r="B60" s="4"/>
      <c r="C60" s="8"/>
      <c r="D60" s="8"/>
      <c r="E60" s="4"/>
      <c r="F60" s="4"/>
      <c r="G60" s="4"/>
      <c r="H60" s="4"/>
      <c r="I60" s="4"/>
      <c r="J60" s="4"/>
      <c r="K60" s="4"/>
      <c r="L60" s="4"/>
      <c r="M60" s="4"/>
    </row>
    <row r="61" spans="1:13" ht="19.5" customHeight="1" x14ac:dyDescent="0.25">
      <c r="A61" s="4"/>
      <c r="B61" s="4"/>
      <c r="C61" s="8"/>
      <c r="D61" s="8"/>
      <c r="E61" s="4"/>
      <c r="F61" s="4"/>
      <c r="G61" s="4"/>
      <c r="H61" s="4"/>
      <c r="I61" s="4"/>
      <c r="J61" s="4"/>
      <c r="K61" s="4"/>
      <c r="L61" s="4"/>
      <c r="M61" s="4"/>
    </row>
    <row r="62" spans="1:13" ht="19.5" customHeight="1" x14ac:dyDescent="0.25">
      <c r="A62" s="4"/>
      <c r="B62" s="4"/>
      <c r="C62" s="8"/>
      <c r="D62" s="8"/>
      <c r="E62" s="4"/>
      <c r="F62" s="4"/>
      <c r="G62" s="4"/>
      <c r="H62" s="4"/>
      <c r="I62" s="4"/>
      <c r="J62" s="4"/>
      <c r="K62" s="4"/>
      <c r="L62" s="4"/>
      <c r="M62" s="4"/>
    </row>
    <row r="63" spans="1:13" ht="19.5" customHeight="1" x14ac:dyDescent="0.25">
      <c r="A63" s="4"/>
      <c r="B63" s="4"/>
      <c r="C63" s="8"/>
      <c r="D63" s="8"/>
      <c r="E63" s="4"/>
      <c r="F63" s="4"/>
      <c r="G63" s="4"/>
      <c r="H63" s="4"/>
      <c r="I63" s="4"/>
      <c r="J63" s="4"/>
      <c r="K63" s="4"/>
      <c r="L63" s="4"/>
      <c r="M63" s="4"/>
    </row>
    <row r="64" spans="1:13" ht="19.5" customHeight="1" x14ac:dyDescent="0.25">
      <c r="A64" s="4"/>
      <c r="B64" s="4"/>
      <c r="C64" s="8"/>
      <c r="D64" s="8"/>
      <c r="E64" s="4"/>
      <c r="F64" s="4"/>
      <c r="G64" s="4"/>
      <c r="H64" s="4"/>
      <c r="I64" s="4"/>
      <c r="J64" s="4"/>
      <c r="K64" s="4"/>
      <c r="L64" s="4"/>
      <c r="M64" s="4"/>
    </row>
    <row r="65" spans="1:13" ht="19.5" customHeight="1" x14ac:dyDescent="0.25">
      <c r="A65" s="4"/>
      <c r="B65" s="4"/>
      <c r="C65" s="8"/>
      <c r="D65" s="8"/>
      <c r="E65" s="4"/>
      <c r="F65" s="4"/>
      <c r="G65" s="4"/>
      <c r="H65" s="4"/>
      <c r="I65" s="4"/>
      <c r="J65" s="4"/>
      <c r="K65" s="4"/>
      <c r="L65" s="4"/>
      <c r="M65" s="4"/>
    </row>
    <row r="66" spans="1:13" ht="19.5" customHeight="1" x14ac:dyDescent="0.25">
      <c r="A66" s="4"/>
      <c r="B66" s="4"/>
      <c r="C66" s="8"/>
      <c r="D66" s="8"/>
      <c r="E66" s="4"/>
      <c r="F66" s="4"/>
      <c r="G66" s="4"/>
      <c r="H66" s="4"/>
      <c r="I66" s="4"/>
      <c r="J66" s="4"/>
      <c r="K66" s="4"/>
      <c r="L66" s="4"/>
      <c r="M66" s="4"/>
    </row>
    <row r="67" spans="1:13" ht="19.5" customHeight="1" x14ac:dyDescent="0.25">
      <c r="A67" s="4"/>
      <c r="B67" s="4"/>
      <c r="C67" s="8"/>
      <c r="D67" s="8"/>
      <c r="E67" s="4"/>
      <c r="F67" s="4"/>
      <c r="G67" s="4"/>
      <c r="H67" s="4"/>
      <c r="I67" s="4"/>
      <c r="J67" s="4"/>
      <c r="K67" s="4"/>
      <c r="L67" s="4"/>
      <c r="M67" s="4"/>
    </row>
    <row r="68" spans="1:13" ht="19.5" customHeight="1" x14ac:dyDescent="0.25">
      <c r="A68" s="4"/>
      <c r="B68" s="4"/>
      <c r="C68" s="8"/>
      <c r="D68" s="8"/>
      <c r="E68" s="4"/>
      <c r="F68" s="4"/>
      <c r="G68" s="4"/>
      <c r="H68" s="4"/>
      <c r="I68" s="4"/>
      <c r="J68" s="4"/>
      <c r="K68" s="4"/>
      <c r="L68" s="4"/>
      <c r="M68" s="4"/>
    </row>
    <row r="69" spans="1:13" ht="19.5" customHeight="1" x14ac:dyDescent="0.25">
      <c r="A69" s="4"/>
      <c r="B69" s="4"/>
      <c r="C69" s="8"/>
      <c r="D69" s="8"/>
      <c r="E69" s="4"/>
      <c r="F69" s="4"/>
      <c r="G69" s="4"/>
      <c r="H69" s="4"/>
      <c r="I69" s="4"/>
      <c r="J69" s="4"/>
      <c r="K69" s="4"/>
      <c r="L69" s="4"/>
      <c r="M69" s="4"/>
    </row>
    <row r="70" spans="1:13" ht="19.5" customHeight="1" x14ac:dyDescent="0.25">
      <c r="A70" s="4"/>
      <c r="B70" s="4"/>
      <c r="C70" s="8"/>
      <c r="D70" s="8"/>
      <c r="E70" s="4"/>
      <c r="F70" s="4"/>
      <c r="G70" s="4"/>
      <c r="H70" s="4"/>
      <c r="I70" s="4"/>
      <c r="J70" s="4"/>
      <c r="K70" s="4"/>
      <c r="L70" s="4"/>
      <c r="M70" s="4"/>
    </row>
    <row r="71" spans="1:13" ht="19.5" customHeight="1" x14ac:dyDescent="0.25">
      <c r="A71" s="4"/>
      <c r="B71" s="4"/>
      <c r="C71" s="8"/>
      <c r="D71" s="8"/>
      <c r="E71" s="4"/>
      <c r="F71" s="4"/>
      <c r="G71" s="4"/>
      <c r="H71" s="4"/>
      <c r="I71" s="4"/>
      <c r="J71" s="4"/>
      <c r="K71" s="4"/>
      <c r="L71" s="4"/>
      <c r="M71" s="4"/>
    </row>
    <row r="72" spans="1:13" ht="19.5" customHeight="1" x14ac:dyDescent="0.25">
      <c r="A72" s="4"/>
      <c r="B72" s="4"/>
      <c r="C72" s="8"/>
      <c r="D72" s="8"/>
      <c r="E72" s="4"/>
      <c r="F72" s="4"/>
      <c r="G72" s="4"/>
      <c r="H72" s="4"/>
      <c r="I72" s="4"/>
      <c r="J72" s="4"/>
      <c r="K72" s="4"/>
      <c r="L72" s="4"/>
      <c r="M72" s="4"/>
    </row>
    <row r="73" spans="1:13" ht="19.5" customHeight="1" x14ac:dyDescent="0.25">
      <c r="A73" s="4"/>
      <c r="B73" s="4"/>
      <c r="C73" s="8"/>
      <c r="D73" s="8"/>
      <c r="E73" s="4"/>
      <c r="F73" s="4"/>
      <c r="G73" s="4"/>
      <c r="H73" s="4"/>
      <c r="I73" s="4"/>
      <c r="J73" s="4"/>
      <c r="K73" s="4"/>
      <c r="L73" s="4"/>
      <c r="M73" s="4"/>
    </row>
    <row r="74" spans="1:13" ht="19.5" customHeight="1" x14ac:dyDescent="0.25">
      <c r="A74" s="4"/>
      <c r="B74" s="4"/>
      <c r="C74" s="8"/>
      <c r="D74" s="8"/>
      <c r="E74" s="4"/>
      <c r="F74" s="4"/>
      <c r="G74" s="4"/>
      <c r="H74" s="4"/>
      <c r="I74" s="4"/>
      <c r="J74" s="4"/>
      <c r="K74" s="4"/>
      <c r="L74" s="4"/>
      <c r="M74" s="4"/>
    </row>
    <row r="75" spans="1:13" ht="19.5" customHeight="1" x14ac:dyDescent="0.25">
      <c r="A75" s="4"/>
      <c r="B75" s="4"/>
      <c r="C75" s="8"/>
      <c r="D75" s="8"/>
      <c r="E75" s="4"/>
      <c r="F75" s="4"/>
      <c r="G75" s="4"/>
      <c r="H75" s="4"/>
      <c r="I75" s="4"/>
      <c r="J75" s="4"/>
      <c r="K75" s="4"/>
      <c r="L75" s="4"/>
      <c r="M75" s="4"/>
    </row>
    <row r="76" spans="1:13" ht="19.5" customHeight="1" x14ac:dyDescent="0.25">
      <c r="A76" s="4"/>
      <c r="B76" s="4"/>
      <c r="C76" s="8"/>
      <c r="D76" s="8"/>
      <c r="E76" s="4"/>
      <c r="F76" s="4"/>
      <c r="G76" s="4"/>
      <c r="H76" s="4"/>
      <c r="I76" s="4"/>
      <c r="J76" s="4"/>
      <c r="K76" s="4"/>
      <c r="L76" s="4"/>
      <c r="M76" s="4"/>
    </row>
    <row r="77" spans="1:13" ht="19.5" customHeight="1" x14ac:dyDescent="0.25">
      <c r="A77" s="4"/>
      <c r="B77" s="4"/>
      <c r="C77" s="8"/>
      <c r="D77" s="8"/>
      <c r="E77" s="4"/>
      <c r="F77" s="4"/>
      <c r="G77" s="4"/>
      <c r="H77" s="4"/>
      <c r="I77" s="4"/>
      <c r="J77" s="4"/>
      <c r="K77" s="4"/>
      <c r="L77" s="4"/>
      <c r="M77" s="4"/>
    </row>
    <row r="78" spans="1:13" ht="19.5" customHeight="1" x14ac:dyDescent="0.25">
      <c r="A78" s="4"/>
      <c r="B78" s="4"/>
      <c r="C78" s="8"/>
      <c r="D78" s="8"/>
      <c r="E78" s="4"/>
      <c r="F78" s="4"/>
      <c r="G78" s="4"/>
      <c r="H78" s="4"/>
      <c r="I78" s="4"/>
      <c r="J78" s="4"/>
      <c r="K78" s="4"/>
      <c r="L78" s="4"/>
      <c r="M78" s="4"/>
    </row>
    <row r="79" spans="1:13" ht="19.5" customHeight="1" x14ac:dyDescent="0.25">
      <c r="A79" s="4"/>
      <c r="B79" s="4"/>
      <c r="C79" s="8"/>
      <c r="D79" s="8"/>
      <c r="E79" s="4"/>
      <c r="F79" s="4"/>
      <c r="G79" s="4"/>
      <c r="H79" s="4"/>
      <c r="I79" s="4"/>
      <c r="J79" s="4"/>
      <c r="K79" s="4"/>
      <c r="L79" s="4"/>
      <c r="M79" s="4"/>
    </row>
    <row r="80" spans="1:13" ht="19.5" customHeight="1" x14ac:dyDescent="0.25">
      <c r="A80" s="4"/>
      <c r="B80" s="4"/>
      <c r="C80" s="8"/>
      <c r="D80" s="8"/>
      <c r="E80" s="4"/>
      <c r="F80" s="4"/>
      <c r="G80" s="4"/>
      <c r="H80" s="4"/>
      <c r="I80" s="4"/>
      <c r="J80" s="4"/>
      <c r="K80" s="4"/>
      <c r="L80" s="4"/>
      <c r="M80" s="4"/>
    </row>
    <row r="81" spans="1:13" ht="19.5" customHeight="1" x14ac:dyDescent="0.25">
      <c r="A81" s="4"/>
      <c r="B81" s="4"/>
      <c r="C81" s="8"/>
      <c r="D81" s="8"/>
      <c r="E81" s="4"/>
      <c r="F81" s="4"/>
      <c r="G81" s="4"/>
      <c r="H81" s="4"/>
      <c r="I81" s="4"/>
      <c r="J81" s="4"/>
      <c r="K81" s="4"/>
      <c r="L81" s="4"/>
      <c r="M81" s="4"/>
    </row>
    <row r="82" spans="1:13" ht="19.5" customHeight="1" x14ac:dyDescent="0.25">
      <c r="A82" s="4"/>
      <c r="B82" s="4"/>
      <c r="C82" s="8"/>
      <c r="D82" s="8"/>
      <c r="E82" s="4"/>
      <c r="F82" s="4"/>
      <c r="G82" s="4"/>
      <c r="H82" s="4"/>
      <c r="I82" s="4"/>
      <c r="J82" s="4"/>
      <c r="K82" s="4"/>
      <c r="L82" s="4"/>
      <c r="M82" s="4"/>
    </row>
    <row r="83" spans="1:13" ht="19.5" customHeight="1" x14ac:dyDescent="0.25">
      <c r="A83" s="4"/>
      <c r="B83" s="4"/>
      <c r="C83" s="8"/>
      <c r="D83" s="8"/>
      <c r="E83" s="4"/>
      <c r="F83" s="4"/>
      <c r="G83" s="4"/>
      <c r="H83" s="4"/>
      <c r="I83" s="4"/>
      <c r="J83" s="4"/>
      <c r="K83" s="4"/>
      <c r="L83" s="4"/>
      <c r="M83" s="4"/>
    </row>
    <row r="84" spans="1:13" ht="19.5" customHeight="1" x14ac:dyDescent="0.25">
      <c r="A84" s="4"/>
      <c r="B84" s="4"/>
      <c r="C84" s="8"/>
      <c r="D84" s="8"/>
      <c r="E84" s="4"/>
      <c r="F84" s="4"/>
      <c r="G84" s="4"/>
      <c r="H84" s="4"/>
      <c r="I84" s="4"/>
      <c r="J84" s="4"/>
      <c r="K84" s="4"/>
      <c r="L84" s="4"/>
      <c r="M84" s="4"/>
    </row>
    <row r="85" spans="1:13" ht="19.5" customHeight="1" x14ac:dyDescent="0.25">
      <c r="A85" s="4"/>
      <c r="B85" s="4"/>
      <c r="C85" s="8"/>
      <c r="D85" s="8"/>
      <c r="E85" s="4"/>
      <c r="F85" s="4"/>
      <c r="G85" s="4"/>
      <c r="H85" s="4"/>
      <c r="I85" s="4"/>
      <c r="J85" s="4"/>
      <c r="K85" s="4"/>
      <c r="L85" s="4"/>
      <c r="M85" s="4"/>
    </row>
    <row r="86" spans="1:13" ht="19.5" customHeight="1" x14ac:dyDescent="0.25">
      <c r="A86" s="4"/>
      <c r="B86" s="4"/>
      <c r="C86" s="8"/>
      <c r="D86" s="8"/>
      <c r="E86" s="4"/>
      <c r="F86" s="4"/>
      <c r="G86" s="4"/>
      <c r="H86" s="4"/>
      <c r="I86" s="4"/>
      <c r="J86" s="4"/>
      <c r="K86" s="4"/>
      <c r="L86" s="4"/>
      <c r="M86" s="4"/>
    </row>
    <row r="87" spans="1:13" ht="19.5" customHeight="1" x14ac:dyDescent="0.25">
      <c r="A87" s="4"/>
      <c r="B87" s="4"/>
      <c r="C87" s="8"/>
      <c r="D87" s="8"/>
      <c r="E87" s="4"/>
      <c r="F87" s="4"/>
      <c r="G87" s="4"/>
      <c r="H87" s="4"/>
      <c r="I87" s="4"/>
      <c r="J87" s="4"/>
      <c r="K87" s="4"/>
      <c r="L87" s="4"/>
      <c r="M87" s="4"/>
    </row>
    <row r="88" spans="1:13" ht="19.5" customHeight="1" x14ac:dyDescent="0.25">
      <c r="A88" s="4"/>
      <c r="B88" s="4"/>
      <c r="C88" s="8"/>
      <c r="D88" s="8"/>
      <c r="E88" s="4"/>
      <c r="F88" s="4"/>
      <c r="G88" s="4"/>
      <c r="H88" s="4"/>
      <c r="I88" s="4"/>
      <c r="J88" s="4"/>
      <c r="K88" s="4"/>
      <c r="L88" s="4"/>
      <c r="M88" s="4"/>
    </row>
    <row r="89" spans="1:13" ht="19.5" customHeight="1" x14ac:dyDescent="0.25">
      <c r="A89" s="4"/>
      <c r="B89" s="4"/>
      <c r="C89" s="8"/>
      <c r="D89" s="8"/>
      <c r="E89" s="4"/>
      <c r="F89" s="4"/>
      <c r="G89" s="4"/>
      <c r="H89" s="4"/>
      <c r="I89" s="4"/>
      <c r="J89" s="4"/>
      <c r="K89" s="4"/>
      <c r="L89" s="4"/>
      <c r="M89" s="4"/>
    </row>
    <row r="90" spans="1:13" ht="19.5" customHeight="1" x14ac:dyDescent="0.25">
      <c r="A90" s="4"/>
      <c r="B90" s="4"/>
      <c r="C90" s="8"/>
      <c r="D90" s="8"/>
      <c r="E90" s="4"/>
      <c r="F90" s="4"/>
      <c r="G90" s="4"/>
      <c r="H90" s="4"/>
      <c r="I90" s="4"/>
      <c r="J90" s="4"/>
      <c r="K90" s="4"/>
      <c r="L90" s="4"/>
      <c r="M90" s="4"/>
    </row>
    <row r="91" spans="1:13" ht="19.5" customHeight="1" x14ac:dyDescent="0.25">
      <c r="A91" s="4"/>
      <c r="B91" s="4"/>
      <c r="C91" s="8"/>
      <c r="D91" s="8"/>
      <c r="E91" s="4"/>
      <c r="F91" s="4"/>
      <c r="G91" s="4"/>
      <c r="H91" s="4"/>
      <c r="I91" s="4"/>
      <c r="J91" s="4"/>
      <c r="K91" s="4"/>
      <c r="L91" s="4"/>
      <c r="M91" s="4"/>
    </row>
    <row r="92" spans="1:13" ht="19.5" customHeight="1" x14ac:dyDescent="0.25">
      <c r="A92" s="4"/>
      <c r="B92" s="4"/>
      <c r="C92" s="8"/>
      <c r="D92" s="8"/>
      <c r="E92" s="4"/>
      <c r="F92" s="4"/>
      <c r="G92" s="4"/>
      <c r="H92" s="4"/>
      <c r="I92" s="4"/>
      <c r="J92" s="4"/>
      <c r="K92" s="4"/>
      <c r="L92" s="4"/>
      <c r="M92" s="4"/>
    </row>
    <row r="93" spans="1:13" ht="19.5" customHeight="1" x14ac:dyDescent="0.25">
      <c r="A93" s="4"/>
      <c r="B93" s="4"/>
      <c r="C93" s="8"/>
      <c r="D93" s="8"/>
      <c r="E93" s="4"/>
      <c r="F93" s="4"/>
      <c r="G93" s="4"/>
      <c r="H93" s="4"/>
      <c r="I93" s="4"/>
      <c r="J93" s="4"/>
      <c r="K93" s="4"/>
      <c r="L93" s="4"/>
      <c r="M93" s="4"/>
    </row>
    <row r="94" spans="1:13" ht="19.5" customHeight="1" x14ac:dyDescent="0.25">
      <c r="A94" s="4"/>
      <c r="B94" s="4"/>
      <c r="C94" s="8"/>
      <c r="D94" s="8"/>
      <c r="E94" s="4"/>
      <c r="F94" s="4"/>
      <c r="G94" s="4"/>
      <c r="H94" s="4"/>
      <c r="I94" s="4"/>
      <c r="J94" s="4"/>
      <c r="K94" s="4"/>
      <c r="L94" s="4"/>
      <c r="M94" s="4"/>
    </row>
    <row r="95" spans="1:13" ht="19.5" customHeight="1" x14ac:dyDescent="0.25">
      <c r="A95" s="4"/>
      <c r="B95" s="4"/>
      <c r="C95" s="8"/>
      <c r="D95" s="8"/>
      <c r="E95" s="4"/>
      <c r="F95" s="4"/>
      <c r="G95" s="4"/>
      <c r="H95" s="4"/>
      <c r="I95" s="4"/>
      <c r="J95" s="4"/>
      <c r="K95" s="4"/>
      <c r="L95" s="4"/>
      <c r="M95" s="4"/>
    </row>
    <row r="96" spans="1:13" ht="19.5" customHeight="1" x14ac:dyDescent="0.25">
      <c r="A96" s="4"/>
      <c r="B96" s="4"/>
      <c r="C96" s="8"/>
      <c r="D96" s="8"/>
      <c r="E96" s="4"/>
      <c r="F96" s="4"/>
      <c r="G96" s="4"/>
      <c r="H96" s="4"/>
      <c r="I96" s="4"/>
      <c r="J96" s="4"/>
      <c r="K96" s="4"/>
      <c r="L96" s="4"/>
      <c r="M96" s="4"/>
    </row>
    <row r="97" spans="1:13" ht="19.5" customHeight="1" x14ac:dyDescent="0.25">
      <c r="A97" s="4"/>
      <c r="B97" s="4"/>
      <c r="C97" s="8"/>
      <c r="D97" s="8"/>
      <c r="E97" s="4"/>
      <c r="F97" s="4"/>
      <c r="G97" s="4"/>
      <c r="H97" s="4"/>
      <c r="I97" s="4"/>
      <c r="J97" s="4"/>
      <c r="K97" s="4"/>
      <c r="L97" s="4"/>
      <c r="M97" s="4"/>
    </row>
    <row r="98" spans="1:13" ht="19.5" customHeight="1" x14ac:dyDescent="0.25">
      <c r="A98" s="4"/>
      <c r="B98" s="4"/>
      <c r="C98" s="8"/>
      <c r="D98" s="8"/>
      <c r="E98" s="4"/>
      <c r="F98" s="4"/>
      <c r="G98" s="4"/>
      <c r="H98" s="4"/>
      <c r="I98" s="4"/>
      <c r="J98" s="4"/>
      <c r="K98" s="4"/>
      <c r="L98" s="4"/>
      <c r="M98" s="4"/>
    </row>
    <row r="99" spans="1:13" ht="19.5" customHeight="1" x14ac:dyDescent="0.25">
      <c r="A99" s="4"/>
      <c r="B99" s="4"/>
      <c r="C99" s="8"/>
      <c r="D99" s="8"/>
      <c r="E99" s="4"/>
      <c r="F99" s="4"/>
      <c r="G99" s="4"/>
      <c r="H99" s="4"/>
      <c r="I99" s="4"/>
      <c r="J99" s="4"/>
      <c r="K99" s="4"/>
      <c r="L99" s="4"/>
      <c r="M99" s="4"/>
    </row>
    <row r="100" spans="1:13" ht="19.5" customHeight="1" x14ac:dyDescent="0.25">
      <c r="A100" s="4"/>
      <c r="B100" s="4"/>
      <c r="C100" s="8"/>
      <c r="D100" s="8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9.5" customHeight="1" x14ac:dyDescent="0.25">
      <c r="A101" s="4"/>
      <c r="B101" s="4"/>
      <c r="C101" s="8"/>
      <c r="D101" s="8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9.5" customHeight="1" x14ac:dyDescent="0.25">
      <c r="A102" s="4"/>
      <c r="B102" s="4"/>
      <c r="C102" s="8"/>
      <c r="D102" s="8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9.5" customHeight="1" x14ac:dyDescent="0.25">
      <c r="A103" s="4"/>
      <c r="B103" s="4"/>
      <c r="C103" s="8"/>
      <c r="D103" s="8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9.5" customHeight="1" x14ac:dyDescent="0.25">
      <c r="A104" s="4"/>
      <c r="B104" s="4"/>
      <c r="C104" s="8"/>
      <c r="D104" s="8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9.5" customHeight="1" x14ac:dyDescent="0.25">
      <c r="A105" s="4"/>
      <c r="B105" s="4"/>
      <c r="C105" s="8"/>
      <c r="D105" s="8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9.5" customHeight="1" x14ac:dyDescent="0.25">
      <c r="A106" s="4"/>
      <c r="B106" s="4"/>
      <c r="C106" s="8"/>
      <c r="D106" s="8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9.5" customHeight="1" x14ac:dyDescent="0.25">
      <c r="A107" s="4"/>
      <c r="B107" s="4"/>
      <c r="C107" s="8"/>
      <c r="D107" s="8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9.5" customHeight="1" x14ac:dyDescent="0.25">
      <c r="A108" s="4"/>
      <c r="B108" s="4"/>
      <c r="C108" s="8"/>
      <c r="D108" s="8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9.5" customHeight="1" x14ac:dyDescent="0.25">
      <c r="A109" s="4"/>
      <c r="B109" s="4"/>
      <c r="C109" s="8"/>
      <c r="D109" s="8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9.5" customHeight="1" x14ac:dyDescent="0.25">
      <c r="A110" s="4"/>
      <c r="B110" s="4"/>
      <c r="C110" s="8"/>
      <c r="D110" s="8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9.5" customHeight="1" x14ac:dyDescent="0.25">
      <c r="A111" s="4"/>
      <c r="B111" s="4"/>
      <c r="C111" s="8"/>
      <c r="D111" s="8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9.5" customHeight="1" x14ac:dyDescent="0.25">
      <c r="A112" s="4"/>
      <c r="B112" s="4"/>
      <c r="C112" s="8"/>
      <c r="D112" s="8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9.5" customHeight="1" x14ac:dyDescent="0.25">
      <c r="A113" s="4"/>
      <c r="B113" s="4"/>
      <c r="C113" s="8"/>
      <c r="D113" s="8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9.5" customHeight="1" x14ac:dyDescent="0.25">
      <c r="A114" s="4"/>
      <c r="B114" s="4"/>
      <c r="C114" s="8"/>
      <c r="D114" s="8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9.5" customHeight="1" x14ac:dyDescent="0.25">
      <c r="A115" s="4"/>
      <c r="B115" s="4"/>
      <c r="C115" s="8"/>
      <c r="D115" s="8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9.5" customHeight="1" x14ac:dyDescent="0.25">
      <c r="A116" s="4"/>
      <c r="B116" s="4"/>
      <c r="C116" s="8"/>
      <c r="D116" s="8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9.5" customHeight="1" x14ac:dyDescent="0.25">
      <c r="A117" s="4"/>
      <c r="B117" s="4"/>
      <c r="C117" s="8"/>
      <c r="D117" s="8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9.5" customHeight="1" x14ac:dyDescent="0.25">
      <c r="A118" s="4"/>
      <c r="B118" s="4"/>
      <c r="C118" s="8"/>
      <c r="D118" s="8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9.5" customHeight="1" x14ac:dyDescent="0.25">
      <c r="A119" s="4"/>
      <c r="B119" s="4"/>
      <c r="C119" s="8"/>
      <c r="D119" s="8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9.5" customHeight="1" x14ac:dyDescent="0.25">
      <c r="A120" s="4"/>
      <c r="B120" s="4"/>
      <c r="C120" s="8"/>
      <c r="D120" s="8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9.5" customHeight="1" x14ac:dyDescent="0.25">
      <c r="A121" s="4"/>
      <c r="B121" s="4"/>
      <c r="C121" s="8"/>
      <c r="D121" s="8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9.5" customHeight="1" x14ac:dyDescent="0.25">
      <c r="A122" s="4"/>
      <c r="B122" s="4"/>
      <c r="C122" s="8"/>
      <c r="D122" s="8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9.5" customHeight="1" x14ac:dyDescent="0.25">
      <c r="A123" s="4"/>
      <c r="B123" s="4"/>
      <c r="C123" s="8"/>
      <c r="D123" s="8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9.5" customHeight="1" x14ac:dyDescent="0.25">
      <c r="A124" s="4"/>
      <c r="B124" s="4"/>
      <c r="C124" s="8"/>
      <c r="D124" s="8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9.5" customHeight="1" x14ac:dyDescent="0.25">
      <c r="A125" s="4"/>
      <c r="B125" s="4"/>
      <c r="C125" s="8"/>
      <c r="D125" s="8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9.5" customHeight="1" x14ac:dyDescent="0.25">
      <c r="A126" s="4"/>
      <c r="B126" s="4"/>
      <c r="C126" s="8"/>
      <c r="D126" s="8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9.5" customHeight="1" x14ac:dyDescent="0.25">
      <c r="A127" s="4"/>
      <c r="B127" s="4"/>
      <c r="C127" s="8"/>
      <c r="D127" s="8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9.5" customHeight="1" x14ac:dyDescent="0.25">
      <c r="A128" s="4"/>
      <c r="B128" s="4"/>
      <c r="C128" s="8"/>
      <c r="D128" s="8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9.5" customHeight="1" x14ac:dyDescent="0.25">
      <c r="A129" s="4"/>
      <c r="B129" s="4"/>
      <c r="C129" s="8"/>
      <c r="D129" s="8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9.5" customHeight="1" x14ac:dyDescent="0.25">
      <c r="A130" s="4"/>
      <c r="B130" s="4"/>
      <c r="C130" s="8"/>
      <c r="D130" s="8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9.5" customHeight="1" x14ac:dyDescent="0.25">
      <c r="A131" s="4"/>
      <c r="B131" s="4"/>
      <c r="C131" s="8"/>
      <c r="D131" s="8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9.5" customHeight="1" x14ac:dyDescent="0.25">
      <c r="A132" s="4"/>
      <c r="B132" s="4"/>
      <c r="C132" s="8"/>
      <c r="D132" s="8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9.5" customHeight="1" x14ac:dyDescent="0.25">
      <c r="A133" s="4"/>
      <c r="B133" s="4"/>
      <c r="C133" s="8"/>
      <c r="D133" s="8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9.5" customHeight="1" x14ac:dyDescent="0.25">
      <c r="A134" s="4"/>
      <c r="B134" s="4"/>
      <c r="C134" s="8"/>
      <c r="D134" s="8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9.5" customHeight="1" x14ac:dyDescent="0.25">
      <c r="A135" s="4"/>
      <c r="B135" s="4"/>
      <c r="C135" s="8"/>
      <c r="D135" s="8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9.5" customHeight="1" x14ac:dyDescent="0.25">
      <c r="A136" s="4"/>
      <c r="B136" s="4"/>
      <c r="C136" s="8"/>
      <c r="D136" s="8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9.5" customHeight="1" x14ac:dyDescent="0.25">
      <c r="A137" s="4"/>
      <c r="B137" s="4"/>
      <c r="C137" s="8"/>
      <c r="D137" s="8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9.5" customHeight="1" x14ac:dyDescent="0.25">
      <c r="A138" s="4"/>
      <c r="B138" s="4"/>
      <c r="C138" s="8"/>
      <c r="D138" s="8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9.5" customHeight="1" x14ac:dyDescent="0.25">
      <c r="A139" s="4"/>
      <c r="B139" s="4"/>
      <c r="C139" s="8"/>
      <c r="D139" s="8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9.5" customHeight="1" x14ac:dyDescent="0.25">
      <c r="A140" s="4"/>
      <c r="B140" s="4"/>
      <c r="C140" s="8"/>
      <c r="D140" s="8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9.5" customHeight="1" x14ac:dyDescent="0.25">
      <c r="A141" s="4"/>
      <c r="B141" s="4"/>
      <c r="C141" s="8"/>
      <c r="D141" s="8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9.5" customHeight="1" x14ac:dyDescent="0.25">
      <c r="A142" s="4"/>
      <c r="B142" s="4"/>
      <c r="C142" s="8"/>
      <c r="D142" s="8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9.5" customHeight="1" x14ac:dyDescent="0.25">
      <c r="A143" s="4"/>
      <c r="B143" s="4"/>
      <c r="C143" s="8"/>
      <c r="D143" s="8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9.5" customHeight="1" x14ac:dyDescent="0.25">
      <c r="A144" s="4"/>
      <c r="B144" s="4"/>
      <c r="C144" s="8"/>
      <c r="D144" s="8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9.5" customHeight="1" x14ac:dyDescent="0.25">
      <c r="A145" s="4"/>
      <c r="B145" s="4"/>
      <c r="C145" s="8"/>
      <c r="D145" s="8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9.5" customHeight="1" x14ac:dyDescent="0.25">
      <c r="A146" s="4"/>
      <c r="B146" s="4"/>
      <c r="C146" s="8"/>
      <c r="D146" s="8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9.5" customHeight="1" x14ac:dyDescent="0.25">
      <c r="A147" s="4"/>
      <c r="B147" s="4"/>
      <c r="C147" s="8"/>
      <c r="D147" s="8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9.5" customHeight="1" x14ac:dyDescent="0.25">
      <c r="A148" s="4"/>
      <c r="B148" s="4"/>
      <c r="C148" s="8"/>
      <c r="D148" s="8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9.5" customHeight="1" x14ac:dyDescent="0.25">
      <c r="A149" s="4"/>
      <c r="B149" s="4"/>
      <c r="C149" s="8"/>
      <c r="D149" s="8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9.5" customHeight="1" x14ac:dyDescent="0.25">
      <c r="A150" s="4"/>
      <c r="B150" s="4"/>
      <c r="C150" s="8"/>
      <c r="D150" s="8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9.5" customHeight="1" x14ac:dyDescent="0.25">
      <c r="A151" s="4"/>
      <c r="B151" s="4"/>
      <c r="C151" s="8"/>
      <c r="D151" s="8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9.5" customHeight="1" x14ac:dyDescent="0.25">
      <c r="A152" s="4"/>
      <c r="B152" s="4"/>
      <c r="C152" s="8"/>
      <c r="D152" s="8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9.5" customHeight="1" x14ac:dyDescent="0.25">
      <c r="A153" s="4"/>
      <c r="B153" s="4"/>
      <c r="C153" s="8"/>
      <c r="D153" s="8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9.5" customHeight="1" x14ac:dyDescent="0.25">
      <c r="A154" s="4"/>
      <c r="B154" s="4"/>
      <c r="C154" s="8"/>
      <c r="D154" s="8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9.5" customHeight="1" x14ac:dyDescent="0.25">
      <c r="A155" s="4"/>
      <c r="B155" s="4"/>
      <c r="C155" s="8"/>
      <c r="D155" s="8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9.5" customHeight="1" x14ac:dyDescent="0.25">
      <c r="A156" s="4"/>
      <c r="B156" s="4"/>
      <c r="C156" s="8"/>
      <c r="D156" s="8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9.5" customHeight="1" x14ac:dyDescent="0.25">
      <c r="A157" s="4"/>
      <c r="B157" s="4"/>
      <c r="C157" s="8"/>
      <c r="D157" s="8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9.5" customHeight="1" x14ac:dyDescent="0.25">
      <c r="A158" s="4"/>
      <c r="B158" s="4"/>
      <c r="C158" s="8"/>
      <c r="D158" s="8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9.5" customHeight="1" x14ac:dyDescent="0.25">
      <c r="A159" s="4"/>
      <c r="B159" s="4"/>
      <c r="C159" s="8"/>
      <c r="D159" s="8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9.5" customHeight="1" x14ac:dyDescent="0.25">
      <c r="A160" s="4"/>
      <c r="B160" s="4"/>
      <c r="C160" s="8"/>
      <c r="D160" s="8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9.5" customHeight="1" x14ac:dyDescent="0.25">
      <c r="A161" s="4"/>
      <c r="B161" s="4"/>
      <c r="C161" s="8"/>
      <c r="D161" s="8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9.5" customHeight="1" x14ac:dyDescent="0.25">
      <c r="A162" s="4"/>
      <c r="B162" s="4"/>
      <c r="C162" s="8"/>
      <c r="D162" s="8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9.5" customHeight="1" x14ac:dyDescent="0.25">
      <c r="A163" s="4"/>
      <c r="B163" s="4"/>
      <c r="C163" s="8"/>
      <c r="D163" s="8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9.5" customHeight="1" x14ac:dyDescent="0.25">
      <c r="A164" s="4"/>
      <c r="B164" s="4"/>
      <c r="C164" s="8"/>
      <c r="D164" s="8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9.5" customHeight="1" x14ac:dyDescent="0.25">
      <c r="A165" s="4"/>
      <c r="B165" s="4"/>
      <c r="C165" s="8"/>
      <c r="D165" s="8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9.5" customHeight="1" x14ac:dyDescent="0.25">
      <c r="A166" s="4"/>
      <c r="B166" s="4"/>
      <c r="C166" s="8"/>
      <c r="D166" s="8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9.5" customHeight="1" x14ac:dyDescent="0.25">
      <c r="A167" s="4"/>
      <c r="B167" s="4"/>
      <c r="C167" s="8"/>
      <c r="D167" s="8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9.5" customHeight="1" x14ac:dyDescent="0.25">
      <c r="A168" s="4"/>
      <c r="B168" s="4"/>
      <c r="C168" s="8"/>
      <c r="D168" s="8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9.5" customHeight="1" x14ac:dyDescent="0.25">
      <c r="A169" s="4"/>
      <c r="B169" s="4"/>
      <c r="C169" s="8"/>
      <c r="D169" s="8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9.5" customHeight="1" x14ac:dyDescent="0.25">
      <c r="A170" s="4"/>
      <c r="B170" s="4"/>
      <c r="C170" s="8"/>
      <c r="D170" s="8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9.5" customHeight="1" x14ac:dyDescent="0.25">
      <c r="A171" s="4"/>
      <c r="B171" s="4"/>
      <c r="C171" s="8"/>
      <c r="D171" s="8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9.5" customHeight="1" x14ac:dyDescent="0.25">
      <c r="A172" s="4"/>
      <c r="B172" s="4"/>
      <c r="C172" s="8"/>
      <c r="D172" s="8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9.5" customHeight="1" x14ac:dyDescent="0.25">
      <c r="A173" s="4"/>
      <c r="B173" s="4"/>
      <c r="C173" s="8"/>
      <c r="D173" s="8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9.5" customHeight="1" x14ac:dyDescent="0.25">
      <c r="A174" s="4"/>
      <c r="B174" s="4"/>
      <c r="C174" s="8"/>
      <c r="D174" s="8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9.5" customHeight="1" x14ac:dyDescent="0.25">
      <c r="A175" s="4"/>
      <c r="B175" s="4"/>
      <c r="C175" s="8"/>
      <c r="D175" s="8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9.5" customHeight="1" x14ac:dyDescent="0.25">
      <c r="A176" s="4"/>
      <c r="B176" s="4"/>
      <c r="C176" s="8"/>
      <c r="D176" s="8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9.5" customHeight="1" x14ac:dyDescent="0.25">
      <c r="A177" s="4"/>
      <c r="B177" s="4"/>
      <c r="C177" s="8"/>
      <c r="D177" s="8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9.5" customHeight="1" x14ac:dyDescent="0.25">
      <c r="A178" s="4"/>
      <c r="B178" s="4"/>
      <c r="C178" s="8"/>
      <c r="D178" s="8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9.5" customHeight="1" x14ac:dyDescent="0.25">
      <c r="A179" s="4"/>
      <c r="B179" s="4"/>
      <c r="C179" s="8"/>
      <c r="D179" s="8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9.5" customHeight="1" x14ac:dyDescent="0.25">
      <c r="A180" s="4"/>
      <c r="B180" s="4"/>
      <c r="C180" s="8"/>
      <c r="D180" s="8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9.5" customHeight="1" x14ac:dyDescent="0.25">
      <c r="A181" s="4"/>
      <c r="B181" s="4"/>
      <c r="C181" s="8"/>
      <c r="D181" s="8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9.5" customHeight="1" x14ac:dyDescent="0.25">
      <c r="A182" s="4"/>
      <c r="B182" s="4"/>
      <c r="C182" s="8"/>
      <c r="D182" s="8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9.5" customHeight="1" x14ac:dyDescent="0.25">
      <c r="A183" s="4"/>
      <c r="B183" s="4"/>
      <c r="C183" s="8"/>
      <c r="D183" s="8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9.5" customHeight="1" x14ac:dyDescent="0.25">
      <c r="A184" s="4"/>
      <c r="B184" s="4"/>
      <c r="C184" s="8"/>
      <c r="D184" s="8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9.5" customHeight="1" x14ac:dyDescent="0.25">
      <c r="A185" s="4"/>
      <c r="B185" s="4"/>
      <c r="C185" s="8"/>
      <c r="D185" s="8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9.5" customHeight="1" x14ac:dyDescent="0.25">
      <c r="A186" s="4"/>
      <c r="B186" s="4"/>
      <c r="C186" s="8"/>
      <c r="D186" s="8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9.5" customHeight="1" x14ac:dyDescent="0.25">
      <c r="A187" s="4"/>
      <c r="B187" s="4"/>
      <c r="C187" s="8"/>
      <c r="D187" s="8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9.5" customHeight="1" x14ac:dyDescent="0.25">
      <c r="A188" s="4"/>
      <c r="B188" s="4"/>
      <c r="C188" s="8"/>
      <c r="D188" s="8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9.5" customHeight="1" x14ac:dyDescent="0.25">
      <c r="A189" s="4"/>
      <c r="B189" s="4"/>
      <c r="C189" s="8"/>
      <c r="D189" s="8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9.5" customHeight="1" x14ac:dyDescent="0.25">
      <c r="A190" s="4"/>
      <c r="B190" s="4"/>
      <c r="C190" s="8"/>
      <c r="D190" s="8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9.5" customHeight="1" x14ac:dyDescent="0.25">
      <c r="A191" s="4"/>
      <c r="B191" s="4"/>
      <c r="C191" s="8"/>
      <c r="D191" s="8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9.5" customHeight="1" x14ac:dyDescent="0.25">
      <c r="A192" s="4"/>
      <c r="B192" s="4"/>
      <c r="C192" s="8"/>
      <c r="D192" s="8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9.5" customHeight="1" x14ac:dyDescent="0.25">
      <c r="A193" s="4"/>
      <c r="B193" s="4"/>
      <c r="C193" s="8"/>
      <c r="D193" s="8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9.5" customHeight="1" x14ac:dyDescent="0.25">
      <c r="A194" s="4"/>
      <c r="B194" s="4"/>
      <c r="C194" s="8"/>
      <c r="D194" s="8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9.5" customHeight="1" x14ac:dyDescent="0.25">
      <c r="A195" s="4"/>
      <c r="B195" s="4"/>
      <c r="C195" s="8"/>
      <c r="D195" s="8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9.5" customHeight="1" x14ac:dyDescent="0.25">
      <c r="A196" s="4"/>
      <c r="B196" s="4"/>
      <c r="C196" s="8"/>
      <c r="D196" s="8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9.5" customHeight="1" x14ac:dyDescent="0.25">
      <c r="A197" s="4"/>
      <c r="B197" s="4"/>
      <c r="C197" s="8"/>
      <c r="D197" s="8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9.5" customHeight="1" x14ac:dyDescent="0.25">
      <c r="A198" s="4"/>
      <c r="B198" s="4"/>
      <c r="C198" s="8"/>
      <c r="D198" s="8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9.5" customHeight="1" x14ac:dyDescent="0.25">
      <c r="A199" s="4"/>
      <c r="B199" s="4"/>
      <c r="C199" s="8"/>
      <c r="D199" s="8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9.5" customHeight="1" x14ac:dyDescent="0.25">
      <c r="A200" s="4"/>
      <c r="B200" s="4"/>
      <c r="C200" s="8"/>
      <c r="D200" s="8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9.5" customHeight="1" x14ac:dyDescent="0.25">
      <c r="A201" s="4"/>
      <c r="B201" s="4"/>
      <c r="C201" s="8"/>
      <c r="D201" s="8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9.5" customHeight="1" x14ac:dyDescent="0.25">
      <c r="A202" s="4"/>
      <c r="B202" s="4"/>
      <c r="C202" s="8"/>
      <c r="D202" s="8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9.5" customHeight="1" x14ac:dyDescent="0.25">
      <c r="A203" s="4"/>
      <c r="B203" s="4"/>
      <c r="C203" s="8"/>
      <c r="D203" s="8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9.5" customHeight="1" x14ac:dyDescent="0.25">
      <c r="A204" s="4"/>
      <c r="B204" s="4"/>
      <c r="C204" s="8"/>
      <c r="D204" s="8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9.5" customHeight="1" x14ac:dyDescent="0.25">
      <c r="A205" s="4"/>
      <c r="B205" s="4"/>
      <c r="C205" s="8"/>
      <c r="D205" s="8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9.5" customHeight="1" x14ac:dyDescent="0.25">
      <c r="A206" s="4"/>
      <c r="B206" s="4"/>
      <c r="C206" s="8"/>
      <c r="D206" s="8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9.5" customHeight="1" x14ac:dyDescent="0.25">
      <c r="A207" s="4"/>
      <c r="B207" s="4"/>
      <c r="C207" s="8"/>
      <c r="D207" s="8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9.5" customHeight="1" x14ac:dyDescent="0.25">
      <c r="A208" s="4"/>
      <c r="B208" s="4"/>
      <c r="C208" s="8"/>
      <c r="D208" s="8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9.5" customHeight="1" x14ac:dyDescent="0.25">
      <c r="A209" s="4"/>
      <c r="B209" s="4"/>
      <c r="C209" s="8"/>
      <c r="D209" s="8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9.5" customHeight="1" x14ac:dyDescent="0.25">
      <c r="A210" s="4"/>
      <c r="B210" s="4"/>
      <c r="C210" s="8"/>
      <c r="D210" s="8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9.5" customHeight="1" x14ac:dyDescent="0.25">
      <c r="A211" s="4"/>
      <c r="B211" s="4"/>
      <c r="C211" s="8"/>
      <c r="D211" s="8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9.5" customHeight="1" x14ac:dyDescent="0.25">
      <c r="A212" s="4"/>
      <c r="B212" s="4"/>
      <c r="C212" s="8"/>
      <c r="D212" s="8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9.5" customHeight="1" x14ac:dyDescent="0.25">
      <c r="A213" s="4"/>
      <c r="B213" s="4"/>
      <c r="C213" s="8"/>
      <c r="D213" s="8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9.5" customHeight="1" x14ac:dyDescent="0.25">
      <c r="A214" s="4"/>
      <c r="B214" s="4"/>
      <c r="C214" s="8"/>
      <c r="D214" s="8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9.5" customHeight="1" x14ac:dyDescent="0.25">
      <c r="A215" s="4"/>
      <c r="B215" s="4"/>
      <c r="C215" s="8"/>
      <c r="D215" s="8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9.5" customHeight="1" x14ac:dyDescent="0.25">
      <c r="A216" s="4"/>
      <c r="B216" s="4"/>
      <c r="C216" s="8"/>
      <c r="D216" s="8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9.5" customHeight="1" x14ac:dyDescent="0.25">
      <c r="A217" s="4"/>
      <c r="B217" s="4"/>
      <c r="C217" s="8"/>
      <c r="D217" s="8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9.5" customHeight="1" x14ac:dyDescent="0.25">
      <c r="A218" s="4"/>
      <c r="B218" s="4"/>
      <c r="C218" s="8"/>
      <c r="D218" s="8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9.5" customHeight="1" x14ac:dyDescent="0.25">
      <c r="A219" s="4"/>
      <c r="B219" s="4"/>
      <c r="C219" s="8"/>
      <c r="D219" s="8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9.5" customHeight="1" x14ac:dyDescent="0.25">
      <c r="A220" s="4"/>
      <c r="B220" s="4"/>
      <c r="C220" s="8"/>
      <c r="D220" s="8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9.5" customHeight="1" x14ac:dyDescent="0.25">
      <c r="A221" s="4"/>
      <c r="B221" s="4"/>
      <c r="C221" s="8"/>
      <c r="D221" s="8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9.5" customHeight="1" x14ac:dyDescent="0.25">
      <c r="A222" s="4"/>
      <c r="B222" s="4"/>
      <c r="C222" s="8"/>
      <c r="D222" s="8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9.5" customHeight="1" x14ac:dyDescent="0.25">
      <c r="A223" s="4"/>
      <c r="B223" s="4"/>
      <c r="C223" s="8"/>
      <c r="D223" s="8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9.5" customHeight="1" x14ac:dyDescent="0.25">
      <c r="A224" s="4"/>
      <c r="B224" s="4"/>
      <c r="C224" s="8"/>
      <c r="D224" s="8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9.5" customHeight="1" x14ac:dyDescent="0.25">
      <c r="A225" s="4"/>
      <c r="B225" s="4"/>
      <c r="C225" s="8"/>
      <c r="D225" s="8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9.5" customHeight="1" x14ac:dyDescent="0.25">
      <c r="A226" s="4"/>
      <c r="B226" s="4"/>
      <c r="C226" s="8"/>
      <c r="D226" s="8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9.5" customHeight="1" x14ac:dyDescent="0.25">
      <c r="A227" s="4"/>
      <c r="B227" s="4"/>
      <c r="C227" s="8"/>
      <c r="D227" s="8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9.5" customHeight="1" x14ac:dyDescent="0.25">
      <c r="A228" s="4"/>
      <c r="B228" s="4"/>
      <c r="C228" s="8"/>
      <c r="D228" s="8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9.5" customHeight="1" x14ac:dyDescent="0.25">
      <c r="A229" s="4"/>
      <c r="B229" s="4"/>
      <c r="C229" s="8"/>
      <c r="D229" s="8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9.5" customHeight="1" x14ac:dyDescent="0.25">
      <c r="A230" s="4"/>
      <c r="B230" s="4"/>
      <c r="C230" s="8"/>
      <c r="D230" s="8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9.5" customHeight="1" x14ac:dyDescent="0.25">
      <c r="A231" s="4"/>
      <c r="B231" s="4"/>
      <c r="C231" s="8"/>
      <c r="D231" s="8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9.5" customHeight="1" x14ac:dyDescent="0.25">
      <c r="A232" s="4"/>
      <c r="B232" s="4"/>
      <c r="C232" s="8"/>
      <c r="D232" s="8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9.5" customHeight="1" x14ac:dyDescent="0.25">
      <c r="A233" s="4"/>
      <c r="B233" s="4"/>
      <c r="C233" s="8"/>
      <c r="D233" s="8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9.5" customHeight="1" x14ac:dyDescent="0.25">
      <c r="A234" s="4"/>
      <c r="B234" s="4"/>
      <c r="C234" s="8"/>
      <c r="D234" s="8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9.5" customHeight="1" x14ac:dyDescent="0.25">
      <c r="A235" s="4"/>
      <c r="B235" s="4"/>
      <c r="C235" s="8"/>
      <c r="D235" s="8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9.5" customHeight="1" x14ac:dyDescent="0.25">
      <c r="A236" s="4"/>
      <c r="B236" s="4"/>
      <c r="C236" s="8"/>
      <c r="D236" s="8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9.5" customHeight="1" x14ac:dyDescent="0.25">
      <c r="A237" s="4"/>
      <c r="B237" s="4"/>
      <c r="C237" s="8"/>
      <c r="D237" s="8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9.5" customHeight="1" x14ac:dyDescent="0.25">
      <c r="A238" s="4"/>
      <c r="B238" s="4"/>
      <c r="C238" s="8"/>
      <c r="D238" s="8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9.5" customHeight="1" x14ac:dyDescent="0.25">
      <c r="A239" s="4"/>
      <c r="B239" s="4"/>
      <c r="C239" s="8"/>
      <c r="D239" s="8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9.5" customHeight="1" x14ac:dyDescent="0.25">
      <c r="A240" s="4"/>
      <c r="B240" s="4"/>
      <c r="C240" s="8"/>
      <c r="D240" s="8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9.5" customHeight="1" x14ac:dyDescent="0.25">
      <c r="A241" s="4"/>
      <c r="B241" s="4"/>
      <c r="C241" s="8"/>
      <c r="D241" s="8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9.5" customHeight="1" x14ac:dyDescent="0.25">
      <c r="A242" s="4"/>
      <c r="B242" s="4"/>
      <c r="C242" s="8"/>
      <c r="D242" s="8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9.5" customHeight="1" x14ac:dyDescent="0.25">
      <c r="A243" s="4"/>
      <c r="B243" s="4"/>
      <c r="C243" s="8"/>
      <c r="D243" s="8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9.5" customHeight="1" x14ac:dyDescent="0.25">
      <c r="A244" s="4"/>
      <c r="B244" s="4"/>
      <c r="C244" s="8"/>
      <c r="D244" s="8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9.5" customHeight="1" x14ac:dyDescent="0.25">
      <c r="A245" s="4"/>
      <c r="B245" s="4"/>
      <c r="C245" s="8"/>
      <c r="D245" s="8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9.5" customHeight="1" x14ac:dyDescent="0.25">
      <c r="A246" s="4"/>
      <c r="B246" s="4"/>
      <c r="C246" s="8"/>
      <c r="D246" s="8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9.5" customHeight="1" x14ac:dyDescent="0.25">
      <c r="A247" s="4"/>
      <c r="B247" s="4"/>
      <c r="C247" s="8"/>
      <c r="D247" s="8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9.5" customHeight="1" x14ac:dyDescent="0.25">
      <c r="A248" s="4"/>
      <c r="B248" s="4"/>
      <c r="C248" s="8"/>
      <c r="D248" s="8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9.5" customHeight="1" x14ac:dyDescent="0.25">
      <c r="A249" s="4"/>
      <c r="B249" s="4"/>
      <c r="C249" s="8"/>
      <c r="D249" s="8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9.5" customHeight="1" x14ac:dyDescent="0.25">
      <c r="A250" s="4"/>
      <c r="B250" s="4"/>
      <c r="C250" s="8"/>
      <c r="D250" s="8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9.5" customHeight="1" x14ac:dyDescent="0.25">
      <c r="A251" s="4"/>
      <c r="B251" s="4"/>
      <c r="C251" s="8"/>
      <c r="D251" s="8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9.5" customHeight="1" x14ac:dyDescent="0.25">
      <c r="A252" s="4"/>
      <c r="B252" s="4"/>
      <c r="C252" s="8"/>
      <c r="D252" s="8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9.5" customHeight="1" x14ac:dyDescent="0.25">
      <c r="A253" s="4"/>
      <c r="B253" s="4"/>
      <c r="C253" s="8"/>
      <c r="D253" s="8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9.5" customHeight="1" x14ac:dyDescent="0.25">
      <c r="A254" s="4"/>
      <c r="B254" s="4"/>
      <c r="C254" s="8"/>
      <c r="D254" s="8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9.5" customHeight="1" x14ac:dyDescent="0.25">
      <c r="A255" s="4"/>
      <c r="B255" s="4"/>
      <c r="C255" s="8"/>
      <c r="D255" s="8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9.5" customHeight="1" x14ac:dyDescent="0.25">
      <c r="A256" s="4"/>
      <c r="B256" s="4"/>
      <c r="C256" s="8"/>
      <c r="D256" s="8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9.5" customHeight="1" x14ac:dyDescent="0.25">
      <c r="A257" s="4"/>
      <c r="B257" s="4"/>
      <c r="C257" s="8"/>
      <c r="D257" s="8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9.5" customHeight="1" x14ac:dyDescent="0.25">
      <c r="A258" s="4"/>
      <c r="B258" s="4"/>
      <c r="C258" s="8"/>
      <c r="D258" s="8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9.5" customHeight="1" x14ac:dyDescent="0.25">
      <c r="A259" s="4"/>
      <c r="B259" s="4"/>
      <c r="C259" s="8"/>
      <c r="D259" s="8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9.5" customHeight="1" x14ac:dyDescent="0.25">
      <c r="A260" s="4"/>
      <c r="B260" s="4"/>
      <c r="C260" s="8"/>
      <c r="D260" s="8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9.5" customHeight="1" x14ac:dyDescent="0.25">
      <c r="A261" s="4"/>
      <c r="B261" s="4"/>
      <c r="C261" s="8"/>
      <c r="D261" s="8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9.5" customHeight="1" x14ac:dyDescent="0.25">
      <c r="A262" s="4"/>
      <c r="B262" s="4"/>
      <c r="C262" s="8"/>
      <c r="D262" s="8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9.5" customHeight="1" x14ac:dyDescent="0.25">
      <c r="A263" s="4"/>
      <c r="B263" s="4"/>
      <c r="C263" s="8"/>
      <c r="D263" s="8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9.5" customHeight="1" x14ac:dyDescent="0.25">
      <c r="A264" s="4"/>
      <c r="B264" s="4"/>
      <c r="C264" s="8"/>
      <c r="D264" s="8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9.5" customHeight="1" x14ac:dyDescent="0.25">
      <c r="A265" s="4"/>
      <c r="B265" s="4"/>
      <c r="C265" s="8"/>
      <c r="D265" s="8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9.5" customHeight="1" x14ac:dyDescent="0.25">
      <c r="A266" s="4"/>
      <c r="B266" s="4"/>
      <c r="C266" s="8"/>
      <c r="D266" s="8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9.5" customHeight="1" x14ac:dyDescent="0.25">
      <c r="A267" s="4"/>
      <c r="B267" s="4"/>
      <c r="C267" s="8"/>
      <c r="D267" s="8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9.5" customHeight="1" x14ac:dyDescent="0.25">
      <c r="A268" s="4"/>
      <c r="B268" s="4"/>
      <c r="C268" s="8"/>
      <c r="D268" s="8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9.5" customHeight="1" x14ac:dyDescent="0.25">
      <c r="A269" s="4"/>
      <c r="B269" s="4"/>
      <c r="C269" s="8"/>
      <c r="D269" s="8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9.5" customHeight="1" x14ac:dyDescent="0.25">
      <c r="A270" s="4"/>
      <c r="B270" s="4"/>
      <c r="C270" s="8"/>
      <c r="D270" s="8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9.5" customHeight="1" x14ac:dyDescent="0.25">
      <c r="A271" s="4"/>
      <c r="B271" s="4"/>
      <c r="C271" s="8"/>
      <c r="D271" s="8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9.5" customHeight="1" x14ac:dyDescent="0.25">
      <c r="A272" s="4"/>
      <c r="B272" s="4"/>
      <c r="C272" s="8"/>
      <c r="D272" s="8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9.5" customHeight="1" x14ac:dyDescent="0.25">
      <c r="A273" s="4"/>
      <c r="B273" s="4"/>
      <c r="C273" s="8"/>
      <c r="D273" s="8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9.5" customHeight="1" x14ac:dyDescent="0.25">
      <c r="A274" s="4"/>
      <c r="B274" s="4"/>
      <c r="C274" s="8"/>
      <c r="D274" s="8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9.5" customHeight="1" x14ac:dyDescent="0.25">
      <c r="A275" s="4"/>
      <c r="B275" s="4"/>
      <c r="C275" s="8"/>
      <c r="D275" s="8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9.5" customHeight="1" x14ac:dyDescent="0.25">
      <c r="A276" s="4"/>
      <c r="B276" s="4"/>
      <c r="C276" s="8"/>
      <c r="D276" s="8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9.5" customHeight="1" x14ac:dyDescent="0.25">
      <c r="A277" s="4"/>
      <c r="B277" s="4"/>
      <c r="C277" s="8"/>
      <c r="D277" s="8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9.5" customHeight="1" x14ac:dyDescent="0.25">
      <c r="A278" s="4"/>
      <c r="B278" s="4"/>
      <c r="C278" s="8"/>
      <c r="D278" s="8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9.5" customHeight="1" x14ac:dyDescent="0.25">
      <c r="A279" s="4"/>
      <c r="B279" s="4"/>
      <c r="C279" s="8"/>
      <c r="D279" s="8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9.5" customHeight="1" x14ac:dyDescent="0.25">
      <c r="A280" s="4"/>
      <c r="B280" s="4"/>
      <c r="C280" s="8"/>
      <c r="D280" s="8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9.5" customHeight="1" x14ac:dyDescent="0.25">
      <c r="A281" s="4"/>
      <c r="B281" s="4"/>
      <c r="C281" s="8"/>
      <c r="D281" s="8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9.5" customHeight="1" x14ac:dyDescent="0.25">
      <c r="A282" s="4"/>
      <c r="B282" s="4"/>
      <c r="C282" s="8"/>
      <c r="D282" s="8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9.5" customHeight="1" x14ac:dyDescent="0.25">
      <c r="A283" s="4"/>
      <c r="B283" s="4"/>
      <c r="C283" s="8"/>
      <c r="D283" s="8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9.5" customHeight="1" x14ac:dyDescent="0.25">
      <c r="A284" s="4"/>
      <c r="B284" s="4"/>
      <c r="C284" s="8"/>
      <c r="D284" s="8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9.5" customHeight="1" x14ac:dyDescent="0.25">
      <c r="A285" s="4"/>
      <c r="B285" s="4"/>
      <c r="C285" s="8"/>
      <c r="D285" s="8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9.5" customHeight="1" x14ac:dyDescent="0.25">
      <c r="A286" s="4"/>
      <c r="B286" s="4"/>
      <c r="C286" s="8"/>
      <c r="D286" s="8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9.5" customHeight="1" x14ac:dyDescent="0.25">
      <c r="A287" s="4"/>
      <c r="B287" s="4"/>
      <c r="C287" s="8"/>
      <c r="D287" s="8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9.5" customHeight="1" x14ac:dyDescent="0.25">
      <c r="A288" s="4"/>
      <c r="B288" s="4"/>
      <c r="C288" s="8"/>
      <c r="D288" s="8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9.5" customHeight="1" x14ac:dyDescent="0.25">
      <c r="A289" s="4"/>
      <c r="B289" s="4"/>
      <c r="C289" s="8"/>
      <c r="D289" s="8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9.5" customHeight="1" x14ac:dyDescent="0.25">
      <c r="A290" s="4"/>
      <c r="B290" s="4"/>
      <c r="C290" s="8"/>
      <c r="D290" s="8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9.5" customHeight="1" x14ac:dyDescent="0.25">
      <c r="A291" s="4"/>
      <c r="B291" s="4"/>
      <c r="C291" s="8"/>
      <c r="D291" s="8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9.5" customHeight="1" x14ac:dyDescent="0.25">
      <c r="A292" s="4"/>
      <c r="B292" s="4"/>
      <c r="C292" s="8"/>
      <c r="D292" s="8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9.5" customHeight="1" x14ac:dyDescent="0.25">
      <c r="A293" s="4"/>
      <c r="B293" s="4"/>
      <c r="C293" s="8"/>
      <c r="D293" s="8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9.5" customHeight="1" x14ac:dyDescent="0.25">
      <c r="A294" s="4"/>
      <c r="B294" s="4"/>
      <c r="C294" s="8"/>
      <c r="D294" s="8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9.5" customHeight="1" x14ac:dyDescent="0.25">
      <c r="A295" s="4"/>
      <c r="B295" s="4"/>
      <c r="C295" s="8"/>
      <c r="D295" s="8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9.5" customHeight="1" x14ac:dyDescent="0.25">
      <c r="A296" s="4"/>
      <c r="B296" s="4"/>
      <c r="C296" s="8"/>
      <c r="D296" s="8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9.5" customHeight="1" x14ac:dyDescent="0.25">
      <c r="A297" s="4"/>
      <c r="B297" s="4"/>
      <c r="C297" s="8"/>
      <c r="D297" s="8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9.5" customHeight="1" x14ac:dyDescent="0.25">
      <c r="A298" s="4"/>
      <c r="B298" s="4"/>
      <c r="C298" s="8"/>
      <c r="D298" s="8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9.5" customHeight="1" x14ac:dyDescent="0.25">
      <c r="A299" s="4"/>
      <c r="B299" s="4"/>
      <c r="C299" s="8"/>
      <c r="D299" s="8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9.5" customHeight="1" x14ac:dyDescent="0.25">
      <c r="A300" s="4"/>
      <c r="B300" s="4"/>
      <c r="C300" s="8"/>
      <c r="D300" s="8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9.5" customHeight="1" x14ac:dyDescent="0.25">
      <c r="A301" s="4"/>
      <c r="B301" s="4"/>
      <c r="C301" s="8"/>
      <c r="D301" s="8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9.5" customHeight="1" x14ac:dyDescent="0.25">
      <c r="A302" s="4"/>
      <c r="B302" s="4"/>
      <c r="C302" s="8"/>
      <c r="D302" s="8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9.5" customHeight="1" x14ac:dyDescent="0.25">
      <c r="A303" s="4"/>
      <c r="B303" s="4"/>
      <c r="C303" s="8"/>
      <c r="D303" s="8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9.5" customHeight="1" x14ac:dyDescent="0.25">
      <c r="A304" s="4"/>
      <c r="B304" s="4"/>
      <c r="C304" s="8"/>
      <c r="D304" s="8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9.5" customHeight="1" x14ac:dyDescent="0.25">
      <c r="A305" s="4"/>
      <c r="B305" s="4"/>
      <c r="C305" s="8"/>
      <c r="D305" s="8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9.5" customHeight="1" x14ac:dyDescent="0.25">
      <c r="A306" s="4"/>
      <c r="B306" s="4"/>
      <c r="C306" s="8"/>
      <c r="D306" s="8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9.5" customHeight="1" x14ac:dyDescent="0.25">
      <c r="A307" s="4"/>
      <c r="B307" s="4"/>
      <c r="C307" s="8"/>
      <c r="D307" s="8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9.5" customHeight="1" x14ac:dyDescent="0.25">
      <c r="A308" s="4"/>
      <c r="B308" s="4"/>
      <c r="C308" s="8"/>
      <c r="D308" s="8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9.5" customHeight="1" x14ac:dyDescent="0.25">
      <c r="A309" s="4"/>
      <c r="B309" s="4"/>
      <c r="C309" s="8"/>
      <c r="D309" s="8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9.5" customHeight="1" x14ac:dyDescent="0.25">
      <c r="A310" s="4"/>
      <c r="B310" s="4"/>
      <c r="C310" s="8"/>
      <c r="D310" s="8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9.5" customHeight="1" x14ac:dyDescent="0.25">
      <c r="A311" s="4"/>
      <c r="B311" s="4"/>
      <c r="C311" s="8"/>
      <c r="D311" s="8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9.5" customHeight="1" x14ac:dyDescent="0.25">
      <c r="A312" s="4"/>
      <c r="B312" s="4"/>
      <c r="C312" s="8"/>
      <c r="D312" s="8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9.5" customHeight="1" x14ac:dyDescent="0.25">
      <c r="A313" s="4"/>
      <c r="B313" s="4"/>
      <c r="C313" s="8"/>
      <c r="D313" s="8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9.5" customHeight="1" x14ac:dyDescent="0.25">
      <c r="A314" s="4"/>
      <c r="B314" s="4"/>
      <c r="C314" s="8"/>
      <c r="D314" s="8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9.5" customHeight="1" x14ac:dyDescent="0.25">
      <c r="A315" s="4"/>
      <c r="B315" s="4"/>
      <c r="C315" s="8"/>
      <c r="D315" s="8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9.5" customHeight="1" x14ac:dyDescent="0.25">
      <c r="A316" s="4"/>
      <c r="B316" s="4"/>
      <c r="C316" s="8"/>
      <c r="D316" s="8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9.5" customHeight="1" x14ac:dyDescent="0.25">
      <c r="A317" s="4"/>
      <c r="B317" s="4"/>
      <c r="C317" s="8"/>
      <c r="D317" s="8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9.5" customHeight="1" x14ac:dyDescent="0.25">
      <c r="A318" s="4"/>
      <c r="B318" s="4"/>
      <c r="C318" s="8"/>
      <c r="D318" s="8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9.5" customHeight="1" x14ac:dyDescent="0.25">
      <c r="A319" s="4"/>
      <c r="B319" s="4"/>
      <c r="C319" s="8"/>
      <c r="D319" s="8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9.5" customHeight="1" x14ac:dyDescent="0.25">
      <c r="A320" s="4"/>
      <c r="B320" s="4"/>
      <c r="C320" s="8"/>
      <c r="D320" s="8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9.5" customHeight="1" x14ac:dyDescent="0.25">
      <c r="A321" s="4"/>
      <c r="B321" s="4"/>
      <c r="C321" s="8"/>
      <c r="D321" s="8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9.5" customHeight="1" x14ac:dyDescent="0.25">
      <c r="A322" s="4"/>
      <c r="B322" s="4"/>
      <c r="C322" s="8"/>
      <c r="D322" s="8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9.5" customHeight="1" x14ac:dyDescent="0.25">
      <c r="A323" s="4"/>
      <c r="B323" s="4"/>
      <c r="C323" s="8"/>
      <c r="D323" s="8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9.5" customHeight="1" x14ac:dyDescent="0.25">
      <c r="A324" s="4"/>
      <c r="B324" s="4"/>
      <c r="C324" s="8"/>
      <c r="D324" s="8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9.5" customHeight="1" x14ac:dyDescent="0.25">
      <c r="A325" s="4"/>
      <c r="B325" s="4"/>
      <c r="C325" s="8"/>
      <c r="D325" s="8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9.5" customHeight="1" x14ac:dyDescent="0.25">
      <c r="A326" s="4"/>
      <c r="B326" s="4"/>
      <c r="C326" s="8"/>
      <c r="D326" s="8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9.5" customHeight="1" x14ac:dyDescent="0.25">
      <c r="A327" s="4"/>
      <c r="B327" s="4"/>
      <c r="C327" s="8"/>
      <c r="D327" s="8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9.5" customHeight="1" x14ac:dyDescent="0.25">
      <c r="A328" s="4"/>
      <c r="B328" s="4"/>
      <c r="C328" s="8"/>
      <c r="D328" s="8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9.5" customHeight="1" x14ac:dyDescent="0.25">
      <c r="A329" s="4"/>
      <c r="B329" s="4"/>
      <c r="C329" s="8"/>
      <c r="D329" s="8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9.5" customHeight="1" x14ac:dyDescent="0.25">
      <c r="A330" s="4"/>
      <c r="B330" s="4"/>
      <c r="C330" s="8"/>
      <c r="D330" s="8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9.5" customHeight="1" x14ac:dyDescent="0.25">
      <c r="A331" s="4"/>
      <c r="B331" s="4"/>
      <c r="C331" s="8"/>
      <c r="D331" s="8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9.5" customHeight="1" x14ac:dyDescent="0.25">
      <c r="A332" s="4"/>
      <c r="B332" s="4"/>
      <c r="C332" s="8"/>
      <c r="D332" s="8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9.5" customHeight="1" x14ac:dyDescent="0.25">
      <c r="A333" s="4"/>
      <c r="B333" s="4"/>
      <c r="C333" s="8"/>
      <c r="D333" s="8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9.5" customHeight="1" x14ac:dyDescent="0.25">
      <c r="A334" s="4"/>
      <c r="B334" s="4"/>
      <c r="C334" s="8"/>
      <c r="D334" s="8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9.5" customHeight="1" x14ac:dyDescent="0.25">
      <c r="A335" s="4"/>
      <c r="B335" s="4"/>
      <c r="C335" s="8"/>
      <c r="D335" s="8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9.5" customHeight="1" x14ac:dyDescent="0.25">
      <c r="A336" s="4"/>
      <c r="B336" s="4"/>
      <c r="C336" s="8"/>
      <c r="D336" s="8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9.5" customHeight="1" x14ac:dyDescent="0.25">
      <c r="A337" s="4"/>
      <c r="B337" s="4"/>
      <c r="C337" s="8"/>
      <c r="D337" s="8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9.5" customHeight="1" x14ac:dyDescent="0.25">
      <c r="A338" s="4"/>
      <c r="B338" s="4"/>
      <c r="C338" s="8"/>
      <c r="D338" s="8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9.5" customHeight="1" x14ac:dyDescent="0.25">
      <c r="A339" s="4"/>
      <c r="B339" s="4"/>
      <c r="C339" s="8"/>
      <c r="D339" s="8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9.5" customHeight="1" x14ac:dyDescent="0.25">
      <c r="A340" s="4"/>
      <c r="B340" s="4"/>
      <c r="C340" s="8"/>
      <c r="D340" s="8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9.5" customHeight="1" x14ac:dyDescent="0.25">
      <c r="A341" s="4"/>
      <c r="B341" s="4"/>
      <c r="C341" s="8"/>
      <c r="D341" s="8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9.5" customHeight="1" x14ac:dyDescent="0.25">
      <c r="A342" s="4"/>
      <c r="B342" s="4"/>
      <c r="C342" s="8"/>
      <c r="D342" s="8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9.5" customHeight="1" x14ac:dyDescent="0.25">
      <c r="A343" s="4"/>
      <c r="B343" s="4"/>
      <c r="C343" s="8"/>
      <c r="D343" s="8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9.5" customHeight="1" x14ac:dyDescent="0.25">
      <c r="A344" s="4"/>
      <c r="B344" s="4"/>
      <c r="C344" s="8"/>
      <c r="D344" s="8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9.5" customHeight="1" x14ac:dyDescent="0.25">
      <c r="A345" s="4"/>
      <c r="B345" s="4"/>
      <c r="C345" s="8"/>
      <c r="D345" s="8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9.5" customHeight="1" x14ac:dyDescent="0.25">
      <c r="A346" s="4"/>
      <c r="B346" s="4"/>
      <c r="C346" s="8"/>
      <c r="D346" s="8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9.5" customHeight="1" x14ac:dyDescent="0.25">
      <c r="A347" s="4"/>
      <c r="B347" s="4"/>
      <c r="C347" s="8"/>
      <c r="D347" s="8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9.5" customHeight="1" x14ac:dyDescent="0.25">
      <c r="A348" s="4"/>
      <c r="B348" s="4"/>
      <c r="C348" s="8"/>
      <c r="D348" s="8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9.5" customHeight="1" x14ac:dyDescent="0.25">
      <c r="A349" s="4"/>
      <c r="B349" s="4"/>
      <c r="C349" s="8"/>
      <c r="D349" s="8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9.5" customHeight="1" x14ac:dyDescent="0.25">
      <c r="A350" s="4"/>
      <c r="B350" s="4"/>
      <c r="C350" s="8"/>
      <c r="D350" s="8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9.5" customHeight="1" x14ac:dyDescent="0.25">
      <c r="A351" s="4"/>
      <c r="B351" s="4"/>
      <c r="C351" s="8"/>
      <c r="D351" s="8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9.5" customHeight="1" x14ac:dyDescent="0.25">
      <c r="A352" s="4"/>
      <c r="B352" s="4"/>
      <c r="C352" s="8"/>
      <c r="D352" s="8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9.5" customHeight="1" x14ac:dyDescent="0.25">
      <c r="A353" s="4"/>
      <c r="B353" s="4"/>
      <c r="C353" s="8"/>
      <c r="D353" s="8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9.5" customHeight="1" x14ac:dyDescent="0.25">
      <c r="A354" s="4"/>
      <c r="B354" s="4"/>
      <c r="C354" s="8"/>
      <c r="D354" s="8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9.5" customHeight="1" x14ac:dyDescent="0.25">
      <c r="A355" s="4"/>
      <c r="B355" s="4"/>
      <c r="C355" s="8"/>
      <c r="D355" s="8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9.5" customHeight="1" x14ac:dyDescent="0.25">
      <c r="A356" s="4"/>
      <c r="B356" s="4"/>
      <c r="C356" s="8"/>
      <c r="D356" s="8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9.5" customHeight="1" x14ac:dyDescent="0.25">
      <c r="A357" s="4"/>
      <c r="B357" s="4"/>
      <c r="C357" s="8"/>
      <c r="D357" s="8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9.5" customHeight="1" x14ac:dyDescent="0.25">
      <c r="A358" s="4"/>
      <c r="B358" s="4"/>
      <c r="C358" s="8"/>
      <c r="D358" s="8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9.5" customHeight="1" x14ac:dyDescent="0.25">
      <c r="A359" s="4"/>
      <c r="B359" s="4"/>
      <c r="C359" s="8"/>
      <c r="D359" s="8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9.5" customHeight="1" x14ac:dyDescent="0.25">
      <c r="A360" s="4"/>
      <c r="B360" s="4"/>
      <c r="C360" s="8"/>
      <c r="D360" s="8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9.5" customHeight="1" x14ac:dyDescent="0.25">
      <c r="A361" s="4"/>
      <c r="B361" s="4"/>
      <c r="C361" s="8"/>
      <c r="D361" s="8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9.5" customHeight="1" x14ac:dyDescent="0.25">
      <c r="A362" s="4"/>
      <c r="B362" s="4"/>
      <c r="C362" s="8"/>
      <c r="D362" s="8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9.5" customHeight="1" x14ac:dyDescent="0.25">
      <c r="A363" s="4"/>
      <c r="B363" s="4"/>
      <c r="C363" s="8"/>
      <c r="D363" s="8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9.5" customHeight="1" x14ac:dyDescent="0.25">
      <c r="A364" s="4"/>
      <c r="B364" s="4"/>
      <c r="C364" s="8"/>
      <c r="D364" s="8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9.5" customHeight="1" x14ac:dyDescent="0.25">
      <c r="A365" s="4"/>
      <c r="B365" s="4"/>
      <c r="C365" s="8"/>
      <c r="D365" s="8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9.5" customHeight="1" x14ac:dyDescent="0.25">
      <c r="A366" s="4"/>
      <c r="B366" s="4"/>
      <c r="C366" s="8"/>
      <c r="D366" s="8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9.5" customHeight="1" x14ac:dyDescent="0.25">
      <c r="A367" s="4"/>
      <c r="B367" s="4"/>
      <c r="C367" s="8"/>
      <c r="D367" s="8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9.5" customHeight="1" x14ac:dyDescent="0.25">
      <c r="A368" s="4"/>
      <c r="B368" s="4"/>
      <c r="C368" s="8"/>
      <c r="D368" s="8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9.5" customHeight="1" x14ac:dyDescent="0.25">
      <c r="A369" s="4"/>
      <c r="B369" s="4"/>
      <c r="C369" s="8"/>
      <c r="D369" s="8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9.5" customHeight="1" x14ac:dyDescent="0.25">
      <c r="A370" s="4"/>
      <c r="B370" s="4"/>
      <c r="C370" s="8"/>
      <c r="D370" s="8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9.5" customHeight="1" x14ac:dyDescent="0.25">
      <c r="A371" s="4"/>
      <c r="B371" s="4"/>
      <c r="C371" s="8"/>
      <c r="D371" s="8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9.5" customHeight="1" x14ac:dyDescent="0.25">
      <c r="A372" s="4"/>
      <c r="B372" s="4"/>
      <c r="C372" s="8"/>
      <c r="D372" s="8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9.5" customHeight="1" x14ac:dyDescent="0.25">
      <c r="A373" s="4"/>
      <c r="B373" s="4"/>
      <c r="C373" s="8"/>
      <c r="D373" s="8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9.5" customHeight="1" x14ac:dyDescent="0.25">
      <c r="A374" s="4"/>
      <c r="B374" s="4"/>
      <c r="C374" s="8"/>
      <c r="D374" s="8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9.5" customHeight="1" x14ac:dyDescent="0.25">
      <c r="A375" s="4"/>
      <c r="B375" s="4"/>
      <c r="C375" s="8"/>
      <c r="D375" s="8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9.5" customHeight="1" x14ac:dyDescent="0.25">
      <c r="A376" s="4"/>
      <c r="B376" s="4"/>
      <c r="C376" s="8"/>
      <c r="D376" s="8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9.5" customHeight="1" x14ac:dyDescent="0.25">
      <c r="A377" s="4"/>
      <c r="B377" s="4"/>
      <c r="C377" s="8"/>
      <c r="D377" s="8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9.5" customHeight="1" x14ac:dyDescent="0.25">
      <c r="A378" s="4"/>
      <c r="B378" s="4"/>
      <c r="C378" s="8"/>
      <c r="D378" s="8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9.5" customHeight="1" x14ac:dyDescent="0.25">
      <c r="A379" s="4"/>
      <c r="B379" s="4"/>
      <c r="C379" s="8"/>
      <c r="D379" s="8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9.5" customHeight="1" x14ac:dyDescent="0.25">
      <c r="A380" s="4"/>
      <c r="B380" s="4"/>
      <c r="C380" s="8"/>
      <c r="D380" s="8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9.5" customHeight="1" x14ac:dyDescent="0.25">
      <c r="A381" s="4"/>
      <c r="B381" s="4"/>
      <c r="C381" s="8"/>
      <c r="D381" s="8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9.5" customHeight="1" x14ac:dyDescent="0.25">
      <c r="A382" s="4"/>
      <c r="B382" s="4"/>
      <c r="C382" s="8"/>
      <c r="D382" s="8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9.5" customHeight="1" x14ac:dyDescent="0.25">
      <c r="A383" s="4"/>
      <c r="B383" s="4"/>
      <c r="C383" s="8"/>
      <c r="D383" s="8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9.5" customHeight="1" x14ac:dyDescent="0.25">
      <c r="A384" s="4"/>
      <c r="B384" s="4"/>
      <c r="C384" s="8"/>
      <c r="D384" s="8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9.5" customHeight="1" x14ac:dyDescent="0.25">
      <c r="A385" s="4"/>
      <c r="B385" s="4"/>
      <c r="C385" s="8"/>
      <c r="D385" s="8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9.5" customHeight="1" x14ac:dyDescent="0.25">
      <c r="A386" s="4"/>
      <c r="B386" s="4"/>
      <c r="C386" s="8"/>
      <c r="D386" s="8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9.5" customHeight="1" x14ac:dyDescent="0.25">
      <c r="A387" s="4"/>
      <c r="B387" s="4"/>
      <c r="C387" s="8"/>
      <c r="D387" s="8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9.5" customHeight="1" x14ac:dyDescent="0.25">
      <c r="A388" s="4"/>
      <c r="B388" s="4"/>
      <c r="C388" s="8"/>
      <c r="D388" s="8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9.5" customHeight="1" x14ac:dyDescent="0.25">
      <c r="A389" s="4"/>
      <c r="B389" s="4"/>
      <c r="C389" s="8"/>
      <c r="D389" s="8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9.5" customHeight="1" x14ac:dyDescent="0.25">
      <c r="A390" s="4"/>
      <c r="B390" s="4"/>
      <c r="C390" s="8"/>
      <c r="D390" s="8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9.5" customHeight="1" x14ac:dyDescent="0.25">
      <c r="A391" s="4"/>
      <c r="B391" s="4"/>
      <c r="C391" s="8"/>
      <c r="D391" s="8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9.5" customHeight="1" x14ac:dyDescent="0.25">
      <c r="A392" s="4"/>
      <c r="B392" s="4"/>
      <c r="C392" s="8"/>
      <c r="D392" s="8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9.5" customHeight="1" x14ac:dyDescent="0.25">
      <c r="A393" s="4"/>
      <c r="B393" s="4"/>
      <c r="C393" s="8"/>
      <c r="D393" s="8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9.5" customHeight="1" x14ac:dyDescent="0.25">
      <c r="A394" s="4"/>
      <c r="B394" s="4"/>
      <c r="C394" s="8"/>
      <c r="D394" s="8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9.5" customHeight="1" x14ac:dyDescent="0.25">
      <c r="A395" s="4"/>
      <c r="B395" s="4"/>
      <c r="C395" s="8"/>
      <c r="D395" s="8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9.5" customHeight="1" x14ac:dyDescent="0.25">
      <c r="A396" s="4"/>
      <c r="B396" s="4"/>
      <c r="C396" s="8"/>
      <c r="D396" s="8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9.5" customHeight="1" x14ac:dyDescent="0.25">
      <c r="A397" s="4"/>
      <c r="B397" s="4"/>
      <c r="C397" s="8"/>
      <c r="D397" s="8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9.5" customHeight="1" x14ac:dyDescent="0.25">
      <c r="A398" s="4"/>
      <c r="B398" s="4"/>
      <c r="C398" s="8"/>
      <c r="D398" s="8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9.5" customHeight="1" x14ac:dyDescent="0.25">
      <c r="A399" s="4"/>
      <c r="B399" s="4"/>
      <c r="C399" s="8"/>
      <c r="D399" s="8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9.5" customHeight="1" x14ac:dyDescent="0.25">
      <c r="A400" s="4"/>
      <c r="B400" s="4"/>
      <c r="C400" s="8"/>
      <c r="D400" s="8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9.5" customHeight="1" x14ac:dyDescent="0.25">
      <c r="A401" s="4"/>
      <c r="B401" s="4"/>
      <c r="C401" s="8"/>
      <c r="D401" s="8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9.5" customHeight="1" x14ac:dyDescent="0.25">
      <c r="A402" s="4"/>
      <c r="B402" s="4"/>
      <c r="C402" s="8"/>
      <c r="D402" s="8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9.5" customHeight="1" x14ac:dyDescent="0.25">
      <c r="A403" s="4"/>
      <c r="B403" s="4"/>
      <c r="C403" s="8"/>
      <c r="D403" s="8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9.5" customHeight="1" x14ac:dyDescent="0.25">
      <c r="A404" s="4"/>
      <c r="B404" s="4"/>
      <c r="C404" s="8"/>
      <c r="D404" s="8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9.5" customHeight="1" x14ac:dyDescent="0.25">
      <c r="A405" s="4"/>
      <c r="B405" s="4"/>
      <c r="C405" s="8"/>
      <c r="D405" s="8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9.5" customHeight="1" x14ac:dyDescent="0.25">
      <c r="A406" s="4"/>
      <c r="B406" s="4"/>
      <c r="C406" s="8"/>
      <c r="D406" s="8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9.5" customHeight="1" x14ac:dyDescent="0.25">
      <c r="A407" s="4"/>
      <c r="B407" s="4"/>
      <c r="C407" s="8"/>
      <c r="D407" s="8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9.5" customHeight="1" x14ac:dyDescent="0.25">
      <c r="A408" s="4"/>
      <c r="B408" s="4"/>
      <c r="C408" s="8"/>
      <c r="D408" s="8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9.5" customHeight="1" x14ac:dyDescent="0.25">
      <c r="A409" s="4"/>
      <c r="B409" s="4"/>
      <c r="C409" s="8"/>
      <c r="D409" s="8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9.5" customHeight="1" x14ac:dyDescent="0.25">
      <c r="A410" s="4"/>
      <c r="B410" s="4"/>
      <c r="C410" s="8"/>
      <c r="D410" s="8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9.5" customHeight="1" x14ac:dyDescent="0.25">
      <c r="A411" s="4"/>
      <c r="B411" s="4"/>
      <c r="C411" s="8"/>
      <c r="D411" s="8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9.5" customHeight="1" x14ac:dyDescent="0.25">
      <c r="A412" s="4"/>
      <c r="B412" s="4"/>
      <c r="C412" s="8"/>
      <c r="D412" s="8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9.5" customHeight="1" x14ac:dyDescent="0.25">
      <c r="A413" s="4"/>
      <c r="B413" s="4"/>
      <c r="C413" s="8"/>
      <c r="D413" s="8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9.5" customHeight="1" x14ac:dyDescent="0.25">
      <c r="A414" s="4"/>
      <c r="B414" s="4"/>
      <c r="C414" s="8"/>
      <c r="D414" s="8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9.5" customHeight="1" x14ac:dyDescent="0.25">
      <c r="A415" s="4"/>
      <c r="B415" s="4"/>
      <c r="C415" s="8"/>
      <c r="D415" s="8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9.5" customHeight="1" x14ac:dyDescent="0.25">
      <c r="A416" s="4"/>
      <c r="B416" s="4"/>
      <c r="C416" s="8"/>
      <c r="D416" s="8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9.5" customHeight="1" x14ac:dyDescent="0.25">
      <c r="A417" s="4"/>
      <c r="B417" s="4"/>
      <c r="C417" s="8"/>
      <c r="D417" s="8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9.5" customHeight="1" x14ac:dyDescent="0.25">
      <c r="A418" s="4"/>
      <c r="B418" s="4"/>
      <c r="C418" s="8"/>
      <c r="D418" s="8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9.5" customHeight="1" x14ac:dyDescent="0.25">
      <c r="A419" s="4"/>
      <c r="B419" s="4"/>
      <c r="C419" s="8"/>
      <c r="D419" s="8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9.5" customHeight="1" x14ac:dyDescent="0.25">
      <c r="A420" s="4"/>
      <c r="B420" s="4"/>
      <c r="C420" s="8"/>
      <c r="D420" s="8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9.5" customHeight="1" x14ac:dyDescent="0.25">
      <c r="A421" s="4"/>
      <c r="B421" s="4"/>
      <c r="C421" s="8"/>
      <c r="D421" s="8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9.5" customHeight="1" x14ac:dyDescent="0.25">
      <c r="A422" s="4"/>
      <c r="B422" s="4"/>
      <c r="C422" s="8"/>
      <c r="D422" s="8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9.5" customHeight="1" x14ac:dyDescent="0.25">
      <c r="A423" s="4"/>
      <c r="B423" s="4"/>
      <c r="C423" s="8"/>
      <c r="D423" s="8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9.5" customHeight="1" x14ac:dyDescent="0.25">
      <c r="A424" s="4"/>
      <c r="B424" s="4"/>
      <c r="C424" s="8"/>
      <c r="D424" s="8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9.5" customHeight="1" x14ac:dyDescent="0.25">
      <c r="A425" s="4"/>
      <c r="B425" s="4"/>
      <c r="C425" s="8"/>
      <c r="D425" s="8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9.5" customHeight="1" x14ac:dyDescent="0.25">
      <c r="A426" s="4"/>
      <c r="B426" s="4"/>
      <c r="C426" s="8"/>
      <c r="D426" s="8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9.5" customHeight="1" x14ac:dyDescent="0.25">
      <c r="A427" s="4"/>
      <c r="B427" s="4"/>
      <c r="C427" s="8"/>
      <c r="D427" s="8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9.5" customHeight="1" x14ac:dyDescent="0.25">
      <c r="A428" s="4"/>
      <c r="B428" s="4"/>
      <c r="C428" s="8"/>
      <c r="D428" s="8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9.5" customHeight="1" x14ac:dyDescent="0.25">
      <c r="A429" s="4"/>
      <c r="B429" s="4"/>
      <c r="C429" s="8"/>
      <c r="D429" s="8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9.5" customHeight="1" x14ac:dyDescent="0.25">
      <c r="A430" s="4"/>
      <c r="B430" s="4"/>
      <c r="C430" s="8"/>
      <c r="D430" s="8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9.5" customHeight="1" x14ac:dyDescent="0.25">
      <c r="A431" s="4"/>
      <c r="B431" s="4"/>
      <c r="C431" s="8"/>
      <c r="D431" s="8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9.5" customHeight="1" x14ac:dyDescent="0.25">
      <c r="A432" s="4"/>
      <c r="B432" s="4"/>
      <c r="C432" s="8"/>
      <c r="D432" s="8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9.5" customHeight="1" x14ac:dyDescent="0.25">
      <c r="A433" s="4"/>
      <c r="B433" s="4"/>
      <c r="C433" s="8"/>
      <c r="D433" s="8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9.5" customHeight="1" x14ac:dyDescent="0.25">
      <c r="A434" s="4"/>
      <c r="B434" s="4"/>
      <c r="C434" s="8"/>
      <c r="D434" s="8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9.5" customHeight="1" x14ac:dyDescent="0.25">
      <c r="A435" s="4"/>
      <c r="B435" s="4"/>
      <c r="C435" s="8"/>
      <c r="D435" s="8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9.5" customHeight="1" x14ac:dyDescent="0.25">
      <c r="A436" s="4"/>
      <c r="B436" s="4"/>
      <c r="C436" s="8"/>
      <c r="D436" s="8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9.5" customHeight="1" x14ac:dyDescent="0.25">
      <c r="A437" s="4"/>
      <c r="B437" s="4"/>
      <c r="C437" s="8"/>
      <c r="D437" s="8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9.5" customHeight="1" x14ac:dyDescent="0.25">
      <c r="A438" s="4"/>
      <c r="B438" s="4"/>
      <c r="C438" s="8"/>
      <c r="D438" s="8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9.5" customHeight="1" x14ac:dyDescent="0.25">
      <c r="A439" s="4"/>
      <c r="B439" s="4"/>
      <c r="C439" s="8"/>
      <c r="D439" s="8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9.5" customHeight="1" x14ac:dyDescent="0.25">
      <c r="A440" s="4"/>
      <c r="B440" s="4"/>
      <c r="C440" s="8"/>
      <c r="D440" s="8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9.5" customHeight="1" x14ac:dyDescent="0.25">
      <c r="A441" s="4"/>
      <c r="B441" s="4"/>
      <c r="C441" s="8"/>
      <c r="D441" s="8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9.5" customHeight="1" x14ac:dyDescent="0.25">
      <c r="A442" s="4"/>
      <c r="B442" s="4"/>
      <c r="C442" s="8"/>
      <c r="D442" s="8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9.5" customHeight="1" x14ac:dyDescent="0.25">
      <c r="A443" s="4"/>
      <c r="B443" s="4"/>
      <c r="C443" s="8"/>
      <c r="D443" s="8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9.5" customHeight="1" x14ac:dyDescent="0.25">
      <c r="A444" s="4"/>
      <c r="B444" s="4"/>
      <c r="C444" s="8"/>
      <c r="D444" s="8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9.5" customHeight="1" x14ac:dyDescent="0.25">
      <c r="A445" s="4"/>
      <c r="B445" s="4"/>
      <c r="C445" s="8"/>
      <c r="D445" s="8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9.5" customHeight="1" x14ac:dyDescent="0.25">
      <c r="A446" s="4"/>
      <c r="B446" s="4"/>
      <c r="C446" s="8"/>
      <c r="D446" s="8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9.5" customHeight="1" x14ac:dyDescent="0.25">
      <c r="A447" s="4"/>
      <c r="B447" s="4"/>
      <c r="C447" s="8"/>
      <c r="D447" s="8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9.5" customHeight="1" x14ac:dyDescent="0.25">
      <c r="A448" s="4"/>
      <c r="B448" s="4"/>
      <c r="C448" s="8"/>
      <c r="D448" s="8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9.5" customHeight="1" x14ac:dyDescent="0.25">
      <c r="A449" s="4"/>
      <c r="B449" s="4"/>
      <c r="C449" s="8"/>
      <c r="D449" s="8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9.5" customHeight="1" x14ac:dyDescent="0.25">
      <c r="A450" s="4"/>
      <c r="B450" s="4"/>
      <c r="C450" s="8"/>
      <c r="D450" s="8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9.5" customHeight="1" x14ac:dyDescent="0.25">
      <c r="A451" s="4"/>
      <c r="B451" s="4"/>
      <c r="C451" s="8"/>
      <c r="D451" s="8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9.5" customHeight="1" x14ac:dyDescent="0.25">
      <c r="A452" s="4"/>
      <c r="B452" s="4"/>
      <c r="C452" s="8"/>
      <c r="D452" s="8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9.5" customHeight="1" x14ac:dyDescent="0.25">
      <c r="A453" s="4"/>
      <c r="B453" s="4"/>
      <c r="C453" s="8"/>
      <c r="D453" s="8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9.5" customHeight="1" x14ac:dyDescent="0.25">
      <c r="A454" s="4"/>
      <c r="B454" s="4"/>
      <c r="C454" s="8"/>
      <c r="D454" s="8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9.5" customHeight="1" x14ac:dyDescent="0.25">
      <c r="A455" s="4"/>
      <c r="B455" s="4"/>
      <c r="C455" s="8"/>
      <c r="D455" s="8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9.5" customHeight="1" x14ac:dyDescent="0.25">
      <c r="A456" s="4"/>
      <c r="B456" s="4"/>
      <c r="C456" s="8"/>
      <c r="D456" s="8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9.5" customHeight="1" x14ac:dyDescent="0.25">
      <c r="A457" s="4"/>
      <c r="B457" s="4"/>
      <c r="C457" s="8"/>
      <c r="D457" s="8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9.5" customHeight="1" x14ac:dyDescent="0.25">
      <c r="A458" s="4"/>
      <c r="B458" s="4"/>
      <c r="C458" s="8"/>
      <c r="D458" s="8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9.5" customHeight="1" x14ac:dyDescent="0.25">
      <c r="A459" s="4"/>
      <c r="B459" s="4"/>
      <c r="C459" s="8"/>
      <c r="D459" s="8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9.5" customHeight="1" x14ac:dyDescent="0.25">
      <c r="A460" s="4"/>
      <c r="B460" s="4"/>
      <c r="C460" s="8"/>
      <c r="D460" s="8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9.5" customHeight="1" x14ac:dyDescent="0.25">
      <c r="A461" s="4"/>
      <c r="B461" s="4"/>
      <c r="C461" s="8"/>
      <c r="D461" s="8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9.5" customHeight="1" x14ac:dyDescent="0.25">
      <c r="A462" s="4"/>
      <c r="B462" s="4"/>
      <c r="C462" s="8"/>
      <c r="D462" s="8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9.5" customHeight="1" x14ac:dyDescent="0.25">
      <c r="A463" s="4"/>
      <c r="B463" s="4"/>
      <c r="C463" s="8"/>
      <c r="D463" s="8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9.5" customHeight="1" x14ac:dyDescent="0.25">
      <c r="A464" s="4"/>
      <c r="B464" s="4"/>
      <c r="C464" s="8"/>
      <c r="D464" s="8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9.5" customHeight="1" x14ac:dyDescent="0.25">
      <c r="A465" s="4"/>
      <c r="B465" s="4"/>
      <c r="C465" s="8"/>
      <c r="D465" s="8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9.5" customHeight="1" x14ac:dyDescent="0.25">
      <c r="A466" s="4"/>
      <c r="B466" s="4"/>
      <c r="C466" s="8"/>
      <c r="D466" s="8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9.5" customHeight="1" x14ac:dyDescent="0.25">
      <c r="A467" s="4"/>
      <c r="B467" s="4"/>
      <c r="C467" s="8"/>
      <c r="D467" s="8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9.5" customHeight="1" x14ac:dyDescent="0.25">
      <c r="A468" s="4"/>
      <c r="B468" s="4"/>
      <c r="C468" s="8"/>
      <c r="D468" s="8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9.5" customHeight="1" x14ac:dyDescent="0.25">
      <c r="A469" s="4"/>
      <c r="B469" s="4"/>
      <c r="C469" s="8"/>
      <c r="D469" s="8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9.5" customHeight="1" x14ac:dyDescent="0.25">
      <c r="A470" s="4"/>
      <c r="B470" s="4"/>
      <c r="C470" s="8"/>
      <c r="D470" s="8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9.5" customHeight="1" x14ac:dyDescent="0.25">
      <c r="A471" s="4"/>
      <c r="B471" s="4"/>
      <c r="C471" s="8"/>
      <c r="D471" s="8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9.5" customHeight="1" x14ac:dyDescent="0.25">
      <c r="A472" s="4"/>
      <c r="B472" s="4"/>
      <c r="C472" s="8"/>
      <c r="D472" s="8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9.5" customHeight="1" x14ac:dyDescent="0.25">
      <c r="A473" s="4"/>
      <c r="B473" s="4"/>
      <c r="C473" s="8"/>
      <c r="D473" s="8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9.5" customHeight="1" x14ac:dyDescent="0.25">
      <c r="A474" s="4"/>
      <c r="B474" s="4"/>
      <c r="C474" s="8"/>
      <c r="D474" s="8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9.5" customHeight="1" x14ac:dyDescent="0.25">
      <c r="A475" s="4"/>
      <c r="B475" s="4"/>
      <c r="C475" s="8"/>
      <c r="D475" s="8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9.5" customHeight="1" x14ac:dyDescent="0.25">
      <c r="A476" s="4"/>
      <c r="B476" s="4"/>
      <c r="C476" s="8"/>
      <c r="D476" s="8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9.5" customHeight="1" x14ac:dyDescent="0.25">
      <c r="A477" s="4"/>
      <c r="B477" s="4"/>
      <c r="C477" s="8"/>
      <c r="D477" s="8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9.5" customHeight="1" x14ac:dyDescent="0.25">
      <c r="A478" s="4"/>
      <c r="B478" s="4"/>
      <c r="C478" s="8"/>
      <c r="D478" s="8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9.5" customHeight="1" x14ac:dyDescent="0.25">
      <c r="A479" s="4"/>
      <c r="B479" s="4"/>
      <c r="C479" s="8"/>
      <c r="D479" s="8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9.5" customHeight="1" x14ac:dyDescent="0.25">
      <c r="A480" s="4"/>
      <c r="B480" s="4"/>
      <c r="C480" s="8"/>
      <c r="D480" s="8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9.5" customHeight="1" x14ac:dyDescent="0.25">
      <c r="A481" s="4"/>
      <c r="B481" s="4"/>
      <c r="C481" s="8"/>
      <c r="D481" s="8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9.5" customHeight="1" x14ac:dyDescent="0.25">
      <c r="A482" s="4"/>
      <c r="B482" s="4"/>
      <c r="C482" s="8"/>
      <c r="D482" s="8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9.5" customHeight="1" x14ac:dyDescent="0.25">
      <c r="A483" s="4"/>
      <c r="B483" s="4"/>
      <c r="C483" s="8"/>
      <c r="D483" s="8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9.5" customHeight="1" x14ac:dyDescent="0.25">
      <c r="A484" s="4"/>
      <c r="B484" s="4"/>
      <c r="C484" s="8"/>
      <c r="D484" s="8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9.5" customHeight="1" x14ac:dyDescent="0.25">
      <c r="A485" s="4"/>
      <c r="B485" s="4"/>
      <c r="C485" s="8"/>
      <c r="D485" s="8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9.5" customHeight="1" x14ac:dyDescent="0.25">
      <c r="A486" s="4"/>
      <c r="B486" s="4"/>
      <c r="C486" s="8"/>
      <c r="D486" s="8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9.5" customHeight="1" x14ac:dyDescent="0.25">
      <c r="A487" s="4"/>
      <c r="B487" s="4"/>
      <c r="C487" s="8"/>
      <c r="D487" s="8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9.5" customHeight="1" x14ac:dyDescent="0.25">
      <c r="A488" s="4"/>
      <c r="B488" s="4"/>
      <c r="C488" s="8"/>
      <c r="D488" s="8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9.5" customHeight="1" x14ac:dyDescent="0.25">
      <c r="A489" s="4"/>
      <c r="B489" s="4"/>
      <c r="C489" s="8"/>
      <c r="D489" s="8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9.5" customHeight="1" x14ac:dyDescent="0.25">
      <c r="A490" s="4"/>
      <c r="B490" s="4"/>
      <c r="C490" s="8"/>
      <c r="D490" s="8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9.5" customHeight="1" x14ac:dyDescent="0.25">
      <c r="A491" s="4"/>
      <c r="B491" s="4"/>
      <c r="C491" s="8"/>
      <c r="D491" s="8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9.5" customHeight="1" x14ac:dyDescent="0.25">
      <c r="A492" s="4"/>
      <c r="B492" s="4"/>
      <c r="C492" s="8"/>
      <c r="D492" s="8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9.5" customHeight="1" x14ac:dyDescent="0.25">
      <c r="A493" s="4"/>
      <c r="B493" s="4"/>
      <c r="C493" s="8"/>
      <c r="D493" s="8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9.5" customHeight="1" x14ac:dyDescent="0.25">
      <c r="A494" s="4"/>
      <c r="B494" s="4"/>
      <c r="C494" s="8"/>
      <c r="D494" s="8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9.5" customHeight="1" x14ac:dyDescent="0.25">
      <c r="A495" s="4"/>
      <c r="B495" s="4"/>
      <c r="C495" s="8"/>
      <c r="D495" s="8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9.5" customHeight="1" x14ac:dyDescent="0.25">
      <c r="A496" s="4"/>
      <c r="B496" s="4"/>
      <c r="C496" s="8"/>
      <c r="D496" s="8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9.5" customHeight="1" x14ac:dyDescent="0.25">
      <c r="A497" s="4"/>
      <c r="B497" s="4"/>
      <c r="C497" s="8"/>
      <c r="D497" s="8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9.5" customHeight="1" x14ac:dyDescent="0.25">
      <c r="A498" s="4"/>
      <c r="B498" s="4"/>
      <c r="C498" s="8"/>
      <c r="D498" s="8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9.5" customHeight="1" x14ac:dyDescent="0.25">
      <c r="A499" s="4"/>
      <c r="B499" s="4"/>
      <c r="C499" s="8"/>
      <c r="D499" s="8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9.5" customHeight="1" x14ac:dyDescent="0.25">
      <c r="A500" s="4"/>
      <c r="B500" s="4"/>
      <c r="C500" s="8"/>
      <c r="D500" s="8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9.5" customHeight="1" x14ac:dyDescent="0.25">
      <c r="A501" s="4"/>
      <c r="B501" s="4"/>
      <c r="C501" s="8"/>
      <c r="D501" s="8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9.5" customHeight="1" x14ac:dyDescent="0.25">
      <c r="A502" s="4"/>
      <c r="B502" s="4"/>
      <c r="C502" s="8"/>
      <c r="D502" s="8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9.5" customHeight="1" x14ac:dyDescent="0.25">
      <c r="A503" s="4"/>
      <c r="B503" s="4"/>
      <c r="C503" s="8"/>
      <c r="D503" s="8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9.5" customHeight="1" x14ac:dyDescent="0.25">
      <c r="A504" s="4"/>
      <c r="B504" s="4"/>
      <c r="C504" s="8"/>
      <c r="D504" s="8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9.5" customHeight="1" x14ac:dyDescent="0.25">
      <c r="A505" s="4"/>
      <c r="B505" s="4"/>
      <c r="C505" s="8"/>
      <c r="D505" s="8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9.5" customHeight="1" x14ac:dyDescent="0.25">
      <c r="A506" s="4"/>
      <c r="B506" s="4"/>
      <c r="C506" s="8"/>
      <c r="D506" s="8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9.5" customHeight="1" x14ac:dyDescent="0.25">
      <c r="A507" s="4"/>
      <c r="B507" s="4"/>
      <c r="C507" s="8"/>
      <c r="D507" s="8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9.5" customHeight="1" x14ac:dyDescent="0.25">
      <c r="A508" s="4"/>
      <c r="B508" s="4"/>
      <c r="C508" s="8"/>
      <c r="D508" s="8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9.5" customHeight="1" x14ac:dyDescent="0.25">
      <c r="A509" s="4"/>
      <c r="B509" s="4"/>
      <c r="C509" s="8"/>
      <c r="D509" s="8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9.5" customHeight="1" x14ac:dyDescent="0.25">
      <c r="A510" s="4"/>
      <c r="B510" s="4"/>
      <c r="C510" s="8"/>
      <c r="D510" s="8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9.5" customHeight="1" x14ac:dyDescent="0.25">
      <c r="A511" s="4"/>
      <c r="B511" s="4"/>
      <c r="C511" s="8"/>
      <c r="D511" s="8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9.5" customHeight="1" x14ac:dyDescent="0.25">
      <c r="A512" s="4"/>
      <c r="B512" s="4"/>
      <c r="C512" s="8"/>
      <c r="D512" s="8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9.5" customHeight="1" x14ac:dyDescent="0.25">
      <c r="A513" s="4"/>
      <c r="B513" s="4"/>
      <c r="C513" s="8"/>
      <c r="D513" s="8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9.5" customHeight="1" x14ac:dyDescent="0.25">
      <c r="A514" s="4"/>
      <c r="B514" s="4"/>
      <c r="C514" s="8"/>
      <c r="D514" s="8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9.5" customHeight="1" x14ac:dyDescent="0.25">
      <c r="A515" s="4"/>
      <c r="B515" s="4"/>
      <c r="C515" s="8"/>
      <c r="D515" s="8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9.5" customHeight="1" x14ac:dyDescent="0.25">
      <c r="A516" s="4"/>
      <c r="B516" s="4"/>
      <c r="C516" s="8"/>
      <c r="D516" s="8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9.5" customHeight="1" x14ac:dyDescent="0.25">
      <c r="A517" s="4"/>
      <c r="B517" s="4"/>
      <c r="C517" s="8"/>
      <c r="D517" s="8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9.5" customHeight="1" x14ac:dyDescent="0.25">
      <c r="A518" s="4"/>
      <c r="B518" s="4"/>
      <c r="C518" s="8"/>
      <c r="D518" s="8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9.5" customHeight="1" x14ac:dyDescent="0.25">
      <c r="A519" s="4"/>
      <c r="B519" s="4"/>
      <c r="C519" s="8"/>
      <c r="D519" s="8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9.5" customHeight="1" x14ac:dyDescent="0.25">
      <c r="A520" s="4"/>
      <c r="B520" s="4"/>
      <c r="C520" s="8"/>
      <c r="D520" s="8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9.5" customHeight="1" x14ac:dyDescent="0.25">
      <c r="A521" s="4"/>
      <c r="B521" s="4"/>
      <c r="C521" s="8"/>
      <c r="D521" s="8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9.5" customHeight="1" x14ac:dyDescent="0.25">
      <c r="A522" s="4"/>
      <c r="B522" s="4"/>
      <c r="C522" s="8"/>
      <c r="D522" s="8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9.5" customHeight="1" x14ac:dyDescent="0.25">
      <c r="A523" s="4"/>
      <c r="B523" s="4"/>
      <c r="C523" s="8"/>
      <c r="D523" s="8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9.5" customHeight="1" x14ac:dyDescent="0.25">
      <c r="A524" s="4"/>
      <c r="B524" s="4"/>
      <c r="C524" s="8"/>
      <c r="D524" s="8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9.5" customHeight="1" x14ac:dyDescent="0.25">
      <c r="A525" s="4"/>
      <c r="B525" s="4"/>
      <c r="C525" s="8"/>
      <c r="D525" s="8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9.5" customHeight="1" x14ac:dyDescent="0.25">
      <c r="A526" s="4"/>
      <c r="B526" s="4"/>
      <c r="C526" s="8"/>
      <c r="D526" s="8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9.5" customHeight="1" x14ac:dyDescent="0.25">
      <c r="A527" s="4"/>
      <c r="B527" s="4"/>
      <c r="C527" s="8"/>
      <c r="D527" s="8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9.5" customHeight="1" x14ac:dyDescent="0.25">
      <c r="A528" s="4"/>
      <c r="B528" s="4"/>
      <c r="C528" s="8"/>
      <c r="D528" s="8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9.5" customHeight="1" x14ac:dyDescent="0.25">
      <c r="A529" s="4"/>
      <c r="B529" s="4"/>
      <c r="C529" s="8"/>
      <c r="D529" s="8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9.5" customHeight="1" x14ac:dyDescent="0.25">
      <c r="A530" s="4"/>
      <c r="B530" s="4"/>
      <c r="C530" s="8"/>
      <c r="D530" s="8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9.5" customHeight="1" x14ac:dyDescent="0.25">
      <c r="A531" s="4"/>
      <c r="B531" s="4"/>
      <c r="C531" s="8"/>
      <c r="D531" s="8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9.5" customHeight="1" x14ac:dyDescent="0.25">
      <c r="A532" s="4"/>
      <c r="B532" s="4"/>
      <c r="C532" s="8"/>
      <c r="D532" s="8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9.5" customHeight="1" x14ac:dyDescent="0.25">
      <c r="A533" s="4"/>
      <c r="B533" s="4"/>
      <c r="C533" s="8"/>
      <c r="D533" s="8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9.5" customHeight="1" x14ac:dyDescent="0.25">
      <c r="A534" s="4"/>
      <c r="B534" s="4"/>
      <c r="C534" s="8"/>
      <c r="D534" s="8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9.5" customHeight="1" x14ac:dyDescent="0.25">
      <c r="A535" s="4"/>
      <c r="B535" s="4"/>
      <c r="C535" s="8"/>
      <c r="D535" s="8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9.5" customHeight="1" x14ac:dyDescent="0.25">
      <c r="A536" s="4"/>
      <c r="B536" s="4"/>
      <c r="C536" s="8"/>
      <c r="D536" s="8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9.5" customHeight="1" x14ac:dyDescent="0.25">
      <c r="A537" s="4"/>
      <c r="B537" s="4"/>
      <c r="C537" s="8"/>
      <c r="D537" s="8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9.5" customHeight="1" x14ac:dyDescent="0.25">
      <c r="A538" s="4"/>
      <c r="B538" s="4"/>
      <c r="C538" s="8"/>
      <c r="D538" s="8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9.5" customHeight="1" x14ac:dyDescent="0.25">
      <c r="A539" s="4"/>
      <c r="B539" s="4"/>
      <c r="C539" s="8"/>
      <c r="D539" s="8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9.5" customHeight="1" x14ac:dyDescent="0.25">
      <c r="A540" s="4"/>
      <c r="B540" s="4"/>
      <c r="C540" s="8"/>
      <c r="D540" s="8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9.5" customHeight="1" x14ac:dyDescent="0.25">
      <c r="A541" s="4"/>
      <c r="B541" s="4"/>
      <c r="C541" s="8"/>
      <c r="D541" s="8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9.5" customHeight="1" x14ac:dyDescent="0.25">
      <c r="A542" s="4"/>
      <c r="B542" s="4"/>
      <c r="C542" s="8"/>
      <c r="D542" s="8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9.5" customHeight="1" x14ac:dyDescent="0.25">
      <c r="A543" s="4"/>
      <c r="B543" s="4"/>
      <c r="C543" s="8"/>
      <c r="D543" s="8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9.5" customHeight="1" x14ac:dyDescent="0.25">
      <c r="A544" s="4"/>
      <c r="B544" s="4"/>
      <c r="C544" s="8"/>
      <c r="D544" s="8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9.5" customHeight="1" x14ac:dyDescent="0.25">
      <c r="A545" s="4"/>
      <c r="B545" s="4"/>
      <c r="C545" s="8"/>
      <c r="D545" s="8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9.5" customHeight="1" x14ac:dyDescent="0.25">
      <c r="A546" s="4"/>
      <c r="B546" s="4"/>
      <c r="C546" s="8"/>
      <c r="D546" s="8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9.5" customHeight="1" x14ac:dyDescent="0.25">
      <c r="A547" s="4"/>
      <c r="B547" s="4"/>
      <c r="C547" s="8"/>
      <c r="D547" s="8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9.5" customHeight="1" x14ac:dyDescent="0.25">
      <c r="A548" s="4"/>
      <c r="B548" s="4"/>
      <c r="C548" s="8"/>
      <c r="D548" s="8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9.5" customHeight="1" x14ac:dyDescent="0.25">
      <c r="A549" s="4"/>
      <c r="B549" s="4"/>
      <c r="C549" s="8"/>
      <c r="D549" s="8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9.5" customHeight="1" x14ac:dyDescent="0.25">
      <c r="A550" s="4"/>
      <c r="B550" s="4"/>
      <c r="C550" s="8"/>
      <c r="D550" s="8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9.5" customHeight="1" x14ac:dyDescent="0.25">
      <c r="A551" s="4"/>
      <c r="B551" s="4"/>
      <c r="C551" s="8"/>
      <c r="D551" s="8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9.5" customHeight="1" x14ac:dyDescent="0.25">
      <c r="A552" s="4"/>
      <c r="B552" s="4"/>
      <c r="C552" s="8"/>
      <c r="D552" s="8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9.5" customHeight="1" x14ac:dyDescent="0.25">
      <c r="A553" s="4"/>
      <c r="B553" s="4"/>
      <c r="C553" s="8"/>
      <c r="D553" s="8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9.5" customHeight="1" x14ac:dyDescent="0.25">
      <c r="A554" s="4"/>
      <c r="B554" s="4"/>
      <c r="C554" s="8"/>
      <c r="D554" s="8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9.5" customHeight="1" x14ac:dyDescent="0.25">
      <c r="A555" s="4"/>
      <c r="B555" s="4"/>
      <c r="C555" s="8"/>
      <c r="D555" s="8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9.5" customHeight="1" x14ac:dyDescent="0.25">
      <c r="A556" s="4"/>
      <c r="B556" s="4"/>
      <c r="C556" s="8"/>
      <c r="D556" s="8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9.5" customHeight="1" x14ac:dyDescent="0.25">
      <c r="A557" s="4"/>
      <c r="B557" s="4"/>
      <c r="C557" s="8"/>
      <c r="D557" s="8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9.5" customHeight="1" x14ac:dyDescent="0.25">
      <c r="A558" s="4"/>
      <c r="B558" s="4"/>
      <c r="C558" s="8"/>
      <c r="D558" s="8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9.5" customHeight="1" x14ac:dyDescent="0.25">
      <c r="A559" s="4"/>
      <c r="B559" s="4"/>
      <c r="C559" s="8"/>
      <c r="D559" s="8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9.5" customHeight="1" x14ac:dyDescent="0.25">
      <c r="A560" s="4"/>
      <c r="B560" s="4"/>
      <c r="C560" s="8"/>
      <c r="D560" s="8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9.5" customHeight="1" x14ac:dyDescent="0.25">
      <c r="A561" s="4"/>
      <c r="B561" s="4"/>
      <c r="C561" s="8"/>
      <c r="D561" s="8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9.5" customHeight="1" x14ac:dyDescent="0.25">
      <c r="A562" s="4"/>
      <c r="B562" s="4"/>
      <c r="C562" s="8"/>
      <c r="D562" s="8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9.5" customHeight="1" x14ac:dyDescent="0.25">
      <c r="A563" s="4"/>
      <c r="B563" s="4"/>
      <c r="C563" s="8"/>
      <c r="D563" s="8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9.5" customHeight="1" x14ac:dyDescent="0.25">
      <c r="A564" s="4"/>
      <c r="B564" s="4"/>
      <c r="C564" s="8"/>
      <c r="D564" s="8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9.5" customHeight="1" x14ac:dyDescent="0.25">
      <c r="A565" s="4"/>
      <c r="B565" s="4"/>
      <c r="C565" s="8"/>
      <c r="D565" s="8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9.5" customHeight="1" x14ac:dyDescent="0.25">
      <c r="A566" s="4"/>
      <c r="B566" s="4"/>
      <c r="C566" s="8"/>
      <c r="D566" s="8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9.5" customHeight="1" x14ac:dyDescent="0.25">
      <c r="A567" s="4"/>
      <c r="B567" s="4"/>
      <c r="C567" s="8"/>
      <c r="D567" s="8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9.5" customHeight="1" x14ac:dyDescent="0.25">
      <c r="A568" s="4"/>
      <c r="B568" s="4"/>
      <c r="C568" s="8"/>
      <c r="D568" s="8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9.5" customHeight="1" x14ac:dyDescent="0.25">
      <c r="A569" s="4"/>
      <c r="B569" s="4"/>
      <c r="C569" s="8"/>
      <c r="D569" s="8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9.5" customHeight="1" x14ac:dyDescent="0.25">
      <c r="A570" s="4"/>
      <c r="B570" s="4"/>
      <c r="C570" s="8"/>
      <c r="D570" s="8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9.5" customHeight="1" x14ac:dyDescent="0.25">
      <c r="A571" s="4"/>
      <c r="B571" s="4"/>
      <c r="C571" s="8"/>
      <c r="D571" s="8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9.5" customHeight="1" x14ac:dyDescent="0.25">
      <c r="A572" s="4"/>
      <c r="B572" s="4"/>
      <c r="C572" s="8"/>
      <c r="D572" s="8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9.5" customHeight="1" x14ac:dyDescent="0.25">
      <c r="A573" s="4"/>
      <c r="B573" s="4"/>
      <c r="C573" s="8"/>
      <c r="D573" s="8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9.5" customHeight="1" x14ac:dyDescent="0.25">
      <c r="A574" s="4"/>
      <c r="B574" s="4"/>
      <c r="C574" s="8"/>
      <c r="D574" s="8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9.5" customHeight="1" x14ac:dyDescent="0.25">
      <c r="A575" s="4"/>
      <c r="B575" s="4"/>
      <c r="C575" s="8"/>
      <c r="D575" s="8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9.5" customHeight="1" x14ac:dyDescent="0.25">
      <c r="A576" s="4"/>
      <c r="B576" s="4"/>
      <c r="C576" s="8"/>
      <c r="D576" s="8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9.5" customHeight="1" x14ac:dyDescent="0.25">
      <c r="A577" s="4"/>
      <c r="B577" s="4"/>
      <c r="C577" s="8"/>
      <c r="D577" s="8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9.5" customHeight="1" x14ac:dyDescent="0.25">
      <c r="A578" s="4"/>
      <c r="B578" s="4"/>
      <c r="C578" s="8"/>
      <c r="D578" s="8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9.5" customHeight="1" x14ac:dyDescent="0.25">
      <c r="A579" s="4"/>
      <c r="B579" s="4"/>
      <c r="C579" s="8"/>
      <c r="D579" s="8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9.5" customHeight="1" x14ac:dyDescent="0.25">
      <c r="A580" s="4"/>
      <c r="B580" s="4"/>
      <c r="C580" s="8"/>
      <c r="D580" s="8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9.5" customHeight="1" x14ac:dyDescent="0.25">
      <c r="A581" s="4"/>
      <c r="B581" s="4"/>
      <c r="C581" s="8"/>
      <c r="D581" s="8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9.5" customHeight="1" x14ac:dyDescent="0.25">
      <c r="A582" s="4"/>
      <c r="B582" s="4"/>
      <c r="C582" s="8"/>
      <c r="D582" s="8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9.5" customHeight="1" x14ac:dyDescent="0.25">
      <c r="A583" s="4"/>
      <c r="B583" s="4"/>
      <c r="C583" s="8"/>
      <c r="D583" s="8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9.5" customHeight="1" x14ac:dyDescent="0.25">
      <c r="A584" s="4"/>
      <c r="B584" s="4"/>
      <c r="C584" s="8"/>
      <c r="D584" s="8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9.5" customHeight="1" x14ac:dyDescent="0.25">
      <c r="A585" s="4"/>
      <c r="B585" s="4"/>
      <c r="C585" s="8"/>
      <c r="D585" s="8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9.5" customHeight="1" x14ac:dyDescent="0.25">
      <c r="A586" s="4"/>
      <c r="B586" s="4"/>
      <c r="C586" s="8"/>
      <c r="D586" s="8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9.5" customHeight="1" x14ac:dyDescent="0.25">
      <c r="A587" s="4"/>
      <c r="B587" s="4"/>
      <c r="C587" s="8"/>
      <c r="D587" s="8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9.5" customHeight="1" x14ac:dyDescent="0.25">
      <c r="A588" s="4"/>
      <c r="B588" s="4"/>
      <c r="C588" s="8"/>
      <c r="D588" s="8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9.5" customHeight="1" x14ac:dyDescent="0.25">
      <c r="A589" s="4"/>
      <c r="B589" s="4"/>
      <c r="C589" s="8"/>
      <c r="D589" s="8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9.5" customHeight="1" x14ac:dyDescent="0.25">
      <c r="A590" s="4"/>
      <c r="B590" s="4"/>
      <c r="C590" s="8"/>
      <c r="D590" s="8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9.5" customHeight="1" x14ac:dyDescent="0.25">
      <c r="A591" s="4"/>
      <c r="B591" s="4"/>
      <c r="C591" s="8"/>
      <c r="D591" s="8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9.5" customHeight="1" x14ac:dyDescent="0.25">
      <c r="A592" s="4"/>
      <c r="B592" s="4"/>
      <c r="C592" s="8"/>
      <c r="D592" s="8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9.5" customHeight="1" x14ac:dyDescent="0.25">
      <c r="A593" s="4"/>
      <c r="B593" s="4"/>
      <c r="C593" s="8"/>
      <c r="D593" s="8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9.5" customHeight="1" x14ac:dyDescent="0.25">
      <c r="A594" s="4"/>
      <c r="B594" s="4"/>
      <c r="C594" s="8"/>
      <c r="D594" s="8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9.5" customHeight="1" x14ac:dyDescent="0.25">
      <c r="A595" s="4"/>
      <c r="B595" s="4"/>
      <c r="C595" s="8"/>
      <c r="D595" s="8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9.5" customHeight="1" x14ac:dyDescent="0.25">
      <c r="A596" s="4"/>
      <c r="B596" s="4"/>
      <c r="C596" s="8"/>
      <c r="D596" s="8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9.5" customHeight="1" x14ac:dyDescent="0.25">
      <c r="A597" s="4"/>
      <c r="B597" s="4"/>
      <c r="C597" s="8"/>
      <c r="D597" s="8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9.5" customHeight="1" x14ac:dyDescent="0.25">
      <c r="A598" s="4"/>
      <c r="B598" s="4"/>
      <c r="C598" s="8"/>
      <c r="D598" s="8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9.5" customHeight="1" x14ac:dyDescent="0.25">
      <c r="A599" s="4"/>
      <c r="B599" s="4"/>
      <c r="C599" s="8"/>
      <c r="D599" s="8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9.5" customHeight="1" x14ac:dyDescent="0.25">
      <c r="A600" s="4"/>
      <c r="B600" s="4"/>
      <c r="C600" s="8"/>
      <c r="D600" s="8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9.5" customHeight="1" x14ac:dyDescent="0.25">
      <c r="A601" s="4"/>
      <c r="B601" s="4"/>
      <c r="C601" s="8"/>
      <c r="D601" s="8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9.5" customHeight="1" x14ac:dyDescent="0.25">
      <c r="A602" s="4"/>
      <c r="B602" s="4"/>
      <c r="C602" s="8"/>
      <c r="D602" s="8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9.5" customHeight="1" x14ac:dyDescent="0.25">
      <c r="A603" s="4"/>
      <c r="B603" s="4"/>
      <c r="C603" s="8"/>
      <c r="D603" s="8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9.5" customHeight="1" x14ac:dyDescent="0.25">
      <c r="A604" s="4"/>
      <c r="B604" s="4"/>
      <c r="C604" s="8"/>
      <c r="D604" s="8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9.5" customHeight="1" x14ac:dyDescent="0.25">
      <c r="A605" s="4"/>
      <c r="B605" s="4"/>
      <c r="C605" s="8"/>
      <c r="D605" s="8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9.5" customHeight="1" x14ac:dyDescent="0.25">
      <c r="A606" s="4"/>
      <c r="B606" s="4"/>
      <c r="C606" s="8"/>
      <c r="D606" s="8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9.5" customHeight="1" x14ac:dyDescent="0.25">
      <c r="A607" s="4"/>
      <c r="B607" s="4"/>
      <c r="C607" s="8"/>
      <c r="D607" s="8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9.5" customHeight="1" x14ac:dyDescent="0.25">
      <c r="A608" s="4"/>
      <c r="B608" s="4"/>
      <c r="C608" s="8"/>
      <c r="D608" s="8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9.5" customHeight="1" x14ac:dyDescent="0.25">
      <c r="A609" s="4"/>
      <c r="B609" s="4"/>
      <c r="C609" s="8"/>
      <c r="D609" s="8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9.5" customHeight="1" x14ac:dyDescent="0.25">
      <c r="A610" s="4"/>
      <c r="B610" s="4"/>
      <c r="C610" s="8"/>
      <c r="D610" s="8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9.5" customHeight="1" x14ac:dyDescent="0.25">
      <c r="A611" s="4"/>
      <c r="B611" s="4"/>
      <c r="C611" s="8"/>
      <c r="D611" s="8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9.5" customHeight="1" x14ac:dyDescent="0.25">
      <c r="A612" s="4"/>
      <c r="B612" s="4"/>
      <c r="C612" s="8"/>
      <c r="D612" s="8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9.5" customHeight="1" x14ac:dyDescent="0.25">
      <c r="A613" s="4"/>
      <c r="B613" s="4"/>
      <c r="C613" s="8"/>
      <c r="D613" s="8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9.5" customHeight="1" x14ac:dyDescent="0.25">
      <c r="A614" s="4"/>
      <c r="B614" s="4"/>
      <c r="C614" s="8"/>
      <c r="D614" s="8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9.5" customHeight="1" x14ac:dyDescent="0.25">
      <c r="A615" s="4"/>
      <c r="B615" s="4"/>
      <c r="C615" s="8"/>
      <c r="D615" s="8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9.5" customHeight="1" x14ac:dyDescent="0.25">
      <c r="A616" s="4"/>
      <c r="B616" s="4"/>
      <c r="C616" s="8"/>
      <c r="D616" s="8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9.5" customHeight="1" x14ac:dyDescent="0.25">
      <c r="A617" s="4"/>
      <c r="B617" s="4"/>
      <c r="C617" s="8"/>
      <c r="D617" s="8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9.5" customHeight="1" x14ac:dyDescent="0.25">
      <c r="A618" s="4"/>
      <c r="B618" s="4"/>
      <c r="C618" s="8"/>
      <c r="D618" s="8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9.5" customHeight="1" x14ac:dyDescent="0.25">
      <c r="A619" s="4"/>
      <c r="B619" s="4"/>
      <c r="C619" s="8"/>
      <c r="D619" s="8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9.5" customHeight="1" x14ac:dyDescent="0.25">
      <c r="A620" s="4"/>
      <c r="B620" s="4"/>
      <c r="C620" s="8"/>
      <c r="D620" s="8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9.5" customHeight="1" x14ac:dyDescent="0.25">
      <c r="A621" s="4"/>
      <c r="B621" s="4"/>
      <c r="C621" s="8"/>
      <c r="D621" s="8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9.5" customHeight="1" x14ac:dyDescent="0.25">
      <c r="A622" s="4"/>
      <c r="B622" s="4"/>
      <c r="C622" s="8"/>
      <c r="D622" s="8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9.5" customHeight="1" x14ac:dyDescent="0.25">
      <c r="A623" s="4"/>
      <c r="B623" s="4"/>
      <c r="C623" s="8"/>
      <c r="D623" s="8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9.5" customHeight="1" x14ac:dyDescent="0.25">
      <c r="A624" s="4"/>
      <c r="B624" s="4"/>
      <c r="C624" s="8"/>
      <c r="D624" s="8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9.5" customHeight="1" x14ac:dyDescent="0.25">
      <c r="A625" s="4"/>
      <c r="B625" s="4"/>
      <c r="C625" s="8"/>
      <c r="D625" s="8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9.5" customHeight="1" x14ac:dyDescent="0.25">
      <c r="A626" s="4"/>
      <c r="B626" s="4"/>
      <c r="C626" s="8"/>
      <c r="D626" s="8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9.5" customHeight="1" x14ac:dyDescent="0.25">
      <c r="A627" s="4"/>
      <c r="B627" s="4"/>
      <c r="C627" s="8"/>
      <c r="D627" s="8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9.5" customHeight="1" x14ac:dyDescent="0.25">
      <c r="A628" s="4"/>
      <c r="B628" s="4"/>
      <c r="C628" s="8"/>
      <c r="D628" s="8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9.5" customHeight="1" x14ac:dyDescent="0.25">
      <c r="A629" s="4"/>
      <c r="B629" s="4"/>
      <c r="C629" s="8"/>
      <c r="D629" s="8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9.5" customHeight="1" x14ac:dyDescent="0.25">
      <c r="A630" s="4"/>
      <c r="B630" s="4"/>
      <c r="C630" s="8"/>
      <c r="D630" s="8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9.5" customHeight="1" x14ac:dyDescent="0.25">
      <c r="A631" s="4"/>
      <c r="B631" s="4"/>
      <c r="C631" s="8"/>
      <c r="D631" s="8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9.5" customHeight="1" x14ac:dyDescent="0.25">
      <c r="A632" s="4"/>
      <c r="B632" s="4"/>
      <c r="C632" s="8"/>
      <c r="D632" s="8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9.5" customHeight="1" x14ac:dyDescent="0.25">
      <c r="A633" s="4"/>
      <c r="B633" s="4"/>
      <c r="C633" s="8"/>
      <c r="D633" s="8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9.5" customHeight="1" x14ac:dyDescent="0.25">
      <c r="A634" s="4"/>
      <c r="B634" s="4"/>
      <c r="C634" s="8"/>
      <c r="D634" s="8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9.5" customHeight="1" x14ac:dyDescent="0.25">
      <c r="A635" s="4"/>
      <c r="B635" s="4"/>
      <c r="C635" s="8"/>
      <c r="D635" s="8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9.5" customHeight="1" x14ac:dyDescent="0.25">
      <c r="A636" s="4"/>
      <c r="B636" s="4"/>
      <c r="C636" s="8"/>
      <c r="D636" s="8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9.5" customHeight="1" x14ac:dyDescent="0.25">
      <c r="A637" s="4"/>
      <c r="B637" s="4"/>
      <c r="C637" s="8"/>
      <c r="D637" s="8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9.5" customHeight="1" x14ac:dyDescent="0.25">
      <c r="A638" s="4"/>
      <c r="B638" s="4"/>
      <c r="C638" s="8"/>
      <c r="D638" s="8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9.5" customHeight="1" x14ac:dyDescent="0.25">
      <c r="A639" s="4"/>
      <c r="B639" s="4"/>
      <c r="C639" s="8"/>
      <c r="D639" s="8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9.5" customHeight="1" x14ac:dyDescent="0.25">
      <c r="A640" s="4"/>
      <c r="B640" s="4"/>
      <c r="C640" s="8"/>
      <c r="D640" s="8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9.5" customHeight="1" x14ac:dyDescent="0.25">
      <c r="A641" s="4"/>
      <c r="B641" s="4"/>
      <c r="C641" s="8"/>
      <c r="D641" s="8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9.5" customHeight="1" x14ac:dyDescent="0.25">
      <c r="A642" s="4"/>
      <c r="B642" s="4"/>
      <c r="C642" s="8"/>
      <c r="D642" s="8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9.5" customHeight="1" x14ac:dyDescent="0.25">
      <c r="A643" s="4"/>
      <c r="B643" s="4"/>
      <c r="C643" s="8"/>
      <c r="D643" s="8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9.5" customHeight="1" x14ac:dyDescent="0.25">
      <c r="A644" s="4"/>
      <c r="B644" s="4"/>
      <c r="C644" s="8"/>
      <c r="D644" s="8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9.5" customHeight="1" x14ac:dyDescent="0.25">
      <c r="A645" s="4"/>
      <c r="B645" s="4"/>
      <c r="C645" s="8"/>
      <c r="D645" s="8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9.5" customHeight="1" x14ac:dyDescent="0.25">
      <c r="A646" s="4"/>
      <c r="B646" s="4"/>
      <c r="C646" s="8"/>
      <c r="D646" s="8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9.5" customHeight="1" x14ac:dyDescent="0.25">
      <c r="A647" s="4"/>
      <c r="B647" s="4"/>
      <c r="C647" s="8"/>
      <c r="D647" s="8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9.5" customHeight="1" x14ac:dyDescent="0.25">
      <c r="A648" s="4"/>
      <c r="B648" s="4"/>
      <c r="C648" s="8"/>
      <c r="D648" s="8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9.5" customHeight="1" x14ac:dyDescent="0.25">
      <c r="A649" s="4"/>
      <c r="B649" s="4"/>
      <c r="C649" s="8"/>
      <c r="D649" s="8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9.5" customHeight="1" x14ac:dyDescent="0.25">
      <c r="A650" s="4"/>
      <c r="B650" s="4"/>
      <c r="C650" s="8"/>
      <c r="D650" s="8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9.5" customHeight="1" x14ac:dyDescent="0.25">
      <c r="A651" s="4"/>
      <c r="B651" s="4"/>
      <c r="C651" s="8"/>
      <c r="D651" s="8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9.5" customHeight="1" x14ac:dyDescent="0.25">
      <c r="A652" s="4"/>
      <c r="B652" s="4"/>
      <c r="C652" s="8"/>
      <c r="D652" s="8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9.5" customHeight="1" x14ac:dyDescent="0.25">
      <c r="A653" s="4"/>
      <c r="B653" s="4"/>
      <c r="C653" s="8"/>
      <c r="D653" s="8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9.5" customHeight="1" x14ac:dyDescent="0.25">
      <c r="A654" s="4"/>
      <c r="B654" s="4"/>
      <c r="C654" s="8"/>
      <c r="D654" s="8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9.5" customHeight="1" x14ac:dyDescent="0.25">
      <c r="A655" s="4"/>
      <c r="B655" s="4"/>
      <c r="C655" s="8"/>
      <c r="D655" s="8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9.5" customHeight="1" x14ac:dyDescent="0.25">
      <c r="A656" s="4"/>
      <c r="B656" s="4"/>
      <c r="C656" s="8"/>
      <c r="D656" s="8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9.5" customHeight="1" x14ac:dyDescent="0.25">
      <c r="A657" s="4"/>
      <c r="B657" s="4"/>
      <c r="C657" s="8"/>
      <c r="D657" s="8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9.5" customHeight="1" x14ac:dyDescent="0.25">
      <c r="A658" s="4"/>
      <c r="B658" s="4"/>
      <c r="C658" s="8"/>
      <c r="D658" s="8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9.5" customHeight="1" x14ac:dyDescent="0.25">
      <c r="A659" s="4"/>
      <c r="B659" s="4"/>
      <c r="C659" s="8"/>
      <c r="D659" s="8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9.5" customHeight="1" x14ac:dyDescent="0.25">
      <c r="A660" s="4"/>
      <c r="B660" s="4"/>
      <c r="C660" s="8"/>
      <c r="D660" s="8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9.5" customHeight="1" x14ac:dyDescent="0.25">
      <c r="A661" s="4"/>
      <c r="B661" s="4"/>
      <c r="C661" s="8"/>
      <c r="D661" s="8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9.5" customHeight="1" x14ac:dyDescent="0.25">
      <c r="A662" s="4"/>
      <c r="B662" s="4"/>
      <c r="C662" s="8"/>
      <c r="D662" s="8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9.5" customHeight="1" x14ac:dyDescent="0.25">
      <c r="A663" s="4"/>
      <c r="B663" s="4"/>
      <c r="C663" s="8"/>
      <c r="D663" s="8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9.5" customHeight="1" x14ac:dyDescent="0.25">
      <c r="A664" s="4"/>
      <c r="B664" s="4"/>
      <c r="C664" s="8"/>
      <c r="D664" s="8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9.5" customHeight="1" x14ac:dyDescent="0.25">
      <c r="A665" s="4"/>
      <c r="B665" s="4"/>
      <c r="C665" s="8"/>
      <c r="D665" s="8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9.5" customHeight="1" x14ac:dyDescent="0.25">
      <c r="A666" s="4"/>
      <c r="B666" s="4"/>
      <c r="C666" s="8"/>
      <c r="D666" s="8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9.5" customHeight="1" x14ac:dyDescent="0.25">
      <c r="A667" s="4"/>
      <c r="B667" s="4"/>
      <c r="C667" s="8"/>
      <c r="D667" s="8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9.5" customHeight="1" x14ac:dyDescent="0.25">
      <c r="A668" s="4"/>
      <c r="B668" s="4"/>
      <c r="C668" s="8"/>
      <c r="D668" s="8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9.5" customHeight="1" x14ac:dyDescent="0.25">
      <c r="A669" s="4"/>
      <c r="B669" s="4"/>
      <c r="C669" s="8"/>
      <c r="D669" s="8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9.5" customHeight="1" x14ac:dyDescent="0.25">
      <c r="A670" s="4"/>
      <c r="B670" s="4"/>
      <c r="C670" s="8"/>
      <c r="D670" s="8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9.5" customHeight="1" x14ac:dyDescent="0.25">
      <c r="A671" s="4"/>
      <c r="B671" s="4"/>
      <c r="C671" s="8"/>
      <c r="D671" s="8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9.5" customHeight="1" x14ac:dyDescent="0.25">
      <c r="A672" s="4"/>
      <c r="B672" s="4"/>
      <c r="C672" s="8"/>
      <c r="D672" s="8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9.5" customHeight="1" x14ac:dyDescent="0.25">
      <c r="A673" s="4"/>
      <c r="B673" s="4"/>
      <c r="C673" s="8"/>
      <c r="D673" s="8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9.5" customHeight="1" x14ac:dyDescent="0.25">
      <c r="A674" s="4"/>
      <c r="B674" s="4"/>
      <c r="C674" s="8"/>
      <c r="D674" s="8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9.5" customHeight="1" x14ac:dyDescent="0.25">
      <c r="A675" s="4"/>
      <c r="B675" s="4"/>
      <c r="C675" s="8"/>
      <c r="D675" s="8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9.5" customHeight="1" x14ac:dyDescent="0.25">
      <c r="A676" s="4"/>
      <c r="B676" s="4"/>
      <c r="C676" s="8"/>
      <c r="D676" s="8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9.5" customHeight="1" x14ac:dyDescent="0.25">
      <c r="A677" s="4"/>
      <c r="B677" s="4"/>
      <c r="C677" s="8"/>
      <c r="D677" s="8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9.5" customHeight="1" x14ac:dyDescent="0.25">
      <c r="A678" s="4"/>
      <c r="B678" s="4"/>
      <c r="C678" s="8"/>
      <c r="D678" s="8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9.5" customHeight="1" x14ac:dyDescent="0.25">
      <c r="A679" s="4"/>
      <c r="B679" s="4"/>
      <c r="C679" s="8"/>
      <c r="D679" s="8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9.5" customHeight="1" x14ac:dyDescent="0.25">
      <c r="A680" s="4"/>
      <c r="B680" s="4"/>
      <c r="C680" s="8"/>
      <c r="D680" s="8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9.5" customHeight="1" x14ac:dyDescent="0.25">
      <c r="A681" s="4"/>
      <c r="B681" s="4"/>
      <c r="C681" s="8"/>
      <c r="D681" s="8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9.5" customHeight="1" x14ac:dyDescent="0.25">
      <c r="A682" s="4"/>
      <c r="B682" s="4"/>
      <c r="C682" s="8"/>
      <c r="D682" s="8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9.5" customHeight="1" x14ac:dyDescent="0.25">
      <c r="A683" s="4"/>
      <c r="B683" s="4"/>
      <c r="C683" s="8"/>
      <c r="D683" s="8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9.5" customHeight="1" x14ac:dyDescent="0.25">
      <c r="A684" s="4"/>
      <c r="B684" s="4"/>
      <c r="C684" s="8"/>
      <c r="D684" s="8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9.5" customHeight="1" x14ac:dyDescent="0.25">
      <c r="A685" s="4"/>
      <c r="B685" s="4"/>
      <c r="C685" s="8"/>
      <c r="D685" s="8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9.5" customHeight="1" x14ac:dyDescent="0.25">
      <c r="A686" s="4"/>
      <c r="B686" s="4"/>
      <c r="C686" s="8"/>
      <c r="D686" s="8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9.5" customHeight="1" x14ac:dyDescent="0.25">
      <c r="A687" s="4"/>
      <c r="B687" s="4"/>
      <c r="C687" s="8"/>
      <c r="D687" s="8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9.5" customHeight="1" x14ac:dyDescent="0.25">
      <c r="A688" s="4"/>
      <c r="B688" s="4"/>
      <c r="C688" s="8"/>
      <c r="D688" s="8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9.5" customHeight="1" x14ac:dyDescent="0.25">
      <c r="A689" s="4"/>
      <c r="B689" s="4"/>
      <c r="C689" s="8"/>
      <c r="D689" s="8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9.5" customHeight="1" x14ac:dyDescent="0.25">
      <c r="A690" s="4"/>
      <c r="B690" s="4"/>
      <c r="C690" s="8"/>
      <c r="D690" s="8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9.5" customHeight="1" x14ac:dyDescent="0.25">
      <c r="A691" s="4"/>
      <c r="B691" s="4"/>
      <c r="C691" s="8"/>
      <c r="D691" s="8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9.5" customHeight="1" x14ac:dyDescent="0.25">
      <c r="A692" s="4"/>
      <c r="B692" s="4"/>
      <c r="C692" s="8"/>
      <c r="D692" s="8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9.5" customHeight="1" x14ac:dyDescent="0.25">
      <c r="A693" s="4"/>
      <c r="B693" s="4"/>
      <c r="C693" s="8"/>
      <c r="D693" s="8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9.5" customHeight="1" x14ac:dyDescent="0.25">
      <c r="A694" s="4"/>
      <c r="B694" s="4"/>
      <c r="C694" s="8"/>
      <c r="D694" s="8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9.5" customHeight="1" x14ac:dyDescent="0.25">
      <c r="A695" s="4"/>
      <c r="B695" s="4"/>
      <c r="C695" s="8"/>
      <c r="D695" s="8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9.5" customHeight="1" x14ac:dyDescent="0.25">
      <c r="A696" s="4"/>
      <c r="B696" s="4"/>
      <c r="C696" s="8"/>
      <c r="D696" s="8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9.5" customHeight="1" x14ac:dyDescent="0.25">
      <c r="A697" s="4"/>
      <c r="B697" s="4"/>
      <c r="C697" s="8"/>
      <c r="D697" s="8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9.5" customHeight="1" x14ac:dyDescent="0.25">
      <c r="A698" s="4"/>
      <c r="B698" s="4"/>
      <c r="C698" s="8"/>
      <c r="D698" s="8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9.5" customHeight="1" x14ac:dyDescent="0.25">
      <c r="A699" s="4"/>
      <c r="B699" s="4"/>
      <c r="C699" s="8"/>
      <c r="D699" s="8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9.5" customHeight="1" x14ac:dyDescent="0.25">
      <c r="A700" s="4"/>
      <c r="B700" s="4"/>
      <c r="C700" s="8"/>
      <c r="D700" s="8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9.5" customHeight="1" x14ac:dyDescent="0.25">
      <c r="A701" s="4"/>
      <c r="B701" s="4"/>
      <c r="C701" s="8"/>
      <c r="D701" s="8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9.5" customHeight="1" x14ac:dyDescent="0.25">
      <c r="A702" s="4"/>
      <c r="B702" s="4"/>
      <c r="C702" s="8"/>
      <c r="D702" s="8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9.5" customHeight="1" x14ac:dyDescent="0.25">
      <c r="A703" s="4"/>
      <c r="B703" s="4"/>
      <c r="C703" s="8"/>
      <c r="D703" s="8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9.5" customHeight="1" x14ac:dyDescent="0.25">
      <c r="A704" s="4"/>
      <c r="B704" s="4"/>
      <c r="C704" s="8"/>
      <c r="D704" s="8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9.5" customHeight="1" x14ac:dyDescent="0.25">
      <c r="A705" s="4"/>
      <c r="B705" s="4"/>
      <c r="C705" s="8"/>
      <c r="D705" s="8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9.5" customHeight="1" x14ac:dyDescent="0.25">
      <c r="A706" s="4"/>
      <c r="B706" s="4"/>
      <c r="C706" s="8"/>
      <c r="D706" s="8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9.5" customHeight="1" x14ac:dyDescent="0.25">
      <c r="A707" s="4"/>
      <c r="B707" s="4"/>
      <c r="C707" s="8"/>
      <c r="D707" s="8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9.5" customHeight="1" x14ac:dyDescent="0.25">
      <c r="A708" s="4"/>
      <c r="B708" s="4"/>
      <c r="C708" s="8"/>
      <c r="D708" s="8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9.5" customHeight="1" x14ac:dyDescent="0.25">
      <c r="A709" s="4"/>
      <c r="B709" s="4"/>
      <c r="C709" s="8"/>
      <c r="D709" s="8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9.5" customHeight="1" x14ac:dyDescent="0.25">
      <c r="A710" s="4"/>
      <c r="B710" s="4"/>
      <c r="C710" s="8"/>
      <c r="D710" s="8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9.5" customHeight="1" x14ac:dyDescent="0.25">
      <c r="A711" s="4"/>
      <c r="B711" s="4"/>
      <c r="C711" s="8"/>
      <c r="D711" s="8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9.5" customHeight="1" x14ac:dyDescent="0.25">
      <c r="A712" s="4"/>
      <c r="B712" s="4"/>
      <c r="C712" s="8"/>
      <c r="D712" s="8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9.5" customHeight="1" x14ac:dyDescent="0.25">
      <c r="A713" s="4"/>
      <c r="B713" s="4"/>
      <c r="C713" s="8"/>
      <c r="D713" s="8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9.5" customHeight="1" x14ac:dyDescent="0.25">
      <c r="A714" s="4"/>
      <c r="B714" s="4"/>
      <c r="C714" s="8"/>
      <c r="D714" s="8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9.5" customHeight="1" x14ac:dyDescent="0.25">
      <c r="A715" s="4"/>
      <c r="B715" s="4"/>
      <c r="C715" s="8"/>
      <c r="D715" s="8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9.5" customHeight="1" x14ac:dyDescent="0.25">
      <c r="A716" s="4"/>
      <c r="B716" s="4"/>
      <c r="C716" s="8"/>
      <c r="D716" s="8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9.5" customHeight="1" x14ac:dyDescent="0.25">
      <c r="A717" s="4"/>
      <c r="B717" s="4"/>
      <c r="C717" s="8"/>
      <c r="D717" s="8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9.5" customHeight="1" x14ac:dyDescent="0.25">
      <c r="A718" s="4"/>
      <c r="B718" s="4"/>
      <c r="C718" s="8"/>
      <c r="D718" s="8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9.5" customHeight="1" x14ac:dyDescent="0.25">
      <c r="A719" s="4"/>
      <c r="B719" s="4"/>
      <c r="C719" s="8"/>
      <c r="D719" s="8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9.5" customHeight="1" x14ac:dyDescent="0.25">
      <c r="A720" s="4"/>
      <c r="B720" s="4"/>
      <c r="C720" s="8"/>
      <c r="D720" s="8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9.5" customHeight="1" x14ac:dyDescent="0.25">
      <c r="A721" s="4"/>
      <c r="B721" s="4"/>
      <c r="C721" s="8"/>
      <c r="D721" s="8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9.5" customHeight="1" x14ac:dyDescent="0.25">
      <c r="A722" s="4"/>
      <c r="B722" s="4"/>
      <c r="C722" s="8"/>
      <c r="D722" s="8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9.5" customHeight="1" x14ac:dyDescent="0.25">
      <c r="A723" s="4"/>
      <c r="B723" s="4"/>
      <c r="C723" s="8"/>
      <c r="D723" s="8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9.5" customHeight="1" x14ac:dyDescent="0.25">
      <c r="A724" s="4"/>
      <c r="B724" s="4"/>
      <c r="C724" s="8"/>
      <c r="D724" s="8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9.5" customHeight="1" x14ac:dyDescent="0.25">
      <c r="A725" s="4"/>
      <c r="B725" s="4"/>
      <c r="C725" s="8"/>
      <c r="D725" s="8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9.5" customHeight="1" x14ac:dyDescent="0.25">
      <c r="A726" s="4"/>
      <c r="B726" s="4"/>
      <c r="C726" s="8"/>
      <c r="D726" s="8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9.5" customHeight="1" x14ac:dyDescent="0.25">
      <c r="A727" s="4"/>
      <c r="B727" s="4"/>
      <c r="C727" s="8"/>
      <c r="D727" s="8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9.5" customHeight="1" x14ac:dyDescent="0.25">
      <c r="A728" s="4"/>
      <c r="B728" s="4"/>
      <c r="C728" s="8"/>
      <c r="D728" s="8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9.5" customHeight="1" x14ac:dyDescent="0.25">
      <c r="A729" s="4"/>
      <c r="B729" s="4"/>
      <c r="C729" s="8"/>
      <c r="D729" s="8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9.5" customHeight="1" x14ac:dyDescent="0.25">
      <c r="A730" s="4"/>
      <c r="B730" s="4"/>
      <c r="C730" s="8"/>
      <c r="D730" s="8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9.5" customHeight="1" x14ac:dyDescent="0.25">
      <c r="A731" s="4"/>
      <c r="B731" s="4"/>
      <c r="C731" s="8"/>
      <c r="D731" s="8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9.5" customHeight="1" x14ac:dyDescent="0.25">
      <c r="A732" s="4"/>
      <c r="B732" s="4"/>
      <c r="C732" s="8"/>
      <c r="D732" s="8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9.5" customHeight="1" x14ac:dyDescent="0.25">
      <c r="A733" s="4"/>
      <c r="B733" s="4"/>
      <c r="C733" s="8"/>
      <c r="D733" s="8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9.5" customHeight="1" x14ac:dyDescent="0.25">
      <c r="A734" s="4"/>
      <c r="B734" s="4"/>
      <c r="C734" s="8"/>
      <c r="D734" s="8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9.5" customHeight="1" x14ac:dyDescent="0.25">
      <c r="A735" s="4"/>
      <c r="B735" s="4"/>
      <c r="C735" s="8"/>
      <c r="D735" s="8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9.5" customHeight="1" x14ac:dyDescent="0.25">
      <c r="A736" s="4"/>
      <c r="B736" s="4"/>
      <c r="C736" s="8"/>
      <c r="D736" s="8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9.5" customHeight="1" x14ac:dyDescent="0.25">
      <c r="A737" s="4"/>
      <c r="B737" s="4"/>
      <c r="C737" s="8"/>
      <c r="D737" s="8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9.5" customHeight="1" x14ac:dyDescent="0.25">
      <c r="A738" s="4"/>
      <c r="B738" s="4"/>
      <c r="C738" s="8"/>
      <c r="D738" s="8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9.5" customHeight="1" x14ac:dyDescent="0.25">
      <c r="A739" s="4"/>
      <c r="B739" s="4"/>
      <c r="C739" s="8"/>
      <c r="D739" s="8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9.5" customHeight="1" x14ac:dyDescent="0.25">
      <c r="A740" s="4"/>
      <c r="B740" s="4"/>
      <c r="C740" s="8"/>
      <c r="D740" s="8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9.5" customHeight="1" x14ac:dyDescent="0.25">
      <c r="A741" s="4"/>
      <c r="B741" s="4"/>
      <c r="C741" s="8"/>
      <c r="D741" s="8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9.5" customHeight="1" x14ac:dyDescent="0.25">
      <c r="A742" s="4"/>
      <c r="B742" s="4"/>
      <c r="C742" s="8"/>
      <c r="D742" s="8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9.5" customHeight="1" x14ac:dyDescent="0.25">
      <c r="A743" s="4"/>
      <c r="B743" s="4"/>
      <c r="C743" s="8"/>
      <c r="D743" s="8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9.5" customHeight="1" x14ac:dyDescent="0.25">
      <c r="A744" s="4"/>
      <c r="B744" s="4"/>
      <c r="C744" s="8"/>
      <c r="D744" s="8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9.5" customHeight="1" x14ac:dyDescent="0.25">
      <c r="A745" s="4"/>
      <c r="B745" s="4"/>
      <c r="C745" s="8"/>
      <c r="D745" s="8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9.5" customHeight="1" x14ac:dyDescent="0.25">
      <c r="A746" s="4"/>
      <c r="B746" s="4"/>
      <c r="C746" s="8"/>
      <c r="D746" s="8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9.5" customHeight="1" x14ac:dyDescent="0.25">
      <c r="A747" s="4"/>
      <c r="B747" s="4"/>
      <c r="C747" s="8"/>
      <c r="D747" s="8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9.5" customHeight="1" x14ac:dyDescent="0.25">
      <c r="A748" s="4"/>
      <c r="B748" s="4"/>
      <c r="C748" s="8"/>
      <c r="D748" s="8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9.5" customHeight="1" x14ac:dyDescent="0.25">
      <c r="A749" s="4"/>
      <c r="B749" s="4"/>
      <c r="C749" s="8"/>
      <c r="D749" s="8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9.5" customHeight="1" x14ac:dyDescent="0.25">
      <c r="A750" s="4"/>
      <c r="B750" s="4"/>
      <c r="C750" s="8"/>
      <c r="D750" s="8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9.5" customHeight="1" x14ac:dyDescent="0.25">
      <c r="A751" s="4"/>
      <c r="B751" s="4"/>
      <c r="C751" s="8"/>
      <c r="D751" s="8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9.5" customHeight="1" x14ac:dyDescent="0.25">
      <c r="A752" s="4"/>
      <c r="B752" s="4"/>
      <c r="C752" s="8"/>
      <c r="D752" s="8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9.5" customHeight="1" x14ac:dyDescent="0.25">
      <c r="A753" s="4"/>
      <c r="B753" s="4"/>
      <c r="C753" s="8"/>
      <c r="D753" s="8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9.5" customHeight="1" x14ac:dyDescent="0.25">
      <c r="A754" s="4"/>
      <c r="B754" s="4"/>
      <c r="C754" s="8"/>
      <c r="D754" s="8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9.5" customHeight="1" x14ac:dyDescent="0.25">
      <c r="A755" s="4"/>
      <c r="B755" s="4"/>
      <c r="C755" s="8"/>
      <c r="D755" s="8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9.5" customHeight="1" x14ac:dyDescent="0.25">
      <c r="A756" s="4"/>
      <c r="B756" s="4"/>
      <c r="C756" s="8"/>
      <c r="D756" s="8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9.5" customHeight="1" x14ac:dyDescent="0.25">
      <c r="A757" s="4"/>
      <c r="B757" s="4"/>
      <c r="C757" s="8"/>
      <c r="D757" s="8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9.5" customHeight="1" x14ac:dyDescent="0.25">
      <c r="A758" s="4"/>
      <c r="B758" s="4"/>
      <c r="C758" s="8"/>
      <c r="D758" s="8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9.5" customHeight="1" x14ac:dyDescent="0.25">
      <c r="A759" s="4"/>
      <c r="B759" s="4"/>
      <c r="C759" s="8"/>
      <c r="D759" s="8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9.5" customHeight="1" x14ac:dyDescent="0.25">
      <c r="A760" s="4"/>
      <c r="B760" s="4"/>
      <c r="C760" s="8"/>
      <c r="D760" s="8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9.5" customHeight="1" x14ac:dyDescent="0.25">
      <c r="A761" s="4"/>
      <c r="B761" s="4"/>
      <c r="C761" s="8"/>
      <c r="D761" s="8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9.5" customHeight="1" x14ac:dyDescent="0.25">
      <c r="A762" s="4"/>
      <c r="B762" s="4"/>
      <c r="C762" s="8"/>
      <c r="D762" s="8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9.5" customHeight="1" x14ac:dyDescent="0.25">
      <c r="A763" s="4"/>
      <c r="B763" s="4"/>
      <c r="C763" s="8"/>
      <c r="D763" s="8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9.5" customHeight="1" x14ac:dyDescent="0.25">
      <c r="A764" s="4"/>
      <c r="B764" s="4"/>
      <c r="C764" s="8"/>
      <c r="D764" s="8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9.5" customHeight="1" x14ac:dyDescent="0.25">
      <c r="A765" s="4"/>
      <c r="B765" s="4"/>
      <c r="C765" s="8"/>
      <c r="D765" s="8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9.5" customHeight="1" x14ac:dyDescent="0.25">
      <c r="A766" s="4"/>
      <c r="B766" s="4"/>
      <c r="C766" s="8"/>
      <c r="D766" s="8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9.5" customHeight="1" x14ac:dyDescent="0.25">
      <c r="A767" s="4"/>
      <c r="B767" s="4"/>
      <c r="C767" s="8"/>
      <c r="D767" s="8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9.5" customHeight="1" x14ac:dyDescent="0.25">
      <c r="A768" s="4"/>
      <c r="B768" s="4"/>
      <c r="C768" s="8"/>
      <c r="D768" s="8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9.5" customHeight="1" x14ac:dyDescent="0.25">
      <c r="A769" s="4"/>
      <c r="B769" s="4"/>
      <c r="C769" s="8"/>
      <c r="D769" s="8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9.5" customHeight="1" x14ac:dyDescent="0.25">
      <c r="A770" s="4"/>
      <c r="B770" s="4"/>
      <c r="C770" s="8"/>
      <c r="D770" s="8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9.5" customHeight="1" x14ac:dyDescent="0.25">
      <c r="A771" s="4"/>
      <c r="B771" s="4"/>
      <c r="C771" s="8"/>
      <c r="D771" s="8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9.5" customHeight="1" x14ac:dyDescent="0.25">
      <c r="A772" s="4"/>
      <c r="B772" s="4"/>
      <c r="C772" s="8"/>
      <c r="D772" s="8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9.5" customHeight="1" x14ac:dyDescent="0.25">
      <c r="A773" s="4"/>
      <c r="B773" s="4"/>
      <c r="C773" s="8"/>
      <c r="D773" s="8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9.5" customHeight="1" x14ac:dyDescent="0.25">
      <c r="A774" s="4"/>
      <c r="B774" s="4"/>
      <c r="C774" s="8"/>
      <c r="D774" s="8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9.5" customHeight="1" x14ac:dyDescent="0.25">
      <c r="A775" s="4"/>
      <c r="B775" s="4"/>
      <c r="C775" s="8"/>
      <c r="D775" s="8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9.5" customHeight="1" x14ac:dyDescent="0.25">
      <c r="A776" s="4"/>
      <c r="B776" s="4"/>
      <c r="C776" s="8"/>
      <c r="D776" s="8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9.5" customHeight="1" x14ac:dyDescent="0.25">
      <c r="A777" s="4"/>
      <c r="B777" s="4"/>
      <c r="C777" s="8"/>
      <c r="D777" s="8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9.5" customHeight="1" x14ac:dyDescent="0.25">
      <c r="A778" s="4"/>
      <c r="B778" s="4"/>
      <c r="C778" s="8"/>
      <c r="D778" s="8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9.5" customHeight="1" x14ac:dyDescent="0.25">
      <c r="A779" s="4"/>
      <c r="B779" s="4"/>
      <c r="C779" s="8"/>
      <c r="D779" s="8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9.5" customHeight="1" x14ac:dyDescent="0.25">
      <c r="A780" s="4"/>
      <c r="B780" s="4"/>
      <c r="C780" s="8"/>
      <c r="D780" s="8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9.5" customHeight="1" x14ac:dyDescent="0.25">
      <c r="A781" s="4"/>
      <c r="B781" s="4"/>
      <c r="C781" s="8"/>
      <c r="D781" s="8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9.5" customHeight="1" x14ac:dyDescent="0.25">
      <c r="A782" s="4"/>
      <c r="B782" s="4"/>
      <c r="C782" s="8"/>
      <c r="D782" s="8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9.5" customHeight="1" x14ac:dyDescent="0.25">
      <c r="A783" s="4"/>
      <c r="B783" s="4"/>
      <c r="C783" s="8"/>
      <c r="D783" s="8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9.5" customHeight="1" x14ac:dyDescent="0.25">
      <c r="A784" s="4"/>
      <c r="B784" s="4"/>
      <c r="C784" s="8"/>
      <c r="D784" s="8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9.5" customHeight="1" x14ac:dyDescent="0.25">
      <c r="A785" s="4"/>
      <c r="B785" s="4"/>
      <c r="C785" s="8"/>
      <c r="D785" s="8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9.5" customHeight="1" x14ac:dyDescent="0.25">
      <c r="A786" s="4"/>
      <c r="B786" s="4"/>
      <c r="C786" s="8"/>
      <c r="D786" s="8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9.5" customHeight="1" x14ac:dyDescent="0.25">
      <c r="A787" s="4"/>
      <c r="B787" s="4"/>
      <c r="C787" s="8"/>
      <c r="D787" s="8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9.5" customHeight="1" x14ac:dyDescent="0.25">
      <c r="A788" s="4"/>
      <c r="B788" s="4"/>
      <c r="C788" s="8"/>
      <c r="D788" s="8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9.5" customHeight="1" x14ac:dyDescent="0.25">
      <c r="A789" s="4"/>
      <c r="B789" s="4"/>
      <c r="C789" s="8"/>
      <c r="D789" s="8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9.5" customHeight="1" x14ac:dyDescent="0.25">
      <c r="A790" s="4"/>
      <c r="B790" s="4"/>
      <c r="C790" s="8"/>
      <c r="D790" s="8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9.5" customHeight="1" x14ac:dyDescent="0.25">
      <c r="A791" s="4"/>
      <c r="B791" s="4"/>
      <c r="C791" s="8"/>
      <c r="D791" s="8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9.5" customHeight="1" x14ac:dyDescent="0.25">
      <c r="A792" s="4"/>
      <c r="B792" s="4"/>
      <c r="C792" s="8"/>
      <c r="D792" s="8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9.5" customHeight="1" x14ac:dyDescent="0.25">
      <c r="A793" s="4"/>
      <c r="B793" s="4"/>
      <c r="C793" s="8"/>
      <c r="D793" s="8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9.5" customHeight="1" x14ac:dyDescent="0.25">
      <c r="A794" s="4"/>
      <c r="B794" s="4"/>
      <c r="C794" s="8"/>
      <c r="D794" s="8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9.5" customHeight="1" x14ac:dyDescent="0.25">
      <c r="A795" s="4"/>
      <c r="B795" s="4"/>
      <c r="C795" s="8"/>
      <c r="D795" s="8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9.5" customHeight="1" x14ac:dyDescent="0.25">
      <c r="A796" s="4"/>
      <c r="B796" s="4"/>
      <c r="C796" s="8"/>
      <c r="D796" s="8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9.5" customHeight="1" x14ac:dyDescent="0.25">
      <c r="A797" s="4"/>
      <c r="B797" s="4"/>
      <c r="C797" s="8"/>
      <c r="D797" s="8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9.5" customHeight="1" x14ac:dyDescent="0.25">
      <c r="A798" s="4"/>
      <c r="B798" s="4"/>
      <c r="C798" s="8"/>
      <c r="D798" s="8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9.5" customHeight="1" x14ac:dyDescent="0.25">
      <c r="A799" s="4"/>
      <c r="B799" s="4"/>
      <c r="C799" s="8"/>
      <c r="D799" s="8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9.5" customHeight="1" x14ac:dyDescent="0.25">
      <c r="A800" s="4"/>
      <c r="B800" s="4"/>
      <c r="C800" s="8"/>
      <c r="D800" s="8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9.5" customHeight="1" x14ac:dyDescent="0.25">
      <c r="A801" s="4"/>
      <c r="B801" s="4"/>
      <c r="C801" s="8"/>
      <c r="D801" s="8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9.5" customHeight="1" x14ac:dyDescent="0.25">
      <c r="A802" s="4"/>
      <c r="B802" s="4"/>
      <c r="C802" s="8"/>
      <c r="D802" s="8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9.5" customHeight="1" x14ac:dyDescent="0.25">
      <c r="A803" s="4"/>
      <c r="B803" s="4"/>
      <c r="C803" s="8"/>
      <c r="D803" s="8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9.5" customHeight="1" x14ac:dyDescent="0.25">
      <c r="A804" s="4"/>
      <c r="B804" s="4"/>
      <c r="C804" s="8"/>
      <c r="D804" s="8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9.5" customHeight="1" x14ac:dyDescent="0.25">
      <c r="A805" s="4"/>
      <c r="B805" s="4"/>
      <c r="C805" s="8"/>
      <c r="D805" s="8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9.5" customHeight="1" x14ac:dyDescent="0.25">
      <c r="A806" s="4"/>
      <c r="B806" s="4"/>
      <c r="C806" s="8"/>
      <c r="D806" s="8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9.5" customHeight="1" x14ac:dyDescent="0.25">
      <c r="A807" s="4"/>
      <c r="B807" s="4"/>
      <c r="C807" s="8"/>
      <c r="D807" s="8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9.5" customHeight="1" x14ac:dyDescent="0.25">
      <c r="A808" s="4"/>
      <c r="B808" s="4"/>
      <c r="C808" s="8"/>
      <c r="D808" s="8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9.5" customHeight="1" x14ac:dyDescent="0.25">
      <c r="A809" s="4"/>
      <c r="B809" s="4"/>
      <c r="C809" s="8"/>
      <c r="D809" s="8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9.5" customHeight="1" x14ac:dyDescent="0.25">
      <c r="A810" s="4"/>
      <c r="B810" s="4"/>
      <c r="C810" s="8"/>
      <c r="D810" s="8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9.5" customHeight="1" x14ac:dyDescent="0.25">
      <c r="A811" s="4"/>
      <c r="B811" s="4"/>
      <c r="C811" s="8"/>
      <c r="D811" s="8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9.5" customHeight="1" x14ac:dyDescent="0.25">
      <c r="A812" s="4"/>
      <c r="B812" s="4"/>
      <c r="C812" s="8"/>
      <c r="D812" s="8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9.5" customHeight="1" x14ac:dyDescent="0.25">
      <c r="A813" s="4"/>
      <c r="B813" s="4"/>
      <c r="C813" s="8"/>
      <c r="D813" s="8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9.5" customHeight="1" x14ac:dyDescent="0.25">
      <c r="A814" s="4"/>
      <c r="B814" s="4"/>
      <c r="C814" s="8"/>
      <c r="D814" s="8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9.5" customHeight="1" x14ac:dyDescent="0.25">
      <c r="A815" s="4"/>
      <c r="B815" s="4"/>
      <c r="C815" s="8"/>
      <c r="D815" s="8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9.5" customHeight="1" x14ac:dyDescent="0.25">
      <c r="A816" s="4"/>
      <c r="B816" s="4"/>
      <c r="C816" s="8"/>
      <c r="D816" s="8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9.5" customHeight="1" x14ac:dyDescent="0.25">
      <c r="A817" s="4"/>
      <c r="B817" s="4"/>
      <c r="C817" s="8"/>
      <c r="D817" s="8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9.5" customHeight="1" x14ac:dyDescent="0.25">
      <c r="A818" s="4"/>
      <c r="B818" s="4"/>
      <c r="C818" s="8"/>
      <c r="D818" s="8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9.5" customHeight="1" x14ac:dyDescent="0.25">
      <c r="A819" s="4"/>
      <c r="B819" s="4"/>
      <c r="C819" s="8"/>
      <c r="D819" s="8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9.5" customHeight="1" x14ac:dyDescent="0.25">
      <c r="A820" s="4"/>
      <c r="B820" s="4"/>
      <c r="C820" s="8"/>
      <c r="D820" s="8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9.5" customHeight="1" x14ac:dyDescent="0.25">
      <c r="A821" s="4"/>
      <c r="B821" s="4"/>
      <c r="C821" s="8"/>
      <c r="D821" s="8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9.5" customHeight="1" x14ac:dyDescent="0.25">
      <c r="A822" s="4"/>
      <c r="B822" s="4"/>
      <c r="C822" s="8"/>
      <c r="D822" s="8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9.5" customHeight="1" x14ac:dyDescent="0.25">
      <c r="A823" s="4"/>
      <c r="B823" s="4"/>
      <c r="C823" s="8"/>
      <c r="D823" s="8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9.5" customHeight="1" x14ac:dyDescent="0.25">
      <c r="A824" s="4"/>
      <c r="B824" s="4"/>
      <c r="C824" s="8"/>
      <c r="D824" s="8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9.5" customHeight="1" x14ac:dyDescent="0.25">
      <c r="A825" s="4"/>
      <c r="B825" s="4"/>
      <c r="C825" s="8"/>
      <c r="D825" s="8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9.5" customHeight="1" x14ac:dyDescent="0.25">
      <c r="A826" s="4"/>
      <c r="B826" s="4"/>
      <c r="C826" s="8"/>
      <c r="D826" s="8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9.5" customHeight="1" x14ac:dyDescent="0.25">
      <c r="A827" s="4"/>
      <c r="B827" s="4"/>
      <c r="C827" s="8"/>
      <c r="D827" s="8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9.5" customHeight="1" x14ac:dyDescent="0.25">
      <c r="A828" s="4"/>
      <c r="B828" s="4"/>
      <c r="C828" s="8"/>
      <c r="D828" s="8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9.5" customHeight="1" x14ac:dyDescent="0.25">
      <c r="A829" s="4"/>
      <c r="B829" s="4"/>
      <c r="C829" s="8"/>
      <c r="D829" s="8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9.5" customHeight="1" x14ac:dyDescent="0.25">
      <c r="A830" s="4"/>
      <c r="B830" s="4"/>
      <c r="C830" s="8"/>
      <c r="D830" s="8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9.5" customHeight="1" x14ac:dyDescent="0.25">
      <c r="A831" s="4"/>
      <c r="B831" s="4"/>
      <c r="C831" s="8"/>
      <c r="D831" s="8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9.5" customHeight="1" x14ac:dyDescent="0.25">
      <c r="A832" s="4"/>
      <c r="B832" s="4"/>
      <c r="C832" s="8"/>
      <c r="D832" s="8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9.5" customHeight="1" x14ac:dyDescent="0.25">
      <c r="A833" s="4"/>
      <c r="B833" s="4"/>
      <c r="C833" s="8"/>
      <c r="D833" s="8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9.5" customHeight="1" x14ac:dyDescent="0.25">
      <c r="A834" s="4"/>
      <c r="B834" s="4"/>
      <c r="C834" s="8"/>
      <c r="D834" s="8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9.5" customHeight="1" x14ac:dyDescent="0.25">
      <c r="A835" s="4"/>
      <c r="B835" s="4"/>
      <c r="C835" s="8"/>
      <c r="D835" s="8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9.5" customHeight="1" x14ac:dyDescent="0.25">
      <c r="A836" s="4"/>
      <c r="B836" s="4"/>
      <c r="C836" s="8"/>
      <c r="D836" s="8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9.5" customHeight="1" x14ac:dyDescent="0.25">
      <c r="A837" s="4"/>
      <c r="B837" s="4"/>
      <c r="C837" s="8"/>
      <c r="D837" s="8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9.5" customHeight="1" x14ac:dyDescent="0.25">
      <c r="A838" s="4"/>
      <c r="B838" s="4"/>
      <c r="C838" s="8"/>
      <c r="D838" s="8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9.5" customHeight="1" x14ac:dyDescent="0.25">
      <c r="A839" s="4"/>
      <c r="B839" s="4"/>
      <c r="C839" s="8"/>
      <c r="D839" s="8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9.5" customHeight="1" x14ac:dyDescent="0.25">
      <c r="A840" s="4"/>
      <c r="B840" s="4"/>
      <c r="C840" s="8"/>
      <c r="D840" s="8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9.5" customHeight="1" x14ac:dyDescent="0.25">
      <c r="A841" s="4"/>
      <c r="B841" s="4"/>
      <c r="C841" s="8"/>
      <c r="D841" s="8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9.5" customHeight="1" x14ac:dyDescent="0.25">
      <c r="A842" s="4"/>
      <c r="B842" s="4"/>
      <c r="C842" s="8"/>
      <c r="D842" s="8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9.5" customHeight="1" x14ac:dyDescent="0.25">
      <c r="A843" s="4"/>
      <c r="B843" s="4"/>
      <c r="C843" s="8"/>
      <c r="D843" s="8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9.5" customHeight="1" x14ac:dyDescent="0.25">
      <c r="A844" s="4"/>
      <c r="B844" s="4"/>
      <c r="C844" s="8"/>
      <c r="D844" s="8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9.5" customHeight="1" x14ac:dyDescent="0.25">
      <c r="A845" s="4"/>
      <c r="B845" s="4"/>
      <c r="C845" s="8"/>
      <c r="D845" s="8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9.5" customHeight="1" x14ac:dyDescent="0.25">
      <c r="A846" s="4"/>
      <c r="B846" s="4"/>
      <c r="C846" s="8"/>
      <c r="D846" s="8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9.5" customHeight="1" x14ac:dyDescent="0.25">
      <c r="A847" s="4"/>
      <c r="B847" s="4"/>
      <c r="C847" s="8"/>
      <c r="D847" s="8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9.5" customHeight="1" x14ac:dyDescent="0.25">
      <c r="A848" s="4"/>
      <c r="B848" s="4"/>
      <c r="C848" s="8"/>
      <c r="D848" s="8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9.5" customHeight="1" x14ac:dyDescent="0.25">
      <c r="A849" s="4"/>
      <c r="B849" s="4"/>
      <c r="C849" s="8"/>
      <c r="D849" s="8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9.5" customHeight="1" x14ac:dyDescent="0.25">
      <c r="A850" s="4"/>
      <c r="B850" s="4"/>
      <c r="C850" s="8"/>
      <c r="D850" s="8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9.5" customHeight="1" x14ac:dyDescent="0.25">
      <c r="A851" s="4"/>
      <c r="B851" s="4"/>
      <c r="C851" s="8"/>
      <c r="D851" s="8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9.5" customHeight="1" x14ac:dyDescent="0.25">
      <c r="A852" s="4"/>
      <c r="B852" s="4"/>
      <c r="C852" s="8"/>
      <c r="D852" s="8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9.5" customHeight="1" x14ac:dyDescent="0.25">
      <c r="A853" s="4"/>
      <c r="B853" s="4"/>
      <c r="C853" s="8"/>
      <c r="D853" s="8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9.5" customHeight="1" x14ac:dyDescent="0.25">
      <c r="A854" s="4"/>
      <c r="B854" s="4"/>
      <c r="C854" s="8"/>
      <c r="D854" s="8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9.5" customHeight="1" x14ac:dyDescent="0.25">
      <c r="A855" s="4"/>
      <c r="B855" s="4"/>
      <c r="C855" s="8"/>
      <c r="D855" s="8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9.5" customHeight="1" x14ac:dyDescent="0.25">
      <c r="A856" s="4"/>
      <c r="B856" s="4"/>
      <c r="C856" s="8"/>
      <c r="D856" s="8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9.5" customHeight="1" x14ac:dyDescent="0.25">
      <c r="A857" s="4"/>
      <c r="B857" s="4"/>
      <c r="C857" s="8"/>
      <c r="D857" s="8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9.5" customHeight="1" x14ac:dyDescent="0.25">
      <c r="A858" s="4"/>
      <c r="B858" s="4"/>
      <c r="C858" s="8"/>
      <c r="D858" s="8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9.5" customHeight="1" x14ac:dyDescent="0.25">
      <c r="A859" s="4"/>
      <c r="B859" s="4"/>
      <c r="C859" s="8"/>
      <c r="D859" s="8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9.5" customHeight="1" x14ac:dyDescent="0.25">
      <c r="A860" s="4"/>
      <c r="B860" s="4"/>
      <c r="C860" s="8"/>
      <c r="D860" s="8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9.5" customHeight="1" x14ac:dyDescent="0.25">
      <c r="A861" s="4"/>
      <c r="B861" s="4"/>
      <c r="C861" s="8"/>
      <c r="D861" s="8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9.5" customHeight="1" x14ac:dyDescent="0.25">
      <c r="A862" s="4"/>
      <c r="B862" s="4"/>
      <c r="C862" s="8"/>
      <c r="D862" s="8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9.5" customHeight="1" x14ac:dyDescent="0.25">
      <c r="A863" s="4"/>
      <c r="B863" s="4"/>
      <c r="C863" s="8"/>
      <c r="D863" s="8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9.5" customHeight="1" x14ac:dyDescent="0.25">
      <c r="A864" s="4"/>
      <c r="B864" s="4"/>
      <c r="C864" s="8"/>
      <c r="D864" s="8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9.5" customHeight="1" x14ac:dyDescent="0.25">
      <c r="A865" s="4"/>
      <c r="B865" s="4"/>
      <c r="C865" s="8"/>
      <c r="D865" s="8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9.5" customHeight="1" x14ac:dyDescent="0.25">
      <c r="A866" s="4"/>
      <c r="B866" s="4"/>
      <c r="C866" s="8"/>
      <c r="D866" s="8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9.5" customHeight="1" x14ac:dyDescent="0.25">
      <c r="A867" s="4"/>
      <c r="B867" s="4"/>
      <c r="C867" s="8"/>
      <c r="D867" s="8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9.5" customHeight="1" x14ac:dyDescent="0.25">
      <c r="A868" s="4"/>
      <c r="B868" s="4"/>
      <c r="C868" s="8"/>
      <c r="D868" s="8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9.5" customHeight="1" x14ac:dyDescent="0.25">
      <c r="A869" s="4"/>
      <c r="B869" s="4"/>
      <c r="C869" s="8"/>
      <c r="D869" s="8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9.5" customHeight="1" x14ac:dyDescent="0.25">
      <c r="A870" s="4"/>
      <c r="B870" s="4"/>
      <c r="C870" s="8"/>
      <c r="D870" s="8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9.5" customHeight="1" x14ac:dyDescent="0.25">
      <c r="A871" s="4"/>
      <c r="B871" s="4"/>
      <c r="C871" s="8"/>
      <c r="D871" s="8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9.5" customHeight="1" x14ac:dyDescent="0.25">
      <c r="A872" s="4"/>
      <c r="B872" s="4"/>
      <c r="C872" s="8"/>
      <c r="D872" s="8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9.5" customHeight="1" x14ac:dyDescent="0.25">
      <c r="A873" s="4"/>
      <c r="B873" s="4"/>
      <c r="C873" s="8"/>
      <c r="D873" s="8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9.5" customHeight="1" x14ac:dyDescent="0.25">
      <c r="A874" s="4"/>
      <c r="B874" s="4"/>
      <c r="C874" s="8"/>
      <c r="D874" s="8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9.5" customHeight="1" x14ac:dyDescent="0.25">
      <c r="A875" s="4"/>
      <c r="B875" s="4"/>
      <c r="C875" s="8"/>
      <c r="D875" s="8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9.5" customHeight="1" x14ac:dyDescent="0.25">
      <c r="A876" s="4"/>
      <c r="B876" s="4"/>
      <c r="C876" s="8"/>
      <c r="D876" s="8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9.5" customHeight="1" x14ac:dyDescent="0.25">
      <c r="A877" s="4"/>
      <c r="B877" s="4"/>
      <c r="C877" s="8"/>
      <c r="D877" s="8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9.5" customHeight="1" x14ac:dyDescent="0.25">
      <c r="A878" s="4"/>
      <c r="B878" s="4"/>
      <c r="C878" s="8"/>
      <c r="D878" s="8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9.5" customHeight="1" x14ac:dyDescent="0.25">
      <c r="A879" s="4"/>
      <c r="B879" s="4"/>
      <c r="C879" s="8"/>
      <c r="D879" s="8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9.5" customHeight="1" x14ac:dyDescent="0.25">
      <c r="A880" s="4"/>
      <c r="B880" s="4"/>
      <c r="C880" s="8"/>
      <c r="D880" s="8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9.5" customHeight="1" x14ac:dyDescent="0.25">
      <c r="A881" s="4"/>
      <c r="B881" s="4"/>
      <c r="C881" s="8"/>
      <c r="D881" s="8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9.5" customHeight="1" x14ac:dyDescent="0.25">
      <c r="A882" s="4"/>
      <c r="B882" s="4"/>
      <c r="C882" s="8"/>
      <c r="D882" s="8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9.5" customHeight="1" x14ac:dyDescent="0.25">
      <c r="A883" s="4"/>
      <c r="B883" s="4"/>
      <c r="C883" s="8"/>
      <c r="D883" s="8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9.5" customHeight="1" x14ac:dyDescent="0.25">
      <c r="A884" s="4"/>
      <c r="B884" s="4"/>
      <c r="C884" s="8"/>
      <c r="D884" s="8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9.5" customHeight="1" x14ac:dyDescent="0.25">
      <c r="A885" s="4"/>
      <c r="B885" s="4"/>
      <c r="C885" s="8"/>
      <c r="D885" s="8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9.5" customHeight="1" x14ac:dyDescent="0.25">
      <c r="A886" s="4"/>
      <c r="B886" s="4"/>
      <c r="C886" s="8"/>
      <c r="D886" s="8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9.5" customHeight="1" x14ac:dyDescent="0.25">
      <c r="A887" s="4"/>
      <c r="B887" s="4"/>
      <c r="C887" s="8"/>
      <c r="D887" s="8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9.5" customHeight="1" x14ac:dyDescent="0.25">
      <c r="A888" s="4"/>
      <c r="B888" s="4"/>
      <c r="C888" s="8"/>
      <c r="D888" s="8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9.5" customHeight="1" x14ac:dyDescent="0.25">
      <c r="A889" s="4"/>
      <c r="B889" s="4"/>
      <c r="C889" s="8"/>
      <c r="D889" s="8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9.5" customHeight="1" x14ac:dyDescent="0.25">
      <c r="A890" s="4"/>
      <c r="B890" s="4"/>
      <c r="C890" s="8"/>
      <c r="D890" s="8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9.5" customHeight="1" x14ac:dyDescent="0.25">
      <c r="A891" s="4"/>
      <c r="B891" s="4"/>
      <c r="C891" s="8"/>
      <c r="D891" s="8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9.5" customHeight="1" x14ac:dyDescent="0.25">
      <c r="A892" s="4"/>
      <c r="B892" s="4"/>
      <c r="C892" s="8"/>
      <c r="D892" s="8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9.5" customHeight="1" x14ac:dyDescent="0.25">
      <c r="A893" s="4"/>
      <c r="B893" s="4"/>
      <c r="C893" s="8"/>
      <c r="D893" s="8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9.5" customHeight="1" x14ac:dyDescent="0.25">
      <c r="A894" s="4"/>
      <c r="B894" s="4"/>
      <c r="C894" s="8"/>
      <c r="D894" s="8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9.5" customHeight="1" x14ac:dyDescent="0.25">
      <c r="A895" s="4"/>
      <c r="B895" s="4"/>
      <c r="C895" s="8"/>
      <c r="D895" s="8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9.5" customHeight="1" x14ac:dyDescent="0.25">
      <c r="A896" s="4"/>
      <c r="B896" s="4"/>
      <c r="C896" s="8"/>
      <c r="D896" s="8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9.5" customHeight="1" x14ac:dyDescent="0.25">
      <c r="A897" s="4"/>
      <c r="B897" s="4"/>
      <c r="C897" s="8"/>
      <c r="D897" s="8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9.5" customHeight="1" x14ac:dyDescent="0.25">
      <c r="A898" s="4"/>
      <c r="B898" s="4"/>
      <c r="C898" s="8"/>
      <c r="D898" s="8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9.5" customHeight="1" x14ac:dyDescent="0.25">
      <c r="A899" s="4"/>
      <c r="B899" s="4"/>
      <c r="C899" s="8"/>
      <c r="D899" s="8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9.5" customHeight="1" x14ac:dyDescent="0.25">
      <c r="A900" s="4"/>
      <c r="B900" s="4"/>
      <c r="C900" s="8"/>
      <c r="D900" s="8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9.5" customHeight="1" x14ac:dyDescent="0.25">
      <c r="A901" s="4"/>
      <c r="B901" s="4"/>
      <c r="C901" s="8"/>
      <c r="D901" s="8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9.5" customHeight="1" x14ac:dyDescent="0.25">
      <c r="A902" s="4"/>
      <c r="B902" s="4"/>
      <c r="C902" s="8"/>
      <c r="D902" s="8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9.5" customHeight="1" x14ac:dyDescent="0.25">
      <c r="A903" s="4"/>
      <c r="B903" s="4"/>
      <c r="C903" s="8"/>
      <c r="D903" s="8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9.5" customHeight="1" x14ac:dyDescent="0.25">
      <c r="A904" s="4"/>
      <c r="B904" s="4"/>
      <c r="C904" s="8"/>
      <c r="D904" s="8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9.5" customHeight="1" x14ac:dyDescent="0.25">
      <c r="A905" s="4"/>
      <c r="B905" s="4"/>
      <c r="C905" s="8"/>
      <c r="D905" s="8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9.5" customHeight="1" x14ac:dyDescent="0.25">
      <c r="A906" s="4"/>
      <c r="B906" s="4"/>
      <c r="C906" s="8"/>
      <c r="D906" s="8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9.5" customHeight="1" x14ac:dyDescent="0.25">
      <c r="A907" s="4"/>
      <c r="B907" s="4"/>
      <c r="C907" s="8"/>
      <c r="D907" s="8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9.5" customHeight="1" x14ac:dyDescent="0.25">
      <c r="A908" s="4"/>
      <c r="B908" s="4"/>
      <c r="C908" s="8"/>
      <c r="D908" s="8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9.5" customHeight="1" x14ac:dyDescent="0.25">
      <c r="A909" s="4"/>
      <c r="B909" s="4"/>
      <c r="C909" s="8"/>
      <c r="D909" s="8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9.5" customHeight="1" x14ac:dyDescent="0.25">
      <c r="A910" s="4"/>
      <c r="B910" s="4"/>
      <c r="C910" s="8"/>
      <c r="D910" s="8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9.5" customHeight="1" x14ac:dyDescent="0.25">
      <c r="A911" s="4"/>
      <c r="B911" s="4"/>
      <c r="C911" s="8"/>
      <c r="D911" s="8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9.5" customHeight="1" x14ac:dyDescent="0.25">
      <c r="A912" s="4"/>
      <c r="B912" s="4"/>
      <c r="C912" s="8"/>
      <c r="D912" s="8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9.5" customHeight="1" x14ac:dyDescent="0.25">
      <c r="A913" s="4"/>
      <c r="B913" s="4"/>
      <c r="C913" s="8"/>
      <c r="D913" s="8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9.5" customHeight="1" x14ac:dyDescent="0.25">
      <c r="A914" s="4"/>
      <c r="B914" s="4"/>
      <c r="C914" s="8"/>
      <c r="D914" s="8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9.5" customHeight="1" x14ac:dyDescent="0.25">
      <c r="A915" s="4"/>
      <c r="B915" s="4"/>
      <c r="C915" s="8"/>
      <c r="D915" s="8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9.5" customHeight="1" x14ac:dyDescent="0.25">
      <c r="A916" s="4"/>
      <c r="B916" s="4"/>
      <c r="C916" s="8"/>
      <c r="D916" s="8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9.5" customHeight="1" x14ac:dyDescent="0.25">
      <c r="A917" s="4"/>
      <c r="B917" s="4"/>
      <c r="C917" s="8"/>
      <c r="D917" s="8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9.5" customHeight="1" x14ac:dyDescent="0.25">
      <c r="A918" s="4"/>
      <c r="B918" s="4"/>
      <c r="C918" s="8"/>
      <c r="D918" s="8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9.5" customHeight="1" x14ac:dyDescent="0.25">
      <c r="A919" s="4"/>
      <c r="B919" s="4"/>
      <c r="C919" s="8"/>
      <c r="D919" s="8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9.5" customHeight="1" x14ac:dyDescent="0.25">
      <c r="A920" s="4"/>
      <c r="B920" s="4"/>
      <c r="C920" s="8"/>
      <c r="D920" s="8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9.5" customHeight="1" x14ac:dyDescent="0.25">
      <c r="A921" s="4"/>
      <c r="B921" s="4"/>
      <c r="C921" s="8"/>
      <c r="D921" s="8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9.5" customHeight="1" x14ac:dyDescent="0.25">
      <c r="A922" s="4"/>
      <c r="B922" s="4"/>
      <c r="C922" s="8"/>
      <c r="D922" s="8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9.5" customHeight="1" x14ac:dyDescent="0.25">
      <c r="A923" s="4"/>
      <c r="B923" s="4"/>
      <c r="C923" s="8"/>
      <c r="D923" s="8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9.5" customHeight="1" x14ac:dyDescent="0.25">
      <c r="A924" s="4"/>
      <c r="B924" s="4"/>
      <c r="C924" s="8"/>
      <c r="D924" s="8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9.5" customHeight="1" x14ac:dyDescent="0.25">
      <c r="A925" s="4"/>
      <c r="B925" s="4"/>
      <c r="C925" s="8"/>
      <c r="D925" s="8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9.5" customHeight="1" x14ac:dyDescent="0.25">
      <c r="A926" s="4"/>
      <c r="B926" s="4"/>
      <c r="C926" s="8"/>
      <c r="D926" s="8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9.5" customHeight="1" x14ac:dyDescent="0.25">
      <c r="A927" s="4"/>
      <c r="B927" s="4"/>
      <c r="C927" s="8"/>
      <c r="D927" s="8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9.5" customHeight="1" x14ac:dyDescent="0.25">
      <c r="A928" s="4"/>
      <c r="B928" s="4"/>
      <c r="C928" s="8"/>
      <c r="D928" s="8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9.5" customHeight="1" x14ac:dyDescent="0.25">
      <c r="A929" s="4"/>
      <c r="B929" s="4"/>
      <c r="C929" s="8"/>
      <c r="D929" s="8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9.5" customHeight="1" x14ac:dyDescent="0.25">
      <c r="A930" s="4"/>
      <c r="B930" s="4"/>
      <c r="C930" s="8"/>
      <c r="D930" s="8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9.5" customHeight="1" x14ac:dyDescent="0.25">
      <c r="A931" s="4"/>
      <c r="B931" s="4"/>
      <c r="C931" s="8"/>
      <c r="D931" s="8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9.5" customHeight="1" x14ac:dyDescent="0.25">
      <c r="A932" s="4"/>
      <c r="B932" s="4"/>
      <c r="C932" s="8"/>
      <c r="D932" s="8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9.5" customHeight="1" x14ac:dyDescent="0.25">
      <c r="A933" s="4"/>
      <c r="B933" s="4"/>
      <c r="C933" s="8"/>
      <c r="D933" s="8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9.5" customHeight="1" x14ac:dyDescent="0.25">
      <c r="A934" s="4"/>
      <c r="B934" s="4"/>
      <c r="C934" s="8"/>
      <c r="D934" s="8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9.5" customHeight="1" x14ac:dyDescent="0.25">
      <c r="A935" s="4"/>
      <c r="B935" s="4"/>
      <c r="C935" s="8"/>
      <c r="D935" s="8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9.5" customHeight="1" x14ac:dyDescent="0.25">
      <c r="A936" s="4"/>
      <c r="B936" s="4"/>
      <c r="C936" s="8"/>
      <c r="D936" s="8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9.5" customHeight="1" x14ac:dyDescent="0.25">
      <c r="A937" s="4"/>
      <c r="B937" s="4"/>
      <c r="C937" s="8"/>
      <c r="D937" s="8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9.5" customHeight="1" x14ac:dyDescent="0.25">
      <c r="A938" s="4"/>
      <c r="B938" s="4"/>
      <c r="C938" s="8"/>
      <c r="D938" s="8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9.5" customHeight="1" x14ac:dyDescent="0.25">
      <c r="A939" s="4"/>
      <c r="B939" s="4"/>
      <c r="C939" s="8"/>
      <c r="D939" s="8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9.5" customHeight="1" x14ac:dyDescent="0.25">
      <c r="A940" s="4"/>
      <c r="B940" s="4"/>
      <c r="C940" s="8"/>
      <c r="D940" s="8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9.5" customHeight="1" x14ac:dyDescent="0.25">
      <c r="A941" s="4"/>
      <c r="B941" s="4"/>
      <c r="C941" s="8"/>
      <c r="D941" s="8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9.5" customHeight="1" x14ac:dyDescent="0.25">
      <c r="A942" s="4"/>
      <c r="B942" s="4"/>
      <c r="C942" s="8"/>
      <c r="D942" s="8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9.5" customHeight="1" x14ac:dyDescent="0.25">
      <c r="A943" s="4"/>
      <c r="B943" s="4"/>
      <c r="C943" s="8"/>
      <c r="D943" s="8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9.5" customHeight="1" x14ac:dyDescent="0.25">
      <c r="A944" s="4"/>
      <c r="B944" s="4"/>
      <c r="C944" s="8"/>
      <c r="D944" s="8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9.5" customHeight="1" x14ac:dyDescent="0.25">
      <c r="A945" s="4"/>
      <c r="B945" s="4"/>
      <c r="C945" s="8"/>
      <c r="D945" s="8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9.5" customHeight="1" x14ac:dyDescent="0.25">
      <c r="A946" s="4"/>
      <c r="B946" s="4"/>
      <c r="C946" s="8"/>
      <c r="D946" s="8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9.5" customHeight="1" x14ac:dyDescent="0.25">
      <c r="A947" s="4"/>
      <c r="B947" s="4"/>
      <c r="C947" s="8"/>
      <c r="D947" s="8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9.5" customHeight="1" x14ac:dyDescent="0.25">
      <c r="A948" s="4"/>
      <c r="B948" s="4"/>
      <c r="C948" s="8"/>
      <c r="D948" s="8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9.5" customHeight="1" x14ac:dyDescent="0.25">
      <c r="A949" s="4"/>
      <c r="B949" s="4"/>
      <c r="C949" s="8"/>
      <c r="D949" s="8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9.5" customHeight="1" x14ac:dyDescent="0.25">
      <c r="A950" s="4"/>
      <c r="B950" s="4"/>
      <c r="C950" s="8"/>
      <c r="D950" s="8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9.5" customHeight="1" x14ac:dyDescent="0.25">
      <c r="A951" s="4"/>
      <c r="B951" s="4"/>
      <c r="C951" s="8"/>
      <c r="D951" s="8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9.5" customHeight="1" x14ac:dyDescent="0.25">
      <c r="A952" s="4"/>
      <c r="B952" s="4"/>
      <c r="C952" s="8"/>
      <c r="D952" s="8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9.5" customHeight="1" x14ac:dyDescent="0.25">
      <c r="A953" s="4"/>
      <c r="B953" s="4"/>
      <c r="C953" s="8"/>
      <c r="D953" s="8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9.5" customHeight="1" x14ac:dyDescent="0.25">
      <c r="A954" s="4"/>
      <c r="B954" s="4"/>
      <c r="C954" s="8"/>
      <c r="D954" s="8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9.5" customHeight="1" x14ac:dyDescent="0.25">
      <c r="A955" s="4"/>
      <c r="B955" s="4"/>
      <c r="C955" s="8"/>
      <c r="D955" s="8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9.5" customHeight="1" x14ac:dyDescent="0.25">
      <c r="A956" s="4"/>
      <c r="B956" s="4"/>
      <c r="C956" s="8"/>
      <c r="D956" s="8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9.5" customHeight="1" x14ac:dyDescent="0.25">
      <c r="A957" s="4"/>
      <c r="B957" s="4"/>
      <c r="C957" s="8"/>
      <c r="D957" s="8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9.5" customHeight="1" x14ac:dyDescent="0.25">
      <c r="A958" s="4"/>
      <c r="B958" s="4"/>
      <c r="C958" s="8"/>
      <c r="D958" s="8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9.5" customHeight="1" x14ac:dyDescent="0.25">
      <c r="A959" s="4"/>
      <c r="B959" s="4"/>
      <c r="C959" s="8"/>
      <c r="D959" s="8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9.5" customHeight="1" x14ac:dyDescent="0.25">
      <c r="A960" s="4"/>
      <c r="B960" s="4"/>
      <c r="C960" s="8"/>
      <c r="D960" s="8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9.5" customHeight="1" x14ac:dyDescent="0.25">
      <c r="A961" s="4"/>
      <c r="B961" s="4"/>
      <c r="C961" s="8"/>
      <c r="D961" s="8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9.5" customHeight="1" x14ac:dyDescent="0.25">
      <c r="A962" s="4"/>
      <c r="B962" s="4"/>
      <c r="C962" s="8"/>
      <c r="D962" s="8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9.5" customHeight="1" x14ac:dyDescent="0.25">
      <c r="A963" s="4"/>
      <c r="B963" s="4"/>
      <c r="C963" s="8"/>
      <c r="D963" s="8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9.5" customHeight="1" x14ac:dyDescent="0.25">
      <c r="A964" s="4"/>
      <c r="B964" s="4"/>
      <c r="C964" s="8"/>
      <c r="D964" s="8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9.5" customHeight="1" x14ac:dyDescent="0.25">
      <c r="A965" s="4"/>
      <c r="B965" s="4"/>
      <c r="C965" s="8"/>
      <c r="D965" s="8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9.5" customHeight="1" x14ac:dyDescent="0.25">
      <c r="A966" s="4"/>
      <c r="B966" s="4"/>
      <c r="C966" s="8"/>
      <c r="D966" s="8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9.5" customHeight="1" x14ac:dyDescent="0.25">
      <c r="A967" s="4"/>
      <c r="B967" s="4"/>
      <c r="C967" s="8"/>
      <c r="D967" s="8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9.5" customHeight="1" x14ac:dyDescent="0.25">
      <c r="A968" s="4"/>
      <c r="B968" s="4"/>
      <c r="C968" s="8"/>
      <c r="D968" s="8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9.5" customHeight="1" x14ac:dyDescent="0.25">
      <c r="A969" s="4"/>
      <c r="B969" s="4"/>
      <c r="C969" s="8"/>
      <c r="D969" s="8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9.5" customHeight="1" x14ac:dyDescent="0.25">
      <c r="A970" s="4"/>
      <c r="B970" s="4"/>
      <c r="C970" s="8"/>
      <c r="D970" s="8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9.5" customHeight="1" x14ac:dyDescent="0.25">
      <c r="A971" s="4"/>
      <c r="B971" s="4"/>
      <c r="C971" s="8"/>
      <c r="D971" s="8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9.5" customHeight="1" x14ac:dyDescent="0.25">
      <c r="A972" s="4"/>
      <c r="B972" s="4"/>
      <c r="C972" s="8"/>
      <c r="D972" s="8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9.5" customHeight="1" x14ac:dyDescent="0.25">
      <c r="A973" s="4"/>
      <c r="B973" s="4"/>
      <c r="C973" s="8"/>
      <c r="D973" s="8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9.5" customHeight="1" x14ac:dyDescent="0.25">
      <c r="A974" s="4"/>
      <c r="B974" s="4"/>
      <c r="C974" s="8"/>
      <c r="D974" s="8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9.5" customHeight="1" x14ac:dyDescent="0.25">
      <c r="A975" s="4"/>
      <c r="B975" s="4"/>
      <c r="C975" s="8"/>
      <c r="D975" s="8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9.5" customHeight="1" x14ac:dyDescent="0.25">
      <c r="A976" s="4"/>
      <c r="B976" s="4"/>
      <c r="C976" s="8"/>
      <c r="D976" s="8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9.5" customHeight="1" x14ac:dyDescent="0.25">
      <c r="A977" s="4"/>
      <c r="B977" s="4"/>
      <c r="C977" s="8"/>
      <c r="D977" s="8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9.5" customHeight="1" x14ac:dyDescent="0.25">
      <c r="A978" s="4"/>
      <c r="B978" s="4"/>
      <c r="C978" s="8"/>
      <c r="D978" s="8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9.5" customHeight="1" x14ac:dyDescent="0.25">
      <c r="A979" s="4"/>
      <c r="B979" s="4"/>
      <c r="C979" s="8"/>
      <c r="D979" s="8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9.5" customHeight="1" x14ac:dyDescent="0.25">
      <c r="A980" s="4"/>
      <c r="B980" s="4"/>
      <c r="C980" s="8"/>
      <c r="D980" s="8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9.5" customHeight="1" x14ac:dyDescent="0.25">
      <c r="A981" s="4"/>
      <c r="B981" s="4"/>
      <c r="C981" s="8"/>
      <c r="D981" s="8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9.5" customHeight="1" x14ac:dyDescent="0.25">
      <c r="A982" s="4"/>
      <c r="B982" s="4"/>
      <c r="C982" s="8"/>
      <c r="D982" s="8"/>
      <c r="E982" s="4"/>
      <c r="F982" s="4"/>
      <c r="G982" s="4"/>
      <c r="H982" s="4"/>
      <c r="I982" s="4"/>
      <c r="J982" s="4"/>
      <c r="K982" s="4"/>
      <c r="L982" s="4"/>
      <c r="M982" s="4"/>
    </row>
    <row r="983" spans="1:13" ht="19.5" customHeight="1" x14ac:dyDescent="0.25">
      <c r="A983" s="4"/>
      <c r="B983" s="4"/>
      <c r="C983" s="8"/>
      <c r="D983" s="8"/>
      <c r="E983" s="4"/>
      <c r="F983" s="4"/>
      <c r="G983" s="4"/>
      <c r="H983" s="4"/>
      <c r="I983" s="4"/>
      <c r="J983" s="4"/>
      <c r="K983" s="4"/>
      <c r="L983" s="4"/>
      <c r="M983" s="4"/>
    </row>
    <row r="984" spans="1:13" ht="19.5" customHeight="1" x14ac:dyDescent="0.25">
      <c r="A984" s="4"/>
      <c r="B984" s="4"/>
      <c r="C984" s="8"/>
      <c r="D984" s="8"/>
      <c r="E984" s="4"/>
      <c r="F984" s="4"/>
      <c r="G984" s="4"/>
      <c r="H984" s="4"/>
      <c r="I984" s="4"/>
      <c r="J984" s="4"/>
      <c r="K984" s="4"/>
      <c r="L984" s="4"/>
      <c r="M984" s="4"/>
    </row>
    <row r="985" spans="1:13" ht="19.5" customHeight="1" x14ac:dyDescent="0.25">
      <c r="A985" s="4"/>
      <c r="B985" s="4"/>
      <c r="C985" s="8"/>
      <c r="D985" s="8"/>
      <c r="E985" s="4"/>
      <c r="F985" s="4"/>
      <c r="G985" s="4"/>
      <c r="H985" s="4"/>
      <c r="I985" s="4"/>
      <c r="J985" s="4"/>
      <c r="K985" s="4"/>
      <c r="L985" s="4"/>
      <c r="M985" s="4"/>
    </row>
    <row r="986" spans="1:13" ht="19.5" customHeight="1" x14ac:dyDescent="0.25">
      <c r="A986" s="4"/>
      <c r="B986" s="4"/>
      <c r="C986" s="8"/>
      <c r="D986" s="8"/>
      <c r="E986" s="4"/>
      <c r="F986" s="4"/>
      <c r="G986" s="4"/>
      <c r="H986" s="4"/>
      <c r="I986" s="4"/>
      <c r="J986" s="4"/>
      <c r="K986" s="4"/>
      <c r="L986" s="4"/>
      <c r="M986" s="4"/>
    </row>
    <row r="987" spans="1:13" ht="19.5" customHeight="1" x14ac:dyDescent="0.25">
      <c r="A987" s="4"/>
      <c r="B987" s="4"/>
      <c r="C987" s="8"/>
      <c r="D987" s="8"/>
      <c r="E987" s="4"/>
      <c r="F987" s="4"/>
      <c r="G987" s="4"/>
      <c r="H987" s="4"/>
      <c r="I987" s="4"/>
      <c r="J987" s="4"/>
      <c r="K987" s="4"/>
      <c r="L987" s="4"/>
      <c r="M987" s="4"/>
    </row>
    <row r="988" spans="1:13" ht="19.5" customHeight="1" x14ac:dyDescent="0.25">
      <c r="A988" s="4"/>
      <c r="B988" s="4"/>
      <c r="C988" s="8"/>
      <c r="D988" s="8"/>
      <c r="E988" s="4"/>
      <c r="F988" s="4"/>
      <c r="G988" s="4"/>
      <c r="H988" s="4"/>
      <c r="I988" s="4"/>
      <c r="J988" s="4"/>
      <c r="K988" s="4"/>
      <c r="L988" s="4"/>
      <c r="M988" s="4"/>
    </row>
    <row r="989" spans="1:13" ht="19.5" customHeight="1" x14ac:dyDescent="0.25">
      <c r="A989" s="4"/>
      <c r="B989" s="4"/>
      <c r="C989" s="8"/>
      <c r="D989" s="8"/>
      <c r="E989" s="4"/>
      <c r="F989" s="4"/>
      <c r="G989" s="4"/>
      <c r="H989" s="4"/>
      <c r="I989" s="4"/>
      <c r="J989" s="4"/>
      <c r="K989" s="4"/>
      <c r="L989" s="4"/>
      <c r="M989" s="4"/>
    </row>
  </sheetData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2675-3931-4253-B5B8-CD7D9F7249A8}">
  <dimension ref="A1:I959"/>
  <sheetViews>
    <sheetView showGridLines="0" tabSelected="1" topLeftCell="A3" zoomScale="85" zoomScaleNormal="85" workbookViewId="0">
      <selection sqref="A1:D18"/>
    </sheetView>
  </sheetViews>
  <sheetFormatPr defaultColWidth="14.42578125" defaultRowHeight="15" customHeight="1" x14ac:dyDescent="0.25"/>
  <cols>
    <col min="1" max="1" width="66.28515625" customWidth="1"/>
    <col min="2" max="2" width="22.5703125" customWidth="1"/>
    <col min="3" max="3" width="13.7109375" bestFit="1" customWidth="1"/>
    <col min="4" max="4" width="22.5703125" style="16" customWidth="1"/>
    <col min="5" max="5" width="10.85546875" customWidth="1"/>
    <col min="6" max="6" width="75.42578125" customWidth="1"/>
  </cols>
  <sheetData>
    <row r="1" spans="1:9" ht="22.5" thickBot="1" x14ac:dyDescent="0.3">
      <c r="A1" s="148" t="s">
        <v>0</v>
      </c>
      <c r="B1" s="150" t="s">
        <v>149</v>
      </c>
      <c r="C1" s="151"/>
      <c r="D1" s="114" t="s">
        <v>1</v>
      </c>
    </row>
    <row r="2" spans="1:9" ht="22.5" thickBot="1" x14ac:dyDescent="0.3">
      <c r="A2" s="149"/>
      <c r="B2" s="22" t="s">
        <v>42</v>
      </c>
      <c r="C2" s="22" t="s">
        <v>2</v>
      </c>
      <c r="D2" s="116" t="s">
        <v>2</v>
      </c>
      <c r="G2" s="14" t="s">
        <v>23</v>
      </c>
      <c r="H2" s="26">
        <f>ORÇAMENTO_EXECUTIVO!G2</f>
        <v>329.57</v>
      </c>
      <c r="I2" s="15" t="s">
        <v>30</v>
      </c>
    </row>
    <row r="3" spans="1:9" ht="19.5" customHeight="1" x14ac:dyDescent="0.25">
      <c r="A3" s="118" t="str">
        <f>ORÇAMENTO_EXECUTIVO!A2</f>
        <v>GERENCIAMENTO TÉCNICO E ADMINISTRATIVO</v>
      </c>
      <c r="B3" s="66">
        <f ca="1">ORÇAMENTO_EXECUTIVO!B2</f>
        <v>243899.46582717574</v>
      </c>
      <c r="C3" s="64">
        <f ca="1">B3/$H$2</f>
        <v>740.05360265550792</v>
      </c>
      <c r="D3" s="64" t="str">
        <f>FIXED('CÁLCULO_MÉDIAS (2)'!L10,2,FALSE)&amp;" "&amp;"-"&amp;FIXED('CÁLCULO_MÉDIAS (2)'!M10,2,FALSE)</f>
        <v>350,00 -450,00</v>
      </c>
      <c r="E3" s="197" t="s">
        <v>171</v>
      </c>
    </row>
    <row r="4" spans="1:9" ht="19.5" customHeight="1" x14ac:dyDescent="0.25">
      <c r="A4" s="117" t="str">
        <f>ORÇAMENTO_EXECUTIVO!A3</f>
        <v>MOVIMENTAÇÃO DE TERRA</v>
      </c>
      <c r="B4" s="65">
        <f ca="1">ORÇAMENTO_EXECUTIVO!B3</f>
        <v>10084.167840185286</v>
      </c>
      <c r="C4" s="63">
        <f ca="1">B4/$H$2</f>
        <v>30.597954426025687</v>
      </c>
      <c r="D4" s="63" t="str">
        <f>FIXED('CÁLCULO_MÉDIAS (2)'!L11,2,FALSE)&amp;" "&amp;"-"&amp;FIXED('CÁLCULO_MÉDIAS (2)'!M11,2,FALSE)</f>
        <v>10,00 -20,00</v>
      </c>
      <c r="E4" s="197" t="s">
        <v>170</v>
      </c>
    </row>
    <row r="5" spans="1:9" ht="19.5" customHeight="1" x14ac:dyDescent="0.25">
      <c r="A5" s="118" t="str">
        <f>ORÇAMENTO_EXECUTIVO!A4</f>
        <v>INFRAESTRUTURA</v>
      </c>
      <c r="B5" s="66">
        <f ca="1">ORÇAMENTO_EXECUTIVO!B4</f>
        <v>102925.63074964285</v>
      </c>
      <c r="C5" s="64">
        <f t="shared" ref="C5:C17" ca="1" si="0">B5/$H$2</f>
        <v>312.30279075657023</v>
      </c>
      <c r="D5" s="64" t="str">
        <f>FIXED('CÁLCULO_MÉDIAS (2)'!L12,2,FALSE)&amp;" "&amp;"-"&amp;FIXED('CÁLCULO_MÉDIAS (2)'!M12,2,FALSE)</f>
        <v>260,00 -300,00</v>
      </c>
      <c r="E5" s="197" t="s">
        <v>169</v>
      </c>
    </row>
    <row r="6" spans="1:9" ht="19.5" customHeight="1" x14ac:dyDescent="0.25">
      <c r="A6" s="117" t="str">
        <f>ORÇAMENTO_EXECUTIVO!A5</f>
        <v>SUPRAESTRUTURA</v>
      </c>
      <c r="B6" s="65">
        <f ca="1">ORÇAMENTO_EXECUTIVO!B5</f>
        <v>190194.42273595065</v>
      </c>
      <c r="C6" s="63">
        <f t="shared" ca="1" si="0"/>
        <v>577.09871267394078</v>
      </c>
      <c r="D6" s="63" t="str">
        <f>FIXED('CÁLCULO_MÉDIAS (2)'!L13,2,FALSE)&amp;" "&amp;"-"&amp;FIXED('CÁLCULO_MÉDIAS (2)'!M13,2,FALSE)</f>
        <v>480,00 -540,00</v>
      </c>
      <c r="E6" s="198" t="s">
        <v>172</v>
      </c>
    </row>
    <row r="7" spans="1:9" ht="19.5" customHeight="1" x14ac:dyDescent="0.25">
      <c r="A7" s="118" t="str">
        <f>ORÇAMENTO_EXECUTIVO!A6</f>
        <v>ALVENARIA</v>
      </c>
      <c r="B7" s="66">
        <f ca="1">ORÇAMENTO_EXECUTIVO!B6</f>
        <v>60429.042308205993</v>
      </c>
      <c r="C7" s="64">
        <f t="shared" ca="1" si="0"/>
        <v>183.35723005190397</v>
      </c>
      <c r="D7" s="64" t="str">
        <f>FIXED('CÁLCULO_MÉDIAS (2)'!L14,2,FALSE)&amp;" "&amp;"-"&amp;FIXED('CÁLCULO_MÉDIAS (2)'!M14,2,FALSE)</f>
        <v>130,00 -215,00</v>
      </c>
      <c r="E7" s="199" t="s">
        <v>68</v>
      </c>
    </row>
    <row r="8" spans="1:9" ht="21.75" x14ac:dyDescent="0.25">
      <c r="A8" s="117" t="str">
        <f>ORÇAMENTO_EXECUTIVO!A7</f>
        <v>INSTALAÇÕES ELÉTRICAS, HIDRÁULICAS, GLP E PREVENTIVAS</v>
      </c>
      <c r="B8" s="65">
        <f ca="1">ORÇAMENTO_EXECUTIVO!B7+ORÇAMENTO_EXECUTIVO!B23</f>
        <v>196056.57685779699</v>
      </c>
      <c r="C8" s="63">
        <f t="shared" ca="1" si="0"/>
        <v>594.88599343932094</v>
      </c>
      <c r="D8" s="63" t="str">
        <f>FIXED('CÁLCULO_MÉDIAS (2)'!L15,2,FALSE)&amp;" "&amp;"-"&amp;FIXED('CÁLCULO_MÉDIAS (2)'!M15,2,FALSE)</f>
        <v>340,00 -540,00</v>
      </c>
      <c r="E8" s="200" t="s">
        <v>165</v>
      </c>
    </row>
    <row r="9" spans="1:9" ht="19.5" customHeight="1" x14ac:dyDescent="0.25">
      <c r="A9" s="118" t="s">
        <v>150</v>
      </c>
      <c r="B9" s="66">
        <f ca="1">ORÇAMENTO_EXECUTIVO!B8+ORÇAMENTO_EXECUTIVO!B9+ORÇAMENTO_EXECUTIVO!B10</f>
        <v>22176.920999999998</v>
      </c>
      <c r="C9" s="64">
        <f t="shared" ca="1" si="0"/>
        <v>67.290472433777339</v>
      </c>
      <c r="D9" s="64" t="str">
        <f>FIXED('CÁLCULO_MÉDIAS (2)'!L16,2,FALSE)&amp;" "&amp;"-"&amp;FIXED('CÁLCULO_MÉDIAS (2)'!M16,2,FALSE)</f>
        <v>50,00 -90,00</v>
      </c>
      <c r="E9" s="200" t="s">
        <v>166</v>
      </c>
    </row>
    <row r="10" spans="1:9" ht="19.5" customHeight="1" x14ac:dyDescent="0.25">
      <c r="A10" s="117" t="s">
        <v>8</v>
      </c>
      <c r="B10" s="65">
        <f ca="1">ORÇAMENTO_EXECUTIVO!B14</f>
        <v>90264.650210655294</v>
      </c>
      <c r="C10" s="63">
        <f t="shared" ref="C10" ca="1" si="1">B10/$H$2</f>
        <v>273.88612498302422</v>
      </c>
      <c r="D10" s="63" t="str">
        <f>FIXED('CÁLCULO_MÉDIAS (2)'!L17,2,FALSE)&amp;" "&amp;"-"&amp;FIXED('CÁLCULO_MÉDIAS (2)'!M17,2,FALSE)</f>
        <v>150,00 -210,00</v>
      </c>
      <c r="E10" s="201" t="s">
        <v>173</v>
      </c>
    </row>
    <row r="11" spans="1:9" ht="19.5" customHeight="1" x14ac:dyDescent="0.25">
      <c r="A11" s="118" t="s">
        <v>167</v>
      </c>
      <c r="B11" s="66">
        <f>ORÇAMENTO_EXECUTIVO!B11+ORÇAMENTO_EXECUTIVO!B12</f>
        <v>59958.793832050003</v>
      </c>
      <c r="C11" s="64">
        <f t="shared" si="0"/>
        <v>181.93037543480901</v>
      </c>
      <c r="D11" s="64" t="str">
        <f>FIXED('CÁLCULO_MÉDIAS (2)'!L18,2,FALSE)&amp;" "&amp;"-"&amp;FIXED('CÁLCULO_MÉDIAS (2)'!M18,2,FALSE)</f>
        <v>100,00 -140,00</v>
      </c>
      <c r="E11" s="202" t="s">
        <v>177</v>
      </c>
    </row>
    <row r="12" spans="1:9" ht="19.5" customHeight="1" x14ac:dyDescent="0.25">
      <c r="A12" s="117" t="s">
        <v>152</v>
      </c>
      <c r="B12" s="65">
        <f ca="1">ORÇAMENTO_EXECUTIVO!B13+ORÇAMENTO_EXECUTIVO!B17</f>
        <v>50473.2022</v>
      </c>
      <c r="C12" s="63">
        <f t="shared" ca="1" si="0"/>
        <v>153.14865491397882</v>
      </c>
      <c r="D12" s="63" t="str">
        <f>FIXED('CÁLCULO_MÉDIAS (2)'!L19,2,FALSE)&amp;" "&amp;"-"&amp;FIXED('CÁLCULO_MÉDIAS (2)'!M19,2,FALSE)</f>
        <v>50,00 -90,00</v>
      </c>
      <c r="E12" s="197" t="s">
        <v>174</v>
      </c>
    </row>
    <row r="13" spans="1:9" ht="19.5" customHeight="1" x14ac:dyDescent="0.25">
      <c r="A13" s="118" t="s">
        <v>151</v>
      </c>
      <c r="B13" s="66">
        <f ca="1">ORÇAMENTO_EXECUTIVO!B15+ORÇAMENTO_EXECUTIVO!B16</f>
        <v>150930.29667800004</v>
      </c>
      <c r="C13" s="64">
        <f t="shared" ref="C13" ca="1" si="2">B13/$H$2</f>
        <v>457.96127280395683</v>
      </c>
      <c r="D13" s="64" t="str">
        <f>FIXED('CÁLCULO_MÉDIAS (2)'!L20,2,FALSE)&amp;" "&amp;"-"&amp;FIXED('CÁLCULO_MÉDIAS (2)'!M20,2,FALSE)</f>
        <v>150,00 -190,00</v>
      </c>
      <c r="E13" s="203" t="s">
        <v>175</v>
      </c>
    </row>
    <row r="14" spans="1:9" ht="21.75" x14ac:dyDescent="0.25">
      <c r="A14" s="117" t="s">
        <v>10</v>
      </c>
      <c r="B14" s="65">
        <f ca="1">ORÇAMENTO_EXECUTIVO!B18</f>
        <v>41028.63363603333</v>
      </c>
      <c r="C14" s="63">
        <f t="shared" ca="1" si="0"/>
        <v>124.4914089147475</v>
      </c>
      <c r="D14" s="63" t="str">
        <f>FIXED('CÁLCULO_MÉDIAS (2)'!L21,2,FALSE)&amp;" "&amp;"-"&amp;FIXED('CÁLCULO_MÉDIAS (2)'!M21,2,FALSE)</f>
        <v>80,00 -120,00</v>
      </c>
      <c r="G14" s="134"/>
    </row>
    <row r="15" spans="1:9" ht="19.5" customHeight="1" x14ac:dyDescent="0.25">
      <c r="A15" s="118" t="str">
        <f>ORÇAMENTO_EXECUTIVO!A22</f>
        <v>ESQUADRIAS, VIDROS E FERRAGENS</v>
      </c>
      <c r="B15" s="66">
        <f ca="1">ORÇAMENTO_EXECUTIVO!B22</f>
        <v>137257.00257303804</v>
      </c>
      <c r="C15" s="64">
        <f t="shared" ca="1" si="0"/>
        <v>416.47298775082089</v>
      </c>
      <c r="D15" s="64" t="str">
        <f>FIXED('CÁLCULO_MÉDIAS (2)'!L22,2,FALSE)&amp;" "&amp;"-"&amp;FIXED('CÁLCULO_MÉDIAS (2)'!M22,2,FALSE)</f>
        <v>280,00 -320,00</v>
      </c>
      <c r="G15" s="134"/>
    </row>
    <row r="16" spans="1:9" ht="19.5" customHeight="1" x14ac:dyDescent="0.25">
      <c r="A16" s="117" t="s">
        <v>12</v>
      </c>
      <c r="B16" s="65">
        <f ca="1">ORÇAMENTO_EXECUTIVO!B19+ORÇAMENTO_EXECUTIVO!B20+ORÇAMENTO_EXECUTIVO!B21</f>
        <v>197792.95812184503</v>
      </c>
      <c r="C16" s="63">
        <f t="shared" ca="1" si="0"/>
        <v>600.15462002562447</v>
      </c>
      <c r="D16" s="63" t="str">
        <f>FIXED('CÁLCULO_MÉDIAS (2)'!L24,2,FALSE)&amp;" "&amp;"-"&amp;FIXED('CÁLCULO_MÉDIAS (2)'!M24,2,FALSE)</f>
        <v>120,00 -250,00</v>
      </c>
      <c r="E16" s="196" t="s">
        <v>176</v>
      </c>
    </row>
    <row r="17" spans="1:7" ht="19.5" customHeight="1" x14ac:dyDescent="0.25">
      <c r="A17" s="118" t="str">
        <f>ORÇAMENTO_EXECUTIVO!A25</f>
        <v>SERVIÇOS COMPLEMENTARES</v>
      </c>
      <c r="B17" s="66">
        <f ca="1">ORÇAMENTO_EXECUTIVO!B25</f>
        <v>23121.191607979999</v>
      </c>
      <c r="C17" s="64">
        <f t="shared" ca="1" si="0"/>
        <v>70.155631908183395</v>
      </c>
      <c r="D17" s="64" t="str">
        <f>FIXED('CÁLCULO_MÉDIAS (2)'!L26,2,FALSE)&amp;" "&amp;"-"&amp;FIXED('CÁLCULO_MÉDIAS (2)'!M26,2,FALSE)</f>
        <v>50,00 -90,00</v>
      </c>
      <c r="E17" s="196" t="s">
        <v>168</v>
      </c>
    </row>
    <row r="18" spans="1:7" ht="21.75" customHeight="1" x14ac:dyDescent="0.6">
      <c r="A18" s="119" t="s">
        <v>14</v>
      </c>
      <c r="B18" s="120">
        <f ca="1">SUM(B4:B17)</f>
        <v>1332693.4903513833</v>
      </c>
      <c r="C18" s="121">
        <f ca="1">SUM(C4:C17)</f>
        <v>4043.7342305166835</v>
      </c>
      <c r="D18" s="122" t="str">
        <f>FIXED('CÁLCULO_MÉDIAS (2)'!L27,2,FALSE)&amp;" "&amp;"-"&amp;FIXED('CÁLCULO_MÉDIAS (2)'!M27,2,FALSE)</f>
        <v>2.600,00 -3.565,00</v>
      </c>
    </row>
    <row r="19" spans="1:7" ht="21.75" x14ac:dyDescent="0.6">
      <c r="A19" s="1"/>
      <c r="B19" s="1"/>
      <c r="C19" s="115"/>
      <c r="D19" s="17"/>
    </row>
    <row r="20" spans="1:7" ht="21.75" customHeight="1" x14ac:dyDescent="0.6">
      <c r="A20" s="1"/>
      <c r="B20" s="1"/>
      <c r="C20" s="1"/>
    </row>
    <row r="21" spans="1:7" ht="21.75" customHeight="1" x14ac:dyDescent="0.6">
      <c r="A21" s="1"/>
      <c r="B21" s="1"/>
      <c r="C21" s="1"/>
      <c r="D21" s="17"/>
    </row>
    <row r="22" spans="1:7" ht="21.75" customHeight="1" x14ac:dyDescent="0.6">
      <c r="A22" s="1"/>
      <c r="B22" s="1"/>
      <c r="C22" s="1"/>
      <c r="D22" s="17"/>
    </row>
    <row r="23" spans="1:7" ht="21.75" customHeight="1" x14ac:dyDescent="0.6">
      <c r="A23" s="1"/>
      <c r="B23" s="1"/>
      <c r="C23" s="1"/>
      <c r="D23" s="17"/>
    </row>
    <row r="24" spans="1:7" ht="21.75" customHeight="1" x14ac:dyDescent="0.6">
      <c r="A24" s="1"/>
      <c r="B24" s="1"/>
      <c r="C24" s="1"/>
      <c r="D24" s="17"/>
    </row>
    <row r="25" spans="1:7" ht="21.75" customHeight="1" x14ac:dyDescent="0.6">
      <c r="A25" s="1"/>
      <c r="B25" s="1"/>
      <c r="C25" s="1"/>
      <c r="D25" s="17"/>
    </row>
    <row r="26" spans="1:7" ht="21.75" customHeight="1" x14ac:dyDescent="0.6">
      <c r="A26" s="1"/>
      <c r="B26" s="1"/>
      <c r="C26" s="1"/>
      <c r="D26" s="17"/>
    </row>
    <row r="27" spans="1:7" ht="21.75" customHeight="1" x14ac:dyDescent="0.6">
      <c r="A27" s="1"/>
      <c r="B27" s="1"/>
      <c r="C27" s="1"/>
      <c r="D27" s="17"/>
      <c r="E27" s="30"/>
      <c r="F27" s="30"/>
      <c r="G27" s="30"/>
    </row>
    <row r="28" spans="1:7" ht="21.75" customHeight="1" x14ac:dyDescent="0.6">
      <c r="A28" s="1"/>
      <c r="B28" s="1"/>
      <c r="C28" s="1"/>
      <c r="D28" s="18"/>
      <c r="E28" s="30"/>
      <c r="F28" s="30"/>
      <c r="G28" s="30"/>
    </row>
    <row r="29" spans="1:7" ht="21.75" customHeight="1" x14ac:dyDescent="0.6">
      <c r="A29" s="1"/>
      <c r="B29" s="1"/>
      <c r="C29" s="3"/>
      <c r="D29" s="18"/>
      <c r="E29" s="30"/>
      <c r="F29" s="30"/>
      <c r="G29" s="30"/>
    </row>
    <row r="30" spans="1:7" ht="21.75" customHeight="1" x14ac:dyDescent="0.6">
      <c r="A30" s="1"/>
      <c r="B30" s="1"/>
      <c r="C30" s="3"/>
      <c r="D30" s="18"/>
      <c r="E30" s="30"/>
      <c r="F30" s="30"/>
      <c r="G30" s="30"/>
    </row>
    <row r="31" spans="1:7" ht="21.75" customHeight="1" x14ac:dyDescent="0.6">
      <c r="A31" s="1"/>
      <c r="B31" s="1"/>
      <c r="C31" s="3"/>
      <c r="D31" s="18"/>
      <c r="E31" s="30"/>
      <c r="F31" s="30"/>
      <c r="G31" s="30"/>
    </row>
    <row r="32" spans="1:7" ht="21.75" customHeight="1" x14ac:dyDescent="0.6">
      <c r="A32" s="1"/>
      <c r="B32" s="1"/>
      <c r="C32" s="3"/>
      <c r="D32" s="18"/>
    </row>
    <row r="33" spans="1:4" ht="21.75" customHeight="1" x14ac:dyDescent="0.6">
      <c r="A33" s="1"/>
      <c r="B33" s="1"/>
      <c r="C33" s="1"/>
      <c r="D33" s="17"/>
    </row>
    <row r="34" spans="1:4" ht="21.75" customHeight="1" x14ac:dyDescent="0.6">
      <c r="A34" s="1"/>
      <c r="B34" s="1"/>
      <c r="C34" s="1"/>
      <c r="D34" s="17"/>
    </row>
    <row r="35" spans="1:4" ht="21.75" customHeight="1" x14ac:dyDescent="0.6">
      <c r="A35" s="1"/>
      <c r="B35" s="1"/>
      <c r="C35" s="1"/>
      <c r="D35" s="17"/>
    </row>
    <row r="36" spans="1:4" ht="21.75" customHeight="1" x14ac:dyDescent="0.6">
      <c r="A36" s="1"/>
      <c r="B36" s="1"/>
      <c r="C36" s="1"/>
      <c r="D36" s="17"/>
    </row>
    <row r="37" spans="1:4" ht="21.75" customHeight="1" x14ac:dyDescent="0.6">
      <c r="A37" s="1"/>
      <c r="B37" s="1"/>
      <c r="C37" s="1"/>
      <c r="D37" s="17"/>
    </row>
    <row r="38" spans="1:4" ht="21.75" customHeight="1" x14ac:dyDescent="0.6">
      <c r="A38" s="1"/>
      <c r="B38" s="1"/>
      <c r="C38" s="1"/>
      <c r="D38" s="17"/>
    </row>
    <row r="39" spans="1:4" ht="21.75" customHeight="1" x14ac:dyDescent="0.6">
      <c r="A39" s="1"/>
      <c r="B39" s="1"/>
      <c r="C39" s="1"/>
      <c r="D39" s="17"/>
    </row>
    <row r="40" spans="1:4" ht="21.75" customHeight="1" x14ac:dyDescent="0.6">
      <c r="A40" s="1"/>
      <c r="B40" s="1"/>
      <c r="C40" s="1"/>
      <c r="D40" s="17"/>
    </row>
    <row r="41" spans="1:4" ht="21.75" customHeight="1" x14ac:dyDescent="0.6">
      <c r="A41" s="1"/>
      <c r="B41" s="1"/>
      <c r="C41" s="1"/>
      <c r="D41" s="17"/>
    </row>
    <row r="42" spans="1:4" ht="21.75" customHeight="1" x14ac:dyDescent="0.6">
      <c r="A42" s="1"/>
      <c r="B42" s="1"/>
      <c r="C42" s="1"/>
      <c r="D42" s="17"/>
    </row>
    <row r="43" spans="1:4" ht="21.75" customHeight="1" x14ac:dyDescent="0.6">
      <c r="A43" s="1"/>
      <c r="B43" s="1"/>
      <c r="C43" s="1"/>
      <c r="D43" s="17"/>
    </row>
    <row r="44" spans="1:4" ht="21.75" customHeight="1" x14ac:dyDescent="0.6">
      <c r="A44" s="1"/>
      <c r="B44" s="1"/>
      <c r="C44" s="1"/>
      <c r="D44" s="17"/>
    </row>
    <row r="45" spans="1:4" ht="21.75" customHeight="1" x14ac:dyDescent="0.6">
      <c r="A45" s="1"/>
      <c r="B45" s="1"/>
      <c r="C45" s="1"/>
      <c r="D45" s="17"/>
    </row>
    <row r="46" spans="1:4" ht="21.75" customHeight="1" x14ac:dyDescent="0.6">
      <c r="A46" s="1"/>
      <c r="B46" s="1"/>
      <c r="C46" s="1"/>
      <c r="D46" s="17"/>
    </row>
    <row r="47" spans="1:4" ht="21.75" customHeight="1" x14ac:dyDescent="0.6">
      <c r="A47" s="1"/>
      <c r="B47" s="1"/>
      <c r="C47" s="1"/>
      <c r="D47" s="17"/>
    </row>
    <row r="48" spans="1:4" ht="21.75" customHeight="1" x14ac:dyDescent="0.6">
      <c r="A48" s="1"/>
      <c r="B48" s="1"/>
      <c r="C48" s="1"/>
      <c r="D48" s="17"/>
    </row>
    <row r="49" spans="1:4" ht="21.75" customHeight="1" x14ac:dyDescent="0.6">
      <c r="A49" s="1"/>
      <c r="B49" s="1"/>
      <c r="C49" s="1"/>
      <c r="D49" s="17"/>
    </row>
    <row r="50" spans="1:4" ht="21.75" customHeight="1" x14ac:dyDescent="0.6">
      <c r="A50" s="1"/>
      <c r="B50" s="1"/>
      <c r="C50" s="1"/>
      <c r="D50" s="17"/>
    </row>
    <row r="51" spans="1:4" ht="21.75" customHeight="1" x14ac:dyDescent="0.6">
      <c r="A51" s="1"/>
      <c r="B51" s="1"/>
      <c r="C51" s="1"/>
      <c r="D51" s="17"/>
    </row>
    <row r="52" spans="1:4" ht="21.75" customHeight="1" x14ac:dyDescent="0.6">
      <c r="A52" s="1"/>
      <c r="B52" s="1"/>
      <c r="C52" s="1"/>
      <c r="D52" s="17"/>
    </row>
    <row r="53" spans="1:4" ht="21.75" customHeight="1" x14ac:dyDescent="0.6">
      <c r="A53" s="1"/>
      <c r="B53" s="1"/>
      <c r="C53" s="1"/>
      <c r="D53" s="17"/>
    </row>
    <row r="54" spans="1:4" ht="21.75" customHeight="1" x14ac:dyDescent="0.6">
      <c r="A54" s="1"/>
      <c r="B54" s="1"/>
      <c r="C54" s="1"/>
      <c r="D54" s="17"/>
    </row>
    <row r="55" spans="1:4" ht="21.75" customHeight="1" x14ac:dyDescent="0.6">
      <c r="A55" s="1"/>
      <c r="B55" s="1"/>
      <c r="C55" s="1"/>
      <c r="D55" s="17"/>
    </row>
    <row r="56" spans="1:4" ht="21.75" customHeight="1" x14ac:dyDescent="0.6">
      <c r="A56" s="1"/>
      <c r="B56" s="1"/>
      <c r="C56" s="1"/>
      <c r="D56" s="17"/>
    </row>
    <row r="57" spans="1:4" ht="21.75" customHeight="1" x14ac:dyDescent="0.6">
      <c r="A57" s="1"/>
      <c r="B57" s="1"/>
      <c r="C57" s="1"/>
      <c r="D57" s="17"/>
    </row>
    <row r="58" spans="1:4" ht="21.75" customHeight="1" x14ac:dyDescent="0.6">
      <c r="A58" s="1"/>
      <c r="B58" s="1"/>
      <c r="C58" s="1"/>
      <c r="D58" s="17"/>
    </row>
    <row r="59" spans="1:4" ht="21.75" customHeight="1" x14ac:dyDescent="0.6">
      <c r="A59" s="1"/>
      <c r="B59" s="1"/>
      <c r="C59" s="1"/>
      <c r="D59" s="17"/>
    </row>
    <row r="60" spans="1:4" ht="21.75" customHeight="1" x14ac:dyDescent="0.6">
      <c r="A60" s="1"/>
      <c r="B60" s="1"/>
      <c r="C60" s="1"/>
      <c r="D60" s="17"/>
    </row>
    <row r="61" spans="1:4" ht="21.75" customHeight="1" x14ac:dyDescent="0.6">
      <c r="A61" s="1"/>
      <c r="B61" s="1"/>
      <c r="C61" s="1"/>
      <c r="D61" s="17"/>
    </row>
    <row r="62" spans="1:4" ht="21.75" customHeight="1" x14ac:dyDescent="0.6">
      <c r="A62" s="1"/>
      <c r="B62" s="1"/>
      <c r="C62" s="1"/>
      <c r="D62" s="17"/>
    </row>
    <row r="63" spans="1:4" ht="21.75" customHeight="1" x14ac:dyDescent="0.6">
      <c r="A63" s="1"/>
      <c r="B63" s="1"/>
      <c r="C63" s="1"/>
      <c r="D63" s="17"/>
    </row>
    <row r="64" spans="1:4" ht="21.75" customHeight="1" x14ac:dyDescent="0.6">
      <c r="A64" s="1"/>
      <c r="B64" s="1"/>
      <c r="C64" s="1"/>
      <c r="D64" s="17"/>
    </row>
    <row r="65" spans="1:4" ht="21.75" customHeight="1" x14ac:dyDescent="0.6">
      <c r="A65" s="1"/>
      <c r="B65" s="1"/>
      <c r="C65" s="1"/>
      <c r="D65" s="17"/>
    </row>
    <row r="66" spans="1:4" ht="21.75" customHeight="1" x14ac:dyDescent="0.6">
      <c r="A66" s="1"/>
      <c r="B66" s="1"/>
      <c r="C66" s="1"/>
      <c r="D66" s="17"/>
    </row>
    <row r="67" spans="1:4" ht="21.75" customHeight="1" x14ac:dyDescent="0.6">
      <c r="A67" s="1"/>
      <c r="B67" s="1"/>
      <c r="C67" s="1"/>
      <c r="D67" s="17"/>
    </row>
    <row r="68" spans="1:4" ht="21.75" customHeight="1" x14ac:dyDescent="0.6">
      <c r="A68" s="1"/>
      <c r="B68" s="1"/>
      <c r="C68" s="1"/>
      <c r="D68" s="17"/>
    </row>
    <row r="69" spans="1:4" ht="21.75" customHeight="1" x14ac:dyDescent="0.6">
      <c r="A69" s="1"/>
      <c r="B69" s="1"/>
      <c r="C69" s="1"/>
      <c r="D69" s="17"/>
    </row>
    <row r="70" spans="1:4" ht="21.75" customHeight="1" x14ac:dyDescent="0.6">
      <c r="A70" s="1"/>
      <c r="B70" s="1"/>
      <c r="C70" s="1"/>
      <c r="D70" s="17"/>
    </row>
    <row r="71" spans="1:4" ht="21.75" customHeight="1" x14ac:dyDescent="0.6">
      <c r="A71" s="1"/>
      <c r="B71" s="1"/>
      <c r="C71" s="1"/>
      <c r="D71" s="17"/>
    </row>
    <row r="72" spans="1:4" ht="21.75" customHeight="1" x14ac:dyDescent="0.6">
      <c r="A72" s="1"/>
      <c r="B72" s="1"/>
      <c r="C72" s="1"/>
      <c r="D72" s="17"/>
    </row>
    <row r="73" spans="1:4" ht="21.75" customHeight="1" x14ac:dyDescent="0.6">
      <c r="A73" s="1"/>
      <c r="B73" s="1"/>
      <c r="C73" s="1"/>
      <c r="D73" s="17"/>
    </row>
    <row r="74" spans="1:4" ht="21.75" customHeight="1" x14ac:dyDescent="0.6">
      <c r="A74" s="1"/>
      <c r="B74" s="1"/>
      <c r="C74" s="1"/>
      <c r="D74" s="17"/>
    </row>
    <row r="75" spans="1:4" ht="21.75" customHeight="1" x14ac:dyDescent="0.6">
      <c r="A75" s="1"/>
      <c r="B75" s="1"/>
      <c r="C75" s="1"/>
      <c r="D75" s="17"/>
    </row>
    <row r="76" spans="1:4" ht="21.75" customHeight="1" x14ac:dyDescent="0.6">
      <c r="A76" s="1"/>
      <c r="B76" s="1"/>
      <c r="C76" s="1"/>
      <c r="D76" s="17"/>
    </row>
    <row r="77" spans="1:4" ht="21.75" customHeight="1" x14ac:dyDescent="0.6">
      <c r="A77" s="1"/>
      <c r="B77" s="1"/>
      <c r="C77" s="1"/>
      <c r="D77" s="17"/>
    </row>
    <row r="78" spans="1:4" ht="21.75" customHeight="1" x14ac:dyDescent="0.6">
      <c r="A78" s="1"/>
      <c r="B78" s="1"/>
      <c r="C78" s="1"/>
      <c r="D78" s="17"/>
    </row>
    <row r="79" spans="1:4" ht="21.75" customHeight="1" x14ac:dyDescent="0.6">
      <c r="A79" s="1"/>
      <c r="B79" s="1"/>
      <c r="C79" s="1"/>
      <c r="D79" s="17"/>
    </row>
    <row r="80" spans="1:4" ht="21.75" customHeight="1" x14ac:dyDescent="0.6">
      <c r="A80" s="1"/>
      <c r="B80" s="1"/>
      <c r="C80" s="1"/>
      <c r="D80" s="17"/>
    </row>
    <row r="81" spans="1:4" ht="21.75" customHeight="1" x14ac:dyDescent="0.6">
      <c r="A81" s="1"/>
      <c r="B81" s="1"/>
      <c r="C81" s="1"/>
      <c r="D81" s="17"/>
    </row>
    <row r="82" spans="1:4" ht="21.75" customHeight="1" x14ac:dyDescent="0.6">
      <c r="A82" s="1"/>
      <c r="B82" s="1"/>
      <c r="C82" s="1"/>
      <c r="D82" s="17"/>
    </row>
    <row r="83" spans="1:4" ht="21.75" customHeight="1" x14ac:dyDescent="0.6">
      <c r="A83" s="1"/>
      <c r="B83" s="1"/>
      <c r="C83" s="1"/>
      <c r="D83" s="17"/>
    </row>
    <row r="84" spans="1:4" ht="21.75" customHeight="1" x14ac:dyDescent="0.6">
      <c r="A84" s="1"/>
      <c r="B84" s="1"/>
      <c r="C84" s="1"/>
      <c r="D84" s="17"/>
    </row>
    <row r="85" spans="1:4" ht="21.75" customHeight="1" x14ac:dyDescent="0.6">
      <c r="A85" s="1"/>
      <c r="B85" s="1"/>
      <c r="C85" s="1"/>
      <c r="D85" s="17"/>
    </row>
    <row r="86" spans="1:4" ht="21.75" customHeight="1" x14ac:dyDescent="0.6">
      <c r="A86" s="1"/>
      <c r="B86" s="1"/>
      <c r="C86" s="1"/>
      <c r="D86" s="17"/>
    </row>
    <row r="87" spans="1:4" ht="21.75" customHeight="1" x14ac:dyDescent="0.6">
      <c r="A87" s="1"/>
      <c r="B87" s="1"/>
      <c r="C87" s="1"/>
      <c r="D87" s="17"/>
    </row>
    <row r="88" spans="1:4" ht="21.75" customHeight="1" x14ac:dyDescent="0.6">
      <c r="A88" s="1"/>
      <c r="B88" s="1"/>
      <c r="C88" s="1"/>
      <c r="D88" s="17"/>
    </row>
    <row r="89" spans="1:4" ht="21.75" customHeight="1" x14ac:dyDescent="0.6">
      <c r="A89" s="1"/>
      <c r="B89" s="1"/>
      <c r="C89" s="1"/>
      <c r="D89" s="17"/>
    </row>
    <row r="90" spans="1:4" ht="21.75" customHeight="1" x14ac:dyDescent="0.6">
      <c r="A90" s="1"/>
      <c r="B90" s="1"/>
      <c r="C90" s="1"/>
      <c r="D90" s="17"/>
    </row>
    <row r="91" spans="1:4" ht="21.75" customHeight="1" x14ac:dyDescent="0.6">
      <c r="A91" s="1"/>
      <c r="B91" s="1"/>
      <c r="C91" s="1"/>
      <c r="D91" s="17"/>
    </row>
    <row r="92" spans="1:4" ht="21.75" customHeight="1" x14ac:dyDescent="0.6">
      <c r="A92" s="1"/>
      <c r="B92" s="1"/>
      <c r="C92" s="1"/>
      <c r="D92" s="17"/>
    </row>
    <row r="93" spans="1:4" ht="21.75" customHeight="1" x14ac:dyDescent="0.6">
      <c r="A93" s="1"/>
      <c r="B93" s="1"/>
      <c r="C93" s="1"/>
      <c r="D93" s="17"/>
    </row>
    <row r="94" spans="1:4" ht="21.75" customHeight="1" x14ac:dyDescent="0.6">
      <c r="A94" s="1"/>
      <c r="B94" s="1"/>
      <c r="C94" s="1"/>
      <c r="D94" s="17"/>
    </row>
    <row r="95" spans="1:4" ht="21.75" customHeight="1" x14ac:dyDescent="0.6">
      <c r="A95" s="1"/>
      <c r="B95" s="1"/>
      <c r="C95" s="1"/>
      <c r="D95" s="17"/>
    </row>
    <row r="96" spans="1:4" ht="21.75" customHeight="1" x14ac:dyDescent="0.6">
      <c r="A96" s="1"/>
      <c r="B96" s="1"/>
      <c r="C96" s="1"/>
      <c r="D96" s="17"/>
    </row>
    <row r="97" spans="1:4" ht="21.75" customHeight="1" x14ac:dyDescent="0.6">
      <c r="A97" s="1"/>
      <c r="B97" s="1"/>
      <c r="C97" s="1"/>
      <c r="D97" s="17"/>
    </row>
    <row r="98" spans="1:4" ht="21.75" customHeight="1" x14ac:dyDescent="0.6">
      <c r="A98" s="1"/>
      <c r="B98" s="1"/>
      <c r="C98" s="1"/>
      <c r="D98" s="17"/>
    </row>
    <row r="99" spans="1:4" ht="21.75" customHeight="1" x14ac:dyDescent="0.6">
      <c r="A99" s="1"/>
      <c r="B99" s="1"/>
      <c r="C99" s="1"/>
      <c r="D99" s="17"/>
    </row>
    <row r="100" spans="1:4" ht="21.75" customHeight="1" x14ac:dyDescent="0.6">
      <c r="A100" s="1"/>
      <c r="B100" s="1"/>
      <c r="C100" s="1"/>
      <c r="D100" s="17"/>
    </row>
    <row r="101" spans="1:4" ht="21.75" customHeight="1" x14ac:dyDescent="0.6">
      <c r="A101" s="1"/>
      <c r="B101" s="1"/>
      <c r="C101" s="1"/>
      <c r="D101" s="17"/>
    </row>
    <row r="102" spans="1:4" ht="21.75" customHeight="1" x14ac:dyDescent="0.6">
      <c r="A102" s="1"/>
      <c r="B102" s="1"/>
      <c r="C102" s="1"/>
      <c r="D102" s="17"/>
    </row>
    <row r="103" spans="1:4" ht="21.75" customHeight="1" x14ac:dyDescent="0.6">
      <c r="A103" s="1"/>
      <c r="B103" s="1"/>
      <c r="C103" s="1"/>
      <c r="D103" s="17"/>
    </row>
    <row r="104" spans="1:4" ht="21.75" customHeight="1" x14ac:dyDescent="0.6">
      <c r="A104" s="1"/>
      <c r="B104" s="1"/>
      <c r="C104" s="1"/>
      <c r="D104" s="17"/>
    </row>
    <row r="105" spans="1:4" ht="21.75" customHeight="1" x14ac:dyDescent="0.6">
      <c r="A105" s="1"/>
      <c r="B105" s="1"/>
      <c r="C105" s="1"/>
      <c r="D105" s="17"/>
    </row>
    <row r="106" spans="1:4" ht="21.75" customHeight="1" x14ac:dyDescent="0.6">
      <c r="A106" s="1"/>
      <c r="B106" s="1"/>
      <c r="C106" s="1"/>
      <c r="D106" s="17"/>
    </row>
    <row r="107" spans="1:4" ht="21.75" customHeight="1" x14ac:dyDescent="0.6">
      <c r="A107" s="1"/>
      <c r="B107" s="1"/>
      <c r="C107" s="1"/>
      <c r="D107" s="17"/>
    </row>
    <row r="108" spans="1:4" ht="21.75" customHeight="1" x14ac:dyDescent="0.6">
      <c r="A108" s="1"/>
      <c r="B108" s="1"/>
      <c r="C108" s="1"/>
      <c r="D108" s="17"/>
    </row>
    <row r="109" spans="1:4" ht="21.75" customHeight="1" x14ac:dyDescent="0.6">
      <c r="A109" s="1"/>
      <c r="B109" s="1"/>
      <c r="C109" s="1"/>
      <c r="D109" s="17"/>
    </row>
    <row r="110" spans="1:4" ht="21.75" customHeight="1" x14ac:dyDescent="0.6">
      <c r="A110" s="1"/>
      <c r="B110" s="1"/>
      <c r="C110" s="1"/>
      <c r="D110" s="17"/>
    </row>
    <row r="111" spans="1:4" ht="21.75" customHeight="1" x14ac:dyDescent="0.6">
      <c r="A111" s="1"/>
      <c r="B111" s="1"/>
      <c r="C111" s="1"/>
      <c r="D111" s="17"/>
    </row>
    <row r="112" spans="1:4" ht="21.75" customHeight="1" x14ac:dyDescent="0.6">
      <c r="A112" s="1"/>
      <c r="B112" s="1"/>
      <c r="C112" s="1"/>
      <c r="D112" s="17"/>
    </row>
    <row r="113" spans="1:4" ht="21.75" customHeight="1" x14ac:dyDescent="0.6">
      <c r="A113" s="1"/>
      <c r="B113" s="1"/>
      <c r="C113" s="1"/>
      <c r="D113" s="17"/>
    </row>
    <row r="114" spans="1:4" ht="21.75" customHeight="1" x14ac:dyDescent="0.6">
      <c r="A114" s="1"/>
      <c r="B114" s="1"/>
      <c r="C114" s="1"/>
      <c r="D114" s="17"/>
    </row>
    <row r="115" spans="1:4" ht="21.75" customHeight="1" x14ac:dyDescent="0.6">
      <c r="A115" s="1"/>
      <c r="B115" s="1"/>
      <c r="C115" s="1"/>
      <c r="D115" s="17"/>
    </row>
    <row r="116" spans="1:4" ht="21.75" customHeight="1" x14ac:dyDescent="0.6">
      <c r="A116" s="1"/>
      <c r="B116" s="1"/>
      <c r="C116" s="1"/>
      <c r="D116" s="17"/>
    </row>
    <row r="117" spans="1:4" ht="21.75" customHeight="1" x14ac:dyDescent="0.6">
      <c r="A117" s="1"/>
      <c r="B117" s="1"/>
      <c r="C117" s="1"/>
      <c r="D117" s="17"/>
    </row>
    <row r="118" spans="1:4" ht="21.75" customHeight="1" x14ac:dyDescent="0.6">
      <c r="A118" s="1"/>
      <c r="B118" s="1"/>
      <c r="C118" s="1"/>
      <c r="D118" s="17"/>
    </row>
    <row r="119" spans="1:4" ht="21.75" customHeight="1" x14ac:dyDescent="0.6">
      <c r="A119" s="1"/>
      <c r="B119" s="1"/>
      <c r="C119" s="1"/>
      <c r="D119" s="17"/>
    </row>
    <row r="120" spans="1:4" ht="21.75" customHeight="1" x14ac:dyDescent="0.6">
      <c r="A120" s="1"/>
      <c r="B120" s="1"/>
      <c r="C120" s="1"/>
      <c r="D120" s="17"/>
    </row>
    <row r="121" spans="1:4" ht="21.75" customHeight="1" x14ac:dyDescent="0.6">
      <c r="A121" s="1"/>
      <c r="B121" s="1"/>
      <c r="C121" s="1"/>
      <c r="D121" s="17"/>
    </row>
    <row r="122" spans="1:4" ht="21.75" customHeight="1" x14ac:dyDescent="0.6">
      <c r="A122" s="1"/>
      <c r="B122" s="1"/>
      <c r="C122" s="1"/>
      <c r="D122" s="17"/>
    </row>
    <row r="123" spans="1:4" ht="21.75" customHeight="1" x14ac:dyDescent="0.6">
      <c r="A123" s="1"/>
      <c r="B123" s="1"/>
      <c r="C123" s="1"/>
      <c r="D123" s="17"/>
    </row>
    <row r="124" spans="1:4" ht="21.75" customHeight="1" x14ac:dyDescent="0.6">
      <c r="A124" s="1"/>
      <c r="B124" s="1"/>
      <c r="C124" s="1"/>
      <c r="D124" s="17"/>
    </row>
    <row r="125" spans="1:4" ht="21.75" customHeight="1" x14ac:dyDescent="0.6">
      <c r="A125" s="1"/>
      <c r="B125" s="1"/>
      <c r="C125" s="1"/>
      <c r="D125" s="17"/>
    </row>
    <row r="126" spans="1:4" ht="21.75" customHeight="1" x14ac:dyDescent="0.6">
      <c r="A126" s="1"/>
      <c r="B126" s="1"/>
      <c r="C126" s="1"/>
      <c r="D126" s="17"/>
    </row>
    <row r="127" spans="1:4" ht="21.75" customHeight="1" x14ac:dyDescent="0.6">
      <c r="A127" s="1"/>
      <c r="B127" s="1"/>
      <c r="C127" s="1"/>
      <c r="D127" s="17"/>
    </row>
    <row r="128" spans="1:4" ht="21.75" customHeight="1" x14ac:dyDescent="0.6">
      <c r="A128" s="1"/>
      <c r="B128" s="1"/>
      <c r="C128" s="1"/>
      <c r="D128" s="17"/>
    </row>
    <row r="129" spans="1:4" ht="21.75" customHeight="1" x14ac:dyDescent="0.6">
      <c r="A129" s="1"/>
      <c r="B129" s="1"/>
      <c r="C129" s="1"/>
      <c r="D129" s="17"/>
    </row>
    <row r="130" spans="1:4" ht="21.75" customHeight="1" x14ac:dyDescent="0.6">
      <c r="A130" s="1"/>
      <c r="B130" s="1"/>
      <c r="C130" s="1"/>
      <c r="D130" s="17"/>
    </row>
    <row r="131" spans="1:4" ht="21.75" customHeight="1" x14ac:dyDescent="0.6">
      <c r="A131" s="1"/>
      <c r="B131" s="1"/>
      <c r="C131" s="1"/>
      <c r="D131" s="17"/>
    </row>
    <row r="132" spans="1:4" ht="21.75" customHeight="1" x14ac:dyDescent="0.6">
      <c r="A132" s="1"/>
      <c r="B132" s="1"/>
      <c r="C132" s="1"/>
      <c r="D132" s="17"/>
    </row>
    <row r="133" spans="1:4" ht="21.75" customHeight="1" x14ac:dyDescent="0.6">
      <c r="A133" s="1"/>
      <c r="B133" s="1"/>
      <c r="C133" s="1"/>
      <c r="D133" s="17"/>
    </row>
    <row r="134" spans="1:4" ht="21.75" customHeight="1" x14ac:dyDescent="0.6">
      <c r="A134" s="1"/>
      <c r="B134" s="1"/>
      <c r="C134" s="1"/>
      <c r="D134" s="17"/>
    </row>
    <row r="135" spans="1:4" ht="21.75" customHeight="1" x14ac:dyDescent="0.6">
      <c r="A135" s="1"/>
      <c r="B135" s="1"/>
      <c r="C135" s="1"/>
      <c r="D135" s="17"/>
    </row>
    <row r="136" spans="1:4" ht="21.75" customHeight="1" x14ac:dyDescent="0.6">
      <c r="A136" s="1"/>
      <c r="B136" s="1"/>
      <c r="C136" s="1"/>
      <c r="D136" s="17"/>
    </row>
    <row r="137" spans="1:4" ht="21.75" customHeight="1" x14ac:dyDescent="0.6">
      <c r="A137" s="1"/>
      <c r="B137" s="1"/>
      <c r="C137" s="1"/>
      <c r="D137" s="17"/>
    </row>
    <row r="138" spans="1:4" ht="21.75" customHeight="1" x14ac:dyDescent="0.6">
      <c r="A138" s="1"/>
      <c r="B138" s="1"/>
      <c r="C138" s="1"/>
      <c r="D138" s="17"/>
    </row>
    <row r="139" spans="1:4" ht="21.75" customHeight="1" x14ac:dyDescent="0.6">
      <c r="A139" s="1"/>
      <c r="B139" s="1"/>
      <c r="C139" s="1"/>
      <c r="D139" s="17"/>
    </row>
    <row r="140" spans="1:4" ht="21.75" customHeight="1" x14ac:dyDescent="0.6">
      <c r="A140" s="1"/>
      <c r="B140" s="1"/>
      <c r="C140" s="1"/>
      <c r="D140" s="17"/>
    </row>
    <row r="141" spans="1:4" ht="21.75" customHeight="1" x14ac:dyDescent="0.6">
      <c r="A141" s="1"/>
      <c r="B141" s="1"/>
      <c r="C141" s="1"/>
      <c r="D141" s="17"/>
    </row>
    <row r="142" spans="1:4" ht="21.75" customHeight="1" x14ac:dyDescent="0.6">
      <c r="A142" s="1"/>
      <c r="B142" s="1"/>
      <c r="C142" s="1"/>
      <c r="D142" s="17"/>
    </row>
    <row r="143" spans="1:4" ht="21.75" customHeight="1" x14ac:dyDescent="0.6">
      <c r="A143" s="1"/>
      <c r="B143" s="1"/>
      <c r="C143" s="1"/>
      <c r="D143" s="17"/>
    </row>
    <row r="144" spans="1:4" ht="21.75" customHeight="1" x14ac:dyDescent="0.6">
      <c r="A144" s="1"/>
      <c r="B144" s="1"/>
      <c r="C144" s="1"/>
      <c r="D144" s="17"/>
    </row>
    <row r="145" spans="1:4" ht="21.75" customHeight="1" x14ac:dyDescent="0.6">
      <c r="A145" s="1"/>
      <c r="B145" s="1"/>
      <c r="C145" s="1"/>
      <c r="D145" s="17"/>
    </row>
    <row r="146" spans="1:4" ht="21.75" customHeight="1" x14ac:dyDescent="0.6">
      <c r="A146" s="1"/>
      <c r="B146" s="1"/>
      <c r="C146" s="1"/>
      <c r="D146" s="17"/>
    </row>
    <row r="147" spans="1:4" ht="21.75" customHeight="1" x14ac:dyDescent="0.6">
      <c r="A147" s="1"/>
      <c r="B147" s="1"/>
      <c r="C147" s="1"/>
      <c r="D147" s="17"/>
    </row>
    <row r="148" spans="1:4" ht="21.75" customHeight="1" x14ac:dyDescent="0.6">
      <c r="A148" s="1"/>
      <c r="B148" s="1"/>
      <c r="C148" s="1"/>
      <c r="D148" s="17"/>
    </row>
    <row r="149" spans="1:4" ht="21.75" customHeight="1" x14ac:dyDescent="0.6">
      <c r="A149" s="1"/>
      <c r="B149" s="1"/>
      <c r="C149" s="1"/>
      <c r="D149" s="17"/>
    </row>
    <row r="150" spans="1:4" ht="21.75" customHeight="1" x14ac:dyDescent="0.6">
      <c r="A150" s="1"/>
      <c r="B150" s="1"/>
      <c r="C150" s="1"/>
      <c r="D150" s="17"/>
    </row>
    <row r="151" spans="1:4" ht="21.75" customHeight="1" x14ac:dyDescent="0.6">
      <c r="A151" s="1"/>
      <c r="B151" s="1"/>
      <c r="C151" s="1"/>
      <c r="D151" s="17"/>
    </row>
    <row r="152" spans="1:4" ht="21.75" customHeight="1" x14ac:dyDescent="0.6">
      <c r="A152" s="1"/>
      <c r="B152" s="1"/>
      <c r="C152" s="1"/>
      <c r="D152" s="17"/>
    </row>
    <row r="153" spans="1:4" ht="21.75" customHeight="1" x14ac:dyDescent="0.6">
      <c r="A153" s="1"/>
      <c r="B153" s="1"/>
      <c r="C153" s="1"/>
      <c r="D153" s="17"/>
    </row>
    <row r="154" spans="1:4" ht="21.75" customHeight="1" x14ac:dyDescent="0.6">
      <c r="A154" s="1"/>
      <c r="B154" s="1"/>
      <c r="C154" s="1"/>
      <c r="D154" s="17"/>
    </row>
    <row r="155" spans="1:4" ht="21.75" customHeight="1" x14ac:dyDescent="0.6">
      <c r="A155" s="1"/>
      <c r="B155" s="1"/>
      <c r="C155" s="1"/>
      <c r="D155" s="17"/>
    </row>
    <row r="156" spans="1:4" ht="21.75" customHeight="1" x14ac:dyDescent="0.6">
      <c r="A156" s="1"/>
      <c r="B156" s="1"/>
      <c r="C156" s="1"/>
      <c r="D156" s="17"/>
    </row>
    <row r="157" spans="1:4" ht="21.75" customHeight="1" x14ac:dyDescent="0.6">
      <c r="A157" s="1"/>
      <c r="B157" s="1"/>
      <c r="C157" s="1"/>
      <c r="D157" s="17"/>
    </row>
    <row r="158" spans="1:4" ht="21.75" customHeight="1" x14ac:dyDescent="0.6">
      <c r="A158" s="1"/>
      <c r="B158" s="1"/>
      <c r="C158" s="1"/>
      <c r="D158" s="17"/>
    </row>
    <row r="159" spans="1:4" ht="21.75" customHeight="1" x14ac:dyDescent="0.6">
      <c r="A159" s="1"/>
      <c r="B159" s="1"/>
      <c r="C159" s="1"/>
      <c r="D159" s="17"/>
    </row>
    <row r="160" spans="1:4" ht="21.75" customHeight="1" x14ac:dyDescent="0.6">
      <c r="A160" s="1"/>
      <c r="B160" s="1"/>
      <c r="C160" s="1"/>
      <c r="D160" s="17"/>
    </row>
    <row r="161" spans="1:4" ht="21.75" customHeight="1" x14ac:dyDescent="0.6">
      <c r="A161" s="1"/>
      <c r="B161" s="1"/>
      <c r="C161" s="1"/>
      <c r="D161" s="17"/>
    </row>
    <row r="162" spans="1:4" ht="21.75" customHeight="1" x14ac:dyDescent="0.6">
      <c r="A162" s="1"/>
      <c r="B162" s="1"/>
      <c r="C162" s="1"/>
      <c r="D162" s="17"/>
    </row>
    <row r="163" spans="1:4" ht="21.75" customHeight="1" x14ac:dyDescent="0.6">
      <c r="A163" s="1"/>
      <c r="B163" s="1"/>
      <c r="C163" s="1"/>
      <c r="D163" s="17"/>
    </row>
    <row r="164" spans="1:4" ht="21.75" customHeight="1" x14ac:dyDescent="0.6">
      <c r="A164" s="1"/>
      <c r="B164" s="1"/>
      <c r="C164" s="1"/>
      <c r="D164" s="17"/>
    </row>
    <row r="165" spans="1:4" ht="21.75" customHeight="1" x14ac:dyDescent="0.6">
      <c r="A165" s="1"/>
      <c r="B165" s="1"/>
      <c r="C165" s="1"/>
      <c r="D165" s="17"/>
    </row>
    <row r="166" spans="1:4" ht="21.75" customHeight="1" x14ac:dyDescent="0.6">
      <c r="A166" s="1"/>
      <c r="B166" s="1"/>
      <c r="C166" s="1"/>
      <c r="D166" s="17"/>
    </row>
    <row r="167" spans="1:4" ht="21.75" customHeight="1" x14ac:dyDescent="0.6">
      <c r="A167" s="1"/>
      <c r="B167" s="1"/>
      <c r="C167" s="1"/>
      <c r="D167" s="17"/>
    </row>
    <row r="168" spans="1:4" ht="21.75" customHeight="1" x14ac:dyDescent="0.6">
      <c r="A168" s="1"/>
      <c r="B168" s="1"/>
      <c r="C168" s="1"/>
      <c r="D168" s="17"/>
    </row>
    <row r="169" spans="1:4" ht="21.75" customHeight="1" x14ac:dyDescent="0.6">
      <c r="A169" s="1"/>
      <c r="B169" s="1"/>
      <c r="C169" s="1"/>
      <c r="D169" s="17"/>
    </row>
    <row r="170" spans="1:4" ht="21.75" customHeight="1" x14ac:dyDescent="0.6">
      <c r="A170" s="1"/>
      <c r="B170" s="1"/>
      <c r="C170" s="1"/>
      <c r="D170" s="17"/>
    </row>
    <row r="171" spans="1:4" ht="21.75" customHeight="1" x14ac:dyDescent="0.6">
      <c r="A171" s="1"/>
      <c r="B171" s="1"/>
      <c r="C171" s="1"/>
      <c r="D171" s="17"/>
    </row>
    <row r="172" spans="1:4" ht="21.75" customHeight="1" x14ac:dyDescent="0.6">
      <c r="A172" s="1"/>
      <c r="B172" s="1"/>
      <c r="C172" s="1"/>
      <c r="D172" s="17"/>
    </row>
    <row r="173" spans="1:4" ht="21.75" customHeight="1" x14ac:dyDescent="0.6">
      <c r="A173" s="1"/>
      <c r="B173" s="1"/>
      <c r="C173" s="1"/>
      <c r="D173" s="17"/>
    </row>
    <row r="174" spans="1:4" ht="21.75" customHeight="1" x14ac:dyDescent="0.6">
      <c r="A174" s="1"/>
      <c r="B174" s="1"/>
      <c r="C174" s="1"/>
      <c r="D174" s="17"/>
    </row>
    <row r="175" spans="1:4" ht="21.75" customHeight="1" x14ac:dyDescent="0.6">
      <c r="A175" s="1"/>
      <c r="B175" s="1"/>
      <c r="C175" s="1"/>
      <c r="D175" s="17"/>
    </row>
    <row r="176" spans="1:4" ht="21.75" customHeight="1" x14ac:dyDescent="0.6">
      <c r="A176" s="1"/>
      <c r="B176" s="1"/>
      <c r="C176" s="1"/>
      <c r="D176" s="17"/>
    </row>
    <row r="177" spans="1:4" ht="21.75" customHeight="1" x14ac:dyDescent="0.6">
      <c r="A177" s="1"/>
      <c r="B177" s="1"/>
      <c r="C177" s="1"/>
      <c r="D177" s="17"/>
    </row>
    <row r="178" spans="1:4" ht="21.75" customHeight="1" x14ac:dyDescent="0.6">
      <c r="A178" s="1"/>
      <c r="B178" s="1"/>
      <c r="C178" s="1"/>
      <c r="D178" s="17"/>
    </row>
    <row r="179" spans="1:4" ht="21.75" customHeight="1" x14ac:dyDescent="0.6">
      <c r="A179" s="1"/>
      <c r="B179" s="1"/>
      <c r="C179" s="1"/>
      <c r="D179" s="17"/>
    </row>
    <row r="180" spans="1:4" ht="21.75" customHeight="1" x14ac:dyDescent="0.6">
      <c r="A180" s="1"/>
      <c r="B180" s="1"/>
      <c r="C180" s="1"/>
      <c r="D180" s="17"/>
    </row>
    <row r="181" spans="1:4" ht="21.75" customHeight="1" x14ac:dyDescent="0.6">
      <c r="A181" s="1"/>
      <c r="B181" s="1"/>
      <c r="C181" s="1"/>
      <c r="D181" s="17"/>
    </row>
    <row r="182" spans="1:4" ht="21.75" customHeight="1" x14ac:dyDescent="0.6">
      <c r="A182" s="1"/>
      <c r="B182" s="1"/>
      <c r="C182" s="1"/>
      <c r="D182" s="17"/>
    </row>
    <row r="183" spans="1:4" ht="21.75" customHeight="1" x14ac:dyDescent="0.6">
      <c r="A183" s="1"/>
      <c r="B183" s="1"/>
      <c r="C183" s="1"/>
      <c r="D183" s="17"/>
    </row>
    <row r="184" spans="1:4" ht="21.75" customHeight="1" x14ac:dyDescent="0.6">
      <c r="A184" s="1"/>
      <c r="B184" s="1"/>
      <c r="C184" s="1"/>
      <c r="D184" s="17"/>
    </row>
    <row r="185" spans="1:4" ht="21.75" customHeight="1" x14ac:dyDescent="0.6">
      <c r="A185" s="1"/>
      <c r="B185" s="1"/>
      <c r="C185" s="1"/>
      <c r="D185" s="17"/>
    </row>
    <row r="186" spans="1:4" ht="21.75" customHeight="1" x14ac:dyDescent="0.6">
      <c r="A186" s="1"/>
      <c r="B186" s="1"/>
      <c r="C186" s="1"/>
      <c r="D186" s="17"/>
    </row>
    <row r="187" spans="1:4" ht="21.75" customHeight="1" x14ac:dyDescent="0.6">
      <c r="A187" s="1"/>
      <c r="B187" s="1"/>
      <c r="C187" s="1"/>
      <c r="D187" s="17"/>
    </row>
    <row r="188" spans="1:4" ht="21.75" customHeight="1" x14ac:dyDescent="0.6">
      <c r="A188" s="1"/>
      <c r="B188" s="1"/>
      <c r="C188" s="1"/>
      <c r="D188" s="17"/>
    </row>
    <row r="189" spans="1:4" ht="21.75" customHeight="1" x14ac:dyDescent="0.6">
      <c r="A189" s="1"/>
      <c r="B189" s="1"/>
      <c r="C189" s="1"/>
      <c r="D189" s="17"/>
    </row>
    <row r="190" spans="1:4" ht="21.75" customHeight="1" x14ac:dyDescent="0.6">
      <c r="A190" s="1"/>
      <c r="B190" s="1"/>
      <c r="C190" s="1"/>
      <c r="D190" s="17"/>
    </row>
    <row r="191" spans="1:4" ht="21.75" customHeight="1" x14ac:dyDescent="0.6">
      <c r="A191" s="1"/>
      <c r="B191" s="1"/>
      <c r="C191" s="1"/>
      <c r="D191" s="17"/>
    </row>
    <row r="192" spans="1:4" ht="21.75" customHeight="1" x14ac:dyDescent="0.6">
      <c r="A192" s="1"/>
      <c r="B192" s="1"/>
      <c r="C192" s="1"/>
      <c r="D192" s="17"/>
    </row>
    <row r="193" spans="1:4" ht="21.75" customHeight="1" x14ac:dyDescent="0.6">
      <c r="A193" s="1"/>
      <c r="B193" s="1"/>
      <c r="C193" s="1"/>
      <c r="D193" s="17"/>
    </row>
    <row r="194" spans="1:4" ht="21.75" customHeight="1" x14ac:dyDescent="0.6">
      <c r="A194" s="1"/>
      <c r="B194" s="1"/>
      <c r="C194" s="1"/>
      <c r="D194" s="17"/>
    </row>
    <row r="195" spans="1:4" ht="21.75" customHeight="1" x14ac:dyDescent="0.6">
      <c r="A195" s="1"/>
      <c r="B195" s="1"/>
      <c r="C195" s="1"/>
      <c r="D195" s="17"/>
    </row>
    <row r="196" spans="1:4" ht="21.75" customHeight="1" x14ac:dyDescent="0.6">
      <c r="A196" s="1"/>
      <c r="B196" s="1"/>
      <c r="C196" s="1"/>
      <c r="D196" s="17"/>
    </row>
    <row r="197" spans="1:4" ht="21.75" customHeight="1" x14ac:dyDescent="0.6">
      <c r="A197" s="1"/>
      <c r="B197" s="1"/>
      <c r="C197" s="1"/>
      <c r="D197" s="17"/>
    </row>
    <row r="198" spans="1:4" ht="21.75" customHeight="1" x14ac:dyDescent="0.6">
      <c r="A198" s="1"/>
      <c r="B198" s="1"/>
      <c r="C198" s="1"/>
      <c r="D198" s="17"/>
    </row>
    <row r="199" spans="1:4" ht="21.75" customHeight="1" x14ac:dyDescent="0.6">
      <c r="A199" s="1"/>
      <c r="B199" s="1"/>
      <c r="C199" s="1"/>
      <c r="D199" s="17"/>
    </row>
    <row r="200" spans="1:4" ht="21.75" customHeight="1" x14ac:dyDescent="0.6">
      <c r="A200" s="1"/>
      <c r="B200" s="1"/>
      <c r="C200" s="1"/>
      <c r="D200" s="17"/>
    </row>
    <row r="201" spans="1:4" ht="21.75" customHeight="1" x14ac:dyDescent="0.6">
      <c r="A201" s="1"/>
      <c r="B201" s="1"/>
      <c r="C201" s="1"/>
      <c r="D201" s="17"/>
    </row>
    <row r="202" spans="1:4" ht="21.75" customHeight="1" x14ac:dyDescent="0.6">
      <c r="A202" s="1"/>
      <c r="B202" s="1"/>
      <c r="C202" s="1"/>
      <c r="D202" s="17"/>
    </row>
    <row r="203" spans="1:4" ht="21.75" customHeight="1" x14ac:dyDescent="0.6">
      <c r="A203" s="1"/>
      <c r="B203" s="1"/>
      <c r="C203" s="1"/>
      <c r="D203" s="17"/>
    </row>
    <row r="204" spans="1:4" ht="21.75" customHeight="1" x14ac:dyDescent="0.6">
      <c r="A204" s="1"/>
      <c r="B204" s="1"/>
      <c r="C204" s="1"/>
      <c r="D204" s="17"/>
    </row>
    <row r="205" spans="1:4" ht="21.75" customHeight="1" x14ac:dyDescent="0.6">
      <c r="A205" s="1"/>
      <c r="B205" s="1"/>
      <c r="C205" s="1"/>
      <c r="D205" s="17"/>
    </row>
    <row r="206" spans="1:4" ht="21.75" customHeight="1" x14ac:dyDescent="0.6">
      <c r="A206" s="1"/>
      <c r="B206" s="1"/>
      <c r="C206" s="1"/>
      <c r="D206" s="17"/>
    </row>
    <row r="207" spans="1:4" ht="21.75" customHeight="1" x14ac:dyDescent="0.6">
      <c r="A207" s="1"/>
      <c r="B207" s="1"/>
      <c r="C207" s="1"/>
      <c r="D207" s="17"/>
    </row>
    <row r="208" spans="1:4" ht="21.75" customHeight="1" x14ac:dyDescent="0.6">
      <c r="A208" s="1"/>
      <c r="B208" s="1"/>
      <c r="C208" s="1"/>
      <c r="D208" s="17"/>
    </row>
    <row r="209" spans="1:4" ht="21.75" customHeight="1" x14ac:dyDescent="0.6">
      <c r="A209" s="1"/>
      <c r="B209" s="1"/>
      <c r="C209" s="1"/>
      <c r="D209" s="17"/>
    </row>
    <row r="210" spans="1:4" ht="21.75" customHeight="1" x14ac:dyDescent="0.6">
      <c r="A210" s="1"/>
      <c r="B210" s="1"/>
      <c r="C210" s="1"/>
      <c r="D210" s="17"/>
    </row>
    <row r="211" spans="1:4" ht="21.75" customHeight="1" x14ac:dyDescent="0.6">
      <c r="A211" s="1"/>
      <c r="B211" s="1"/>
      <c r="C211" s="1"/>
      <c r="D211" s="17"/>
    </row>
    <row r="212" spans="1:4" ht="21.75" customHeight="1" x14ac:dyDescent="0.6">
      <c r="A212" s="1"/>
      <c r="B212" s="1"/>
      <c r="C212" s="1"/>
      <c r="D212" s="17"/>
    </row>
    <row r="213" spans="1:4" ht="21.75" customHeight="1" x14ac:dyDescent="0.6">
      <c r="A213" s="1"/>
      <c r="B213" s="1"/>
      <c r="C213" s="1"/>
      <c r="D213" s="17"/>
    </row>
    <row r="214" spans="1:4" ht="21.75" customHeight="1" x14ac:dyDescent="0.6">
      <c r="A214" s="1"/>
      <c r="B214" s="1"/>
      <c r="C214" s="1"/>
      <c r="D214" s="17"/>
    </row>
    <row r="215" spans="1:4" ht="21.75" customHeight="1" x14ac:dyDescent="0.6">
      <c r="A215" s="1"/>
      <c r="B215" s="1"/>
      <c r="C215" s="1"/>
      <c r="D215" s="17"/>
    </row>
    <row r="216" spans="1:4" ht="21.75" customHeight="1" x14ac:dyDescent="0.6">
      <c r="A216" s="1"/>
      <c r="B216" s="1"/>
      <c r="C216" s="1"/>
      <c r="D216" s="17"/>
    </row>
    <row r="217" spans="1:4" ht="21.75" customHeight="1" x14ac:dyDescent="0.6">
      <c r="A217" s="1"/>
      <c r="B217" s="1"/>
      <c r="C217" s="1"/>
      <c r="D217" s="17"/>
    </row>
    <row r="218" spans="1:4" ht="21.75" customHeight="1" x14ac:dyDescent="0.6">
      <c r="A218" s="1"/>
      <c r="B218" s="1"/>
      <c r="C218" s="1"/>
      <c r="D218" s="17"/>
    </row>
    <row r="219" spans="1:4" ht="21.75" customHeight="1" x14ac:dyDescent="0.6">
      <c r="A219" s="1"/>
      <c r="B219" s="1"/>
      <c r="C219" s="1"/>
      <c r="D219" s="17"/>
    </row>
    <row r="220" spans="1:4" ht="21.75" customHeight="1" x14ac:dyDescent="0.6">
      <c r="A220" s="1"/>
      <c r="B220" s="1"/>
      <c r="C220" s="1"/>
      <c r="D220" s="17"/>
    </row>
    <row r="221" spans="1:4" ht="21.75" customHeight="1" x14ac:dyDescent="0.6">
      <c r="A221" s="1"/>
      <c r="B221" s="1"/>
      <c r="C221" s="1"/>
      <c r="D221" s="17"/>
    </row>
    <row r="222" spans="1:4" ht="21.75" customHeight="1" x14ac:dyDescent="0.6">
      <c r="A222" s="1"/>
      <c r="B222" s="1"/>
      <c r="C222" s="1"/>
      <c r="D222" s="17"/>
    </row>
    <row r="223" spans="1:4" ht="21.75" customHeight="1" x14ac:dyDescent="0.6">
      <c r="A223" s="1"/>
      <c r="B223" s="1"/>
      <c r="C223" s="1"/>
      <c r="D223" s="17"/>
    </row>
    <row r="224" spans="1:4" ht="21.75" customHeight="1" x14ac:dyDescent="0.6">
      <c r="A224" s="1"/>
      <c r="B224" s="1"/>
      <c r="C224" s="1"/>
      <c r="D224" s="17"/>
    </row>
    <row r="225" spans="1:4" ht="21.75" customHeight="1" x14ac:dyDescent="0.6">
      <c r="A225" s="1"/>
      <c r="B225" s="1"/>
      <c r="C225" s="1"/>
      <c r="D225" s="17"/>
    </row>
    <row r="226" spans="1:4" ht="21.75" customHeight="1" x14ac:dyDescent="0.6">
      <c r="A226" s="1"/>
      <c r="B226" s="1"/>
      <c r="C226" s="1"/>
      <c r="D226" s="17"/>
    </row>
    <row r="227" spans="1:4" ht="21.75" customHeight="1" x14ac:dyDescent="0.6">
      <c r="A227" s="1"/>
      <c r="B227" s="1"/>
      <c r="C227" s="1"/>
      <c r="D227" s="17"/>
    </row>
    <row r="228" spans="1:4" ht="21.75" customHeight="1" x14ac:dyDescent="0.6">
      <c r="A228" s="1"/>
      <c r="B228" s="1"/>
      <c r="C228" s="1"/>
      <c r="D228" s="17"/>
    </row>
    <row r="229" spans="1:4" ht="21.75" customHeight="1" x14ac:dyDescent="0.6">
      <c r="A229" s="1"/>
      <c r="B229" s="1"/>
      <c r="C229" s="1"/>
      <c r="D229" s="17"/>
    </row>
    <row r="230" spans="1:4" ht="21.75" customHeight="1" x14ac:dyDescent="0.6">
      <c r="A230" s="1"/>
      <c r="B230" s="1"/>
      <c r="C230" s="1"/>
      <c r="D230" s="17"/>
    </row>
    <row r="231" spans="1:4" ht="21.75" customHeight="1" x14ac:dyDescent="0.6">
      <c r="A231" s="1"/>
      <c r="B231" s="1"/>
      <c r="C231" s="1"/>
      <c r="D231" s="17"/>
    </row>
    <row r="232" spans="1:4" ht="21.75" customHeight="1" x14ac:dyDescent="0.6">
      <c r="A232" s="1"/>
      <c r="B232" s="1"/>
      <c r="C232" s="1"/>
      <c r="D232" s="17"/>
    </row>
    <row r="233" spans="1:4" ht="21.75" customHeight="1" x14ac:dyDescent="0.6">
      <c r="A233" s="1"/>
      <c r="B233" s="1"/>
      <c r="C233" s="1"/>
      <c r="D233" s="17"/>
    </row>
    <row r="234" spans="1:4" ht="21.75" customHeight="1" x14ac:dyDescent="0.6">
      <c r="A234" s="1"/>
      <c r="B234" s="1"/>
      <c r="C234" s="1"/>
      <c r="D234" s="17"/>
    </row>
    <row r="235" spans="1:4" ht="21.75" customHeight="1" x14ac:dyDescent="0.6">
      <c r="A235" s="1"/>
      <c r="B235" s="1"/>
      <c r="C235" s="1"/>
      <c r="D235" s="17"/>
    </row>
    <row r="236" spans="1:4" ht="21.75" customHeight="1" x14ac:dyDescent="0.6">
      <c r="A236" s="1"/>
      <c r="B236" s="1"/>
      <c r="C236" s="1"/>
      <c r="D236" s="17"/>
    </row>
    <row r="237" spans="1:4" ht="21.75" customHeight="1" x14ac:dyDescent="0.6">
      <c r="A237" s="1"/>
      <c r="B237" s="1"/>
      <c r="C237" s="1"/>
      <c r="D237" s="17"/>
    </row>
    <row r="238" spans="1:4" ht="21.75" customHeight="1" x14ac:dyDescent="0.6">
      <c r="A238" s="1"/>
      <c r="B238" s="1"/>
      <c r="C238" s="1"/>
      <c r="D238" s="17"/>
    </row>
    <row r="239" spans="1:4" ht="21.75" customHeight="1" x14ac:dyDescent="0.6">
      <c r="A239" s="1"/>
      <c r="B239" s="1"/>
      <c r="C239" s="1"/>
      <c r="D239" s="17"/>
    </row>
    <row r="240" spans="1:4" ht="21.75" customHeight="1" x14ac:dyDescent="0.6">
      <c r="A240" s="1"/>
      <c r="B240" s="1"/>
      <c r="C240" s="1"/>
      <c r="D240" s="17"/>
    </row>
    <row r="241" spans="1:4" ht="21.75" customHeight="1" x14ac:dyDescent="0.6">
      <c r="A241" s="1"/>
      <c r="B241" s="1"/>
      <c r="C241" s="1"/>
      <c r="D241" s="17"/>
    </row>
    <row r="242" spans="1:4" ht="21.75" customHeight="1" x14ac:dyDescent="0.6">
      <c r="A242" s="1"/>
      <c r="B242" s="1"/>
      <c r="C242" s="1"/>
      <c r="D242" s="17"/>
    </row>
    <row r="243" spans="1:4" ht="21.75" customHeight="1" x14ac:dyDescent="0.6">
      <c r="A243" s="1"/>
      <c r="B243" s="1"/>
      <c r="C243" s="1"/>
      <c r="D243" s="17"/>
    </row>
    <row r="244" spans="1:4" ht="21.75" customHeight="1" x14ac:dyDescent="0.6">
      <c r="A244" s="1"/>
      <c r="B244" s="1"/>
      <c r="C244" s="1"/>
      <c r="D244" s="17"/>
    </row>
    <row r="245" spans="1:4" ht="21.75" customHeight="1" x14ac:dyDescent="0.6">
      <c r="A245" s="1"/>
      <c r="B245" s="1"/>
      <c r="C245" s="1"/>
      <c r="D245" s="17"/>
    </row>
    <row r="246" spans="1:4" ht="21.75" customHeight="1" x14ac:dyDescent="0.6">
      <c r="A246" s="1"/>
      <c r="B246" s="1"/>
      <c r="C246" s="1"/>
      <c r="D246" s="17"/>
    </row>
    <row r="247" spans="1:4" ht="21.75" customHeight="1" x14ac:dyDescent="0.6">
      <c r="A247" s="1"/>
      <c r="B247" s="1"/>
      <c r="C247" s="1"/>
      <c r="D247" s="17"/>
    </row>
    <row r="248" spans="1:4" ht="21.75" customHeight="1" x14ac:dyDescent="0.6">
      <c r="A248" s="1"/>
      <c r="B248" s="1"/>
      <c r="C248" s="1"/>
      <c r="D248" s="17"/>
    </row>
    <row r="249" spans="1:4" ht="21.75" customHeight="1" x14ac:dyDescent="0.6">
      <c r="A249" s="1"/>
      <c r="B249" s="1"/>
      <c r="C249" s="1"/>
      <c r="D249" s="17"/>
    </row>
    <row r="250" spans="1:4" ht="21.75" customHeight="1" x14ac:dyDescent="0.6">
      <c r="A250" s="1"/>
      <c r="B250" s="1"/>
      <c r="C250" s="1"/>
      <c r="D250" s="17"/>
    </row>
    <row r="251" spans="1:4" ht="21.75" customHeight="1" x14ac:dyDescent="0.6">
      <c r="A251" s="1"/>
      <c r="B251" s="1"/>
      <c r="C251" s="1"/>
      <c r="D251" s="17"/>
    </row>
    <row r="252" spans="1:4" ht="21.75" customHeight="1" x14ac:dyDescent="0.6">
      <c r="A252" s="1"/>
      <c r="B252" s="1"/>
      <c r="C252" s="1"/>
      <c r="D252" s="17"/>
    </row>
    <row r="253" spans="1:4" ht="21.75" customHeight="1" x14ac:dyDescent="0.6">
      <c r="A253" s="1"/>
      <c r="B253" s="1"/>
      <c r="C253" s="1"/>
      <c r="D253" s="17"/>
    </row>
    <row r="254" spans="1:4" ht="21.75" customHeight="1" x14ac:dyDescent="0.6">
      <c r="A254" s="1"/>
      <c r="B254" s="1"/>
      <c r="C254" s="1"/>
      <c r="D254" s="17"/>
    </row>
    <row r="255" spans="1:4" ht="21.75" customHeight="1" x14ac:dyDescent="0.6">
      <c r="A255" s="1"/>
      <c r="B255" s="1"/>
      <c r="C255" s="1"/>
      <c r="D255" s="17"/>
    </row>
    <row r="256" spans="1:4" ht="21.75" customHeight="1" x14ac:dyDescent="0.6">
      <c r="A256" s="1"/>
      <c r="B256" s="1"/>
      <c r="C256" s="1"/>
      <c r="D256" s="17"/>
    </row>
    <row r="257" spans="1:4" ht="21.75" customHeight="1" x14ac:dyDescent="0.6">
      <c r="A257" s="1"/>
      <c r="B257" s="1"/>
      <c r="C257" s="1"/>
      <c r="D257" s="17"/>
    </row>
    <row r="258" spans="1:4" ht="21.75" customHeight="1" x14ac:dyDescent="0.6">
      <c r="A258" s="1"/>
      <c r="B258" s="1"/>
      <c r="C258" s="1"/>
      <c r="D258" s="17"/>
    </row>
    <row r="259" spans="1:4" ht="21.75" customHeight="1" x14ac:dyDescent="0.6">
      <c r="A259" s="1"/>
      <c r="B259" s="1"/>
      <c r="C259" s="1"/>
      <c r="D259" s="17"/>
    </row>
    <row r="260" spans="1:4" ht="21.75" customHeight="1" x14ac:dyDescent="0.6">
      <c r="A260" s="1"/>
      <c r="B260" s="1"/>
      <c r="C260" s="1"/>
      <c r="D260" s="17"/>
    </row>
    <row r="261" spans="1:4" ht="21.75" customHeight="1" x14ac:dyDescent="0.6">
      <c r="A261" s="1"/>
      <c r="B261" s="1"/>
      <c r="C261" s="1"/>
      <c r="D261" s="17"/>
    </row>
    <row r="262" spans="1:4" ht="21.75" customHeight="1" x14ac:dyDescent="0.6">
      <c r="A262" s="1"/>
      <c r="B262" s="1"/>
      <c r="C262" s="1"/>
      <c r="D262" s="17"/>
    </row>
    <row r="263" spans="1:4" ht="21.75" customHeight="1" x14ac:dyDescent="0.6">
      <c r="A263" s="1"/>
      <c r="B263" s="1"/>
      <c r="C263" s="1"/>
      <c r="D263" s="17"/>
    </row>
    <row r="264" spans="1:4" ht="21.75" customHeight="1" x14ac:dyDescent="0.6">
      <c r="A264" s="1"/>
      <c r="B264" s="1"/>
      <c r="C264" s="1"/>
      <c r="D264" s="17"/>
    </row>
    <row r="265" spans="1:4" ht="21.75" customHeight="1" x14ac:dyDescent="0.6">
      <c r="A265" s="1"/>
      <c r="B265" s="1"/>
      <c r="C265" s="1"/>
      <c r="D265" s="17"/>
    </row>
    <row r="266" spans="1:4" ht="21.75" customHeight="1" x14ac:dyDescent="0.6">
      <c r="A266" s="1"/>
      <c r="B266" s="1"/>
      <c r="C266" s="1"/>
      <c r="D266" s="17"/>
    </row>
    <row r="267" spans="1:4" ht="21.75" customHeight="1" x14ac:dyDescent="0.6">
      <c r="A267" s="1"/>
      <c r="B267" s="1"/>
      <c r="C267" s="1"/>
      <c r="D267" s="17"/>
    </row>
    <row r="268" spans="1:4" ht="21.75" customHeight="1" x14ac:dyDescent="0.6">
      <c r="A268" s="1"/>
      <c r="B268" s="1"/>
      <c r="C268" s="1"/>
      <c r="D268" s="17"/>
    </row>
    <row r="269" spans="1:4" ht="21.75" customHeight="1" x14ac:dyDescent="0.6">
      <c r="A269" s="1"/>
      <c r="B269" s="1"/>
      <c r="C269" s="1"/>
      <c r="D269" s="17"/>
    </row>
    <row r="270" spans="1:4" ht="21.75" customHeight="1" x14ac:dyDescent="0.6">
      <c r="A270" s="1"/>
      <c r="B270" s="1"/>
      <c r="C270" s="1"/>
      <c r="D270" s="17"/>
    </row>
    <row r="271" spans="1:4" ht="21.75" customHeight="1" x14ac:dyDescent="0.6">
      <c r="A271" s="1"/>
      <c r="B271" s="1"/>
      <c r="C271" s="1"/>
      <c r="D271" s="17"/>
    </row>
    <row r="272" spans="1:4" ht="21.75" customHeight="1" x14ac:dyDescent="0.6">
      <c r="A272" s="1"/>
      <c r="B272" s="1"/>
      <c r="C272" s="1"/>
      <c r="D272" s="17"/>
    </row>
    <row r="273" spans="1:4" ht="21.75" customHeight="1" x14ac:dyDescent="0.6">
      <c r="A273" s="1"/>
      <c r="B273" s="1"/>
      <c r="C273" s="1"/>
      <c r="D273" s="17"/>
    </row>
    <row r="274" spans="1:4" ht="21.75" customHeight="1" x14ac:dyDescent="0.6">
      <c r="A274" s="1"/>
      <c r="B274" s="1"/>
      <c r="C274" s="1"/>
      <c r="D274" s="17"/>
    </row>
    <row r="275" spans="1:4" ht="21.75" customHeight="1" x14ac:dyDescent="0.6">
      <c r="A275" s="1"/>
      <c r="B275" s="1"/>
      <c r="C275" s="1"/>
      <c r="D275" s="17"/>
    </row>
    <row r="276" spans="1:4" ht="21.75" customHeight="1" x14ac:dyDescent="0.6">
      <c r="A276" s="1"/>
      <c r="B276" s="1"/>
      <c r="C276" s="1"/>
      <c r="D276" s="17"/>
    </row>
    <row r="277" spans="1:4" ht="21.75" customHeight="1" x14ac:dyDescent="0.6">
      <c r="A277" s="1"/>
      <c r="B277" s="1"/>
      <c r="C277" s="1"/>
      <c r="D277" s="17"/>
    </row>
    <row r="278" spans="1:4" ht="21.75" customHeight="1" x14ac:dyDescent="0.6">
      <c r="A278" s="1"/>
      <c r="B278" s="1"/>
      <c r="C278" s="1"/>
      <c r="D278" s="17"/>
    </row>
    <row r="279" spans="1:4" ht="21.75" customHeight="1" x14ac:dyDescent="0.6">
      <c r="A279" s="1"/>
      <c r="B279" s="1"/>
      <c r="C279" s="1"/>
      <c r="D279" s="17"/>
    </row>
    <row r="280" spans="1:4" ht="21.75" customHeight="1" x14ac:dyDescent="0.6">
      <c r="A280" s="1"/>
      <c r="B280" s="1"/>
      <c r="C280" s="1"/>
      <c r="D280" s="17"/>
    </row>
    <row r="281" spans="1:4" ht="21.75" customHeight="1" x14ac:dyDescent="0.6">
      <c r="A281" s="1"/>
      <c r="B281" s="1"/>
      <c r="C281" s="1"/>
      <c r="D281" s="17"/>
    </row>
    <row r="282" spans="1:4" ht="21.75" customHeight="1" x14ac:dyDescent="0.6">
      <c r="A282" s="1"/>
      <c r="B282" s="1"/>
      <c r="C282" s="1"/>
      <c r="D282" s="17"/>
    </row>
    <row r="283" spans="1:4" ht="21.75" customHeight="1" x14ac:dyDescent="0.6">
      <c r="A283" s="1"/>
      <c r="B283" s="1"/>
      <c r="C283" s="1"/>
      <c r="D283" s="17"/>
    </row>
    <row r="284" spans="1:4" ht="21.75" customHeight="1" x14ac:dyDescent="0.6">
      <c r="A284" s="1"/>
      <c r="B284" s="1"/>
      <c r="C284" s="1"/>
      <c r="D284" s="17"/>
    </row>
    <row r="285" spans="1:4" ht="21.75" customHeight="1" x14ac:dyDescent="0.6">
      <c r="A285" s="1"/>
      <c r="B285" s="1"/>
      <c r="C285" s="1"/>
      <c r="D285" s="17"/>
    </row>
    <row r="286" spans="1:4" ht="21.75" customHeight="1" x14ac:dyDescent="0.6">
      <c r="A286" s="1"/>
      <c r="B286" s="1"/>
      <c r="C286" s="1"/>
      <c r="D286" s="17"/>
    </row>
    <row r="287" spans="1:4" ht="21.75" customHeight="1" x14ac:dyDescent="0.6">
      <c r="A287" s="1"/>
      <c r="B287" s="1"/>
      <c r="C287" s="1"/>
      <c r="D287" s="17"/>
    </row>
    <row r="288" spans="1:4" ht="21.75" customHeight="1" x14ac:dyDescent="0.6">
      <c r="A288" s="1"/>
      <c r="B288" s="1"/>
      <c r="C288" s="1"/>
      <c r="D288" s="17"/>
    </row>
    <row r="289" spans="1:4" ht="21.75" customHeight="1" x14ac:dyDescent="0.6">
      <c r="A289" s="1"/>
      <c r="B289" s="1"/>
      <c r="C289" s="1"/>
      <c r="D289" s="17"/>
    </row>
    <row r="290" spans="1:4" ht="21.75" customHeight="1" x14ac:dyDescent="0.6">
      <c r="A290" s="1"/>
      <c r="B290" s="1"/>
      <c r="C290" s="1"/>
      <c r="D290" s="17"/>
    </row>
    <row r="291" spans="1:4" ht="21.75" customHeight="1" x14ac:dyDescent="0.6">
      <c r="A291" s="1"/>
      <c r="B291" s="1"/>
      <c r="C291" s="1"/>
      <c r="D291" s="17"/>
    </row>
    <row r="292" spans="1:4" ht="21.75" customHeight="1" x14ac:dyDescent="0.6">
      <c r="A292" s="1"/>
      <c r="B292" s="1"/>
      <c r="C292" s="1"/>
      <c r="D292" s="17"/>
    </row>
    <row r="293" spans="1:4" ht="21.75" customHeight="1" x14ac:dyDescent="0.6">
      <c r="A293" s="1"/>
      <c r="B293" s="1"/>
      <c r="C293" s="1"/>
      <c r="D293" s="17"/>
    </row>
    <row r="294" spans="1:4" ht="21.75" customHeight="1" x14ac:dyDescent="0.6">
      <c r="A294" s="1"/>
      <c r="B294" s="1"/>
      <c r="C294" s="1"/>
      <c r="D294" s="17"/>
    </row>
    <row r="295" spans="1:4" ht="21.75" customHeight="1" x14ac:dyDescent="0.6">
      <c r="A295" s="1"/>
      <c r="B295" s="1"/>
      <c r="C295" s="1"/>
      <c r="D295" s="17"/>
    </row>
    <row r="296" spans="1:4" ht="21.75" customHeight="1" x14ac:dyDescent="0.6">
      <c r="A296" s="1"/>
      <c r="B296" s="1"/>
      <c r="C296" s="1"/>
      <c r="D296" s="17"/>
    </row>
    <row r="297" spans="1:4" ht="21.75" customHeight="1" x14ac:dyDescent="0.6">
      <c r="A297" s="1"/>
      <c r="B297" s="1"/>
      <c r="C297" s="1"/>
      <c r="D297" s="17"/>
    </row>
    <row r="298" spans="1:4" ht="21.75" customHeight="1" x14ac:dyDescent="0.6">
      <c r="A298" s="1"/>
      <c r="B298" s="1"/>
      <c r="C298" s="1"/>
      <c r="D298" s="17"/>
    </row>
    <row r="299" spans="1:4" ht="21.75" customHeight="1" x14ac:dyDescent="0.6">
      <c r="A299" s="1"/>
      <c r="B299" s="1"/>
      <c r="C299" s="1"/>
      <c r="D299" s="17"/>
    </row>
    <row r="300" spans="1:4" ht="21.75" customHeight="1" x14ac:dyDescent="0.6">
      <c r="A300" s="1"/>
      <c r="B300" s="1"/>
      <c r="C300" s="1"/>
      <c r="D300" s="17"/>
    </row>
    <row r="301" spans="1:4" ht="21.75" customHeight="1" x14ac:dyDescent="0.6">
      <c r="A301" s="1"/>
      <c r="B301" s="1"/>
      <c r="C301" s="1"/>
      <c r="D301" s="17"/>
    </row>
    <row r="302" spans="1:4" ht="21.75" customHeight="1" x14ac:dyDescent="0.6">
      <c r="A302" s="1"/>
      <c r="B302" s="1"/>
      <c r="C302" s="1"/>
      <c r="D302" s="17"/>
    </row>
    <row r="303" spans="1:4" ht="21.75" customHeight="1" x14ac:dyDescent="0.6">
      <c r="A303" s="1"/>
      <c r="B303" s="1"/>
      <c r="C303" s="1"/>
      <c r="D303" s="17"/>
    </row>
    <row r="304" spans="1:4" ht="21.75" customHeight="1" x14ac:dyDescent="0.6">
      <c r="A304" s="1"/>
      <c r="B304" s="1"/>
      <c r="C304" s="1"/>
      <c r="D304" s="17"/>
    </row>
    <row r="305" spans="1:4" ht="21.75" customHeight="1" x14ac:dyDescent="0.6">
      <c r="A305" s="1"/>
      <c r="B305" s="1"/>
      <c r="C305" s="1"/>
      <c r="D305" s="17"/>
    </row>
    <row r="306" spans="1:4" ht="21.75" customHeight="1" x14ac:dyDescent="0.6">
      <c r="A306" s="1"/>
      <c r="B306" s="1"/>
      <c r="C306" s="1"/>
      <c r="D306" s="17"/>
    </row>
    <row r="307" spans="1:4" ht="21.75" customHeight="1" x14ac:dyDescent="0.6">
      <c r="A307" s="1"/>
      <c r="B307" s="1"/>
      <c r="C307" s="1"/>
      <c r="D307" s="17"/>
    </row>
    <row r="308" spans="1:4" ht="21.75" customHeight="1" x14ac:dyDescent="0.6">
      <c r="A308" s="1"/>
      <c r="B308" s="1"/>
      <c r="C308" s="1"/>
      <c r="D308" s="17"/>
    </row>
    <row r="309" spans="1:4" ht="21.75" customHeight="1" x14ac:dyDescent="0.6">
      <c r="A309" s="1"/>
      <c r="B309" s="1"/>
      <c r="C309" s="1"/>
      <c r="D309" s="17"/>
    </row>
    <row r="310" spans="1:4" ht="21.75" customHeight="1" x14ac:dyDescent="0.6">
      <c r="A310" s="1"/>
      <c r="B310" s="1"/>
      <c r="C310" s="1"/>
      <c r="D310" s="17"/>
    </row>
    <row r="311" spans="1:4" ht="21.75" customHeight="1" x14ac:dyDescent="0.6">
      <c r="A311" s="1"/>
      <c r="B311" s="1"/>
      <c r="C311" s="1"/>
      <c r="D311" s="17"/>
    </row>
    <row r="312" spans="1:4" ht="21.75" customHeight="1" x14ac:dyDescent="0.6">
      <c r="A312" s="1"/>
      <c r="B312" s="1"/>
      <c r="C312" s="1"/>
      <c r="D312" s="17"/>
    </row>
    <row r="313" spans="1:4" ht="21.75" customHeight="1" x14ac:dyDescent="0.6">
      <c r="A313" s="1"/>
      <c r="B313" s="1"/>
      <c r="C313" s="1"/>
      <c r="D313" s="17"/>
    </row>
    <row r="314" spans="1:4" ht="21.75" customHeight="1" x14ac:dyDescent="0.6">
      <c r="A314" s="1"/>
      <c r="B314" s="1"/>
      <c r="C314" s="1"/>
      <c r="D314" s="17"/>
    </row>
    <row r="315" spans="1:4" ht="21.75" customHeight="1" x14ac:dyDescent="0.6">
      <c r="A315" s="1"/>
      <c r="B315" s="1"/>
      <c r="C315" s="1"/>
      <c r="D315" s="17"/>
    </row>
    <row r="316" spans="1:4" ht="21.75" customHeight="1" x14ac:dyDescent="0.6">
      <c r="A316" s="1"/>
      <c r="B316" s="1"/>
      <c r="C316" s="1"/>
      <c r="D316" s="17"/>
    </row>
    <row r="317" spans="1:4" ht="21.75" customHeight="1" x14ac:dyDescent="0.6">
      <c r="A317" s="1"/>
      <c r="B317" s="1"/>
      <c r="C317" s="1"/>
      <c r="D317" s="17"/>
    </row>
    <row r="318" spans="1:4" ht="21.75" customHeight="1" x14ac:dyDescent="0.6">
      <c r="A318" s="1"/>
      <c r="B318" s="1"/>
      <c r="C318" s="1"/>
      <c r="D318" s="17"/>
    </row>
    <row r="319" spans="1:4" ht="21.75" customHeight="1" x14ac:dyDescent="0.6">
      <c r="A319" s="1"/>
      <c r="B319" s="1"/>
      <c r="C319" s="1"/>
      <c r="D319" s="17"/>
    </row>
    <row r="320" spans="1:4" ht="21.75" customHeight="1" x14ac:dyDescent="0.6">
      <c r="A320" s="1"/>
      <c r="B320" s="1"/>
      <c r="C320" s="1"/>
      <c r="D320" s="17"/>
    </row>
    <row r="321" spans="1:4" ht="21.75" customHeight="1" x14ac:dyDescent="0.6">
      <c r="A321" s="1"/>
      <c r="B321" s="1"/>
      <c r="C321" s="1"/>
      <c r="D321" s="17"/>
    </row>
    <row r="322" spans="1:4" ht="21.75" customHeight="1" x14ac:dyDescent="0.6">
      <c r="A322" s="1"/>
      <c r="B322" s="1"/>
      <c r="C322" s="1"/>
      <c r="D322" s="17"/>
    </row>
    <row r="323" spans="1:4" ht="21.75" customHeight="1" x14ac:dyDescent="0.6">
      <c r="A323" s="1"/>
      <c r="B323" s="1"/>
      <c r="C323" s="1"/>
      <c r="D323" s="17"/>
    </row>
    <row r="324" spans="1:4" ht="21.75" customHeight="1" x14ac:dyDescent="0.6">
      <c r="A324" s="1"/>
      <c r="B324" s="1"/>
      <c r="C324" s="1"/>
      <c r="D324" s="17"/>
    </row>
    <row r="325" spans="1:4" ht="21.75" customHeight="1" x14ac:dyDescent="0.6">
      <c r="A325" s="1"/>
      <c r="B325" s="1"/>
      <c r="C325" s="1"/>
      <c r="D325" s="17"/>
    </row>
    <row r="326" spans="1:4" ht="21.75" customHeight="1" x14ac:dyDescent="0.6">
      <c r="A326" s="1"/>
      <c r="B326" s="1"/>
      <c r="C326" s="1"/>
      <c r="D326" s="17"/>
    </row>
    <row r="327" spans="1:4" ht="21.75" customHeight="1" x14ac:dyDescent="0.6">
      <c r="A327" s="1"/>
      <c r="B327" s="1"/>
      <c r="C327" s="1"/>
      <c r="D327" s="17"/>
    </row>
    <row r="328" spans="1:4" ht="21.75" customHeight="1" x14ac:dyDescent="0.6">
      <c r="A328" s="1"/>
      <c r="B328" s="1"/>
      <c r="C328" s="1"/>
      <c r="D328" s="17"/>
    </row>
    <row r="329" spans="1:4" ht="21.75" customHeight="1" x14ac:dyDescent="0.6">
      <c r="A329" s="1"/>
      <c r="B329" s="1"/>
      <c r="C329" s="1"/>
      <c r="D329" s="17"/>
    </row>
    <row r="330" spans="1:4" ht="21.75" customHeight="1" x14ac:dyDescent="0.6">
      <c r="A330" s="1"/>
      <c r="B330" s="1"/>
      <c r="C330" s="1"/>
      <c r="D330" s="17"/>
    </row>
    <row r="331" spans="1:4" ht="21.75" customHeight="1" x14ac:dyDescent="0.6">
      <c r="A331" s="1"/>
      <c r="B331" s="1"/>
      <c r="C331" s="1"/>
      <c r="D331" s="17"/>
    </row>
    <row r="332" spans="1:4" ht="21.75" customHeight="1" x14ac:dyDescent="0.6">
      <c r="A332" s="1"/>
      <c r="B332" s="1"/>
      <c r="C332" s="1"/>
      <c r="D332" s="17"/>
    </row>
    <row r="333" spans="1:4" ht="21.75" customHeight="1" x14ac:dyDescent="0.6">
      <c r="A333" s="1"/>
      <c r="B333" s="1"/>
      <c r="C333" s="1"/>
      <c r="D333" s="17"/>
    </row>
    <row r="334" spans="1:4" ht="21.75" customHeight="1" x14ac:dyDescent="0.6">
      <c r="A334" s="1"/>
      <c r="B334" s="1"/>
      <c r="C334" s="1"/>
      <c r="D334" s="17"/>
    </row>
    <row r="335" spans="1:4" ht="21.75" customHeight="1" x14ac:dyDescent="0.6">
      <c r="A335" s="1"/>
      <c r="B335" s="1"/>
      <c r="C335" s="1"/>
      <c r="D335" s="17"/>
    </row>
    <row r="336" spans="1:4" ht="21.75" customHeight="1" x14ac:dyDescent="0.6">
      <c r="A336" s="1"/>
      <c r="B336" s="1"/>
      <c r="C336" s="1"/>
      <c r="D336" s="17"/>
    </row>
    <row r="337" spans="1:4" ht="21.75" customHeight="1" x14ac:dyDescent="0.6">
      <c r="A337" s="1"/>
      <c r="B337" s="1"/>
      <c r="C337" s="1"/>
      <c r="D337" s="17"/>
    </row>
    <row r="338" spans="1:4" ht="21.75" customHeight="1" x14ac:dyDescent="0.6">
      <c r="A338" s="1"/>
      <c r="B338" s="1"/>
      <c r="C338" s="1"/>
      <c r="D338" s="17"/>
    </row>
    <row r="339" spans="1:4" ht="21.75" customHeight="1" x14ac:dyDescent="0.6">
      <c r="A339" s="1"/>
      <c r="B339" s="1"/>
      <c r="C339" s="1"/>
      <c r="D339" s="17"/>
    </row>
    <row r="340" spans="1:4" ht="21.75" customHeight="1" x14ac:dyDescent="0.6">
      <c r="A340" s="1"/>
      <c r="B340" s="1"/>
      <c r="C340" s="1"/>
      <c r="D340" s="17"/>
    </row>
    <row r="341" spans="1:4" ht="21.75" customHeight="1" x14ac:dyDescent="0.6">
      <c r="A341" s="1"/>
      <c r="B341" s="1"/>
      <c r="C341" s="1"/>
      <c r="D341" s="17"/>
    </row>
    <row r="342" spans="1:4" ht="21.75" customHeight="1" x14ac:dyDescent="0.6">
      <c r="A342" s="1"/>
      <c r="B342" s="1"/>
      <c r="C342" s="1"/>
      <c r="D342" s="17"/>
    </row>
    <row r="343" spans="1:4" ht="21.75" customHeight="1" x14ac:dyDescent="0.6">
      <c r="A343" s="1"/>
      <c r="B343" s="1"/>
      <c r="C343" s="1"/>
      <c r="D343" s="17"/>
    </row>
    <row r="344" spans="1:4" ht="21.75" customHeight="1" x14ac:dyDescent="0.6">
      <c r="A344" s="1"/>
      <c r="B344" s="1"/>
      <c r="C344" s="1"/>
      <c r="D344" s="17"/>
    </row>
    <row r="345" spans="1:4" ht="21.75" customHeight="1" x14ac:dyDescent="0.6">
      <c r="A345" s="1"/>
      <c r="B345" s="1"/>
      <c r="C345" s="1"/>
      <c r="D345" s="17"/>
    </row>
    <row r="346" spans="1:4" ht="21.75" customHeight="1" x14ac:dyDescent="0.6">
      <c r="A346" s="1"/>
      <c r="B346" s="1"/>
      <c r="C346" s="1"/>
      <c r="D346" s="17"/>
    </row>
    <row r="347" spans="1:4" ht="21.75" customHeight="1" x14ac:dyDescent="0.6">
      <c r="A347" s="1"/>
      <c r="B347" s="1"/>
      <c r="C347" s="1"/>
      <c r="D347" s="17"/>
    </row>
    <row r="348" spans="1:4" ht="21.75" customHeight="1" x14ac:dyDescent="0.6">
      <c r="A348" s="1"/>
      <c r="B348" s="1"/>
      <c r="C348" s="1"/>
      <c r="D348" s="17"/>
    </row>
    <row r="349" spans="1:4" ht="21.75" customHeight="1" x14ac:dyDescent="0.6">
      <c r="A349" s="1"/>
      <c r="B349" s="1"/>
      <c r="C349" s="1"/>
      <c r="D349" s="17"/>
    </row>
    <row r="350" spans="1:4" ht="21.75" customHeight="1" x14ac:dyDescent="0.6">
      <c r="A350" s="1"/>
      <c r="B350" s="1"/>
      <c r="C350" s="1"/>
      <c r="D350" s="17"/>
    </row>
    <row r="351" spans="1:4" ht="21.75" customHeight="1" x14ac:dyDescent="0.6">
      <c r="A351" s="1"/>
      <c r="B351" s="1"/>
      <c r="C351" s="1"/>
      <c r="D351" s="17"/>
    </row>
    <row r="352" spans="1:4" ht="21.75" customHeight="1" x14ac:dyDescent="0.6">
      <c r="A352" s="1"/>
      <c r="B352" s="1"/>
      <c r="C352" s="1"/>
      <c r="D352" s="17"/>
    </row>
    <row r="353" spans="1:4" ht="21.75" customHeight="1" x14ac:dyDescent="0.6">
      <c r="A353" s="1"/>
      <c r="B353" s="1"/>
      <c r="C353" s="1"/>
      <c r="D353" s="17"/>
    </row>
    <row r="354" spans="1:4" ht="21.75" customHeight="1" x14ac:dyDescent="0.6">
      <c r="A354" s="1"/>
      <c r="B354" s="1"/>
      <c r="C354" s="1"/>
      <c r="D354" s="17"/>
    </row>
    <row r="355" spans="1:4" ht="21.75" customHeight="1" x14ac:dyDescent="0.6">
      <c r="A355" s="1"/>
      <c r="B355" s="1"/>
      <c r="C355" s="1"/>
      <c r="D355" s="17"/>
    </row>
    <row r="356" spans="1:4" ht="21.75" customHeight="1" x14ac:dyDescent="0.6">
      <c r="A356" s="1"/>
      <c r="B356" s="1"/>
      <c r="C356" s="1"/>
      <c r="D356" s="17"/>
    </row>
    <row r="357" spans="1:4" ht="21.75" customHeight="1" x14ac:dyDescent="0.6">
      <c r="A357" s="1"/>
      <c r="B357" s="1"/>
      <c r="C357" s="1"/>
      <c r="D357" s="17"/>
    </row>
    <row r="358" spans="1:4" ht="21.75" customHeight="1" x14ac:dyDescent="0.6">
      <c r="A358" s="1"/>
      <c r="B358" s="1"/>
      <c r="C358" s="1"/>
      <c r="D358" s="17"/>
    </row>
    <row r="359" spans="1:4" ht="21.75" customHeight="1" x14ac:dyDescent="0.6">
      <c r="A359" s="1"/>
      <c r="B359" s="1"/>
      <c r="C359" s="1"/>
      <c r="D359" s="17"/>
    </row>
    <row r="360" spans="1:4" ht="21.75" customHeight="1" x14ac:dyDescent="0.6">
      <c r="A360" s="1"/>
      <c r="B360" s="1"/>
      <c r="C360" s="1"/>
      <c r="D360" s="17"/>
    </row>
    <row r="361" spans="1:4" ht="21.75" customHeight="1" x14ac:dyDescent="0.6">
      <c r="A361" s="1"/>
      <c r="B361" s="1"/>
      <c r="C361" s="1"/>
      <c r="D361" s="17"/>
    </row>
    <row r="362" spans="1:4" ht="21.75" customHeight="1" x14ac:dyDescent="0.6">
      <c r="A362" s="1"/>
      <c r="B362" s="1"/>
      <c r="C362" s="1"/>
      <c r="D362" s="17"/>
    </row>
    <row r="363" spans="1:4" ht="21.75" customHeight="1" x14ac:dyDescent="0.6">
      <c r="A363" s="1"/>
      <c r="B363" s="1"/>
      <c r="C363" s="1"/>
      <c r="D363" s="17"/>
    </row>
    <row r="364" spans="1:4" ht="21.75" customHeight="1" x14ac:dyDescent="0.6">
      <c r="A364" s="1"/>
      <c r="B364" s="1"/>
      <c r="C364" s="1"/>
      <c r="D364" s="17"/>
    </row>
    <row r="365" spans="1:4" ht="21.75" customHeight="1" x14ac:dyDescent="0.6">
      <c r="A365" s="1"/>
      <c r="B365" s="1"/>
      <c r="C365" s="1"/>
      <c r="D365" s="17"/>
    </row>
    <row r="366" spans="1:4" ht="21.75" customHeight="1" x14ac:dyDescent="0.6">
      <c r="A366" s="1"/>
      <c r="B366" s="1"/>
      <c r="C366" s="1"/>
      <c r="D366" s="17"/>
    </row>
    <row r="367" spans="1:4" ht="21.75" customHeight="1" x14ac:dyDescent="0.6">
      <c r="A367" s="1"/>
      <c r="B367" s="1"/>
      <c r="C367" s="1"/>
      <c r="D367" s="17"/>
    </row>
    <row r="368" spans="1:4" ht="21.75" customHeight="1" x14ac:dyDescent="0.6">
      <c r="A368" s="1"/>
      <c r="B368" s="1"/>
      <c r="C368" s="1"/>
      <c r="D368" s="17"/>
    </row>
    <row r="369" spans="1:4" ht="21.75" customHeight="1" x14ac:dyDescent="0.6">
      <c r="A369" s="1"/>
      <c r="B369" s="1"/>
      <c r="C369" s="1"/>
      <c r="D369" s="17"/>
    </row>
    <row r="370" spans="1:4" ht="21.75" customHeight="1" x14ac:dyDescent="0.6">
      <c r="A370" s="1"/>
      <c r="B370" s="1"/>
      <c r="C370" s="1"/>
      <c r="D370" s="17"/>
    </row>
    <row r="371" spans="1:4" ht="21.75" customHeight="1" x14ac:dyDescent="0.6">
      <c r="A371" s="1"/>
      <c r="B371" s="1"/>
      <c r="C371" s="1"/>
      <c r="D371" s="17"/>
    </row>
    <row r="372" spans="1:4" ht="21.75" customHeight="1" x14ac:dyDescent="0.6">
      <c r="A372" s="1"/>
      <c r="B372" s="1"/>
      <c r="C372" s="1"/>
      <c r="D372" s="17"/>
    </row>
    <row r="373" spans="1:4" ht="21.75" customHeight="1" x14ac:dyDescent="0.6">
      <c r="A373" s="1"/>
      <c r="B373" s="1"/>
      <c r="C373" s="1"/>
      <c r="D373" s="17"/>
    </row>
    <row r="374" spans="1:4" ht="21.75" customHeight="1" x14ac:dyDescent="0.6">
      <c r="A374" s="1"/>
      <c r="B374" s="1"/>
      <c r="C374" s="1"/>
      <c r="D374" s="17"/>
    </row>
    <row r="375" spans="1:4" ht="21.75" customHeight="1" x14ac:dyDescent="0.6">
      <c r="A375" s="1"/>
      <c r="B375" s="1"/>
      <c r="C375" s="1"/>
      <c r="D375" s="17"/>
    </row>
    <row r="376" spans="1:4" ht="21.75" customHeight="1" x14ac:dyDescent="0.6">
      <c r="A376" s="1"/>
      <c r="B376" s="1"/>
      <c r="C376" s="1"/>
      <c r="D376" s="17"/>
    </row>
    <row r="377" spans="1:4" ht="21.75" customHeight="1" x14ac:dyDescent="0.6">
      <c r="A377" s="1"/>
      <c r="B377" s="1"/>
      <c r="C377" s="1"/>
      <c r="D377" s="17"/>
    </row>
    <row r="378" spans="1:4" ht="21.75" customHeight="1" x14ac:dyDescent="0.6">
      <c r="A378" s="1"/>
      <c r="B378" s="1"/>
      <c r="C378" s="1"/>
      <c r="D378" s="17"/>
    </row>
    <row r="379" spans="1:4" ht="21.75" customHeight="1" x14ac:dyDescent="0.6">
      <c r="A379" s="1"/>
      <c r="B379" s="1"/>
      <c r="C379" s="1"/>
      <c r="D379" s="17"/>
    </row>
    <row r="380" spans="1:4" ht="21.75" customHeight="1" x14ac:dyDescent="0.6">
      <c r="A380" s="1"/>
      <c r="B380" s="1"/>
      <c r="C380" s="1"/>
      <c r="D380" s="17"/>
    </row>
    <row r="381" spans="1:4" ht="21.75" customHeight="1" x14ac:dyDescent="0.6">
      <c r="A381" s="1"/>
      <c r="B381" s="1"/>
      <c r="C381" s="1"/>
      <c r="D381" s="17"/>
    </row>
    <row r="382" spans="1:4" ht="21.75" customHeight="1" x14ac:dyDescent="0.6">
      <c r="A382" s="1"/>
      <c r="B382" s="1"/>
      <c r="C382" s="1"/>
      <c r="D382" s="17"/>
    </row>
    <row r="383" spans="1:4" ht="21.75" customHeight="1" x14ac:dyDescent="0.6">
      <c r="A383" s="1"/>
      <c r="B383" s="1"/>
      <c r="C383" s="1"/>
      <c r="D383" s="17"/>
    </row>
    <row r="384" spans="1:4" ht="21.75" customHeight="1" x14ac:dyDescent="0.6">
      <c r="A384" s="1"/>
      <c r="B384" s="1"/>
      <c r="C384" s="1"/>
      <c r="D384" s="17"/>
    </row>
    <row r="385" spans="1:4" ht="21.75" customHeight="1" x14ac:dyDescent="0.6">
      <c r="A385" s="1"/>
      <c r="B385" s="1"/>
      <c r="C385" s="1"/>
      <c r="D385" s="17"/>
    </row>
    <row r="386" spans="1:4" ht="21.75" customHeight="1" x14ac:dyDescent="0.6">
      <c r="A386" s="1"/>
      <c r="B386" s="1"/>
      <c r="C386" s="1"/>
      <c r="D386" s="17"/>
    </row>
    <row r="387" spans="1:4" ht="21.75" customHeight="1" x14ac:dyDescent="0.6">
      <c r="A387" s="1"/>
      <c r="B387" s="1"/>
      <c r="C387" s="1"/>
      <c r="D387" s="17"/>
    </row>
    <row r="388" spans="1:4" ht="21.75" customHeight="1" x14ac:dyDescent="0.6">
      <c r="A388" s="1"/>
      <c r="B388" s="1"/>
      <c r="C388" s="1"/>
      <c r="D388" s="17"/>
    </row>
    <row r="389" spans="1:4" ht="21.75" customHeight="1" x14ac:dyDescent="0.6">
      <c r="A389" s="1"/>
      <c r="B389" s="1"/>
      <c r="C389" s="1"/>
      <c r="D389" s="17"/>
    </row>
    <row r="390" spans="1:4" ht="21.75" customHeight="1" x14ac:dyDescent="0.6">
      <c r="A390" s="1"/>
      <c r="B390" s="1"/>
      <c r="C390" s="1"/>
      <c r="D390" s="17"/>
    </row>
    <row r="391" spans="1:4" ht="21.75" customHeight="1" x14ac:dyDescent="0.6">
      <c r="A391" s="1"/>
      <c r="B391" s="1"/>
      <c r="C391" s="1"/>
      <c r="D391" s="17"/>
    </row>
    <row r="392" spans="1:4" ht="21.75" customHeight="1" x14ac:dyDescent="0.6">
      <c r="A392" s="1"/>
      <c r="B392" s="1"/>
      <c r="C392" s="1"/>
      <c r="D392" s="17"/>
    </row>
    <row r="393" spans="1:4" ht="21.75" customHeight="1" x14ac:dyDescent="0.6">
      <c r="A393" s="1"/>
      <c r="B393" s="1"/>
      <c r="C393" s="1"/>
      <c r="D393" s="17"/>
    </row>
    <row r="394" spans="1:4" ht="21.75" customHeight="1" x14ac:dyDescent="0.6">
      <c r="A394" s="1"/>
      <c r="B394" s="1"/>
      <c r="C394" s="1"/>
      <c r="D394" s="17"/>
    </row>
    <row r="395" spans="1:4" ht="21.75" customHeight="1" x14ac:dyDescent="0.6">
      <c r="A395" s="1"/>
      <c r="B395" s="1"/>
      <c r="C395" s="1"/>
      <c r="D395" s="17"/>
    </row>
    <row r="396" spans="1:4" ht="21.75" customHeight="1" x14ac:dyDescent="0.6">
      <c r="A396" s="1"/>
      <c r="B396" s="1"/>
      <c r="C396" s="1"/>
      <c r="D396" s="17"/>
    </row>
    <row r="397" spans="1:4" ht="21.75" customHeight="1" x14ac:dyDescent="0.6">
      <c r="A397" s="1"/>
      <c r="B397" s="1"/>
      <c r="C397" s="1"/>
      <c r="D397" s="17"/>
    </row>
    <row r="398" spans="1:4" ht="21.75" customHeight="1" x14ac:dyDescent="0.6">
      <c r="A398" s="1"/>
      <c r="B398" s="1"/>
      <c r="C398" s="1"/>
      <c r="D398" s="17"/>
    </row>
    <row r="399" spans="1:4" ht="21.75" customHeight="1" x14ac:dyDescent="0.6">
      <c r="A399" s="1"/>
      <c r="B399" s="1"/>
      <c r="C399" s="1"/>
      <c r="D399" s="17"/>
    </row>
    <row r="400" spans="1:4" ht="21.75" customHeight="1" x14ac:dyDescent="0.6">
      <c r="A400" s="1"/>
      <c r="B400" s="1"/>
      <c r="C400" s="1"/>
      <c r="D400" s="17"/>
    </row>
    <row r="401" spans="1:4" ht="21.75" customHeight="1" x14ac:dyDescent="0.6">
      <c r="A401" s="1"/>
      <c r="B401" s="1"/>
      <c r="C401" s="1"/>
      <c r="D401" s="17"/>
    </row>
    <row r="402" spans="1:4" ht="21.75" customHeight="1" x14ac:dyDescent="0.6">
      <c r="A402" s="1"/>
      <c r="B402" s="1"/>
      <c r="C402" s="1"/>
      <c r="D402" s="17"/>
    </row>
    <row r="403" spans="1:4" ht="21.75" customHeight="1" x14ac:dyDescent="0.6">
      <c r="A403" s="1"/>
      <c r="B403" s="1"/>
      <c r="C403" s="1"/>
      <c r="D403" s="17"/>
    </row>
    <row r="404" spans="1:4" ht="21.75" customHeight="1" x14ac:dyDescent="0.6">
      <c r="A404" s="1"/>
      <c r="B404" s="1"/>
      <c r="C404" s="1"/>
      <c r="D404" s="17"/>
    </row>
    <row r="405" spans="1:4" ht="21.75" customHeight="1" x14ac:dyDescent="0.6">
      <c r="A405" s="1"/>
      <c r="B405" s="1"/>
      <c r="C405" s="1"/>
      <c r="D405" s="17"/>
    </row>
    <row r="406" spans="1:4" ht="21.75" customHeight="1" x14ac:dyDescent="0.6">
      <c r="A406" s="1"/>
      <c r="B406" s="1"/>
      <c r="C406" s="1"/>
      <c r="D406" s="17"/>
    </row>
    <row r="407" spans="1:4" ht="21.75" customHeight="1" x14ac:dyDescent="0.6">
      <c r="A407" s="1"/>
      <c r="B407" s="1"/>
      <c r="C407" s="1"/>
      <c r="D407" s="17"/>
    </row>
    <row r="408" spans="1:4" ht="21.75" customHeight="1" x14ac:dyDescent="0.6">
      <c r="A408" s="1"/>
      <c r="B408" s="1"/>
      <c r="C408" s="1"/>
      <c r="D408" s="17"/>
    </row>
    <row r="409" spans="1:4" ht="21.75" customHeight="1" x14ac:dyDescent="0.6">
      <c r="A409" s="1"/>
      <c r="B409" s="1"/>
      <c r="C409" s="1"/>
      <c r="D409" s="17"/>
    </row>
    <row r="410" spans="1:4" ht="21.75" customHeight="1" x14ac:dyDescent="0.6">
      <c r="A410" s="1"/>
      <c r="B410" s="1"/>
      <c r="C410" s="1"/>
      <c r="D410" s="17"/>
    </row>
    <row r="411" spans="1:4" ht="21.75" customHeight="1" x14ac:dyDescent="0.6">
      <c r="A411" s="1"/>
      <c r="B411" s="1"/>
      <c r="C411" s="1"/>
      <c r="D411" s="17"/>
    </row>
    <row r="412" spans="1:4" ht="21.75" customHeight="1" x14ac:dyDescent="0.6">
      <c r="A412" s="1"/>
      <c r="B412" s="1"/>
      <c r="C412" s="1"/>
      <c r="D412" s="17"/>
    </row>
    <row r="413" spans="1:4" ht="21.75" customHeight="1" x14ac:dyDescent="0.6">
      <c r="A413" s="1"/>
      <c r="B413" s="1"/>
      <c r="C413" s="1"/>
      <c r="D413" s="17"/>
    </row>
    <row r="414" spans="1:4" ht="21.75" customHeight="1" x14ac:dyDescent="0.6">
      <c r="A414" s="1"/>
      <c r="B414" s="1"/>
      <c r="C414" s="1"/>
      <c r="D414" s="17"/>
    </row>
    <row r="415" spans="1:4" ht="21.75" customHeight="1" x14ac:dyDescent="0.6">
      <c r="A415" s="1"/>
      <c r="B415" s="1"/>
      <c r="C415" s="1"/>
      <c r="D415" s="17"/>
    </row>
    <row r="416" spans="1:4" ht="21.75" customHeight="1" x14ac:dyDescent="0.6">
      <c r="A416" s="1"/>
      <c r="B416" s="1"/>
      <c r="C416" s="1"/>
      <c r="D416" s="17"/>
    </row>
    <row r="417" spans="1:4" ht="21.75" customHeight="1" x14ac:dyDescent="0.6">
      <c r="A417" s="1"/>
      <c r="B417" s="1"/>
      <c r="C417" s="1"/>
      <c r="D417" s="17"/>
    </row>
    <row r="418" spans="1:4" ht="21.75" customHeight="1" x14ac:dyDescent="0.6">
      <c r="A418" s="1"/>
      <c r="B418" s="1"/>
      <c r="C418" s="1"/>
      <c r="D418" s="17"/>
    </row>
    <row r="419" spans="1:4" ht="21.75" customHeight="1" x14ac:dyDescent="0.6">
      <c r="A419" s="1"/>
      <c r="B419" s="1"/>
      <c r="C419" s="1"/>
      <c r="D419" s="17"/>
    </row>
    <row r="420" spans="1:4" ht="21.75" customHeight="1" x14ac:dyDescent="0.6">
      <c r="A420" s="1"/>
      <c r="B420" s="1"/>
      <c r="C420" s="1"/>
      <c r="D420" s="17"/>
    </row>
    <row r="421" spans="1:4" ht="21.75" customHeight="1" x14ac:dyDescent="0.6">
      <c r="A421" s="1"/>
      <c r="B421" s="1"/>
      <c r="C421" s="1"/>
      <c r="D421" s="17"/>
    </row>
    <row r="422" spans="1:4" ht="21.75" customHeight="1" x14ac:dyDescent="0.6">
      <c r="A422" s="1"/>
      <c r="B422" s="1"/>
      <c r="C422" s="1"/>
      <c r="D422" s="17"/>
    </row>
    <row r="423" spans="1:4" ht="21.75" customHeight="1" x14ac:dyDescent="0.6">
      <c r="A423" s="1"/>
      <c r="B423" s="1"/>
      <c r="C423" s="1"/>
      <c r="D423" s="17"/>
    </row>
    <row r="424" spans="1:4" ht="21.75" customHeight="1" x14ac:dyDescent="0.6">
      <c r="A424" s="1"/>
      <c r="B424" s="1"/>
      <c r="C424" s="1"/>
      <c r="D424" s="17"/>
    </row>
    <row r="425" spans="1:4" ht="21.75" customHeight="1" x14ac:dyDescent="0.6">
      <c r="A425" s="1"/>
      <c r="B425" s="1"/>
      <c r="C425" s="1"/>
      <c r="D425" s="17"/>
    </row>
    <row r="426" spans="1:4" ht="21.75" customHeight="1" x14ac:dyDescent="0.6">
      <c r="A426" s="1"/>
      <c r="B426" s="1"/>
      <c r="C426" s="1"/>
      <c r="D426" s="17"/>
    </row>
    <row r="427" spans="1:4" ht="21.75" customHeight="1" x14ac:dyDescent="0.6">
      <c r="A427" s="1"/>
      <c r="B427" s="1"/>
      <c r="C427" s="1"/>
      <c r="D427" s="17"/>
    </row>
    <row r="428" spans="1:4" ht="21.75" customHeight="1" x14ac:dyDescent="0.6">
      <c r="A428" s="1"/>
      <c r="B428" s="1"/>
      <c r="C428" s="1"/>
      <c r="D428" s="17"/>
    </row>
    <row r="429" spans="1:4" ht="21.75" customHeight="1" x14ac:dyDescent="0.6">
      <c r="A429" s="1"/>
      <c r="B429" s="1"/>
      <c r="C429" s="1"/>
      <c r="D429" s="17"/>
    </row>
    <row r="430" spans="1:4" ht="21.75" customHeight="1" x14ac:dyDescent="0.6">
      <c r="A430" s="1"/>
      <c r="B430" s="1"/>
      <c r="C430" s="1"/>
      <c r="D430" s="17"/>
    </row>
    <row r="431" spans="1:4" ht="21.75" customHeight="1" x14ac:dyDescent="0.6">
      <c r="A431" s="1"/>
      <c r="B431" s="1"/>
      <c r="C431" s="1"/>
      <c r="D431" s="17"/>
    </row>
    <row r="432" spans="1:4" ht="21.75" customHeight="1" x14ac:dyDescent="0.6">
      <c r="A432" s="1"/>
      <c r="B432" s="1"/>
      <c r="C432" s="1"/>
      <c r="D432" s="17"/>
    </row>
    <row r="433" spans="1:4" ht="21.75" customHeight="1" x14ac:dyDescent="0.6">
      <c r="A433" s="1"/>
      <c r="B433" s="1"/>
      <c r="C433" s="1"/>
      <c r="D433" s="17"/>
    </row>
    <row r="434" spans="1:4" ht="21.75" customHeight="1" x14ac:dyDescent="0.6">
      <c r="A434" s="1"/>
      <c r="B434" s="1"/>
      <c r="C434" s="1"/>
      <c r="D434" s="17"/>
    </row>
    <row r="435" spans="1:4" ht="21.75" customHeight="1" x14ac:dyDescent="0.6">
      <c r="A435" s="1"/>
      <c r="B435" s="1"/>
      <c r="C435" s="1"/>
      <c r="D435" s="17"/>
    </row>
    <row r="436" spans="1:4" ht="21.75" customHeight="1" x14ac:dyDescent="0.6">
      <c r="A436" s="1"/>
      <c r="B436" s="1"/>
      <c r="C436" s="1"/>
      <c r="D436" s="17"/>
    </row>
    <row r="437" spans="1:4" ht="21.75" customHeight="1" x14ac:dyDescent="0.6">
      <c r="A437" s="1"/>
      <c r="B437" s="1"/>
      <c r="C437" s="1"/>
      <c r="D437" s="17"/>
    </row>
    <row r="438" spans="1:4" ht="21.75" customHeight="1" x14ac:dyDescent="0.6">
      <c r="A438" s="1"/>
      <c r="B438" s="1"/>
      <c r="C438" s="1"/>
      <c r="D438" s="17"/>
    </row>
    <row r="439" spans="1:4" ht="21.75" customHeight="1" x14ac:dyDescent="0.6">
      <c r="A439" s="1"/>
      <c r="B439" s="1"/>
      <c r="C439" s="1"/>
      <c r="D439" s="17"/>
    </row>
    <row r="440" spans="1:4" ht="21.75" customHeight="1" x14ac:dyDescent="0.6">
      <c r="A440" s="1"/>
      <c r="B440" s="1"/>
      <c r="C440" s="1"/>
      <c r="D440" s="17"/>
    </row>
    <row r="441" spans="1:4" ht="21.75" customHeight="1" x14ac:dyDescent="0.6">
      <c r="A441" s="1"/>
      <c r="B441" s="1"/>
      <c r="C441" s="1"/>
      <c r="D441" s="17"/>
    </row>
    <row r="442" spans="1:4" ht="21.75" customHeight="1" x14ac:dyDescent="0.6">
      <c r="A442" s="1"/>
      <c r="B442" s="1"/>
      <c r="C442" s="1"/>
      <c r="D442" s="17"/>
    </row>
    <row r="443" spans="1:4" ht="21.75" customHeight="1" x14ac:dyDescent="0.6">
      <c r="A443" s="1"/>
      <c r="B443" s="1"/>
      <c r="C443" s="1"/>
      <c r="D443" s="17"/>
    </row>
    <row r="444" spans="1:4" ht="21.75" customHeight="1" x14ac:dyDescent="0.6">
      <c r="A444" s="1"/>
      <c r="B444" s="1"/>
      <c r="C444" s="1"/>
      <c r="D444" s="17"/>
    </row>
    <row r="445" spans="1:4" ht="21.75" customHeight="1" x14ac:dyDescent="0.6">
      <c r="A445" s="1"/>
      <c r="B445" s="1"/>
      <c r="C445" s="1"/>
      <c r="D445" s="17"/>
    </row>
    <row r="446" spans="1:4" ht="21.75" customHeight="1" x14ac:dyDescent="0.6">
      <c r="A446" s="1"/>
      <c r="B446" s="1"/>
      <c r="C446" s="1"/>
      <c r="D446" s="17"/>
    </row>
    <row r="447" spans="1:4" ht="21.75" customHeight="1" x14ac:dyDescent="0.6">
      <c r="A447" s="1"/>
      <c r="B447" s="1"/>
      <c r="C447" s="1"/>
      <c r="D447" s="17"/>
    </row>
    <row r="448" spans="1:4" ht="21.75" customHeight="1" x14ac:dyDescent="0.6">
      <c r="A448" s="1"/>
      <c r="B448" s="1"/>
      <c r="C448" s="1"/>
      <c r="D448" s="17"/>
    </row>
    <row r="449" spans="1:4" ht="21.75" customHeight="1" x14ac:dyDescent="0.6">
      <c r="A449" s="1"/>
      <c r="B449" s="1"/>
      <c r="C449" s="1"/>
      <c r="D449" s="17"/>
    </row>
    <row r="450" spans="1:4" ht="21.75" customHeight="1" x14ac:dyDescent="0.6">
      <c r="A450" s="1"/>
      <c r="B450" s="1"/>
      <c r="C450" s="1"/>
      <c r="D450" s="17"/>
    </row>
    <row r="451" spans="1:4" ht="21.75" customHeight="1" x14ac:dyDescent="0.6">
      <c r="A451" s="1"/>
      <c r="B451" s="1"/>
      <c r="C451" s="1"/>
      <c r="D451" s="17"/>
    </row>
    <row r="452" spans="1:4" ht="21.75" customHeight="1" x14ac:dyDescent="0.6">
      <c r="A452" s="1"/>
      <c r="B452" s="1"/>
      <c r="C452" s="1"/>
      <c r="D452" s="17"/>
    </row>
    <row r="453" spans="1:4" ht="21.75" customHeight="1" x14ac:dyDescent="0.6">
      <c r="A453" s="1"/>
      <c r="B453" s="1"/>
      <c r="C453" s="1"/>
      <c r="D453" s="17"/>
    </row>
    <row r="454" spans="1:4" ht="21.75" customHeight="1" x14ac:dyDescent="0.6">
      <c r="A454" s="1"/>
      <c r="B454" s="1"/>
      <c r="C454" s="1"/>
      <c r="D454" s="17"/>
    </row>
    <row r="455" spans="1:4" ht="21.75" customHeight="1" x14ac:dyDescent="0.6">
      <c r="A455" s="1"/>
      <c r="B455" s="1"/>
      <c r="C455" s="1"/>
      <c r="D455" s="17"/>
    </row>
    <row r="456" spans="1:4" ht="21.75" customHeight="1" x14ac:dyDescent="0.6">
      <c r="A456" s="1"/>
      <c r="B456" s="1"/>
      <c r="C456" s="1"/>
      <c r="D456" s="17"/>
    </row>
    <row r="457" spans="1:4" ht="21.75" customHeight="1" x14ac:dyDescent="0.6">
      <c r="A457" s="1"/>
      <c r="B457" s="1"/>
      <c r="C457" s="1"/>
      <c r="D457" s="17"/>
    </row>
    <row r="458" spans="1:4" ht="21.75" customHeight="1" x14ac:dyDescent="0.6">
      <c r="A458" s="1"/>
      <c r="B458" s="1"/>
      <c r="C458" s="1"/>
      <c r="D458" s="17"/>
    </row>
    <row r="459" spans="1:4" ht="21.75" customHeight="1" x14ac:dyDescent="0.6">
      <c r="A459" s="1"/>
      <c r="B459" s="1"/>
      <c r="C459" s="1"/>
      <c r="D459" s="17"/>
    </row>
    <row r="460" spans="1:4" ht="21.75" customHeight="1" x14ac:dyDescent="0.6">
      <c r="A460" s="1"/>
      <c r="B460" s="1"/>
      <c r="C460" s="1"/>
      <c r="D460" s="17"/>
    </row>
    <row r="461" spans="1:4" ht="21.75" customHeight="1" x14ac:dyDescent="0.6">
      <c r="A461" s="1"/>
      <c r="B461" s="1"/>
      <c r="C461" s="1"/>
      <c r="D461" s="17"/>
    </row>
    <row r="462" spans="1:4" ht="21.75" customHeight="1" x14ac:dyDescent="0.6">
      <c r="A462" s="1"/>
      <c r="B462" s="1"/>
      <c r="C462" s="1"/>
      <c r="D462" s="17"/>
    </row>
    <row r="463" spans="1:4" ht="21.75" customHeight="1" x14ac:dyDescent="0.6">
      <c r="A463" s="1"/>
      <c r="B463" s="1"/>
      <c r="C463" s="1"/>
      <c r="D463" s="17"/>
    </row>
    <row r="464" spans="1:4" ht="21.75" customHeight="1" x14ac:dyDescent="0.6">
      <c r="A464" s="1"/>
      <c r="B464" s="1"/>
      <c r="C464" s="1"/>
      <c r="D464" s="17"/>
    </row>
    <row r="465" spans="1:4" ht="21.75" customHeight="1" x14ac:dyDescent="0.6">
      <c r="A465" s="1"/>
      <c r="B465" s="1"/>
      <c r="C465" s="1"/>
      <c r="D465" s="17"/>
    </row>
    <row r="466" spans="1:4" ht="21.75" customHeight="1" x14ac:dyDescent="0.6">
      <c r="A466" s="1"/>
      <c r="B466" s="1"/>
      <c r="C466" s="1"/>
      <c r="D466" s="17"/>
    </row>
    <row r="467" spans="1:4" ht="21.75" customHeight="1" x14ac:dyDescent="0.6">
      <c r="A467" s="1"/>
      <c r="B467" s="1"/>
      <c r="C467" s="1"/>
      <c r="D467" s="17"/>
    </row>
    <row r="468" spans="1:4" ht="21.75" customHeight="1" x14ac:dyDescent="0.6">
      <c r="A468" s="1"/>
      <c r="B468" s="1"/>
      <c r="C468" s="1"/>
      <c r="D468" s="17"/>
    </row>
    <row r="469" spans="1:4" ht="21.75" customHeight="1" x14ac:dyDescent="0.6">
      <c r="A469" s="1"/>
      <c r="B469" s="1"/>
      <c r="C469" s="1"/>
      <c r="D469" s="17"/>
    </row>
    <row r="470" spans="1:4" ht="21.75" customHeight="1" x14ac:dyDescent="0.6">
      <c r="A470" s="1"/>
      <c r="B470" s="1"/>
      <c r="C470" s="1"/>
      <c r="D470" s="17"/>
    </row>
    <row r="471" spans="1:4" ht="21.75" customHeight="1" x14ac:dyDescent="0.6">
      <c r="A471" s="1"/>
      <c r="B471" s="1"/>
      <c r="C471" s="1"/>
      <c r="D471" s="17"/>
    </row>
    <row r="472" spans="1:4" ht="21.75" customHeight="1" x14ac:dyDescent="0.6">
      <c r="A472" s="1"/>
      <c r="B472" s="1"/>
      <c r="C472" s="1"/>
      <c r="D472" s="17"/>
    </row>
    <row r="473" spans="1:4" ht="21.75" customHeight="1" x14ac:dyDescent="0.6">
      <c r="A473" s="1"/>
      <c r="B473" s="1"/>
      <c r="C473" s="1"/>
      <c r="D473" s="17"/>
    </row>
    <row r="474" spans="1:4" ht="21.75" customHeight="1" x14ac:dyDescent="0.6">
      <c r="A474" s="1"/>
      <c r="B474" s="1"/>
      <c r="C474" s="1"/>
      <c r="D474" s="17"/>
    </row>
    <row r="475" spans="1:4" ht="21.75" customHeight="1" x14ac:dyDescent="0.6">
      <c r="A475" s="1"/>
      <c r="B475" s="1"/>
      <c r="C475" s="1"/>
      <c r="D475" s="17"/>
    </row>
    <row r="476" spans="1:4" ht="21.75" customHeight="1" x14ac:dyDescent="0.6">
      <c r="A476" s="1"/>
      <c r="B476" s="1"/>
      <c r="C476" s="1"/>
      <c r="D476" s="17"/>
    </row>
    <row r="477" spans="1:4" ht="21.75" customHeight="1" x14ac:dyDescent="0.6">
      <c r="A477" s="1"/>
      <c r="B477" s="1"/>
      <c r="C477" s="1"/>
      <c r="D477" s="17"/>
    </row>
    <row r="478" spans="1:4" ht="21.75" customHeight="1" x14ac:dyDescent="0.6">
      <c r="A478" s="1"/>
      <c r="B478" s="1"/>
      <c r="C478" s="1"/>
      <c r="D478" s="17"/>
    </row>
    <row r="479" spans="1:4" ht="21.75" customHeight="1" x14ac:dyDescent="0.6">
      <c r="A479" s="1"/>
      <c r="B479" s="1"/>
      <c r="C479" s="1"/>
      <c r="D479" s="17"/>
    </row>
    <row r="480" spans="1:4" ht="21.75" customHeight="1" x14ac:dyDescent="0.6">
      <c r="A480" s="1"/>
      <c r="B480" s="1"/>
      <c r="C480" s="1"/>
      <c r="D480" s="17"/>
    </row>
    <row r="481" spans="1:4" ht="21.75" customHeight="1" x14ac:dyDescent="0.6">
      <c r="A481" s="1"/>
      <c r="B481" s="1"/>
      <c r="C481" s="1"/>
      <c r="D481" s="17"/>
    </row>
    <row r="482" spans="1:4" ht="21.75" customHeight="1" x14ac:dyDescent="0.6">
      <c r="A482" s="1"/>
      <c r="B482" s="1"/>
      <c r="C482" s="1"/>
      <c r="D482" s="17"/>
    </row>
    <row r="483" spans="1:4" ht="21.75" customHeight="1" x14ac:dyDescent="0.6">
      <c r="A483" s="1"/>
      <c r="B483" s="1"/>
      <c r="C483" s="1"/>
      <c r="D483" s="17"/>
    </row>
    <row r="484" spans="1:4" ht="21.75" customHeight="1" x14ac:dyDescent="0.6">
      <c r="A484" s="1"/>
      <c r="B484" s="1"/>
      <c r="C484" s="1"/>
      <c r="D484" s="17"/>
    </row>
    <row r="485" spans="1:4" ht="21.75" customHeight="1" x14ac:dyDescent="0.6">
      <c r="A485" s="1"/>
      <c r="B485" s="1"/>
      <c r="C485" s="1"/>
      <c r="D485" s="17"/>
    </row>
    <row r="486" spans="1:4" ht="21.75" customHeight="1" x14ac:dyDescent="0.6">
      <c r="A486" s="1"/>
      <c r="B486" s="1"/>
      <c r="C486" s="1"/>
      <c r="D486" s="17"/>
    </row>
    <row r="487" spans="1:4" ht="21.75" customHeight="1" x14ac:dyDescent="0.6">
      <c r="A487" s="1"/>
      <c r="B487" s="1"/>
      <c r="C487" s="1"/>
      <c r="D487" s="17"/>
    </row>
    <row r="488" spans="1:4" ht="21.75" customHeight="1" x14ac:dyDescent="0.6">
      <c r="A488" s="1"/>
      <c r="B488" s="1"/>
      <c r="C488" s="1"/>
      <c r="D488" s="17"/>
    </row>
    <row r="489" spans="1:4" ht="21.75" customHeight="1" x14ac:dyDescent="0.6">
      <c r="A489" s="1"/>
      <c r="B489" s="1"/>
      <c r="C489" s="1"/>
      <c r="D489" s="17"/>
    </row>
    <row r="490" spans="1:4" ht="21.75" customHeight="1" x14ac:dyDescent="0.6">
      <c r="A490" s="1"/>
      <c r="B490" s="1"/>
      <c r="C490" s="1"/>
      <c r="D490" s="17"/>
    </row>
    <row r="491" spans="1:4" ht="21.75" customHeight="1" x14ac:dyDescent="0.6">
      <c r="A491" s="1"/>
      <c r="B491" s="1"/>
      <c r="C491" s="1"/>
      <c r="D491" s="17"/>
    </row>
    <row r="492" spans="1:4" ht="21.75" customHeight="1" x14ac:dyDescent="0.6">
      <c r="A492" s="1"/>
      <c r="B492" s="1"/>
      <c r="C492" s="1"/>
      <c r="D492" s="17"/>
    </row>
    <row r="493" spans="1:4" ht="21.75" customHeight="1" x14ac:dyDescent="0.6">
      <c r="A493" s="1"/>
      <c r="B493" s="1"/>
      <c r="C493" s="1"/>
      <c r="D493" s="17"/>
    </row>
    <row r="494" spans="1:4" ht="21.75" customHeight="1" x14ac:dyDescent="0.6">
      <c r="A494" s="1"/>
      <c r="B494" s="1"/>
      <c r="C494" s="1"/>
      <c r="D494" s="17"/>
    </row>
    <row r="495" spans="1:4" ht="21.75" customHeight="1" x14ac:dyDescent="0.6">
      <c r="A495" s="1"/>
      <c r="B495" s="1"/>
      <c r="C495" s="1"/>
      <c r="D495" s="17"/>
    </row>
    <row r="496" spans="1:4" ht="21.75" customHeight="1" x14ac:dyDescent="0.6">
      <c r="A496" s="1"/>
      <c r="B496" s="1"/>
      <c r="C496" s="1"/>
      <c r="D496" s="17"/>
    </row>
    <row r="497" spans="1:4" ht="21.75" customHeight="1" x14ac:dyDescent="0.6">
      <c r="A497" s="1"/>
      <c r="B497" s="1"/>
      <c r="C497" s="1"/>
      <c r="D497" s="17"/>
    </row>
    <row r="498" spans="1:4" ht="21.75" customHeight="1" x14ac:dyDescent="0.6">
      <c r="A498" s="1"/>
      <c r="B498" s="1"/>
      <c r="C498" s="1"/>
      <c r="D498" s="17"/>
    </row>
    <row r="499" spans="1:4" ht="21.75" customHeight="1" x14ac:dyDescent="0.6">
      <c r="A499" s="1"/>
      <c r="B499" s="1"/>
      <c r="C499" s="1"/>
      <c r="D499" s="17"/>
    </row>
    <row r="500" spans="1:4" ht="21.75" customHeight="1" x14ac:dyDescent="0.6">
      <c r="A500" s="1"/>
      <c r="B500" s="1"/>
      <c r="C500" s="1"/>
      <c r="D500" s="17"/>
    </row>
    <row r="501" spans="1:4" ht="21.75" customHeight="1" x14ac:dyDescent="0.6">
      <c r="A501" s="1"/>
      <c r="B501" s="1"/>
      <c r="C501" s="1"/>
      <c r="D501" s="17"/>
    </row>
    <row r="502" spans="1:4" ht="21.75" customHeight="1" x14ac:dyDescent="0.6">
      <c r="A502" s="1"/>
      <c r="B502" s="1"/>
      <c r="C502" s="1"/>
      <c r="D502" s="17"/>
    </row>
    <row r="503" spans="1:4" ht="21.75" customHeight="1" x14ac:dyDescent="0.6">
      <c r="A503" s="1"/>
      <c r="B503" s="1"/>
      <c r="C503" s="1"/>
      <c r="D503" s="17"/>
    </row>
    <row r="504" spans="1:4" ht="21.75" customHeight="1" x14ac:dyDescent="0.6">
      <c r="A504" s="1"/>
      <c r="B504" s="1"/>
      <c r="C504" s="1"/>
      <c r="D504" s="17"/>
    </row>
    <row r="505" spans="1:4" ht="21.75" customHeight="1" x14ac:dyDescent="0.6">
      <c r="A505" s="1"/>
      <c r="B505" s="1"/>
      <c r="C505" s="1"/>
      <c r="D505" s="17"/>
    </row>
    <row r="506" spans="1:4" ht="21.75" customHeight="1" x14ac:dyDescent="0.6">
      <c r="A506" s="1"/>
      <c r="B506" s="1"/>
      <c r="C506" s="1"/>
      <c r="D506" s="17"/>
    </row>
    <row r="507" spans="1:4" ht="21.75" customHeight="1" x14ac:dyDescent="0.6">
      <c r="A507" s="1"/>
      <c r="B507" s="1"/>
      <c r="C507" s="1"/>
      <c r="D507" s="17"/>
    </row>
    <row r="508" spans="1:4" ht="21.75" customHeight="1" x14ac:dyDescent="0.6">
      <c r="A508" s="1"/>
      <c r="B508" s="1"/>
      <c r="C508" s="1"/>
      <c r="D508" s="17"/>
    </row>
    <row r="509" spans="1:4" ht="21.75" customHeight="1" x14ac:dyDescent="0.6">
      <c r="A509" s="1"/>
      <c r="B509" s="1"/>
      <c r="C509" s="1"/>
      <c r="D509" s="17"/>
    </row>
    <row r="510" spans="1:4" ht="21.75" customHeight="1" x14ac:dyDescent="0.6">
      <c r="A510" s="1"/>
      <c r="B510" s="1"/>
      <c r="C510" s="1"/>
      <c r="D510" s="17"/>
    </row>
    <row r="511" spans="1:4" ht="21.75" customHeight="1" x14ac:dyDescent="0.6">
      <c r="A511" s="1"/>
      <c r="B511" s="1"/>
      <c r="C511" s="1"/>
      <c r="D511" s="17"/>
    </row>
    <row r="512" spans="1:4" ht="21.75" customHeight="1" x14ac:dyDescent="0.6">
      <c r="A512" s="1"/>
      <c r="B512" s="1"/>
      <c r="C512" s="1"/>
      <c r="D512" s="17"/>
    </row>
    <row r="513" spans="1:4" ht="21.75" customHeight="1" x14ac:dyDescent="0.6">
      <c r="A513" s="1"/>
      <c r="B513" s="1"/>
      <c r="C513" s="1"/>
      <c r="D513" s="17"/>
    </row>
    <row r="514" spans="1:4" ht="21.75" customHeight="1" x14ac:dyDescent="0.6">
      <c r="A514" s="1"/>
      <c r="B514" s="1"/>
      <c r="C514" s="1"/>
      <c r="D514" s="17"/>
    </row>
    <row r="515" spans="1:4" ht="21.75" customHeight="1" x14ac:dyDescent="0.6">
      <c r="A515" s="1"/>
      <c r="B515" s="1"/>
      <c r="C515" s="1"/>
      <c r="D515" s="17"/>
    </row>
    <row r="516" spans="1:4" ht="21.75" customHeight="1" x14ac:dyDescent="0.6">
      <c r="A516" s="1"/>
      <c r="B516" s="1"/>
      <c r="C516" s="1"/>
      <c r="D516" s="17"/>
    </row>
    <row r="517" spans="1:4" ht="21.75" customHeight="1" x14ac:dyDescent="0.6">
      <c r="A517" s="1"/>
      <c r="B517" s="1"/>
      <c r="C517" s="1"/>
      <c r="D517" s="17"/>
    </row>
    <row r="518" spans="1:4" ht="21.75" customHeight="1" x14ac:dyDescent="0.6">
      <c r="A518" s="1"/>
      <c r="B518" s="1"/>
      <c r="C518" s="1"/>
      <c r="D518" s="17"/>
    </row>
    <row r="519" spans="1:4" ht="21.75" customHeight="1" x14ac:dyDescent="0.6">
      <c r="A519" s="1"/>
      <c r="B519" s="1"/>
      <c r="C519" s="1"/>
      <c r="D519" s="17"/>
    </row>
    <row r="520" spans="1:4" ht="21.75" customHeight="1" x14ac:dyDescent="0.6">
      <c r="A520" s="1"/>
      <c r="B520" s="1"/>
      <c r="C520" s="1"/>
      <c r="D520" s="17"/>
    </row>
    <row r="521" spans="1:4" ht="21.75" customHeight="1" x14ac:dyDescent="0.6">
      <c r="A521" s="1"/>
      <c r="B521" s="1"/>
      <c r="C521" s="1"/>
      <c r="D521" s="17"/>
    </row>
    <row r="522" spans="1:4" ht="21.75" customHeight="1" x14ac:dyDescent="0.6">
      <c r="A522" s="1"/>
      <c r="B522" s="1"/>
      <c r="C522" s="1"/>
      <c r="D522" s="17"/>
    </row>
    <row r="523" spans="1:4" ht="21.75" customHeight="1" x14ac:dyDescent="0.6">
      <c r="A523" s="1"/>
      <c r="B523" s="1"/>
      <c r="C523" s="1"/>
      <c r="D523" s="17"/>
    </row>
    <row r="524" spans="1:4" ht="21.75" customHeight="1" x14ac:dyDescent="0.6">
      <c r="A524" s="1"/>
      <c r="B524" s="1"/>
      <c r="C524" s="1"/>
      <c r="D524" s="17"/>
    </row>
    <row r="525" spans="1:4" ht="21.75" customHeight="1" x14ac:dyDescent="0.6">
      <c r="A525" s="1"/>
      <c r="B525" s="1"/>
      <c r="C525" s="1"/>
      <c r="D525" s="17"/>
    </row>
    <row r="526" spans="1:4" ht="21.75" customHeight="1" x14ac:dyDescent="0.6">
      <c r="A526" s="1"/>
      <c r="B526" s="1"/>
      <c r="C526" s="1"/>
      <c r="D526" s="17"/>
    </row>
    <row r="527" spans="1:4" ht="21.75" customHeight="1" x14ac:dyDescent="0.6">
      <c r="A527" s="1"/>
      <c r="B527" s="1"/>
      <c r="C527" s="1"/>
      <c r="D527" s="17"/>
    </row>
    <row r="528" spans="1:4" ht="21.75" customHeight="1" x14ac:dyDescent="0.6">
      <c r="A528" s="1"/>
      <c r="B528" s="1"/>
      <c r="C528" s="1"/>
      <c r="D528" s="17"/>
    </row>
    <row r="529" spans="1:4" ht="21.75" customHeight="1" x14ac:dyDescent="0.6">
      <c r="A529" s="1"/>
      <c r="B529" s="1"/>
      <c r="C529" s="1"/>
      <c r="D529" s="17"/>
    </row>
    <row r="530" spans="1:4" ht="21.75" customHeight="1" x14ac:dyDescent="0.6">
      <c r="A530" s="1"/>
      <c r="B530" s="1"/>
      <c r="C530" s="1"/>
      <c r="D530" s="17"/>
    </row>
    <row r="531" spans="1:4" ht="21.75" customHeight="1" x14ac:dyDescent="0.6">
      <c r="A531" s="1"/>
      <c r="B531" s="1"/>
      <c r="C531" s="1"/>
      <c r="D531" s="17"/>
    </row>
    <row r="532" spans="1:4" ht="21.75" customHeight="1" x14ac:dyDescent="0.6">
      <c r="A532" s="1"/>
      <c r="B532" s="1"/>
      <c r="C532" s="1"/>
      <c r="D532" s="17"/>
    </row>
    <row r="533" spans="1:4" ht="21.75" customHeight="1" x14ac:dyDescent="0.6">
      <c r="A533" s="1"/>
      <c r="B533" s="1"/>
      <c r="C533" s="1"/>
      <c r="D533" s="17"/>
    </row>
    <row r="534" spans="1:4" ht="21.75" customHeight="1" x14ac:dyDescent="0.6">
      <c r="A534" s="1"/>
      <c r="B534" s="1"/>
      <c r="C534" s="1"/>
      <c r="D534" s="17"/>
    </row>
    <row r="535" spans="1:4" ht="21.75" customHeight="1" x14ac:dyDescent="0.6">
      <c r="A535" s="1"/>
      <c r="B535" s="1"/>
      <c r="C535" s="1"/>
      <c r="D535" s="17"/>
    </row>
    <row r="536" spans="1:4" ht="21.75" customHeight="1" x14ac:dyDescent="0.6">
      <c r="A536" s="1"/>
      <c r="B536" s="1"/>
      <c r="C536" s="1"/>
      <c r="D536" s="17"/>
    </row>
    <row r="537" spans="1:4" ht="21.75" customHeight="1" x14ac:dyDescent="0.6">
      <c r="A537" s="1"/>
      <c r="B537" s="1"/>
      <c r="C537" s="1"/>
      <c r="D537" s="17"/>
    </row>
    <row r="538" spans="1:4" ht="21.75" customHeight="1" x14ac:dyDescent="0.6">
      <c r="A538" s="1"/>
      <c r="B538" s="1"/>
      <c r="C538" s="1"/>
      <c r="D538" s="17"/>
    </row>
    <row r="539" spans="1:4" ht="21.75" customHeight="1" x14ac:dyDescent="0.6">
      <c r="A539" s="1"/>
      <c r="B539" s="1"/>
      <c r="C539" s="1"/>
      <c r="D539" s="17"/>
    </row>
    <row r="540" spans="1:4" ht="21.75" customHeight="1" x14ac:dyDescent="0.6">
      <c r="A540" s="1"/>
      <c r="B540" s="1"/>
      <c r="C540" s="1"/>
      <c r="D540" s="17"/>
    </row>
    <row r="541" spans="1:4" ht="21.75" customHeight="1" x14ac:dyDescent="0.6">
      <c r="A541" s="1"/>
      <c r="B541" s="1"/>
      <c r="C541" s="1"/>
      <c r="D541" s="17"/>
    </row>
    <row r="542" spans="1:4" ht="21.75" customHeight="1" x14ac:dyDescent="0.6">
      <c r="A542" s="1"/>
      <c r="B542" s="1"/>
      <c r="C542" s="1"/>
      <c r="D542" s="17"/>
    </row>
    <row r="543" spans="1:4" ht="21.75" customHeight="1" x14ac:dyDescent="0.6">
      <c r="A543" s="1"/>
      <c r="B543" s="1"/>
      <c r="C543" s="1"/>
      <c r="D543" s="17"/>
    </row>
    <row r="544" spans="1:4" ht="21.75" customHeight="1" x14ac:dyDescent="0.6">
      <c r="A544" s="1"/>
      <c r="B544" s="1"/>
      <c r="C544" s="1"/>
      <c r="D544" s="17"/>
    </row>
    <row r="545" spans="1:4" ht="21.75" customHeight="1" x14ac:dyDescent="0.6">
      <c r="A545" s="1"/>
      <c r="B545" s="1"/>
      <c r="C545" s="1"/>
      <c r="D545" s="17"/>
    </row>
    <row r="546" spans="1:4" ht="21.75" customHeight="1" x14ac:dyDescent="0.6">
      <c r="A546" s="1"/>
      <c r="B546" s="1"/>
      <c r="C546" s="1"/>
      <c r="D546" s="17"/>
    </row>
    <row r="547" spans="1:4" ht="21.75" customHeight="1" x14ac:dyDescent="0.6">
      <c r="A547" s="1"/>
      <c r="B547" s="1"/>
      <c r="C547" s="1"/>
      <c r="D547" s="17"/>
    </row>
    <row r="548" spans="1:4" ht="21.75" customHeight="1" x14ac:dyDescent="0.6">
      <c r="A548" s="1"/>
      <c r="B548" s="1"/>
      <c r="C548" s="1"/>
      <c r="D548" s="17"/>
    </row>
    <row r="549" spans="1:4" ht="21.75" customHeight="1" x14ac:dyDescent="0.6">
      <c r="A549" s="1"/>
      <c r="B549" s="1"/>
      <c r="C549" s="1"/>
      <c r="D549" s="17"/>
    </row>
    <row r="550" spans="1:4" ht="21.75" customHeight="1" x14ac:dyDescent="0.6">
      <c r="A550" s="1"/>
      <c r="B550" s="1"/>
      <c r="C550" s="1"/>
      <c r="D550" s="17"/>
    </row>
    <row r="551" spans="1:4" ht="21.75" customHeight="1" x14ac:dyDescent="0.6">
      <c r="A551" s="1"/>
      <c r="B551" s="1"/>
      <c r="C551" s="1"/>
      <c r="D551" s="17"/>
    </row>
    <row r="552" spans="1:4" ht="21.75" customHeight="1" x14ac:dyDescent="0.6">
      <c r="A552" s="1"/>
      <c r="B552" s="1"/>
      <c r="C552" s="1"/>
      <c r="D552" s="17"/>
    </row>
    <row r="553" spans="1:4" ht="21.75" customHeight="1" x14ac:dyDescent="0.6">
      <c r="A553" s="1"/>
      <c r="B553" s="1"/>
      <c r="C553" s="1"/>
      <c r="D553" s="17"/>
    </row>
    <row r="554" spans="1:4" ht="21.75" customHeight="1" x14ac:dyDescent="0.6">
      <c r="A554" s="1"/>
      <c r="B554" s="1"/>
      <c r="C554" s="1"/>
      <c r="D554" s="17"/>
    </row>
    <row r="555" spans="1:4" ht="21.75" customHeight="1" x14ac:dyDescent="0.6">
      <c r="A555" s="1"/>
      <c r="B555" s="1"/>
      <c r="C555" s="1"/>
      <c r="D555" s="17"/>
    </row>
    <row r="556" spans="1:4" ht="21.75" customHeight="1" x14ac:dyDescent="0.6">
      <c r="A556" s="1"/>
      <c r="B556" s="1"/>
      <c r="C556" s="1"/>
      <c r="D556" s="17"/>
    </row>
    <row r="557" spans="1:4" ht="21.75" customHeight="1" x14ac:dyDescent="0.6">
      <c r="A557" s="1"/>
      <c r="B557" s="1"/>
      <c r="C557" s="1"/>
      <c r="D557" s="17"/>
    </row>
    <row r="558" spans="1:4" ht="21.75" customHeight="1" x14ac:dyDescent="0.6">
      <c r="A558" s="1"/>
      <c r="B558" s="1"/>
      <c r="C558" s="1"/>
      <c r="D558" s="17"/>
    </row>
    <row r="559" spans="1:4" ht="21.75" customHeight="1" x14ac:dyDescent="0.6">
      <c r="A559" s="1"/>
      <c r="B559" s="1"/>
      <c r="C559" s="1"/>
      <c r="D559" s="17"/>
    </row>
    <row r="560" spans="1:4" ht="21.75" customHeight="1" x14ac:dyDescent="0.6">
      <c r="A560" s="1"/>
      <c r="B560" s="1"/>
      <c r="C560" s="1"/>
      <c r="D560" s="17"/>
    </row>
    <row r="561" spans="1:4" ht="21.75" customHeight="1" x14ac:dyDescent="0.6">
      <c r="A561" s="1"/>
      <c r="B561" s="1"/>
      <c r="C561" s="1"/>
      <c r="D561" s="17"/>
    </row>
    <row r="562" spans="1:4" ht="21.75" customHeight="1" x14ac:dyDescent="0.6">
      <c r="A562" s="1"/>
      <c r="B562" s="1"/>
      <c r="C562" s="1"/>
      <c r="D562" s="17"/>
    </row>
    <row r="563" spans="1:4" ht="21.75" customHeight="1" x14ac:dyDescent="0.6">
      <c r="A563" s="1"/>
      <c r="B563" s="1"/>
      <c r="C563" s="1"/>
      <c r="D563" s="17"/>
    </row>
    <row r="564" spans="1:4" ht="21.75" customHeight="1" x14ac:dyDescent="0.6">
      <c r="A564" s="1"/>
      <c r="B564" s="1"/>
      <c r="C564" s="1"/>
      <c r="D564" s="17"/>
    </row>
    <row r="565" spans="1:4" ht="21.75" customHeight="1" x14ac:dyDescent="0.6">
      <c r="A565" s="1"/>
      <c r="B565" s="1"/>
      <c r="C565" s="1"/>
      <c r="D565" s="17"/>
    </row>
    <row r="566" spans="1:4" ht="21.75" customHeight="1" x14ac:dyDescent="0.6">
      <c r="A566" s="1"/>
      <c r="B566" s="1"/>
      <c r="C566" s="1"/>
      <c r="D566" s="17"/>
    </row>
    <row r="567" spans="1:4" ht="21.75" customHeight="1" x14ac:dyDescent="0.6">
      <c r="A567" s="1"/>
      <c r="B567" s="1"/>
      <c r="C567" s="1"/>
      <c r="D567" s="17"/>
    </row>
    <row r="568" spans="1:4" ht="21.75" customHeight="1" x14ac:dyDescent="0.6">
      <c r="A568" s="1"/>
      <c r="B568" s="1"/>
      <c r="C568" s="1"/>
      <c r="D568" s="17"/>
    </row>
    <row r="569" spans="1:4" ht="21.75" customHeight="1" x14ac:dyDescent="0.6">
      <c r="A569" s="1"/>
      <c r="B569" s="1"/>
      <c r="C569" s="1"/>
      <c r="D569" s="17"/>
    </row>
    <row r="570" spans="1:4" ht="21.75" customHeight="1" x14ac:dyDescent="0.6">
      <c r="A570" s="1"/>
      <c r="B570" s="1"/>
      <c r="C570" s="1"/>
      <c r="D570" s="17"/>
    </row>
    <row r="571" spans="1:4" ht="21.75" customHeight="1" x14ac:dyDescent="0.6">
      <c r="A571" s="1"/>
      <c r="B571" s="1"/>
      <c r="C571" s="1"/>
      <c r="D571" s="17"/>
    </row>
    <row r="572" spans="1:4" ht="21.75" customHeight="1" x14ac:dyDescent="0.6">
      <c r="A572" s="1"/>
      <c r="B572" s="1"/>
      <c r="C572" s="1"/>
      <c r="D572" s="17"/>
    </row>
    <row r="573" spans="1:4" ht="21.75" customHeight="1" x14ac:dyDescent="0.6">
      <c r="A573" s="1"/>
      <c r="B573" s="1"/>
      <c r="C573" s="1"/>
      <c r="D573" s="17"/>
    </row>
    <row r="574" spans="1:4" ht="21.75" customHeight="1" x14ac:dyDescent="0.6">
      <c r="A574" s="1"/>
      <c r="B574" s="1"/>
      <c r="C574" s="1"/>
      <c r="D574" s="17"/>
    </row>
    <row r="575" spans="1:4" ht="21.75" customHeight="1" x14ac:dyDescent="0.6">
      <c r="A575" s="1"/>
      <c r="B575" s="1"/>
      <c r="C575" s="1"/>
      <c r="D575" s="17"/>
    </row>
    <row r="576" spans="1:4" ht="21.75" customHeight="1" x14ac:dyDescent="0.6">
      <c r="A576" s="1"/>
      <c r="B576" s="1"/>
      <c r="C576" s="1"/>
      <c r="D576" s="17"/>
    </row>
    <row r="577" spans="1:4" ht="21.75" customHeight="1" x14ac:dyDescent="0.6">
      <c r="A577" s="1"/>
      <c r="B577" s="1"/>
      <c r="C577" s="1"/>
      <c r="D577" s="17"/>
    </row>
    <row r="578" spans="1:4" ht="21.75" customHeight="1" x14ac:dyDescent="0.6">
      <c r="A578" s="1"/>
      <c r="B578" s="1"/>
      <c r="C578" s="1"/>
      <c r="D578" s="17"/>
    </row>
    <row r="579" spans="1:4" ht="21.75" customHeight="1" x14ac:dyDescent="0.6">
      <c r="A579" s="1"/>
      <c r="B579" s="1"/>
      <c r="C579" s="1"/>
      <c r="D579" s="17"/>
    </row>
    <row r="580" spans="1:4" ht="21.75" customHeight="1" x14ac:dyDescent="0.6">
      <c r="A580" s="1"/>
      <c r="B580" s="1"/>
      <c r="C580" s="1"/>
      <c r="D580" s="17"/>
    </row>
    <row r="581" spans="1:4" ht="21.75" customHeight="1" x14ac:dyDescent="0.6">
      <c r="A581" s="1"/>
      <c r="B581" s="1"/>
      <c r="C581" s="1"/>
      <c r="D581" s="17"/>
    </row>
    <row r="582" spans="1:4" ht="21.75" customHeight="1" x14ac:dyDescent="0.6">
      <c r="A582" s="1"/>
      <c r="B582" s="1"/>
      <c r="C582" s="1"/>
      <c r="D582" s="17"/>
    </row>
    <row r="583" spans="1:4" ht="21.75" customHeight="1" x14ac:dyDescent="0.6">
      <c r="A583" s="1"/>
      <c r="B583" s="1"/>
      <c r="C583" s="1"/>
      <c r="D583" s="17"/>
    </row>
    <row r="584" spans="1:4" ht="21.75" customHeight="1" x14ac:dyDescent="0.6">
      <c r="A584" s="1"/>
      <c r="B584" s="1"/>
      <c r="C584" s="1"/>
      <c r="D584" s="17"/>
    </row>
    <row r="585" spans="1:4" ht="21.75" customHeight="1" x14ac:dyDescent="0.6">
      <c r="A585" s="1"/>
      <c r="B585" s="1"/>
      <c r="C585" s="1"/>
      <c r="D585" s="17"/>
    </row>
    <row r="586" spans="1:4" ht="21.75" customHeight="1" x14ac:dyDescent="0.6">
      <c r="A586" s="1"/>
      <c r="B586" s="1"/>
      <c r="C586" s="1"/>
      <c r="D586" s="17"/>
    </row>
    <row r="587" spans="1:4" ht="21.75" customHeight="1" x14ac:dyDescent="0.6">
      <c r="A587" s="1"/>
      <c r="B587" s="1"/>
      <c r="C587" s="1"/>
      <c r="D587" s="17"/>
    </row>
    <row r="588" spans="1:4" ht="21.75" customHeight="1" x14ac:dyDescent="0.6">
      <c r="A588" s="1"/>
      <c r="B588" s="1"/>
      <c r="C588" s="1"/>
      <c r="D588" s="17"/>
    </row>
    <row r="589" spans="1:4" ht="21.75" customHeight="1" x14ac:dyDescent="0.6">
      <c r="A589" s="1"/>
      <c r="B589" s="1"/>
      <c r="C589" s="1"/>
      <c r="D589" s="17"/>
    </row>
    <row r="590" spans="1:4" ht="21.75" customHeight="1" x14ac:dyDescent="0.6">
      <c r="A590" s="1"/>
      <c r="B590" s="1"/>
      <c r="C590" s="1"/>
      <c r="D590" s="17"/>
    </row>
    <row r="591" spans="1:4" ht="21.75" customHeight="1" x14ac:dyDescent="0.6">
      <c r="A591" s="1"/>
      <c r="B591" s="1"/>
      <c r="C591" s="1"/>
      <c r="D591" s="17"/>
    </row>
    <row r="592" spans="1:4" ht="21.75" customHeight="1" x14ac:dyDescent="0.6">
      <c r="A592" s="1"/>
      <c r="B592" s="1"/>
      <c r="C592" s="1"/>
      <c r="D592" s="17"/>
    </row>
    <row r="593" spans="1:4" ht="21.75" customHeight="1" x14ac:dyDescent="0.6">
      <c r="A593" s="1"/>
      <c r="B593" s="1"/>
      <c r="C593" s="1"/>
      <c r="D593" s="17"/>
    </row>
    <row r="594" spans="1:4" ht="21.75" customHeight="1" x14ac:dyDescent="0.6">
      <c r="A594" s="1"/>
      <c r="B594" s="1"/>
      <c r="C594" s="1"/>
      <c r="D594" s="17"/>
    </row>
    <row r="595" spans="1:4" ht="21.75" customHeight="1" x14ac:dyDescent="0.6">
      <c r="A595" s="1"/>
      <c r="B595" s="1"/>
      <c r="C595" s="1"/>
      <c r="D595" s="17"/>
    </row>
    <row r="596" spans="1:4" ht="21.75" customHeight="1" x14ac:dyDescent="0.6">
      <c r="A596" s="1"/>
      <c r="B596" s="1"/>
      <c r="C596" s="1"/>
      <c r="D596" s="17"/>
    </row>
    <row r="597" spans="1:4" ht="21.75" customHeight="1" x14ac:dyDescent="0.6">
      <c r="A597" s="1"/>
      <c r="B597" s="1"/>
      <c r="C597" s="1"/>
      <c r="D597" s="17"/>
    </row>
    <row r="598" spans="1:4" ht="21.75" customHeight="1" x14ac:dyDescent="0.6">
      <c r="A598" s="1"/>
      <c r="B598" s="1"/>
      <c r="C598" s="1"/>
      <c r="D598" s="17"/>
    </row>
    <row r="599" spans="1:4" ht="21.75" customHeight="1" x14ac:dyDescent="0.6">
      <c r="A599" s="1"/>
      <c r="B599" s="1"/>
      <c r="C599" s="1"/>
      <c r="D599" s="17"/>
    </row>
    <row r="600" spans="1:4" ht="21.75" customHeight="1" x14ac:dyDescent="0.6">
      <c r="A600" s="1"/>
      <c r="B600" s="1"/>
      <c r="C600" s="1"/>
      <c r="D600" s="17"/>
    </row>
    <row r="601" spans="1:4" ht="21.75" customHeight="1" x14ac:dyDescent="0.6">
      <c r="A601" s="1"/>
      <c r="B601" s="1"/>
      <c r="C601" s="1"/>
      <c r="D601" s="17"/>
    </row>
    <row r="602" spans="1:4" ht="21.75" customHeight="1" x14ac:dyDescent="0.6">
      <c r="A602" s="1"/>
      <c r="B602" s="1"/>
      <c r="C602" s="1"/>
      <c r="D602" s="17"/>
    </row>
    <row r="603" spans="1:4" ht="21.75" customHeight="1" x14ac:dyDescent="0.6">
      <c r="A603" s="1"/>
      <c r="B603" s="1"/>
      <c r="C603" s="1"/>
      <c r="D603" s="17"/>
    </row>
    <row r="604" spans="1:4" ht="21.75" customHeight="1" x14ac:dyDescent="0.6">
      <c r="A604" s="1"/>
      <c r="B604" s="1"/>
      <c r="C604" s="1"/>
      <c r="D604" s="17"/>
    </row>
    <row r="605" spans="1:4" ht="21.75" customHeight="1" x14ac:dyDescent="0.6">
      <c r="A605" s="1"/>
      <c r="B605" s="1"/>
      <c r="C605" s="1"/>
      <c r="D605" s="17"/>
    </row>
    <row r="606" spans="1:4" ht="21.75" customHeight="1" x14ac:dyDescent="0.6">
      <c r="A606" s="1"/>
      <c r="B606" s="1"/>
      <c r="C606" s="1"/>
      <c r="D606" s="17"/>
    </row>
    <row r="607" spans="1:4" ht="21.75" customHeight="1" x14ac:dyDescent="0.6">
      <c r="A607" s="1"/>
      <c r="B607" s="1"/>
      <c r="C607" s="1"/>
      <c r="D607" s="17"/>
    </row>
    <row r="608" spans="1:4" ht="21.75" customHeight="1" x14ac:dyDescent="0.6">
      <c r="A608" s="1"/>
      <c r="B608" s="1"/>
      <c r="C608" s="1"/>
      <c r="D608" s="17"/>
    </row>
    <row r="609" spans="1:4" ht="21.75" customHeight="1" x14ac:dyDescent="0.6">
      <c r="A609" s="1"/>
      <c r="B609" s="1"/>
      <c r="C609" s="1"/>
      <c r="D609" s="17"/>
    </row>
    <row r="610" spans="1:4" ht="21.75" customHeight="1" x14ac:dyDescent="0.6">
      <c r="A610" s="1"/>
      <c r="B610" s="1"/>
      <c r="C610" s="1"/>
      <c r="D610" s="17"/>
    </row>
    <row r="611" spans="1:4" ht="21.75" customHeight="1" x14ac:dyDescent="0.6">
      <c r="A611" s="1"/>
      <c r="B611" s="1"/>
      <c r="C611" s="1"/>
      <c r="D611" s="17"/>
    </row>
    <row r="612" spans="1:4" ht="21.75" customHeight="1" x14ac:dyDescent="0.6">
      <c r="A612" s="1"/>
      <c r="B612" s="1"/>
      <c r="C612" s="1"/>
      <c r="D612" s="17"/>
    </row>
    <row r="613" spans="1:4" ht="21.75" customHeight="1" x14ac:dyDescent="0.6">
      <c r="A613" s="1"/>
      <c r="B613" s="1"/>
      <c r="C613" s="1"/>
      <c r="D613" s="17"/>
    </row>
    <row r="614" spans="1:4" ht="21.75" customHeight="1" x14ac:dyDescent="0.6">
      <c r="A614" s="1"/>
      <c r="B614" s="1"/>
      <c r="C614" s="1"/>
      <c r="D614" s="17"/>
    </row>
    <row r="615" spans="1:4" ht="21.75" customHeight="1" x14ac:dyDescent="0.6">
      <c r="A615" s="1"/>
      <c r="B615" s="1"/>
      <c r="C615" s="1"/>
      <c r="D615" s="17"/>
    </row>
    <row r="616" spans="1:4" ht="21.75" customHeight="1" x14ac:dyDescent="0.6">
      <c r="A616" s="1"/>
      <c r="B616" s="1"/>
      <c r="C616" s="1"/>
      <c r="D616" s="17"/>
    </row>
    <row r="617" spans="1:4" ht="21.75" customHeight="1" x14ac:dyDescent="0.6">
      <c r="A617" s="1"/>
      <c r="B617" s="1"/>
      <c r="C617" s="1"/>
      <c r="D617" s="17"/>
    </row>
    <row r="618" spans="1:4" ht="21.75" customHeight="1" x14ac:dyDescent="0.6">
      <c r="A618" s="1"/>
      <c r="B618" s="1"/>
      <c r="C618" s="1"/>
      <c r="D618" s="17"/>
    </row>
    <row r="619" spans="1:4" ht="21.75" customHeight="1" x14ac:dyDescent="0.6">
      <c r="A619" s="1"/>
      <c r="B619" s="1"/>
      <c r="C619" s="1"/>
      <c r="D619" s="17"/>
    </row>
    <row r="620" spans="1:4" ht="21.75" customHeight="1" x14ac:dyDescent="0.6">
      <c r="A620" s="1"/>
      <c r="B620" s="1"/>
      <c r="C620" s="1"/>
      <c r="D620" s="17"/>
    </row>
    <row r="621" spans="1:4" ht="21.75" customHeight="1" x14ac:dyDescent="0.6">
      <c r="A621" s="1"/>
      <c r="B621" s="1"/>
      <c r="C621" s="1"/>
      <c r="D621" s="17"/>
    </row>
    <row r="622" spans="1:4" ht="21.75" customHeight="1" x14ac:dyDescent="0.6">
      <c r="A622" s="1"/>
      <c r="B622" s="1"/>
      <c r="C622" s="1"/>
      <c r="D622" s="17"/>
    </row>
    <row r="623" spans="1:4" ht="21.75" customHeight="1" x14ac:dyDescent="0.6">
      <c r="A623" s="1"/>
      <c r="B623" s="1"/>
      <c r="C623" s="1"/>
      <c r="D623" s="17"/>
    </row>
    <row r="624" spans="1:4" ht="21.75" customHeight="1" x14ac:dyDescent="0.6">
      <c r="A624" s="1"/>
      <c r="B624" s="1"/>
      <c r="C624" s="1"/>
      <c r="D624" s="17"/>
    </row>
    <row r="625" spans="1:4" ht="21.75" customHeight="1" x14ac:dyDescent="0.6">
      <c r="A625" s="1"/>
      <c r="B625" s="1"/>
      <c r="C625" s="1"/>
      <c r="D625" s="17"/>
    </row>
    <row r="626" spans="1:4" ht="21.75" customHeight="1" x14ac:dyDescent="0.6">
      <c r="A626" s="1"/>
      <c r="B626" s="1"/>
      <c r="C626" s="1"/>
      <c r="D626" s="17"/>
    </row>
    <row r="627" spans="1:4" ht="21.75" customHeight="1" x14ac:dyDescent="0.6">
      <c r="A627" s="1"/>
      <c r="B627" s="1"/>
      <c r="C627" s="1"/>
      <c r="D627" s="17"/>
    </row>
    <row r="628" spans="1:4" ht="21.75" customHeight="1" x14ac:dyDescent="0.6">
      <c r="A628" s="1"/>
      <c r="B628" s="1"/>
      <c r="C628" s="1"/>
      <c r="D628" s="17"/>
    </row>
    <row r="629" spans="1:4" ht="21.75" customHeight="1" x14ac:dyDescent="0.6">
      <c r="A629" s="1"/>
      <c r="B629" s="1"/>
      <c r="C629" s="1"/>
      <c r="D629" s="17"/>
    </row>
    <row r="630" spans="1:4" ht="21.75" customHeight="1" x14ac:dyDescent="0.6">
      <c r="A630" s="1"/>
      <c r="B630" s="1"/>
      <c r="C630" s="1"/>
      <c r="D630" s="17"/>
    </row>
    <row r="631" spans="1:4" ht="21.75" customHeight="1" x14ac:dyDescent="0.6">
      <c r="A631" s="1"/>
      <c r="B631" s="1"/>
      <c r="C631" s="1"/>
      <c r="D631" s="17"/>
    </row>
    <row r="632" spans="1:4" ht="21.75" customHeight="1" x14ac:dyDescent="0.6">
      <c r="A632" s="1"/>
      <c r="B632" s="1"/>
      <c r="C632" s="1"/>
      <c r="D632" s="17"/>
    </row>
    <row r="633" spans="1:4" ht="21.75" customHeight="1" x14ac:dyDescent="0.6">
      <c r="A633" s="1"/>
      <c r="B633" s="1"/>
      <c r="C633" s="1"/>
      <c r="D633" s="17"/>
    </row>
    <row r="634" spans="1:4" ht="21.75" customHeight="1" x14ac:dyDescent="0.6">
      <c r="A634" s="1"/>
      <c r="B634" s="1"/>
      <c r="C634" s="1"/>
      <c r="D634" s="17"/>
    </row>
    <row r="635" spans="1:4" ht="21.75" customHeight="1" x14ac:dyDescent="0.6">
      <c r="A635" s="1"/>
      <c r="B635" s="1"/>
      <c r="C635" s="1"/>
      <c r="D635" s="17"/>
    </row>
    <row r="636" spans="1:4" ht="21.75" customHeight="1" x14ac:dyDescent="0.6">
      <c r="A636" s="1"/>
      <c r="B636" s="1"/>
      <c r="C636" s="1"/>
      <c r="D636" s="17"/>
    </row>
    <row r="637" spans="1:4" ht="21.75" customHeight="1" x14ac:dyDescent="0.6">
      <c r="A637" s="1"/>
      <c r="B637" s="1"/>
      <c r="C637" s="1"/>
      <c r="D637" s="17"/>
    </row>
    <row r="638" spans="1:4" ht="21.75" customHeight="1" x14ac:dyDescent="0.6">
      <c r="A638" s="1"/>
      <c r="B638" s="1"/>
      <c r="C638" s="1"/>
      <c r="D638" s="17"/>
    </row>
    <row r="639" spans="1:4" ht="21.75" customHeight="1" x14ac:dyDescent="0.6">
      <c r="A639" s="1"/>
      <c r="B639" s="1"/>
      <c r="C639" s="1"/>
      <c r="D639" s="17"/>
    </row>
    <row r="640" spans="1:4" ht="21.75" customHeight="1" x14ac:dyDescent="0.6">
      <c r="A640" s="1"/>
      <c r="B640" s="1"/>
      <c r="C640" s="1"/>
      <c r="D640" s="17"/>
    </row>
    <row r="641" spans="1:4" ht="21.75" customHeight="1" x14ac:dyDescent="0.6">
      <c r="A641" s="1"/>
      <c r="B641" s="1"/>
      <c r="C641" s="1"/>
      <c r="D641" s="17"/>
    </row>
    <row r="642" spans="1:4" ht="21.75" customHeight="1" x14ac:dyDescent="0.6">
      <c r="A642" s="1"/>
      <c r="B642" s="1"/>
      <c r="C642" s="1"/>
      <c r="D642" s="17"/>
    </row>
    <row r="643" spans="1:4" ht="21.75" customHeight="1" x14ac:dyDescent="0.6">
      <c r="A643" s="1"/>
      <c r="B643" s="1"/>
      <c r="C643" s="1"/>
      <c r="D643" s="17"/>
    </row>
    <row r="644" spans="1:4" ht="21.75" customHeight="1" x14ac:dyDescent="0.6">
      <c r="A644" s="1"/>
      <c r="B644" s="1"/>
      <c r="C644" s="1"/>
      <c r="D644" s="17"/>
    </row>
    <row r="645" spans="1:4" ht="21.75" customHeight="1" x14ac:dyDescent="0.6">
      <c r="A645" s="1"/>
      <c r="B645" s="1"/>
      <c r="C645" s="1"/>
      <c r="D645" s="17"/>
    </row>
    <row r="646" spans="1:4" ht="21.75" customHeight="1" x14ac:dyDescent="0.6">
      <c r="A646" s="1"/>
      <c r="B646" s="1"/>
      <c r="C646" s="1"/>
      <c r="D646" s="17"/>
    </row>
    <row r="647" spans="1:4" ht="21.75" customHeight="1" x14ac:dyDescent="0.6">
      <c r="A647" s="1"/>
      <c r="B647" s="1"/>
      <c r="C647" s="1"/>
      <c r="D647" s="17"/>
    </row>
    <row r="648" spans="1:4" ht="21.75" customHeight="1" x14ac:dyDescent="0.6">
      <c r="A648" s="1"/>
      <c r="B648" s="1"/>
      <c r="C648" s="1"/>
      <c r="D648" s="17"/>
    </row>
    <row r="649" spans="1:4" ht="21.75" customHeight="1" x14ac:dyDescent="0.6">
      <c r="A649" s="1"/>
      <c r="B649" s="1"/>
      <c r="C649" s="1"/>
      <c r="D649" s="17"/>
    </row>
    <row r="650" spans="1:4" ht="21.75" customHeight="1" x14ac:dyDescent="0.6">
      <c r="A650" s="1"/>
      <c r="B650" s="1"/>
      <c r="C650" s="1"/>
      <c r="D650" s="17"/>
    </row>
    <row r="651" spans="1:4" ht="21.75" customHeight="1" x14ac:dyDescent="0.6">
      <c r="A651" s="1"/>
      <c r="B651" s="1"/>
      <c r="C651" s="1"/>
      <c r="D651" s="17"/>
    </row>
    <row r="652" spans="1:4" ht="21.75" customHeight="1" x14ac:dyDescent="0.6">
      <c r="A652" s="1"/>
      <c r="B652" s="1"/>
      <c r="C652" s="1"/>
      <c r="D652" s="17"/>
    </row>
    <row r="653" spans="1:4" ht="21.75" customHeight="1" x14ac:dyDescent="0.6">
      <c r="A653" s="1"/>
      <c r="B653" s="1"/>
      <c r="C653" s="1"/>
      <c r="D653" s="17"/>
    </row>
    <row r="654" spans="1:4" ht="21.75" customHeight="1" x14ac:dyDescent="0.6">
      <c r="A654" s="1"/>
      <c r="B654" s="1"/>
      <c r="C654" s="1"/>
      <c r="D654" s="17"/>
    </row>
    <row r="655" spans="1:4" ht="21.75" customHeight="1" x14ac:dyDescent="0.6">
      <c r="A655" s="1"/>
      <c r="B655" s="1"/>
      <c r="C655" s="1"/>
      <c r="D655" s="17"/>
    </row>
    <row r="656" spans="1:4" ht="21.75" customHeight="1" x14ac:dyDescent="0.6">
      <c r="A656" s="1"/>
      <c r="B656" s="1"/>
      <c r="C656" s="1"/>
      <c r="D656" s="17"/>
    </row>
    <row r="657" spans="1:4" ht="21.75" customHeight="1" x14ac:dyDescent="0.6">
      <c r="A657" s="1"/>
      <c r="B657" s="1"/>
      <c r="C657" s="1"/>
      <c r="D657" s="17"/>
    </row>
    <row r="658" spans="1:4" ht="21.75" customHeight="1" x14ac:dyDescent="0.6">
      <c r="A658" s="1"/>
      <c r="B658" s="1"/>
      <c r="C658" s="1"/>
      <c r="D658" s="17"/>
    </row>
    <row r="659" spans="1:4" ht="21.75" customHeight="1" x14ac:dyDescent="0.6">
      <c r="A659" s="1"/>
      <c r="B659" s="1"/>
      <c r="C659" s="1"/>
      <c r="D659" s="17"/>
    </row>
    <row r="660" spans="1:4" ht="21.75" customHeight="1" x14ac:dyDescent="0.6">
      <c r="A660" s="1"/>
      <c r="B660" s="1"/>
      <c r="C660" s="1"/>
      <c r="D660" s="17"/>
    </row>
    <row r="661" spans="1:4" ht="21.75" customHeight="1" x14ac:dyDescent="0.6">
      <c r="A661" s="1"/>
      <c r="B661" s="1"/>
      <c r="C661" s="1"/>
      <c r="D661" s="17"/>
    </row>
    <row r="662" spans="1:4" ht="21.75" customHeight="1" x14ac:dyDescent="0.6">
      <c r="A662" s="1"/>
      <c r="B662" s="1"/>
      <c r="C662" s="1"/>
      <c r="D662" s="17"/>
    </row>
    <row r="663" spans="1:4" ht="21.75" customHeight="1" x14ac:dyDescent="0.6">
      <c r="A663" s="1"/>
      <c r="B663" s="1"/>
      <c r="C663" s="1"/>
      <c r="D663" s="17"/>
    </row>
    <row r="664" spans="1:4" ht="21.75" customHeight="1" x14ac:dyDescent="0.6">
      <c r="A664" s="1"/>
      <c r="B664" s="1"/>
      <c r="C664" s="1"/>
      <c r="D664" s="17"/>
    </row>
    <row r="665" spans="1:4" ht="21.75" customHeight="1" x14ac:dyDescent="0.6">
      <c r="A665" s="1"/>
      <c r="B665" s="1"/>
      <c r="C665" s="1"/>
      <c r="D665" s="17"/>
    </row>
    <row r="666" spans="1:4" ht="21.75" customHeight="1" x14ac:dyDescent="0.6">
      <c r="A666" s="1"/>
      <c r="B666" s="1"/>
      <c r="C666" s="1"/>
      <c r="D666" s="17"/>
    </row>
    <row r="667" spans="1:4" ht="21.75" customHeight="1" x14ac:dyDescent="0.6">
      <c r="A667" s="1"/>
      <c r="B667" s="1"/>
      <c r="C667" s="1"/>
      <c r="D667" s="17"/>
    </row>
    <row r="668" spans="1:4" ht="21.75" customHeight="1" x14ac:dyDescent="0.6">
      <c r="A668" s="1"/>
      <c r="B668" s="1"/>
      <c r="C668" s="1"/>
      <c r="D668" s="17"/>
    </row>
    <row r="669" spans="1:4" ht="21.75" customHeight="1" x14ac:dyDescent="0.6">
      <c r="A669" s="1"/>
      <c r="B669" s="1"/>
      <c r="C669" s="1"/>
      <c r="D669" s="17"/>
    </row>
    <row r="670" spans="1:4" ht="21.75" customHeight="1" x14ac:dyDescent="0.6">
      <c r="A670" s="1"/>
      <c r="B670" s="1"/>
      <c r="C670" s="1"/>
      <c r="D670" s="17"/>
    </row>
    <row r="671" spans="1:4" ht="21.75" customHeight="1" x14ac:dyDescent="0.6">
      <c r="A671" s="1"/>
      <c r="B671" s="1"/>
      <c r="C671" s="1"/>
      <c r="D671" s="17"/>
    </row>
    <row r="672" spans="1:4" ht="21.75" customHeight="1" x14ac:dyDescent="0.6">
      <c r="A672" s="1"/>
      <c r="B672" s="1"/>
      <c r="C672" s="1"/>
      <c r="D672" s="17"/>
    </row>
    <row r="673" spans="1:4" ht="21.75" customHeight="1" x14ac:dyDescent="0.6">
      <c r="A673" s="1"/>
      <c r="B673" s="1"/>
      <c r="C673" s="1"/>
      <c r="D673" s="17"/>
    </row>
    <row r="674" spans="1:4" ht="21.75" customHeight="1" x14ac:dyDescent="0.6">
      <c r="A674" s="1"/>
      <c r="B674" s="1"/>
      <c r="C674" s="1"/>
      <c r="D674" s="17"/>
    </row>
    <row r="675" spans="1:4" ht="21.75" customHeight="1" x14ac:dyDescent="0.6">
      <c r="A675" s="1"/>
      <c r="B675" s="1"/>
      <c r="C675" s="1"/>
      <c r="D675" s="17"/>
    </row>
    <row r="676" spans="1:4" ht="21.75" customHeight="1" x14ac:dyDescent="0.6">
      <c r="A676" s="1"/>
      <c r="B676" s="1"/>
      <c r="C676" s="1"/>
      <c r="D676" s="17"/>
    </row>
    <row r="677" spans="1:4" ht="21.75" customHeight="1" x14ac:dyDescent="0.6">
      <c r="A677" s="1"/>
      <c r="B677" s="1"/>
      <c r="C677" s="1"/>
      <c r="D677" s="17"/>
    </row>
    <row r="678" spans="1:4" ht="21.75" customHeight="1" x14ac:dyDescent="0.6">
      <c r="A678" s="1"/>
      <c r="B678" s="1"/>
      <c r="C678" s="1"/>
      <c r="D678" s="17"/>
    </row>
    <row r="679" spans="1:4" ht="21.75" customHeight="1" x14ac:dyDescent="0.6">
      <c r="A679" s="1"/>
      <c r="B679" s="1"/>
      <c r="C679" s="1"/>
      <c r="D679" s="17"/>
    </row>
    <row r="680" spans="1:4" ht="21.75" customHeight="1" x14ac:dyDescent="0.6">
      <c r="A680" s="1"/>
      <c r="B680" s="1"/>
      <c r="C680" s="1"/>
      <c r="D680" s="17"/>
    </row>
    <row r="681" spans="1:4" ht="21.75" customHeight="1" x14ac:dyDescent="0.6">
      <c r="A681" s="1"/>
      <c r="B681" s="1"/>
      <c r="C681" s="1"/>
      <c r="D681" s="17"/>
    </row>
    <row r="682" spans="1:4" ht="21.75" customHeight="1" x14ac:dyDescent="0.6">
      <c r="A682" s="1"/>
      <c r="B682" s="1"/>
      <c r="C682" s="1"/>
      <c r="D682" s="17"/>
    </row>
    <row r="683" spans="1:4" ht="21.75" customHeight="1" x14ac:dyDescent="0.6">
      <c r="A683" s="1"/>
      <c r="B683" s="1"/>
      <c r="C683" s="1"/>
      <c r="D683" s="17"/>
    </row>
    <row r="684" spans="1:4" ht="21.75" customHeight="1" x14ac:dyDescent="0.6">
      <c r="A684" s="1"/>
      <c r="B684" s="1"/>
      <c r="C684" s="1"/>
      <c r="D684" s="17"/>
    </row>
    <row r="685" spans="1:4" ht="21.75" customHeight="1" x14ac:dyDescent="0.6">
      <c r="A685" s="1"/>
      <c r="B685" s="1"/>
      <c r="C685" s="1"/>
      <c r="D685" s="17"/>
    </row>
    <row r="686" spans="1:4" ht="21.75" customHeight="1" x14ac:dyDescent="0.6">
      <c r="A686" s="1"/>
      <c r="B686" s="1"/>
      <c r="C686" s="1"/>
      <c r="D686" s="17"/>
    </row>
    <row r="687" spans="1:4" ht="21.75" customHeight="1" x14ac:dyDescent="0.6">
      <c r="A687" s="1"/>
      <c r="B687" s="1"/>
      <c r="C687" s="1"/>
      <c r="D687" s="17"/>
    </row>
    <row r="688" spans="1:4" ht="21.75" customHeight="1" x14ac:dyDescent="0.6">
      <c r="A688" s="1"/>
      <c r="B688" s="1"/>
      <c r="C688" s="1"/>
      <c r="D688" s="17"/>
    </row>
    <row r="689" spans="1:4" ht="21.75" customHeight="1" x14ac:dyDescent="0.6">
      <c r="A689" s="1"/>
      <c r="B689" s="1"/>
      <c r="C689" s="1"/>
      <c r="D689" s="17"/>
    </row>
    <row r="690" spans="1:4" ht="21.75" customHeight="1" x14ac:dyDescent="0.6">
      <c r="A690" s="1"/>
      <c r="B690" s="1"/>
      <c r="C690" s="1"/>
      <c r="D690" s="17"/>
    </row>
    <row r="691" spans="1:4" ht="21.75" customHeight="1" x14ac:dyDescent="0.6">
      <c r="A691" s="1"/>
      <c r="B691" s="1"/>
      <c r="C691" s="1"/>
      <c r="D691" s="17"/>
    </row>
    <row r="692" spans="1:4" ht="21.75" customHeight="1" x14ac:dyDescent="0.6">
      <c r="A692" s="1"/>
      <c r="B692" s="1"/>
      <c r="C692" s="1"/>
      <c r="D692" s="17"/>
    </row>
    <row r="693" spans="1:4" ht="21.75" customHeight="1" x14ac:dyDescent="0.6">
      <c r="A693" s="1"/>
      <c r="B693" s="1"/>
      <c r="C693" s="1"/>
      <c r="D693" s="17"/>
    </row>
    <row r="694" spans="1:4" ht="21.75" customHeight="1" x14ac:dyDescent="0.6">
      <c r="A694" s="1"/>
      <c r="B694" s="1"/>
      <c r="C694" s="1"/>
      <c r="D694" s="17"/>
    </row>
    <row r="695" spans="1:4" ht="21.75" customHeight="1" x14ac:dyDescent="0.6">
      <c r="A695" s="1"/>
      <c r="B695" s="1"/>
      <c r="C695" s="1"/>
      <c r="D695" s="17"/>
    </row>
    <row r="696" spans="1:4" ht="21.75" customHeight="1" x14ac:dyDescent="0.6">
      <c r="A696" s="1"/>
      <c r="B696" s="1"/>
      <c r="C696" s="1"/>
      <c r="D696" s="17"/>
    </row>
    <row r="697" spans="1:4" ht="21.75" customHeight="1" x14ac:dyDescent="0.6">
      <c r="A697" s="1"/>
      <c r="B697" s="1"/>
      <c r="C697" s="1"/>
      <c r="D697" s="17"/>
    </row>
    <row r="698" spans="1:4" ht="21.75" customHeight="1" x14ac:dyDescent="0.6">
      <c r="A698" s="1"/>
      <c r="B698" s="1"/>
      <c r="C698" s="1"/>
      <c r="D698" s="17"/>
    </row>
    <row r="699" spans="1:4" ht="21.75" customHeight="1" x14ac:dyDescent="0.6">
      <c r="A699" s="1"/>
      <c r="B699" s="1"/>
      <c r="C699" s="1"/>
      <c r="D699" s="17"/>
    </row>
    <row r="700" spans="1:4" ht="21.75" customHeight="1" x14ac:dyDescent="0.6">
      <c r="A700" s="1"/>
      <c r="B700" s="1"/>
      <c r="C700" s="1"/>
      <c r="D700" s="17"/>
    </row>
    <row r="701" spans="1:4" ht="21.75" customHeight="1" x14ac:dyDescent="0.6">
      <c r="A701" s="1"/>
      <c r="B701" s="1"/>
      <c r="C701" s="1"/>
      <c r="D701" s="17"/>
    </row>
    <row r="702" spans="1:4" ht="21.75" customHeight="1" x14ac:dyDescent="0.6">
      <c r="A702" s="1"/>
      <c r="B702" s="1"/>
      <c r="C702" s="1"/>
      <c r="D702" s="17"/>
    </row>
    <row r="703" spans="1:4" ht="21.75" customHeight="1" x14ac:dyDescent="0.6">
      <c r="A703" s="1"/>
      <c r="B703" s="1"/>
      <c r="C703" s="1"/>
      <c r="D703" s="17"/>
    </row>
    <row r="704" spans="1:4" ht="21.75" customHeight="1" x14ac:dyDescent="0.6">
      <c r="A704" s="1"/>
      <c r="B704" s="1"/>
      <c r="C704" s="1"/>
      <c r="D704" s="17"/>
    </row>
    <row r="705" spans="1:4" ht="21.75" customHeight="1" x14ac:dyDescent="0.6">
      <c r="A705" s="1"/>
      <c r="B705" s="1"/>
      <c r="C705" s="1"/>
      <c r="D705" s="17"/>
    </row>
    <row r="706" spans="1:4" ht="21.75" customHeight="1" x14ac:dyDescent="0.6">
      <c r="A706" s="1"/>
      <c r="B706" s="1"/>
      <c r="C706" s="1"/>
      <c r="D706" s="17"/>
    </row>
    <row r="707" spans="1:4" ht="21.75" customHeight="1" x14ac:dyDescent="0.6">
      <c r="A707" s="1"/>
      <c r="B707" s="1"/>
      <c r="C707" s="1"/>
      <c r="D707" s="17"/>
    </row>
    <row r="708" spans="1:4" ht="21.75" customHeight="1" x14ac:dyDescent="0.6">
      <c r="A708" s="1"/>
      <c r="B708" s="1"/>
      <c r="C708" s="1"/>
      <c r="D708" s="17"/>
    </row>
    <row r="709" spans="1:4" ht="21.75" customHeight="1" x14ac:dyDescent="0.6">
      <c r="A709" s="1"/>
      <c r="B709" s="1"/>
      <c r="C709" s="1"/>
      <c r="D709" s="17"/>
    </row>
    <row r="710" spans="1:4" ht="21.75" customHeight="1" x14ac:dyDescent="0.6">
      <c r="A710" s="1"/>
      <c r="B710" s="1"/>
      <c r="C710" s="1"/>
      <c r="D710" s="17"/>
    </row>
    <row r="711" spans="1:4" ht="21.75" customHeight="1" x14ac:dyDescent="0.6">
      <c r="A711" s="1"/>
      <c r="B711" s="1"/>
      <c r="C711" s="1"/>
      <c r="D711" s="17"/>
    </row>
    <row r="712" spans="1:4" ht="21.75" customHeight="1" x14ac:dyDescent="0.6">
      <c r="A712" s="1"/>
      <c r="B712" s="1"/>
      <c r="C712" s="1"/>
      <c r="D712" s="17"/>
    </row>
    <row r="713" spans="1:4" ht="21.75" customHeight="1" x14ac:dyDescent="0.6">
      <c r="A713" s="1"/>
      <c r="B713" s="1"/>
      <c r="C713" s="1"/>
      <c r="D713" s="17"/>
    </row>
    <row r="714" spans="1:4" ht="21.75" customHeight="1" x14ac:dyDescent="0.6">
      <c r="A714" s="1"/>
      <c r="B714" s="1"/>
      <c r="C714" s="1"/>
      <c r="D714" s="17"/>
    </row>
    <row r="715" spans="1:4" ht="21.75" customHeight="1" x14ac:dyDescent="0.6">
      <c r="A715" s="1"/>
      <c r="B715" s="1"/>
      <c r="C715" s="1"/>
      <c r="D715" s="17"/>
    </row>
    <row r="716" spans="1:4" ht="21.75" customHeight="1" x14ac:dyDescent="0.6">
      <c r="A716" s="1"/>
      <c r="B716" s="1"/>
      <c r="C716" s="1"/>
      <c r="D716" s="17"/>
    </row>
    <row r="717" spans="1:4" ht="21.75" customHeight="1" x14ac:dyDescent="0.6">
      <c r="A717" s="1"/>
      <c r="B717" s="1"/>
      <c r="C717" s="1"/>
      <c r="D717" s="17"/>
    </row>
    <row r="718" spans="1:4" ht="21.75" customHeight="1" x14ac:dyDescent="0.6">
      <c r="A718" s="1"/>
      <c r="B718" s="1"/>
      <c r="C718" s="1"/>
      <c r="D718" s="17"/>
    </row>
    <row r="719" spans="1:4" ht="21.75" customHeight="1" x14ac:dyDescent="0.6">
      <c r="A719" s="1"/>
      <c r="B719" s="1"/>
      <c r="C719" s="1"/>
      <c r="D719" s="17"/>
    </row>
    <row r="720" spans="1:4" ht="21.75" customHeight="1" x14ac:dyDescent="0.6">
      <c r="A720" s="1"/>
      <c r="B720" s="1"/>
      <c r="C720" s="1"/>
      <c r="D720" s="17"/>
    </row>
    <row r="721" spans="1:4" ht="21.75" customHeight="1" x14ac:dyDescent="0.6">
      <c r="A721" s="1"/>
      <c r="B721" s="1"/>
      <c r="C721" s="1"/>
      <c r="D721" s="17"/>
    </row>
    <row r="722" spans="1:4" ht="21.75" customHeight="1" x14ac:dyDescent="0.6">
      <c r="A722" s="1"/>
      <c r="B722" s="1"/>
      <c r="C722" s="1"/>
      <c r="D722" s="17"/>
    </row>
    <row r="723" spans="1:4" ht="21.75" customHeight="1" x14ac:dyDescent="0.6">
      <c r="A723" s="1"/>
      <c r="B723" s="1"/>
      <c r="C723" s="1"/>
      <c r="D723" s="17"/>
    </row>
    <row r="724" spans="1:4" ht="21.75" customHeight="1" x14ac:dyDescent="0.6">
      <c r="A724" s="1"/>
      <c r="B724" s="1"/>
      <c r="C724" s="1"/>
      <c r="D724" s="17"/>
    </row>
    <row r="725" spans="1:4" ht="21.75" customHeight="1" x14ac:dyDescent="0.6">
      <c r="A725" s="1"/>
      <c r="B725" s="1"/>
      <c r="C725" s="1"/>
      <c r="D725" s="17"/>
    </row>
    <row r="726" spans="1:4" ht="21.75" customHeight="1" x14ac:dyDescent="0.6">
      <c r="A726" s="1"/>
      <c r="B726" s="1"/>
      <c r="C726" s="1"/>
      <c r="D726" s="17"/>
    </row>
    <row r="727" spans="1:4" ht="21.75" customHeight="1" x14ac:dyDescent="0.6">
      <c r="A727" s="1"/>
      <c r="B727" s="1"/>
      <c r="C727" s="1"/>
      <c r="D727" s="17"/>
    </row>
    <row r="728" spans="1:4" ht="21.75" customHeight="1" x14ac:dyDescent="0.6">
      <c r="A728" s="1"/>
      <c r="B728" s="1"/>
      <c r="C728" s="1"/>
      <c r="D728" s="17"/>
    </row>
    <row r="729" spans="1:4" ht="21.75" customHeight="1" x14ac:dyDescent="0.6">
      <c r="A729" s="1"/>
      <c r="B729" s="1"/>
      <c r="C729" s="1"/>
      <c r="D729" s="17"/>
    </row>
    <row r="730" spans="1:4" ht="21.75" customHeight="1" x14ac:dyDescent="0.6">
      <c r="A730" s="1"/>
      <c r="B730" s="1"/>
      <c r="C730" s="1"/>
      <c r="D730" s="17"/>
    </row>
    <row r="731" spans="1:4" ht="21.75" customHeight="1" x14ac:dyDescent="0.6">
      <c r="A731" s="1"/>
      <c r="B731" s="1"/>
      <c r="C731" s="1"/>
      <c r="D731" s="17"/>
    </row>
    <row r="732" spans="1:4" ht="21.75" customHeight="1" x14ac:dyDescent="0.6">
      <c r="A732" s="1"/>
      <c r="B732" s="1"/>
      <c r="C732" s="1"/>
      <c r="D732" s="17"/>
    </row>
    <row r="733" spans="1:4" ht="21.75" customHeight="1" x14ac:dyDescent="0.6">
      <c r="A733" s="1"/>
      <c r="B733" s="1"/>
      <c r="C733" s="1"/>
      <c r="D733" s="17"/>
    </row>
    <row r="734" spans="1:4" ht="21.75" customHeight="1" x14ac:dyDescent="0.6">
      <c r="A734" s="1"/>
      <c r="B734" s="1"/>
      <c r="C734" s="1"/>
      <c r="D734" s="17"/>
    </row>
    <row r="735" spans="1:4" ht="21.75" customHeight="1" x14ac:dyDescent="0.6">
      <c r="A735" s="1"/>
      <c r="B735" s="1"/>
      <c r="C735" s="1"/>
      <c r="D735" s="17"/>
    </row>
    <row r="736" spans="1:4" ht="21.75" customHeight="1" x14ac:dyDescent="0.6">
      <c r="A736" s="1"/>
      <c r="B736" s="1"/>
      <c r="C736" s="1"/>
      <c r="D736" s="17"/>
    </row>
    <row r="737" spans="1:4" ht="21.75" customHeight="1" x14ac:dyDescent="0.6">
      <c r="A737" s="1"/>
      <c r="B737" s="1"/>
      <c r="C737" s="1"/>
      <c r="D737" s="17"/>
    </row>
    <row r="738" spans="1:4" ht="21.75" customHeight="1" x14ac:dyDescent="0.6">
      <c r="A738" s="1"/>
      <c r="B738" s="1"/>
      <c r="C738" s="1"/>
      <c r="D738" s="17"/>
    </row>
    <row r="739" spans="1:4" ht="21.75" customHeight="1" x14ac:dyDescent="0.6">
      <c r="A739" s="1"/>
      <c r="B739" s="1"/>
      <c r="C739" s="1"/>
      <c r="D739" s="17"/>
    </row>
    <row r="740" spans="1:4" ht="21.75" customHeight="1" x14ac:dyDescent="0.6">
      <c r="A740" s="1"/>
      <c r="B740" s="1"/>
      <c r="C740" s="1"/>
      <c r="D740" s="17"/>
    </row>
    <row r="741" spans="1:4" ht="21.75" customHeight="1" x14ac:dyDescent="0.6">
      <c r="A741" s="1"/>
      <c r="B741" s="1"/>
      <c r="C741" s="1"/>
      <c r="D741" s="17"/>
    </row>
    <row r="742" spans="1:4" ht="21.75" customHeight="1" x14ac:dyDescent="0.6">
      <c r="A742" s="1"/>
      <c r="B742" s="1"/>
      <c r="C742" s="1"/>
      <c r="D742" s="17"/>
    </row>
    <row r="743" spans="1:4" ht="21.75" customHeight="1" x14ac:dyDescent="0.6">
      <c r="A743" s="1"/>
      <c r="B743" s="1"/>
      <c r="C743" s="1"/>
      <c r="D743" s="17"/>
    </row>
    <row r="744" spans="1:4" ht="21.75" customHeight="1" x14ac:dyDescent="0.6">
      <c r="A744" s="1"/>
      <c r="B744" s="1"/>
      <c r="C744" s="1"/>
      <c r="D744" s="17"/>
    </row>
    <row r="745" spans="1:4" ht="21.75" customHeight="1" x14ac:dyDescent="0.6">
      <c r="A745" s="1"/>
      <c r="B745" s="1"/>
      <c r="C745" s="1"/>
      <c r="D745" s="17"/>
    </row>
    <row r="746" spans="1:4" ht="21.75" customHeight="1" x14ac:dyDescent="0.6">
      <c r="A746" s="1"/>
      <c r="B746" s="1"/>
      <c r="C746" s="1"/>
      <c r="D746" s="17"/>
    </row>
    <row r="747" spans="1:4" ht="21.75" customHeight="1" x14ac:dyDescent="0.6">
      <c r="A747" s="1"/>
      <c r="B747" s="1"/>
      <c r="C747" s="1"/>
      <c r="D747" s="17"/>
    </row>
    <row r="748" spans="1:4" ht="21.75" customHeight="1" x14ac:dyDescent="0.6">
      <c r="A748" s="1"/>
      <c r="B748" s="1"/>
      <c r="C748" s="1"/>
      <c r="D748" s="17"/>
    </row>
    <row r="749" spans="1:4" ht="21.75" customHeight="1" x14ac:dyDescent="0.6">
      <c r="A749" s="1"/>
      <c r="B749" s="1"/>
      <c r="C749" s="1"/>
      <c r="D749" s="17"/>
    </row>
    <row r="750" spans="1:4" ht="21.75" customHeight="1" x14ac:dyDescent="0.6">
      <c r="A750" s="1"/>
      <c r="B750" s="1"/>
      <c r="C750" s="1"/>
      <c r="D750" s="17"/>
    </row>
    <row r="751" spans="1:4" ht="21.75" customHeight="1" x14ac:dyDescent="0.6">
      <c r="A751" s="1"/>
      <c r="B751" s="1"/>
      <c r="C751" s="1"/>
      <c r="D751" s="17"/>
    </row>
    <row r="752" spans="1:4" ht="21.75" customHeight="1" x14ac:dyDescent="0.6">
      <c r="A752" s="1"/>
      <c r="B752" s="1"/>
      <c r="C752" s="1"/>
      <c r="D752" s="17"/>
    </row>
    <row r="753" spans="1:4" ht="21.75" customHeight="1" x14ac:dyDescent="0.6">
      <c r="A753" s="1"/>
      <c r="B753" s="1"/>
      <c r="C753" s="1"/>
      <c r="D753" s="17"/>
    </row>
    <row r="754" spans="1:4" ht="21.75" customHeight="1" x14ac:dyDescent="0.6">
      <c r="A754" s="1"/>
      <c r="B754" s="1"/>
      <c r="C754" s="1"/>
      <c r="D754" s="17"/>
    </row>
    <row r="755" spans="1:4" ht="21.75" customHeight="1" x14ac:dyDescent="0.6">
      <c r="A755" s="1"/>
      <c r="B755" s="1"/>
      <c r="C755" s="1"/>
      <c r="D755" s="17"/>
    </row>
    <row r="756" spans="1:4" ht="21.75" customHeight="1" x14ac:dyDescent="0.6">
      <c r="A756" s="1"/>
      <c r="B756" s="1"/>
      <c r="C756" s="1"/>
      <c r="D756" s="17"/>
    </row>
    <row r="757" spans="1:4" ht="21.75" customHeight="1" x14ac:dyDescent="0.6">
      <c r="A757" s="1"/>
      <c r="B757" s="1"/>
      <c r="C757" s="1"/>
      <c r="D757" s="17"/>
    </row>
    <row r="758" spans="1:4" ht="21.75" customHeight="1" x14ac:dyDescent="0.6">
      <c r="A758" s="1"/>
      <c r="B758" s="1"/>
      <c r="C758" s="1"/>
      <c r="D758" s="17"/>
    </row>
    <row r="759" spans="1:4" ht="21.75" customHeight="1" x14ac:dyDescent="0.6">
      <c r="A759" s="1"/>
      <c r="B759" s="1"/>
      <c r="C759" s="1"/>
      <c r="D759" s="17"/>
    </row>
    <row r="760" spans="1:4" ht="21.75" customHeight="1" x14ac:dyDescent="0.6">
      <c r="A760" s="1"/>
      <c r="B760" s="1"/>
      <c r="C760" s="1"/>
      <c r="D760" s="17"/>
    </row>
    <row r="761" spans="1:4" ht="21.75" customHeight="1" x14ac:dyDescent="0.6">
      <c r="A761" s="1"/>
      <c r="B761" s="1"/>
      <c r="C761" s="1"/>
      <c r="D761" s="17"/>
    </row>
    <row r="762" spans="1:4" ht="21.75" customHeight="1" x14ac:dyDescent="0.6">
      <c r="A762" s="1"/>
      <c r="B762" s="1"/>
      <c r="C762" s="1"/>
      <c r="D762" s="17"/>
    </row>
    <row r="763" spans="1:4" ht="21.75" customHeight="1" x14ac:dyDescent="0.6">
      <c r="A763" s="1"/>
      <c r="B763" s="1"/>
      <c r="C763" s="1"/>
      <c r="D763" s="17"/>
    </row>
    <row r="764" spans="1:4" ht="21.75" customHeight="1" x14ac:dyDescent="0.6">
      <c r="A764" s="1"/>
      <c r="B764" s="1"/>
      <c r="C764" s="1"/>
      <c r="D764" s="17"/>
    </row>
    <row r="765" spans="1:4" ht="21.75" customHeight="1" x14ac:dyDescent="0.6">
      <c r="A765" s="1"/>
      <c r="B765" s="1"/>
      <c r="C765" s="1"/>
      <c r="D765" s="17"/>
    </row>
    <row r="766" spans="1:4" ht="21.75" customHeight="1" x14ac:dyDescent="0.6">
      <c r="A766" s="1"/>
      <c r="B766" s="1"/>
      <c r="C766" s="1"/>
      <c r="D766" s="17"/>
    </row>
    <row r="767" spans="1:4" ht="21.75" customHeight="1" x14ac:dyDescent="0.6">
      <c r="A767" s="1"/>
      <c r="B767" s="1"/>
      <c r="C767" s="1"/>
      <c r="D767" s="17"/>
    </row>
    <row r="768" spans="1:4" ht="21.75" customHeight="1" x14ac:dyDescent="0.6">
      <c r="A768" s="1"/>
      <c r="B768" s="1"/>
      <c r="C768" s="1"/>
      <c r="D768" s="17"/>
    </row>
    <row r="769" spans="1:4" ht="21.75" customHeight="1" x14ac:dyDescent="0.6">
      <c r="A769" s="1"/>
      <c r="B769" s="1"/>
      <c r="C769" s="1"/>
      <c r="D769" s="17"/>
    </row>
    <row r="770" spans="1:4" ht="21.75" customHeight="1" x14ac:dyDescent="0.6">
      <c r="A770" s="1"/>
      <c r="B770" s="1"/>
      <c r="C770" s="1"/>
      <c r="D770" s="17"/>
    </row>
    <row r="771" spans="1:4" ht="21.75" customHeight="1" x14ac:dyDescent="0.6">
      <c r="A771" s="1"/>
      <c r="B771" s="1"/>
      <c r="C771" s="1"/>
      <c r="D771" s="17"/>
    </row>
    <row r="772" spans="1:4" ht="21.75" customHeight="1" x14ac:dyDescent="0.6">
      <c r="A772" s="1"/>
      <c r="B772" s="1"/>
      <c r="C772" s="1"/>
      <c r="D772" s="17"/>
    </row>
    <row r="773" spans="1:4" ht="21.75" customHeight="1" x14ac:dyDescent="0.6">
      <c r="A773" s="1"/>
      <c r="B773" s="1"/>
      <c r="C773" s="1"/>
      <c r="D773" s="17"/>
    </row>
    <row r="774" spans="1:4" ht="21.75" customHeight="1" x14ac:dyDescent="0.6">
      <c r="A774" s="1"/>
      <c r="B774" s="1"/>
      <c r="C774" s="1"/>
      <c r="D774" s="17"/>
    </row>
    <row r="775" spans="1:4" ht="21.75" customHeight="1" x14ac:dyDescent="0.6">
      <c r="A775" s="1"/>
      <c r="B775" s="1"/>
      <c r="C775" s="1"/>
      <c r="D775" s="17"/>
    </row>
    <row r="776" spans="1:4" ht="21.75" customHeight="1" x14ac:dyDescent="0.6">
      <c r="A776" s="1"/>
      <c r="B776" s="1"/>
      <c r="C776" s="1"/>
      <c r="D776" s="17"/>
    </row>
    <row r="777" spans="1:4" ht="21.75" customHeight="1" x14ac:dyDescent="0.6">
      <c r="A777" s="1"/>
      <c r="B777" s="1"/>
      <c r="C777" s="1"/>
      <c r="D777" s="17"/>
    </row>
    <row r="778" spans="1:4" ht="21.75" customHeight="1" x14ac:dyDescent="0.6">
      <c r="A778" s="1"/>
      <c r="B778" s="1"/>
      <c r="C778" s="1"/>
      <c r="D778" s="17"/>
    </row>
    <row r="779" spans="1:4" ht="21.75" customHeight="1" x14ac:dyDescent="0.6">
      <c r="A779" s="1"/>
      <c r="B779" s="1"/>
      <c r="C779" s="1"/>
      <c r="D779" s="17"/>
    </row>
    <row r="780" spans="1:4" ht="21.75" customHeight="1" x14ac:dyDescent="0.6">
      <c r="A780" s="1"/>
      <c r="B780" s="1"/>
      <c r="C780" s="1"/>
      <c r="D780" s="17"/>
    </row>
    <row r="781" spans="1:4" ht="21.75" customHeight="1" x14ac:dyDescent="0.6">
      <c r="A781" s="1"/>
      <c r="B781" s="1"/>
      <c r="C781" s="1"/>
      <c r="D781" s="17"/>
    </row>
    <row r="782" spans="1:4" ht="21.75" customHeight="1" x14ac:dyDescent="0.6">
      <c r="A782" s="1"/>
      <c r="B782" s="1"/>
      <c r="C782" s="1"/>
      <c r="D782" s="17"/>
    </row>
    <row r="783" spans="1:4" ht="21.75" customHeight="1" x14ac:dyDescent="0.6">
      <c r="A783" s="1"/>
      <c r="B783" s="1"/>
      <c r="C783" s="1"/>
      <c r="D783" s="17"/>
    </row>
    <row r="784" spans="1:4" ht="21.75" customHeight="1" x14ac:dyDescent="0.6">
      <c r="A784" s="1"/>
      <c r="B784" s="1"/>
      <c r="C784" s="1"/>
      <c r="D784" s="17"/>
    </row>
    <row r="785" spans="1:4" ht="21.75" customHeight="1" x14ac:dyDescent="0.6">
      <c r="A785" s="1"/>
      <c r="B785" s="1"/>
      <c r="C785" s="1"/>
      <c r="D785" s="17"/>
    </row>
    <row r="786" spans="1:4" ht="21.75" customHeight="1" x14ac:dyDescent="0.6">
      <c r="A786" s="1"/>
      <c r="B786" s="1"/>
      <c r="C786" s="1"/>
      <c r="D786" s="17"/>
    </row>
    <row r="787" spans="1:4" ht="21.75" customHeight="1" x14ac:dyDescent="0.6">
      <c r="A787" s="1"/>
      <c r="B787" s="1"/>
      <c r="C787" s="1"/>
      <c r="D787" s="17"/>
    </row>
    <row r="788" spans="1:4" ht="21.75" customHeight="1" x14ac:dyDescent="0.6">
      <c r="A788" s="1"/>
      <c r="B788" s="1"/>
      <c r="C788" s="1"/>
      <c r="D788" s="17"/>
    </row>
    <row r="789" spans="1:4" ht="21.75" customHeight="1" x14ac:dyDescent="0.6">
      <c r="A789" s="1"/>
      <c r="B789" s="1"/>
      <c r="C789" s="1"/>
      <c r="D789" s="17"/>
    </row>
    <row r="790" spans="1:4" ht="21.75" customHeight="1" x14ac:dyDescent="0.6">
      <c r="A790" s="1"/>
      <c r="B790" s="1"/>
      <c r="C790" s="1"/>
      <c r="D790" s="17"/>
    </row>
    <row r="791" spans="1:4" ht="21.75" customHeight="1" x14ac:dyDescent="0.6">
      <c r="A791" s="1"/>
      <c r="B791" s="1"/>
      <c r="C791" s="1"/>
      <c r="D791" s="17"/>
    </row>
    <row r="792" spans="1:4" ht="21.75" customHeight="1" x14ac:dyDescent="0.6">
      <c r="A792" s="1"/>
      <c r="B792" s="1"/>
      <c r="C792" s="1"/>
      <c r="D792" s="17"/>
    </row>
    <row r="793" spans="1:4" ht="21.75" customHeight="1" x14ac:dyDescent="0.6">
      <c r="A793" s="1"/>
      <c r="B793" s="1"/>
      <c r="C793" s="1"/>
      <c r="D793" s="17"/>
    </row>
    <row r="794" spans="1:4" ht="21.75" customHeight="1" x14ac:dyDescent="0.6">
      <c r="A794" s="1"/>
      <c r="B794" s="1"/>
      <c r="C794" s="1"/>
      <c r="D794" s="17"/>
    </row>
    <row r="795" spans="1:4" ht="21.75" customHeight="1" x14ac:dyDescent="0.6">
      <c r="A795" s="1"/>
      <c r="B795" s="1"/>
      <c r="C795" s="1"/>
      <c r="D795" s="17"/>
    </row>
    <row r="796" spans="1:4" ht="21.75" customHeight="1" x14ac:dyDescent="0.6">
      <c r="A796" s="1"/>
      <c r="B796" s="1"/>
      <c r="C796" s="1"/>
      <c r="D796" s="17"/>
    </row>
    <row r="797" spans="1:4" ht="21.75" customHeight="1" x14ac:dyDescent="0.6">
      <c r="A797" s="1"/>
      <c r="B797" s="1"/>
      <c r="C797" s="1"/>
      <c r="D797" s="17"/>
    </row>
    <row r="798" spans="1:4" ht="21.75" customHeight="1" x14ac:dyDescent="0.6">
      <c r="A798" s="1"/>
      <c r="B798" s="1"/>
      <c r="C798" s="1"/>
      <c r="D798" s="17"/>
    </row>
    <row r="799" spans="1:4" ht="21.75" customHeight="1" x14ac:dyDescent="0.6">
      <c r="A799" s="1"/>
      <c r="B799" s="1"/>
      <c r="C799" s="1"/>
      <c r="D799" s="17"/>
    </row>
    <row r="800" spans="1:4" ht="21.75" customHeight="1" x14ac:dyDescent="0.6">
      <c r="A800" s="1"/>
      <c r="B800" s="1"/>
      <c r="C800" s="1"/>
      <c r="D800" s="17"/>
    </row>
    <row r="801" spans="1:4" ht="21.75" customHeight="1" x14ac:dyDescent="0.6">
      <c r="A801" s="1"/>
      <c r="B801" s="1"/>
      <c r="C801" s="1"/>
      <c r="D801" s="17"/>
    </row>
    <row r="802" spans="1:4" ht="21.75" customHeight="1" x14ac:dyDescent="0.6">
      <c r="A802" s="1"/>
      <c r="B802" s="1"/>
      <c r="C802" s="1"/>
      <c r="D802" s="17"/>
    </row>
    <row r="803" spans="1:4" ht="21.75" customHeight="1" x14ac:dyDescent="0.6">
      <c r="A803" s="1"/>
      <c r="B803" s="1"/>
      <c r="C803" s="1"/>
      <c r="D803" s="17"/>
    </row>
    <row r="804" spans="1:4" ht="21.75" customHeight="1" x14ac:dyDescent="0.6">
      <c r="A804" s="1"/>
      <c r="B804" s="1"/>
      <c r="C804" s="1"/>
      <c r="D804" s="17"/>
    </row>
    <row r="805" spans="1:4" ht="21.75" customHeight="1" x14ac:dyDescent="0.6">
      <c r="A805" s="1"/>
      <c r="B805" s="1"/>
      <c r="C805" s="1"/>
      <c r="D805" s="17"/>
    </row>
    <row r="806" spans="1:4" ht="21.75" customHeight="1" x14ac:dyDescent="0.6">
      <c r="A806" s="1"/>
      <c r="B806" s="1"/>
      <c r="C806" s="1"/>
      <c r="D806" s="17"/>
    </row>
    <row r="807" spans="1:4" ht="21.75" customHeight="1" x14ac:dyDescent="0.6">
      <c r="A807" s="1"/>
      <c r="B807" s="1"/>
      <c r="C807" s="1"/>
      <c r="D807" s="17"/>
    </row>
    <row r="808" spans="1:4" ht="21.75" customHeight="1" x14ac:dyDescent="0.6">
      <c r="A808" s="1"/>
      <c r="B808" s="1"/>
      <c r="C808" s="1"/>
      <c r="D808" s="17"/>
    </row>
    <row r="809" spans="1:4" ht="21.75" customHeight="1" x14ac:dyDescent="0.6">
      <c r="A809" s="1"/>
      <c r="B809" s="1"/>
      <c r="C809" s="1"/>
      <c r="D809" s="17"/>
    </row>
    <row r="810" spans="1:4" ht="21.75" customHeight="1" x14ac:dyDescent="0.6">
      <c r="A810" s="1"/>
      <c r="B810" s="1"/>
      <c r="C810" s="1"/>
      <c r="D810" s="17"/>
    </row>
    <row r="811" spans="1:4" ht="21.75" customHeight="1" x14ac:dyDescent="0.6">
      <c r="A811" s="1"/>
      <c r="B811" s="1"/>
      <c r="C811" s="1"/>
      <c r="D811" s="17"/>
    </row>
    <row r="812" spans="1:4" ht="21.75" customHeight="1" x14ac:dyDescent="0.6">
      <c r="A812" s="1"/>
      <c r="B812" s="1"/>
      <c r="C812" s="1"/>
      <c r="D812" s="17"/>
    </row>
    <row r="813" spans="1:4" ht="21.75" customHeight="1" x14ac:dyDescent="0.6">
      <c r="A813" s="1"/>
      <c r="B813" s="1"/>
      <c r="C813" s="1"/>
      <c r="D813" s="17"/>
    </row>
    <row r="814" spans="1:4" ht="21.75" customHeight="1" x14ac:dyDescent="0.6">
      <c r="A814" s="1"/>
      <c r="B814" s="1"/>
      <c r="C814" s="1"/>
      <c r="D814" s="17"/>
    </row>
    <row r="815" spans="1:4" ht="21.75" customHeight="1" x14ac:dyDescent="0.6">
      <c r="A815" s="1"/>
      <c r="B815" s="1"/>
      <c r="C815" s="1"/>
      <c r="D815" s="17"/>
    </row>
    <row r="816" spans="1:4" ht="21.75" customHeight="1" x14ac:dyDescent="0.6">
      <c r="A816" s="1"/>
      <c r="B816" s="1"/>
      <c r="C816" s="1"/>
      <c r="D816" s="17"/>
    </row>
    <row r="817" spans="1:4" ht="21.75" customHeight="1" x14ac:dyDescent="0.6">
      <c r="A817" s="1"/>
      <c r="B817" s="1"/>
      <c r="C817" s="1"/>
      <c r="D817" s="17"/>
    </row>
    <row r="818" spans="1:4" ht="21.75" customHeight="1" x14ac:dyDescent="0.6">
      <c r="A818" s="1"/>
      <c r="B818" s="1"/>
      <c r="C818" s="1"/>
      <c r="D818" s="17"/>
    </row>
    <row r="819" spans="1:4" ht="21.75" customHeight="1" x14ac:dyDescent="0.6">
      <c r="A819" s="1"/>
      <c r="B819" s="1"/>
      <c r="C819" s="1"/>
      <c r="D819" s="17"/>
    </row>
    <row r="820" spans="1:4" ht="21.75" customHeight="1" x14ac:dyDescent="0.6">
      <c r="A820" s="1"/>
      <c r="B820" s="1"/>
      <c r="C820" s="1"/>
      <c r="D820" s="17"/>
    </row>
    <row r="821" spans="1:4" ht="21.75" customHeight="1" x14ac:dyDescent="0.6">
      <c r="A821" s="1"/>
      <c r="B821" s="1"/>
      <c r="C821" s="1"/>
      <c r="D821" s="17"/>
    </row>
    <row r="822" spans="1:4" ht="21.75" customHeight="1" x14ac:dyDescent="0.6">
      <c r="A822" s="1"/>
      <c r="B822" s="1"/>
      <c r="C822" s="1"/>
      <c r="D822" s="17"/>
    </row>
    <row r="823" spans="1:4" ht="21.75" customHeight="1" x14ac:dyDescent="0.6">
      <c r="A823" s="1"/>
      <c r="B823" s="1"/>
      <c r="C823" s="1"/>
      <c r="D823" s="17"/>
    </row>
    <row r="824" spans="1:4" ht="21.75" customHeight="1" x14ac:dyDescent="0.6">
      <c r="A824" s="1"/>
      <c r="B824" s="1"/>
      <c r="C824" s="1"/>
      <c r="D824" s="17"/>
    </row>
    <row r="825" spans="1:4" ht="21.75" customHeight="1" x14ac:dyDescent="0.6">
      <c r="A825" s="1"/>
      <c r="B825" s="1"/>
      <c r="C825" s="1"/>
      <c r="D825" s="17"/>
    </row>
    <row r="826" spans="1:4" ht="21.75" customHeight="1" x14ac:dyDescent="0.6">
      <c r="A826" s="1"/>
      <c r="B826" s="1"/>
      <c r="C826" s="1"/>
      <c r="D826" s="17"/>
    </row>
    <row r="827" spans="1:4" ht="21.75" customHeight="1" x14ac:dyDescent="0.6">
      <c r="A827" s="1"/>
      <c r="B827" s="1"/>
      <c r="C827" s="1"/>
      <c r="D827" s="17"/>
    </row>
    <row r="828" spans="1:4" ht="21.75" customHeight="1" x14ac:dyDescent="0.6">
      <c r="A828" s="1"/>
      <c r="B828" s="1"/>
      <c r="C828" s="1"/>
      <c r="D828" s="17"/>
    </row>
    <row r="829" spans="1:4" ht="21.75" customHeight="1" x14ac:dyDescent="0.6">
      <c r="A829" s="1"/>
      <c r="B829" s="1"/>
      <c r="C829" s="1"/>
      <c r="D829" s="17"/>
    </row>
    <row r="830" spans="1:4" ht="21.75" customHeight="1" x14ac:dyDescent="0.6">
      <c r="A830" s="1"/>
      <c r="B830" s="1"/>
      <c r="C830" s="1"/>
      <c r="D830" s="17"/>
    </row>
    <row r="831" spans="1:4" ht="21.75" customHeight="1" x14ac:dyDescent="0.6">
      <c r="A831" s="1"/>
      <c r="B831" s="1"/>
      <c r="C831" s="1"/>
      <c r="D831" s="17"/>
    </row>
    <row r="832" spans="1:4" ht="21.75" customHeight="1" x14ac:dyDescent="0.6">
      <c r="A832" s="1"/>
      <c r="B832" s="1"/>
      <c r="C832" s="1"/>
      <c r="D832" s="17"/>
    </row>
    <row r="833" spans="1:4" ht="21.75" customHeight="1" x14ac:dyDescent="0.6">
      <c r="A833" s="1"/>
      <c r="B833" s="1"/>
      <c r="C833" s="1"/>
      <c r="D833" s="17"/>
    </row>
    <row r="834" spans="1:4" ht="21.75" customHeight="1" x14ac:dyDescent="0.6">
      <c r="A834" s="1"/>
      <c r="B834" s="1"/>
      <c r="C834" s="1"/>
      <c r="D834" s="17"/>
    </row>
    <row r="835" spans="1:4" ht="21.75" customHeight="1" x14ac:dyDescent="0.6">
      <c r="A835" s="1"/>
      <c r="B835" s="1"/>
      <c r="C835" s="1"/>
      <c r="D835" s="17"/>
    </row>
    <row r="836" spans="1:4" ht="21.75" customHeight="1" x14ac:dyDescent="0.6">
      <c r="A836" s="1"/>
      <c r="B836" s="1"/>
      <c r="C836" s="1"/>
      <c r="D836" s="17"/>
    </row>
    <row r="837" spans="1:4" ht="21.75" customHeight="1" x14ac:dyDescent="0.6">
      <c r="A837" s="1"/>
      <c r="B837" s="1"/>
      <c r="C837" s="1"/>
      <c r="D837" s="17"/>
    </row>
    <row r="838" spans="1:4" ht="21.75" customHeight="1" x14ac:dyDescent="0.6">
      <c r="A838" s="1"/>
      <c r="B838" s="1"/>
      <c r="C838" s="1"/>
      <c r="D838" s="17"/>
    </row>
    <row r="839" spans="1:4" ht="21.75" customHeight="1" x14ac:dyDescent="0.6">
      <c r="A839" s="1"/>
      <c r="B839" s="1"/>
      <c r="C839" s="1"/>
      <c r="D839" s="17"/>
    </row>
    <row r="840" spans="1:4" ht="21.75" customHeight="1" x14ac:dyDescent="0.6">
      <c r="A840" s="1"/>
      <c r="B840" s="1"/>
      <c r="C840" s="1"/>
      <c r="D840" s="17"/>
    </row>
    <row r="841" spans="1:4" ht="21.75" customHeight="1" x14ac:dyDescent="0.6">
      <c r="A841" s="1"/>
      <c r="B841" s="1"/>
      <c r="C841" s="1"/>
      <c r="D841" s="17"/>
    </row>
    <row r="842" spans="1:4" ht="21.75" customHeight="1" x14ac:dyDescent="0.6">
      <c r="A842" s="1"/>
      <c r="B842" s="1"/>
      <c r="C842" s="1"/>
      <c r="D842" s="17"/>
    </row>
    <row r="843" spans="1:4" ht="21.75" customHeight="1" x14ac:dyDescent="0.6">
      <c r="A843" s="1"/>
      <c r="B843" s="1"/>
      <c r="C843" s="1"/>
      <c r="D843" s="17"/>
    </row>
    <row r="844" spans="1:4" ht="21.75" customHeight="1" x14ac:dyDescent="0.6">
      <c r="A844" s="1"/>
      <c r="B844" s="1"/>
      <c r="C844" s="1"/>
      <c r="D844" s="17"/>
    </row>
    <row r="845" spans="1:4" ht="21.75" customHeight="1" x14ac:dyDescent="0.6">
      <c r="A845" s="1"/>
      <c r="B845" s="1"/>
      <c r="C845" s="1"/>
      <c r="D845" s="17"/>
    </row>
    <row r="846" spans="1:4" ht="21.75" customHeight="1" x14ac:dyDescent="0.6">
      <c r="A846" s="1"/>
      <c r="B846" s="1"/>
      <c r="C846" s="1"/>
      <c r="D846" s="17"/>
    </row>
    <row r="847" spans="1:4" ht="21.75" customHeight="1" x14ac:dyDescent="0.6">
      <c r="A847" s="1"/>
      <c r="B847" s="1"/>
      <c r="C847" s="1"/>
      <c r="D847" s="17"/>
    </row>
    <row r="848" spans="1:4" ht="21.75" customHeight="1" x14ac:dyDescent="0.6">
      <c r="A848" s="1"/>
      <c r="B848" s="1"/>
      <c r="C848" s="1"/>
      <c r="D848" s="17"/>
    </row>
    <row r="849" spans="1:4" ht="21.75" customHeight="1" x14ac:dyDescent="0.6">
      <c r="A849" s="1"/>
      <c r="B849" s="1"/>
      <c r="C849" s="1"/>
      <c r="D849" s="17"/>
    </row>
    <row r="850" spans="1:4" ht="21.75" customHeight="1" x14ac:dyDescent="0.6">
      <c r="A850" s="1"/>
      <c r="B850" s="1"/>
      <c r="C850" s="1"/>
      <c r="D850" s="17"/>
    </row>
    <row r="851" spans="1:4" ht="21.75" customHeight="1" x14ac:dyDescent="0.6">
      <c r="A851" s="1"/>
      <c r="B851" s="1"/>
      <c r="C851" s="1"/>
      <c r="D851" s="17"/>
    </row>
    <row r="852" spans="1:4" ht="21.75" customHeight="1" x14ac:dyDescent="0.6">
      <c r="A852" s="1"/>
      <c r="B852" s="1"/>
      <c r="C852" s="1"/>
      <c r="D852" s="17"/>
    </row>
    <row r="853" spans="1:4" ht="21.75" customHeight="1" x14ac:dyDescent="0.6">
      <c r="A853" s="1"/>
      <c r="B853" s="1"/>
      <c r="C853" s="1"/>
      <c r="D853" s="17"/>
    </row>
    <row r="854" spans="1:4" ht="21.75" customHeight="1" x14ac:dyDescent="0.6">
      <c r="A854" s="1"/>
      <c r="B854" s="1"/>
      <c r="C854" s="1"/>
      <c r="D854" s="17"/>
    </row>
    <row r="855" spans="1:4" ht="21.75" customHeight="1" x14ac:dyDescent="0.6">
      <c r="A855" s="1"/>
      <c r="B855" s="1"/>
      <c r="C855" s="1"/>
      <c r="D855" s="17"/>
    </row>
    <row r="856" spans="1:4" ht="21.75" customHeight="1" x14ac:dyDescent="0.6">
      <c r="A856" s="1"/>
      <c r="B856" s="1"/>
      <c r="C856" s="1"/>
      <c r="D856" s="17"/>
    </row>
    <row r="857" spans="1:4" ht="21.75" customHeight="1" x14ac:dyDescent="0.6">
      <c r="A857" s="1"/>
      <c r="B857" s="1"/>
      <c r="C857" s="1"/>
      <c r="D857" s="17"/>
    </row>
    <row r="858" spans="1:4" ht="21.75" customHeight="1" x14ac:dyDescent="0.6">
      <c r="A858" s="1"/>
      <c r="B858" s="1"/>
      <c r="C858" s="1"/>
      <c r="D858" s="17"/>
    </row>
    <row r="859" spans="1:4" ht="21.75" customHeight="1" x14ac:dyDescent="0.6">
      <c r="A859" s="1"/>
      <c r="B859" s="1"/>
      <c r="C859" s="1"/>
      <c r="D859" s="17"/>
    </row>
    <row r="860" spans="1:4" ht="21.75" customHeight="1" x14ac:dyDescent="0.6">
      <c r="A860" s="1"/>
      <c r="B860" s="1"/>
      <c r="C860" s="1"/>
      <c r="D860" s="17"/>
    </row>
    <row r="861" spans="1:4" ht="21.75" customHeight="1" x14ac:dyDescent="0.6">
      <c r="A861" s="1"/>
      <c r="B861" s="1"/>
      <c r="C861" s="1"/>
      <c r="D861" s="17"/>
    </row>
    <row r="862" spans="1:4" ht="21.75" customHeight="1" x14ac:dyDescent="0.6">
      <c r="A862" s="1"/>
      <c r="B862" s="1"/>
      <c r="C862" s="1"/>
      <c r="D862" s="17"/>
    </row>
    <row r="863" spans="1:4" ht="21.75" customHeight="1" x14ac:dyDescent="0.6">
      <c r="A863" s="1"/>
      <c r="B863" s="1"/>
      <c r="C863" s="1"/>
      <c r="D863" s="17"/>
    </row>
    <row r="864" spans="1:4" ht="21.75" customHeight="1" x14ac:dyDescent="0.6">
      <c r="A864" s="1"/>
      <c r="B864" s="1"/>
      <c r="C864" s="1"/>
      <c r="D864" s="17"/>
    </row>
    <row r="865" spans="1:4" ht="21.75" customHeight="1" x14ac:dyDescent="0.6">
      <c r="A865" s="1"/>
      <c r="B865" s="1"/>
      <c r="C865" s="1"/>
      <c r="D865" s="17"/>
    </row>
    <row r="866" spans="1:4" ht="21.75" customHeight="1" x14ac:dyDescent="0.6">
      <c r="A866" s="1"/>
      <c r="B866" s="1"/>
      <c r="C866" s="1"/>
      <c r="D866" s="17"/>
    </row>
    <row r="867" spans="1:4" ht="21.75" customHeight="1" x14ac:dyDescent="0.6">
      <c r="A867" s="1"/>
      <c r="B867" s="1"/>
      <c r="C867" s="1"/>
      <c r="D867" s="17"/>
    </row>
    <row r="868" spans="1:4" ht="21.75" customHeight="1" x14ac:dyDescent="0.6">
      <c r="A868" s="1"/>
      <c r="B868" s="1"/>
      <c r="C868" s="1"/>
      <c r="D868" s="17"/>
    </row>
    <row r="869" spans="1:4" ht="21.75" customHeight="1" x14ac:dyDescent="0.6">
      <c r="A869" s="1"/>
      <c r="B869" s="1"/>
      <c r="C869" s="1"/>
      <c r="D869" s="17"/>
    </row>
    <row r="870" spans="1:4" ht="21.75" customHeight="1" x14ac:dyDescent="0.6">
      <c r="A870" s="1"/>
      <c r="B870" s="1"/>
      <c r="C870" s="1"/>
      <c r="D870" s="17"/>
    </row>
    <row r="871" spans="1:4" ht="21.75" customHeight="1" x14ac:dyDescent="0.6">
      <c r="A871" s="1"/>
      <c r="B871" s="1"/>
      <c r="C871" s="1"/>
      <c r="D871" s="17"/>
    </row>
    <row r="872" spans="1:4" ht="21.75" customHeight="1" x14ac:dyDescent="0.6">
      <c r="A872" s="1"/>
      <c r="B872" s="1"/>
      <c r="C872" s="1"/>
      <c r="D872" s="17"/>
    </row>
    <row r="873" spans="1:4" ht="21.75" customHeight="1" x14ac:dyDescent="0.6">
      <c r="A873" s="1"/>
      <c r="B873" s="1"/>
      <c r="C873" s="1"/>
      <c r="D873" s="17"/>
    </row>
    <row r="874" spans="1:4" ht="21.75" customHeight="1" x14ac:dyDescent="0.6">
      <c r="A874" s="1"/>
      <c r="B874" s="1"/>
      <c r="C874" s="1"/>
      <c r="D874" s="17"/>
    </row>
    <row r="875" spans="1:4" ht="21.75" customHeight="1" x14ac:dyDescent="0.6">
      <c r="A875" s="1"/>
      <c r="B875" s="1"/>
      <c r="C875" s="1"/>
      <c r="D875" s="17"/>
    </row>
    <row r="876" spans="1:4" ht="21.75" customHeight="1" x14ac:dyDescent="0.6">
      <c r="A876" s="1"/>
      <c r="B876" s="1"/>
      <c r="C876" s="1"/>
      <c r="D876" s="17"/>
    </row>
    <row r="877" spans="1:4" ht="21.75" customHeight="1" x14ac:dyDescent="0.6">
      <c r="A877" s="1"/>
      <c r="B877" s="1"/>
      <c r="C877" s="1"/>
      <c r="D877" s="17"/>
    </row>
    <row r="878" spans="1:4" ht="21.75" customHeight="1" x14ac:dyDescent="0.6">
      <c r="A878" s="1"/>
      <c r="B878" s="1"/>
      <c r="C878" s="1"/>
      <c r="D878" s="17"/>
    </row>
    <row r="879" spans="1:4" ht="21.75" customHeight="1" x14ac:dyDescent="0.6">
      <c r="A879" s="1"/>
      <c r="B879" s="1"/>
      <c r="C879" s="1"/>
      <c r="D879" s="17"/>
    </row>
    <row r="880" spans="1:4" ht="21.75" customHeight="1" x14ac:dyDescent="0.6">
      <c r="A880" s="1"/>
      <c r="B880" s="1"/>
      <c r="C880" s="1"/>
      <c r="D880" s="17"/>
    </row>
    <row r="881" spans="1:4" ht="21.75" customHeight="1" x14ac:dyDescent="0.6">
      <c r="A881" s="1"/>
      <c r="B881" s="1"/>
      <c r="C881" s="1"/>
      <c r="D881" s="17"/>
    </row>
    <row r="882" spans="1:4" ht="21.75" customHeight="1" x14ac:dyDescent="0.6">
      <c r="A882" s="1"/>
      <c r="B882" s="1"/>
      <c r="C882" s="1"/>
      <c r="D882" s="17"/>
    </row>
    <row r="883" spans="1:4" ht="21.75" customHeight="1" x14ac:dyDescent="0.6">
      <c r="A883" s="1"/>
      <c r="B883" s="1"/>
      <c r="C883" s="1"/>
      <c r="D883" s="17"/>
    </row>
    <row r="884" spans="1:4" ht="21.75" customHeight="1" x14ac:dyDescent="0.6">
      <c r="A884" s="1"/>
      <c r="B884" s="1"/>
      <c r="C884" s="1"/>
      <c r="D884" s="17"/>
    </row>
    <row r="885" spans="1:4" ht="21.75" customHeight="1" x14ac:dyDescent="0.6">
      <c r="A885" s="1"/>
      <c r="B885" s="1"/>
      <c r="C885" s="1"/>
      <c r="D885" s="17"/>
    </row>
    <row r="886" spans="1:4" ht="21.75" customHeight="1" x14ac:dyDescent="0.6">
      <c r="A886" s="1"/>
      <c r="B886" s="1"/>
      <c r="C886" s="1"/>
      <c r="D886" s="17"/>
    </row>
    <row r="887" spans="1:4" ht="21.75" customHeight="1" x14ac:dyDescent="0.6">
      <c r="A887" s="1"/>
      <c r="B887" s="1"/>
      <c r="C887" s="1"/>
      <c r="D887" s="17"/>
    </row>
    <row r="888" spans="1:4" ht="21.75" customHeight="1" x14ac:dyDescent="0.6">
      <c r="A888" s="1"/>
      <c r="B888" s="1"/>
      <c r="C888" s="1"/>
      <c r="D888" s="17"/>
    </row>
    <row r="889" spans="1:4" ht="21.75" customHeight="1" x14ac:dyDescent="0.6">
      <c r="A889" s="1"/>
      <c r="B889" s="1"/>
      <c r="C889" s="1"/>
      <c r="D889" s="17"/>
    </row>
    <row r="890" spans="1:4" ht="21.75" customHeight="1" x14ac:dyDescent="0.6">
      <c r="A890" s="1"/>
      <c r="B890" s="1"/>
      <c r="C890" s="1"/>
      <c r="D890" s="17"/>
    </row>
    <row r="891" spans="1:4" ht="21.75" customHeight="1" x14ac:dyDescent="0.6">
      <c r="A891" s="1"/>
      <c r="B891" s="1"/>
      <c r="C891" s="1"/>
      <c r="D891" s="17"/>
    </row>
    <row r="892" spans="1:4" ht="21.75" customHeight="1" x14ac:dyDescent="0.6">
      <c r="A892" s="1"/>
      <c r="B892" s="1"/>
      <c r="C892" s="1"/>
      <c r="D892" s="17"/>
    </row>
    <row r="893" spans="1:4" ht="21.75" customHeight="1" x14ac:dyDescent="0.6">
      <c r="A893" s="1"/>
      <c r="B893" s="1"/>
      <c r="C893" s="1"/>
      <c r="D893" s="17"/>
    </row>
    <row r="894" spans="1:4" ht="21.75" customHeight="1" x14ac:dyDescent="0.6">
      <c r="A894" s="1"/>
      <c r="B894" s="1"/>
      <c r="C894" s="1"/>
      <c r="D894" s="17"/>
    </row>
    <row r="895" spans="1:4" ht="21.75" customHeight="1" x14ac:dyDescent="0.6">
      <c r="A895" s="1"/>
      <c r="B895" s="1"/>
      <c r="C895" s="1"/>
      <c r="D895" s="17"/>
    </row>
    <row r="896" spans="1:4" ht="21.75" customHeight="1" x14ac:dyDescent="0.6">
      <c r="A896" s="1"/>
      <c r="B896" s="1"/>
      <c r="C896" s="1"/>
      <c r="D896" s="17"/>
    </row>
    <row r="897" spans="1:4" ht="21.75" customHeight="1" x14ac:dyDescent="0.6">
      <c r="A897" s="1"/>
      <c r="B897" s="1"/>
      <c r="C897" s="1"/>
      <c r="D897" s="17"/>
    </row>
    <row r="898" spans="1:4" ht="21.75" customHeight="1" x14ac:dyDescent="0.6">
      <c r="A898" s="1"/>
      <c r="B898" s="1"/>
      <c r="C898" s="1"/>
      <c r="D898" s="17"/>
    </row>
    <row r="899" spans="1:4" ht="21.75" customHeight="1" x14ac:dyDescent="0.6">
      <c r="A899" s="1"/>
      <c r="B899" s="1"/>
      <c r="C899" s="1"/>
      <c r="D899" s="17"/>
    </row>
    <row r="900" spans="1:4" ht="21.75" customHeight="1" x14ac:dyDescent="0.6">
      <c r="A900" s="1"/>
      <c r="B900" s="1"/>
      <c r="C900" s="1"/>
      <c r="D900" s="17"/>
    </row>
    <row r="901" spans="1:4" ht="21.75" customHeight="1" x14ac:dyDescent="0.6">
      <c r="A901" s="1"/>
      <c r="B901" s="1"/>
      <c r="C901" s="1"/>
      <c r="D901" s="17"/>
    </row>
    <row r="902" spans="1:4" ht="21.75" customHeight="1" x14ac:dyDescent="0.6">
      <c r="A902" s="1"/>
      <c r="B902" s="1"/>
      <c r="C902" s="1"/>
      <c r="D902" s="17"/>
    </row>
    <row r="903" spans="1:4" ht="21.75" customHeight="1" x14ac:dyDescent="0.6">
      <c r="A903" s="1"/>
      <c r="B903" s="1"/>
      <c r="C903" s="1"/>
      <c r="D903" s="17"/>
    </row>
    <row r="904" spans="1:4" ht="21.75" customHeight="1" x14ac:dyDescent="0.6">
      <c r="A904" s="1"/>
      <c r="B904" s="1"/>
      <c r="C904" s="1"/>
      <c r="D904" s="17"/>
    </row>
    <row r="905" spans="1:4" ht="21.75" customHeight="1" x14ac:dyDescent="0.6">
      <c r="A905" s="1"/>
      <c r="B905" s="1"/>
      <c r="C905" s="1"/>
      <c r="D905" s="17"/>
    </row>
    <row r="906" spans="1:4" ht="21.75" customHeight="1" x14ac:dyDescent="0.6">
      <c r="A906" s="1"/>
      <c r="B906" s="1"/>
      <c r="C906" s="1"/>
      <c r="D906" s="17"/>
    </row>
    <row r="907" spans="1:4" ht="21.75" customHeight="1" x14ac:dyDescent="0.6">
      <c r="A907" s="1"/>
      <c r="B907" s="1"/>
      <c r="C907" s="1"/>
      <c r="D907" s="17"/>
    </row>
    <row r="908" spans="1:4" ht="21.75" customHeight="1" x14ac:dyDescent="0.6">
      <c r="A908" s="1"/>
      <c r="B908" s="1"/>
      <c r="C908" s="1"/>
      <c r="D908" s="17"/>
    </row>
    <row r="909" spans="1:4" ht="21.75" customHeight="1" x14ac:dyDescent="0.6">
      <c r="A909" s="1"/>
      <c r="B909" s="1"/>
      <c r="C909" s="1"/>
      <c r="D909" s="17"/>
    </row>
    <row r="910" spans="1:4" ht="21.75" customHeight="1" x14ac:dyDescent="0.6">
      <c r="A910" s="1"/>
      <c r="B910" s="1"/>
      <c r="C910" s="1"/>
      <c r="D910" s="17"/>
    </row>
    <row r="911" spans="1:4" ht="21.75" customHeight="1" x14ac:dyDescent="0.6">
      <c r="A911" s="1"/>
      <c r="B911" s="1"/>
      <c r="C911" s="1"/>
      <c r="D911" s="17"/>
    </row>
    <row r="912" spans="1:4" ht="21.75" customHeight="1" x14ac:dyDescent="0.6">
      <c r="A912" s="1"/>
      <c r="B912" s="1"/>
      <c r="C912" s="1"/>
      <c r="D912" s="17"/>
    </row>
    <row r="913" spans="1:4" ht="21.75" customHeight="1" x14ac:dyDescent="0.6">
      <c r="A913" s="1"/>
      <c r="B913" s="1"/>
      <c r="C913" s="1"/>
      <c r="D913" s="17"/>
    </row>
    <row r="914" spans="1:4" ht="21.75" customHeight="1" x14ac:dyDescent="0.6">
      <c r="A914" s="1"/>
      <c r="B914" s="1"/>
      <c r="C914" s="1"/>
      <c r="D914" s="17"/>
    </row>
    <row r="915" spans="1:4" ht="21.75" customHeight="1" x14ac:dyDescent="0.6">
      <c r="A915" s="1"/>
      <c r="B915" s="1"/>
      <c r="C915" s="1"/>
      <c r="D915" s="17"/>
    </row>
    <row r="916" spans="1:4" ht="21.75" customHeight="1" x14ac:dyDescent="0.6">
      <c r="A916" s="1"/>
      <c r="B916" s="1"/>
      <c r="C916" s="1"/>
      <c r="D916" s="17"/>
    </row>
    <row r="917" spans="1:4" ht="21.75" customHeight="1" x14ac:dyDescent="0.6">
      <c r="A917" s="1"/>
      <c r="B917" s="1"/>
      <c r="C917" s="1"/>
      <c r="D917" s="17"/>
    </row>
    <row r="918" spans="1:4" ht="21.75" customHeight="1" x14ac:dyDescent="0.6">
      <c r="A918" s="1"/>
      <c r="B918" s="1"/>
      <c r="C918" s="1"/>
      <c r="D918" s="17"/>
    </row>
    <row r="919" spans="1:4" ht="21.75" customHeight="1" x14ac:dyDescent="0.6">
      <c r="A919" s="1"/>
      <c r="B919" s="1"/>
      <c r="C919" s="1"/>
      <c r="D919" s="17"/>
    </row>
    <row r="920" spans="1:4" ht="21.75" customHeight="1" x14ac:dyDescent="0.6">
      <c r="A920" s="1"/>
      <c r="B920" s="1"/>
      <c r="C920" s="1"/>
      <c r="D920" s="17"/>
    </row>
    <row r="921" spans="1:4" ht="21.75" customHeight="1" x14ac:dyDescent="0.6">
      <c r="A921" s="1"/>
      <c r="B921" s="1"/>
      <c r="C921" s="1"/>
      <c r="D921" s="17"/>
    </row>
    <row r="922" spans="1:4" ht="21.75" customHeight="1" x14ac:dyDescent="0.6">
      <c r="A922" s="1"/>
      <c r="B922" s="1"/>
      <c r="C922" s="1"/>
      <c r="D922" s="17"/>
    </row>
    <row r="923" spans="1:4" ht="21.75" customHeight="1" x14ac:dyDescent="0.6">
      <c r="A923" s="1"/>
      <c r="B923" s="1"/>
      <c r="C923" s="1"/>
      <c r="D923" s="17"/>
    </row>
    <row r="924" spans="1:4" ht="21.75" customHeight="1" x14ac:dyDescent="0.6">
      <c r="A924" s="1"/>
      <c r="B924" s="1"/>
      <c r="C924" s="1"/>
      <c r="D924" s="17"/>
    </row>
    <row r="925" spans="1:4" ht="21.75" customHeight="1" x14ac:dyDescent="0.6">
      <c r="A925" s="1"/>
      <c r="B925" s="1"/>
      <c r="C925" s="1"/>
      <c r="D925" s="17"/>
    </row>
    <row r="926" spans="1:4" ht="21.75" customHeight="1" x14ac:dyDescent="0.6">
      <c r="A926" s="1"/>
      <c r="B926" s="1"/>
      <c r="C926" s="1"/>
      <c r="D926" s="17"/>
    </row>
    <row r="927" spans="1:4" ht="21.75" customHeight="1" x14ac:dyDescent="0.6">
      <c r="A927" s="1"/>
      <c r="B927" s="1"/>
      <c r="C927" s="1"/>
      <c r="D927" s="17"/>
    </row>
    <row r="928" spans="1:4" ht="21.75" customHeight="1" x14ac:dyDescent="0.6">
      <c r="A928" s="1"/>
      <c r="B928" s="1"/>
      <c r="C928" s="1"/>
      <c r="D928" s="17"/>
    </row>
    <row r="929" spans="1:4" ht="21.75" customHeight="1" x14ac:dyDescent="0.6">
      <c r="A929" s="1"/>
      <c r="B929" s="1"/>
      <c r="C929" s="1"/>
      <c r="D929" s="17"/>
    </row>
    <row r="930" spans="1:4" ht="21.75" customHeight="1" x14ac:dyDescent="0.6">
      <c r="A930" s="1"/>
      <c r="B930" s="1"/>
      <c r="C930" s="1"/>
      <c r="D930" s="17"/>
    </row>
    <row r="931" spans="1:4" ht="21.75" customHeight="1" x14ac:dyDescent="0.6">
      <c r="A931" s="1"/>
      <c r="B931" s="1"/>
      <c r="C931" s="1"/>
      <c r="D931" s="17"/>
    </row>
    <row r="932" spans="1:4" ht="21.75" customHeight="1" x14ac:dyDescent="0.6">
      <c r="A932" s="1"/>
      <c r="B932" s="1"/>
      <c r="C932" s="1"/>
      <c r="D932" s="17"/>
    </row>
    <row r="933" spans="1:4" ht="21.75" customHeight="1" x14ac:dyDescent="0.6">
      <c r="A933" s="1"/>
      <c r="B933" s="1"/>
      <c r="C933" s="1"/>
      <c r="D933" s="17"/>
    </row>
    <row r="934" spans="1:4" ht="21.75" customHeight="1" x14ac:dyDescent="0.6">
      <c r="A934" s="1"/>
      <c r="B934" s="1"/>
      <c r="C934" s="1"/>
      <c r="D934" s="17"/>
    </row>
    <row r="935" spans="1:4" ht="21.75" customHeight="1" x14ac:dyDescent="0.6">
      <c r="A935" s="1"/>
      <c r="B935" s="1"/>
      <c r="C935" s="1"/>
      <c r="D935" s="17"/>
    </row>
    <row r="936" spans="1:4" ht="21.75" customHeight="1" x14ac:dyDescent="0.6">
      <c r="A936" s="1"/>
      <c r="B936" s="1"/>
      <c r="C936" s="1"/>
      <c r="D936" s="17"/>
    </row>
    <row r="937" spans="1:4" ht="21.75" customHeight="1" x14ac:dyDescent="0.6">
      <c r="A937" s="1"/>
      <c r="B937" s="1"/>
      <c r="C937" s="1"/>
      <c r="D937" s="17"/>
    </row>
    <row r="938" spans="1:4" ht="21.75" customHeight="1" x14ac:dyDescent="0.6">
      <c r="A938" s="1"/>
      <c r="B938" s="1"/>
      <c r="C938" s="1"/>
      <c r="D938" s="17"/>
    </row>
    <row r="939" spans="1:4" ht="21.75" customHeight="1" x14ac:dyDescent="0.6">
      <c r="A939" s="1"/>
      <c r="B939" s="1"/>
      <c r="C939" s="1"/>
      <c r="D939" s="17"/>
    </row>
    <row r="940" spans="1:4" ht="21.75" customHeight="1" x14ac:dyDescent="0.6">
      <c r="A940" s="1"/>
      <c r="B940" s="1"/>
      <c r="C940" s="1"/>
      <c r="D940" s="17"/>
    </row>
    <row r="941" spans="1:4" ht="21.75" customHeight="1" x14ac:dyDescent="0.6">
      <c r="A941" s="1"/>
      <c r="B941" s="1"/>
      <c r="C941" s="1"/>
      <c r="D941" s="17"/>
    </row>
    <row r="942" spans="1:4" ht="21.75" customHeight="1" x14ac:dyDescent="0.6">
      <c r="A942" s="1"/>
      <c r="B942" s="1"/>
      <c r="C942" s="1"/>
      <c r="D942" s="17"/>
    </row>
    <row r="943" spans="1:4" ht="21.75" customHeight="1" x14ac:dyDescent="0.6">
      <c r="A943" s="1"/>
      <c r="B943" s="1"/>
      <c r="C943" s="1"/>
      <c r="D943" s="17"/>
    </row>
    <row r="944" spans="1:4" ht="21.75" customHeight="1" x14ac:dyDescent="0.6">
      <c r="A944" s="1"/>
      <c r="B944" s="1"/>
      <c r="C944" s="1"/>
      <c r="D944" s="17"/>
    </row>
    <row r="945" spans="1:4" ht="21.75" customHeight="1" x14ac:dyDescent="0.6">
      <c r="A945" s="1"/>
      <c r="B945" s="1"/>
      <c r="C945" s="1"/>
      <c r="D945" s="17"/>
    </row>
    <row r="946" spans="1:4" ht="21.75" customHeight="1" x14ac:dyDescent="0.6">
      <c r="A946" s="1"/>
      <c r="B946" s="1"/>
      <c r="C946" s="1"/>
      <c r="D946" s="17"/>
    </row>
    <row r="947" spans="1:4" ht="21.75" customHeight="1" x14ac:dyDescent="0.6">
      <c r="A947" s="1"/>
      <c r="B947" s="1"/>
      <c r="C947" s="1"/>
      <c r="D947" s="17"/>
    </row>
    <row r="948" spans="1:4" ht="21.75" customHeight="1" x14ac:dyDescent="0.6">
      <c r="A948" s="1"/>
      <c r="B948" s="1"/>
      <c r="C948" s="1"/>
      <c r="D948" s="17"/>
    </row>
    <row r="949" spans="1:4" ht="21.75" customHeight="1" x14ac:dyDescent="0.6">
      <c r="A949" s="1"/>
      <c r="B949" s="1"/>
      <c r="C949" s="1"/>
      <c r="D949" s="17"/>
    </row>
    <row r="950" spans="1:4" ht="21.75" customHeight="1" x14ac:dyDescent="0.6">
      <c r="A950" s="1"/>
      <c r="B950" s="1"/>
      <c r="C950" s="1"/>
      <c r="D950" s="17"/>
    </row>
    <row r="951" spans="1:4" ht="21.75" customHeight="1" x14ac:dyDescent="0.6">
      <c r="A951" s="1"/>
      <c r="B951" s="1"/>
      <c r="C951" s="1"/>
      <c r="D951" s="17"/>
    </row>
    <row r="952" spans="1:4" ht="21.75" customHeight="1" x14ac:dyDescent="0.6">
      <c r="A952" s="1"/>
      <c r="B952" s="1"/>
      <c r="C952" s="1"/>
      <c r="D952" s="17"/>
    </row>
    <row r="953" spans="1:4" ht="21.75" customHeight="1" x14ac:dyDescent="0.6">
      <c r="A953" s="1"/>
      <c r="B953" s="1"/>
      <c r="C953" s="1"/>
      <c r="D953" s="17"/>
    </row>
    <row r="954" spans="1:4" ht="21.75" customHeight="1" x14ac:dyDescent="0.6">
      <c r="A954" s="1"/>
      <c r="B954" s="1"/>
      <c r="C954" s="1"/>
      <c r="D954" s="17"/>
    </row>
    <row r="955" spans="1:4" ht="21.75" customHeight="1" x14ac:dyDescent="0.6">
      <c r="A955" s="1"/>
      <c r="B955" s="1"/>
      <c r="C955" s="1"/>
      <c r="D955" s="17"/>
    </row>
    <row r="956" spans="1:4" ht="21.75" customHeight="1" x14ac:dyDescent="0.6">
      <c r="A956" s="1"/>
      <c r="B956" s="1"/>
      <c r="C956" s="1"/>
      <c r="D956" s="17"/>
    </row>
    <row r="957" spans="1:4" ht="21.75" customHeight="1" x14ac:dyDescent="0.6">
      <c r="A957" s="1"/>
      <c r="B957" s="1"/>
      <c r="C957" s="1"/>
      <c r="D957" s="17"/>
    </row>
    <row r="958" spans="1:4" ht="21.75" customHeight="1" x14ac:dyDescent="0.6">
      <c r="A958" s="1"/>
      <c r="B958" s="1"/>
      <c r="C958" s="1"/>
      <c r="D958" s="17"/>
    </row>
    <row r="959" spans="1:4" ht="15" customHeight="1" x14ac:dyDescent="0.6">
      <c r="A959" s="1"/>
      <c r="B959" s="1"/>
      <c r="C959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B881-3100-4A1A-8299-25971EFF824D}">
  <dimension ref="B1:N35"/>
  <sheetViews>
    <sheetView zoomScale="70" zoomScaleNormal="70" workbookViewId="0">
      <selection activeCell="J4" sqref="J3:J4"/>
    </sheetView>
  </sheetViews>
  <sheetFormatPr defaultColWidth="8.85546875" defaultRowHeight="15" x14ac:dyDescent="0.25"/>
  <cols>
    <col min="1" max="1" width="8.85546875" style="31"/>
    <col min="2" max="2" width="66.140625" style="31" customWidth="1"/>
    <col min="3" max="3" width="17.5703125" style="31" customWidth="1"/>
    <col min="4" max="4" width="21.28515625" style="31" customWidth="1"/>
    <col min="5" max="5" width="18.85546875" style="31" customWidth="1"/>
    <col min="6" max="6" width="24.7109375" style="31" bestFit="1" customWidth="1"/>
    <col min="7" max="7" width="24.42578125" style="31" bestFit="1" customWidth="1"/>
    <col min="8" max="8" width="24.7109375" style="31" bestFit="1" customWidth="1"/>
    <col min="9" max="9" width="18.7109375" style="31" customWidth="1"/>
    <col min="10" max="10" width="24.7109375" style="31" customWidth="1"/>
    <col min="11" max="11" width="8.85546875" style="31"/>
    <col min="12" max="13" width="17" style="32" customWidth="1"/>
    <col min="14" max="16384" width="8.85546875" style="31"/>
  </cols>
  <sheetData>
    <row r="1" spans="2:13" ht="13.9" customHeight="1" x14ac:dyDescent="0.25"/>
    <row r="2" spans="2:13" ht="13.9" customHeight="1" thickBot="1" x14ac:dyDescent="0.3"/>
    <row r="3" spans="2:13" ht="13.9" customHeight="1" x14ac:dyDescent="0.25">
      <c r="C3" s="33" t="s">
        <v>22</v>
      </c>
      <c r="D3" s="131">
        <v>44531</v>
      </c>
      <c r="E3" s="33" t="s">
        <v>22</v>
      </c>
      <c r="F3" s="131">
        <v>44531</v>
      </c>
      <c r="G3" s="33" t="s">
        <v>22</v>
      </c>
      <c r="H3" s="34">
        <v>45047</v>
      </c>
      <c r="I3" s="33" t="s">
        <v>22</v>
      </c>
      <c r="J3" s="34">
        <v>45689</v>
      </c>
    </row>
    <row r="4" spans="2:13" ht="13.9" customHeight="1" thickBot="1" x14ac:dyDescent="0.3">
      <c r="C4" s="35" t="s">
        <v>24</v>
      </c>
      <c r="D4" s="132">
        <v>2003.3</v>
      </c>
      <c r="E4" s="51" t="s">
        <v>24</v>
      </c>
      <c r="F4" s="132">
        <v>2003.3</v>
      </c>
      <c r="G4" s="51" t="s">
        <v>24</v>
      </c>
      <c r="H4" s="50">
        <v>2232.64</v>
      </c>
      <c r="I4" s="51" t="s">
        <v>24</v>
      </c>
      <c r="J4" s="50">
        <v>2827.78</v>
      </c>
    </row>
    <row r="5" spans="2:13" ht="13.9" customHeight="1" x14ac:dyDescent="0.25">
      <c r="C5" s="35" t="s">
        <v>35</v>
      </c>
      <c r="D5" s="52" t="s">
        <v>39</v>
      </c>
      <c r="E5" s="51" t="s">
        <v>35</v>
      </c>
      <c r="F5" s="53" t="s">
        <v>39</v>
      </c>
      <c r="G5" s="51" t="s">
        <v>35</v>
      </c>
      <c r="H5" s="52" t="s">
        <v>39</v>
      </c>
      <c r="I5" s="51" t="s">
        <v>35</v>
      </c>
      <c r="J5" s="53" t="s">
        <v>39</v>
      </c>
    </row>
    <row r="6" spans="2:13" ht="13.9" customHeight="1" thickBot="1" x14ac:dyDescent="0.3">
      <c r="C6" s="36" t="s">
        <v>23</v>
      </c>
      <c r="D6" s="54"/>
      <c r="E6" s="55" t="s">
        <v>23</v>
      </c>
      <c r="F6" s="54"/>
      <c r="G6" s="55" t="s">
        <v>23</v>
      </c>
      <c r="H6" s="54"/>
      <c r="I6" s="55" t="s">
        <v>23</v>
      </c>
      <c r="J6" s="54"/>
    </row>
    <row r="7" spans="2:13" ht="13.9" customHeight="1" thickBot="1" x14ac:dyDescent="0.3"/>
    <row r="8" spans="2:13" ht="19.149999999999999" customHeight="1" thickBot="1" x14ac:dyDescent="0.3">
      <c r="C8" s="152" t="s">
        <v>69</v>
      </c>
      <c r="D8" s="153"/>
      <c r="E8" s="152" t="s">
        <v>70</v>
      </c>
      <c r="F8" s="154"/>
      <c r="G8" s="152" t="s">
        <v>71</v>
      </c>
      <c r="H8" s="153"/>
      <c r="I8" s="154" t="s">
        <v>153</v>
      </c>
      <c r="J8" s="153"/>
      <c r="L8" s="155" t="s">
        <v>27</v>
      </c>
      <c r="M8" s="155"/>
    </row>
    <row r="9" spans="2:13" ht="19.149999999999999" customHeight="1" thickBot="1" x14ac:dyDescent="0.3">
      <c r="C9" s="37" t="s">
        <v>25</v>
      </c>
      <c r="D9" s="38" t="s">
        <v>26</v>
      </c>
      <c r="E9" s="38" t="s">
        <v>25</v>
      </c>
      <c r="F9" s="38" t="s">
        <v>26</v>
      </c>
      <c r="G9" s="37" t="s">
        <v>25</v>
      </c>
      <c r="H9" s="39" t="s">
        <v>26</v>
      </c>
      <c r="I9" s="38"/>
      <c r="J9" s="39"/>
      <c r="L9" s="40" t="s">
        <v>28</v>
      </c>
      <c r="M9" s="40" t="s">
        <v>29</v>
      </c>
    </row>
    <row r="10" spans="2:13" ht="19.149999999999999" customHeight="1" x14ac:dyDescent="0.25">
      <c r="B10" s="41" t="s">
        <v>36</v>
      </c>
      <c r="C10" s="123">
        <v>271.69728006216997</v>
      </c>
      <c r="D10" s="124">
        <f>C10*(ORÇAMENTO_EXECUTIVO!$B$28/CÁLCULO_MÉDIAS!D$4)</f>
        <v>403.89354264001571</v>
      </c>
      <c r="E10" s="125"/>
      <c r="F10" s="124">
        <f>E10*(ORÇAMENTO_EXECUTIVO!$B$28/CÁLCULO_MÉDIAS!F$4)</f>
        <v>0</v>
      </c>
      <c r="G10" s="126"/>
      <c r="H10" s="127">
        <f>G10*(ORÇAMENTO_EXECUTIVO!$B$28/CÁLCULO_MÉDIAS!H$4)</f>
        <v>0</v>
      </c>
      <c r="I10" s="123"/>
      <c r="J10" s="127">
        <f>I10*(ORÇAMENTO_EXECUTIVO!$B$28/CÁLCULO_MÉDIAS!J$4)</f>
        <v>0</v>
      </c>
      <c r="L10" s="60">
        <v>390</v>
      </c>
      <c r="M10" s="60">
        <v>490</v>
      </c>
    </row>
    <row r="11" spans="2:13" ht="19.149999999999999" customHeight="1" x14ac:dyDescent="0.25">
      <c r="B11" s="42" t="s">
        <v>3</v>
      </c>
      <c r="C11" s="123">
        <v>14.076688532833534</v>
      </c>
      <c r="D11" s="124">
        <f>C11*(ORÇAMENTO_EXECUTIVO!$B$28/CÁLCULO_MÉDIAS!D$4)</f>
        <v>20.925802418284295</v>
      </c>
      <c r="E11" s="125">
        <v>161.20797062023939</v>
      </c>
      <c r="F11" s="124">
        <f>E11*(ORÇAMENTO_EXECUTIVO!$B$28/CÁLCULO_MÉDIAS!F$4)</f>
        <v>239.64486630384133</v>
      </c>
      <c r="G11" s="126"/>
      <c r="H11" s="127">
        <f>G11*(ORÇAMENTO_EXECUTIVO!$B$28/CÁLCULO_MÉDIAS!H$4)</f>
        <v>0</v>
      </c>
      <c r="I11" s="123">
        <v>15.200776866321302</v>
      </c>
      <c r="J11" s="127">
        <f>I11*(ORÇAMENTO_EXECUTIVO!$B$28/CÁLCULO_MÉDIAS!J$4)</f>
        <v>16.008394402479034</v>
      </c>
      <c r="L11" s="61">
        <v>60</v>
      </c>
      <c r="M11" s="61">
        <v>120</v>
      </c>
    </row>
    <row r="12" spans="2:13" ht="19.149999999999999" customHeight="1" x14ac:dyDescent="0.25">
      <c r="B12" s="43" t="s">
        <v>33</v>
      </c>
      <c r="C12" s="123"/>
      <c r="D12" s="124">
        <f>C12*(ORÇAMENTO_EXECUTIVO!$B$28/CÁLCULO_MÉDIAS!D$4)</f>
        <v>0</v>
      </c>
      <c r="E12" s="125"/>
      <c r="F12" s="124">
        <f>E12*(ORÇAMENTO_EXECUTIVO!$B$28/CÁLCULO_MÉDIAS!F$4)</f>
        <v>0</v>
      </c>
      <c r="G12" s="126">
        <v>38.54</v>
      </c>
      <c r="H12" s="127">
        <f>G12*(ORÇAMENTO_EXECUTIVO!$B$28/CÁLCULO_MÉDIAS!H$4)</f>
        <v>51.406805754622326</v>
      </c>
      <c r="I12" s="123">
        <v>337.33111675048343</v>
      </c>
      <c r="J12" s="127">
        <f>I12*(ORÇAMENTO_EXECUTIVO!$B$28/CÁLCULO_MÉDIAS!J$4)</f>
        <v>355.25352478102064</v>
      </c>
      <c r="L12" s="133">
        <v>60</v>
      </c>
      <c r="M12" s="133">
        <v>95</v>
      </c>
    </row>
    <row r="13" spans="2:13" ht="19.149999999999999" customHeight="1" x14ac:dyDescent="0.25">
      <c r="B13" s="42" t="s">
        <v>4</v>
      </c>
      <c r="C13" s="123">
        <v>249.12200635414044</v>
      </c>
      <c r="D13" s="124">
        <f>C13*(ORÇAMENTO_EXECUTIVO!$B$28/CÁLCULO_MÉDIAS!D$4)</f>
        <v>370.33410740416184</v>
      </c>
      <c r="E13" s="125">
        <v>695.62595212187159</v>
      </c>
      <c r="F13" s="124">
        <f>E13*(ORÇAMENTO_EXECUTIVO!$B$28/CÁLCULO_MÉDIAS!F$4)</f>
        <v>1034.0877541745999</v>
      </c>
      <c r="G13" s="126">
        <v>359.24233286282566</v>
      </c>
      <c r="H13" s="127">
        <f>G13*(ORÇAMENTO_EXECUTIVO!$B$28/CÁLCULO_MÉDIAS!H$4)</f>
        <v>479.17749933359255</v>
      </c>
      <c r="I13" s="123">
        <v>84.645007613252488</v>
      </c>
      <c r="J13" s="127">
        <f>I13*(ORÇAMENTO_EXECUTIVO!$B$28/CÁLCULO_MÉDIAS!J$4)</f>
        <v>89.142198322506758</v>
      </c>
      <c r="L13" s="60">
        <v>320</v>
      </c>
      <c r="M13" s="60">
        <v>430</v>
      </c>
    </row>
    <row r="14" spans="2:13" ht="19.149999999999999" customHeight="1" x14ac:dyDescent="0.25">
      <c r="B14" s="43" t="s">
        <v>5</v>
      </c>
      <c r="C14" s="123">
        <v>519.09833146670928</v>
      </c>
      <c r="D14" s="124">
        <f>C14*(ORÇAMENTO_EXECUTIVO!$B$28/CÁLCULO_MÉDIAS!D$4)</f>
        <v>771.66935210626946</v>
      </c>
      <c r="E14" s="125">
        <v>491.95688248095757</v>
      </c>
      <c r="F14" s="124">
        <f>E14*(ORÇAMENTO_EXECUTIVO!$B$28/CÁLCULO_MÉDIAS!F$4)</f>
        <v>731.32203622320242</v>
      </c>
      <c r="G14" s="126">
        <v>750.06730399076105</v>
      </c>
      <c r="H14" s="127">
        <f>G14*(ORÇAMENTO_EXECUTIVO!$B$28/CÁLCULO_MÉDIAS!H$4)</f>
        <v>1000.481686537268</v>
      </c>
      <c r="I14" s="123">
        <v>572.66656400606723</v>
      </c>
      <c r="J14" s="127">
        <f>I14*(ORÇAMENTO_EXECUTIVO!$B$28/CÁLCULO_MÉDIAS!J$4)</f>
        <v>603.09234839391615</v>
      </c>
      <c r="L14" s="60">
        <v>600</v>
      </c>
      <c r="M14" s="60">
        <v>730</v>
      </c>
    </row>
    <row r="15" spans="2:13" ht="19.149999999999999" customHeight="1" x14ac:dyDescent="0.25">
      <c r="B15" s="42" t="s">
        <v>6</v>
      </c>
      <c r="C15" s="123">
        <v>129.65028685058627</v>
      </c>
      <c r="D15" s="124">
        <f>C15*(ORÇAMENTO_EXECUTIVO!$B$28/CÁLCULO_MÉDIAS!D$4)</f>
        <v>192.73256489132081</v>
      </c>
      <c r="E15" s="125">
        <v>229.35106093579978</v>
      </c>
      <c r="F15" s="124">
        <f>E15*(ORÇAMENTO_EXECUTIVO!$B$28/CÁLCULO_MÉDIAS!F$4)</f>
        <v>340.94346652425025</v>
      </c>
      <c r="G15" s="126">
        <v>130.1323196030626</v>
      </c>
      <c r="H15" s="127">
        <f>G15*(ORÇAMENTO_EXECUTIVO!$B$28/CÁLCULO_MÉDIAS!H$4)</f>
        <v>173.57776015135107</v>
      </c>
      <c r="I15" s="123">
        <v>45.32006225892809</v>
      </c>
      <c r="J15" s="127">
        <f>I15*(ORÇAMENTO_EXECUTIVO!$B$28/CÁLCULO_MÉDIAS!J$4)</f>
        <v>47.727917945643938</v>
      </c>
      <c r="L15" s="60">
        <v>150</v>
      </c>
      <c r="M15" s="60">
        <v>180</v>
      </c>
    </row>
    <row r="16" spans="2:13" ht="19.149999999999999" customHeight="1" x14ac:dyDescent="0.25">
      <c r="B16" s="43" t="s">
        <v>37</v>
      </c>
      <c r="C16" s="123">
        <v>273.78972594912119</v>
      </c>
      <c r="D16" s="124">
        <f>C16*(ORÇAMENTO_EXECUTIVO!$B$28/CÁLCULO_MÉDIAS!D$4)</f>
        <v>407.00408309838866</v>
      </c>
      <c r="E16" s="125">
        <v>602.88152883569103</v>
      </c>
      <c r="F16" s="124">
        <f>E16*(ORÇAMENTO_EXECUTIVO!$B$28/CÁLCULO_MÉDIAS!F$4)</f>
        <v>896.21786577310672</v>
      </c>
      <c r="G16" s="126">
        <v>179.65306471619832</v>
      </c>
      <c r="H16" s="127">
        <f>G16*(ORÇAMENTO_EXECUTIVO!$B$28/CÁLCULO_MÉDIAS!H$4)</f>
        <v>239.63129738163471</v>
      </c>
      <c r="I16" s="123">
        <v>754.83335448542812</v>
      </c>
      <c r="J16" s="127">
        <f>I16*(ORÇAMENTO_EXECUTIVO!$B$28/CÁLCULO_MÉDIAS!J$4)</f>
        <v>794.93766358227811</v>
      </c>
      <c r="L16" s="60">
        <v>310</v>
      </c>
      <c r="M16" s="60">
        <v>480</v>
      </c>
    </row>
    <row r="17" spans="2:14" ht="19.149999999999999" customHeight="1" x14ac:dyDescent="0.25">
      <c r="B17" s="42" t="s">
        <v>38</v>
      </c>
      <c r="C17" s="123">
        <v>83.157104980457589</v>
      </c>
      <c r="D17" s="124">
        <f>C17*(ORÇAMENTO_EXECUTIVO!$B$28/CÁLCULO_MÉDIAS!D$4)</f>
        <v>123.61779153092513</v>
      </c>
      <c r="E17" s="125">
        <v>84.826441784548422</v>
      </c>
      <c r="F17" s="124">
        <f>E17*(ORÇAMENTO_EXECUTIVO!$B$28/CÁLCULO_MÉDIAS!F$4)</f>
        <v>126.0993561439729</v>
      </c>
      <c r="G17" s="126">
        <v>19.748492236622614</v>
      </c>
      <c r="H17" s="127">
        <f>G17*(ORÇAMENTO_EXECUTIVO!$B$28/CÁLCULO_MÉDIAS!H$4)</f>
        <v>26.341642562395585</v>
      </c>
      <c r="I17" s="128">
        <v>117.67055469839998</v>
      </c>
      <c r="J17" s="127">
        <f>I17*(ORÇAMENTO_EXECUTIVO!$B$28/CÁLCULO_MÉDIAS!J$4)</f>
        <v>123.9223932918859</v>
      </c>
      <c r="L17" s="60">
        <v>90</v>
      </c>
      <c r="M17" s="60">
        <v>140</v>
      </c>
    </row>
    <row r="18" spans="2:14" ht="19.149999999999999" customHeight="1" x14ac:dyDescent="0.25">
      <c r="B18" s="43" t="s">
        <v>8</v>
      </c>
      <c r="C18" s="123">
        <v>18.430102169093274</v>
      </c>
      <c r="D18" s="124">
        <f>C18*(ORÇAMENTO_EXECUTIVO!$B$28/CÁLCULO_MÉDIAS!D$4)</f>
        <v>27.397400719614215</v>
      </c>
      <c r="E18" s="125">
        <v>297.24469532100113</v>
      </c>
      <c r="F18" s="124">
        <f>E18*(ORÇAMENTO_EXECUTIVO!$B$28/CÁLCULO_MÉDIAS!F$4)</f>
        <v>441.8712362401277</v>
      </c>
      <c r="G18" s="126">
        <v>112.41595021172849</v>
      </c>
      <c r="H18" s="127">
        <f>G18*(ORÇAMENTO_EXECUTIVO!$B$28/CÁLCULO_MÉDIAS!H$4)</f>
        <v>149.94667660237729</v>
      </c>
      <c r="I18" s="128">
        <v>84.431539687654222</v>
      </c>
      <c r="J18" s="127">
        <f>I18*(ORÇAMENTO_EXECUTIVO!$B$28/CÁLCULO_MÉDIAS!J$4)</f>
        <v>88.917388842352665</v>
      </c>
      <c r="L18" s="60">
        <v>60</v>
      </c>
      <c r="M18" s="60">
        <v>140</v>
      </c>
    </row>
    <row r="19" spans="2:14" ht="19.149999999999999" customHeight="1" x14ac:dyDescent="0.25">
      <c r="B19" s="42" t="s">
        <v>18</v>
      </c>
      <c r="C19" s="123">
        <v>146.63291124774321</v>
      </c>
      <c r="D19" s="124">
        <f>C19*(ORÇAMENTO_EXECUTIVO!$B$28/CÁLCULO_MÉDIAS!D$4)</f>
        <v>217.97820713522901</v>
      </c>
      <c r="E19" s="125">
        <v>218.27761153427642</v>
      </c>
      <c r="F19" s="124">
        <f>E19*(ORÇAMENTO_EXECUTIVO!$B$28/CÁLCULO_MÉDIAS!F$4)</f>
        <v>324.48215080182996</v>
      </c>
      <c r="G19" s="126">
        <v>166.05400145429661</v>
      </c>
      <c r="H19" s="127">
        <f>G19*(ORÇAMENTO_EXECUTIVO!$B$28/CÁLCULO_MÉDIAS!H$4)</f>
        <v>221.49210683805916</v>
      </c>
      <c r="I19" s="128">
        <v>167.09024908107321</v>
      </c>
      <c r="J19" s="127">
        <f>I19*(ORÇAMENTO_EXECUTIVO!$B$28/CÁLCULO_MÉDIAS!J$4)</f>
        <v>175.96775688646841</v>
      </c>
      <c r="L19" s="60">
        <v>150</v>
      </c>
      <c r="M19" s="60">
        <v>210</v>
      </c>
      <c r="N19" s="135"/>
    </row>
    <row r="20" spans="2:14" ht="19.149999999999999" customHeight="1" x14ac:dyDescent="0.25">
      <c r="B20" s="43" t="s">
        <v>19</v>
      </c>
      <c r="C20" s="123">
        <v>8.9166876185687176</v>
      </c>
      <c r="D20" s="124">
        <f>C20*(ORÇAMENTO_EXECUTIVO!$B$28/CÁLCULO_MÉDIAS!D$4)</f>
        <v>13.255166007013434</v>
      </c>
      <c r="E20" s="125">
        <v>46.011017410228511</v>
      </c>
      <c r="F20" s="124">
        <f>E20*(ORÇAMENTO_EXECUTIVO!$B$28/CÁLCULO_MÉDIAS!F$4)</f>
        <v>68.398008320275906</v>
      </c>
      <c r="G20" s="126">
        <v>113.15582360237822</v>
      </c>
      <c r="H20" s="127">
        <f>G20*(ORÇAMENTO_EXECUTIVO!$B$28/CÁLCULO_MÉDIAS!H$4)</f>
        <v>150.93356107762756</v>
      </c>
      <c r="I20" s="128">
        <v>71.576538474064449</v>
      </c>
      <c r="J20" s="127">
        <f>I20*(ORÇAMENTO_EXECUTIVO!$B$28/CÁLCULO_MÉDIAS!J$4)</f>
        <v>75.379401193350759</v>
      </c>
      <c r="L20" s="60">
        <v>70</v>
      </c>
      <c r="M20" s="60">
        <v>150</v>
      </c>
    </row>
    <row r="21" spans="2:14" ht="19.149999999999999" customHeight="1" x14ac:dyDescent="0.25">
      <c r="B21" s="42" t="s">
        <v>9</v>
      </c>
      <c r="C21" s="123">
        <v>244.54995314392812</v>
      </c>
      <c r="D21" s="124">
        <f>C21*(ORÇAMENTO_EXECUTIVO!$B$28/CÁLCULO_MÉDIAS!D$4)</f>
        <v>363.537488874198</v>
      </c>
      <c r="E21" s="125">
        <v>489.34861262241571</v>
      </c>
      <c r="F21" s="124">
        <f>E21*(ORÇAMENTO_EXECUTIVO!$B$28/CÁLCULO_MÉDIAS!F$4)</f>
        <v>727.44469393590907</v>
      </c>
      <c r="G21" s="126">
        <v>177.29618461012024</v>
      </c>
      <c r="H21" s="127">
        <f>G21*(ORÇAMENTO_EXECUTIVO!$B$28/CÁLCULO_MÉDIAS!H$4)</f>
        <v>236.48755898516117</v>
      </c>
      <c r="I21" s="128">
        <v>262.22615960205513</v>
      </c>
      <c r="J21" s="127">
        <f>I21*(ORÇAMENTO_EXECUTIVO!$B$28/CÁLCULO_MÉDIAS!J$4)</f>
        <v>276.15823996849548</v>
      </c>
      <c r="L21" s="60">
        <v>230</v>
      </c>
      <c r="M21" s="60">
        <v>350</v>
      </c>
    </row>
    <row r="22" spans="2:14" ht="19.149999999999999" customHeight="1" x14ac:dyDescent="0.25">
      <c r="B22" s="43" t="s">
        <v>10</v>
      </c>
      <c r="C22" s="123">
        <v>93.70143082443829</v>
      </c>
      <c r="D22" s="124">
        <f>C22*(ORÇAMENTO_EXECUTIVO!$B$28/CÁLCULO_MÉDIAS!D$4)</f>
        <v>139.29253482942832</v>
      </c>
      <c r="E22" s="125">
        <v>233.4674918389554</v>
      </c>
      <c r="F22" s="124">
        <f>E22*(ORÇAMENTO_EXECUTIVO!$B$28/CÁLCULO_MÉDIAS!F$4)</f>
        <v>347.06277644199372</v>
      </c>
      <c r="G22" s="126">
        <v>81.160378972582251</v>
      </c>
      <c r="H22" s="127">
        <f>G22*(ORÇAMENTO_EXECUTIVO!$B$28/CÁLCULO_MÉDIAS!H$4)</f>
        <v>108.25624900921304</v>
      </c>
      <c r="I22" s="123">
        <v>134.27641006858394</v>
      </c>
      <c r="J22" s="127">
        <f>I22*(ORÇAMENTO_EXECUTIVO!$B$28/CÁLCULO_MÉDIAS!J$4)</f>
        <v>141.41051804328637</v>
      </c>
      <c r="L22" s="60">
        <v>130</v>
      </c>
      <c r="M22" s="60">
        <v>250</v>
      </c>
    </row>
    <row r="23" spans="2:14" ht="19.149999999999999" customHeight="1" x14ac:dyDescent="0.25">
      <c r="B23" s="42" t="s">
        <v>11</v>
      </c>
      <c r="C23" s="123">
        <v>281.20219652122233</v>
      </c>
      <c r="D23" s="124">
        <f>C23*(ORÇAMENTO_EXECUTIVO!$B$28/CÁLCULO_MÉDIAS!D$4)</f>
        <v>418.02314445371667</v>
      </c>
      <c r="E23" s="125">
        <v>570.96857997823724</v>
      </c>
      <c r="F23" s="124">
        <f>E23*(ORÇAMENTO_EXECUTIVO!$B$28/CÁLCULO_MÉDIAS!F$4)</f>
        <v>848.77744249328123</v>
      </c>
      <c r="G23" s="126">
        <v>342.68259976902351</v>
      </c>
      <c r="H23" s="127">
        <f>G23*(ORÇAMENTO_EXECUTIVO!$B$28/CÁLCULO_MÉDIAS!H$4)</f>
        <v>457.08920191528745</v>
      </c>
      <c r="I23" s="123">
        <v>439.71858348750027</v>
      </c>
      <c r="J23" s="127">
        <f>I23*(ORÇAMENTO_EXECUTIVO!$B$28/CÁLCULO_MÉDIAS!J$4)</f>
        <v>463.08083938547037</v>
      </c>
      <c r="L23" s="60">
        <v>390</v>
      </c>
      <c r="M23" s="60">
        <v>550</v>
      </c>
    </row>
    <row r="24" spans="2:14" ht="19.149999999999999" customHeight="1" x14ac:dyDescent="0.25">
      <c r="B24" s="43" t="s">
        <v>20</v>
      </c>
      <c r="C24" s="123">
        <v>61.471260085483749</v>
      </c>
      <c r="D24" s="124">
        <f>C24*(ORÇAMENTO_EXECUTIVO!$B$28/CÁLCULO_MÉDIAS!D$4)</f>
        <v>91.380543083797903</v>
      </c>
      <c r="E24" s="125">
        <v>247.13495116898494</v>
      </c>
      <c r="F24" s="124">
        <f>E24*(ORÇAMENTO_EXECUTIVO!$B$28/CÁLCULO_MÉDIAS!F$4)</f>
        <v>367.3802362503173</v>
      </c>
      <c r="G24" s="126">
        <v>134.78587621369607</v>
      </c>
      <c r="H24" s="127">
        <f>G24*(ORÇAMENTO_EXECUTIVO!$B$28/CÁLCULO_MÉDIAS!H$4)</f>
        <v>179.78493401619212</v>
      </c>
      <c r="I24" s="129">
        <v>199.70235642109742</v>
      </c>
      <c r="J24" s="127">
        <f>I24*(ORÇAMENTO_EXECUTIVO!$B$28/CÁLCULO_MÉDIAS!J$4)</f>
        <v>210.31254604996022</v>
      </c>
      <c r="L24" s="60">
        <v>170</v>
      </c>
      <c r="M24" s="60">
        <v>340</v>
      </c>
    </row>
    <row r="25" spans="2:14" ht="19.149999999999999" customHeight="1" x14ac:dyDescent="0.25">
      <c r="B25" s="42" t="s">
        <v>12</v>
      </c>
      <c r="C25" s="123">
        <v>117.33029645036684</v>
      </c>
      <c r="D25" s="124">
        <f>C25*(ORÇAMENTO_EXECUTIVO!$B$28/CÁLCULO_MÉDIAS!D$4)</f>
        <v>174.41819469631184</v>
      </c>
      <c r="E25" s="125">
        <v>278.75244831338415</v>
      </c>
      <c r="F25" s="124">
        <f>E25*(ORÇAMENTO_EXECUTIVO!$B$28/CÁLCULO_MÉDIAS!F$4)</f>
        <v>414.38145366456564</v>
      </c>
      <c r="G25" s="126">
        <v>111.51439325890759</v>
      </c>
      <c r="H25" s="127">
        <f>G25*(ORÇAMENTO_EXECUTIVO!$B$28/CÁLCULO_MÉDIAS!H$4)</f>
        <v>148.74412955644078</v>
      </c>
      <c r="I25" s="129">
        <v>261.27205728988832</v>
      </c>
      <c r="J25" s="127">
        <f>I25*(ORÇAMENTO_EXECUTIVO!$B$28/CÁLCULO_MÉDIAS!J$4)</f>
        <v>275.15344618408545</v>
      </c>
      <c r="L25" s="60">
        <v>280</v>
      </c>
      <c r="M25" s="60">
        <v>390</v>
      </c>
    </row>
    <row r="26" spans="2:14" ht="19.149999999999999" customHeight="1" thickBot="1" x14ac:dyDescent="0.3">
      <c r="B26" s="44" t="s">
        <v>13</v>
      </c>
      <c r="C26" s="123">
        <v>88.23</v>
      </c>
      <c r="D26" s="124">
        <f>C26*(ORÇAMENTO_EXECUTIVO!$B$28/CÁLCULO_MÉDIAS!D$4)</f>
        <v>131.15894004891931</v>
      </c>
      <c r="E26" s="125"/>
      <c r="F26" s="124">
        <f>E26*(ORÇAMENTO_EXECUTIVO!$B$28/CÁLCULO_MÉDIAS!F$4)</f>
        <v>0</v>
      </c>
      <c r="G26" s="126"/>
      <c r="H26" s="127">
        <f>G26*(ORÇAMENTO_EXECUTIVO!$B$28/CÁLCULO_MÉDIAS!H$4)</f>
        <v>0</v>
      </c>
      <c r="I26" s="129">
        <v>52.679982900070328</v>
      </c>
      <c r="J26" s="127">
        <f>I26*(ORÇAMENTO_EXECUTIVO!$B$28/CÁLCULO_MÉDIAS!J$4)</f>
        <v>55.478871296942273</v>
      </c>
      <c r="L26" s="60">
        <v>50</v>
      </c>
      <c r="M26" s="60">
        <v>125</v>
      </c>
    </row>
    <row r="27" spans="2:14" ht="19.149999999999999" customHeight="1" thickBot="1" x14ac:dyDescent="0.3">
      <c r="B27" s="45" t="s">
        <v>14</v>
      </c>
      <c r="C27" s="56"/>
      <c r="D27" s="58">
        <f t="shared" ref="D27:H27" si="0">SUM(D10:D26)</f>
        <v>3866.6188639375951</v>
      </c>
      <c r="E27" s="57"/>
      <c r="F27" s="58">
        <f t="shared" si="0"/>
        <v>6908.1133432912738</v>
      </c>
      <c r="G27" s="57"/>
      <c r="H27" s="58">
        <f t="shared" si="0"/>
        <v>3623.3511097212231</v>
      </c>
      <c r="I27" s="57">
        <f>SUM(I10:I26)</f>
        <v>3600.6413136908682</v>
      </c>
      <c r="J27" s="59">
        <f>SUM(J10:J26)</f>
        <v>3791.9434485701422</v>
      </c>
      <c r="L27" s="62">
        <f>SUM(L11:L26)</f>
        <v>3120</v>
      </c>
      <c r="M27" s="62">
        <f>SUM(M11:M26)</f>
        <v>4680</v>
      </c>
    </row>
    <row r="29" spans="2:14" x14ac:dyDescent="0.25">
      <c r="B29" s="46"/>
      <c r="C29" s="47"/>
      <c r="E29" s="46"/>
      <c r="F29" s="47"/>
      <c r="I29" s="46"/>
      <c r="J29" s="47"/>
      <c r="L29" s="130"/>
    </row>
    <row r="30" spans="2:14" x14ac:dyDescent="0.25">
      <c r="C30" s="32"/>
      <c r="D30" s="32"/>
      <c r="E30" s="32"/>
      <c r="F30" s="48"/>
      <c r="G30" s="32"/>
      <c r="H30" s="32"/>
      <c r="I30" s="32"/>
      <c r="J30" s="48"/>
    </row>
    <row r="31" spans="2:14" x14ac:dyDescent="0.25">
      <c r="C31" s="32"/>
      <c r="D31" s="32"/>
      <c r="E31" s="32"/>
      <c r="F31" s="32"/>
      <c r="G31" s="32"/>
      <c r="H31" s="32"/>
      <c r="I31" s="32"/>
      <c r="J31" s="32"/>
    </row>
    <row r="32" spans="2:14" x14ac:dyDescent="0.25">
      <c r="D32" s="32"/>
      <c r="F32" s="32"/>
      <c r="H32" s="32"/>
      <c r="J32" s="32"/>
    </row>
    <row r="34" spans="3:10" x14ac:dyDescent="0.25">
      <c r="C34" s="49"/>
      <c r="E34" s="49"/>
      <c r="G34" s="49"/>
      <c r="I34" s="49"/>
    </row>
    <row r="35" spans="3:10" x14ac:dyDescent="0.25">
      <c r="D35" s="49"/>
      <c r="F35" s="49"/>
      <c r="H35" s="49"/>
      <c r="J35" s="49"/>
    </row>
  </sheetData>
  <mergeCells count="5">
    <mergeCell ref="C8:D8"/>
    <mergeCell ref="E8:F8"/>
    <mergeCell ref="G8:H8"/>
    <mergeCell ref="I8:J8"/>
    <mergeCell ref="L8:M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0542-536F-4A2B-95E7-301528C2E134}">
  <dimension ref="B1:M29"/>
  <sheetViews>
    <sheetView showGridLines="0" topLeftCell="A6" zoomScale="70" zoomScaleNormal="70" workbookViewId="0">
      <selection activeCell="L23" sqref="L23:M23"/>
    </sheetView>
  </sheetViews>
  <sheetFormatPr defaultRowHeight="15" x14ac:dyDescent="0.25"/>
  <cols>
    <col min="1" max="1" width="9.140625" style="156"/>
    <col min="2" max="2" width="62.140625" style="156" customWidth="1"/>
    <col min="3" max="3" width="17.85546875" style="156" bestFit="1" customWidth="1"/>
    <col min="4" max="4" width="18.28515625" style="156" bestFit="1" customWidth="1"/>
    <col min="5" max="7" width="17.85546875" style="156" bestFit="1" customWidth="1"/>
    <col min="8" max="8" width="18.28515625" style="156" bestFit="1" customWidth="1"/>
    <col min="9" max="10" width="18.28515625" style="156" customWidth="1"/>
    <col min="11" max="11" width="9.140625" style="156"/>
    <col min="12" max="13" width="14" style="157" customWidth="1"/>
    <col min="14" max="16384" width="9.140625" style="156"/>
  </cols>
  <sheetData>
    <row r="1" spans="2:13" ht="13.9" customHeight="1" x14ac:dyDescent="0.25"/>
    <row r="2" spans="2:13" ht="13.9" customHeight="1" thickBot="1" x14ac:dyDescent="0.3">
      <c r="F2" s="158" t="s">
        <v>154</v>
      </c>
      <c r="H2" s="156" t="s">
        <v>39</v>
      </c>
    </row>
    <row r="3" spans="2:13" ht="13.9" customHeight="1" x14ac:dyDescent="0.25">
      <c r="C3" s="159" t="s">
        <v>22</v>
      </c>
      <c r="D3" s="160">
        <v>44531</v>
      </c>
      <c r="E3" s="159" t="s">
        <v>22</v>
      </c>
      <c r="F3" s="160">
        <v>45689</v>
      </c>
      <c r="G3" s="159" t="s">
        <v>22</v>
      </c>
      <c r="H3" s="160">
        <v>44317</v>
      </c>
      <c r="I3" s="159" t="s">
        <v>22</v>
      </c>
      <c r="J3" s="160">
        <v>44896</v>
      </c>
    </row>
    <row r="4" spans="2:13" ht="13.9" customHeight="1" thickBot="1" x14ac:dyDescent="0.3">
      <c r="C4" s="161" t="s">
        <v>24</v>
      </c>
      <c r="D4" s="162">
        <v>2003.3</v>
      </c>
      <c r="E4" s="161" t="s">
        <v>24</v>
      </c>
      <c r="F4" s="162">
        <v>2827.78</v>
      </c>
      <c r="G4" s="161" t="s">
        <v>24</v>
      </c>
      <c r="H4" s="162">
        <v>2307.92</v>
      </c>
      <c r="I4" s="161" t="s">
        <v>24</v>
      </c>
      <c r="J4" s="162">
        <v>2623.42</v>
      </c>
    </row>
    <row r="5" spans="2:13" ht="13.9" customHeight="1" thickBot="1" x14ac:dyDescent="0.3"/>
    <row r="6" spans="2:13" ht="23.45" customHeight="1" thickBot="1" x14ac:dyDescent="0.3">
      <c r="C6" s="163" t="s">
        <v>155</v>
      </c>
      <c r="D6" s="164"/>
      <c r="E6" s="165" t="s">
        <v>156</v>
      </c>
      <c r="F6" s="164"/>
      <c r="G6" s="165" t="s">
        <v>157</v>
      </c>
      <c r="H6" s="166"/>
      <c r="I6" s="165" t="s">
        <v>158</v>
      </c>
      <c r="J6" s="166"/>
    </row>
    <row r="7" spans="2:13" ht="19.149999999999999" customHeight="1" thickBot="1" x14ac:dyDescent="0.3">
      <c r="C7" s="167" t="s">
        <v>69</v>
      </c>
      <c r="D7" s="168"/>
      <c r="E7" s="167" t="s">
        <v>159</v>
      </c>
      <c r="F7" s="169"/>
      <c r="G7" s="167" t="s">
        <v>160</v>
      </c>
      <c r="H7" s="168"/>
      <c r="I7" s="167" t="s">
        <v>161</v>
      </c>
      <c r="J7" s="168"/>
      <c r="L7" s="170" t="s">
        <v>27</v>
      </c>
      <c r="M7" s="170"/>
    </row>
    <row r="8" spans="2:13" ht="19.149999999999999" customHeight="1" thickBot="1" x14ac:dyDescent="0.3">
      <c r="C8" s="171" t="s">
        <v>25</v>
      </c>
      <c r="D8" s="172" t="s">
        <v>26</v>
      </c>
      <c r="E8" s="172" t="s">
        <v>25</v>
      </c>
      <c r="F8" s="172" t="s">
        <v>26</v>
      </c>
      <c r="G8" s="171" t="s">
        <v>25</v>
      </c>
      <c r="H8" s="173" t="s">
        <v>26</v>
      </c>
      <c r="I8" s="171" t="s">
        <v>25</v>
      </c>
      <c r="J8" s="173" t="s">
        <v>26</v>
      </c>
      <c r="L8" s="174" t="s">
        <v>28</v>
      </c>
      <c r="M8" s="174" t="s">
        <v>29</v>
      </c>
    </row>
    <row r="9" spans="2:13" ht="19.149999999999999" customHeight="1" x14ac:dyDescent="0.25">
      <c r="B9" s="175" t="s">
        <v>162</v>
      </c>
      <c r="C9" s="176"/>
      <c r="D9" s="177">
        <f>[3]ORÇAMENTO_EXECUTIVO!$B$18/'CÁLCULO_MÉDIAS (2)'!D$4*C9</f>
        <v>0</v>
      </c>
      <c r="E9" s="176"/>
      <c r="F9" s="177">
        <f>[3]ORÇAMENTO_EXECUTIVO!$B$18/'CÁLCULO_MÉDIAS (2)'!F$4*E9</f>
        <v>0</v>
      </c>
      <c r="G9" s="176">
        <v>420.03</v>
      </c>
      <c r="H9" s="178">
        <f>[3]ORÇAMENTO_EXECUTIVO!$B$18/'CÁLCULO_MÉDIAS (2)'!H$4*G9</f>
        <v>369.81392769246764</v>
      </c>
      <c r="I9" s="176"/>
      <c r="J9" s="178">
        <f>[3]ORÇAMENTO_EXECUTIVO!$B$18/'CÁLCULO_MÉDIAS (2)'!J$4*I9</f>
        <v>0</v>
      </c>
      <c r="L9" s="179"/>
      <c r="M9" s="179"/>
    </row>
    <row r="10" spans="2:13" ht="19.149999999999999" customHeight="1" x14ac:dyDescent="0.25">
      <c r="B10" s="180" t="s">
        <v>17</v>
      </c>
      <c r="C10" s="181">
        <v>271.69728006216997</v>
      </c>
      <c r="D10" s="182">
        <f>[3]ORÇAMENTO_EXECUTIVO!$B$18/'CÁLCULO_MÉDIAS (2)'!D$4*C10</f>
        <v>275.58971351586348</v>
      </c>
      <c r="E10" s="181">
        <v>630.05606007086249</v>
      </c>
      <c r="F10" s="182">
        <f>[3]ORÇAMENTO_EXECUTIVO!$B$18/'CÁLCULO_MÉDIAS (2)'!F$4*E10</f>
        <v>452.74876902163265</v>
      </c>
      <c r="G10" s="181">
        <v>192.6</v>
      </c>
      <c r="H10" s="183">
        <f>[3]ORÇAMENTO_EXECUTIVO!$B$18/'CÁLCULO_MÉDIAS (2)'!H$4*G10</f>
        <v>169.57398869978161</v>
      </c>
      <c r="I10" s="181">
        <v>119.82057854060164</v>
      </c>
      <c r="J10" s="183">
        <f>[3]ORÇAMENTO_EXECUTIVO!$B$18/'CÁLCULO_MÉDIAS (2)'!J$4*I10</f>
        <v>92.808401092658642</v>
      </c>
      <c r="L10" s="179">
        <v>350</v>
      </c>
      <c r="M10" s="179">
        <v>450</v>
      </c>
    </row>
    <row r="11" spans="2:13" ht="19.149999999999999" customHeight="1" x14ac:dyDescent="0.25">
      <c r="B11" s="184" t="s">
        <v>3</v>
      </c>
      <c r="C11" s="181">
        <v>14.076688532833534</v>
      </c>
      <c r="D11" s="182">
        <f>[3]ORÇAMENTO_EXECUTIVO!$B$18/'CÁLCULO_MÉDIAS (2)'!D$4*C11</f>
        <v>14.278356261527351</v>
      </c>
      <c r="E11" s="181">
        <v>15.200776866321302</v>
      </c>
      <c r="F11" s="182">
        <f>[3]ORÇAMENTO_EXECUTIVO!$B$18/'CÁLCULO_MÉDIAS (2)'!F$4*E11</f>
        <v>10.923048678597658</v>
      </c>
      <c r="G11" s="181"/>
      <c r="H11" s="183">
        <f>[3]ORÇAMENTO_EXECUTIVO!$B$18/'CÁLCULO_MÉDIAS (2)'!H$4*G11</f>
        <v>0</v>
      </c>
      <c r="I11" s="181">
        <v>24.145802424000482</v>
      </c>
      <c r="J11" s="183">
        <f>[3]ORÇAMENTO_EXECUTIVO!$B$18/'CÁLCULO_MÉDIAS (2)'!J$4*I11</f>
        <v>18.702407744687843</v>
      </c>
      <c r="L11" s="179">
        <v>10</v>
      </c>
      <c r="M11" s="179">
        <v>20</v>
      </c>
    </row>
    <row r="12" spans="2:13" ht="19.149999999999999" customHeight="1" x14ac:dyDescent="0.25">
      <c r="B12" s="180" t="s">
        <v>4</v>
      </c>
      <c r="C12" s="181">
        <v>249.12200635414044</v>
      </c>
      <c r="D12" s="182">
        <f>[3]ORÇAMENTO_EXECUTIVO!$B$18/'CÁLCULO_MÉDIAS (2)'!D$4*C12</f>
        <v>252.69101827565186</v>
      </c>
      <c r="E12" s="185">
        <v>421.98</v>
      </c>
      <c r="F12" s="182">
        <f>[3]ORÇAMENTO_EXECUTIVO!$B$18/'CÁLCULO_MÉDIAS (2)'!F$4*E12</f>
        <v>303.2284548302909</v>
      </c>
      <c r="G12" s="181">
        <v>102.03</v>
      </c>
      <c r="H12" s="183">
        <f>[3]ORÇAMENTO_EXECUTIVO!$B$18/'CÁLCULO_MÉDIAS (2)'!H$4*G12</f>
        <v>89.831952580678703</v>
      </c>
      <c r="I12" s="181">
        <v>347.06902690180169</v>
      </c>
      <c r="J12" s="183">
        <f>[3]ORÇAMENTO_EXECUTIVO!$B$18/'CÁLCULO_MÉDIAS (2)'!J$4*I12</f>
        <v>268.82628883840977</v>
      </c>
      <c r="L12" s="179">
        <v>260</v>
      </c>
      <c r="M12" s="179">
        <v>300</v>
      </c>
    </row>
    <row r="13" spans="2:13" ht="19.149999999999999" customHeight="1" x14ac:dyDescent="0.25">
      <c r="B13" s="184" t="s">
        <v>5</v>
      </c>
      <c r="C13" s="181">
        <v>532.8101277685081</v>
      </c>
      <c r="D13" s="182">
        <f>[3]ORÇAMENTO_EXECUTIVO!$B$18/'CÁLCULO_MÉDIAS (2)'!D$4*C13</f>
        <v>540.44335827165594</v>
      </c>
      <c r="E13" s="181">
        <v>572.66656400606723</v>
      </c>
      <c r="F13" s="182">
        <f>[3]ORÇAMENTO_EXECUTIVO!$B$18/'CÁLCULO_MÉDIAS (2)'!F$4*E13</f>
        <v>411.50954390381446</v>
      </c>
      <c r="G13" s="181">
        <v>329.6</v>
      </c>
      <c r="H13" s="183">
        <f>[3]ORÇAMENTO_EXECUTIVO!$B$18/'CÁLCULO_MÉDIAS (2)'!H$4*G13</f>
        <v>290.195154078131</v>
      </c>
      <c r="I13" s="181">
        <v>213.76408632187997</v>
      </c>
      <c r="J13" s="183">
        <f>[3]ORÇAMENTO_EXECUTIVO!$B$18/'CÁLCULO_MÉDIAS (2)'!J$4*I13</f>
        <v>165.5734207279277</v>
      </c>
      <c r="L13" s="179">
        <v>480</v>
      </c>
      <c r="M13" s="179">
        <v>540</v>
      </c>
    </row>
    <row r="14" spans="2:13" ht="19.149999999999999" customHeight="1" x14ac:dyDescent="0.25">
      <c r="B14" s="180" t="s">
        <v>163</v>
      </c>
      <c r="C14" s="181">
        <v>129.65028685058627</v>
      </c>
      <c r="D14" s="182">
        <f>[3]ORÇAMENTO_EXECUTIVO!$B$18/'CÁLCULO_MÉDIAS (2)'!D$4*C14</f>
        <v>131.50770372904273</v>
      </c>
      <c r="E14" s="181">
        <v>45.32006225892809</v>
      </c>
      <c r="F14" s="182">
        <f>[3]ORÇAMENTO_EXECUTIVO!$B$18/'CÁLCULO_MÉDIAS (2)'!F$4*E14</f>
        <v>32.566312269745829</v>
      </c>
      <c r="G14" s="181">
        <v>123.51</v>
      </c>
      <c r="H14" s="183">
        <f>[3]ORÇAMENTO_EXECUTIVO!$B$18/'CÁLCULO_MÉDIAS (2)'!H$4*G14</f>
        <v>108.7439425976637</v>
      </c>
      <c r="I14" s="181">
        <v>276.71491832325574</v>
      </c>
      <c r="J14" s="183">
        <f>[3]ORÇAMENTO_EXECUTIVO!$B$18/'CÁLCULO_MÉDIAS (2)'!J$4*I14</f>
        <v>214.33270846180011</v>
      </c>
      <c r="L14" s="179">
        <v>130</v>
      </c>
      <c r="M14" s="179">
        <v>215</v>
      </c>
    </row>
    <row r="15" spans="2:13" ht="19.149999999999999" customHeight="1" x14ac:dyDescent="0.25">
      <c r="B15" s="184" t="s">
        <v>7</v>
      </c>
      <c r="C15" s="181">
        <v>273.78972594912119</v>
      </c>
      <c r="D15" s="182">
        <f>[3]ORÇAMENTO_EXECUTIVO!$B$18/'CÁLCULO_MÉDIAS (2)'!D$4*C15</f>
        <v>277.71213653901776</v>
      </c>
      <c r="E15" s="181">
        <v>754.83335448542812</v>
      </c>
      <c r="F15" s="182">
        <f>[3]ORÇAMENTO_EXECUTIVO!$B$18/'CÁLCULO_MÉDIAS (2)'!F$4*E15</f>
        <v>542.41184827475615</v>
      </c>
      <c r="G15" s="181">
        <v>222.2</v>
      </c>
      <c r="H15" s="183">
        <f>[3]ORÇAMENTO_EXECUTIVO!$B$18/'CÁLCULO_MÉDIAS (2)'!H$4*G15</f>
        <v>195.63520399320601</v>
      </c>
      <c r="I15" s="181">
        <v>437.77858080850325</v>
      </c>
      <c r="J15" s="183">
        <f>[3]ORÇAMENTO_EXECUTIVO!$B$18/'CÁLCULO_MÉDIAS (2)'!J$4*I15</f>
        <v>339.08641247031682</v>
      </c>
      <c r="L15" s="179">
        <v>340</v>
      </c>
      <c r="M15" s="179">
        <v>540</v>
      </c>
    </row>
    <row r="16" spans="2:13" ht="19.149999999999999" customHeight="1" x14ac:dyDescent="0.25">
      <c r="B16" s="180" t="s">
        <v>21</v>
      </c>
      <c r="C16" s="181">
        <v>83.157104980457589</v>
      </c>
      <c r="D16" s="182">
        <f>[3]ORÇAMENTO_EXECUTIVO!$B$18/'CÁLCULO_MÉDIAS (2)'!D$4*C16</f>
        <v>84.348443727993725</v>
      </c>
      <c r="E16" s="181">
        <v>117.67055469839998</v>
      </c>
      <c r="F16" s="182">
        <f>[3]ORÇAMENTO_EXECUTIVO!$B$18/'CÁLCULO_MÉDIAS (2)'!F$4*E16</f>
        <v>84.556283426273879</v>
      </c>
      <c r="G16" s="181"/>
      <c r="H16" s="183">
        <f>[3]ORÇAMENTO_EXECUTIVO!$B$18/'CÁLCULO_MÉDIAS (2)'!H$4*G16</f>
        <v>0</v>
      </c>
      <c r="I16" s="181">
        <v>61.067748909845172</v>
      </c>
      <c r="J16" s="183">
        <f>[3]ORÇAMENTO_EXECUTIVO!$B$18/'CÁLCULO_MÉDIAS (2)'!J$4*I16</f>
        <v>47.300724163422323</v>
      </c>
      <c r="L16" s="179">
        <v>50</v>
      </c>
      <c r="M16" s="179">
        <v>90</v>
      </c>
    </row>
    <row r="17" spans="2:13" ht="19.149999999999999" customHeight="1" x14ac:dyDescent="0.25">
      <c r="B17" s="184" t="s">
        <v>8</v>
      </c>
      <c r="C17" s="181">
        <v>18.430102169093274</v>
      </c>
      <c r="D17" s="182">
        <f>[3]ORÇAMENTO_EXECUTIVO!$B$18/'CÁLCULO_MÉDIAS (2)'!D$4*C17</f>
        <v>18.694138475314496</v>
      </c>
      <c r="E17" s="181">
        <v>84.431539687654222</v>
      </c>
      <c r="F17" s="182">
        <f>[3]ORÇAMENTO_EXECUTIVO!$B$18/'CÁLCULO_MÉDIAS (2)'!F$4*E17</f>
        <v>60.671229248850111</v>
      </c>
      <c r="G17" s="181">
        <v>4.93</v>
      </c>
      <c r="H17" s="183">
        <f>[3]ORÇAMENTO_EXECUTIVO!$B$18/'CÁLCULO_MÉDIAS (2)'!H$4*G17</f>
        <v>4.3406010606953442</v>
      </c>
      <c r="I17" s="181">
        <v>14.671234301930541</v>
      </c>
      <c r="J17" s="183">
        <f>[3]ORÇAMENTO_EXECUTIVO!$B$18/'CÁLCULO_MÉDIAS (2)'!J$4*I17</f>
        <v>11.363772518896273</v>
      </c>
      <c r="L17" s="179">
        <v>150</v>
      </c>
      <c r="M17" s="179">
        <v>210</v>
      </c>
    </row>
    <row r="18" spans="2:13" ht="19.149999999999999" customHeight="1" x14ac:dyDescent="0.25">
      <c r="B18" s="180" t="s">
        <v>18</v>
      </c>
      <c r="C18" s="181">
        <v>103.55810610043198</v>
      </c>
      <c r="D18" s="182">
        <f>[3]ORÇAMENTO_EXECUTIVO!$B$18/'CÁLCULO_MÉDIAS (2)'!D$4*C18</f>
        <v>105.04171696504658</v>
      </c>
      <c r="E18" s="181">
        <v>167.09024908107321</v>
      </c>
      <c r="F18" s="182">
        <f>[3]ORÇAMENTO_EXECUTIVO!$B$18/'CÁLCULO_MÉDIAS (2)'!F$4*E18</f>
        <v>120.06852942334295</v>
      </c>
      <c r="G18" s="181">
        <v>77.61</v>
      </c>
      <c r="H18" s="183">
        <f>[3]ORÇAMENTO_EXECUTIVO!$B$18/'CÁLCULO_MÉDIAS (2)'!H$4*G18</f>
        <v>68.331449963603589</v>
      </c>
      <c r="I18" s="181">
        <v>69.92115156075954</v>
      </c>
      <c r="J18" s="183">
        <f>[3]ORÇAMENTO_EXECUTIVO!$B$18/'CÁLCULO_MÉDIAS (2)'!J$4*I18</f>
        <v>54.158228560986565</v>
      </c>
      <c r="L18" s="179">
        <v>100</v>
      </c>
      <c r="M18" s="179">
        <v>140</v>
      </c>
    </row>
    <row r="19" spans="2:13" ht="19.149999999999999" customHeight="1" x14ac:dyDescent="0.25">
      <c r="B19" s="184" t="s">
        <v>19</v>
      </c>
      <c r="C19" s="181">
        <v>36.721281799273157</v>
      </c>
      <c r="D19" s="182">
        <f>[3]ORÇAMENTO_EXECUTIVO!$B$18/'CÁLCULO_MÉDIAS (2)'!D$4*C19</f>
        <v>37.247364157202142</v>
      </c>
      <c r="E19" s="181">
        <v>71.576538474064449</v>
      </c>
      <c r="F19" s="182">
        <f>[3]ORÇAMENTO_EXECUTIVO!$B$18/'CÁLCULO_MÉDIAS (2)'!F$4*E19</f>
        <v>51.433819526023576</v>
      </c>
      <c r="G19" s="181">
        <v>14.43</v>
      </c>
      <c r="H19" s="183">
        <f>[3]ORÇAMENTO_EXECUTIVO!$B$18/'CÁLCULO_MÉDIAS (2)'!H$4*G19</f>
        <v>12.704842455544386</v>
      </c>
      <c r="I19" s="181">
        <v>20.082022530040582</v>
      </c>
      <c r="J19" s="183">
        <f>[3]ORÇAMENTO_EXECUTIVO!$B$18/'CÁLCULO_MÉDIAS (2)'!J$4*I19</f>
        <v>15.554760496238673</v>
      </c>
      <c r="L19" s="179">
        <v>50</v>
      </c>
      <c r="M19" s="179">
        <v>90</v>
      </c>
    </row>
    <row r="20" spans="2:13" ht="19.149999999999999" customHeight="1" x14ac:dyDescent="0.25">
      <c r="B20" s="180" t="s">
        <v>9</v>
      </c>
      <c r="C20" s="181">
        <v>144.60414619094419</v>
      </c>
      <c r="D20" s="182">
        <f>[3]ORÇAMENTO_EXECUTIVO!$B$18/'CÁLCULO_MÉDIAS (2)'!D$4*C20</f>
        <v>146.6757974641834</v>
      </c>
      <c r="E20" s="181">
        <v>262.22615960205513</v>
      </c>
      <c r="F20" s="182">
        <f>[3]ORÇAMENTO_EXECUTIVO!$B$18/'CÁLCULO_MÉDIAS (2)'!F$4*E20</f>
        <v>188.4317578847633</v>
      </c>
      <c r="G20" s="181">
        <v>60.71</v>
      </c>
      <c r="H20" s="183">
        <f>[3]ORÇAMENTO_EXECUTIVO!$B$18/'CÁLCULO_MÉDIAS (2)'!H$4*G20</f>
        <v>53.451904745398458</v>
      </c>
      <c r="I20" s="181">
        <v>225.16206976213527</v>
      </c>
      <c r="J20" s="183">
        <f>[3]ORÇAMENTO_EXECUTIVO!$B$18/'CÁLCULO_MÉDIAS (2)'!J$4*I20</f>
        <v>174.40185931214174</v>
      </c>
      <c r="L20" s="179">
        <v>150</v>
      </c>
      <c r="M20" s="179">
        <v>190</v>
      </c>
    </row>
    <row r="21" spans="2:13" ht="19.149999999999999" customHeight="1" x14ac:dyDescent="0.25">
      <c r="B21" s="184" t="s">
        <v>10</v>
      </c>
      <c r="C21" s="181">
        <v>93.70143082443829</v>
      </c>
      <c r="D21" s="182">
        <f>[3]ORÇAMENTO_EXECUTIVO!$B$18/'CÁLCULO_MÉDIAS (2)'!D$4*C21</f>
        <v>95.043831395826189</v>
      </c>
      <c r="E21" s="181">
        <v>134.27641006858394</v>
      </c>
      <c r="F21" s="182">
        <f>[3]ORÇAMENTO_EXECUTIVO!$B$18/'CÁLCULO_MÉDIAS (2)'!F$4*E21</f>
        <v>96.489000296827385</v>
      </c>
      <c r="G21" s="181">
        <v>80.14</v>
      </c>
      <c r="H21" s="183">
        <f>[3]ORÇAMENTO_EXECUTIVO!$B$18/'CÁLCULO_MÉDIAS (2)'!H$4*G21</f>
        <v>70.558979514021289</v>
      </c>
      <c r="I21" s="181">
        <v>114.78311916212778</v>
      </c>
      <c r="J21" s="183">
        <f>[3]ORÇAMENTO_EXECUTIVO!$B$18/'CÁLCULO_MÉDIAS (2)'!J$4*I21</f>
        <v>88.90657925053695</v>
      </c>
      <c r="L21" s="179">
        <v>80</v>
      </c>
      <c r="M21" s="179">
        <v>120</v>
      </c>
    </row>
    <row r="22" spans="2:13" ht="19.149999999999999" customHeight="1" x14ac:dyDescent="0.25">
      <c r="B22" s="180" t="s">
        <v>11</v>
      </c>
      <c r="C22" s="181">
        <v>281.20219652122233</v>
      </c>
      <c r="D22" s="182">
        <f>[3]ORÇAMENTO_EXECUTIVO!$B$18/'CÁLCULO_MÉDIAS (2)'!D$4*C22</f>
        <v>285.23080084416898</v>
      </c>
      <c r="E22" s="181">
        <v>439.71858348750027</v>
      </c>
      <c r="F22" s="182">
        <f>[3]ORÇAMENTO_EXECUTIVO!$B$18/'CÁLCULO_MÉDIAS (2)'!F$4*E22</f>
        <v>315.97513301833965</v>
      </c>
      <c r="G22" s="181">
        <v>150.88999999999999</v>
      </c>
      <c r="H22" s="183">
        <f>[3]ORÇAMENTO_EXECUTIVO!$B$18/'CÁLCULO_MÉDIAS (2)'!H$4*G22</f>
        <v>132.85056674408125</v>
      </c>
      <c r="I22" s="181">
        <v>161.23025182173853</v>
      </c>
      <c r="J22" s="183">
        <f>[3]ORÇAMENTO_EXECUTIVO!$B$18/'CÁLCULO_MÉDIAS (2)'!J$4*I22</f>
        <v>124.88273768659715</v>
      </c>
      <c r="L22" s="179">
        <v>280</v>
      </c>
      <c r="M22" s="179">
        <v>320</v>
      </c>
    </row>
    <row r="23" spans="2:13" ht="19.149999999999999" customHeight="1" x14ac:dyDescent="0.25">
      <c r="B23" s="184" t="s">
        <v>20</v>
      </c>
      <c r="C23" s="181">
        <v>133.09762291147629</v>
      </c>
      <c r="D23" s="182">
        <f>[3]ORÇAMENTO_EXECUTIVO!$B$18/'CÁLCULO_MÉDIAS (2)'!D$4*C23</f>
        <v>135.00442757256519</v>
      </c>
      <c r="E23" s="181">
        <v>199.70235642109742</v>
      </c>
      <c r="F23" s="182">
        <f>[3]ORÇAMENTO_EXECUTIVO!$B$18/'CÁLCULO_MÉDIAS (2)'!F$4*E23</f>
        <v>143.50309721678133</v>
      </c>
      <c r="G23" s="181">
        <v>39.909999999999997</v>
      </c>
      <c r="H23" s="183">
        <f>[3]ORÇAMENTO_EXECUTIVO!$B$18/'CÁLCULO_MÉDIAS (2)'!H$4*G23</f>
        <v>35.13861832299213</v>
      </c>
      <c r="I23" s="181">
        <v>18.633306664511139</v>
      </c>
      <c r="J23" s="183">
        <f>[3]ORÇAMENTO_EXECUTIVO!$B$18/'CÁLCULO_MÉDIAS (2)'!J$4*I23</f>
        <v>14.432641034331763</v>
      </c>
      <c r="L23" s="179"/>
      <c r="M23" s="179"/>
    </row>
    <row r="24" spans="2:13" ht="19.149999999999999" customHeight="1" x14ac:dyDescent="0.25">
      <c r="B24" s="180" t="s">
        <v>12</v>
      </c>
      <c r="C24" s="181">
        <v>117.33029645036684</v>
      </c>
      <c r="D24" s="182">
        <f>[3]ORÇAMENTO_EXECUTIVO!$B$18/'CÁLCULO_MÉDIAS (2)'!D$4*C24</f>
        <v>119.01121269262987</v>
      </c>
      <c r="E24" s="181">
        <v>261.27205728988832</v>
      </c>
      <c r="F24" s="182">
        <f>[3]ORÇAMENTO_EXECUTIVO!$B$18/'CÁLCULO_MÉDIAS (2)'!F$4*E24</f>
        <v>187.74615437306051</v>
      </c>
      <c r="G24" s="181">
        <v>65.39</v>
      </c>
      <c r="H24" s="183">
        <f>[3]ORÇAMENTO_EXECUTIVO!$B$18/'CÁLCULO_MÉDIAS (2)'!H$4*G24</f>
        <v>57.57239419043988</v>
      </c>
      <c r="I24" s="181">
        <v>54.162885835799322</v>
      </c>
      <c r="J24" s="183">
        <f>[3]ORÇAMENTO_EXECUTIVO!$B$18/'CÁLCULO_MÉDIAS (2)'!J$4*I24</f>
        <v>41.952483406524394</v>
      </c>
      <c r="L24" s="179">
        <v>120</v>
      </c>
      <c r="M24" s="179">
        <v>250</v>
      </c>
    </row>
    <row r="25" spans="2:13" ht="19.149999999999999" customHeight="1" x14ac:dyDescent="0.25">
      <c r="B25" s="184" t="s">
        <v>164</v>
      </c>
      <c r="C25" s="181"/>
      <c r="D25" s="182">
        <f>[3]ORÇAMENTO_EXECUTIVO!$B$18/'CÁLCULO_MÉDIAS (2)'!D$4*C25</f>
        <v>0</v>
      </c>
      <c r="E25" s="181"/>
      <c r="F25" s="182">
        <f>[3]ORÇAMENTO_EXECUTIVO!$B$18/'CÁLCULO_MÉDIAS (2)'!F$4*E25</f>
        <v>0</v>
      </c>
      <c r="G25" s="181">
        <v>121.54</v>
      </c>
      <c r="H25" s="183">
        <f>[3]ORÇAMENTO_EXECUTIVO!$B$18/'CÁLCULO_MÉDIAS (2)'!H$4*G25</f>
        <v>107.0094630663108</v>
      </c>
      <c r="I25" s="181"/>
      <c r="J25" s="183">
        <f>[3]ORÇAMENTO_EXECUTIVO!$B$18/'CÁLCULO_MÉDIAS (2)'!J$4*I25</f>
        <v>0</v>
      </c>
      <c r="L25" s="179"/>
      <c r="M25" s="179"/>
    </row>
    <row r="26" spans="2:13" ht="19.149999999999999" customHeight="1" thickBot="1" x14ac:dyDescent="0.3">
      <c r="B26" s="180" t="s">
        <v>13</v>
      </c>
      <c r="C26" s="186">
        <v>5.7141551050261707</v>
      </c>
      <c r="D26" s="187">
        <f>[3]ORÇAMENTO_EXECUTIVO!$B$18/'CÁLCULO_MÉDIAS (2)'!D$4*C26</f>
        <v>5.7960181567479552</v>
      </c>
      <c r="E26" s="186">
        <v>52.679982900070328</v>
      </c>
      <c r="F26" s="187">
        <f>[3]ORÇAMENTO_EXECUTIVO!$B$18/'CÁLCULO_MÉDIAS (2)'!F$4*E26</f>
        <v>37.855040085488582</v>
      </c>
      <c r="G26" s="186">
        <v>3.35</v>
      </c>
      <c r="H26" s="188">
        <f>[3]ORÇAMENTO_EXECUTIVO!$B$18/'CÁLCULO_MÉDIAS (2)'!H$4*G26</f>
        <v>2.9494956497625568</v>
      </c>
      <c r="I26" s="186">
        <v>221.00364696369019</v>
      </c>
      <c r="J26" s="188">
        <f>[3]ORÇAMENTO_EXECUTIVO!$B$18/'CÁLCULO_MÉDIAS (2)'!J$4*I26</f>
        <v>171.18090531833198</v>
      </c>
      <c r="L26" s="179">
        <v>50</v>
      </c>
      <c r="M26" s="179">
        <v>90</v>
      </c>
    </row>
    <row r="27" spans="2:13" ht="19.149999999999999" customHeight="1" thickBot="1" x14ac:dyDescent="0.3">
      <c r="B27" s="189" t="s">
        <v>14</v>
      </c>
      <c r="C27" s="190">
        <f>SUM(C9:C26)</f>
        <v>2488.6625585700899</v>
      </c>
      <c r="D27" s="191">
        <f>SUM(D10:D26)</f>
        <v>2524.3160380444378</v>
      </c>
      <c r="E27" s="192">
        <f>SUM(E9:E26)</f>
        <v>4230.7012493979946</v>
      </c>
      <c r="F27" s="191">
        <f>SUM(F10:F26)</f>
        <v>3040.1180214785886</v>
      </c>
      <c r="G27" s="192">
        <f>SUM(G9:G26)</f>
        <v>2008.8700000000003</v>
      </c>
      <c r="H27" s="193">
        <f>SUM(H10:H26)</f>
        <v>1398.8885576623109</v>
      </c>
      <c r="I27" s="192">
        <f>SUM(I9:I26)</f>
        <v>2380.0104308326213</v>
      </c>
      <c r="J27" s="193">
        <f>SUM(J9:J26)</f>
        <v>1843.4643310838087</v>
      </c>
      <c r="L27" s="194">
        <f>SUM(L9:L26)</f>
        <v>2600</v>
      </c>
      <c r="M27" s="194">
        <f>SUM(M9:M26)</f>
        <v>3565</v>
      </c>
    </row>
    <row r="29" spans="2:13" x14ac:dyDescent="0.25">
      <c r="B29" s="195"/>
      <c r="E29" s="195"/>
    </row>
  </sheetData>
  <mergeCells count="9">
    <mergeCell ref="L7:M7"/>
    <mergeCell ref="C6:D6"/>
    <mergeCell ref="E6:F6"/>
    <mergeCell ref="G6:H6"/>
    <mergeCell ref="I6:J6"/>
    <mergeCell ref="C7:D7"/>
    <mergeCell ref="E7:F7"/>
    <mergeCell ref="G7:H7"/>
    <mergeCell ref="I7:J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69E8-F927-4336-87F4-2152FE99026C}">
  <dimension ref="A1:I954"/>
  <sheetViews>
    <sheetView showGridLines="0" zoomScale="85" zoomScaleNormal="85" workbookViewId="0">
      <selection activeCell="D12" sqref="D12"/>
    </sheetView>
  </sheetViews>
  <sheetFormatPr defaultColWidth="14.42578125" defaultRowHeight="15" customHeight="1" x14ac:dyDescent="0.25"/>
  <cols>
    <col min="1" max="1" width="66.28515625" customWidth="1"/>
    <col min="2" max="2" width="22.5703125" customWidth="1"/>
    <col min="3" max="3" width="13.7109375" bestFit="1" customWidth="1"/>
    <col min="4" max="4" width="28.5703125" style="16" bestFit="1" customWidth="1"/>
    <col min="5" max="5" width="18" customWidth="1"/>
    <col min="6" max="6" width="22" bestFit="1" customWidth="1"/>
    <col min="9" max="9" width="4" bestFit="1" customWidth="1"/>
  </cols>
  <sheetData>
    <row r="1" spans="1:9" ht="22.5" thickBot="1" x14ac:dyDescent="0.3">
      <c r="A1" s="148" t="s">
        <v>0</v>
      </c>
      <c r="B1" s="150" t="s">
        <v>79</v>
      </c>
      <c r="C1" s="151"/>
      <c r="D1" s="114" t="s">
        <v>81</v>
      </c>
      <c r="G1" s="14" t="s">
        <v>88</v>
      </c>
      <c r="H1" s="26">
        <f>'[1]Obra '!$E$8</f>
        <v>25999.02</v>
      </c>
      <c r="I1" s="15" t="s">
        <v>57</v>
      </c>
    </row>
    <row r="2" spans="1:9" ht="22.5" thickBot="1" x14ac:dyDescent="0.3">
      <c r="A2" s="149"/>
      <c r="B2" s="22" t="s">
        <v>42</v>
      </c>
      <c r="C2" s="22" t="s">
        <v>2</v>
      </c>
      <c r="D2" s="116" t="s">
        <v>2</v>
      </c>
      <c r="G2" s="14" t="s">
        <v>67</v>
      </c>
      <c r="H2" s="26">
        <f>'[1]Obra '!$E$10</f>
        <v>122</v>
      </c>
      <c r="I2" s="15"/>
    </row>
    <row r="3" spans="1:9" ht="19.5" customHeight="1" x14ac:dyDescent="0.25">
      <c r="A3" s="117" t="str">
        <f>ORÇAMENTO_EXECUTIVO!A3</f>
        <v>MOVIMENTAÇÃO DE TERRA</v>
      </c>
      <c r="B3" s="65">
        <f>'[1]Ger_Executivo Comum'!$N$9</f>
        <v>1450076.4159106398</v>
      </c>
      <c r="C3" s="137">
        <f t="shared" ref="C3:C11" si="0">B3/$H$1</f>
        <v>55.774272103742362</v>
      </c>
      <c r="D3" s="138">
        <f>8.02+46.45</f>
        <v>54.47</v>
      </c>
      <c r="E3" t="s">
        <v>68</v>
      </c>
    </row>
    <row r="4" spans="1:9" ht="21.75" x14ac:dyDescent="0.25">
      <c r="A4" s="118" t="s">
        <v>83</v>
      </c>
      <c r="B4" s="66">
        <f>'[1]Ger_Executivo Comum'!$N$21</f>
        <v>1893554.92</v>
      </c>
      <c r="C4" s="139">
        <f t="shared" si="0"/>
        <v>72.83178058249888</v>
      </c>
      <c r="D4" s="140">
        <v>17.43</v>
      </c>
      <c r="E4" t="s">
        <v>90</v>
      </c>
      <c r="F4" t="s">
        <v>93</v>
      </c>
    </row>
    <row r="5" spans="1:9" ht="21.75" x14ac:dyDescent="0.25">
      <c r="A5" s="117" t="s">
        <v>84</v>
      </c>
      <c r="B5" s="65">
        <f>'[1]Ger_Executivo Comum'!$N$28</f>
        <v>429844.03642000002</v>
      </c>
      <c r="C5" s="137">
        <f t="shared" si="0"/>
        <v>16.533086109399509</v>
      </c>
      <c r="D5" s="138">
        <v>4.1100000000000003</v>
      </c>
      <c r="E5" t="s">
        <v>90</v>
      </c>
      <c r="F5" t="s">
        <v>91</v>
      </c>
    </row>
    <row r="6" spans="1:9" ht="21.75" x14ac:dyDescent="0.25">
      <c r="A6" s="118" t="s">
        <v>85</v>
      </c>
      <c r="B6" s="66">
        <f>'[1]Ger_Executivo Comum'!$N$35</f>
        <v>395577.13666666672</v>
      </c>
      <c r="C6" s="139">
        <f t="shared" si="0"/>
        <v>15.215078747839984</v>
      </c>
      <c r="D6" s="140">
        <v>17.670000000000002</v>
      </c>
      <c r="E6" t="s">
        <v>68</v>
      </c>
      <c r="F6" s="136"/>
    </row>
    <row r="7" spans="1:9" ht="21.75" x14ac:dyDescent="0.25">
      <c r="A7" s="117" t="s">
        <v>86</v>
      </c>
      <c r="B7" s="65">
        <f>'[1]Ger_Executivo Comum'!$N$42</f>
        <v>166899.815</v>
      </c>
      <c r="C7" s="137">
        <f t="shared" si="0"/>
        <v>6.4194656183194594</v>
      </c>
      <c r="D7" s="138">
        <v>10.42</v>
      </c>
      <c r="E7" t="s">
        <v>68</v>
      </c>
      <c r="F7" s="136"/>
    </row>
    <row r="8" spans="1:9" ht="21.75" x14ac:dyDescent="0.25">
      <c r="A8" s="118" t="s">
        <v>92</v>
      </c>
      <c r="B8" s="66">
        <f>'[1]Ger_Executivo Comum'!$N$49</f>
        <v>297070.02028124995</v>
      </c>
      <c r="C8" s="139">
        <f t="shared" si="0"/>
        <v>11.426200690689493</v>
      </c>
      <c r="D8" s="140"/>
      <c r="F8" s="136"/>
    </row>
    <row r="9" spans="1:9" ht="21.75" x14ac:dyDescent="0.25">
      <c r="A9" s="117" t="s">
        <v>87</v>
      </c>
      <c r="B9" s="65">
        <f>'[1]Ger_Executivo Comum'!$N$56</f>
        <v>1617268.8171085599</v>
      </c>
      <c r="C9" s="137">
        <f t="shared" si="0"/>
        <v>62.204991461545852</v>
      </c>
      <c r="D9" s="138">
        <f>94.18+0.31</f>
        <v>94.490000000000009</v>
      </c>
      <c r="E9" s="134"/>
      <c r="F9" s="136">
        <f>122/4</f>
        <v>30.5</v>
      </c>
    </row>
    <row r="10" spans="1:9" ht="19.5" customHeight="1" x14ac:dyDescent="0.25">
      <c r="A10" s="118" t="s">
        <v>82</v>
      </c>
      <c r="B10" s="66" t="e">
        <f>#REF!</f>
        <v>#REF!</v>
      </c>
      <c r="C10" s="139" t="e">
        <f t="shared" si="0"/>
        <v>#REF!</v>
      </c>
      <c r="D10" s="140">
        <v>38.54</v>
      </c>
      <c r="E10" s="141"/>
      <c r="F10">
        <f>F9*28</f>
        <v>854</v>
      </c>
    </row>
    <row r="11" spans="1:9" ht="19.5" customHeight="1" x14ac:dyDescent="0.25">
      <c r="A11" s="117" t="s">
        <v>80</v>
      </c>
      <c r="B11" s="65" t="e">
        <f>#REF!+#REF!</f>
        <v>#REF!</v>
      </c>
      <c r="C11" s="137" t="e">
        <f t="shared" si="0"/>
        <v>#REF!</v>
      </c>
      <c r="D11" s="138">
        <v>52.24</v>
      </c>
      <c r="F11">
        <f>F10/30</f>
        <v>28.466666666666665</v>
      </c>
    </row>
    <row r="12" spans="1:9" ht="19.5" customHeight="1" x14ac:dyDescent="0.25">
      <c r="A12" s="118" t="s">
        <v>89</v>
      </c>
      <c r="B12" s="66"/>
      <c r="C12" s="139"/>
      <c r="D12" s="140"/>
    </row>
    <row r="13" spans="1:9" ht="21.75" customHeight="1" x14ac:dyDescent="0.6">
      <c r="A13" s="119" t="s">
        <v>14</v>
      </c>
      <c r="B13" s="120" t="e">
        <f>SUM(B3:B12)</f>
        <v>#REF!</v>
      </c>
      <c r="C13" s="120" t="e">
        <f t="shared" ref="C13:D13" si="1">SUM(C3:C12)</f>
        <v>#REF!</v>
      </c>
      <c r="D13" s="120">
        <f t="shared" si="1"/>
        <v>289.37</v>
      </c>
    </row>
    <row r="14" spans="1:9" ht="21.75" x14ac:dyDescent="0.6">
      <c r="A14" s="1"/>
      <c r="B14" s="1"/>
      <c r="C14" s="115"/>
      <c r="D14" s="17"/>
      <c r="F14">
        <f>171/1.5</f>
        <v>114</v>
      </c>
    </row>
    <row r="15" spans="1:9" ht="21.75" customHeight="1" x14ac:dyDescent="0.6">
      <c r="A15" s="1"/>
      <c r="B15" s="1"/>
      <c r="C15" s="1"/>
      <c r="F15">
        <f>F14*4</f>
        <v>456</v>
      </c>
      <c r="G15">
        <f>9000/F15</f>
        <v>19.736842105263158</v>
      </c>
    </row>
    <row r="16" spans="1:9" ht="21.75" customHeight="1" x14ac:dyDescent="0.6">
      <c r="A16" s="1"/>
      <c r="B16" s="1"/>
      <c r="C16" s="1"/>
      <c r="D16" s="17"/>
      <c r="F16">
        <f>F15*12</f>
        <v>5472</v>
      </c>
    </row>
    <row r="17" spans="1:7" ht="21.75" customHeight="1" x14ac:dyDescent="0.6">
      <c r="A17" s="1"/>
      <c r="B17" s="1"/>
      <c r="C17" s="1"/>
      <c r="D17" s="17"/>
    </row>
    <row r="18" spans="1:7" ht="21.75" customHeight="1" x14ac:dyDescent="0.6">
      <c r="A18" s="1"/>
      <c r="B18" s="1"/>
      <c r="C18" s="1"/>
      <c r="D18" s="17"/>
    </row>
    <row r="19" spans="1:7" ht="21.75" customHeight="1" x14ac:dyDescent="0.6">
      <c r="A19" s="1"/>
      <c r="B19" s="1"/>
      <c r="C19" s="1"/>
      <c r="D19" s="17"/>
    </row>
    <row r="20" spans="1:7" ht="21.75" customHeight="1" x14ac:dyDescent="0.6">
      <c r="A20" s="1"/>
      <c r="B20" s="1"/>
      <c r="C20" s="1"/>
      <c r="D20" s="17"/>
    </row>
    <row r="21" spans="1:7" ht="21.75" customHeight="1" x14ac:dyDescent="0.6">
      <c r="A21" s="1"/>
      <c r="B21" s="1"/>
      <c r="C21" s="1"/>
      <c r="D21" s="17"/>
    </row>
    <row r="22" spans="1:7" ht="21.75" customHeight="1" x14ac:dyDescent="0.6">
      <c r="A22" s="1"/>
      <c r="B22" s="1"/>
      <c r="C22" s="1"/>
      <c r="D22" s="17"/>
      <c r="E22" s="30"/>
      <c r="F22" s="30"/>
      <c r="G22" s="30"/>
    </row>
    <row r="23" spans="1:7" ht="21.75" customHeight="1" x14ac:dyDescent="0.6">
      <c r="A23" s="1"/>
      <c r="B23" s="1"/>
      <c r="C23" s="1"/>
      <c r="D23" s="18"/>
      <c r="E23" s="30"/>
      <c r="F23" s="30"/>
      <c r="G23" s="30"/>
    </row>
    <row r="24" spans="1:7" ht="21.75" customHeight="1" x14ac:dyDescent="0.6">
      <c r="A24" s="1"/>
      <c r="B24" s="1"/>
      <c r="C24" s="3"/>
      <c r="D24" s="18"/>
      <c r="E24" s="30"/>
      <c r="F24" s="30"/>
      <c r="G24" s="30"/>
    </row>
    <row r="25" spans="1:7" ht="21.75" customHeight="1" x14ac:dyDescent="0.6">
      <c r="A25" s="1"/>
      <c r="B25" s="1"/>
      <c r="C25" s="3"/>
      <c r="D25" s="18"/>
      <c r="E25" s="30"/>
      <c r="F25" s="30"/>
      <c r="G25" s="30"/>
    </row>
    <row r="26" spans="1:7" ht="21.75" customHeight="1" x14ac:dyDescent="0.6">
      <c r="A26" s="1"/>
      <c r="B26" s="1"/>
      <c r="C26" s="3"/>
      <c r="D26" s="18"/>
      <c r="E26" s="30"/>
      <c r="F26" s="30"/>
      <c r="G26" s="30"/>
    </row>
    <row r="27" spans="1:7" ht="21.75" customHeight="1" x14ac:dyDescent="0.6">
      <c r="A27" s="1"/>
      <c r="B27" s="1"/>
      <c r="C27" s="3"/>
      <c r="D27" s="18"/>
    </row>
    <row r="28" spans="1:7" ht="21.75" customHeight="1" x14ac:dyDescent="0.6">
      <c r="A28" s="1"/>
      <c r="B28" s="1"/>
      <c r="C28" s="1"/>
      <c r="D28" s="17"/>
    </row>
    <row r="29" spans="1:7" ht="21.75" customHeight="1" x14ac:dyDescent="0.6">
      <c r="A29" s="1"/>
      <c r="B29" s="1"/>
      <c r="C29" s="1"/>
      <c r="D29" s="17"/>
    </row>
    <row r="30" spans="1:7" ht="21.75" customHeight="1" x14ac:dyDescent="0.6">
      <c r="A30" s="1"/>
      <c r="B30" s="1"/>
      <c r="C30" s="1"/>
      <c r="D30" s="17"/>
    </row>
    <row r="31" spans="1:7" ht="21.75" customHeight="1" x14ac:dyDescent="0.6">
      <c r="A31" s="1"/>
      <c r="B31" s="1"/>
      <c r="C31" s="1"/>
      <c r="D31" s="17"/>
    </row>
    <row r="32" spans="1:7" ht="21.75" customHeight="1" x14ac:dyDescent="0.6">
      <c r="A32" s="1"/>
      <c r="B32" s="1"/>
      <c r="C32" s="1"/>
      <c r="D32" s="17"/>
    </row>
    <row r="33" spans="1:4" ht="21.75" customHeight="1" x14ac:dyDescent="0.6">
      <c r="A33" s="1"/>
      <c r="B33" s="1"/>
      <c r="C33" s="1"/>
      <c r="D33" s="17"/>
    </row>
    <row r="34" spans="1:4" ht="21.75" customHeight="1" x14ac:dyDescent="0.6">
      <c r="A34" s="1"/>
      <c r="B34" s="1"/>
      <c r="C34" s="1"/>
      <c r="D34" s="17"/>
    </row>
    <row r="35" spans="1:4" ht="21.75" customHeight="1" x14ac:dyDescent="0.6">
      <c r="A35" s="1"/>
      <c r="B35" s="1"/>
      <c r="C35" s="1"/>
      <c r="D35" s="17"/>
    </row>
    <row r="36" spans="1:4" ht="21.75" customHeight="1" x14ac:dyDescent="0.6">
      <c r="A36" s="1"/>
      <c r="B36" s="1"/>
      <c r="C36" s="1"/>
      <c r="D36" s="17"/>
    </row>
    <row r="37" spans="1:4" ht="21.75" customHeight="1" x14ac:dyDescent="0.6">
      <c r="A37" s="1"/>
      <c r="B37" s="1"/>
      <c r="C37" s="1"/>
      <c r="D37" s="17"/>
    </row>
    <row r="38" spans="1:4" ht="21.75" customHeight="1" x14ac:dyDescent="0.6">
      <c r="A38" s="1"/>
      <c r="B38" s="1"/>
      <c r="C38" s="1"/>
      <c r="D38" s="17"/>
    </row>
    <row r="39" spans="1:4" ht="21.75" customHeight="1" x14ac:dyDescent="0.6">
      <c r="A39" s="1"/>
      <c r="B39" s="1"/>
      <c r="C39" s="1"/>
      <c r="D39" s="17"/>
    </row>
    <row r="40" spans="1:4" ht="21.75" customHeight="1" x14ac:dyDescent="0.6">
      <c r="A40" s="1"/>
      <c r="B40" s="1"/>
      <c r="C40" s="1"/>
      <c r="D40" s="17"/>
    </row>
    <row r="41" spans="1:4" ht="21.75" customHeight="1" x14ac:dyDescent="0.6">
      <c r="A41" s="1"/>
      <c r="B41" s="1"/>
      <c r="C41" s="1"/>
      <c r="D41" s="17"/>
    </row>
    <row r="42" spans="1:4" ht="21.75" customHeight="1" x14ac:dyDescent="0.6">
      <c r="A42" s="1"/>
      <c r="B42" s="1"/>
      <c r="C42" s="1"/>
      <c r="D42" s="17"/>
    </row>
    <row r="43" spans="1:4" ht="21.75" customHeight="1" x14ac:dyDescent="0.6">
      <c r="A43" s="1"/>
      <c r="B43" s="1"/>
      <c r="C43" s="1"/>
      <c r="D43" s="17"/>
    </row>
    <row r="44" spans="1:4" ht="21.75" customHeight="1" x14ac:dyDescent="0.6">
      <c r="A44" s="1"/>
      <c r="B44" s="1"/>
      <c r="C44" s="1"/>
      <c r="D44" s="17"/>
    </row>
    <row r="45" spans="1:4" ht="21.75" customHeight="1" x14ac:dyDescent="0.6">
      <c r="A45" s="1"/>
      <c r="B45" s="1"/>
      <c r="C45" s="1"/>
      <c r="D45" s="17"/>
    </row>
    <row r="46" spans="1:4" ht="21.75" customHeight="1" x14ac:dyDescent="0.6">
      <c r="A46" s="1"/>
      <c r="B46" s="1"/>
      <c r="C46" s="1"/>
      <c r="D46" s="17"/>
    </row>
    <row r="47" spans="1:4" ht="21.75" customHeight="1" x14ac:dyDescent="0.6">
      <c r="A47" s="1"/>
      <c r="B47" s="1"/>
      <c r="C47" s="1"/>
      <c r="D47" s="17"/>
    </row>
    <row r="48" spans="1:4" ht="21.75" customHeight="1" x14ac:dyDescent="0.6">
      <c r="A48" s="1"/>
      <c r="B48" s="1"/>
      <c r="C48" s="1"/>
      <c r="D48" s="17"/>
    </row>
    <row r="49" spans="1:4" ht="21.75" customHeight="1" x14ac:dyDescent="0.6">
      <c r="A49" s="1"/>
      <c r="B49" s="1"/>
      <c r="C49" s="1"/>
      <c r="D49" s="17"/>
    </row>
    <row r="50" spans="1:4" ht="21.75" customHeight="1" x14ac:dyDescent="0.6">
      <c r="A50" s="1"/>
      <c r="B50" s="1"/>
      <c r="C50" s="1"/>
      <c r="D50" s="17"/>
    </row>
    <row r="51" spans="1:4" ht="21.75" customHeight="1" x14ac:dyDescent="0.6">
      <c r="A51" s="1"/>
      <c r="B51" s="1"/>
      <c r="C51" s="1"/>
      <c r="D51" s="17"/>
    </row>
    <row r="52" spans="1:4" ht="21.75" customHeight="1" x14ac:dyDescent="0.6">
      <c r="A52" s="1"/>
      <c r="B52" s="1"/>
      <c r="C52" s="1"/>
      <c r="D52" s="17"/>
    </row>
    <row r="53" spans="1:4" ht="21.75" customHeight="1" x14ac:dyDescent="0.6">
      <c r="A53" s="1"/>
      <c r="B53" s="1"/>
      <c r="C53" s="1"/>
      <c r="D53" s="17"/>
    </row>
    <row r="54" spans="1:4" ht="21.75" customHeight="1" x14ac:dyDescent="0.6">
      <c r="A54" s="1"/>
      <c r="B54" s="1"/>
      <c r="C54" s="1"/>
      <c r="D54" s="17"/>
    </row>
    <row r="55" spans="1:4" ht="21.75" customHeight="1" x14ac:dyDescent="0.6">
      <c r="A55" s="1"/>
      <c r="B55" s="1"/>
      <c r="C55" s="1"/>
      <c r="D55" s="17"/>
    </row>
    <row r="56" spans="1:4" ht="21.75" customHeight="1" x14ac:dyDescent="0.6">
      <c r="A56" s="1"/>
      <c r="B56" s="1"/>
      <c r="C56" s="1"/>
      <c r="D56" s="17"/>
    </row>
    <row r="57" spans="1:4" ht="21.75" customHeight="1" x14ac:dyDescent="0.6">
      <c r="A57" s="1"/>
      <c r="B57" s="1"/>
      <c r="C57" s="1"/>
      <c r="D57" s="17"/>
    </row>
    <row r="58" spans="1:4" ht="21.75" customHeight="1" x14ac:dyDescent="0.6">
      <c r="A58" s="1"/>
      <c r="B58" s="1"/>
      <c r="C58" s="1"/>
      <c r="D58" s="17"/>
    </row>
    <row r="59" spans="1:4" ht="21.75" customHeight="1" x14ac:dyDescent="0.6">
      <c r="A59" s="1"/>
      <c r="B59" s="1"/>
      <c r="C59" s="1"/>
      <c r="D59" s="17"/>
    </row>
    <row r="60" spans="1:4" ht="21.75" customHeight="1" x14ac:dyDescent="0.6">
      <c r="A60" s="1"/>
      <c r="B60" s="1"/>
      <c r="C60" s="1"/>
      <c r="D60" s="17"/>
    </row>
    <row r="61" spans="1:4" ht="21.75" customHeight="1" x14ac:dyDescent="0.6">
      <c r="A61" s="1"/>
      <c r="B61" s="1"/>
      <c r="C61" s="1"/>
      <c r="D61" s="17"/>
    </row>
    <row r="62" spans="1:4" ht="21.75" customHeight="1" x14ac:dyDescent="0.6">
      <c r="A62" s="1"/>
      <c r="B62" s="1"/>
      <c r="C62" s="1"/>
      <c r="D62" s="17"/>
    </row>
    <row r="63" spans="1:4" ht="21.75" customHeight="1" x14ac:dyDescent="0.6">
      <c r="A63" s="1"/>
      <c r="B63" s="1"/>
      <c r="C63" s="1"/>
      <c r="D63" s="17"/>
    </row>
    <row r="64" spans="1:4" ht="21.75" customHeight="1" x14ac:dyDescent="0.6">
      <c r="A64" s="1"/>
      <c r="B64" s="1"/>
      <c r="C64" s="1"/>
      <c r="D64" s="17"/>
    </row>
    <row r="65" spans="1:4" ht="21.75" customHeight="1" x14ac:dyDescent="0.6">
      <c r="A65" s="1"/>
      <c r="B65" s="1"/>
      <c r="C65" s="1"/>
      <c r="D65" s="17"/>
    </row>
    <row r="66" spans="1:4" ht="21.75" customHeight="1" x14ac:dyDescent="0.6">
      <c r="A66" s="1"/>
      <c r="B66" s="1"/>
      <c r="C66" s="1"/>
      <c r="D66" s="17"/>
    </row>
    <row r="67" spans="1:4" ht="21.75" customHeight="1" x14ac:dyDescent="0.6">
      <c r="A67" s="1"/>
      <c r="B67" s="1"/>
      <c r="C67" s="1"/>
      <c r="D67" s="17"/>
    </row>
    <row r="68" spans="1:4" ht="21.75" customHeight="1" x14ac:dyDescent="0.6">
      <c r="A68" s="1"/>
      <c r="B68" s="1"/>
      <c r="C68" s="1"/>
      <c r="D68" s="17"/>
    </row>
    <row r="69" spans="1:4" ht="21.75" customHeight="1" x14ac:dyDescent="0.6">
      <c r="A69" s="1"/>
      <c r="B69" s="1"/>
      <c r="C69" s="1"/>
      <c r="D69" s="17"/>
    </row>
    <row r="70" spans="1:4" ht="21.75" customHeight="1" x14ac:dyDescent="0.6">
      <c r="A70" s="1"/>
      <c r="B70" s="1"/>
      <c r="C70" s="1"/>
      <c r="D70" s="17"/>
    </row>
    <row r="71" spans="1:4" ht="21.75" customHeight="1" x14ac:dyDescent="0.6">
      <c r="A71" s="1"/>
      <c r="B71" s="1"/>
      <c r="C71" s="1"/>
      <c r="D71" s="17"/>
    </row>
    <row r="72" spans="1:4" ht="21.75" customHeight="1" x14ac:dyDescent="0.6">
      <c r="A72" s="1"/>
      <c r="B72" s="1"/>
      <c r="C72" s="1"/>
      <c r="D72" s="17"/>
    </row>
    <row r="73" spans="1:4" ht="21.75" customHeight="1" x14ac:dyDescent="0.6">
      <c r="A73" s="1"/>
      <c r="B73" s="1"/>
      <c r="C73" s="1"/>
      <c r="D73" s="17"/>
    </row>
    <row r="74" spans="1:4" ht="21.75" customHeight="1" x14ac:dyDescent="0.6">
      <c r="A74" s="1"/>
      <c r="B74" s="1"/>
      <c r="C74" s="1"/>
      <c r="D74" s="17"/>
    </row>
    <row r="75" spans="1:4" ht="21.75" customHeight="1" x14ac:dyDescent="0.6">
      <c r="A75" s="1"/>
      <c r="B75" s="1"/>
      <c r="C75" s="1"/>
      <c r="D75" s="17"/>
    </row>
    <row r="76" spans="1:4" ht="21.75" customHeight="1" x14ac:dyDescent="0.6">
      <c r="A76" s="1"/>
      <c r="B76" s="1"/>
      <c r="C76" s="1"/>
      <c r="D76" s="17"/>
    </row>
    <row r="77" spans="1:4" ht="21.75" customHeight="1" x14ac:dyDescent="0.6">
      <c r="A77" s="1"/>
      <c r="B77" s="1"/>
      <c r="C77" s="1"/>
      <c r="D77" s="17"/>
    </row>
    <row r="78" spans="1:4" ht="21.75" customHeight="1" x14ac:dyDescent="0.6">
      <c r="A78" s="1"/>
      <c r="B78" s="1"/>
      <c r="C78" s="1"/>
      <c r="D78" s="17"/>
    </row>
    <row r="79" spans="1:4" ht="21.75" customHeight="1" x14ac:dyDescent="0.6">
      <c r="A79" s="1"/>
      <c r="B79" s="1"/>
      <c r="C79" s="1"/>
      <c r="D79" s="17"/>
    </row>
    <row r="80" spans="1:4" ht="21.75" customHeight="1" x14ac:dyDescent="0.6">
      <c r="A80" s="1"/>
      <c r="B80" s="1"/>
      <c r="C80" s="1"/>
      <c r="D80" s="17"/>
    </row>
    <row r="81" spans="1:4" ht="21.75" customHeight="1" x14ac:dyDescent="0.6">
      <c r="A81" s="1"/>
      <c r="B81" s="1"/>
      <c r="C81" s="1"/>
      <c r="D81" s="17"/>
    </row>
    <row r="82" spans="1:4" ht="21.75" customHeight="1" x14ac:dyDescent="0.6">
      <c r="A82" s="1"/>
      <c r="B82" s="1"/>
      <c r="C82" s="1"/>
      <c r="D82" s="17"/>
    </row>
    <row r="83" spans="1:4" ht="21.75" customHeight="1" x14ac:dyDescent="0.6">
      <c r="A83" s="1"/>
      <c r="B83" s="1"/>
      <c r="C83" s="1"/>
      <c r="D83" s="17"/>
    </row>
    <row r="84" spans="1:4" ht="21.75" customHeight="1" x14ac:dyDescent="0.6">
      <c r="A84" s="1"/>
      <c r="B84" s="1"/>
      <c r="C84" s="1"/>
      <c r="D84" s="17"/>
    </row>
    <row r="85" spans="1:4" ht="21.75" customHeight="1" x14ac:dyDescent="0.6">
      <c r="A85" s="1"/>
      <c r="B85" s="1"/>
      <c r="C85" s="1"/>
      <c r="D85" s="17"/>
    </row>
    <row r="86" spans="1:4" ht="21.75" customHeight="1" x14ac:dyDescent="0.6">
      <c r="A86" s="1"/>
      <c r="B86" s="1"/>
      <c r="C86" s="1"/>
      <c r="D86" s="17"/>
    </row>
    <row r="87" spans="1:4" ht="21.75" customHeight="1" x14ac:dyDescent="0.6">
      <c r="A87" s="1"/>
      <c r="B87" s="1"/>
      <c r="C87" s="1"/>
      <c r="D87" s="17"/>
    </row>
    <row r="88" spans="1:4" ht="21.75" customHeight="1" x14ac:dyDescent="0.6">
      <c r="A88" s="1"/>
      <c r="B88" s="1"/>
      <c r="C88" s="1"/>
      <c r="D88" s="17"/>
    </row>
    <row r="89" spans="1:4" ht="21.75" customHeight="1" x14ac:dyDescent="0.6">
      <c r="A89" s="1"/>
      <c r="B89" s="1"/>
      <c r="C89" s="1"/>
      <c r="D89" s="17"/>
    </row>
    <row r="90" spans="1:4" ht="21.75" customHeight="1" x14ac:dyDescent="0.6">
      <c r="A90" s="1"/>
      <c r="B90" s="1"/>
      <c r="C90" s="1"/>
      <c r="D90" s="17"/>
    </row>
    <row r="91" spans="1:4" ht="21.75" customHeight="1" x14ac:dyDescent="0.6">
      <c r="A91" s="1"/>
      <c r="B91" s="1"/>
      <c r="C91" s="1"/>
      <c r="D91" s="17"/>
    </row>
    <row r="92" spans="1:4" ht="21.75" customHeight="1" x14ac:dyDescent="0.6">
      <c r="A92" s="1"/>
      <c r="B92" s="1"/>
      <c r="C92" s="1"/>
      <c r="D92" s="17"/>
    </row>
    <row r="93" spans="1:4" ht="21.75" customHeight="1" x14ac:dyDescent="0.6">
      <c r="A93" s="1"/>
      <c r="B93" s="1"/>
      <c r="C93" s="1"/>
      <c r="D93" s="17"/>
    </row>
    <row r="94" spans="1:4" ht="21.75" customHeight="1" x14ac:dyDescent="0.6">
      <c r="A94" s="1"/>
      <c r="B94" s="1"/>
      <c r="C94" s="1"/>
      <c r="D94" s="17"/>
    </row>
    <row r="95" spans="1:4" ht="21.75" customHeight="1" x14ac:dyDescent="0.6">
      <c r="A95" s="1"/>
      <c r="B95" s="1"/>
      <c r="C95" s="1"/>
      <c r="D95" s="17"/>
    </row>
    <row r="96" spans="1:4" ht="21.75" customHeight="1" x14ac:dyDescent="0.6">
      <c r="A96" s="1"/>
      <c r="B96" s="1"/>
      <c r="C96" s="1"/>
      <c r="D96" s="17"/>
    </row>
    <row r="97" spans="1:4" ht="21.75" customHeight="1" x14ac:dyDescent="0.6">
      <c r="A97" s="1"/>
      <c r="B97" s="1"/>
      <c r="C97" s="1"/>
      <c r="D97" s="17"/>
    </row>
    <row r="98" spans="1:4" ht="21.75" customHeight="1" x14ac:dyDescent="0.6">
      <c r="A98" s="1"/>
      <c r="B98" s="1"/>
      <c r="C98" s="1"/>
      <c r="D98" s="17"/>
    </row>
    <row r="99" spans="1:4" ht="21.75" customHeight="1" x14ac:dyDescent="0.6">
      <c r="A99" s="1"/>
      <c r="B99" s="1"/>
      <c r="C99" s="1"/>
      <c r="D99" s="17"/>
    </row>
    <row r="100" spans="1:4" ht="21.75" customHeight="1" x14ac:dyDescent="0.6">
      <c r="A100" s="1"/>
      <c r="B100" s="1"/>
      <c r="C100" s="1"/>
      <c r="D100" s="17"/>
    </row>
    <row r="101" spans="1:4" ht="21.75" customHeight="1" x14ac:dyDescent="0.6">
      <c r="A101" s="1"/>
      <c r="B101" s="1"/>
      <c r="C101" s="1"/>
      <c r="D101" s="17"/>
    </row>
    <row r="102" spans="1:4" ht="21.75" customHeight="1" x14ac:dyDescent="0.6">
      <c r="A102" s="1"/>
      <c r="B102" s="1"/>
      <c r="C102" s="1"/>
      <c r="D102" s="17"/>
    </row>
    <row r="103" spans="1:4" ht="21.75" customHeight="1" x14ac:dyDescent="0.6">
      <c r="A103" s="1"/>
      <c r="B103" s="1"/>
      <c r="C103" s="1"/>
      <c r="D103" s="17"/>
    </row>
    <row r="104" spans="1:4" ht="21.75" customHeight="1" x14ac:dyDescent="0.6">
      <c r="A104" s="1"/>
      <c r="B104" s="1"/>
      <c r="C104" s="1"/>
      <c r="D104" s="17"/>
    </row>
    <row r="105" spans="1:4" ht="21.75" customHeight="1" x14ac:dyDescent="0.6">
      <c r="A105" s="1"/>
      <c r="B105" s="1"/>
      <c r="C105" s="1"/>
      <c r="D105" s="17"/>
    </row>
    <row r="106" spans="1:4" ht="21.75" customHeight="1" x14ac:dyDescent="0.6">
      <c r="A106" s="1"/>
      <c r="B106" s="1"/>
      <c r="C106" s="1"/>
      <c r="D106" s="17"/>
    </row>
    <row r="107" spans="1:4" ht="21.75" customHeight="1" x14ac:dyDescent="0.6">
      <c r="A107" s="1"/>
      <c r="B107" s="1"/>
      <c r="C107" s="1"/>
      <c r="D107" s="17"/>
    </row>
    <row r="108" spans="1:4" ht="21.75" customHeight="1" x14ac:dyDescent="0.6">
      <c r="A108" s="1"/>
      <c r="B108" s="1"/>
      <c r="C108" s="1"/>
      <c r="D108" s="17"/>
    </row>
    <row r="109" spans="1:4" ht="21.75" customHeight="1" x14ac:dyDescent="0.6">
      <c r="A109" s="1"/>
      <c r="B109" s="1"/>
      <c r="C109" s="1"/>
      <c r="D109" s="17"/>
    </row>
    <row r="110" spans="1:4" ht="21.75" customHeight="1" x14ac:dyDescent="0.6">
      <c r="A110" s="1"/>
      <c r="B110" s="1"/>
      <c r="C110" s="1"/>
      <c r="D110" s="17"/>
    </row>
    <row r="111" spans="1:4" ht="21.75" customHeight="1" x14ac:dyDescent="0.6">
      <c r="A111" s="1"/>
      <c r="B111" s="1"/>
      <c r="C111" s="1"/>
      <c r="D111" s="17"/>
    </row>
    <row r="112" spans="1:4" ht="21.75" customHeight="1" x14ac:dyDescent="0.6">
      <c r="A112" s="1"/>
      <c r="B112" s="1"/>
      <c r="C112" s="1"/>
      <c r="D112" s="17"/>
    </row>
    <row r="113" spans="1:4" ht="21.75" customHeight="1" x14ac:dyDescent="0.6">
      <c r="A113" s="1"/>
      <c r="B113" s="1"/>
      <c r="C113" s="1"/>
      <c r="D113" s="17"/>
    </row>
    <row r="114" spans="1:4" ht="21.75" customHeight="1" x14ac:dyDescent="0.6">
      <c r="A114" s="1"/>
      <c r="B114" s="1"/>
      <c r="C114" s="1"/>
      <c r="D114" s="17"/>
    </row>
    <row r="115" spans="1:4" ht="21.75" customHeight="1" x14ac:dyDescent="0.6">
      <c r="A115" s="1"/>
      <c r="B115" s="1"/>
      <c r="C115" s="1"/>
      <c r="D115" s="17"/>
    </row>
    <row r="116" spans="1:4" ht="21.75" customHeight="1" x14ac:dyDescent="0.6">
      <c r="A116" s="1"/>
      <c r="B116" s="1"/>
      <c r="C116" s="1"/>
      <c r="D116" s="17"/>
    </row>
    <row r="117" spans="1:4" ht="21.75" customHeight="1" x14ac:dyDescent="0.6">
      <c r="A117" s="1"/>
      <c r="B117" s="1"/>
      <c r="C117" s="1"/>
      <c r="D117" s="17"/>
    </row>
    <row r="118" spans="1:4" ht="21.75" customHeight="1" x14ac:dyDescent="0.6">
      <c r="A118" s="1"/>
      <c r="B118" s="1"/>
      <c r="C118" s="1"/>
      <c r="D118" s="17"/>
    </row>
    <row r="119" spans="1:4" ht="21.75" customHeight="1" x14ac:dyDescent="0.6">
      <c r="A119" s="1"/>
      <c r="B119" s="1"/>
      <c r="C119" s="1"/>
      <c r="D119" s="17"/>
    </row>
    <row r="120" spans="1:4" ht="21.75" customHeight="1" x14ac:dyDescent="0.6">
      <c r="A120" s="1"/>
      <c r="B120" s="1"/>
      <c r="C120" s="1"/>
      <c r="D120" s="17"/>
    </row>
    <row r="121" spans="1:4" ht="21.75" customHeight="1" x14ac:dyDescent="0.6">
      <c r="A121" s="1"/>
      <c r="B121" s="1"/>
      <c r="C121" s="1"/>
      <c r="D121" s="17"/>
    </row>
    <row r="122" spans="1:4" ht="21.75" customHeight="1" x14ac:dyDescent="0.6">
      <c r="A122" s="1"/>
      <c r="B122" s="1"/>
      <c r="C122" s="1"/>
      <c r="D122" s="17"/>
    </row>
    <row r="123" spans="1:4" ht="21.75" customHeight="1" x14ac:dyDescent="0.6">
      <c r="A123" s="1"/>
      <c r="B123" s="1"/>
      <c r="C123" s="1"/>
      <c r="D123" s="17"/>
    </row>
    <row r="124" spans="1:4" ht="21.75" customHeight="1" x14ac:dyDescent="0.6">
      <c r="A124" s="1"/>
      <c r="B124" s="1"/>
      <c r="C124" s="1"/>
      <c r="D124" s="17"/>
    </row>
    <row r="125" spans="1:4" ht="21.75" customHeight="1" x14ac:dyDescent="0.6">
      <c r="A125" s="1"/>
      <c r="B125" s="1"/>
      <c r="C125" s="1"/>
      <c r="D125" s="17"/>
    </row>
    <row r="126" spans="1:4" ht="21.75" customHeight="1" x14ac:dyDescent="0.6">
      <c r="A126" s="1"/>
      <c r="B126" s="1"/>
      <c r="C126" s="1"/>
      <c r="D126" s="17"/>
    </row>
    <row r="127" spans="1:4" ht="21.75" customHeight="1" x14ac:dyDescent="0.6">
      <c r="A127" s="1"/>
      <c r="B127" s="1"/>
      <c r="C127" s="1"/>
      <c r="D127" s="17"/>
    </row>
    <row r="128" spans="1:4" ht="21.75" customHeight="1" x14ac:dyDescent="0.6">
      <c r="A128" s="1"/>
      <c r="B128" s="1"/>
      <c r="C128" s="1"/>
      <c r="D128" s="17"/>
    </row>
    <row r="129" spans="1:4" ht="21.75" customHeight="1" x14ac:dyDescent="0.6">
      <c r="A129" s="1"/>
      <c r="B129" s="1"/>
      <c r="C129" s="1"/>
      <c r="D129" s="17"/>
    </row>
    <row r="130" spans="1:4" ht="21.75" customHeight="1" x14ac:dyDescent="0.6">
      <c r="A130" s="1"/>
      <c r="B130" s="1"/>
      <c r="C130" s="1"/>
      <c r="D130" s="17"/>
    </row>
    <row r="131" spans="1:4" ht="21.75" customHeight="1" x14ac:dyDescent="0.6">
      <c r="A131" s="1"/>
      <c r="B131" s="1"/>
      <c r="C131" s="1"/>
      <c r="D131" s="17"/>
    </row>
    <row r="132" spans="1:4" ht="21.75" customHeight="1" x14ac:dyDescent="0.6">
      <c r="A132" s="1"/>
      <c r="B132" s="1"/>
      <c r="C132" s="1"/>
      <c r="D132" s="17"/>
    </row>
    <row r="133" spans="1:4" ht="21.75" customHeight="1" x14ac:dyDescent="0.6">
      <c r="A133" s="1"/>
      <c r="B133" s="1"/>
      <c r="C133" s="1"/>
      <c r="D133" s="17"/>
    </row>
    <row r="134" spans="1:4" ht="21.75" customHeight="1" x14ac:dyDescent="0.6">
      <c r="A134" s="1"/>
      <c r="B134" s="1"/>
      <c r="C134" s="1"/>
      <c r="D134" s="17"/>
    </row>
    <row r="135" spans="1:4" ht="21.75" customHeight="1" x14ac:dyDescent="0.6">
      <c r="A135" s="1"/>
      <c r="B135" s="1"/>
      <c r="C135" s="1"/>
      <c r="D135" s="17"/>
    </row>
    <row r="136" spans="1:4" ht="21.75" customHeight="1" x14ac:dyDescent="0.6">
      <c r="A136" s="1"/>
      <c r="B136" s="1"/>
      <c r="C136" s="1"/>
      <c r="D136" s="17"/>
    </row>
    <row r="137" spans="1:4" ht="21.75" customHeight="1" x14ac:dyDescent="0.6">
      <c r="A137" s="1"/>
      <c r="B137" s="1"/>
      <c r="C137" s="1"/>
      <c r="D137" s="17"/>
    </row>
    <row r="138" spans="1:4" ht="21.75" customHeight="1" x14ac:dyDescent="0.6">
      <c r="A138" s="1"/>
      <c r="B138" s="1"/>
      <c r="C138" s="1"/>
      <c r="D138" s="17"/>
    </row>
    <row r="139" spans="1:4" ht="21.75" customHeight="1" x14ac:dyDescent="0.6">
      <c r="A139" s="1"/>
      <c r="B139" s="1"/>
      <c r="C139" s="1"/>
      <c r="D139" s="17"/>
    </row>
    <row r="140" spans="1:4" ht="21.75" customHeight="1" x14ac:dyDescent="0.6">
      <c r="A140" s="1"/>
      <c r="B140" s="1"/>
      <c r="C140" s="1"/>
      <c r="D140" s="17"/>
    </row>
    <row r="141" spans="1:4" ht="21.75" customHeight="1" x14ac:dyDescent="0.6">
      <c r="A141" s="1"/>
      <c r="B141" s="1"/>
      <c r="C141" s="1"/>
      <c r="D141" s="17"/>
    </row>
    <row r="142" spans="1:4" ht="21.75" customHeight="1" x14ac:dyDescent="0.6">
      <c r="A142" s="1"/>
      <c r="B142" s="1"/>
      <c r="C142" s="1"/>
      <c r="D142" s="17"/>
    </row>
    <row r="143" spans="1:4" ht="21.75" customHeight="1" x14ac:dyDescent="0.6">
      <c r="A143" s="1"/>
      <c r="B143" s="1"/>
      <c r="C143" s="1"/>
      <c r="D143" s="17"/>
    </row>
    <row r="144" spans="1:4" ht="21.75" customHeight="1" x14ac:dyDescent="0.6">
      <c r="A144" s="1"/>
      <c r="B144" s="1"/>
      <c r="C144" s="1"/>
      <c r="D144" s="17"/>
    </row>
    <row r="145" spans="1:4" ht="21.75" customHeight="1" x14ac:dyDescent="0.6">
      <c r="A145" s="1"/>
      <c r="B145" s="1"/>
      <c r="C145" s="1"/>
      <c r="D145" s="17"/>
    </row>
    <row r="146" spans="1:4" ht="21.75" customHeight="1" x14ac:dyDescent="0.6">
      <c r="A146" s="1"/>
      <c r="B146" s="1"/>
      <c r="C146" s="1"/>
      <c r="D146" s="17"/>
    </row>
    <row r="147" spans="1:4" ht="21.75" customHeight="1" x14ac:dyDescent="0.6">
      <c r="A147" s="1"/>
      <c r="B147" s="1"/>
      <c r="C147" s="1"/>
      <c r="D147" s="17"/>
    </row>
    <row r="148" spans="1:4" ht="21.75" customHeight="1" x14ac:dyDescent="0.6">
      <c r="A148" s="1"/>
      <c r="B148" s="1"/>
      <c r="C148" s="1"/>
      <c r="D148" s="17"/>
    </row>
    <row r="149" spans="1:4" ht="21.75" customHeight="1" x14ac:dyDescent="0.6">
      <c r="A149" s="1"/>
      <c r="B149" s="1"/>
      <c r="C149" s="1"/>
      <c r="D149" s="17"/>
    </row>
    <row r="150" spans="1:4" ht="21.75" customHeight="1" x14ac:dyDescent="0.6">
      <c r="A150" s="1"/>
      <c r="B150" s="1"/>
      <c r="C150" s="1"/>
      <c r="D150" s="17"/>
    </row>
    <row r="151" spans="1:4" ht="21.75" customHeight="1" x14ac:dyDescent="0.6">
      <c r="A151" s="1"/>
      <c r="B151" s="1"/>
      <c r="C151" s="1"/>
      <c r="D151" s="17"/>
    </row>
    <row r="152" spans="1:4" ht="21.75" customHeight="1" x14ac:dyDescent="0.6">
      <c r="A152" s="1"/>
      <c r="B152" s="1"/>
      <c r="C152" s="1"/>
      <c r="D152" s="17"/>
    </row>
    <row r="153" spans="1:4" ht="21.75" customHeight="1" x14ac:dyDescent="0.6">
      <c r="A153" s="1"/>
      <c r="B153" s="1"/>
      <c r="C153" s="1"/>
      <c r="D153" s="17"/>
    </row>
    <row r="154" spans="1:4" ht="21.75" customHeight="1" x14ac:dyDescent="0.6">
      <c r="A154" s="1"/>
      <c r="B154" s="1"/>
      <c r="C154" s="1"/>
      <c r="D154" s="17"/>
    </row>
    <row r="155" spans="1:4" ht="21.75" customHeight="1" x14ac:dyDescent="0.6">
      <c r="A155" s="1"/>
      <c r="B155" s="1"/>
      <c r="C155" s="1"/>
      <c r="D155" s="17"/>
    </row>
    <row r="156" spans="1:4" ht="21.75" customHeight="1" x14ac:dyDescent="0.6">
      <c r="A156" s="1"/>
      <c r="B156" s="1"/>
      <c r="C156" s="1"/>
      <c r="D156" s="17"/>
    </row>
    <row r="157" spans="1:4" ht="21.75" customHeight="1" x14ac:dyDescent="0.6">
      <c r="A157" s="1"/>
      <c r="B157" s="1"/>
      <c r="C157" s="1"/>
      <c r="D157" s="17"/>
    </row>
    <row r="158" spans="1:4" ht="21.75" customHeight="1" x14ac:dyDescent="0.6">
      <c r="A158" s="1"/>
      <c r="B158" s="1"/>
      <c r="C158" s="1"/>
      <c r="D158" s="17"/>
    </row>
    <row r="159" spans="1:4" ht="21.75" customHeight="1" x14ac:dyDescent="0.6">
      <c r="A159" s="1"/>
      <c r="B159" s="1"/>
      <c r="C159" s="1"/>
      <c r="D159" s="17"/>
    </row>
    <row r="160" spans="1:4" ht="21.75" customHeight="1" x14ac:dyDescent="0.6">
      <c r="A160" s="1"/>
      <c r="B160" s="1"/>
      <c r="C160" s="1"/>
      <c r="D160" s="17"/>
    </row>
    <row r="161" spans="1:4" ht="21.75" customHeight="1" x14ac:dyDescent="0.6">
      <c r="A161" s="1"/>
      <c r="B161" s="1"/>
      <c r="C161" s="1"/>
      <c r="D161" s="17"/>
    </row>
    <row r="162" spans="1:4" ht="21.75" customHeight="1" x14ac:dyDescent="0.6">
      <c r="A162" s="1"/>
      <c r="B162" s="1"/>
      <c r="C162" s="1"/>
      <c r="D162" s="17"/>
    </row>
    <row r="163" spans="1:4" ht="21.75" customHeight="1" x14ac:dyDescent="0.6">
      <c r="A163" s="1"/>
      <c r="B163" s="1"/>
      <c r="C163" s="1"/>
      <c r="D163" s="17"/>
    </row>
    <row r="164" spans="1:4" ht="21.75" customHeight="1" x14ac:dyDescent="0.6">
      <c r="A164" s="1"/>
      <c r="B164" s="1"/>
      <c r="C164" s="1"/>
      <c r="D164" s="17"/>
    </row>
    <row r="165" spans="1:4" ht="21.75" customHeight="1" x14ac:dyDescent="0.6">
      <c r="A165" s="1"/>
      <c r="B165" s="1"/>
      <c r="C165" s="1"/>
      <c r="D165" s="17"/>
    </row>
    <row r="166" spans="1:4" ht="21.75" customHeight="1" x14ac:dyDescent="0.6">
      <c r="A166" s="1"/>
      <c r="B166" s="1"/>
      <c r="C166" s="1"/>
      <c r="D166" s="17"/>
    </row>
    <row r="167" spans="1:4" ht="21.75" customHeight="1" x14ac:dyDescent="0.6">
      <c r="A167" s="1"/>
      <c r="B167" s="1"/>
      <c r="C167" s="1"/>
      <c r="D167" s="17"/>
    </row>
    <row r="168" spans="1:4" ht="21.75" customHeight="1" x14ac:dyDescent="0.6">
      <c r="A168" s="1"/>
      <c r="B168" s="1"/>
      <c r="C168" s="1"/>
      <c r="D168" s="17"/>
    </row>
    <row r="169" spans="1:4" ht="21.75" customHeight="1" x14ac:dyDescent="0.6">
      <c r="A169" s="1"/>
      <c r="B169" s="1"/>
      <c r="C169" s="1"/>
      <c r="D169" s="17"/>
    </row>
    <row r="170" spans="1:4" ht="21.75" customHeight="1" x14ac:dyDescent="0.6">
      <c r="A170" s="1"/>
      <c r="B170" s="1"/>
      <c r="C170" s="1"/>
      <c r="D170" s="17"/>
    </row>
    <row r="171" spans="1:4" ht="21.75" customHeight="1" x14ac:dyDescent="0.6">
      <c r="A171" s="1"/>
      <c r="B171" s="1"/>
      <c r="C171" s="1"/>
      <c r="D171" s="17"/>
    </row>
    <row r="172" spans="1:4" ht="21.75" customHeight="1" x14ac:dyDescent="0.6">
      <c r="A172" s="1"/>
      <c r="B172" s="1"/>
      <c r="C172" s="1"/>
      <c r="D172" s="17"/>
    </row>
    <row r="173" spans="1:4" ht="21.75" customHeight="1" x14ac:dyDescent="0.6">
      <c r="A173" s="1"/>
      <c r="B173" s="1"/>
      <c r="C173" s="1"/>
      <c r="D173" s="17"/>
    </row>
    <row r="174" spans="1:4" ht="21.75" customHeight="1" x14ac:dyDescent="0.6">
      <c r="A174" s="1"/>
      <c r="B174" s="1"/>
      <c r="C174" s="1"/>
      <c r="D174" s="17"/>
    </row>
    <row r="175" spans="1:4" ht="21.75" customHeight="1" x14ac:dyDescent="0.6">
      <c r="A175" s="1"/>
      <c r="B175" s="1"/>
      <c r="C175" s="1"/>
      <c r="D175" s="17"/>
    </row>
    <row r="176" spans="1:4" ht="21.75" customHeight="1" x14ac:dyDescent="0.6">
      <c r="A176" s="1"/>
      <c r="B176" s="1"/>
      <c r="C176" s="1"/>
      <c r="D176" s="17"/>
    </row>
    <row r="177" spans="1:4" ht="21.75" customHeight="1" x14ac:dyDescent="0.6">
      <c r="A177" s="1"/>
      <c r="B177" s="1"/>
      <c r="C177" s="1"/>
      <c r="D177" s="17"/>
    </row>
    <row r="178" spans="1:4" ht="21.75" customHeight="1" x14ac:dyDescent="0.6">
      <c r="A178" s="1"/>
      <c r="B178" s="1"/>
      <c r="C178" s="1"/>
      <c r="D178" s="17"/>
    </row>
    <row r="179" spans="1:4" ht="21.75" customHeight="1" x14ac:dyDescent="0.6">
      <c r="A179" s="1"/>
      <c r="B179" s="1"/>
      <c r="C179" s="1"/>
      <c r="D179" s="17"/>
    </row>
    <row r="180" spans="1:4" ht="21.75" customHeight="1" x14ac:dyDescent="0.6">
      <c r="A180" s="1"/>
      <c r="B180" s="1"/>
      <c r="C180" s="1"/>
      <c r="D180" s="17"/>
    </row>
    <row r="181" spans="1:4" ht="21.75" customHeight="1" x14ac:dyDescent="0.6">
      <c r="A181" s="1"/>
      <c r="B181" s="1"/>
      <c r="C181" s="1"/>
      <c r="D181" s="17"/>
    </row>
    <row r="182" spans="1:4" ht="21.75" customHeight="1" x14ac:dyDescent="0.6">
      <c r="A182" s="1"/>
      <c r="B182" s="1"/>
      <c r="C182" s="1"/>
      <c r="D182" s="17"/>
    </row>
    <row r="183" spans="1:4" ht="21.75" customHeight="1" x14ac:dyDescent="0.6">
      <c r="A183" s="1"/>
      <c r="B183" s="1"/>
      <c r="C183" s="1"/>
      <c r="D183" s="17"/>
    </row>
    <row r="184" spans="1:4" ht="21.75" customHeight="1" x14ac:dyDescent="0.6">
      <c r="A184" s="1"/>
      <c r="B184" s="1"/>
      <c r="C184" s="1"/>
      <c r="D184" s="17"/>
    </row>
    <row r="185" spans="1:4" ht="21.75" customHeight="1" x14ac:dyDescent="0.6">
      <c r="A185" s="1"/>
      <c r="B185" s="1"/>
      <c r="C185" s="1"/>
      <c r="D185" s="17"/>
    </row>
    <row r="186" spans="1:4" ht="21.75" customHeight="1" x14ac:dyDescent="0.6">
      <c r="A186" s="1"/>
      <c r="B186" s="1"/>
      <c r="C186" s="1"/>
      <c r="D186" s="17"/>
    </row>
    <row r="187" spans="1:4" ht="21.75" customHeight="1" x14ac:dyDescent="0.6">
      <c r="A187" s="1"/>
      <c r="B187" s="1"/>
      <c r="C187" s="1"/>
      <c r="D187" s="17"/>
    </row>
    <row r="188" spans="1:4" ht="21.75" customHeight="1" x14ac:dyDescent="0.6">
      <c r="A188" s="1"/>
      <c r="B188" s="1"/>
      <c r="C188" s="1"/>
      <c r="D188" s="17"/>
    </row>
    <row r="189" spans="1:4" ht="21.75" customHeight="1" x14ac:dyDescent="0.6">
      <c r="A189" s="1"/>
      <c r="B189" s="1"/>
      <c r="C189" s="1"/>
      <c r="D189" s="17"/>
    </row>
    <row r="190" spans="1:4" ht="21.75" customHeight="1" x14ac:dyDescent="0.6">
      <c r="A190" s="1"/>
      <c r="B190" s="1"/>
      <c r="C190" s="1"/>
      <c r="D190" s="17"/>
    </row>
    <row r="191" spans="1:4" ht="21.75" customHeight="1" x14ac:dyDescent="0.6">
      <c r="A191" s="1"/>
      <c r="B191" s="1"/>
      <c r="C191" s="1"/>
      <c r="D191" s="17"/>
    </row>
    <row r="192" spans="1:4" ht="21.75" customHeight="1" x14ac:dyDescent="0.6">
      <c r="A192" s="1"/>
      <c r="B192" s="1"/>
      <c r="C192" s="1"/>
      <c r="D192" s="17"/>
    </row>
    <row r="193" spans="1:4" ht="21.75" customHeight="1" x14ac:dyDescent="0.6">
      <c r="A193" s="1"/>
      <c r="B193" s="1"/>
      <c r="C193" s="1"/>
      <c r="D193" s="17"/>
    </row>
    <row r="194" spans="1:4" ht="21.75" customHeight="1" x14ac:dyDescent="0.6">
      <c r="A194" s="1"/>
      <c r="B194" s="1"/>
      <c r="C194" s="1"/>
      <c r="D194" s="17"/>
    </row>
    <row r="195" spans="1:4" ht="21.75" customHeight="1" x14ac:dyDescent="0.6">
      <c r="A195" s="1"/>
      <c r="B195" s="1"/>
      <c r="C195" s="1"/>
      <c r="D195" s="17"/>
    </row>
    <row r="196" spans="1:4" ht="21.75" customHeight="1" x14ac:dyDescent="0.6">
      <c r="A196" s="1"/>
      <c r="B196" s="1"/>
      <c r="C196" s="1"/>
      <c r="D196" s="17"/>
    </row>
    <row r="197" spans="1:4" ht="21.75" customHeight="1" x14ac:dyDescent="0.6">
      <c r="A197" s="1"/>
      <c r="B197" s="1"/>
      <c r="C197" s="1"/>
      <c r="D197" s="17"/>
    </row>
    <row r="198" spans="1:4" ht="21.75" customHeight="1" x14ac:dyDescent="0.6">
      <c r="A198" s="1"/>
      <c r="B198" s="1"/>
      <c r="C198" s="1"/>
      <c r="D198" s="17"/>
    </row>
    <row r="199" spans="1:4" ht="21.75" customHeight="1" x14ac:dyDescent="0.6">
      <c r="A199" s="1"/>
      <c r="B199" s="1"/>
      <c r="C199" s="1"/>
      <c r="D199" s="17"/>
    </row>
    <row r="200" spans="1:4" ht="21.75" customHeight="1" x14ac:dyDescent="0.6">
      <c r="A200" s="1"/>
      <c r="B200" s="1"/>
      <c r="C200" s="1"/>
      <c r="D200" s="17"/>
    </row>
    <row r="201" spans="1:4" ht="21.75" customHeight="1" x14ac:dyDescent="0.6">
      <c r="A201" s="1"/>
      <c r="B201" s="1"/>
      <c r="C201" s="1"/>
      <c r="D201" s="17"/>
    </row>
    <row r="202" spans="1:4" ht="21.75" customHeight="1" x14ac:dyDescent="0.6">
      <c r="A202" s="1"/>
      <c r="B202" s="1"/>
      <c r="C202" s="1"/>
      <c r="D202" s="17"/>
    </row>
    <row r="203" spans="1:4" ht="21.75" customHeight="1" x14ac:dyDescent="0.6">
      <c r="A203" s="1"/>
      <c r="B203" s="1"/>
      <c r="C203" s="1"/>
      <c r="D203" s="17"/>
    </row>
    <row r="204" spans="1:4" ht="21.75" customHeight="1" x14ac:dyDescent="0.6">
      <c r="A204" s="1"/>
      <c r="B204" s="1"/>
      <c r="C204" s="1"/>
      <c r="D204" s="17"/>
    </row>
    <row r="205" spans="1:4" ht="21.75" customHeight="1" x14ac:dyDescent="0.6">
      <c r="A205" s="1"/>
      <c r="B205" s="1"/>
      <c r="C205" s="1"/>
      <c r="D205" s="17"/>
    </row>
    <row r="206" spans="1:4" ht="21.75" customHeight="1" x14ac:dyDescent="0.6">
      <c r="A206" s="1"/>
      <c r="B206" s="1"/>
      <c r="C206" s="1"/>
      <c r="D206" s="17"/>
    </row>
    <row r="207" spans="1:4" ht="21.75" customHeight="1" x14ac:dyDescent="0.6">
      <c r="A207" s="1"/>
      <c r="B207" s="1"/>
      <c r="C207" s="1"/>
      <c r="D207" s="17"/>
    </row>
    <row r="208" spans="1:4" ht="21.75" customHeight="1" x14ac:dyDescent="0.6">
      <c r="A208" s="1"/>
      <c r="B208" s="1"/>
      <c r="C208" s="1"/>
      <c r="D208" s="17"/>
    </row>
    <row r="209" spans="1:4" ht="21.75" customHeight="1" x14ac:dyDescent="0.6">
      <c r="A209" s="1"/>
      <c r="B209" s="1"/>
      <c r="C209" s="1"/>
      <c r="D209" s="17"/>
    </row>
    <row r="210" spans="1:4" ht="21.75" customHeight="1" x14ac:dyDescent="0.6">
      <c r="A210" s="1"/>
      <c r="B210" s="1"/>
      <c r="C210" s="1"/>
      <c r="D210" s="17"/>
    </row>
    <row r="211" spans="1:4" ht="21.75" customHeight="1" x14ac:dyDescent="0.6">
      <c r="A211" s="1"/>
      <c r="B211" s="1"/>
      <c r="C211" s="1"/>
      <c r="D211" s="17"/>
    </row>
    <row r="212" spans="1:4" ht="21.75" customHeight="1" x14ac:dyDescent="0.6">
      <c r="A212" s="1"/>
      <c r="B212" s="1"/>
      <c r="C212" s="1"/>
      <c r="D212" s="17"/>
    </row>
    <row r="213" spans="1:4" ht="21.75" customHeight="1" x14ac:dyDescent="0.6">
      <c r="A213" s="1"/>
      <c r="B213" s="1"/>
      <c r="C213" s="1"/>
      <c r="D213" s="17"/>
    </row>
    <row r="214" spans="1:4" ht="21.75" customHeight="1" x14ac:dyDescent="0.6">
      <c r="A214" s="1"/>
      <c r="B214" s="1"/>
      <c r="C214" s="1"/>
      <c r="D214" s="17"/>
    </row>
    <row r="215" spans="1:4" ht="21.75" customHeight="1" x14ac:dyDescent="0.6">
      <c r="A215" s="1"/>
      <c r="B215" s="1"/>
      <c r="C215" s="1"/>
      <c r="D215" s="17"/>
    </row>
    <row r="216" spans="1:4" ht="21.75" customHeight="1" x14ac:dyDescent="0.6">
      <c r="A216" s="1"/>
      <c r="B216" s="1"/>
      <c r="C216" s="1"/>
      <c r="D216" s="17"/>
    </row>
    <row r="217" spans="1:4" ht="21.75" customHeight="1" x14ac:dyDescent="0.6">
      <c r="A217" s="1"/>
      <c r="B217" s="1"/>
      <c r="C217" s="1"/>
      <c r="D217" s="17"/>
    </row>
    <row r="218" spans="1:4" ht="21.75" customHeight="1" x14ac:dyDescent="0.6">
      <c r="A218" s="1"/>
      <c r="B218" s="1"/>
      <c r="C218" s="1"/>
      <c r="D218" s="17"/>
    </row>
    <row r="219" spans="1:4" ht="21.75" customHeight="1" x14ac:dyDescent="0.6">
      <c r="A219" s="1"/>
      <c r="B219" s="1"/>
      <c r="C219" s="1"/>
      <c r="D219" s="17"/>
    </row>
    <row r="220" spans="1:4" ht="21.75" customHeight="1" x14ac:dyDescent="0.6">
      <c r="A220" s="1"/>
      <c r="B220" s="1"/>
      <c r="C220" s="1"/>
      <c r="D220" s="17"/>
    </row>
    <row r="221" spans="1:4" ht="21.75" customHeight="1" x14ac:dyDescent="0.6">
      <c r="A221" s="1"/>
      <c r="B221" s="1"/>
      <c r="C221" s="1"/>
      <c r="D221" s="17"/>
    </row>
    <row r="222" spans="1:4" ht="21.75" customHeight="1" x14ac:dyDescent="0.6">
      <c r="A222" s="1"/>
      <c r="B222" s="1"/>
      <c r="C222" s="1"/>
      <c r="D222" s="17"/>
    </row>
    <row r="223" spans="1:4" ht="21.75" customHeight="1" x14ac:dyDescent="0.6">
      <c r="A223" s="1"/>
      <c r="B223" s="1"/>
      <c r="C223" s="1"/>
      <c r="D223" s="17"/>
    </row>
    <row r="224" spans="1:4" ht="21.75" customHeight="1" x14ac:dyDescent="0.6">
      <c r="A224" s="1"/>
      <c r="B224" s="1"/>
      <c r="C224" s="1"/>
      <c r="D224" s="17"/>
    </row>
    <row r="225" spans="1:4" ht="21.75" customHeight="1" x14ac:dyDescent="0.6">
      <c r="A225" s="1"/>
      <c r="B225" s="1"/>
      <c r="C225" s="1"/>
      <c r="D225" s="17"/>
    </row>
    <row r="226" spans="1:4" ht="21.75" customHeight="1" x14ac:dyDescent="0.6">
      <c r="A226" s="1"/>
      <c r="B226" s="1"/>
      <c r="C226" s="1"/>
      <c r="D226" s="17"/>
    </row>
    <row r="227" spans="1:4" ht="21.75" customHeight="1" x14ac:dyDescent="0.6">
      <c r="A227" s="1"/>
      <c r="B227" s="1"/>
      <c r="C227" s="1"/>
      <c r="D227" s="17"/>
    </row>
    <row r="228" spans="1:4" ht="21.75" customHeight="1" x14ac:dyDescent="0.6">
      <c r="A228" s="1"/>
      <c r="B228" s="1"/>
      <c r="C228" s="1"/>
      <c r="D228" s="17"/>
    </row>
    <row r="229" spans="1:4" ht="21.75" customHeight="1" x14ac:dyDescent="0.6">
      <c r="A229" s="1"/>
      <c r="B229" s="1"/>
      <c r="C229" s="1"/>
      <c r="D229" s="17"/>
    </row>
    <row r="230" spans="1:4" ht="21.75" customHeight="1" x14ac:dyDescent="0.6">
      <c r="A230" s="1"/>
      <c r="B230" s="1"/>
      <c r="C230" s="1"/>
      <c r="D230" s="17"/>
    </row>
    <row r="231" spans="1:4" ht="21.75" customHeight="1" x14ac:dyDescent="0.6">
      <c r="A231" s="1"/>
      <c r="B231" s="1"/>
      <c r="C231" s="1"/>
      <c r="D231" s="17"/>
    </row>
    <row r="232" spans="1:4" ht="21.75" customHeight="1" x14ac:dyDescent="0.6">
      <c r="A232" s="1"/>
      <c r="B232" s="1"/>
      <c r="C232" s="1"/>
      <c r="D232" s="17"/>
    </row>
    <row r="233" spans="1:4" ht="21.75" customHeight="1" x14ac:dyDescent="0.6">
      <c r="A233" s="1"/>
      <c r="B233" s="1"/>
      <c r="C233" s="1"/>
      <c r="D233" s="17"/>
    </row>
    <row r="234" spans="1:4" ht="21.75" customHeight="1" x14ac:dyDescent="0.6">
      <c r="A234" s="1"/>
      <c r="B234" s="1"/>
      <c r="C234" s="1"/>
      <c r="D234" s="17"/>
    </row>
    <row r="235" spans="1:4" ht="21.75" customHeight="1" x14ac:dyDescent="0.6">
      <c r="A235" s="1"/>
      <c r="B235" s="1"/>
      <c r="C235" s="1"/>
      <c r="D235" s="17"/>
    </row>
    <row r="236" spans="1:4" ht="21.75" customHeight="1" x14ac:dyDescent="0.6">
      <c r="A236" s="1"/>
      <c r="B236" s="1"/>
      <c r="C236" s="1"/>
      <c r="D236" s="17"/>
    </row>
    <row r="237" spans="1:4" ht="21.75" customHeight="1" x14ac:dyDescent="0.6">
      <c r="A237" s="1"/>
      <c r="B237" s="1"/>
      <c r="C237" s="1"/>
      <c r="D237" s="17"/>
    </row>
    <row r="238" spans="1:4" ht="21.75" customHeight="1" x14ac:dyDescent="0.6">
      <c r="A238" s="1"/>
      <c r="B238" s="1"/>
      <c r="C238" s="1"/>
      <c r="D238" s="17"/>
    </row>
    <row r="239" spans="1:4" ht="21.75" customHeight="1" x14ac:dyDescent="0.6">
      <c r="A239" s="1"/>
      <c r="B239" s="1"/>
      <c r="C239" s="1"/>
      <c r="D239" s="17"/>
    </row>
    <row r="240" spans="1:4" ht="21.75" customHeight="1" x14ac:dyDescent="0.6">
      <c r="A240" s="1"/>
      <c r="B240" s="1"/>
      <c r="C240" s="1"/>
      <c r="D240" s="17"/>
    </row>
    <row r="241" spans="1:4" ht="21.75" customHeight="1" x14ac:dyDescent="0.6">
      <c r="A241" s="1"/>
      <c r="B241" s="1"/>
      <c r="C241" s="1"/>
      <c r="D241" s="17"/>
    </row>
    <row r="242" spans="1:4" ht="21.75" customHeight="1" x14ac:dyDescent="0.6">
      <c r="A242" s="1"/>
      <c r="B242" s="1"/>
      <c r="C242" s="1"/>
      <c r="D242" s="17"/>
    </row>
    <row r="243" spans="1:4" ht="21.75" customHeight="1" x14ac:dyDescent="0.6">
      <c r="A243" s="1"/>
      <c r="B243" s="1"/>
      <c r="C243" s="1"/>
      <c r="D243" s="17"/>
    </row>
    <row r="244" spans="1:4" ht="21.75" customHeight="1" x14ac:dyDescent="0.6">
      <c r="A244" s="1"/>
      <c r="B244" s="1"/>
      <c r="C244" s="1"/>
      <c r="D244" s="17"/>
    </row>
    <row r="245" spans="1:4" ht="21.75" customHeight="1" x14ac:dyDescent="0.6">
      <c r="A245" s="1"/>
      <c r="B245" s="1"/>
      <c r="C245" s="1"/>
      <c r="D245" s="17"/>
    </row>
    <row r="246" spans="1:4" ht="21.75" customHeight="1" x14ac:dyDescent="0.6">
      <c r="A246" s="1"/>
      <c r="B246" s="1"/>
      <c r="C246" s="1"/>
      <c r="D246" s="17"/>
    </row>
    <row r="247" spans="1:4" ht="21.75" customHeight="1" x14ac:dyDescent="0.6">
      <c r="A247" s="1"/>
      <c r="B247" s="1"/>
      <c r="C247" s="1"/>
      <c r="D247" s="17"/>
    </row>
    <row r="248" spans="1:4" ht="21.75" customHeight="1" x14ac:dyDescent="0.6">
      <c r="A248" s="1"/>
      <c r="B248" s="1"/>
      <c r="C248" s="1"/>
      <c r="D248" s="17"/>
    </row>
    <row r="249" spans="1:4" ht="21.75" customHeight="1" x14ac:dyDescent="0.6">
      <c r="A249" s="1"/>
      <c r="B249" s="1"/>
      <c r="C249" s="1"/>
      <c r="D249" s="17"/>
    </row>
    <row r="250" spans="1:4" ht="21.75" customHeight="1" x14ac:dyDescent="0.6">
      <c r="A250" s="1"/>
      <c r="B250" s="1"/>
      <c r="C250" s="1"/>
      <c r="D250" s="17"/>
    </row>
    <row r="251" spans="1:4" ht="21.75" customHeight="1" x14ac:dyDescent="0.6">
      <c r="A251" s="1"/>
      <c r="B251" s="1"/>
      <c r="C251" s="1"/>
      <c r="D251" s="17"/>
    </row>
    <row r="252" spans="1:4" ht="21.75" customHeight="1" x14ac:dyDescent="0.6">
      <c r="A252" s="1"/>
      <c r="B252" s="1"/>
      <c r="C252" s="1"/>
      <c r="D252" s="17"/>
    </row>
    <row r="253" spans="1:4" ht="21.75" customHeight="1" x14ac:dyDescent="0.6">
      <c r="A253" s="1"/>
      <c r="B253" s="1"/>
      <c r="C253" s="1"/>
      <c r="D253" s="17"/>
    </row>
    <row r="254" spans="1:4" ht="21.75" customHeight="1" x14ac:dyDescent="0.6">
      <c r="A254" s="1"/>
      <c r="B254" s="1"/>
      <c r="C254" s="1"/>
      <c r="D254" s="17"/>
    </row>
    <row r="255" spans="1:4" ht="21.75" customHeight="1" x14ac:dyDescent="0.6">
      <c r="A255" s="1"/>
      <c r="B255" s="1"/>
      <c r="C255" s="1"/>
      <c r="D255" s="17"/>
    </row>
    <row r="256" spans="1:4" ht="21.75" customHeight="1" x14ac:dyDescent="0.6">
      <c r="A256" s="1"/>
      <c r="B256" s="1"/>
      <c r="C256" s="1"/>
      <c r="D256" s="17"/>
    </row>
    <row r="257" spans="1:4" ht="21.75" customHeight="1" x14ac:dyDescent="0.6">
      <c r="A257" s="1"/>
      <c r="B257" s="1"/>
      <c r="C257" s="1"/>
      <c r="D257" s="17"/>
    </row>
    <row r="258" spans="1:4" ht="21.75" customHeight="1" x14ac:dyDescent="0.6">
      <c r="A258" s="1"/>
      <c r="B258" s="1"/>
      <c r="C258" s="1"/>
      <c r="D258" s="17"/>
    </row>
    <row r="259" spans="1:4" ht="21.75" customHeight="1" x14ac:dyDescent="0.6">
      <c r="A259" s="1"/>
      <c r="B259" s="1"/>
      <c r="C259" s="1"/>
      <c r="D259" s="17"/>
    </row>
    <row r="260" spans="1:4" ht="21.75" customHeight="1" x14ac:dyDescent="0.6">
      <c r="A260" s="1"/>
      <c r="B260" s="1"/>
      <c r="C260" s="1"/>
      <c r="D260" s="17"/>
    </row>
    <row r="261" spans="1:4" ht="21.75" customHeight="1" x14ac:dyDescent="0.6">
      <c r="A261" s="1"/>
      <c r="B261" s="1"/>
      <c r="C261" s="1"/>
      <c r="D261" s="17"/>
    </row>
    <row r="262" spans="1:4" ht="21.75" customHeight="1" x14ac:dyDescent="0.6">
      <c r="A262" s="1"/>
      <c r="B262" s="1"/>
      <c r="C262" s="1"/>
      <c r="D262" s="17"/>
    </row>
    <row r="263" spans="1:4" ht="21.75" customHeight="1" x14ac:dyDescent="0.6">
      <c r="A263" s="1"/>
      <c r="B263" s="1"/>
      <c r="C263" s="1"/>
      <c r="D263" s="17"/>
    </row>
    <row r="264" spans="1:4" ht="21.75" customHeight="1" x14ac:dyDescent="0.6">
      <c r="A264" s="1"/>
      <c r="B264" s="1"/>
      <c r="C264" s="1"/>
      <c r="D264" s="17"/>
    </row>
    <row r="265" spans="1:4" ht="21.75" customHeight="1" x14ac:dyDescent="0.6">
      <c r="A265" s="1"/>
      <c r="B265" s="1"/>
      <c r="C265" s="1"/>
      <c r="D265" s="17"/>
    </row>
    <row r="266" spans="1:4" ht="21.75" customHeight="1" x14ac:dyDescent="0.6">
      <c r="A266" s="1"/>
      <c r="B266" s="1"/>
      <c r="C266" s="1"/>
      <c r="D266" s="17"/>
    </row>
    <row r="267" spans="1:4" ht="21.75" customHeight="1" x14ac:dyDescent="0.6">
      <c r="A267" s="1"/>
      <c r="B267" s="1"/>
      <c r="C267" s="1"/>
      <c r="D267" s="17"/>
    </row>
    <row r="268" spans="1:4" ht="21.75" customHeight="1" x14ac:dyDescent="0.6">
      <c r="A268" s="1"/>
      <c r="B268" s="1"/>
      <c r="C268" s="1"/>
      <c r="D268" s="17"/>
    </row>
    <row r="269" spans="1:4" ht="21.75" customHeight="1" x14ac:dyDescent="0.6">
      <c r="A269" s="1"/>
      <c r="B269" s="1"/>
      <c r="C269" s="1"/>
      <c r="D269" s="17"/>
    </row>
    <row r="270" spans="1:4" ht="21.75" customHeight="1" x14ac:dyDescent="0.6">
      <c r="A270" s="1"/>
      <c r="B270" s="1"/>
      <c r="C270" s="1"/>
      <c r="D270" s="17"/>
    </row>
    <row r="271" spans="1:4" ht="21.75" customHeight="1" x14ac:dyDescent="0.6">
      <c r="A271" s="1"/>
      <c r="B271" s="1"/>
      <c r="C271" s="1"/>
      <c r="D271" s="17"/>
    </row>
    <row r="272" spans="1:4" ht="21.75" customHeight="1" x14ac:dyDescent="0.6">
      <c r="A272" s="1"/>
      <c r="B272" s="1"/>
      <c r="C272" s="1"/>
      <c r="D272" s="17"/>
    </row>
    <row r="273" spans="1:4" ht="21.75" customHeight="1" x14ac:dyDescent="0.6">
      <c r="A273" s="1"/>
      <c r="B273" s="1"/>
      <c r="C273" s="1"/>
      <c r="D273" s="17"/>
    </row>
    <row r="274" spans="1:4" ht="21.75" customHeight="1" x14ac:dyDescent="0.6">
      <c r="A274" s="1"/>
      <c r="B274" s="1"/>
      <c r="C274" s="1"/>
      <c r="D274" s="17"/>
    </row>
    <row r="275" spans="1:4" ht="21.75" customHeight="1" x14ac:dyDescent="0.6">
      <c r="A275" s="1"/>
      <c r="B275" s="1"/>
      <c r="C275" s="1"/>
      <c r="D275" s="17"/>
    </row>
    <row r="276" spans="1:4" ht="21.75" customHeight="1" x14ac:dyDescent="0.6">
      <c r="A276" s="1"/>
      <c r="B276" s="1"/>
      <c r="C276" s="1"/>
      <c r="D276" s="17"/>
    </row>
    <row r="277" spans="1:4" ht="21.75" customHeight="1" x14ac:dyDescent="0.6">
      <c r="A277" s="1"/>
      <c r="B277" s="1"/>
      <c r="C277" s="1"/>
      <c r="D277" s="17"/>
    </row>
    <row r="278" spans="1:4" ht="21.75" customHeight="1" x14ac:dyDescent="0.6">
      <c r="A278" s="1"/>
      <c r="B278" s="1"/>
      <c r="C278" s="1"/>
      <c r="D278" s="17"/>
    </row>
    <row r="279" spans="1:4" ht="21.75" customHeight="1" x14ac:dyDescent="0.6">
      <c r="A279" s="1"/>
      <c r="B279" s="1"/>
      <c r="C279" s="1"/>
      <c r="D279" s="17"/>
    </row>
    <row r="280" spans="1:4" ht="21.75" customHeight="1" x14ac:dyDescent="0.6">
      <c r="A280" s="1"/>
      <c r="B280" s="1"/>
      <c r="C280" s="1"/>
      <c r="D280" s="17"/>
    </row>
    <row r="281" spans="1:4" ht="21.75" customHeight="1" x14ac:dyDescent="0.6">
      <c r="A281" s="1"/>
      <c r="B281" s="1"/>
      <c r="C281" s="1"/>
      <c r="D281" s="17"/>
    </row>
    <row r="282" spans="1:4" ht="21.75" customHeight="1" x14ac:dyDescent="0.6">
      <c r="A282" s="1"/>
      <c r="B282" s="1"/>
      <c r="C282" s="1"/>
      <c r="D282" s="17"/>
    </row>
    <row r="283" spans="1:4" ht="21.75" customHeight="1" x14ac:dyDescent="0.6">
      <c r="A283" s="1"/>
      <c r="B283" s="1"/>
      <c r="C283" s="1"/>
      <c r="D283" s="17"/>
    </row>
    <row r="284" spans="1:4" ht="21.75" customHeight="1" x14ac:dyDescent="0.6">
      <c r="A284" s="1"/>
      <c r="B284" s="1"/>
      <c r="C284" s="1"/>
      <c r="D284" s="17"/>
    </row>
    <row r="285" spans="1:4" ht="21.75" customHeight="1" x14ac:dyDescent="0.6">
      <c r="A285" s="1"/>
      <c r="B285" s="1"/>
      <c r="C285" s="1"/>
      <c r="D285" s="17"/>
    </row>
    <row r="286" spans="1:4" ht="21.75" customHeight="1" x14ac:dyDescent="0.6">
      <c r="A286" s="1"/>
      <c r="B286" s="1"/>
      <c r="C286" s="1"/>
      <c r="D286" s="17"/>
    </row>
    <row r="287" spans="1:4" ht="21.75" customHeight="1" x14ac:dyDescent="0.6">
      <c r="A287" s="1"/>
      <c r="B287" s="1"/>
      <c r="C287" s="1"/>
      <c r="D287" s="17"/>
    </row>
    <row r="288" spans="1:4" ht="21.75" customHeight="1" x14ac:dyDescent="0.6">
      <c r="A288" s="1"/>
      <c r="B288" s="1"/>
      <c r="C288" s="1"/>
      <c r="D288" s="17"/>
    </row>
    <row r="289" spans="1:4" ht="21.75" customHeight="1" x14ac:dyDescent="0.6">
      <c r="A289" s="1"/>
      <c r="B289" s="1"/>
      <c r="C289" s="1"/>
      <c r="D289" s="17"/>
    </row>
    <row r="290" spans="1:4" ht="21.75" customHeight="1" x14ac:dyDescent="0.6">
      <c r="A290" s="1"/>
      <c r="B290" s="1"/>
      <c r="C290" s="1"/>
      <c r="D290" s="17"/>
    </row>
    <row r="291" spans="1:4" ht="21.75" customHeight="1" x14ac:dyDescent="0.6">
      <c r="A291" s="1"/>
      <c r="B291" s="1"/>
      <c r="C291" s="1"/>
      <c r="D291" s="17"/>
    </row>
    <row r="292" spans="1:4" ht="21.75" customHeight="1" x14ac:dyDescent="0.6">
      <c r="A292" s="1"/>
      <c r="B292" s="1"/>
      <c r="C292" s="1"/>
      <c r="D292" s="17"/>
    </row>
    <row r="293" spans="1:4" ht="21.75" customHeight="1" x14ac:dyDescent="0.6">
      <c r="A293" s="1"/>
      <c r="B293" s="1"/>
      <c r="C293" s="1"/>
      <c r="D293" s="17"/>
    </row>
    <row r="294" spans="1:4" ht="21.75" customHeight="1" x14ac:dyDescent="0.6">
      <c r="A294" s="1"/>
      <c r="B294" s="1"/>
      <c r="C294" s="1"/>
      <c r="D294" s="17"/>
    </row>
    <row r="295" spans="1:4" ht="21.75" customHeight="1" x14ac:dyDescent="0.6">
      <c r="A295" s="1"/>
      <c r="B295" s="1"/>
      <c r="C295" s="1"/>
      <c r="D295" s="17"/>
    </row>
    <row r="296" spans="1:4" ht="21.75" customHeight="1" x14ac:dyDescent="0.6">
      <c r="A296" s="1"/>
      <c r="B296" s="1"/>
      <c r="C296" s="1"/>
      <c r="D296" s="17"/>
    </row>
    <row r="297" spans="1:4" ht="21.75" customHeight="1" x14ac:dyDescent="0.6">
      <c r="A297" s="1"/>
      <c r="B297" s="1"/>
      <c r="C297" s="1"/>
      <c r="D297" s="17"/>
    </row>
    <row r="298" spans="1:4" ht="21.75" customHeight="1" x14ac:dyDescent="0.6">
      <c r="A298" s="1"/>
      <c r="B298" s="1"/>
      <c r="C298" s="1"/>
      <c r="D298" s="17"/>
    </row>
    <row r="299" spans="1:4" ht="21.75" customHeight="1" x14ac:dyDescent="0.6">
      <c r="A299" s="1"/>
      <c r="B299" s="1"/>
      <c r="C299" s="1"/>
      <c r="D299" s="17"/>
    </row>
    <row r="300" spans="1:4" ht="21.75" customHeight="1" x14ac:dyDescent="0.6">
      <c r="A300" s="1"/>
      <c r="B300" s="1"/>
      <c r="C300" s="1"/>
      <c r="D300" s="17"/>
    </row>
    <row r="301" spans="1:4" ht="21.75" customHeight="1" x14ac:dyDescent="0.6">
      <c r="A301" s="1"/>
      <c r="B301" s="1"/>
      <c r="C301" s="1"/>
      <c r="D301" s="17"/>
    </row>
    <row r="302" spans="1:4" ht="21.75" customHeight="1" x14ac:dyDescent="0.6">
      <c r="A302" s="1"/>
      <c r="B302" s="1"/>
      <c r="C302" s="1"/>
      <c r="D302" s="17"/>
    </row>
    <row r="303" spans="1:4" ht="21.75" customHeight="1" x14ac:dyDescent="0.6">
      <c r="A303" s="1"/>
      <c r="B303" s="1"/>
      <c r="C303" s="1"/>
      <c r="D303" s="17"/>
    </row>
    <row r="304" spans="1:4" ht="21.75" customHeight="1" x14ac:dyDescent="0.6">
      <c r="A304" s="1"/>
      <c r="B304" s="1"/>
      <c r="C304" s="1"/>
      <c r="D304" s="17"/>
    </row>
    <row r="305" spans="1:4" ht="21.75" customHeight="1" x14ac:dyDescent="0.6">
      <c r="A305" s="1"/>
      <c r="B305" s="1"/>
      <c r="C305" s="1"/>
      <c r="D305" s="17"/>
    </row>
    <row r="306" spans="1:4" ht="21.75" customHeight="1" x14ac:dyDescent="0.6">
      <c r="A306" s="1"/>
      <c r="B306" s="1"/>
      <c r="C306" s="1"/>
      <c r="D306" s="17"/>
    </row>
    <row r="307" spans="1:4" ht="21.75" customHeight="1" x14ac:dyDescent="0.6">
      <c r="A307" s="1"/>
      <c r="B307" s="1"/>
      <c r="C307" s="1"/>
      <c r="D307" s="17"/>
    </row>
    <row r="308" spans="1:4" ht="21.75" customHeight="1" x14ac:dyDescent="0.6">
      <c r="A308" s="1"/>
      <c r="B308" s="1"/>
      <c r="C308" s="1"/>
      <c r="D308" s="17"/>
    </row>
    <row r="309" spans="1:4" ht="21.75" customHeight="1" x14ac:dyDescent="0.6">
      <c r="A309" s="1"/>
      <c r="B309" s="1"/>
      <c r="C309" s="1"/>
      <c r="D309" s="17"/>
    </row>
    <row r="310" spans="1:4" ht="21.75" customHeight="1" x14ac:dyDescent="0.6">
      <c r="A310" s="1"/>
      <c r="B310" s="1"/>
      <c r="C310" s="1"/>
      <c r="D310" s="17"/>
    </row>
    <row r="311" spans="1:4" ht="21.75" customHeight="1" x14ac:dyDescent="0.6">
      <c r="A311" s="1"/>
      <c r="B311" s="1"/>
      <c r="C311" s="1"/>
      <c r="D311" s="17"/>
    </row>
    <row r="312" spans="1:4" ht="21.75" customHeight="1" x14ac:dyDescent="0.6">
      <c r="A312" s="1"/>
      <c r="B312" s="1"/>
      <c r="C312" s="1"/>
      <c r="D312" s="17"/>
    </row>
    <row r="313" spans="1:4" ht="21.75" customHeight="1" x14ac:dyDescent="0.6">
      <c r="A313" s="1"/>
      <c r="B313" s="1"/>
      <c r="C313" s="1"/>
      <c r="D313" s="17"/>
    </row>
    <row r="314" spans="1:4" ht="21.75" customHeight="1" x14ac:dyDescent="0.6">
      <c r="A314" s="1"/>
      <c r="B314" s="1"/>
      <c r="C314" s="1"/>
      <c r="D314" s="17"/>
    </row>
    <row r="315" spans="1:4" ht="21.75" customHeight="1" x14ac:dyDescent="0.6">
      <c r="A315" s="1"/>
      <c r="B315" s="1"/>
      <c r="C315" s="1"/>
      <c r="D315" s="17"/>
    </row>
    <row r="316" spans="1:4" ht="21.75" customHeight="1" x14ac:dyDescent="0.6">
      <c r="A316" s="1"/>
      <c r="B316" s="1"/>
      <c r="C316" s="1"/>
      <c r="D316" s="17"/>
    </row>
    <row r="317" spans="1:4" ht="21.75" customHeight="1" x14ac:dyDescent="0.6">
      <c r="A317" s="1"/>
      <c r="B317" s="1"/>
      <c r="C317" s="1"/>
      <c r="D317" s="17"/>
    </row>
    <row r="318" spans="1:4" ht="21.75" customHeight="1" x14ac:dyDescent="0.6">
      <c r="A318" s="1"/>
      <c r="B318" s="1"/>
      <c r="C318" s="1"/>
      <c r="D318" s="17"/>
    </row>
    <row r="319" spans="1:4" ht="21.75" customHeight="1" x14ac:dyDescent="0.6">
      <c r="A319" s="1"/>
      <c r="B319" s="1"/>
      <c r="C319" s="1"/>
      <c r="D319" s="17"/>
    </row>
    <row r="320" spans="1:4" ht="21.75" customHeight="1" x14ac:dyDescent="0.6">
      <c r="A320" s="1"/>
      <c r="B320" s="1"/>
      <c r="C320" s="1"/>
      <c r="D320" s="17"/>
    </row>
    <row r="321" spans="1:4" ht="21.75" customHeight="1" x14ac:dyDescent="0.6">
      <c r="A321" s="1"/>
      <c r="B321" s="1"/>
      <c r="C321" s="1"/>
      <c r="D321" s="17"/>
    </row>
    <row r="322" spans="1:4" ht="21.75" customHeight="1" x14ac:dyDescent="0.6">
      <c r="A322" s="1"/>
      <c r="B322" s="1"/>
      <c r="C322" s="1"/>
      <c r="D322" s="17"/>
    </row>
    <row r="323" spans="1:4" ht="21.75" customHeight="1" x14ac:dyDescent="0.6">
      <c r="A323" s="1"/>
      <c r="B323" s="1"/>
      <c r="C323" s="1"/>
      <c r="D323" s="17"/>
    </row>
    <row r="324" spans="1:4" ht="21.75" customHeight="1" x14ac:dyDescent="0.6">
      <c r="A324" s="1"/>
      <c r="B324" s="1"/>
      <c r="C324" s="1"/>
      <c r="D324" s="17"/>
    </row>
    <row r="325" spans="1:4" ht="21.75" customHeight="1" x14ac:dyDescent="0.6">
      <c r="A325" s="1"/>
      <c r="B325" s="1"/>
      <c r="C325" s="1"/>
      <c r="D325" s="17"/>
    </row>
    <row r="326" spans="1:4" ht="21.75" customHeight="1" x14ac:dyDescent="0.6">
      <c r="A326" s="1"/>
      <c r="B326" s="1"/>
      <c r="C326" s="1"/>
      <c r="D326" s="17"/>
    </row>
    <row r="327" spans="1:4" ht="21.75" customHeight="1" x14ac:dyDescent="0.6">
      <c r="A327" s="1"/>
      <c r="B327" s="1"/>
      <c r="C327" s="1"/>
      <c r="D327" s="17"/>
    </row>
    <row r="328" spans="1:4" ht="21.75" customHeight="1" x14ac:dyDescent="0.6">
      <c r="A328" s="1"/>
      <c r="B328" s="1"/>
      <c r="C328" s="1"/>
      <c r="D328" s="17"/>
    </row>
    <row r="329" spans="1:4" ht="21.75" customHeight="1" x14ac:dyDescent="0.6">
      <c r="A329" s="1"/>
      <c r="B329" s="1"/>
      <c r="C329" s="1"/>
      <c r="D329" s="17"/>
    </row>
    <row r="330" spans="1:4" ht="21.75" customHeight="1" x14ac:dyDescent="0.6">
      <c r="A330" s="1"/>
      <c r="B330" s="1"/>
      <c r="C330" s="1"/>
      <c r="D330" s="17"/>
    </row>
    <row r="331" spans="1:4" ht="21.75" customHeight="1" x14ac:dyDescent="0.6">
      <c r="A331" s="1"/>
      <c r="B331" s="1"/>
      <c r="C331" s="1"/>
      <c r="D331" s="17"/>
    </row>
    <row r="332" spans="1:4" ht="21.75" customHeight="1" x14ac:dyDescent="0.6">
      <c r="A332" s="1"/>
      <c r="B332" s="1"/>
      <c r="C332" s="1"/>
      <c r="D332" s="17"/>
    </row>
    <row r="333" spans="1:4" ht="21.75" customHeight="1" x14ac:dyDescent="0.6">
      <c r="A333" s="1"/>
      <c r="B333" s="1"/>
      <c r="C333" s="1"/>
      <c r="D333" s="17"/>
    </row>
    <row r="334" spans="1:4" ht="21.75" customHeight="1" x14ac:dyDescent="0.6">
      <c r="A334" s="1"/>
      <c r="B334" s="1"/>
      <c r="C334" s="1"/>
      <c r="D334" s="17"/>
    </row>
    <row r="335" spans="1:4" ht="21.75" customHeight="1" x14ac:dyDescent="0.6">
      <c r="A335" s="1"/>
      <c r="B335" s="1"/>
      <c r="C335" s="1"/>
      <c r="D335" s="17"/>
    </row>
    <row r="336" spans="1:4" ht="21.75" customHeight="1" x14ac:dyDescent="0.6">
      <c r="A336" s="1"/>
      <c r="B336" s="1"/>
      <c r="C336" s="1"/>
      <c r="D336" s="17"/>
    </row>
    <row r="337" spans="1:4" ht="21.75" customHeight="1" x14ac:dyDescent="0.6">
      <c r="A337" s="1"/>
      <c r="B337" s="1"/>
      <c r="C337" s="1"/>
      <c r="D337" s="17"/>
    </row>
    <row r="338" spans="1:4" ht="21.75" customHeight="1" x14ac:dyDescent="0.6">
      <c r="A338" s="1"/>
      <c r="B338" s="1"/>
      <c r="C338" s="1"/>
      <c r="D338" s="17"/>
    </row>
    <row r="339" spans="1:4" ht="21.75" customHeight="1" x14ac:dyDescent="0.6">
      <c r="A339" s="1"/>
      <c r="B339" s="1"/>
      <c r="C339" s="1"/>
      <c r="D339" s="17"/>
    </row>
    <row r="340" spans="1:4" ht="21.75" customHeight="1" x14ac:dyDescent="0.6">
      <c r="A340" s="1"/>
      <c r="B340" s="1"/>
      <c r="C340" s="1"/>
      <c r="D340" s="17"/>
    </row>
    <row r="341" spans="1:4" ht="21.75" customHeight="1" x14ac:dyDescent="0.6">
      <c r="A341" s="1"/>
      <c r="B341" s="1"/>
      <c r="C341" s="1"/>
      <c r="D341" s="17"/>
    </row>
    <row r="342" spans="1:4" ht="21.75" customHeight="1" x14ac:dyDescent="0.6">
      <c r="A342" s="1"/>
      <c r="B342" s="1"/>
      <c r="C342" s="1"/>
      <c r="D342" s="17"/>
    </row>
    <row r="343" spans="1:4" ht="21.75" customHeight="1" x14ac:dyDescent="0.6">
      <c r="A343" s="1"/>
      <c r="B343" s="1"/>
      <c r="C343" s="1"/>
      <c r="D343" s="17"/>
    </row>
    <row r="344" spans="1:4" ht="21.75" customHeight="1" x14ac:dyDescent="0.6">
      <c r="A344" s="1"/>
      <c r="B344" s="1"/>
      <c r="C344" s="1"/>
      <c r="D344" s="17"/>
    </row>
    <row r="345" spans="1:4" ht="21.75" customHeight="1" x14ac:dyDescent="0.6">
      <c r="A345" s="1"/>
      <c r="B345" s="1"/>
      <c r="C345" s="1"/>
      <c r="D345" s="17"/>
    </row>
    <row r="346" spans="1:4" ht="21.75" customHeight="1" x14ac:dyDescent="0.6">
      <c r="A346" s="1"/>
      <c r="B346" s="1"/>
      <c r="C346" s="1"/>
      <c r="D346" s="17"/>
    </row>
    <row r="347" spans="1:4" ht="21.75" customHeight="1" x14ac:dyDescent="0.6">
      <c r="A347" s="1"/>
      <c r="B347" s="1"/>
      <c r="C347" s="1"/>
      <c r="D347" s="17"/>
    </row>
    <row r="348" spans="1:4" ht="21.75" customHeight="1" x14ac:dyDescent="0.6">
      <c r="A348" s="1"/>
      <c r="B348" s="1"/>
      <c r="C348" s="1"/>
      <c r="D348" s="17"/>
    </row>
    <row r="349" spans="1:4" ht="21.75" customHeight="1" x14ac:dyDescent="0.6">
      <c r="A349" s="1"/>
      <c r="B349" s="1"/>
      <c r="C349" s="1"/>
      <c r="D349" s="17"/>
    </row>
    <row r="350" spans="1:4" ht="21.75" customHeight="1" x14ac:dyDescent="0.6">
      <c r="A350" s="1"/>
      <c r="B350" s="1"/>
      <c r="C350" s="1"/>
      <c r="D350" s="17"/>
    </row>
    <row r="351" spans="1:4" ht="21.75" customHeight="1" x14ac:dyDescent="0.6">
      <c r="A351" s="1"/>
      <c r="B351" s="1"/>
      <c r="C351" s="1"/>
      <c r="D351" s="17"/>
    </row>
    <row r="352" spans="1:4" ht="21.75" customHeight="1" x14ac:dyDescent="0.6">
      <c r="A352" s="1"/>
      <c r="B352" s="1"/>
      <c r="C352" s="1"/>
      <c r="D352" s="17"/>
    </row>
    <row r="353" spans="1:4" ht="21.75" customHeight="1" x14ac:dyDescent="0.6">
      <c r="A353" s="1"/>
      <c r="B353" s="1"/>
      <c r="C353" s="1"/>
      <c r="D353" s="17"/>
    </row>
    <row r="354" spans="1:4" ht="21.75" customHeight="1" x14ac:dyDescent="0.6">
      <c r="A354" s="1"/>
      <c r="B354" s="1"/>
      <c r="C354" s="1"/>
      <c r="D354" s="17"/>
    </row>
    <row r="355" spans="1:4" ht="21.75" customHeight="1" x14ac:dyDescent="0.6">
      <c r="A355" s="1"/>
      <c r="B355" s="1"/>
      <c r="C355" s="1"/>
      <c r="D355" s="17"/>
    </row>
    <row r="356" spans="1:4" ht="21.75" customHeight="1" x14ac:dyDescent="0.6">
      <c r="A356" s="1"/>
      <c r="B356" s="1"/>
      <c r="C356" s="1"/>
      <c r="D356" s="17"/>
    </row>
    <row r="357" spans="1:4" ht="21.75" customHeight="1" x14ac:dyDescent="0.6">
      <c r="A357" s="1"/>
      <c r="B357" s="1"/>
      <c r="C357" s="1"/>
      <c r="D357" s="17"/>
    </row>
    <row r="358" spans="1:4" ht="21.75" customHeight="1" x14ac:dyDescent="0.6">
      <c r="A358" s="1"/>
      <c r="B358" s="1"/>
      <c r="C358" s="1"/>
      <c r="D358" s="17"/>
    </row>
    <row r="359" spans="1:4" ht="21.75" customHeight="1" x14ac:dyDescent="0.6">
      <c r="A359" s="1"/>
      <c r="B359" s="1"/>
      <c r="C359" s="1"/>
      <c r="D359" s="17"/>
    </row>
    <row r="360" spans="1:4" ht="21.75" customHeight="1" x14ac:dyDescent="0.6">
      <c r="A360" s="1"/>
      <c r="B360" s="1"/>
      <c r="C360" s="1"/>
      <c r="D360" s="17"/>
    </row>
    <row r="361" spans="1:4" ht="21.75" customHeight="1" x14ac:dyDescent="0.6">
      <c r="A361" s="1"/>
      <c r="B361" s="1"/>
      <c r="C361" s="1"/>
      <c r="D361" s="17"/>
    </row>
    <row r="362" spans="1:4" ht="21.75" customHeight="1" x14ac:dyDescent="0.6">
      <c r="A362" s="1"/>
      <c r="B362" s="1"/>
      <c r="C362" s="1"/>
      <c r="D362" s="17"/>
    </row>
    <row r="363" spans="1:4" ht="21.75" customHeight="1" x14ac:dyDescent="0.6">
      <c r="A363" s="1"/>
      <c r="B363" s="1"/>
      <c r="C363" s="1"/>
      <c r="D363" s="17"/>
    </row>
    <row r="364" spans="1:4" ht="21.75" customHeight="1" x14ac:dyDescent="0.6">
      <c r="A364" s="1"/>
      <c r="B364" s="1"/>
      <c r="C364" s="1"/>
      <c r="D364" s="17"/>
    </row>
    <row r="365" spans="1:4" ht="21.75" customHeight="1" x14ac:dyDescent="0.6">
      <c r="A365" s="1"/>
      <c r="B365" s="1"/>
      <c r="C365" s="1"/>
      <c r="D365" s="17"/>
    </row>
    <row r="366" spans="1:4" ht="21.75" customHeight="1" x14ac:dyDescent="0.6">
      <c r="A366" s="1"/>
      <c r="B366" s="1"/>
      <c r="C366" s="1"/>
      <c r="D366" s="17"/>
    </row>
    <row r="367" spans="1:4" ht="21.75" customHeight="1" x14ac:dyDescent="0.6">
      <c r="A367" s="1"/>
      <c r="B367" s="1"/>
      <c r="C367" s="1"/>
      <c r="D367" s="17"/>
    </row>
    <row r="368" spans="1:4" ht="21.75" customHeight="1" x14ac:dyDescent="0.6">
      <c r="A368" s="1"/>
      <c r="B368" s="1"/>
      <c r="C368" s="1"/>
      <c r="D368" s="17"/>
    </row>
    <row r="369" spans="1:4" ht="21.75" customHeight="1" x14ac:dyDescent="0.6">
      <c r="A369" s="1"/>
      <c r="B369" s="1"/>
      <c r="C369" s="1"/>
      <c r="D369" s="17"/>
    </row>
    <row r="370" spans="1:4" ht="21.75" customHeight="1" x14ac:dyDescent="0.6">
      <c r="A370" s="1"/>
      <c r="B370" s="1"/>
      <c r="C370" s="1"/>
      <c r="D370" s="17"/>
    </row>
    <row r="371" spans="1:4" ht="21.75" customHeight="1" x14ac:dyDescent="0.6">
      <c r="A371" s="1"/>
      <c r="B371" s="1"/>
      <c r="C371" s="1"/>
      <c r="D371" s="17"/>
    </row>
    <row r="372" spans="1:4" ht="21.75" customHeight="1" x14ac:dyDescent="0.6">
      <c r="A372" s="1"/>
      <c r="B372" s="1"/>
      <c r="C372" s="1"/>
      <c r="D372" s="17"/>
    </row>
    <row r="373" spans="1:4" ht="21.75" customHeight="1" x14ac:dyDescent="0.6">
      <c r="A373" s="1"/>
      <c r="B373" s="1"/>
      <c r="C373" s="1"/>
      <c r="D373" s="17"/>
    </row>
    <row r="374" spans="1:4" ht="21.75" customHeight="1" x14ac:dyDescent="0.6">
      <c r="A374" s="1"/>
      <c r="B374" s="1"/>
      <c r="C374" s="1"/>
      <c r="D374" s="17"/>
    </row>
    <row r="375" spans="1:4" ht="21.75" customHeight="1" x14ac:dyDescent="0.6">
      <c r="A375" s="1"/>
      <c r="B375" s="1"/>
      <c r="C375" s="1"/>
      <c r="D375" s="17"/>
    </row>
    <row r="376" spans="1:4" ht="21.75" customHeight="1" x14ac:dyDescent="0.6">
      <c r="A376" s="1"/>
      <c r="B376" s="1"/>
      <c r="C376" s="1"/>
      <c r="D376" s="17"/>
    </row>
    <row r="377" spans="1:4" ht="21.75" customHeight="1" x14ac:dyDescent="0.6">
      <c r="A377" s="1"/>
      <c r="B377" s="1"/>
      <c r="C377" s="1"/>
      <c r="D377" s="17"/>
    </row>
    <row r="378" spans="1:4" ht="21.75" customHeight="1" x14ac:dyDescent="0.6">
      <c r="A378" s="1"/>
      <c r="B378" s="1"/>
      <c r="C378" s="1"/>
      <c r="D378" s="17"/>
    </row>
    <row r="379" spans="1:4" ht="21.75" customHeight="1" x14ac:dyDescent="0.6">
      <c r="A379" s="1"/>
      <c r="B379" s="1"/>
      <c r="C379" s="1"/>
      <c r="D379" s="17"/>
    </row>
    <row r="380" spans="1:4" ht="21.75" customHeight="1" x14ac:dyDescent="0.6">
      <c r="A380" s="1"/>
      <c r="B380" s="1"/>
      <c r="C380" s="1"/>
      <c r="D380" s="17"/>
    </row>
    <row r="381" spans="1:4" ht="21.75" customHeight="1" x14ac:dyDescent="0.6">
      <c r="A381" s="1"/>
      <c r="B381" s="1"/>
      <c r="C381" s="1"/>
      <c r="D381" s="17"/>
    </row>
    <row r="382" spans="1:4" ht="21.75" customHeight="1" x14ac:dyDescent="0.6">
      <c r="A382" s="1"/>
      <c r="B382" s="1"/>
      <c r="C382" s="1"/>
      <c r="D382" s="17"/>
    </row>
    <row r="383" spans="1:4" ht="21.75" customHeight="1" x14ac:dyDescent="0.6">
      <c r="A383" s="1"/>
      <c r="B383" s="1"/>
      <c r="C383" s="1"/>
      <c r="D383" s="17"/>
    </row>
    <row r="384" spans="1:4" ht="21.75" customHeight="1" x14ac:dyDescent="0.6">
      <c r="A384" s="1"/>
      <c r="B384" s="1"/>
      <c r="C384" s="1"/>
      <c r="D384" s="17"/>
    </row>
    <row r="385" spans="1:4" ht="21.75" customHeight="1" x14ac:dyDescent="0.6">
      <c r="A385" s="1"/>
      <c r="B385" s="1"/>
      <c r="C385" s="1"/>
      <c r="D385" s="17"/>
    </row>
    <row r="386" spans="1:4" ht="21.75" customHeight="1" x14ac:dyDescent="0.6">
      <c r="A386" s="1"/>
      <c r="B386" s="1"/>
      <c r="C386" s="1"/>
      <c r="D386" s="17"/>
    </row>
    <row r="387" spans="1:4" ht="21.75" customHeight="1" x14ac:dyDescent="0.6">
      <c r="A387" s="1"/>
      <c r="B387" s="1"/>
      <c r="C387" s="1"/>
      <c r="D387" s="17"/>
    </row>
    <row r="388" spans="1:4" ht="21.75" customHeight="1" x14ac:dyDescent="0.6">
      <c r="A388" s="1"/>
      <c r="B388" s="1"/>
      <c r="C388" s="1"/>
      <c r="D388" s="17"/>
    </row>
    <row r="389" spans="1:4" ht="21.75" customHeight="1" x14ac:dyDescent="0.6">
      <c r="A389" s="1"/>
      <c r="B389" s="1"/>
      <c r="C389" s="1"/>
      <c r="D389" s="17"/>
    </row>
    <row r="390" spans="1:4" ht="21.75" customHeight="1" x14ac:dyDescent="0.6">
      <c r="A390" s="1"/>
      <c r="B390" s="1"/>
      <c r="C390" s="1"/>
      <c r="D390" s="17"/>
    </row>
    <row r="391" spans="1:4" ht="21.75" customHeight="1" x14ac:dyDescent="0.6">
      <c r="A391" s="1"/>
      <c r="B391" s="1"/>
      <c r="C391" s="1"/>
      <c r="D391" s="17"/>
    </row>
    <row r="392" spans="1:4" ht="21.75" customHeight="1" x14ac:dyDescent="0.6">
      <c r="A392" s="1"/>
      <c r="B392" s="1"/>
      <c r="C392" s="1"/>
      <c r="D392" s="17"/>
    </row>
    <row r="393" spans="1:4" ht="21.75" customHeight="1" x14ac:dyDescent="0.6">
      <c r="A393" s="1"/>
      <c r="B393" s="1"/>
      <c r="C393" s="1"/>
      <c r="D393" s="17"/>
    </row>
    <row r="394" spans="1:4" ht="21.75" customHeight="1" x14ac:dyDescent="0.6">
      <c r="A394" s="1"/>
      <c r="B394" s="1"/>
      <c r="C394" s="1"/>
      <c r="D394" s="17"/>
    </row>
    <row r="395" spans="1:4" ht="21.75" customHeight="1" x14ac:dyDescent="0.6">
      <c r="A395" s="1"/>
      <c r="B395" s="1"/>
      <c r="C395" s="1"/>
      <c r="D395" s="17"/>
    </row>
    <row r="396" spans="1:4" ht="21.75" customHeight="1" x14ac:dyDescent="0.6">
      <c r="A396" s="1"/>
      <c r="B396" s="1"/>
      <c r="C396" s="1"/>
      <c r="D396" s="17"/>
    </row>
    <row r="397" spans="1:4" ht="21.75" customHeight="1" x14ac:dyDescent="0.6">
      <c r="A397" s="1"/>
      <c r="B397" s="1"/>
      <c r="C397" s="1"/>
      <c r="D397" s="17"/>
    </row>
    <row r="398" spans="1:4" ht="21.75" customHeight="1" x14ac:dyDescent="0.6">
      <c r="A398" s="1"/>
      <c r="B398" s="1"/>
      <c r="C398" s="1"/>
      <c r="D398" s="17"/>
    </row>
    <row r="399" spans="1:4" ht="21.75" customHeight="1" x14ac:dyDescent="0.6">
      <c r="A399" s="1"/>
      <c r="B399" s="1"/>
      <c r="C399" s="1"/>
      <c r="D399" s="17"/>
    </row>
    <row r="400" spans="1:4" ht="21.75" customHeight="1" x14ac:dyDescent="0.6">
      <c r="A400" s="1"/>
      <c r="B400" s="1"/>
      <c r="C400" s="1"/>
      <c r="D400" s="17"/>
    </row>
    <row r="401" spans="1:4" ht="21.75" customHeight="1" x14ac:dyDescent="0.6">
      <c r="A401" s="1"/>
      <c r="B401" s="1"/>
      <c r="C401" s="1"/>
      <c r="D401" s="17"/>
    </row>
    <row r="402" spans="1:4" ht="21.75" customHeight="1" x14ac:dyDescent="0.6">
      <c r="A402" s="1"/>
      <c r="B402" s="1"/>
      <c r="C402" s="1"/>
      <c r="D402" s="17"/>
    </row>
    <row r="403" spans="1:4" ht="21.75" customHeight="1" x14ac:dyDescent="0.6">
      <c r="A403" s="1"/>
      <c r="B403" s="1"/>
      <c r="C403" s="1"/>
      <c r="D403" s="17"/>
    </row>
    <row r="404" spans="1:4" ht="21.75" customHeight="1" x14ac:dyDescent="0.6">
      <c r="A404" s="1"/>
      <c r="B404" s="1"/>
      <c r="C404" s="1"/>
      <c r="D404" s="17"/>
    </row>
    <row r="405" spans="1:4" ht="21.75" customHeight="1" x14ac:dyDescent="0.6">
      <c r="A405" s="1"/>
      <c r="B405" s="1"/>
      <c r="C405" s="1"/>
      <c r="D405" s="17"/>
    </row>
    <row r="406" spans="1:4" ht="21.75" customHeight="1" x14ac:dyDescent="0.6">
      <c r="A406" s="1"/>
      <c r="B406" s="1"/>
      <c r="C406" s="1"/>
      <c r="D406" s="17"/>
    </row>
    <row r="407" spans="1:4" ht="21.75" customHeight="1" x14ac:dyDescent="0.6">
      <c r="A407" s="1"/>
      <c r="B407" s="1"/>
      <c r="C407" s="1"/>
      <c r="D407" s="17"/>
    </row>
    <row r="408" spans="1:4" ht="21.75" customHeight="1" x14ac:dyDescent="0.6">
      <c r="A408" s="1"/>
      <c r="B408" s="1"/>
      <c r="C408" s="1"/>
      <c r="D408" s="17"/>
    </row>
    <row r="409" spans="1:4" ht="21.75" customHeight="1" x14ac:dyDescent="0.6">
      <c r="A409" s="1"/>
      <c r="B409" s="1"/>
      <c r="C409" s="1"/>
      <c r="D409" s="17"/>
    </row>
    <row r="410" spans="1:4" ht="21.75" customHeight="1" x14ac:dyDescent="0.6">
      <c r="A410" s="1"/>
      <c r="B410" s="1"/>
      <c r="C410" s="1"/>
      <c r="D410" s="17"/>
    </row>
    <row r="411" spans="1:4" ht="21.75" customHeight="1" x14ac:dyDescent="0.6">
      <c r="A411" s="1"/>
      <c r="B411" s="1"/>
      <c r="C411" s="1"/>
      <c r="D411" s="17"/>
    </row>
    <row r="412" spans="1:4" ht="21.75" customHeight="1" x14ac:dyDescent="0.6">
      <c r="A412" s="1"/>
      <c r="B412" s="1"/>
      <c r="C412" s="1"/>
      <c r="D412" s="17"/>
    </row>
    <row r="413" spans="1:4" ht="21.75" customHeight="1" x14ac:dyDescent="0.6">
      <c r="A413" s="1"/>
      <c r="B413" s="1"/>
      <c r="C413" s="1"/>
      <c r="D413" s="17"/>
    </row>
    <row r="414" spans="1:4" ht="21.75" customHeight="1" x14ac:dyDescent="0.6">
      <c r="A414" s="1"/>
      <c r="B414" s="1"/>
      <c r="C414" s="1"/>
      <c r="D414" s="17"/>
    </row>
    <row r="415" spans="1:4" ht="21.75" customHeight="1" x14ac:dyDescent="0.6">
      <c r="A415" s="1"/>
      <c r="B415" s="1"/>
      <c r="C415" s="1"/>
      <c r="D415" s="17"/>
    </row>
    <row r="416" spans="1:4" ht="21.75" customHeight="1" x14ac:dyDescent="0.6">
      <c r="A416" s="1"/>
      <c r="B416" s="1"/>
      <c r="C416" s="1"/>
      <c r="D416" s="17"/>
    </row>
    <row r="417" spans="1:4" ht="21.75" customHeight="1" x14ac:dyDescent="0.6">
      <c r="A417" s="1"/>
      <c r="B417" s="1"/>
      <c r="C417" s="1"/>
      <c r="D417" s="17"/>
    </row>
    <row r="418" spans="1:4" ht="21.75" customHeight="1" x14ac:dyDescent="0.6">
      <c r="A418" s="1"/>
      <c r="B418" s="1"/>
      <c r="C418" s="1"/>
      <c r="D418" s="17"/>
    </row>
    <row r="419" spans="1:4" ht="21.75" customHeight="1" x14ac:dyDescent="0.6">
      <c r="A419" s="1"/>
      <c r="B419" s="1"/>
      <c r="C419" s="1"/>
      <c r="D419" s="17"/>
    </row>
    <row r="420" spans="1:4" ht="21.75" customHeight="1" x14ac:dyDescent="0.6">
      <c r="A420" s="1"/>
      <c r="B420" s="1"/>
      <c r="C420" s="1"/>
      <c r="D420" s="17"/>
    </row>
    <row r="421" spans="1:4" ht="21.75" customHeight="1" x14ac:dyDescent="0.6">
      <c r="A421" s="1"/>
      <c r="B421" s="1"/>
      <c r="C421" s="1"/>
      <c r="D421" s="17"/>
    </row>
    <row r="422" spans="1:4" ht="21.75" customHeight="1" x14ac:dyDescent="0.6">
      <c r="A422" s="1"/>
      <c r="B422" s="1"/>
      <c r="C422" s="1"/>
      <c r="D422" s="17"/>
    </row>
    <row r="423" spans="1:4" ht="21.75" customHeight="1" x14ac:dyDescent="0.6">
      <c r="A423" s="1"/>
      <c r="B423" s="1"/>
      <c r="C423" s="1"/>
      <c r="D423" s="17"/>
    </row>
    <row r="424" spans="1:4" ht="21.75" customHeight="1" x14ac:dyDescent="0.6">
      <c r="A424" s="1"/>
      <c r="B424" s="1"/>
      <c r="C424" s="1"/>
      <c r="D424" s="17"/>
    </row>
    <row r="425" spans="1:4" ht="21.75" customHeight="1" x14ac:dyDescent="0.6">
      <c r="A425" s="1"/>
      <c r="B425" s="1"/>
      <c r="C425" s="1"/>
      <c r="D425" s="17"/>
    </row>
    <row r="426" spans="1:4" ht="21.75" customHeight="1" x14ac:dyDescent="0.6">
      <c r="A426" s="1"/>
      <c r="B426" s="1"/>
      <c r="C426" s="1"/>
      <c r="D426" s="17"/>
    </row>
    <row r="427" spans="1:4" ht="21.75" customHeight="1" x14ac:dyDescent="0.6">
      <c r="A427" s="1"/>
      <c r="B427" s="1"/>
      <c r="C427" s="1"/>
      <c r="D427" s="17"/>
    </row>
    <row r="428" spans="1:4" ht="21.75" customHeight="1" x14ac:dyDescent="0.6">
      <c r="A428" s="1"/>
      <c r="B428" s="1"/>
      <c r="C428" s="1"/>
      <c r="D428" s="17"/>
    </row>
    <row r="429" spans="1:4" ht="21.75" customHeight="1" x14ac:dyDescent="0.6">
      <c r="A429" s="1"/>
      <c r="B429" s="1"/>
      <c r="C429" s="1"/>
      <c r="D429" s="17"/>
    </row>
    <row r="430" spans="1:4" ht="21.75" customHeight="1" x14ac:dyDescent="0.6">
      <c r="A430" s="1"/>
      <c r="B430" s="1"/>
      <c r="C430" s="1"/>
      <c r="D430" s="17"/>
    </row>
    <row r="431" spans="1:4" ht="21.75" customHeight="1" x14ac:dyDescent="0.6">
      <c r="A431" s="1"/>
      <c r="B431" s="1"/>
      <c r="C431" s="1"/>
      <c r="D431" s="17"/>
    </row>
    <row r="432" spans="1:4" ht="21.75" customHeight="1" x14ac:dyDescent="0.6">
      <c r="A432" s="1"/>
      <c r="B432" s="1"/>
      <c r="C432" s="1"/>
      <c r="D432" s="17"/>
    </row>
    <row r="433" spans="1:4" ht="21.75" customHeight="1" x14ac:dyDescent="0.6">
      <c r="A433" s="1"/>
      <c r="B433" s="1"/>
      <c r="C433" s="1"/>
      <c r="D433" s="17"/>
    </row>
    <row r="434" spans="1:4" ht="21.75" customHeight="1" x14ac:dyDescent="0.6">
      <c r="A434" s="1"/>
      <c r="B434" s="1"/>
      <c r="C434" s="1"/>
      <c r="D434" s="17"/>
    </row>
    <row r="435" spans="1:4" ht="21.75" customHeight="1" x14ac:dyDescent="0.6">
      <c r="A435" s="1"/>
      <c r="B435" s="1"/>
      <c r="C435" s="1"/>
      <c r="D435" s="17"/>
    </row>
    <row r="436" spans="1:4" ht="21.75" customHeight="1" x14ac:dyDescent="0.6">
      <c r="A436" s="1"/>
      <c r="B436" s="1"/>
      <c r="C436" s="1"/>
      <c r="D436" s="17"/>
    </row>
    <row r="437" spans="1:4" ht="21.75" customHeight="1" x14ac:dyDescent="0.6">
      <c r="A437" s="1"/>
      <c r="B437" s="1"/>
      <c r="C437" s="1"/>
      <c r="D437" s="17"/>
    </row>
    <row r="438" spans="1:4" ht="21.75" customHeight="1" x14ac:dyDescent="0.6">
      <c r="A438" s="1"/>
      <c r="B438" s="1"/>
      <c r="C438" s="1"/>
      <c r="D438" s="17"/>
    </row>
    <row r="439" spans="1:4" ht="21.75" customHeight="1" x14ac:dyDescent="0.6">
      <c r="A439" s="1"/>
      <c r="B439" s="1"/>
      <c r="C439" s="1"/>
      <c r="D439" s="17"/>
    </row>
    <row r="440" spans="1:4" ht="21.75" customHeight="1" x14ac:dyDescent="0.6">
      <c r="A440" s="1"/>
      <c r="B440" s="1"/>
      <c r="C440" s="1"/>
      <c r="D440" s="17"/>
    </row>
    <row r="441" spans="1:4" ht="21.75" customHeight="1" x14ac:dyDescent="0.6">
      <c r="A441" s="1"/>
      <c r="B441" s="1"/>
      <c r="C441" s="1"/>
      <c r="D441" s="17"/>
    </row>
    <row r="442" spans="1:4" ht="21.75" customHeight="1" x14ac:dyDescent="0.6">
      <c r="A442" s="1"/>
      <c r="B442" s="1"/>
      <c r="C442" s="1"/>
      <c r="D442" s="17"/>
    </row>
    <row r="443" spans="1:4" ht="21.75" customHeight="1" x14ac:dyDescent="0.6">
      <c r="A443" s="1"/>
      <c r="B443" s="1"/>
      <c r="C443" s="1"/>
      <c r="D443" s="17"/>
    </row>
    <row r="444" spans="1:4" ht="21.75" customHeight="1" x14ac:dyDescent="0.6">
      <c r="A444" s="1"/>
      <c r="B444" s="1"/>
      <c r="C444" s="1"/>
      <c r="D444" s="17"/>
    </row>
    <row r="445" spans="1:4" ht="21.75" customHeight="1" x14ac:dyDescent="0.6">
      <c r="A445" s="1"/>
      <c r="B445" s="1"/>
      <c r="C445" s="1"/>
      <c r="D445" s="17"/>
    </row>
    <row r="446" spans="1:4" ht="21.75" customHeight="1" x14ac:dyDescent="0.6">
      <c r="A446" s="1"/>
      <c r="B446" s="1"/>
      <c r="C446" s="1"/>
      <c r="D446" s="17"/>
    </row>
    <row r="447" spans="1:4" ht="21.75" customHeight="1" x14ac:dyDescent="0.6">
      <c r="A447" s="1"/>
      <c r="B447" s="1"/>
      <c r="C447" s="1"/>
      <c r="D447" s="17"/>
    </row>
    <row r="448" spans="1:4" ht="21.75" customHeight="1" x14ac:dyDescent="0.6">
      <c r="A448" s="1"/>
      <c r="B448" s="1"/>
      <c r="C448" s="1"/>
      <c r="D448" s="17"/>
    </row>
    <row r="449" spans="1:4" ht="21.75" customHeight="1" x14ac:dyDescent="0.6">
      <c r="A449" s="1"/>
      <c r="B449" s="1"/>
      <c r="C449" s="1"/>
      <c r="D449" s="17"/>
    </row>
    <row r="450" spans="1:4" ht="21.75" customHeight="1" x14ac:dyDescent="0.6">
      <c r="A450" s="1"/>
      <c r="B450" s="1"/>
      <c r="C450" s="1"/>
      <c r="D450" s="17"/>
    </row>
    <row r="451" spans="1:4" ht="21.75" customHeight="1" x14ac:dyDescent="0.6">
      <c r="A451" s="1"/>
      <c r="B451" s="1"/>
      <c r="C451" s="1"/>
      <c r="D451" s="17"/>
    </row>
    <row r="452" spans="1:4" ht="21.75" customHeight="1" x14ac:dyDescent="0.6">
      <c r="A452" s="1"/>
      <c r="B452" s="1"/>
      <c r="C452" s="1"/>
      <c r="D452" s="17"/>
    </row>
    <row r="453" spans="1:4" ht="21.75" customHeight="1" x14ac:dyDescent="0.6">
      <c r="A453" s="1"/>
      <c r="B453" s="1"/>
      <c r="C453" s="1"/>
      <c r="D453" s="17"/>
    </row>
    <row r="454" spans="1:4" ht="21.75" customHeight="1" x14ac:dyDescent="0.6">
      <c r="A454" s="1"/>
      <c r="B454" s="1"/>
      <c r="C454" s="1"/>
      <c r="D454" s="17"/>
    </row>
    <row r="455" spans="1:4" ht="21.75" customHeight="1" x14ac:dyDescent="0.6">
      <c r="A455" s="1"/>
      <c r="B455" s="1"/>
      <c r="C455" s="1"/>
      <c r="D455" s="17"/>
    </row>
    <row r="456" spans="1:4" ht="21.75" customHeight="1" x14ac:dyDescent="0.6">
      <c r="A456" s="1"/>
      <c r="B456" s="1"/>
      <c r="C456" s="1"/>
      <c r="D456" s="17"/>
    </row>
    <row r="457" spans="1:4" ht="21.75" customHeight="1" x14ac:dyDescent="0.6">
      <c r="A457" s="1"/>
      <c r="B457" s="1"/>
      <c r="C457" s="1"/>
      <c r="D457" s="17"/>
    </row>
    <row r="458" spans="1:4" ht="21.75" customHeight="1" x14ac:dyDescent="0.6">
      <c r="A458" s="1"/>
      <c r="B458" s="1"/>
      <c r="C458" s="1"/>
      <c r="D458" s="17"/>
    </row>
    <row r="459" spans="1:4" ht="21.75" customHeight="1" x14ac:dyDescent="0.6">
      <c r="A459" s="1"/>
      <c r="B459" s="1"/>
      <c r="C459" s="1"/>
      <c r="D459" s="17"/>
    </row>
    <row r="460" spans="1:4" ht="21.75" customHeight="1" x14ac:dyDescent="0.6">
      <c r="A460" s="1"/>
      <c r="B460" s="1"/>
      <c r="C460" s="1"/>
      <c r="D460" s="17"/>
    </row>
    <row r="461" spans="1:4" ht="21.75" customHeight="1" x14ac:dyDescent="0.6">
      <c r="A461" s="1"/>
      <c r="B461" s="1"/>
      <c r="C461" s="1"/>
      <c r="D461" s="17"/>
    </row>
    <row r="462" spans="1:4" ht="21.75" customHeight="1" x14ac:dyDescent="0.6">
      <c r="A462" s="1"/>
      <c r="B462" s="1"/>
      <c r="C462" s="1"/>
      <c r="D462" s="17"/>
    </row>
    <row r="463" spans="1:4" ht="21.75" customHeight="1" x14ac:dyDescent="0.6">
      <c r="A463" s="1"/>
      <c r="B463" s="1"/>
      <c r="C463" s="1"/>
      <c r="D463" s="17"/>
    </row>
    <row r="464" spans="1:4" ht="21.75" customHeight="1" x14ac:dyDescent="0.6">
      <c r="A464" s="1"/>
      <c r="B464" s="1"/>
      <c r="C464" s="1"/>
      <c r="D464" s="17"/>
    </row>
    <row r="465" spans="1:4" ht="21.75" customHeight="1" x14ac:dyDescent="0.6">
      <c r="A465" s="1"/>
      <c r="B465" s="1"/>
      <c r="C465" s="1"/>
      <c r="D465" s="17"/>
    </row>
    <row r="466" spans="1:4" ht="21.75" customHeight="1" x14ac:dyDescent="0.6">
      <c r="A466" s="1"/>
      <c r="B466" s="1"/>
      <c r="C466" s="1"/>
      <c r="D466" s="17"/>
    </row>
    <row r="467" spans="1:4" ht="21.75" customHeight="1" x14ac:dyDescent="0.6">
      <c r="A467" s="1"/>
      <c r="B467" s="1"/>
      <c r="C467" s="1"/>
      <c r="D467" s="17"/>
    </row>
    <row r="468" spans="1:4" ht="21.75" customHeight="1" x14ac:dyDescent="0.6">
      <c r="A468" s="1"/>
      <c r="B468" s="1"/>
      <c r="C468" s="1"/>
      <c r="D468" s="17"/>
    </row>
    <row r="469" spans="1:4" ht="21.75" customHeight="1" x14ac:dyDescent="0.6">
      <c r="A469" s="1"/>
      <c r="B469" s="1"/>
      <c r="C469" s="1"/>
      <c r="D469" s="17"/>
    </row>
    <row r="470" spans="1:4" ht="21.75" customHeight="1" x14ac:dyDescent="0.6">
      <c r="A470" s="1"/>
      <c r="B470" s="1"/>
      <c r="C470" s="1"/>
      <c r="D470" s="17"/>
    </row>
    <row r="471" spans="1:4" ht="21.75" customHeight="1" x14ac:dyDescent="0.6">
      <c r="A471" s="1"/>
      <c r="B471" s="1"/>
      <c r="C471" s="1"/>
      <c r="D471" s="17"/>
    </row>
    <row r="472" spans="1:4" ht="21.75" customHeight="1" x14ac:dyDescent="0.6">
      <c r="A472" s="1"/>
      <c r="B472" s="1"/>
      <c r="C472" s="1"/>
      <c r="D472" s="17"/>
    </row>
    <row r="473" spans="1:4" ht="21.75" customHeight="1" x14ac:dyDescent="0.6">
      <c r="A473" s="1"/>
      <c r="B473" s="1"/>
      <c r="C473" s="1"/>
      <c r="D473" s="17"/>
    </row>
    <row r="474" spans="1:4" ht="21.75" customHeight="1" x14ac:dyDescent="0.6">
      <c r="A474" s="1"/>
      <c r="B474" s="1"/>
      <c r="C474" s="1"/>
      <c r="D474" s="17"/>
    </row>
    <row r="475" spans="1:4" ht="21.75" customHeight="1" x14ac:dyDescent="0.6">
      <c r="A475" s="1"/>
      <c r="B475" s="1"/>
      <c r="C475" s="1"/>
      <c r="D475" s="17"/>
    </row>
    <row r="476" spans="1:4" ht="21.75" customHeight="1" x14ac:dyDescent="0.6">
      <c r="A476" s="1"/>
      <c r="B476" s="1"/>
      <c r="C476" s="1"/>
      <c r="D476" s="17"/>
    </row>
    <row r="477" spans="1:4" ht="21.75" customHeight="1" x14ac:dyDescent="0.6">
      <c r="A477" s="1"/>
      <c r="B477" s="1"/>
      <c r="C477" s="1"/>
      <c r="D477" s="17"/>
    </row>
    <row r="478" spans="1:4" ht="21.75" customHeight="1" x14ac:dyDescent="0.6">
      <c r="A478" s="1"/>
      <c r="B478" s="1"/>
      <c r="C478" s="1"/>
      <c r="D478" s="17"/>
    </row>
    <row r="479" spans="1:4" ht="21.75" customHeight="1" x14ac:dyDescent="0.6">
      <c r="A479" s="1"/>
      <c r="B479" s="1"/>
      <c r="C479" s="1"/>
      <c r="D479" s="17"/>
    </row>
    <row r="480" spans="1:4" ht="21.75" customHeight="1" x14ac:dyDescent="0.6">
      <c r="A480" s="1"/>
      <c r="B480" s="1"/>
      <c r="C480" s="1"/>
      <c r="D480" s="17"/>
    </row>
    <row r="481" spans="1:4" ht="21.75" customHeight="1" x14ac:dyDescent="0.6">
      <c r="A481" s="1"/>
      <c r="B481" s="1"/>
      <c r="C481" s="1"/>
      <c r="D481" s="17"/>
    </row>
    <row r="482" spans="1:4" ht="21.75" customHeight="1" x14ac:dyDescent="0.6">
      <c r="A482" s="1"/>
      <c r="B482" s="1"/>
      <c r="C482" s="1"/>
      <c r="D482" s="17"/>
    </row>
    <row r="483" spans="1:4" ht="21.75" customHeight="1" x14ac:dyDescent="0.6">
      <c r="A483" s="1"/>
      <c r="B483" s="1"/>
      <c r="C483" s="1"/>
      <c r="D483" s="17"/>
    </row>
    <row r="484" spans="1:4" ht="21.75" customHeight="1" x14ac:dyDescent="0.6">
      <c r="A484" s="1"/>
      <c r="B484" s="1"/>
      <c r="C484" s="1"/>
      <c r="D484" s="17"/>
    </row>
    <row r="485" spans="1:4" ht="21.75" customHeight="1" x14ac:dyDescent="0.6">
      <c r="A485" s="1"/>
      <c r="B485" s="1"/>
      <c r="C485" s="1"/>
      <c r="D485" s="17"/>
    </row>
    <row r="486" spans="1:4" ht="21.75" customHeight="1" x14ac:dyDescent="0.6">
      <c r="A486" s="1"/>
      <c r="B486" s="1"/>
      <c r="C486" s="1"/>
      <c r="D486" s="17"/>
    </row>
    <row r="487" spans="1:4" ht="21.75" customHeight="1" x14ac:dyDescent="0.6">
      <c r="A487" s="1"/>
      <c r="B487" s="1"/>
      <c r="C487" s="1"/>
      <c r="D487" s="17"/>
    </row>
    <row r="488" spans="1:4" ht="21.75" customHeight="1" x14ac:dyDescent="0.6">
      <c r="A488" s="1"/>
      <c r="B488" s="1"/>
      <c r="C488" s="1"/>
      <c r="D488" s="17"/>
    </row>
    <row r="489" spans="1:4" ht="21.75" customHeight="1" x14ac:dyDescent="0.6">
      <c r="A489" s="1"/>
      <c r="B489" s="1"/>
      <c r="C489" s="1"/>
      <c r="D489" s="17"/>
    </row>
    <row r="490" spans="1:4" ht="21.75" customHeight="1" x14ac:dyDescent="0.6">
      <c r="A490" s="1"/>
      <c r="B490" s="1"/>
      <c r="C490" s="1"/>
      <c r="D490" s="17"/>
    </row>
    <row r="491" spans="1:4" ht="21.75" customHeight="1" x14ac:dyDescent="0.6">
      <c r="A491" s="1"/>
      <c r="B491" s="1"/>
      <c r="C491" s="1"/>
      <c r="D491" s="17"/>
    </row>
    <row r="492" spans="1:4" ht="21.75" customHeight="1" x14ac:dyDescent="0.6">
      <c r="A492" s="1"/>
      <c r="B492" s="1"/>
      <c r="C492" s="1"/>
      <c r="D492" s="17"/>
    </row>
    <row r="493" spans="1:4" ht="21.75" customHeight="1" x14ac:dyDescent="0.6">
      <c r="A493" s="1"/>
      <c r="B493" s="1"/>
      <c r="C493" s="1"/>
      <c r="D493" s="17"/>
    </row>
    <row r="494" spans="1:4" ht="21.75" customHeight="1" x14ac:dyDescent="0.6">
      <c r="A494" s="1"/>
      <c r="B494" s="1"/>
      <c r="C494" s="1"/>
      <c r="D494" s="17"/>
    </row>
    <row r="495" spans="1:4" ht="21.75" customHeight="1" x14ac:dyDescent="0.6">
      <c r="A495" s="1"/>
      <c r="B495" s="1"/>
      <c r="C495" s="1"/>
      <c r="D495" s="17"/>
    </row>
    <row r="496" spans="1:4" ht="21.75" customHeight="1" x14ac:dyDescent="0.6">
      <c r="A496" s="1"/>
      <c r="B496" s="1"/>
      <c r="C496" s="1"/>
      <c r="D496" s="17"/>
    </row>
    <row r="497" spans="1:4" ht="21.75" customHeight="1" x14ac:dyDescent="0.6">
      <c r="A497" s="1"/>
      <c r="B497" s="1"/>
      <c r="C497" s="1"/>
      <c r="D497" s="17"/>
    </row>
    <row r="498" spans="1:4" ht="21.75" customHeight="1" x14ac:dyDescent="0.6">
      <c r="A498" s="1"/>
      <c r="B498" s="1"/>
      <c r="C498" s="1"/>
      <c r="D498" s="17"/>
    </row>
    <row r="499" spans="1:4" ht="21.75" customHeight="1" x14ac:dyDescent="0.6">
      <c r="A499" s="1"/>
      <c r="B499" s="1"/>
      <c r="C499" s="1"/>
      <c r="D499" s="17"/>
    </row>
    <row r="500" spans="1:4" ht="21.75" customHeight="1" x14ac:dyDescent="0.6">
      <c r="A500" s="1"/>
      <c r="B500" s="1"/>
      <c r="C500" s="1"/>
      <c r="D500" s="17"/>
    </row>
    <row r="501" spans="1:4" ht="21.75" customHeight="1" x14ac:dyDescent="0.6">
      <c r="A501" s="1"/>
      <c r="B501" s="1"/>
      <c r="C501" s="1"/>
      <c r="D501" s="17"/>
    </row>
    <row r="502" spans="1:4" ht="21.75" customHeight="1" x14ac:dyDescent="0.6">
      <c r="A502" s="1"/>
      <c r="B502" s="1"/>
      <c r="C502" s="1"/>
      <c r="D502" s="17"/>
    </row>
    <row r="503" spans="1:4" ht="21.75" customHeight="1" x14ac:dyDescent="0.6">
      <c r="A503" s="1"/>
      <c r="B503" s="1"/>
      <c r="C503" s="1"/>
      <c r="D503" s="17"/>
    </row>
    <row r="504" spans="1:4" ht="21.75" customHeight="1" x14ac:dyDescent="0.6">
      <c r="A504" s="1"/>
      <c r="B504" s="1"/>
      <c r="C504" s="1"/>
      <c r="D504" s="17"/>
    </row>
    <row r="505" spans="1:4" ht="21.75" customHeight="1" x14ac:dyDescent="0.6">
      <c r="A505" s="1"/>
      <c r="B505" s="1"/>
      <c r="C505" s="1"/>
      <c r="D505" s="17"/>
    </row>
    <row r="506" spans="1:4" ht="21.75" customHeight="1" x14ac:dyDescent="0.6">
      <c r="A506" s="1"/>
      <c r="B506" s="1"/>
      <c r="C506" s="1"/>
      <c r="D506" s="17"/>
    </row>
    <row r="507" spans="1:4" ht="21.75" customHeight="1" x14ac:dyDescent="0.6">
      <c r="A507" s="1"/>
      <c r="B507" s="1"/>
      <c r="C507" s="1"/>
      <c r="D507" s="17"/>
    </row>
    <row r="508" spans="1:4" ht="21.75" customHeight="1" x14ac:dyDescent="0.6">
      <c r="A508" s="1"/>
      <c r="B508" s="1"/>
      <c r="C508" s="1"/>
      <c r="D508" s="17"/>
    </row>
    <row r="509" spans="1:4" ht="21.75" customHeight="1" x14ac:dyDescent="0.6">
      <c r="A509" s="1"/>
      <c r="B509" s="1"/>
      <c r="C509" s="1"/>
      <c r="D509" s="17"/>
    </row>
    <row r="510" spans="1:4" ht="21.75" customHeight="1" x14ac:dyDescent="0.6">
      <c r="A510" s="1"/>
      <c r="B510" s="1"/>
      <c r="C510" s="1"/>
      <c r="D510" s="17"/>
    </row>
    <row r="511" spans="1:4" ht="21.75" customHeight="1" x14ac:dyDescent="0.6">
      <c r="A511" s="1"/>
      <c r="B511" s="1"/>
      <c r="C511" s="1"/>
      <c r="D511" s="17"/>
    </row>
    <row r="512" spans="1:4" ht="21.75" customHeight="1" x14ac:dyDescent="0.6">
      <c r="A512" s="1"/>
      <c r="B512" s="1"/>
      <c r="C512" s="1"/>
      <c r="D512" s="17"/>
    </row>
    <row r="513" spans="1:4" ht="21.75" customHeight="1" x14ac:dyDescent="0.6">
      <c r="A513" s="1"/>
      <c r="B513" s="1"/>
      <c r="C513" s="1"/>
      <c r="D513" s="17"/>
    </row>
    <row r="514" spans="1:4" ht="21.75" customHeight="1" x14ac:dyDescent="0.6">
      <c r="A514" s="1"/>
      <c r="B514" s="1"/>
      <c r="C514" s="1"/>
      <c r="D514" s="17"/>
    </row>
    <row r="515" spans="1:4" ht="21.75" customHeight="1" x14ac:dyDescent="0.6">
      <c r="A515" s="1"/>
      <c r="B515" s="1"/>
      <c r="C515" s="1"/>
      <c r="D515" s="17"/>
    </row>
    <row r="516" spans="1:4" ht="21.75" customHeight="1" x14ac:dyDescent="0.6">
      <c r="A516" s="1"/>
      <c r="B516" s="1"/>
      <c r="C516" s="1"/>
      <c r="D516" s="17"/>
    </row>
    <row r="517" spans="1:4" ht="21.75" customHeight="1" x14ac:dyDescent="0.6">
      <c r="A517" s="1"/>
      <c r="B517" s="1"/>
      <c r="C517" s="1"/>
      <c r="D517" s="17"/>
    </row>
    <row r="518" spans="1:4" ht="21.75" customHeight="1" x14ac:dyDescent="0.6">
      <c r="A518" s="1"/>
      <c r="B518" s="1"/>
      <c r="C518" s="1"/>
      <c r="D518" s="17"/>
    </row>
    <row r="519" spans="1:4" ht="21.75" customHeight="1" x14ac:dyDescent="0.6">
      <c r="A519" s="1"/>
      <c r="B519" s="1"/>
      <c r="C519" s="1"/>
      <c r="D519" s="17"/>
    </row>
    <row r="520" spans="1:4" ht="21.75" customHeight="1" x14ac:dyDescent="0.6">
      <c r="A520" s="1"/>
      <c r="B520" s="1"/>
      <c r="C520" s="1"/>
      <c r="D520" s="17"/>
    </row>
    <row r="521" spans="1:4" ht="21.75" customHeight="1" x14ac:dyDescent="0.6">
      <c r="A521" s="1"/>
      <c r="B521" s="1"/>
      <c r="C521" s="1"/>
      <c r="D521" s="17"/>
    </row>
    <row r="522" spans="1:4" ht="21.75" customHeight="1" x14ac:dyDescent="0.6">
      <c r="A522" s="1"/>
      <c r="B522" s="1"/>
      <c r="C522" s="1"/>
      <c r="D522" s="17"/>
    </row>
    <row r="523" spans="1:4" ht="21.75" customHeight="1" x14ac:dyDescent="0.6">
      <c r="A523" s="1"/>
      <c r="B523" s="1"/>
      <c r="C523" s="1"/>
      <c r="D523" s="17"/>
    </row>
    <row r="524" spans="1:4" ht="21.75" customHeight="1" x14ac:dyDescent="0.6">
      <c r="A524" s="1"/>
      <c r="B524" s="1"/>
      <c r="C524" s="1"/>
      <c r="D524" s="17"/>
    </row>
    <row r="525" spans="1:4" ht="21.75" customHeight="1" x14ac:dyDescent="0.6">
      <c r="A525" s="1"/>
      <c r="B525" s="1"/>
      <c r="C525" s="1"/>
      <c r="D525" s="17"/>
    </row>
    <row r="526" spans="1:4" ht="21.75" customHeight="1" x14ac:dyDescent="0.6">
      <c r="A526" s="1"/>
      <c r="B526" s="1"/>
      <c r="C526" s="1"/>
      <c r="D526" s="17"/>
    </row>
    <row r="527" spans="1:4" ht="21.75" customHeight="1" x14ac:dyDescent="0.6">
      <c r="A527" s="1"/>
      <c r="B527" s="1"/>
      <c r="C527" s="1"/>
      <c r="D527" s="17"/>
    </row>
    <row r="528" spans="1:4" ht="21.75" customHeight="1" x14ac:dyDescent="0.6">
      <c r="A528" s="1"/>
      <c r="B528" s="1"/>
      <c r="C528" s="1"/>
      <c r="D528" s="17"/>
    </row>
    <row r="529" spans="1:4" ht="21.75" customHeight="1" x14ac:dyDescent="0.6">
      <c r="A529" s="1"/>
      <c r="B529" s="1"/>
      <c r="C529" s="1"/>
      <c r="D529" s="17"/>
    </row>
    <row r="530" spans="1:4" ht="21.75" customHeight="1" x14ac:dyDescent="0.6">
      <c r="A530" s="1"/>
      <c r="B530" s="1"/>
      <c r="C530" s="1"/>
      <c r="D530" s="17"/>
    </row>
    <row r="531" spans="1:4" ht="21.75" customHeight="1" x14ac:dyDescent="0.6">
      <c r="A531" s="1"/>
      <c r="B531" s="1"/>
      <c r="C531" s="1"/>
      <c r="D531" s="17"/>
    </row>
    <row r="532" spans="1:4" ht="21.75" customHeight="1" x14ac:dyDescent="0.6">
      <c r="A532" s="1"/>
      <c r="B532" s="1"/>
      <c r="C532" s="1"/>
      <c r="D532" s="17"/>
    </row>
    <row r="533" spans="1:4" ht="21.75" customHeight="1" x14ac:dyDescent="0.6">
      <c r="A533" s="1"/>
      <c r="B533" s="1"/>
      <c r="C533" s="1"/>
      <c r="D533" s="17"/>
    </row>
    <row r="534" spans="1:4" ht="21.75" customHeight="1" x14ac:dyDescent="0.6">
      <c r="A534" s="1"/>
      <c r="B534" s="1"/>
      <c r="C534" s="1"/>
      <c r="D534" s="17"/>
    </row>
    <row r="535" spans="1:4" ht="21.75" customHeight="1" x14ac:dyDescent="0.6">
      <c r="A535" s="1"/>
      <c r="B535" s="1"/>
      <c r="C535" s="1"/>
      <c r="D535" s="17"/>
    </row>
    <row r="536" spans="1:4" ht="21.75" customHeight="1" x14ac:dyDescent="0.6">
      <c r="A536" s="1"/>
      <c r="B536" s="1"/>
      <c r="C536" s="1"/>
      <c r="D536" s="17"/>
    </row>
    <row r="537" spans="1:4" ht="21.75" customHeight="1" x14ac:dyDescent="0.6">
      <c r="A537" s="1"/>
      <c r="B537" s="1"/>
      <c r="C537" s="1"/>
      <c r="D537" s="17"/>
    </row>
    <row r="538" spans="1:4" ht="21.75" customHeight="1" x14ac:dyDescent="0.6">
      <c r="A538" s="1"/>
      <c r="B538" s="1"/>
      <c r="C538" s="1"/>
      <c r="D538" s="17"/>
    </row>
    <row r="539" spans="1:4" ht="21.75" customHeight="1" x14ac:dyDescent="0.6">
      <c r="A539" s="1"/>
      <c r="B539" s="1"/>
      <c r="C539" s="1"/>
      <c r="D539" s="17"/>
    </row>
    <row r="540" spans="1:4" ht="21.75" customHeight="1" x14ac:dyDescent="0.6">
      <c r="A540" s="1"/>
      <c r="B540" s="1"/>
      <c r="C540" s="1"/>
      <c r="D540" s="17"/>
    </row>
    <row r="541" spans="1:4" ht="21.75" customHeight="1" x14ac:dyDescent="0.6">
      <c r="A541" s="1"/>
      <c r="B541" s="1"/>
      <c r="C541" s="1"/>
      <c r="D541" s="17"/>
    </row>
    <row r="542" spans="1:4" ht="21.75" customHeight="1" x14ac:dyDescent="0.6">
      <c r="A542" s="1"/>
      <c r="B542" s="1"/>
      <c r="C542" s="1"/>
      <c r="D542" s="17"/>
    </row>
    <row r="543" spans="1:4" ht="21.75" customHeight="1" x14ac:dyDescent="0.6">
      <c r="A543" s="1"/>
      <c r="B543" s="1"/>
      <c r="C543" s="1"/>
      <c r="D543" s="17"/>
    </row>
    <row r="544" spans="1:4" ht="21.75" customHeight="1" x14ac:dyDescent="0.6">
      <c r="A544" s="1"/>
      <c r="B544" s="1"/>
      <c r="C544" s="1"/>
      <c r="D544" s="17"/>
    </row>
    <row r="545" spans="1:4" ht="21.75" customHeight="1" x14ac:dyDescent="0.6">
      <c r="A545" s="1"/>
      <c r="B545" s="1"/>
      <c r="C545" s="1"/>
      <c r="D545" s="17"/>
    </row>
    <row r="546" spans="1:4" ht="21.75" customHeight="1" x14ac:dyDescent="0.6">
      <c r="A546" s="1"/>
      <c r="B546" s="1"/>
      <c r="C546" s="1"/>
      <c r="D546" s="17"/>
    </row>
    <row r="547" spans="1:4" ht="21.75" customHeight="1" x14ac:dyDescent="0.6">
      <c r="A547" s="1"/>
      <c r="B547" s="1"/>
      <c r="C547" s="1"/>
      <c r="D547" s="17"/>
    </row>
    <row r="548" spans="1:4" ht="21.75" customHeight="1" x14ac:dyDescent="0.6">
      <c r="A548" s="1"/>
      <c r="B548" s="1"/>
      <c r="C548" s="1"/>
      <c r="D548" s="17"/>
    </row>
    <row r="549" spans="1:4" ht="21.75" customHeight="1" x14ac:dyDescent="0.6">
      <c r="A549" s="1"/>
      <c r="B549" s="1"/>
      <c r="C549" s="1"/>
      <c r="D549" s="17"/>
    </row>
    <row r="550" spans="1:4" ht="21.75" customHeight="1" x14ac:dyDescent="0.6">
      <c r="A550" s="1"/>
      <c r="B550" s="1"/>
      <c r="C550" s="1"/>
      <c r="D550" s="17"/>
    </row>
    <row r="551" spans="1:4" ht="21.75" customHeight="1" x14ac:dyDescent="0.6">
      <c r="A551" s="1"/>
      <c r="B551" s="1"/>
      <c r="C551" s="1"/>
      <c r="D551" s="17"/>
    </row>
    <row r="552" spans="1:4" ht="21.75" customHeight="1" x14ac:dyDescent="0.6">
      <c r="A552" s="1"/>
      <c r="B552" s="1"/>
      <c r="C552" s="1"/>
      <c r="D552" s="17"/>
    </row>
    <row r="553" spans="1:4" ht="21.75" customHeight="1" x14ac:dyDescent="0.6">
      <c r="A553" s="1"/>
      <c r="B553" s="1"/>
      <c r="C553" s="1"/>
      <c r="D553" s="17"/>
    </row>
    <row r="554" spans="1:4" ht="21.75" customHeight="1" x14ac:dyDescent="0.6">
      <c r="A554" s="1"/>
      <c r="B554" s="1"/>
      <c r="C554" s="1"/>
      <c r="D554" s="17"/>
    </row>
    <row r="555" spans="1:4" ht="21.75" customHeight="1" x14ac:dyDescent="0.6">
      <c r="A555" s="1"/>
      <c r="B555" s="1"/>
      <c r="C555" s="1"/>
      <c r="D555" s="17"/>
    </row>
    <row r="556" spans="1:4" ht="21.75" customHeight="1" x14ac:dyDescent="0.6">
      <c r="A556" s="1"/>
      <c r="B556" s="1"/>
      <c r="C556" s="1"/>
      <c r="D556" s="17"/>
    </row>
    <row r="557" spans="1:4" ht="21.75" customHeight="1" x14ac:dyDescent="0.6">
      <c r="A557" s="1"/>
      <c r="B557" s="1"/>
      <c r="C557" s="1"/>
      <c r="D557" s="17"/>
    </row>
    <row r="558" spans="1:4" ht="21.75" customHeight="1" x14ac:dyDescent="0.6">
      <c r="A558" s="1"/>
      <c r="B558" s="1"/>
      <c r="C558" s="1"/>
      <c r="D558" s="17"/>
    </row>
    <row r="559" spans="1:4" ht="21.75" customHeight="1" x14ac:dyDescent="0.6">
      <c r="A559" s="1"/>
      <c r="B559" s="1"/>
      <c r="C559" s="1"/>
      <c r="D559" s="17"/>
    </row>
    <row r="560" spans="1:4" ht="21.75" customHeight="1" x14ac:dyDescent="0.6">
      <c r="A560" s="1"/>
      <c r="B560" s="1"/>
      <c r="C560" s="1"/>
      <c r="D560" s="17"/>
    </row>
    <row r="561" spans="1:4" ht="21.75" customHeight="1" x14ac:dyDescent="0.6">
      <c r="A561" s="1"/>
      <c r="B561" s="1"/>
      <c r="C561" s="1"/>
      <c r="D561" s="17"/>
    </row>
    <row r="562" spans="1:4" ht="21.75" customHeight="1" x14ac:dyDescent="0.6">
      <c r="A562" s="1"/>
      <c r="B562" s="1"/>
      <c r="C562" s="1"/>
      <c r="D562" s="17"/>
    </row>
    <row r="563" spans="1:4" ht="21.75" customHeight="1" x14ac:dyDescent="0.6">
      <c r="A563" s="1"/>
      <c r="B563" s="1"/>
      <c r="C563" s="1"/>
      <c r="D563" s="17"/>
    </row>
    <row r="564" spans="1:4" ht="21.75" customHeight="1" x14ac:dyDescent="0.6">
      <c r="A564" s="1"/>
      <c r="B564" s="1"/>
      <c r="C564" s="1"/>
      <c r="D564" s="17"/>
    </row>
    <row r="565" spans="1:4" ht="21.75" customHeight="1" x14ac:dyDescent="0.6">
      <c r="A565" s="1"/>
      <c r="B565" s="1"/>
      <c r="C565" s="1"/>
      <c r="D565" s="17"/>
    </row>
    <row r="566" spans="1:4" ht="21.75" customHeight="1" x14ac:dyDescent="0.6">
      <c r="A566" s="1"/>
      <c r="B566" s="1"/>
      <c r="C566" s="1"/>
      <c r="D566" s="17"/>
    </row>
    <row r="567" spans="1:4" ht="21.75" customHeight="1" x14ac:dyDescent="0.6">
      <c r="A567" s="1"/>
      <c r="B567" s="1"/>
      <c r="C567" s="1"/>
      <c r="D567" s="17"/>
    </row>
    <row r="568" spans="1:4" ht="21.75" customHeight="1" x14ac:dyDescent="0.6">
      <c r="A568" s="1"/>
      <c r="B568" s="1"/>
      <c r="C568" s="1"/>
      <c r="D568" s="17"/>
    </row>
    <row r="569" spans="1:4" ht="21.75" customHeight="1" x14ac:dyDescent="0.6">
      <c r="A569" s="1"/>
      <c r="B569" s="1"/>
      <c r="C569" s="1"/>
      <c r="D569" s="17"/>
    </row>
    <row r="570" spans="1:4" ht="21.75" customHeight="1" x14ac:dyDescent="0.6">
      <c r="A570" s="1"/>
      <c r="B570" s="1"/>
      <c r="C570" s="1"/>
      <c r="D570" s="17"/>
    </row>
    <row r="571" spans="1:4" ht="21.75" customHeight="1" x14ac:dyDescent="0.6">
      <c r="A571" s="1"/>
      <c r="B571" s="1"/>
      <c r="C571" s="1"/>
      <c r="D571" s="17"/>
    </row>
    <row r="572" spans="1:4" ht="21.75" customHeight="1" x14ac:dyDescent="0.6">
      <c r="A572" s="1"/>
      <c r="B572" s="1"/>
      <c r="C572" s="1"/>
      <c r="D572" s="17"/>
    </row>
    <row r="573" spans="1:4" ht="21.75" customHeight="1" x14ac:dyDescent="0.6">
      <c r="A573" s="1"/>
      <c r="B573" s="1"/>
      <c r="C573" s="1"/>
      <c r="D573" s="17"/>
    </row>
    <row r="574" spans="1:4" ht="21.75" customHeight="1" x14ac:dyDescent="0.6">
      <c r="A574" s="1"/>
      <c r="B574" s="1"/>
      <c r="C574" s="1"/>
      <c r="D574" s="17"/>
    </row>
    <row r="575" spans="1:4" ht="21.75" customHeight="1" x14ac:dyDescent="0.6">
      <c r="A575" s="1"/>
      <c r="B575" s="1"/>
      <c r="C575" s="1"/>
      <c r="D575" s="17"/>
    </row>
    <row r="576" spans="1:4" ht="21.75" customHeight="1" x14ac:dyDescent="0.6">
      <c r="A576" s="1"/>
      <c r="B576" s="1"/>
      <c r="C576" s="1"/>
      <c r="D576" s="17"/>
    </row>
    <row r="577" spans="1:4" ht="21.75" customHeight="1" x14ac:dyDescent="0.6">
      <c r="A577" s="1"/>
      <c r="B577" s="1"/>
      <c r="C577" s="1"/>
      <c r="D577" s="17"/>
    </row>
    <row r="578" spans="1:4" ht="21.75" customHeight="1" x14ac:dyDescent="0.6">
      <c r="A578" s="1"/>
      <c r="B578" s="1"/>
      <c r="C578" s="1"/>
      <c r="D578" s="17"/>
    </row>
    <row r="579" spans="1:4" ht="21.75" customHeight="1" x14ac:dyDescent="0.6">
      <c r="A579" s="1"/>
      <c r="B579" s="1"/>
      <c r="C579" s="1"/>
      <c r="D579" s="17"/>
    </row>
    <row r="580" spans="1:4" ht="21.75" customHeight="1" x14ac:dyDescent="0.6">
      <c r="A580" s="1"/>
      <c r="B580" s="1"/>
      <c r="C580" s="1"/>
      <c r="D580" s="17"/>
    </row>
    <row r="581" spans="1:4" ht="21.75" customHeight="1" x14ac:dyDescent="0.6">
      <c r="A581" s="1"/>
      <c r="B581" s="1"/>
      <c r="C581" s="1"/>
      <c r="D581" s="17"/>
    </row>
    <row r="582" spans="1:4" ht="21.75" customHeight="1" x14ac:dyDescent="0.6">
      <c r="A582" s="1"/>
      <c r="B582" s="1"/>
      <c r="C582" s="1"/>
      <c r="D582" s="17"/>
    </row>
    <row r="583" spans="1:4" ht="21.75" customHeight="1" x14ac:dyDescent="0.6">
      <c r="A583" s="1"/>
      <c r="B583" s="1"/>
      <c r="C583" s="1"/>
      <c r="D583" s="17"/>
    </row>
    <row r="584" spans="1:4" ht="21.75" customHeight="1" x14ac:dyDescent="0.6">
      <c r="A584" s="1"/>
      <c r="B584" s="1"/>
      <c r="C584" s="1"/>
      <c r="D584" s="17"/>
    </row>
    <row r="585" spans="1:4" ht="21.75" customHeight="1" x14ac:dyDescent="0.6">
      <c r="A585" s="1"/>
      <c r="B585" s="1"/>
      <c r="C585" s="1"/>
      <c r="D585" s="17"/>
    </row>
    <row r="586" spans="1:4" ht="21.75" customHeight="1" x14ac:dyDescent="0.6">
      <c r="A586" s="1"/>
      <c r="B586" s="1"/>
      <c r="C586" s="1"/>
      <c r="D586" s="17"/>
    </row>
    <row r="587" spans="1:4" ht="21.75" customHeight="1" x14ac:dyDescent="0.6">
      <c r="A587" s="1"/>
      <c r="B587" s="1"/>
      <c r="C587" s="1"/>
      <c r="D587" s="17"/>
    </row>
    <row r="588" spans="1:4" ht="21.75" customHeight="1" x14ac:dyDescent="0.6">
      <c r="A588" s="1"/>
      <c r="B588" s="1"/>
      <c r="C588" s="1"/>
      <c r="D588" s="17"/>
    </row>
    <row r="589" spans="1:4" ht="21.75" customHeight="1" x14ac:dyDescent="0.6">
      <c r="A589" s="1"/>
      <c r="B589" s="1"/>
      <c r="C589" s="1"/>
      <c r="D589" s="17"/>
    </row>
    <row r="590" spans="1:4" ht="21.75" customHeight="1" x14ac:dyDescent="0.6">
      <c r="A590" s="1"/>
      <c r="B590" s="1"/>
      <c r="C590" s="1"/>
      <c r="D590" s="17"/>
    </row>
    <row r="591" spans="1:4" ht="21.75" customHeight="1" x14ac:dyDescent="0.6">
      <c r="A591" s="1"/>
      <c r="B591" s="1"/>
      <c r="C591" s="1"/>
      <c r="D591" s="17"/>
    </row>
    <row r="592" spans="1:4" ht="21.75" customHeight="1" x14ac:dyDescent="0.6">
      <c r="A592" s="1"/>
      <c r="B592" s="1"/>
      <c r="C592" s="1"/>
      <c r="D592" s="17"/>
    </row>
    <row r="593" spans="1:4" ht="21.75" customHeight="1" x14ac:dyDescent="0.6">
      <c r="A593" s="1"/>
      <c r="B593" s="1"/>
      <c r="C593" s="1"/>
      <c r="D593" s="17"/>
    </row>
    <row r="594" spans="1:4" ht="21.75" customHeight="1" x14ac:dyDescent="0.6">
      <c r="A594" s="1"/>
      <c r="B594" s="1"/>
      <c r="C594" s="1"/>
      <c r="D594" s="17"/>
    </row>
    <row r="595" spans="1:4" ht="21.75" customHeight="1" x14ac:dyDescent="0.6">
      <c r="A595" s="1"/>
      <c r="B595" s="1"/>
      <c r="C595" s="1"/>
      <c r="D595" s="17"/>
    </row>
    <row r="596" spans="1:4" ht="21.75" customHeight="1" x14ac:dyDescent="0.6">
      <c r="A596" s="1"/>
      <c r="B596" s="1"/>
      <c r="C596" s="1"/>
      <c r="D596" s="17"/>
    </row>
    <row r="597" spans="1:4" ht="21.75" customHeight="1" x14ac:dyDescent="0.6">
      <c r="A597" s="1"/>
      <c r="B597" s="1"/>
      <c r="C597" s="1"/>
      <c r="D597" s="17"/>
    </row>
    <row r="598" spans="1:4" ht="21.75" customHeight="1" x14ac:dyDescent="0.6">
      <c r="A598" s="1"/>
      <c r="B598" s="1"/>
      <c r="C598" s="1"/>
      <c r="D598" s="17"/>
    </row>
    <row r="599" spans="1:4" ht="21.75" customHeight="1" x14ac:dyDescent="0.6">
      <c r="A599" s="1"/>
      <c r="B599" s="1"/>
      <c r="C599" s="1"/>
      <c r="D599" s="17"/>
    </row>
    <row r="600" spans="1:4" ht="21.75" customHeight="1" x14ac:dyDescent="0.6">
      <c r="A600" s="1"/>
      <c r="B600" s="1"/>
      <c r="C600" s="1"/>
      <c r="D600" s="17"/>
    </row>
    <row r="601" spans="1:4" ht="21.75" customHeight="1" x14ac:dyDescent="0.6">
      <c r="A601" s="1"/>
      <c r="B601" s="1"/>
      <c r="C601" s="1"/>
      <c r="D601" s="17"/>
    </row>
    <row r="602" spans="1:4" ht="21.75" customHeight="1" x14ac:dyDescent="0.6">
      <c r="A602" s="1"/>
      <c r="B602" s="1"/>
      <c r="C602" s="1"/>
      <c r="D602" s="17"/>
    </row>
    <row r="603" spans="1:4" ht="21.75" customHeight="1" x14ac:dyDescent="0.6">
      <c r="A603" s="1"/>
      <c r="B603" s="1"/>
      <c r="C603" s="1"/>
      <c r="D603" s="17"/>
    </row>
    <row r="604" spans="1:4" ht="21.75" customHeight="1" x14ac:dyDescent="0.6">
      <c r="A604" s="1"/>
      <c r="B604" s="1"/>
      <c r="C604" s="1"/>
      <c r="D604" s="17"/>
    </row>
    <row r="605" spans="1:4" ht="21.75" customHeight="1" x14ac:dyDescent="0.6">
      <c r="A605" s="1"/>
      <c r="B605" s="1"/>
      <c r="C605" s="1"/>
      <c r="D605" s="17"/>
    </row>
    <row r="606" spans="1:4" ht="21.75" customHeight="1" x14ac:dyDescent="0.6">
      <c r="A606" s="1"/>
      <c r="B606" s="1"/>
      <c r="C606" s="1"/>
      <c r="D606" s="17"/>
    </row>
    <row r="607" spans="1:4" ht="21.75" customHeight="1" x14ac:dyDescent="0.6">
      <c r="A607" s="1"/>
      <c r="B607" s="1"/>
      <c r="C607" s="1"/>
      <c r="D607" s="17"/>
    </row>
    <row r="608" spans="1:4" ht="21.75" customHeight="1" x14ac:dyDescent="0.6">
      <c r="A608" s="1"/>
      <c r="B608" s="1"/>
      <c r="C608" s="1"/>
      <c r="D608" s="17"/>
    </row>
    <row r="609" spans="1:4" ht="21.75" customHeight="1" x14ac:dyDescent="0.6">
      <c r="A609" s="1"/>
      <c r="B609" s="1"/>
      <c r="C609" s="1"/>
      <c r="D609" s="17"/>
    </row>
    <row r="610" spans="1:4" ht="21.75" customHeight="1" x14ac:dyDescent="0.6">
      <c r="A610" s="1"/>
      <c r="B610" s="1"/>
      <c r="C610" s="1"/>
      <c r="D610" s="17"/>
    </row>
    <row r="611" spans="1:4" ht="21.75" customHeight="1" x14ac:dyDescent="0.6">
      <c r="A611" s="1"/>
      <c r="B611" s="1"/>
      <c r="C611" s="1"/>
      <c r="D611" s="17"/>
    </row>
    <row r="612" spans="1:4" ht="21.75" customHeight="1" x14ac:dyDescent="0.6">
      <c r="A612" s="1"/>
      <c r="B612" s="1"/>
      <c r="C612" s="1"/>
      <c r="D612" s="17"/>
    </row>
    <row r="613" spans="1:4" ht="21.75" customHeight="1" x14ac:dyDescent="0.6">
      <c r="A613" s="1"/>
      <c r="B613" s="1"/>
      <c r="C613" s="1"/>
      <c r="D613" s="17"/>
    </row>
    <row r="614" spans="1:4" ht="21.75" customHeight="1" x14ac:dyDescent="0.6">
      <c r="A614" s="1"/>
      <c r="B614" s="1"/>
      <c r="C614" s="1"/>
      <c r="D614" s="17"/>
    </row>
    <row r="615" spans="1:4" ht="21.75" customHeight="1" x14ac:dyDescent="0.6">
      <c r="A615" s="1"/>
      <c r="B615" s="1"/>
      <c r="C615" s="1"/>
      <c r="D615" s="17"/>
    </row>
    <row r="616" spans="1:4" ht="21.75" customHeight="1" x14ac:dyDescent="0.6">
      <c r="A616" s="1"/>
      <c r="B616" s="1"/>
      <c r="C616" s="1"/>
      <c r="D616" s="17"/>
    </row>
    <row r="617" spans="1:4" ht="21.75" customHeight="1" x14ac:dyDescent="0.6">
      <c r="A617" s="1"/>
      <c r="B617" s="1"/>
      <c r="C617" s="1"/>
      <c r="D617" s="17"/>
    </row>
    <row r="618" spans="1:4" ht="21.75" customHeight="1" x14ac:dyDescent="0.6">
      <c r="A618" s="1"/>
      <c r="B618" s="1"/>
      <c r="C618" s="1"/>
      <c r="D618" s="17"/>
    </row>
    <row r="619" spans="1:4" ht="21.75" customHeight="1" x14ac:dyDescent="0.6">
      <c r="A619" s="1"/>
      <c r="B619" s="1"/>
      <c r="C619" s="1"/>
      <c r="D619" s="17"/>
    </row>
    <row r="620" spans="1:4" ht="21.75" customHeight="1" x14ac:dyDescent="0.6">
      <c r="A620" s="1"/>
      <c r="B620" s="1"/>
      <c r="C620" s="1"/>
      <c r="D620" s="17"/>
    </row>
    <row r="621" spans="1:4" ht="21.75" customHeight="1" x14ac:dyDescent="0.6">
      <c r="A621" s="1"/>
      <c r="B621" s="1"/>
      <c r="C621" s="1"/>
      <c r="D621" s="17"/>
    </row>
    <row r="622" spans="1:4" ht="21.75" customHeight="1" x14ac:dyDescent="0.6">
      <c r="A622" s="1"/>
      <c r="B622" s="1"/>
      <c r="C622" s="1"/>
      <c r="D622" s="17"/>
    </row>
    <row r="623" spans="1:4" ht="21.75" customHeight="1" x14ac:dyDescent="0.6">
      <c r="A623" s="1"/>
      <c r="B623" s="1"/>
      <c r="C623" s="1"/>
      <c r="D623" s="17"/>
    </row>
    <row r="624" spans="1:4" ht="21.75" customHeight="1" x14ac:dyDescent="0.6">
      <c r="A624" s="1"/>
      <c r="B624" s="1"/>
      <c r="C624" s="1"/>
      <c r="D624" s="17"/>
    </row>
    <row r="625" spans="1:4" ht="21.75" customHeight="1" x14ac:dyDescent="0.6">
      <c r="A625" s="1"/>
      <c r="B625" s="1"/>
      <c r="C625" s="1"/>
      <c r="D625" s="17"/>
    </row>
    <row r="626" spans="1:4" ht="21.75" customHeight="1" x14ac:dyDescent="0.6">
      <c r="A626" s="1"/>
      <c r="B626" s="1"/>
      <c r="C626" s="1"/>
      <c r="D626" s="17"/>
    </row>
    <row r="627" spans="1:4" ht="21.75" customHeight="1" x14ac:dyDescent="0.6">
      <c r="A627" s="1"/>
      <c r="B627" s="1"/>
      <c r="C627" s="1"/>
      <c r="D627" s="17"/>
    </row>
    <row r="628" spans="1:4" ht="21.75" customHeight="1" x14ac:dyDescent="0.6">
      <c r="A628" s="1"/>
      <c r="B628" s="1"/>
      <c r="C628" s="1"/>
      <c r="D628" s="17"/>
    </row>
    <row r="629" spans="1:4" ht="21.75" customHeight="1" x14ac:dyDescent="0.6">
      <c r="A629" s="1"/>
      <c r="B629" s="1"/>
      <c r="C629" s="1"/>
      <c r="D629" s="17"/>
    </row>
    <row r="630" spans="1:4" ht="21.75" customHeight="1" x14ac:dyDescent="0.6">
      <c r="A630" s="1"/>
      <c r="B630" s="1"/>
      <c r="C630" s="1"/>
      <c r="D630" s="17"/>
    </row>
    <row r="631" spans="1:4" ht="21.75" customHeight="1" x14ac:dyDescent="0.6">
      <c r="A631" s="1"/>
      <c r="B631" s="1"/>
      <c r="C631" s="1"/>
      <c r="D631" s="17"/>
    </row>
    <row r="632" spans="1:4" ht="21.75" customHeight="1" x14ac:dyDescent="0.6">
      <c r="A632" s="1"/>
      <c r="B632" s="1"/>
      <c r="C632" s="1"/>
      <c r="D632" s="17"/>
    </row>
    <row r="633" spans="1:4" ht="21.75" customHeight="1" x14ac:dyDescent="0.6">
      <c r="A633" s="1"/>
      <c r="B633" s="1"/>
      <c r="C633" s="1"/>
      <c r="D633" s="17"/>
    </row>
    <row r="634" spans="1:4" ht="21.75" customHeight="1" x14ac:dyDescent="0.6">
      <c r="A634" s="1"/>
      <c r="B634" s="1"/>
      <c r="C634" s="1"/>
      <c r="D634" s="17"/>
    </row>
    <row r="635" spans="1:4" ht="21.75" customHeight="1" x14ac:dyDescent="0.6">
      <c r="A635" s="1"/>
      <c r="B635" s="1"/>
      <c r="C635" s="1"/>
      <c r="D635" s="17"/>
    </row>
    <row r="636" spans="1:4" ht="21.75" customHeight="1" x14ac:dyDescent="0.6">
      <c r="A636" s="1"/>
      <c r="B636" s="1"/>
      <c r="C636" s="1"/>
      <c r="D636" s="17"/>
    </row>
    <row r="637" spans="1:4" ht="21.75" customHeight="1" x14ac:dyDescent="0.6">
      <c r="A637" s="1"/>
      <c r="B637" s="1"/>
      <c r="C637" s="1"/>
      <c r="D637" s="17"/>
    </row>
    <row r="638" spans="1:4" ht="21.75" customHeight="1" x14ac:dyDescent="0.6">
      <c r="A638" s="1"/>
      <c r="B638" s="1"/>
      <c r="C638" s="1"/>
      <c r="D638" s="17"/>
    </row>
    <row r="639" spans="1:4" ht="21.75" customHeight="1" x14ac:dyDescent="0.6">
      <c r="A639" s="1"/>
      <c r="B639" s="1"/>
      <c r="C639" s="1"/>
      <c r="D639" s="17"/>
    </row>
    <row r="640" spans="1:4" ht="21.75" customHeight="1" x14ac:dyDescent="0.6">
      <c r="A640" s="1"/>
      <c r="B640" s="1"/>
      <c r="C640" s="1"/>
      <c r="D640" s="17"/>
    </row>
    <row r="641" spans="1:4" ht="21.75" customHeight="1" x14ac:dyDescent="0.6">
      <c r="A641" s="1"/>
      <c r="B641" s="1"/>
      <c r="C641" s="1"/>
      <c r="D641" s="17"/>
    </row>
    <row r="642" spans="1:4" ht="21.75" customHeight="1" x14ac:dyDescent="0.6">
      <c r="A642" s="1"/>
      <c r="B642" s="1"/>
      <c r="C642" s="1"/>
      <c r="D642" s="17"/>
    </row>
    <row r="643" spans="1:4" ht="21.75" customHeight="1" x14ac:dyDescent="0.6">
      <c r="A643" s="1"/>
      <c r="B643" s="1"/>
      <c r="C643" s="1"/>
      <c r="D643" s="17"/>
    </row>
    <row r="644" spans="1:4" ht="21.75" customHeight="1" x14ac:dyDescent="0.6">
      <c r="A644" s="1"/>
      <c r="B644" s="1"/>
      <c r="C644" s="1"/>
      <c r="D644" s="17"/>
    </row>
    <row r="645" spans="1:4" ht="21.75" customHeight="1" x14ac:dyDescent="0.6">
      <c r="A645" s="1"/>
      <c r="B645" s="1"/>
      <c r="C645" s="1"/>
      <c r="D645" s="17"/>
    </row>
    <row r="646" spans="1:4" ht="21.75" customHeight="1" x14ac:dyDescent="0.6">
      <c r="A646" s="1"/>
      <c r="B646" s="1"/>
      <c r="C646" s="1"/>
      <c r="D646" s="17"/>
    </row>
    <row r="647" spans="1:4" ht="21.75" customHeight="1" x14ac:dyDescent="0.6">
      <c r="A647" s="1"/>
      <c r="B647" s="1"/>
      <c r="C647" s="1"/>
      <c r="D647" s="17"/>
    </row>
    <row r="648" spans="1:4" ht="21.75" customHeight="1" x14ac:dyDescent="0.6">
      <c r="A648" s="1"/>
      <c r="B648" s="1"/>
      <c r="C648" s="1"/>
      <c r="D648" s="17"/>
    </row>
    <row r="649" spans="1:4" ht="21.75" customHeight="1" x14ac:dyDescent="0.6">
      <c r="A649" s="1"/>
      <c r="B649" s="1"/>
      <c r="C649" s="1"/>
      <c r="D649" s="17"/>
    </row>
    <row r="650" spans="1:4" ht="21.75" customHeight="1" x14ac:dyDescent="0.6">
      <c r="A650" s="1"/>
      <c r="B650" s="1"/>
      <c r="C650" s="1"/>
      <c r="D650" s="17"/>
    </row>
    <row r="651" spans="1:4" ht="21.75" customHeight="1" x14ac:dyDescent="0.6">
      <c r="A651" s="1"/>
      <c r="B651" s="1"/>
      <c r="C651" s="1"/>
      <c r="D651" s="17"/>
    </row>
    <row r="652" spans="1:4" ht="21.75" customHeight="1" x14ac:dyDescent="0.6">
      <c r="A652" s="1"/>
      <c r="B652" s="1"/>
      <c r="C652" s="1"/>
      <c r="D652" s="17"/>
    </row>
    <row r="653" spans="1:4" ht="21.75" customHeight="1" x14ac:dyDescent="0.6">
      <c r="A653" s="1"/>
      <c r="B653" s="1"/>
      <c r="C653" s="1"/>
      <c r="D653" s="17"/>
    </row>
    <row r="654" spans="1:4" ht="21.75" customHeight="1" x14ac:dyDescent="0.6">
      <c r="A654" s="1"/>
      <c r="B654" s="1"/>
      <c r="C654" s="1"/>
      <c r="D654" s="17"/>
    </row>
    <row r="655" spans="1:4" ht="21.75" customHeight="1" x14ac:dyDescent="0.6">
      <c r="A655" s="1"/>
      <c r="B655" s="1"/>
      <c r="C655" s="1"/>
      <c r="D655" s="17"/>
    </row>
    <row r="656" spans="1:4" ht="21.75" customHeight="1" x14ac:dyDescent="0.6">
      <c r="A656" s="1"/>
      <c r="B656" s="1"/>
      <c r="C656" s="1"/>
      <c r="D656" s="17"/>
    </row>
    <row r="657" spans="1:4" ht="21.75" customHeight="1" x14ac:dyDescent="0.6">
      <c r="A657" s="1"/>
      <c r="B657" s="1"/>
      <c r="C657" s="1"/>
      <c r="D657" s="17"/>
    </row>
    <row r="658" spans="1:4" ht="21.75" customHeight="1" x14ac:dyDescent="0.6">
      <c r="A658" s="1"/>
      <c r="B658" s="1"/>
      <c r="C658" s="1"/>
      <c r="D658" s="17"/>
    </row>
    <row r="659" spans="1:4" ht="21.75" customHeight="1" x14ac:dyDescent="0.6">
      <c r="A659" s="1"/>
      <c r="B659" s="1"/>
      <c r="C659" s="1"/>
      <c r="D659" s="17"/>
    </row>
    <row r="660" spans="1:4" ht="21.75" customHeight="1" x14ac:dyDescent="0.6">
      <c r="A660" s="1"/>
      <c r="B660" s="1"/>
      <c r="C660" s="1"/>
      <c r="D660" s="17"/>
    </row>
    <row r="661" spans="1:4" ht="21.75" customHeight="1" x14ac:dyDescent="0.6">
      <c r="A661" s="1"/>
      <c r="B661" s="1"/>
      <c r="C661" s="1"/>
      <c r="D661" s="17"/>
    </row>
    <row r="662" spans="1:4" ht="21.75" customHeight="1" x14ac:dyDescent="0.6">
      <c r="A662" s="1"/>
      <c r="B662" s="1"/>
      <c r="C662" s="1"/>
      <c r="D662" s="17"/>
    </row>
    <row r="663" spans="1:4" ht="21.75" customHeight="1" x14ac:dyDescent="0.6">
      <c r="A663" s="1"/>
      <c r="B663" s="1"/>
      <c r="C663" s="1"/>
      <c r="D663" s="17"/>
    </row>
    <row r="664" spans="1:4" ht="21.75" customHeight="1" x14ac:dyDescent="0.6">
      <c r="A664" s="1"/>
      <c r="B664" s="1"/>
      <c r="C664" s="1"/>
      <c r="D664" s="17"/>
    </row>
    <row r="665" spans="1:4" ht="21.75" customHeight="1" x14ac:dyDescent="0.6">
      <c r="A665" s="1"/>
      <c r="B665" s="1"/>
      <c r="C665" s="1"/>
      <c r="D665" s="17"/>
    </row>
    <row r="666" spans="1:4" ht="21.75" customHeight="1" x14ac:dyDescent="0.6">
      <c r="A666" s="1"/>
      <c r="B666" s="1"/>
      <c r="C666" s="1"/>
      <c r="D666" s="17"/>
    </row>
    <row r="667" spans="1:4" ht="21.75" customHeight="1" x14ac:dyDescent="0.6">
      <c r="A667" s="1"/>
      <c r="B667" s="1"/>
      <c r="C667" s="1"/>
      <c r="D667" s="17"/>
    </row>
    <row r="668" spans="1:4" ht="21.75" customHeight="1" x14ac:dyDescent="0.6">
      <c r="A668" s="1"/>
      <c r="B668" s="1"/>
      <c r="C668" s="1"/>
      <c r="D668" s="17"/>
    </row>
    <row r="669" spans="1:4" ht="21.75" customHeight="1" x14ac:dyDescent="0.6">
      <c r="A669" s="1"/>
      <c r="B669" s="1"/>
      <c r="C669" s="1"/>
      <c r="D669" s="17"/>
    </row>
    <row r="670" spans="1:4" ht="21.75" customHeight="1" x14ac:dyDescent="0.6">
      <c r="A670" s="1"/>
      <c r="B670" s="1"/>
      <c r="C670" s="1"/>
      <c r="D670" s="17"/>
    </row>
    <row r="671" spans="1:4" ht="21.75" customHeight="1" x14ac:dyDescent="0.6">
      <c r="A671" s="1"/>
      <c r="B671" s="1"/>
      <c r="C671" s="1"/>
      <c r="D671" s="17"/>
    </row>
    <row r="672" spans="1:4" ht="21.75" customHeight="1" x14ac:dyDescent="0.6">
      <c r="A672" s="1"/>
      <c r="B672" s="1"/>
      <c r="C672" s="1"/>
      <c r="D672" s="17"/>
    </row>
    <row r="673" spans="1:4" ht="21.75" customHeight="1" x14ac:dyDescent="0.6">
      <c r="A673" s="1"/>
      <c r="B673" s="1"/>
      <c r="C673" s="1"/>
      <c r="D673" s="17"/>
    </row>
    <row r="674" spans="1:4" ht="21.75" customHeight="1" x14ac:dyDescent="0.6">
      <c r="A674" s="1"/>
      <c r="B674" s="1"/>
      <c r="C674" s="1"/>
      <c r="D674" s="17"/>
    </row>
    <row r="675" spans="1:4" ht="21.75" customHeight="1" x14ac:dyDescent="0.6">
      <c r="A675" s="1"/>
      <c r="B675" s="1"/>
      <c r="C675" s="1"/>
      <c r="D675" s="17"/>
    </row>
    <row r="676" spans="1:4" ht="21.75" customHeight="1" x14ac:dyDescent="0.6">
      <c r="A676" s="1"/>
      <c r="B676" s="1"/>
      <c r="C676" s="1"/>
      <c r="D676" s="17"/>
    </row>
    <row r="677" spans="1:4" ht="21.75" customHeight="1" x14ac:dyDescent="0.6">
      <c r="A677" s="1"/>
      <c r="B677" s="1"/>
      <c r="C677" s="1"/>
      <c r="D677" s="17"/>
    </row>
    <row r="678" spans="1:4" ht="21.75" customHeight="1" x14ac:dyDescent="0.6">
      <c r="A678" s="1"/>
      <c r="B678" s="1"/>
      <c r="C678" s="1"/>
      <c r="D678" s="17"/>
    </row>
    <row r="679" spans="1:4" ht="21.75" customHeight="1" x14ac:dyDescent="0.6">
      <c r="A679" s="1"/>
      <c r="B679" s="1"/>
      <c r="C679" s="1"/>
      <c r="D679" s="17"/>
    </row>
    <row r="680" spans="1:4" ht="21.75" customHeight="1" x14ac:dyDescent="0.6">
      <c r="A680" s="1"/>
      <c r="B680" s="1"/>
      <c r="C680" s="1"/>
      <c r="D680" s="17"/>
    </row>
    <row r="681" spans="1:4" ht="21.75" customHeight="1" x14ac:dyDescent="0.6">
      <c r="A681" s="1"/>
      <c r="B681" s="1"/>
      <c r="C681" s="1"/>
      <c r="D681" s="17"/>
    </row>
    <row r="682" spans="1:4" ht="21.75" customHeight="1" x14ac:dyDescent="0.6">
      <c r="A682" s="1"/>
      <c r="B682" s="1"/>
      <c r="C682" s="1"/>
      <c r="D682" s="17"/>
    </row>
    <row r="683" spans="1:4" ht="21.75" customHeight="1" x14ac:dyDescent="0.6">
      <c r="A683" s="1"/>
      <c r="B683" s="1"/>
      <c r="C683" s="1"/>
      <c r="D683" s="17"/>
    </row>
    <row r="684" spans="1:4" ht="21.75" customHeight="1" x14ac:dyDescent="0.6">
      <c r="A684" s="1"/>
      <c r="B684" s="1"/>
      <c r="C684" s="1"/>
      <c r="D684" s="17"/>
    </row>
    <row r="685" spans="1:4" ht="21.75" customHeight="1" x14ac:dyDescent="0.6">
      <c r="A685" s="1"/>
      <c r="B685" s="1"/>
      <c r="C685" s="1"/>
      <c r="D685" s="17"/>
    </row>
    <row r="686" spans="1:4" ht="21.75" customHeight="1" x14ac:dyDescent="0.6">
      <c r="A686" s="1"/>
      <c r="B686" s="1"/>
      <c r="C686" s="1"/>
      <c r="D686" s="17"/>
    </row>
    <row r="687" spans="1:4" ht="21.75" customHeight="1" x14ac:dyDescent="0.6">
      <c r="A687" s="1"/>
      <c r="B687" s="1"/>
      <c r="C687" s="1"/>
      <c r="D687" s="17"/>
    </row>
    <row r="688" spans="1:4" ht="21.75" customHeight="1" x14ac:dyDescent="0.6">
      <c r="A688" s="1"/>
      <c r="B688" s="1"/>
      <c r="C688" s="1"/>
      <c r="D688" s="17"/>
    </row>
    <row r="689" spans="1:4" ht="21.75" customHeight="1" x14ac:dyDescent="0.6">
      <c r="A689" s="1"/>
      <c r="B689" s="1"/>
      <c r="C689" s="1"/>
      <c r="D689" s="17"/>
    </row>
    <row r="690" spans="1:4" ht="21.75" customHeight="1" x14ac:dyDescent="0.6">
      <c r="A690" s="1"/>
      <c r="B690" s="1"/>
      <c r="C690" s="1"/>
      <c r="D690" s="17"/>
    </row>
    <row r="691" spans="1:4" ht="21.75" customHeight="1" x14ac:dyDescent="0.6">
      <c r="A691" s="1"/>
      <c r="B691" s="1"/>
      <c r="C691" s="1"/>
      <c r="D691" s="17"/>
    </row>
    <row r="692" spans="1:4" ht="21.75" customHeight="1" x14ac:dyDescent="0.6">
      <c r="A692" s="1"/>
      <c r="B692" s="1"/>
      <c r="C692" s="1"/>
      <c r="D692" s="17"/>
    </row>
    <row r="693" spans="1:4" ht="21.75" customHeight="1" x14ac:dyDescent="0.6">
      <c r="A693" s="1"/>
      <c r="B693" s="1"/>
      <c r="C693" s="1"/>
      <c r="D693" s="17"/>
    </row>
    <row r="694" spans="1:4" ht="21.75" customHeight="1" x14ac:dyDescent="0.6">
      <c r="A694" s="1"/>
      <c r="B694" s="1"/>
      <c r="C694" s="1"/>
      <c r="D694" s="17"/>
    </row>
    <row r="695" spans="1:4" ht="21.75" customHeight="1" x14ac:dyDescent="0.6">
      <c r="A695" s="1"/>
      <c r="B695" s="1"/>
      <c r="C695" s="1"/>
      <c r="D695" s="17"/>
    </row>
    <row r="696" spans="1:4" ht="21.75" customHeight="1" x14ac:dyDescent="0.6">
      <c r="A696" s="1"/>
      <c r="B696" s="1"/>
      <c r="C696" s="1"/>
      <c r="D696" s="17"/>
    </row>
    <row r="697" spans="1:4" ht="21.75" customHeight="1" x14ac:dyDescent="0.6">
      <c r="A697" s="1"/>
      <c r="B697" s="1"/>
      <c r="C697" s="1"/>
      <c r="D697" s="17"/>
    </row>
    <row r="698" spans="1:4" ht="21.75" customHeight="1" x14ac:dyDescent="0.6">
      <c r="A698" s="1"/>
      <c r="B698" s="1"/>
      <c r="C698" s="1"/>
      <c r="D698" s="17"/>
    </row>
    <row r="699" spans="1:4" ht="21.75" customHeight="1" x14ac:dyDescent="0.6">
      <c r="A699" s="1"/>
      <c r="B699" s="1"/>
      <c r="C699" s="1"/>
      <c r="D699" s="17"/>
    </row>
    <row r="700" spans="1:4" ht="21.75" customHeight="1" x14ac:dyDescent="0.6">
      <c r="A700" s="1"/>
      <c r="B700" s="1"/>
      <c r="C700" s="1"/>
      <c r="D700" s="17"/>
    </row>
    <row r="701" spans="1:4" ht="21.75" customHeight="1" x14ac:dyDescent="0.6">
      <c r="A701" s="1"/>
      <c r="B701" s="1"/>
      <c r="C701" s="1"/>
      <c r="D701" s="17"/>
    </row>
    <row r="702" spans="1:4" ht="21.75" customHeight="1" x14ac:dyDescent="0.6">
      <c r="A702" s="1"/>
      <c r="B702" s="1"/>
      <c r="C702" s="1"/>
      <c r="D702" s="17"/>
    </row>
    <row r="703" spans="1:4" ht="21.75" customHeight="1" x14ac:dyDescent="0.6">
      <c r="A703" s="1"/>
      <c r="B703" s="1"/>
      <c r="C703" s="1"/>
      <c r="D703" s="17"/>
    </row>
    <row r="704" spans="1:4" ht="21.75" customHeight="1" x14ac:dyDescent="0.6">
      <c r="A704" s="1"/>
      <c r="B704" s="1"/>
      <c r="C704" s="1"/>
      <c r="D704" s="17"/>
    </row>
    <row r="705" spans="1:4" ht="21.75" customHeight="1" x14ac:dyDescent="0.6">
      <c r="A705" s="1"/>
      <c r="B705" s="1"/>
      <c r="C705" s="1"/>
      <c r="D705" s="17"/>
    </row>
    <row r="706" spans="1:4" ht="21.75" customHeight="1" x14ac:dyDescent="0.6">
      <c r="A706" s="1"/>
      <c r="B706" s="1"/>
      <c r="C706" s="1"/>
      <c r="D706" s="17"/>
    </row>
    <row r="707" spans="1:4" ht="21.75" customHeight="1" x14ac:dyDescent="0.6">
      <c r="A707" s="1"/>
      <c r="B707" s="1"/>
      <c r="C707" s="1"/>
      <c r="D707" s="17"/>
    </row>
    <row r="708" spans="1:4" ht="21.75" customHeight="1" x14ac:dyDescent="0.6">
      <c r="A708" s="1"/>
      <c r="B708" s="1"/>
      <c r="C708" s="1"/>
      <c r="D708" s="17"/>
    </row>
    <row r="709" spans="1:4" ht="21.75" customHeight="1" x14ac:dyDescent="0.6">
      <c r="A709" s="1"/>
      <c r="B709" s="1"/>
      <c r="C709" s="1"/>
      <c r="D709" s="17"/>
    </row>
    <row r="710" spans="1:4" ht="21.75" customHeight="1" x14ac:dyDescent="0.6">
      <c r="A710" s="1"/>
      <c r="B710" s="1"/>
      <c r="C710" s="1"/>
      <c r="D710" s="17"/>
    </row>
    <row r="711" spans="1:4" ht="21.75" customHeight="1" x14ac:dyDescent="0.6">
      <c r="A711" s="1"/>
      <c r="B711" s="1"/>
      <c r="C711" s="1"/>
      <c r="D711" s="17"/>
    </row>
    <row r="712" spans="1:4" ht="21.75" customHeight="1" x14ac:dyDescent="0.6">
      <c r="A712" s="1"/>
      <c r="B712" s="1"/>
      <c r="C712" s="1"/>
      <c r="D712" s="17"/>
    </row>
    <row r="713" spans="1:4" ht="21.75" customHeight="1" x14ac:dyDescent="0.6">
      <c r="A713" s="1"/>
      <c r="B713" s="1"/>
      <c r="C713" s="1"/>
      <c r="D713" s="17"/>
    </row>
    <row r="714" spans="1:4" ht="21.75" customHeight="1" x14ac:dyDescent="0.6">
      <c r="A714" s="1"/>
      <c r="B714" s="1"/>
      <c r="C714" s="1"/>
      <c r="D714" s="17"/>
    </row>
    <row r="715" spans="1:4" ht="21.75" customHeight="1" x14ac:dyDescent="0.6">
      <c r="A715" s="1"/>
      <c r="B715" s="1"/>
      <c r="C715" s="1"/>
      <c r="D715" s="17"/>
    </row>
    <row r="716" spans="1:4" ht="21.75" customHeight="1" x14ac:dyDescent="0.6">
      <c r="A716" s="1"/>
      <c r="B716" s="1"/>
      <c r="C716" s="1"/>
      <c r="D716" s="17"/>
    </row>
    <row r="717" spans="1:4" ht="21.75" customHeight="1" x14ac:dyDescent="0.6">
      <c r="A717" s="1"/>
      <c r="B717" s="1"/>
      <c r="C717" s="1"/>
      <c r="D717" s="17"/>
    </row>
    <row r="718" spans="1:4" ht="21.75" customHeight="1" x14ac:dyDescent="0.6">
      <c r="A718" s="1"/>
      <c r="B718" s="1"/>
      <c r="C718" s="1"/>
      <c r="D718" s="17"/>
    </row>
    <row r="719" spans="1:4" ht="21.75" customHeight="1" x14ac:dyDescent="0.6">
      <c r="A719" s="1"/>
      <c r="B719" s="1"/>
      <c r="C719" s="1"/>
      <c r="D719" s="17"/>
    </row>
    <row r="720" spans="1:4" ht="21.75" customHeight="1" x14ac:dyDescent="0.6">
      <c r="A720" s="1"/>
      <c r="B720" s="1"/>
      <c r="C720" s="1"/>
      <c r="D720" s="17"/>
    </row>
    <row r="721" spans="1:4" ht="21.75" customHeight="1" x14ac:dyDescent="0.6">
      <c r="A721" s="1"/>
      <c r="B721" s="1"/>
      <c r="C721" s="1"/>
      <c r="D721" s="17"/>
    </row>
    <row r="722" spans="1:4" ht="21.75" customHeight="1" x14ac:dyDescent="0.6">
      <c r="A722" s="1"/>
      <c r="B722" s="1"/>
      <c r="C722" s="1"/>
      <c r="D722" s="17"/>
    </row>
    <row r="723" spans="1:4" ht="21.75" customHeight="1" x14ac:dyDescent="0.6">
      <c r="A723" s="1"/>
      <c r="B723" s="1"/>
      <c r="C723" s="1"/>
      <c r="D723" s="17"/>
    </row>
    <row r="724" spans="1:4" ht="21.75" customHeight="1" x14ac:dyDescent="0.6">
      <c r="A724" s="1"/>
      <c r="B724" s="1"/>
      <c r="C724" s="1"/>
      <c r="D724" s="17"/>
    </row>
    <row r="725" spans="1:4" ht="21.75" customHeight="1" x14ac:dyDescent="0.6">
      <c r="A725" s="1"/>
      <c r="B725" s="1"/>
      <c r="C725" s="1"/>
      <c r="D725" s="17"/>
    </row>
    <row r="726" spans="1:4" ht="21.75" customHeight="1" x14ac:dyDescent="0.6">
      <c r="A726" s="1"/>
      <c r="B726" s="1"/>
      <c r="C726" s="1"/>
      <c r="D726" s="17"/>
    </row>
    <row r="727" spans="1:4" ht="21.75" customHeight="1" x14ac:dyDescent="0.6">
      <c r="A727" s="1"/>
      <c r="B727" s="1"/>
      <c r="C727" s="1"/>
      <c r="D727" s="17"/>
    </row>
    <row r="728" spans="1:4" ht="21.75" customHeight="1" x14ac:dyDescent="0.6">
      <c r="A728" s="1"/>
      <c r="B728" s="1"/>
      <c r="C728" s="1"/>
      <c r="D728" s="17"/>
    </row>
    <row r="729" spans="1:4" ht="21.75" customHeight="1" x14ac:dyDescent="0.6">
      <c r="A729" s="1"/>
      <c r="B729" s="1"/>
      <c r="C729" s="1"/>
      <c r="D729" s="17"/>
    </row>
    <row r="730" spans="1:4" ht="21.75" customHeight="1" x14ac:dyDescent="0.6">
      <c r="A730" s="1"/>
      <c r="B730" s="1"/>
      <c r="C730" s="1"/>
      <c r="D730" s="17"/>
    </row>
    <row r="731" spans="1:4" ht="21.75" customHeight="1" x14ac:dyDescent="0.6">
      <c r="A731" s="1"/>
      <c r="B731" s="1"/>
      <c r="C731" s="1"/>
      <c r="D731" s="17"/>
    </row>
    <row r="732" spans="1:4" ht="21.75" customHeight="1" x14ac:dyDescent="0.6">
      <c r="A732" s="1"/>
      <c r="B732" s="1"/>
      <c r="C732" s="1"/>
      <c r="D732" s="17"/>
    </row>
    <row r="733" spans="1:4" ht="21.75" customHeight="1" x14ac:dyDescent="0.6">
      <c r="A733" s="1"/>
      <c r="B733" s="1"/>
      <c r="C733" s="1"/>
      <c r="D733" s="17"/>
    </row>
    <row r="734" spans="1:4" ht="21.75" customHeight="1" x14ac:dyDescent="0.6">
      <c r="A734" s="1"/>
      <c r="B734" s="1"/>
      <c r="C734" s="1"/>
      <c r="D734" s="17"/>
    </row>
    <row r="735" spans="1:4" ht="21.75" customHeight="1" x14ac:dyDescent="0.6">
      <c r="A735" s="1"/>
      <c r="B735" s="1"/>
      <c r="C735" s="1"/>
      <c r="D735" s="17"/>
    </row>
    <row r="736" spans="1:4" ht="21.75" customHeight="1" x14ac:dyDescent="0.6">
      <c r="A736" s="1"/>
      <c r="B736" s="1"/>
      <c r="C736" s="1"/>
      <c r="D736" s="17"/>
    </row>
    <row r="737" spans="1:4" ht="21.75" customHeight="1" x14ac:dyDescent="0.6">
      <c r="A737" s="1"/>
      <c r="B737" s="1"/>
      <c r="C737" s="1"/>
      <c r="D737" s="17"/>
    </row>
    <row r="738" spans="1:4" ht="21.75" customHeight="1" x14ac:dyDescent="0.6">
      <c r="A738" s="1"/>
      <c r="B738" s="1"/>
      <c r="C738" s="1"/>
      <c r="D738" s="17"/>
    </row>
    <row r="739" spans="1:4" ht="21.75" customHeight="1" x14ac:dyDescent="0.6">
      <c r="A739" s="1"/>
      <c r="B739" s="1"/>
      <c r="C739" s="1"/>
      <c r="D739" s="17"/>
    </row>
    <row r="740" spans="1:4" ht="21.75" customHeight="1" x14ac:dyDescent="0.6">
      <c r="A740" s="1"/>
      <c r="B740" s="1"/>
      <c r="C740" s="1"/>
      <c r="D740" s="17"/>
    </row>
    <row r="741" spans="1:4" ht="21.75" customHeight="1" x14ac:dyDescent="0.6">
      <c r="A741" s="1"/>
      <c r="B741" s="1"/>
      <c r="C741" s="1"/>
      <c r="D741" s="17"/>
    </row>
    <row r="742" spans="1:4" ht="21.75" customHeight="1" x14ac:dyDescent="0.6">
      <c r="A742" s="1"/>
      <c r="B742" s="1"/>
      <c r="C742" s="1"/>
      <c r="D742" s="17"/>
    </row>
    <row r="743" spans="1:4" ht="21.75" customHeight="1" x14ac:dyDescent="0.6">
      <c r="A743" s="1"/>
      <c r="B743" s="1"/>
      <c r="C743" s="1"/>
      <c r="D743" s="17"/>
    </row>
    <row r="744" spans="1:4" ht="21.75" customHeight="1" x14ac:dyDescent="0.6">
      <c r="A744" s="1"/>
      <c r="B744" s="1"/>
      <c r="C744" s="1"/>
      <c r="D744" s="17"/>
    </row>
    <row r="745" spans="1:4" ht="21.75" customHeight="1" x14ac:dyDescent="0.6">
      <c r="A745" s="1"/>
      <c r="B745" s="1"/>
      <c r="C745" s="1"/>
      <c r="D745" s="17"/>
    </row>
    <row r="746" spans="1:4" ht="21.75" customHeight="1" x14ac:dyDescent="0.6">
      <c r="A746" s="1"/>
      <c r="B746" s="1"/>
      <c r="C746" s="1"/>
      <c r="D746" s="17"/>
    </row>
    <row r="747" spans="1:4" ht="21.75" customHeight="1" x14ac:dyDescent="0.6">
      <c r="A747" s="1"/>
      <c r="B747" s="1"/>
      <c r="C747" s="1"/>
      <c r="D747" s="17"/>
    </row>
    <row r="748" spans="1:4" ht="21.75" customHeight="1" x14ac:dyDescent="0.6">
      <c r="A748" s="1"/>
      <c r="B748" s="1"/>
      <c r="C748" s="1"/>
      <c r="D748" s="17"/>
    </row>
    <row r="749" spans="1:4" ht="21.75" customHeight="1" x14ac:dyDescent="0.6">
      <c r="A749" s="1"/>
      <c r="B749" s="1"/>
      <c r="C749" s="1"/>
      <c r="D749" s="17"/>
    </row>
    <row r="750" spans="1:4" ht="21.75" customHeight="1" x14ac:dyDescent="0.6">
      <c r="A750" s="1"/>
      <c r="B750" s="1"/>
      <c r="C750" s="1"/>
      <c r="D750" s="17"/>
    </row>
    <row r="751" spans="1:4" ht="21.75" customHeight="1" x14ac:dyDescent="0.6">
      <c r="A751" s="1"/>
      <c r="B751" s="1"/>
      <c r="C751" s="1"/>
      <c r="D751" s="17"/>
    </row>
    <row r="752" spans="1:4" ht="21.75" customHeight="1" x14ac:dyDescent="0.6">
      <c r="A752" s="1"/>
      <c r="B752" s="1"/>
      <c r="C752" s="1"/>
      <c r="D752" s="17"/>
    </row>
    <row r="753" spans="1:4" ht="21.75" customHeight="1" x14ac:dyDescent="0.6">
      <c r="A753" s="1"/>
      <c r="B753" s="1"/>
      <c r="C753" s="1"/>
      <c r="D753" s="17"/>
    </row>
    <row r="754" spans="1:4" ht="21.75" customHeight="1" x14ac:dyDescent="0.6">
      <c r="A754" s="1"/>
      <c r="B754" s="1"/>
      <c r="C754" s="1"/>
      <c r="D754" s="17"/>
    </row>
    <row r="755" spans="1:4" ht="21.75" customHeight="1" x14ac:dyDescent="0.6">
      <c r="A755" s="1"/>
      <c r="B755" s="1"/>
      <c r="C755" s="1"/>
      <c r="D755" s="17"/>
    </row>
    <row r="756" spans="1:4" ht="21.75" customHeight="1" x14ac:dyDescent="0.6">
      <c r="A756" s="1"/>
      <c r="B756" s="1"/>
      <c r="C756" s="1"/>
      <c r="D756" s="17"/>
    </row>
    <row r="757" spans="1:4" ht="21.75" customHeight="1" x14ac:dyDescent="0.6">
      <c r="A757" s="1"/>
      <c r="B757" s="1"/>
      <c r="C757" s="1"/>
      <c r="D757" s="17"/>
    </row>
    <row r="758" spans="1:4" ht="21.75" customHeight="1" x14ac:dyDescent="0.6">
      <c r="A758" s="1"/>
      <c r="B758" s="1"/>
      <c r="C758" s="1"/>
      <c r="D758" s="17"/>
    </row>
    <row r="759" spans="1:4" ht="21.75" customHeight="1" x14ac:dyDescent="0.6">
      <c r="A759" s="1"/>
      <c r="B759" s="1"/>
      <c r="C759" s="1"/>
      <c r="D759" s="17"/>
    </row>
    <row r="760" spans="1:4" ht="21.75" customHeight="1" x14ac:dyDescent="0.6">
      <c r="A760" s="1"/>
      <c r="B760" s="1"/>
      <c r="C760" s="1"/>
      <c r="D760" s="17"/>
    </row>
    <row r="761" spans="1:4" ht="21.75" customHeight="1" x14ac:dyDescent="0.6">
      <c r="A761" s="1"/>
      <c r="B761" s="1"/>
      <c r="C761" s="1"/>
      <c r="D761" s="17"/>
    </row>
    <row r="762" spans="1:4" ht="21.75" customHeight="1" x14ac:dyDescent="0.6">
      <c r="A762" s="1"/>
      <c r="B762" s="1"/>
      <c r="C762" s="1"/>
      <c r="D762" s="17"/>
    </row>
    <row r="763" spans="1:4" ht="21.75" customHeight="1" x14ac:dyDescent="0.6">
      <c r="A763" s="1"/>
      <c r="B763" s="1"/>
      <c r="C763" s="1"/>
      <c r="D763" s="17"/>
    </row>
    <row r="764" spans="1:4" ht="21.75" customHeight="1" x14ac:dyDescent="0.6">
      <c r="A764" s="1"/>
      <c r="B764" s="1"/>
      <c r="C764" s="1"/>
      <c r="D764" s="17"/>
    </row>
    <row r="765" spans="1:4" ht="21.75" customHeight="1" x14ac:dyDescent="0.6">
      <c r="A765" s="1"/>
      <c r="B765" s="1"/>
      <c r="C765" s="1"/>
      <c r="D765" s="17"/>
    </row>
    <row r="766" spans="1:4" ht="21.75" customHeight="1" x14ac:dyDescent="0.6">
      <c r="A766" s="1"/>
      <c r="B766" s="1"/>
      <c r="C766" s="1"/>
      <c r="D766" s="17"/>
    </row>
    <row r="767" spans="1:4" ht="21.75" customHeight="1" x14ac:dyDescent="0.6">
      <c r="A767" s="1"/>
      <c r="B767" s="1"/>
      <c r="C767" s="1"/>
      <c r="D767" s="17"/>
    </row>
    <row r="768" spans="1:4" ht="21.75" customHeight="1" x14ac:dyDescent="0.6">
      <c r="A768" s="1"/>
      <c r="B768" s="1"/>
      <c r="C768" s="1"/>
      <c r="D768" s="17"/>
    </row>
    <row r="769" spans="1:4" ht="21.75" customHeight="1" x14ac:dyDescent="0.6">
      <c r="A769" s="1"/>
      <c r="B769" s="1"/>
      <c r="C769" s="1"/>
      <c r="D769" s="17"/>
    </row>
    <row r="770" spans="1:4" ht="21.75" customHeight="1" x14ac:dyDescent="0.6">
      <c r="A770" s="1"/>
      <c r="B770" s="1"/>
      <c r="C770" s="1"/>
      <c r="D770" s="17"/>
    </row>
    <row r="771" spans="1:4" ht="21.75" customHeight="1" x14ac:dyDescent="0.6">
      <c r="A771" s="1"/>
      <c r="B771" s="1"/>
      <c r="C771" s="1"/>
      <c r="D771" s="17"/>
    </row>
    <row r="772" spans="1:4" ht="21.75" customHeight="1" x14ac:dyDescent="0.6">
      <c r="A772" s="1"/>
      <c r="B772" s="1"/>
      <c r="C772" s="1"/>
      <c r="D772" s="17"/>
    </row>
    <row r="773" spans="1:4" ht="21.75" customHeight="1" x14ac:dyDescent="0.6">
      <c r="A773" s="1"/>
      <c r="B773" s="1"/>
      <c r="C773" s="1"/>
      <c r="D773" s="17"/>
    </row>
    <row r="774" spans="1:4" ht="21.75" customHeight="1" x14ac:dyDescent="0.6">
      <c r="A774" s="1"/>
      <c r="B774" s="1"/>
      <c r="C774" s="1"/>
      <c r="D774" s="17"/>
    </row>
    <row r="775" spans="1:4" ht="21.75" customHeight="1" x14ac:dyDescent="0.6">
      <c r="A775" s="1"/>
      <c r="B775" s="1"/>
      <c r="C775" s="1"/>
      <c r="D775" s="17"/>
    </row>
    <row r="776" spans="1:4" ht="21.75" customHeight="1" x14ac:dyDescent="0.6">
      <c r="A776" s="1"/>
      <c r="B776" s="1"/>
      <c r="C776" s="1"/>
      <c r="D776" s="17"/>
    </row>
    <row r="777" spans="1:4" ht="21.75" customHeight="1" x14ac:dyDescent="0.6">
      <c r="A777" s="1"/>
      <c r="B777" s="1"/>
      <c r="C777" s="1"/>
      <c r="D777" s="17"/>
    </row>
    <row r="778" spans="1:4" ht="21.75" customHeight="1" x14ac:dyDescent="0.6">
      <c r="A778" s="1"/>
      <c r="B778" s="1"/>
      <c r="C778" s="1"/>
      <c r="D778" s="17"/>
    </row>
    <row r="779" spans="1:4" ht="21.75" customHeight="1" x14ac:dyDescent="0.6">
      <c r="A779" s="1"/>
      <c r="B779" s="1"/>
      <c r="C779" s="1"/>
      <c r="D779" s="17"/>
    </row>
    <row r="780" spans="1:4" ht="21.75" customHeight="1" x14ac:dyDescent="0.6">
      <c r="A780" s="1"/>
      <c r="B780" s="1"/>
      <c r="C780" s="1"/>
      <c r="D780" s="17"/>
    </row>
    <row r="781" spans="1:4" ht="21.75" customHeight="1" x14ac:dyDescent="0.6">
      <c r="A781" s="1"/>
      <c r="B781" s="1"/>
      <c r="C781" s="1"/>
      <c r="D781" s="17"/>
    </row>
    <row r="782" spans="1:4" ht="21.75" customHeight="1" x14ac:dyDescent="0.6">
      <c r="A782" s="1"/>
      <c r="B782" s="1"/>
      <c r="C782" s="1"/>
      <c r="D782" s="17"/>
    </row>
    <row r="783" spans="1:4" ht="21.75" customHeight="1" x14ac:dyDescent="0.6">
      <c r="A783" s="1"/>
      <c r="B783" s="1"/>
      <c r="C783" s="1"/>
      <c r="D783" s="17"/>
    </row>
    <row r="784" spans="1:4" ht="21.75" customHeight="1" x14ac:dyDescent="0.6">
      <c r="A784" s="1"/>
      <c r="B784" s="1"/>
      <c r="C784" s="1"/>
      <c r="D784" s="17"/>
    </row>
    <row r="785" spans="1:4" ht="21.75" customHeight="1" x14ac:dyDescent="0.6">
      <c r="A785" s="1"/>
      <c r="B785" s="1"/>
      <c r="C785" s="1"/>
      <c r="D785" s="17"/>
    </row>
    <row r="786" spans="1:4" ht="21.75" customHeight="1" x14ac:dyDescent="0.6">
      <c r="A786" s="1"/>
      <c r="B786" s="1"/>
      <c r="C786" s="1"/>
      <c r="D786" s="17"/>
    </row>
    <row r="787" spans="1:4" ht="21.75" customHeight="1" x14ac:dyDescent="0.6">
      <c r="A787" s="1"/>
      <c r="B787" s="1"/>
      <c r="C787" s="1"/>
      <c r="D787" s="17"/>
    </row>
    <row r="788" spans="1:4" ht="21.75" customHeight="1" x14ac:dyDescent="0.6">
      <c r="A788" s="1"/>
      <c r="B788" s="1"/>
      <c r="C788" s="1"/>
      <c r="D788" s="17"/>
    </row>
    <row r="789" spans="1:4" ht="21.75" customHeight="1" x14ac:dyDescent="0.6">
      <c r="A789" s="1"/>
      <c r="B789" s="1"/>
      <c r="C789" s="1"/>
      <c r="D789" s="17"/>
    </row>
    <row r="790" spans="1:4" ht="21.75" customHeight="1" x14ac:dyDescent="0.6">
      <c r="A790" s="1"/>
      <c r="B790" s="1"/>
      <c r="C790" s="1"/>
      <c r="D790" s="17"/>
    </row>
    <row r="791" spans="1:4" ht="21.75" customHeight="1" x14ac:dyDescent="0.6">
      <c r="A791" s="1"/>
      <c r="B791" s="1"/>
      <c r="C791" s="1"/>
      <c r="D791" s="17"/>
    </row>
    <row r="792" spans="1:4" ht="21.75" customHeight="1" x14ac:dyDescent="0.6">
      <c r="A792" s="1"/>
      <c r="B792" s="1"/>
      <c r="C792" s="1"/>
      <c r="D792" s="17"/>
    </row>
    <row r="793" spans="1:4" ht="21.75" customHeight="1" x14ac:dyDescent="0.6">
      <c r="A793" s="1"/>
      <c r="B793" s="1"/>
      <c r="C793" s="1"/>
      <c r="D793" s="17"/>
    </row>
    <row r="794" spans="1:4" ht="21.75" customHeight="1" x14ac:dyDescent="0.6">
      <c r="A794" s="1"/>
      <c r="B794" s="1"/>
      <c r="C794" s="1"/>
      <c r="D794" s="17"/>
    </row>
    <row r="795" spans="1:4" ht="21.75" customHeight="1" x14ac:dyDescent="0.6">
      <c r="A795" s="1"/>
      <c r="B795" s="1"/>
      <c r="C795" s="1"/>
      <c r="D795" s="17"/>
    </row>
    <row r="796" spans="1:4" ht="21.75" customHeight="1" x14ac:dyDescent="0.6">
      <c r="A796" s="1"/>
      <c r="B796" s="1"/>
      <c r="C796" s="1"/>
      <c r="D796" s="17"/>
    </row>
    <row r="797" spans="1:4" ht="21.75" customHeight="1" x14ac:dyDescent="0.6">
      <c r="A797" s="1"/>
      <c r="B797" s="1"/>
      <c r="C797" s="1"/>
      <c r="D797" s="17"/>
    </row>
    <row r="798" spans="1:4" ht="21.75" customHeight="1" x14ac:dyDescent="0.6">
      <c r="A798" s="1"/>
      <c r="B798" s="1"/>
      <c r="C798" s="1"/>
      <c r="D798" s="17"/>
    </row>
    <row r="799" spans="1:4" ht="21.75" customHeight="1" x14ac:dyDescent="0.6">
      <c r="A799" s="1"/>
      <c r="B799" s="1"/>
      <c r="C799" s="1"/>
      <c r="D799" s="17"/>
    </row>
    <row r="800" spans="1:4" ht="21.75" customHeight="1" x14ac:dyDescent="0.6">
      <c r="A800" s="1"/>
      <c r="B800" s="1"/>
      <c r="C800" s="1"/>
      <c r="D800" s="17"/>
    </row>
    <row r="801" spans="1:4" ht="21.75" customHeight="1" x14ac:dyDescent="0.6">
      <c r="A801" s="1"/>
      <c r="B801" s="1"/>
      <c r="C801" s="1"/>
      <c r="D801" s="17"/>
    </row>
    <row r="802" spans="1:4" ht="21.75" customHeight="1" x14ac:dyDescent="0.6">
      <c r="A802" s="1"/>
      <c r="B802" s="1"/>
      <c r="C802" s="1"/>
      <c r="D802" s="17"/>
    </row>
    <row r="803" spans="1:4" ht="21.75" customHeight="1" x14ac:dyDescent="0.6">
      <c r="A803" s="1"/>
      <c r="B803" s="1"/>
      <c r="C803" s="1"/>
      <c r="D803" s="17"/>
    </row>
    <row r="804" spans="1:4" ht="21.75" customHeight="1" x14ac:dyDescent="0.6">
      <c r="A804" s="1"/>
      <c r="B804" s="1"/>
      <c r="C804" s="1"/>
      <c r="D804" s="17"/>
    </row>
    <row r="805" spans="1:4" ht="21.75" customHeight="1" x14ac:dyDescent="0.6">
      <c r="A805" s="1"/>
      <c r="B805" s="1"/>
      <c r="C805" s="1"/>
      <c r="D805" s="17"/>
    </row>
    <row r="806" spans="1:4" ht="21.75" customHeight="1" x14ac:dyDescent="0.6">
      <c r="A806" s="1"/>
      <c r="B806" s="1"/>
      <c r="C806" s="1"/>
      <c r="D806" s="17"/>
    </row>
    <row r="807" spans="1:4" ht="21.75" customHeight="1" x14ac:dyDescent="0.6">
      <c r="A807" s="1"/>
      <c r="B807" s="1"/>
      <c r="C807" s="1"/>
      <c r="D807" s="17"/>
    </row>
    <row r="808" spans="1:4" ht="21.75" customHeight="1" x14ac:dyDescent="0.6">
      <c r="A808" s="1"/>
      <c r="B808" s="1"/>
      <c r="C808" s="1"/>
      <c r="D808" s="17"/>
    </row>
    <row r="809" spans="1:4" ht="21.75" customHeight="1" x14ac:dyDescent="0.6">
      <c r="A809" s="1"/>
      <c r="B809" s="1"/>
      <c r="C809" s="1"/>
      <c r="D809" s="17"/>
    </row>
    <row r="810" spans="1:4" ht="21.75" customHeight="1" x14ac:dyDescent="0.6">
      <c r="A810" s="1"/>
      <c r="B810" s="1"/>
      <c r="C810" s="1"/>
      <c r="D810" s="17"/>
    </row>
    <row r="811" spans="1:4" ht="21.75" customHeight="1" x14ac:dyDescent="0.6">
      <c r="A811" s="1"/>
      <c r="B811" s="1"/>
      <c r="C811" s="1"/>
      <c r="D811" s="17"/>
    </row>
    <row r="812" spans="1:4" ht="21.75" customHeight="1" x14ac:dyDescent="0.6">
      <c r="A812" s="1"/>
      <c r="B812" s="1"/>
      <c r="C812" s="1"/>
      <c r="D812" s="17"/>
    </row>
    <row r="813" spans="1:4" ht="21.75" customHeight="1" x14ac:dyDescent="0.6">
      <c r="A813" s="1"/>
      <c r="B813" s="1"/>
      <c r="C813" s="1"/>
      <c r="D813" s="17"/>
    </row>
    <row r="814" spans="1:4" ht="21.75" customHeight="1" x14ac:dyDescent="0.6">
      <c r="A814" s="1"/>
      <c r="B814" s="1"/>
      <c r="C814" s="1"/>
      <c r="D814" s="17"/>
    </row>
    <row r="815" spans="1:4" ht="21.75" customHeight="1" x14ac:dyDescent="0.6">
      <c r="A815" s="1"/>
      <c r="B815" s="1"/>
      <c r="C815" s="1"/>
      <c r="D815" s="17"/>
    </row>
    <row r="816" spans="1:4" ht="21.75" customHeight="1" x14ac:dyDescent="0.6">
      <c r="A816" s="1"/>
      <c r="B816" s="1"/>
      <c r="C816" s="1"/>
      <c r="D816" s="17"/>
    </row>
    <row r="817" spans="1:4" ht="21.75" customHeight="1" x14ac:dyDescent="0.6">
      <c r="A817" s="1"/>
      <c r="B817" s="1"/>
      <c r="C817" s="1"/>
      <c r="D817" s="17"/>
    </row>
    <row r="818" spans="1:4" ht="21.75" customHeight="1" x14ac:dyDescent="0.6">
      <c r="A818" s="1"/>
      <c r="B818" s="1"/>
      <c r="C818" s="1"/>
      <c r="D818" s="17"/>
    </row>
    <row r="819" spans="1:4" ht="21.75" customHeight="1" x14ac:dyDescent="0.6">
      <c r="A819" s="1"/>
      <c r="B819" s="1"/>
      <c r="C819" s="1"/>
      <c r="D819" s="17"/>
    </row>
    <row r="820" spans="1:4" ht="21.75" customHeight="1" x14ac:dyDescent="0.6">
      <c r="A820" s="1"/>
      <c r="B820" s="1"/>
      <c r="C820" s="1"/>
      <c r="D820" s="17"/>
    </row>
    <row r="821" spans="1:4" ht="21.75" customHeight="1" x14ac:dyDescent="0.6">
      <c r="A821" s="1"/>
      <c r="B821" s="1"/>
      <c r="C821" s="1"/>
      <c r="D821" s="17"/>
    </row>
    <row r="822" spans="1:4" ht="21.75" customHeight="1" x14ac:dyDescent="0.6">
      <c r="A822" s="1"/>
      <c r="B822" s="1"/>
      <c r="C822" s="1"/>
      <c r="D822" s="17"/>
    </row>
    <row r="823" spans="1:4" ht="21.75" customHeight="1" x14ac:dyDescent="0.6">
      <c r="A823" s="1"/>
      <c r="B823" s="1"/>
      <c r="C823" s="1"/>
      <c r="D823" s="17"/>
    </row>
    <row r="824" spans="1:4" ht="21.75" customHeight="1" x14ac:dyDescent="0.6">
      <c r="A824" s="1"/>
      <c r="B824" s="1"/>
      <c r="C824" s="1"/>
      <c r="D824" s="17"/>
    </row>
    <row r="825" spans="1:4" ht="21.75" customHeight="1" x14ac:dyDescent="0.6">
      <c r="A825" s="1"/>
      <c r="B825" s="1"/>
      <c r="C825" s="1"/>
      <c r="D825" s="17"/>
    </row>
    <row r="826" spans="1:4" ht="21.75" customHeight="1" x14ac:dyDescent="0.6">
      <c r="A826" s="1"/>
      <c r="B826" s="1"/>
      <c r="C826" s="1"/>
      <c r="D826" s="17"/>
    </row>
    <row r="827" spans="1:4" ht="21.75" customHeight="1" x14ac:dyDescent="0.6">
      <c r="A827" s="1"/>
      <c r="B827" s="1"/>
      <c r="C827" s="1"/>
      <c r="D827" s="17"/>
    </row>
    <row r="828" spans="1:4" ht="21.75" customHeight="1" x14ac:dyDescent="0.6">
      <c r="A828" s="1"/>
      <c r="B828" s="1"/>
      <c r="C828" s="1"/>
      <c r="D828" s="17"/>
    </row>
    <row r="829" spans="1:4" ht="21.75" customHeight="1" x14ac:dyDescent="0.6">
      <c r="A829" s="1"/>
      <c r="B829" s="1"/>
      <c r="C829" s="1"/>
      <c r="D829" s="17"/>
    </row>
    <row r="830" spans="1:4" ht="21.75" customHeight="1" x14ac:dyDescent="0.6">
      <c r="A830" s="1"/>
      <c r="B830" s="1"/>
      <c r="C830" s="1"/>
      <c r="D830" s="17"/>
    </row>
    <row r="831" spans="1:4" ht="21.75" customHeight="1" x14ac:dyDescent="0.6">
      <c r="A831" s="1"/>
      <c r="B831" s="1"/>
      <c r="C831" s="1"/>
      <c r="D831" s="17"/>
    </row>
    <row r="832" spans="1:4" ht="21.75" customHeight="1" x14ac:dyDescent="0.6">
      <c r="A832" s="1"/>
      <c r="B832" s="1"/>
      <c r="C832" s="1"/>
      <c r="D832" s="17"/>
    </row>
    <row r="833" spans="1:4" ht="21.75" customHeight="1" x14ac:dyDescent="0.6">
      <c r="A833" s="1"/>
      <c r="B833" s="1"/>
      <c r="C833" s="1"/>
      <c r="D833" s="17"/>
    </row>
    <row r="834" spans="1:4" ht="21.75" customHeight="1" x14ac:dyDescent="0.6">
      <c r="A834" s="1"/>
      <c r="B834" s="1"/>
      <c r="C834" s="1"/>
      <c r="D834" s="17"/>
    </row>
    <row r="835" spans="1:4" ht="21.75" customHeight="1" x14ac:dyDescent="0.6">
      <c r="A835" s="1"/>
      <c r="B835" s="1"/>
      <c r="C835" s="1"/>
      <c r="D835" s="17"/>
    </row>
    <row r="836" spans="1:4" ht="21.75" customHeight="1" x14ac:dyDescent="0.6">
      <c r="A836" s="1"/>
      <c r="B836" s="1"/>
      <c r="C836" s="1"/>
      <c r="D836" s="17"/>
    </row>
    <row r="837" spans="1:4" ht="21.75" customHeight="1" x14ac:dyDescent="0.6">
      <c r="A837" s="1"/>
      <c r="B837" s="1"/>
      <c r="C837" s="1"/>
      <c r="D837" s="17"/>
    </row>
    <row r="838" spans="1:4" ht="21.75" customHeight="1" x14ac:dyDescent="0.6">
      <c r="A838" s="1"/>
      <c r="B838" s="1"/>
      <c r="C838" s="1"/>
      <c r="D838" s="17"/>
    </row>
    <row r="839" spans="1:4" ht="21.75" customHeight="1" x14ac:dyDescent="0.6">
      <c r="A839" s="1"/>
      <c r="B839" s="1"/>
      <c r="C839" s="1"/>
      <c r="D839" s="17"/>
    </row>
    <row r="840" spans="1:4" ht="21.75" customHeight="1" x14ac:dyDescent="0.6">
      <c r="A840" s="1"/>
      <c r="B840" s="1"/>
      <c r="C840" s="1"/>
      <c r="D840" s="17"/>
    </row>
    <row r="841" spans="1:4" ht="21.75" customHeight="1" x14ac:dyDescent="0.6">
      <c r="A841" s="1"/>
      <c r="B841" s="1"/>
      <c r="C841" s="1"/>
      <c r="D841" s="17"/>
    </row>
    <row r="842" spans="1:4" ht="21.75" customHeight="1" x14ac:dyDescent="0.6">
      <c r="A842" s="1"/>
      <c r="B842" s="1"/>
      <c r="C842" s="1"/>
      <c r="D842" s="17"/>
    </row>
    <row r="843" spans="1:4" ht="21.75" customHeight="1" x14ac:dyDescent="0.6">
      <c r="A843" s="1"/>
      <c r="B843" s="1"/>
      <c r="C843" s="1"/>
      <c r="D843" s="17"/>
    </row>
    <row r="844" spans="1:4" ht="21.75" customHeight="1" x14ac:dyDescent="0.6">
      <c r="A844" s="1"/>
      <c r="B844" s="1"/>
      <c r="C844" s="1"/>
      <c r="D844" s="17"/>
    </row>
    <row r="845" spans="1:4" ht="21.75" customHeight="1" x14ac:dyDescent="0.6">
      <c r="A845" s="1"/>
      <c r="B845" s="1"/>
      <c r="C845" s="1"/>
      <c r="D845" s="17"/>
    </row>
    <row r="846" spans="1:4" ht="21.75" customHeight="1" x14ac:dyDescent="0.6">
      <c r="A846" s="1"/>
      <c r="B846" s="1"/>
      <c r="C846" s="1"/>
      <c r="D846" s="17"/>
    </row>
    <row r="847" spans="1:4" ht="21.75" customHeight="1" x14ac:dyDescent="0.6">
      <c r="A847" s="1"/>
      <c r="B847" s="1"/>
      <c r="C847" s="1"/>
      <c r="D847" s="17"/>
    </row>
    <row r="848" spans="1:4" ht="21.75" customHeight="1" x14ac:dyDescent="0.6">
      <c r="A848" s="1"/>
      <c r="B848" s="1"/>
      <c r="C848" s="1"/>
      <c r="D848" s="17"/>
    </row>
    <row r="849" spans="1:4" ht="21.75" customHeight="1" x14ac:dyDescent="0.6">
      <c r="A849" s="1"/>
      <c r="B849" s="1"/>
      <c r="C849" s="1"/>
      <c r="D849" s="17"/>
    </row>
    <row r="850" spans="1:4" ht="21.75" customHeight="1" x14ac:dyDescent="0.6">
      <c r="A850" s="1"/>
      <c r="B850" s="1"/>
      <c r="C850" s="1"/>
      <c r="D850" s="17"/>
    </row>
    <row r="851" spans="1:4" ht="21.75" customHeight="1" x14ac:dyDescent="0.6">
      <c r="A851" s="1"/>
      <c r="B851" s="1"/>
      <c r="C851" s="1"/>
      <c r="D851" s="17"/>
    </row>
    <row r="852" spans="1:4" ht="21.75" customHeight="1" x14ac:dyDescent="0.6">
      <c r="A852" s="1"/>
      <c r="B852" s="1"/>
      <c r="C852" s="1"/>
      <c r="D852" s="17"/>
    </row>
    <row r="853" spans="1:4" ht="21.75" customHeight="1" x14ac:dyDescent="0.6">
      <c r="A853" s="1"/>
      <c r="B853" s="1"/>
      <c r="C853" s="1"/>
      <c r="D853" s="17"/>
    </row>
    <row r="854" spans="1:4" ht="21.75" customHeight="1" x14ac:dyDescent="0.6">
      <c r="A854" s="1"/>
      <c r="B854" s="1"/>
      <c r="C854" s="1"/>
      <c r="D854" s="17"/>
    </row>
    <row r="855" spans="1:4" ht="21.75" customHeight="1" x14ac:dyDescent="0.6">
      <c r="A855" s="1"/>
      <c r="B855" s="1"/>
      <c r="C855" s="1"/>
      <c r="D855" s="17"/>
    </row>
    <row r="856" spans="1:4" ht="21.75" customHeight="1" x14ac:dyDescent="0.6">
      <c r="A856" s="1"/>
      <c r="B856" s="1"/>
      <c r="C856" s="1"/>
      <c r="D856" s="17"/>
    </row>
    <row r="857" spans="1:4" ht="21.75" customHeight="1" x14ac:dyDescent="0.6">
      <c r="A857" s="1"/>
      <c r="B857" s="1"/>
      <c r="C857" s="1"/>
      <c r="D857" s="17"/>
    </row>
    <row r="858" spans="1:4" ht="21.75" customHeight="1" x14ac:dyDescent="0.6">
      <c r="A858" s="1"/>
      <c r="B858" s="1"/>
      <c r="C858" s="1"/>
      <c r="D858" s="17"/>
    </row>
    <row r="859" spans="1:4" ht="21.75" customHeight="1" x14ac:dyDescent="0.6">
      <c r="A859" s="1"/>
      <c r="B859" s="1"/>
      <c r="C859" s="1"/>
      <c r="D859" s="17"/>
    </row>
    <row r="860" spans="1:4" ht="21.75" customHeight="1" x14ac:dyDescent="0.6">
      <c r="A860" s="1"/>
      <c r="B860" s="1"/>
      <c r="C860" s="1"/>
      <c r="D860" s="17"/>
    </row>
    <row r="861" spans="1:4" ht="21.75" customHeight="1" x14ac:dyDescent="0.6">
      <c r="A861" s="1"/>
      <c r="B861" s="1"/>
      <c r="C861" s="1"/>
      <c r="D861" s="17"/>
    </row>
    <row r="862" spans="1:4" ht="21.75" customHeight="1" x14ac:dyDescent="0.6">
      <c r="A862" s="1"/>
      <c r="B862" s="1"/>
      <c r="C862" s="1"/>
      <c r="D862" s="17"/>
    </row>
    <row r="863" spans="1:4" ht="21.75" customHeight="1" x14ac:dyDescent="0.6">
      <c r="A863" s="1"/>
      <c r="B863" s="1"/>
      <c r="C863" s="1"/>
      <c r="D863" s="17"/>
    </row>
    <row r="864" spans="1:4" ht="21.75" customHeight="1" x14ac:dyDescent="0.6">
      <c r="A864" s="1"/>
      <c r="B864" s="1"/>
      <c r="C864" s="1"/>
      <c r="D864" s="17"/>
    </row>
    <row r="865" spans="1:4" ht="21.75" customHeight="1" x14ac:dyDescent="0.6">
      <c r="A865" s="1"/>
      <c r="B865" s="1"/>
      <c r="C865" s="1"/>
      <c r="D865" s="17"/>
    </row>
    <row r="866" spans="1:4" ht="21.75" customHeight="1" x14ac:dyDescent="0.6">
      <c r="A866" s="1"/>
      <c r="B866" s="1"/>
      <c r="C866" s="1"/>
      <c r="D866" s="17"/>
    </row>
    <row r="867" spans="1:4" ht="21.75" customHeight="1" x14ac:dyDescent="0.6">
      <c r="A867" s="1"/>
      <c r="B867" s="1"/>
      <c r="C867" s="1"/>
      <c r="D867" s="17"/>
    </row>
    <row r="868" spans="1:4" ht="21.75" customHeight="1" x14ac:dyDescent="0.6">
      <c r="A868" s="1"/>
      <c r="B868" s="1"/>
      <c r="C868" s="1"/>
      <c r="D868" s="17"/>
    </row>
    <row r="869" spans="1:4" ht="21.75" customHeight="1" x14ac:dyDescent="0.6">
      <c r="A869" s="1"/>
      <c r="B869" s="1"/>
      <c r="C869" s="1"/>
      <c r="D869" s="17"/>
    </row>
    <row r="870" spans="1:4" ht="21.75" customHeight="1" x14ac:dyDescent="0.6">
      <c r="A870" s="1"/>
      <c r="B870" s="1"/>
      <c r="C870" s="1"/>
      <c r="D870" s="17"/>
    </row>
    <row r="871" spans="1:4" ht="21.75" customHeight="1" x14ac:dyDescent="0.6">
      <c r="A871" s="1"/>
      <c r="B871" s="1"/>
      <c r="C871" s="1"/>
      <c r="D871" s="17"/>
    </row>
    <row r="872" spans="1:4" ht="21.75" customHeight="1" x14ac:dyDescent="0.6">
      <c r="A872" s="1"/>
      <c r="B872" s="1"/>
      <c r="C872" s="1"/>
      <c r="D872" s="17"/>
    </row>
    <row r="873" spans="1:4" ht="21.75" customHeight="1" x14ac:dyDescent="0.6">
      <c r="A873" s="1"/>
      <c r="B873" s="1"/>
      <c r="C873" s="1"/>
      <c r="D873" s="17"/>
    </row>
    <row r="874" spans="1:4" ht="21.75" customHeight="1" x14ac:dyDescent="0.6">
      <c r="A874" s="1"/>
      <c r="B874" s="1"/>
      <c r="C874" s="1"/>
      <c r="D874" s="17"/>
    </row>
    <row r="875" spans="1:4" ht="21.75" customHeight="1" x14ac:dyDescent="0.6">
      <c r="A875" s="1"/>
      <c r="B875" s="1"/>
      <c r="C875" s="1"/>
      <c r="D875" s="17"/>
    </row>
    <row r="876" spans="1:4" ht="21.75" customHeight="1" x14ac:dyDescent="0.6">
      <c r="A876" s="1"/>
      <c r="B876" s="1"/>
      <c r="C876" s="1"/>
      <c r="D876" s="17"/>
    </row>
    <row r="877" spans="1:4" ht="21.75" customHeight="1" x14ac:dyDescent="0.6">
      <c r="A877" s="1"/>
      <c r="B877" s="1"/>
      <c r="C877" s="1"/>
      <c r="D877" s="17"/>
    </row>
    <row r="878" spans="1:4" ht="21.75" customHeight="1" x14ac:dyDescent="0.6">
      <c r="A878" s="1"/>
      <c r="B878" s="1"/>
      <c r="C878" s="1"/>
      <c r="D878" s="17"/>
    </row>
    <row r="879" spans="1:4" ht="21.75" customHeight="1" x14ac:dyDescent="0.6">
      <c r="A879" s="1"/>
      <c r="B879" s="1"/>
      <c r="C879" s="1"/>
      <c r="D879" s="17"/>
    </row>
    <row r="880" spans="1:4" ht="21.75" customHeight="1" x14ac:dyDescent="0.6">
      <c r="A880" s="1"/>
      <c r="B880" s="1"/>
      <c r="C880" s="1"/>
      <c r="D880" s="17"/>
    </row>
    <row r="881" spans="1:4" ht="21.75" customHeight="1" x14ac:dyDescent="0.6">
      <c r="A881" s="1"/>
      <c r="B881" s="1"/>
      <c r="C881" s="1"/>
      <c r="D881" s="17"/>
    </row>
    <row r="882" spans="1:4" ht="21.75" customHeight="1" x14ac:dyDescent="0.6">
      <c r="A882" s="1"/>
      <c r="B882" s="1"/>
      <c r="C882" s="1"/>
      <c r="D882" s="17"/>
    </row>
    <row r="883" spans="1:4" ht="21.75" customHeight="1" x14ac:dyDescent="0.6">
      <c r="A883" s="1"/>
      <c r="B883" s="1"/>
      <c r="C883" s="1"/>
      <c r="D883" s="17"/>
    </row>
    <row r="884" spans="1:4" ht="21.75" customHeight="1" x14ac:dyDescent="0.6">
      <c r="A884" s="1"/>
      <c r="B884" s="1"/>
      <c r="C884" s="1"/>
      <c r="D884" s="17"/>
    </row>
    <row r="885" spans="1:4" ht="21.75" customHeight="1" x14ac:dyDescent="0.6">
      <c r="A885" s="1"/>
      <c r="B885" s="1"/>
      <c r="C885" s="1"/>
      <c r="D885" s="17"/>
    </row>
    <row r="886" spans="1:4" ht="21.75" customHeight="1" x14ac:dyDescent="0.6">
      <c r="A886" s="1"/>
      <c r="B886" s="1"/>
      <c r="C886" s="1"/>
      <c r="D886" s="17"/>
    </row>
    <row r="887" spans="1:4" ht="21.75" customHeight="1" x14ac:dyDescent="0.6">
      <c r="A887" s="1"/>
      <c r="B887" s="1"/>
      <c r="C887" s="1"/>
      <c r="D887" s="17"/>
    </row>
    <row r="888" spans="1:4" ht="21.75" customHeight="1" x14ac:dyDescent="0.6">
      <c r="A888" s="1"/>
      <c r="B888" s="1"/>
      <c r="C888" s="1"/>
      <c r="D888" s="17"/>
    </row>
    <row r="889" spans="1:4" ht="21.75" customHeight="1" x14ac:dyDescent="0.6">
      <c r="A889" s="1"/>
      <c r="B889" s="1"/>
      <c r="C889" s="1"/>
      <c r="D889" s="17"/>
    </row>
    <row r="890" spans="1:4" ht="21.75" customHeight="1" x14ac:dyDescent="0.6">
      <c r="A890" s="1"/>
      <c r="B890" s="1"/>
      <c r="C890" s="1"/>
      <c r="D890" s="17"/>
    </row>
    <row r="891" spans="1:4" ht="21.75" customHeight="1" x14ac:dyDescent="0.6">
      <c r="A891" s="1"/>
      <c r="B891" s="1"/>
      <c r="C891" s="1"/>
      <c r="D891" s="17"/>
    </row>
    <row r="892" spans="1:4" ht="21.75" customHeight="1" x14ac:dyDescent="0.6">
      <c r="A892" s="1"/>
      <c r="B892" s="1"/>
      <c r="C892" s="1"/>
      <c r="D892" s="17"/>
    </row>
    <row r="893" spans="1:4" ht="21.75" customHeight="1" x14ac:dyDescent="0.6">
      <c r="A893" s="1"/>
      <c r="B893" s="1"/>
      <c r="C893" s="1"/>
      <c r="D893" s="17"/>
    </row>
    <row r="894" spans="1:4" ht="21.75" customHeight="1" x14ac:dyDescent="0.6">
      <c r="A894" s="1"/>
      <c r="B894" s="1"/>
      <c r="C894" s="1"/>
      <c r="D894" s="17"/>
    </row>
    <row r="895" spans="1:4" ht="21.75" customHeight="1" x14ac:dyDescent="0.6">
      <c r="A895" s="1"/>
      <c r="B895" s="1"/>
      <c r="C895" s="1"/>
      <c r="D895" s="17"/>
    </row>
    <row r="896" spans="1:4" ht="21.75" customHeight="1" x14ac:dyDescent="0.6">
      <c r="A896" s="1"/>
      <c r="B896" s="1"/>
      <c r="C896" s="1"/>
      <c r="D896" s="17"/>
    </row>
    <row r="897" spans="1:4" ht="21.75" customHeight="1" x14ac:dyDescent="0.6">
      <c r="A897" s="1"/>
      <c r="B897" s="1"/>
      <c r="C897" s="1"/>
      <c r="D897" s="17"/>
    </row>
    <row r="898" spans="1:4" ht="21.75" customHeight="1" x14ac:dyDescent="0.6">
      <c r="A898" s="1"/>
      <c r="B898" s="1"/>
      <c r="C898" s="1"/>
      <c r="D898" s="17"/>
    </row>
    <row r="899" spans="1:4" ht="21.75" customHeight="1" x14ac:dyDescent="0.6">
      <c r="A899" s="1"/>
      <c r="B899" s="1"/>
      <c r="C899" s="1"/>
      <c r="D899" s="17"/>
    </row>
    <row r="900" spans="1:4" ht="21.75" customHeight="1" x14ac:dyDescent="0.6">
      <c r="A900" s="1"/>
      <c r="B900" s="1"/>
      <c r="C900" s="1"/>
      <c r="D900" s="17"/>
    </row>
    <row r="901" spans="1:4" ht="21.75" customHeight="1" x14ac:dyDescent="0.6">
      <c r="A901" s="1"/>
      <c r="B901" s="1"/>
      <c r="C901" s="1"/>
      <c r="D901" s="17"/>
    </row>
    <row r="902" spans="1:4" ht="21.75" customHeight="1" x14ac:dyDescent="0.6">
      <c r="A902" s="1"/>
      <c r="B902" s="1"/>
      <c r="C902" s="1"/>
      <c r="D902" s="17"/>
    </row>
    <row r="903" spans="1:4" ht="21.75" customHeight="1" x14ac:dyDescent="0.6">
      <c r="A903" s="1"/>
      <c r="B903" s="1"/>
      <c r="C903" s="1"/>
      <c r="D903" s="17"/>
    </row>
    <row r="904" spans="1:4" ht="21.75" customHeight="1" x14ac:dyDescent="0.6">
      <c r="A904" s="1"/>
      <c r="B904" s="1"/>
      <c r="C904" s="1"/>
      <c r="D904" s="17"/>
    </row>
    <row r="905" spans="1:4" ht="21.75" customHeight="1" x14ac:dyDescent="0.6">
      <c r="A905" s="1"/>
      <c r="B905" s="1"/>
      <c r="C905" s="1"/>
      <c r="D905" s="17"/>
    </row>
    <row r="906" spans="1:4" ht="21.75" customHeight="1" x14ac:dyDescent="0.6">
      <c r="A906" s="1"/>
      <c r="B906" s="1"/>
      <c r="C906" s="1"/>
      <c r="D906" s="17"/>
    </row>
    <row r="907" spans="1:4" ht="21.75" customHeight="1" x14ac:dyDescent="0.6">
      <c r="A907" s="1"/>
      <c r="B907" s="1"/>
      <c r="C907" s="1"/>
      <c r="D907" s="17"/>
    </row>
    <row r="908" spans="1:4" ht="21.75" customHeight="1" x14ac:dyDescent="0.6">
      <c r="A908" s="1"/>
      <c r="B908" s="1"/>
      <c r="C908" s="1"/>
      <c r="D908" s="17"/>
    </row>
    <row r="909" spans="1:4" ht="21.75" customHeight="1" x14ac:dyDescent="0.6">
      <c r="A909" s="1"/>
      <c r="B909" s="1"/>
      <c r="C909" s="1"/>
      <c r="D909" s="17"/>
    </row>
    <row r="910" spans="1:4" ht="21.75" customHeight="1" x14ac:dyDescent="0.6">
      <c r="A910" s="1"/>
      <c r="B910" s="1"/>
      <c r="C910" s="1"/>
      <c r="D910" s="17"/>
    </row>
    <row r="911" spans="1:4" ht="21.75" customHeight="1" x14ac:dyDescent="0.6">
      <c r="A911" s="1"/>
      <c r="B911" s="1"/>
      <c r="C911" s="1"/>
      <c r="D911" s="17"/>
    </row>
    <row r="912" spans="1:4" ht="21.75" customHeight="1" x14ac:dyDescent="0.6">
      <c r="A912" s="1"/>
      <c r="B912" s="1"/>
      <c r="C912" s="1"/>
      <c r="D912" s="17"/>
    </row>
    <row r="913" spans="1:4" ht="21.75" customHeight="1" x14ac:dyDescent="0.6">
      <c r="A913" s="1"/>
      <c r="B913" s="1"/>
      <c r="C913" s="1"/>
      <c r="D913" s="17"/>
    </row>
    <row r="914" spans="1:4" ht="21.75" customHeight="1" x14ac:dyDescent="0.6">
      <c r="A914" s="1"/>
      <c r="B914" s="1"/>
      <c r="C914" s="1"/>
      <c r="D914" s="17"/>
    </row>
    <row r="915" spans="1:4" ht="21.75" customHeight="1" x14ac:dyDescent="0.6">
      <c r="A915" s="1"/>
      <c r="B915" s="1"/>
      <c r="C915" s="1"/>
      <c r="D915" s="17"/>
    </row>
    <row r="916" spans="1:4" ht="21.75" customHeight="1" x14ac:dyDescent="0.6">
      <c r="A916" s="1"/>
      <c r="B916" s="1"/>
      <c r="C916" s="1"/>
      <c r="D916" s="17"/>
    </row>
    <row r="917" spans="1:4" ht="21.75" customHeight="1" x14ac:dyDescent="0.6">
      <c r="A917" s="1"/>
      <c r="B917" s="1"/>
      <c r="C917" s="1"/>
      <c r="D917" s="17"/>
    </row>
    <row r="918" spans="1:4" ht="21.75" customHeight="1" x14ac:dyDescent="0.6">
      <c r="A918" s="1"/>
      <c r="B918" s="1"/>
      <c r="C918" s="1"/>
      <c r="D918" s="17"/>
    </row>
    <row r="919" spans="1:4" ht="21.75" customHeight="1" x14ac:dyDescent="0.6">
      <c r="A919" s="1"/>
      <c r="B919" s="1"/>
      <c r="C919" s="1"/>
      <c r="D919" s="17"/>
    </row>
    <row r="920" spans="1:4" ht="21.75" customHeight="1" x14ac:dyDescent="0.6">
      <c r="A920" s="1"/>
      <c r="B920" s="1"/>
      <c r="C920" s="1"/>
      <c r="D920" s="17"/>
    </row>
    <row r="921" spans="1:4" ht="21.75" customHeight="1" x14ac:dyDescent="0.6">
      <c r="A921" s="1"/>
      <c r="B921" s="1"/>
      <c r="C921" s="1"/>
      <c r="D921" s="17"/>
    </row>
    <row r="922" spans="1:4" ht="21.75" customHeight="1" x14ac:dyDescent="0.6">
      <c r="A922" s="1"/>
      <c r="B922" s="1"/>
      <c r="C922" s="1"/>
      <c r="D922" s="17"/>
    </row>
    <row r="923" spans="1:4" ht="21.75" customHeight="1" x14ac:dyDescent="0.6">
      <c r="A923" s="1"/>
      <c r="B923" s="1"/>
      <c r="C923" s="1"/>
      <c r="D923" s="17"/>
    </row>
    <row r="924" spans="1:4" ht="21.75" customHeight="1" x14ac:dyDescent="0.6">
      <c r="A924" s="1"/>
      <c r="B924" s="1"/>
      <c r="C924" s="1"/>
      <c r="D924" s="17"/>
    </row>
    <row r="925" spans="1:4" ht="21.75" customHeight="1" x14ac:dyDescent="0.6">
      <c r="A925" s="1"/>
      <c r="B925" s="1"/>
      <c r="C925" s="1"/>
      <c r="D925" s="17"/>
    </row>
    <row r="926" spans="1:4" ht="21.75" customHeight="1" x14ac:dyDescent="0.6">
      <c r="A926" s="1"/>
      <c r="B926" s="1"/>
      <c r="C926" s="1"/>
      <c r="D926" s="17"/>
    </row>
    <row r="927" spans="1:4" ht="21.75" customHeight="1" x14ac:dyDescent="0.6">
      <c r="A927" s="1"/>
      <c r="B927" s="1"/>
      <c r="C927" s="1"/>
      <c r="D927" s="17"/>
    </row>
    <row r="928" spans="1:4" ht="21.75" customHeight="1" x14ac:dyDescent="0.6">
      <c r="A928" s="1"/>
      <c r="B928" s="1"/>
      <c r="C928" s="1"/>
      <c r="D928" s="17"/>
    </row>
    <row r="929" spans="1:4" ht="21.75" customHeight="1" x14ac:dyDescent="0.6">
      <c r="A929" s="1"/>
      <c r="B929" s="1"/>
      <c r="C929" s="1"/>
      <c r="D929" s="17"/>
    </row>
    <row r="930" spans="1:4" ht="21.75" customHeight="1" x14ac:dyDescent="0.6">
      <c r="A930" s="1"/>
      <c r="B930" s="1"/>
      <c r="C930" s="1"/>
      <c r="D930" s="17"/>
    </row>
    <row r="931" spans="1:4" ht="21.75" customHeight="1" x14ac:dyDescent="0.6">
      <c r="A931" s="1"/>
      <c r="B931" s="1"/>
      <c r="C931" s="1"/>
      <c r="D931" s="17"/>
    </row>
    <row r="932" spans="1:4" ht="21.75" customHeight="1" x14ac:dyDescent="0.6">
      <c r="A932" s="1"/>
      <c r="B932" s="1"/>
      <c r="C932" s="1"/>
      <c r="D932" s="17"/>
    </row>
    <row r="933" spans="1:4" ht="21.75" customHeight="1" x14ac:dyDescent="0.6">
      <c r="A933" s="1"/>
      <c r="B933" s="1"/>
      <c r="C933" s="1"/>
      <c r="D933" s="17"/>
    </row>
    <row r="934" spans="1:4" ht="21.75" customHeight="1" x14ac:dyDescent="0.6">
      <c r="A934" s="1"/>
      <c r="B934" s="1"/>
      <c r="C934" s="1"/>
      <c r="D934" s="17"/>
    </row>
    <row r="935" spans="1:4" ht="21.75" customHeight="1" x14ac:dyDescent="0.6">
      <c r="A935" s="1"/>
      <c r="B935" s="1"/>
      <c r="C935" s="1"/>
      <c r="D935" s="17"/>
    </row>
    <row r="936" spans="1:4" ht="21.75" customHeight="1" x14ac:dyDescent="0.6">
      <c r="A936" s="1"/>
      <c r="B936" s="1"/>
      <c r="C936" s="1"/>
      <c r="D936" s="17"/>
    </row>
    <row r="937" spans="1:4" ht="21.75" customHeight="1" x14ac:dyDescent="0.6">
      <c r="A937" s="1"/>
      <c r="B937" s="1"/>
      <c r="C937" s="1"/>
      <c r="D937" s="17"/>
    </row>
    <row r="938" spans="1:4" ht="21.75" customHeight="1" x14ac:dyDescent="0.6">
      <c r="A938" s="1"/>
      <c r="B938" s="1"/>
      <c r="C938" s="1"/>
      <c r="D938" s="17"/>
    </row>
    <row r="939" spans="1:4" ht="21.75" customHeight="1" x14ac:dyDescent="0.6">
      <c r="A939" s="1"/>
      <c r="B939" s="1"/>
      <c r="C939" s="1"/>
      <c r="D939" s="17"/>
    </row>
    <row r="940" spans="1:4" ht="21.75" customHeight="1" x14ac:dyDescent="0.6">
      <c r="A940" s="1"/>
      <c r="B940" s="1"/>
      <c r="C940" s="1"/>
      <c r="D940" s="17"/>
    </row>
    <row r="941" spans="1:4" ht="21.75" customHeight="1" x14ac:dyDescent="0.6">
      <c r="A941" s="1"/>
      <c r="B941" s="1"/>
      <c r="C941" s="1"/>
      <c r="D941" s="17"/>
    </row>
    <row r="942" spans="1:4" ht="21.75" customHeight="1" x14ac:dyDescent="0.6">
      <c r="A942" s="1"/>
      <c r="B942" s="1"/>
      <c r="C942" s="1"/>
      <c r="D942" s="17"/>
    </row>
    <row r="943" spans="1:4" ht="21.75" customHeight="1" x14ac:dyDescent="0.6">
      <c r="A943" s="1"/>
      <c r="B943" s="1"/>
      <c r="C943" s="1"/>
      <c r="D943" s="17"/>
    </row>
    <row r="944" spans="1:4" ht="21.75" customHeight="1" x14ac:dyDescent="0.6">
      <c r="A944" s="1"/>
      <c r="B944" s="1"/>
      <c r="C944" s="1"/>
      <c r="D944" s="17"/>
    </row>
    <row r="945" spans="1:4" ht="21.75" customHeight="1" x14ac:dyDescent="0.6">
      <c r="A945" s="1"/>
      <c r="B945" s="1"/>
      <c r="C945" s="1"/>
      <c r="D945" s="17"/>
    </row>
    <row r="946" spans="1:4" ht="21.75" customHeight="1" x14ac:dyDescent="0.6">
      <c r="A946" s="1"/>
      <c r="B946" s="1"/>
      <c r="C946" s="1"/>
      <c r="D946" s="17"/>
    </row>
    <row r="947" spans="1:4" ht="21.75" customHeight="1" x14ac:dyDescent="0.6">
      <c r="A947" s="1"/>
      <c r="B947" s="1"/>
      <c r="C947" s="1"/>
      <c r="D947" s="17"/>
    </row>
    <row r="948" spans="1:4" ht="21.75" customHeight="1" x14ac:dyDescent="0.6">
      <c r="A948" s="1"/>
      <c r="B948" s="1"/>
      <c r="C948" s="1"/>
      <c r="D948" s="17"/>
    </row>
    <row r="949" spans="1:4" ht="21.75" customHeight="1" x14ac:dyDescent="0.6">
      <c r="A949" s="1"/>
      <c r="B949" s="1"/>
      <c r="C949" s="1"/>
      <c r="D949" s="17"/>
    </row>
    <row r="950" spans="1:4" ht="21.75" customHeight="1" x14ac:dyDescent="0.6">
      <c r="A950" s="1"/>
      <c r="B950" s="1"/>
      <c r="C950" s="1"/>
      <c r="D950" s="17"/>
    </row>
    <row r="951" spans="1:4" ht="21.75" customHeight="1" x14ac:dyDescent="0.6">
      <c r="A951" s="1"/>
      <c r="B951" s="1"/>
      <c r="C951" s="1"/>
      <c r="D951" s="17"/>
    </row>
    <row r="952" spans="1:4" ht="21.75" customHeight="1" x14ac:dyDescent="0.6">
      <c r="A952" s="1"/>
      <c r="B952" s="1"/>
      <c r="C952" s="1"/>
      <c r="D952" s="17"/>
    </row>
    <row r="953" spans="1:4" ht="21.75" customHeight="1" x14ac:dyDescent="0.6">
      <c r="A953" s="1"/>
      <c r="B953" s="1"/>
      <c r="C953" s="1"/>
      <c r="D953" s="17"/>
    </row>
    <row r="954" spans="1:4" ht="15" customHeight="1" x14ac:dyDescent="0.6">
      <c r="A954" s="1"/>
      <c r="B954" s="1"/>
      <c r="C954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12CD-F1EA-45C1-BC1D-2D3D067B30D8}">
  <dimension ref="A1:J23"/>
  <sheetViews>
    <sheetView showGridLines="0" zoomScale="70" zoomScaleNormal="70" workbookViewId="0">
      <selection activeCell="E20" sqref="E20"/>
    </sheetView>
  </sheetViews>
  <sheetFormatPr defaultColWidth="14.42578125" defaultRowHeight="15" x14ac:dyDescent="0.25"/>
  <cols>
    <col min="1" max="1" width="64.85546875" style="76" bestFit="1" customWidth="1"/>
    <col min="2" max="2" width="26.5703125" style="76" customWidth="1"/>
    <col min="3" max="3" width="19.140625" style="96" bestFit="1" customWidth="1"/>
    <col min="4" max="4" width="26.5703125" style="96" customWidth="1"/>
    <col min="5" max="5" width="19.140625" style="76" bestFit="1" customWidth="1"/>
    <col min="6" max="6" width="25.5703125" style="76" customWidth="1"/>
    <col min="7" max="7" width="19.28515625" style="76" bestFit="1" customWidth="1"/>
    <col min="8" max="8" width="14.42578125" style="76" bestFit="1" customWidth="1"/>
    <col min="9" max="9" width="96.42578125" style="111" customWidth="1"/>
    <col min="10" max="10" width="0" style="76" hidden="1" customWidth="1"/>
    <col min="11" max="16384" width="14.42578125" style="76"/>
  </cols>
  <sheetData>
    <row r="1" spans="1:10" ht="43.5" x14ac:dyDescent="0.25">
      <c r="A1" s="73" t="s">
        <v>0</v>
      </c>
      <c r="B1" s="74" t="s">
        <v>58</v>
      </c>
      <c r="C1" s="74" t="s">
        <v>63</v>
      </c>
      <c r="D1" s="74" t="s">
        <v>65</v>
      </c>
      <c r="E1" s="74" t="s">
        <v>66</v>
      </c>
      <c r="F1" s="74" t="s">
        <v>41</v>
      </c>
      <c r="G1" s="74" t="s">
        <v>62</v>
      </c>
      <c r="H1" s="74" t="s">
        <v>59</v>
      </c>
      <c r="I1" s="101" t="s">
        <v>60</v>
      </c>
      <c r="J1" s="101" t="s">
        <v>61</v>
      </c>
    </row>
    <row r="2" spans="1:10" ht="21.75" x14ac:dyDescent="0.25">
      <c r="A2" s="77" t="s">
        <v>17</v>
      </c>
      <c r="B2" s="78"/>
      <c r="C2" s="79">
        <f>B2/ORÇAMENTO_EXECUTIVO!$G$2*($D$21/$B$21)</f>
        <v>0</v>
      </c>
      <c r="D2" s="79">
        <f ca="1">ORÇAMENTO_EXECUTIVO!B2</f>
        <v>243899.46582717574</v>
      </c>
      <c r="E2" s="80">
        <f ca="1">D2/ORÇAMENTO_EXECUTIVO!$G$2</f>
        <v>740.05360265550792</v>
      </c>
      <c r="F2" s="97">
        <f ca="1">D2-B2</f>
        <v>243899.46582717574</v>
      </c>
      <c r="G2" s="98">
        <f ca="1">E2-C2</f>
        <v>740.05360265550792</v>
      </c>
      <c r="H2" s="102" t="e">
        <f ca="1">F2/B2</f>
        <v>#DIV/0!</v>
      </c>
      <c r="I2" s="112"/>
      <c r="J2" s="103" t="s">
        <v>43</v>
      </c>
    </row>
    <row r="3" spans="1:10" ht="21.75" x14ac:dyDescent="0.25">
      <c r="A3" s="81" t="s">
        <v>3</v>
      </c>
      <c r="B3" s="82"/>
      <c r="C3" s="83">
        <f>B3/ORÇAMENTO_EXECUTIVO!$G$2*($D$21/$B$21)</f>
        <v>0</v>
      </c>
      <c r="D3" s="83">
        <f ca="1">ORÇAMENTO_EXECUTIVO!B3</f>
        <v>10084.167840185286</v>
      </c>
      <c r="E3" s="84">
        <f ca="1">D3/ORÇAMENTO_EXECUTIVO!$G$2</f>
        <v>30.597954426025687</v>
      </c>
      <c r="F3" s="99">
        <f ca="1">D3-B3</f>
        <v>10084.167840185286</v>
      </c>
      <c r="G3" s="100">
        <f ca="1">E3-C3</f>
        <v>30.597954426025687</v>
      </c>
      <c r="H3" s="104" t="e">
        <f ca="1">F3/B3</f>
        <v>#DIV/0!</v>
      </c>
      <c r="I3" s="113"/>
      <c r="J3" s="105" t="s">
        <v>44</v>
      </c>
    </row>
    <row r="4" spans="1:10" ht="21.75" x14ac:dyDescent="0.25">
      <c r="A4" s="77" t="s">
        <v>4</v>
      </c>
      <c r="B4" s="78"/>
      <c r="C4" s="79">
        <f>B4/ORÇAMENTO_EXECUTIVO!$G$2*($D$21/$B$21)</f>
        <v>0</v>
      </c>
      <c r="D4" s="79">
        <f ca="1">ORÇAMENTO_EXECUTIVO!B4</f>
        <v>102925.63074964285</v>
      </c>
      <c r="E4" s="80">
        <f ca="1">D4/ORÇAMENTO_EXECUTIVO!$G$2</f>
        <v>312.30279075657023</v>
      </c>
      <c r="F4" s="97">
        <f t="shared" ref="F4:G19" ca="1" si="0">D4-B4</f>
        <v>102925.63074964285</v>
      </c>
      <c r="G4" s="98">
        <f t="shared" ca="1" si="0"/>
        <v>312.30279075657023</v>
      </c>
      <c r="H4" s="102" t="e">
        <f ca="1">F4/B4</f>
        <v>#DIV/0!</v>
      </c>
      <c r="I4" s="112"/>
      <c r="J4" s="103" t="s">
        <v>45</v>
      </c>
    </row>
    <row r="5" spans="1:10" ht="21.75" x14ac:dyDescent="0.25">
      <c r="A5" s="81" t="s">
        <v>33</v>
      </c>
      <c r="B5" s="82"/>
      <c r="C5" s="83">
        <f>B5/ORÇAMENTO_EXECUTIVO!$G$2*($D$21/$B$21)</f>
        <v>0</v>
      </c>
      <c r="D5" s="83" t="e">
        <f>ORÇAMENTO_EXECUTIVO!#REF!</f>
        <v>#REF!</v>
      </c>
      <c r="E5" s="84" t="e">
        <f>D5/ORÇAMENTO_EXECUTIVO!$G$2</f>
        <v>#REF!</v>
      </c>
      <c r="F5" s="99" t="e">
        <f t="shared" si="0"/>
        <v>#REF!</v>
      </c>
      <c r="G5" s="100" t="e">
        <f t="shared" si="0"/>
        <v>#REF!</v>
      </c>
      <c r="H5" s="104" t="e">
        <f>F5/B5</f>
        <v>#REF!</v>
      </c>
      <c r="I5" s="113"/>
      <c r="J5" s="105" t="s">
        <v>56</v>
      </c>
    </row>
    <row r="6" spans="1:10" ht="21.75" x14ac:dyDescent="0.25">
      <c r="A6" s="77" t="s">
        <v>5</v>
      </c>
      <c r="B6" s="78"/>
      <c r="C6" s="79">
        <f>B6/ORÇAMENTO_EXECUTIVO!$G$2*($D$21/$B$21)</f>
        <v>0</v>
      </c>
      <c r="D6" s="79">
        <f ca="1">ORÇAMENTO_EXECUTIVO!B5</f>
        <v>190194.42273595065</v>
      </c>
      <c r="E6" s="80">
        <f ca="1">D6/ORÇAMENTO_EXECUTIVO!$G$2</f>
        <v>577.09871267394078</v>
      </c>
      <c r="F6" s="97">
        <f t="shared" ca="1" si="0"/>
        <v>190194.42273595065</v>
      </c>
      <c r="G6" s="98">
        <f t="shared" ca="1" si="0"/>
        <v>577.09871267394078</v>
      </c>
      <c r="H6" s="102" t="e">
        <f ca="1">F6/B6</f>
        <v>#DIV/0!</v>
      </c>
      <c r="I6" s="112"/>
      <c r="J6" s="103" t="s">
        <v>46</v>
      </c>
    </row>
    <row r="7" spans="1:10" ht="21.75" x14ac:dyDescent="0.25">
      <c r="A7" s="85" t="s">
        <v>31</v>
      </c>
      <c r="B7" s="86"/>
      <c r="C7" s="83">
        <f>B7/ORÇAMENTO_EXECUTIVO!$G$2*($D$21/$B$21)</f>
        <v>0</v>
      </c>
      <c r="D7" s="83">
        <f ca="1">ORÇAMENTO_EXECUTIVO!B6</f>
        <v>60429.042308205993</v>
      </c>
      <c r="E7" s="84">
        <f ca="1">D7/ORÇAMENTO_EXECUTIVO!$G$2</f>
        <v>183.35723005190397</v>
      </c>
      <c r="F7" s="99">
        <f t="shared" ca="1" si="0"/>
        <v>60429.042308205993</v>
      </c>
      <c r="G7" s="100">
        <f t="shared" ca="1" si="0"/>
        <v>183.35723005190397</v>
      </c>
      <c r="H7" s="104" t="e">
        <f t="shared" ref="H7:H19" ca="1" si="1">F7/B7</f>
        <v>#DIV/0!</v>
      </c>
      <c r="I7" s="113"/>
      <c r="J7" s="105" t="s">
        <v>47</v>
      </c>
    </row>
    <row r="8" spans="1:10" ht="21.75" x14ac:dyDescent="0.25">
      <c r="A8" s="87" t="s">
        <v>7</v>
      </c>
      <c r="B8" s="88"/>
      <c r="C8" s="79">
        <f>B8/ORÇAMENTO_EXECUTIVO!$G$2*($D$21/$B$21)</f>
        <v>0</v>
      </c>
      <c r="D8" s="79">
        <f ca="1">ORÇAMENTO_EXECUTIVO!B7</f>
        <v>127201.76085779698</v>
      </c>
      <c r="E8" s="80">
        <f ca="1">D8/ORÇAMENTO_EXECUTIVO!$G$2</f>
        <v>385.9628026149133</v>
      </c>
      <c r="F8" s="97">
        <f t="shared" ca="1" si="0"/>
        <v>127201.76085779698</v>
      </c>
      <c r="G8" s="98">
        <f ca="1">E8-C8</f>
        <v>385.9628026149133</v>
      </c>
      <c r="H8" s="102" t="e">
        <f t="shared" ca="1" si="1"/>
        <v>#DIV/0!</v>
      </c>
      <c r="I8" s="112"/>
      <c r="J8" s="103"/>
    </row>
    <row r="9" spans="1:10" ht="21.75" x14ac:dyDescent="0.25">
      <c r="A9" s="85" t="s">
        <v>21</v>
      </c>
      <c r="B9" s="86"/>
      <c r="C9" s="83">
        <f>B9/ORÇAMENTO_EXECUTIVO!$G$2*($D$21/$B$21)</f>
        <v>0</v>
      </c>
      <c r="D9" s="83">
        <f ca="1">ORÇAMENTO_EXECUTIVO!B8</f>
        <v>11221.223</v>
      </c>
      <c r="E9" s="84">
        <f ca="1">D9/ORÇAMENTO_EXECUTIVO!$G$2</f>
        <v>34.048071729829779</v>
      </c>
      <c r="F9" s="99">
        <f t="shared" ca="1" si="0"/>
        <v>11221.223</v>
      </c>
      <c r="G9" s="100">
        <f t="shared" ca="1" si="0"/>
        <v>34.048071729829779</v>
      </c>
      <c r="H9" s="104" t="e">
        <f t="shared" ca="1" si="1"/>
        <v>#DIV/0!</v>
      </c>
      <c r="I9" s="113"/>
      <c r="J9" s="105" t="s">
        <v>48</v>
      </c>
    </row>
    <row r="10" spans="1:10" ht="21.75" x14ac:dyDescent="0.25">
      <c r="A10" s="87" t="s">
        <v>8</v>
      </c>
      <c r="B10" s="88"/>
      <c r="C10" s="79">
        <f>B10/ORÇAMENTO_EXECUTIVO!$G$2*($D$21/$B$21)</f>
        <v>0</v>
      </c>
      <c r="D10" s="79">
        <f>ORÇAMENTO_EXECUTIVO!B12</f>
        <v>33446.834324250005</v>
      </c>
      <c r="E10" s="80">
        <f>D10/ORÇAMENTO_EXECUTIVO!$G$2</f>
        <v>101.4862831090512</v>
      </c>
      <c r="F10" s="97">
        <f t="shared" si="0"/>
        <v>33446.834324250005</v>
      </c>
      <c r="G10" s="98">
        <f t="shared" si="0"/>
        <v>101.4862831090512</v>
      </c>
      <c r="H10" s="102" t="e">
        <f t="shared" si="1"/>
        <v>#DIV/0!</v>
      </c>
      <c r="I10" s="112"/>
      <c r="J10" s="103" t="s">
        <v>49</v>
      </c>
    </row>
    <row r="11" spans="1:10" ht="21.75" x14ac:dyDescent="0.25">
      <c r="A11" s="81" t="s">
        <v>32</v>
      </c>
      <c r="B11" s="82"/>
      <c r="C11" s="83">
        <f>B11/ORÇAMENTO_EXECUTIVO!$G$2*($D$21/$B$21)</f>
        <v>0</v>
      </c>
      <c r="D11" s="83">
        <f ca="1">ORÇAMENTO_EXECUTIVO!B19</f>
        <v>49075.814340671212</v>
      </c>
      <c r="E11" s="84">
        <f ca="1">D11/ORÇAMENTO_EXECUTIVO!$G$2</f>
        <v>148.9086213571357</v>
      </c>
      <c r="F11" s="99">
        <f t="shared" ca="1" si="0"/>
        <v>49075.814340671212</v>
      </c>
      <c r="G11" s="100">
        <f t="shared" ca="1" si="0"/>
        <v>148.9086213571357</v>
      </c>
      <c r="H11" s="104" t="e">
        <f t="shared" ca="1" si="1"/>
        <v>#DIV/0!</v>
      </c>
      <c r="I11" s="113"/>
      <c r="J11" s="105" t="s">
        <v>51</v>
      </c>
    </row>
    <row r="12" spans="1:10" ht="21.75" x14ac:dyDescent="0.25">
      <c r="A12" s="77" t="s">
        <v>19</v>
      </c>
      <c r="B12" s="78"/>
      <c r="C12" s="79">
        <f>B12/ORÇAMENTO_EXECUTIVO!$G$2*($D$21/$B$21)</f>
        <v>0</v>
      </c>
      <c r="D12" s="79">
        <f ca="1">ORÇAMENTO_EXECUTIVO!B20</f>
        <v>48409.091874559992</v>
      </c>
      <c r="E12" s="80">
        <f ca="1">D12/ORÇAMENTO_EXECUTIVO!$G$2</f>
        <v>146.88561420808929</v>
      </c>
      <c r="F12" s="97">
        <f t="shared" ca="1" si="0"/>
        <v>48409.091874559992</v>
      </c>
      <c r="G12" s="98">
        <f ca="1">E12-C12</f>
        <v>146.88561420808929</v>
      </c>
      <c r="H12" s="102" t="e">
        <f t="shared" ca="1" si="1"/>
        <v>#DIV/0!</v>
      </c>
      <c r="I12" s="112"/>
      <c r="J12" s="103" t="s">
        <v>50</v>
      </c>
    </row>
    <row r="13" spans="1:10" ht="21.75" x14ac:dyDescent="0.25">
      <c r="A13" s="81" t="s">
        <v>34</v>
      </c>
      <c r="B13" s="82"/>
      <c r="C13" s="83">
        <f>B13/ORÇAMENTO_EXECUTIVO!$G$2*($D$21/$B$21)</f>
        <v>0</v>
      </c>
      <c r="D13" s="83">
        <f ca="1">ORÇAMENTO_EXECUTIVO!B21</f>
        <v>100308.05190661384</v>
      </c>
      <c r="E13" s="84">
        <f ca="1">D13/ORÇAMENTO_EXECUTIVO!$G$2</f>
        <v>304.36038446039942</v>
      </c>
      <c r="F13" s="99">
        <f t="shared" ca="1" si="0"/>
        <v>100308.05190661384</v>
      </c>
      <c r="G13" s="100">
        <f t="shared" ca="1" si="0"/>
        <v>304.36038446039942</v>
      </c>
      <c r="H13" s="104" t="e">
        <f t="shared" ca="1" si="1"/>
        <v>#DIV/0!</v>
      </c>
      <c r="I13" s="113"/>
      <c r="J13" s="105"/>
    </row>
    <row r="14" spans="1:10" ht="21.75" x14ac:dyDescent="0.25">
      <c r="A14" s="77" t="s">
        <v>10</v>
      </c>
      <c r="B14" s="78"/>
      <c r="C14" s="79">
        <f>B14/ORÇAMENTO_EXECUTIVO!$G$2*($D$21/$B$21)</f>
        <v>0</v>
      </c>
      <c r="D14" s="79">
        <f ca="1">ORÇAMENTO_EXECUTIVO!B22</f>
        <v>137257.00257303804</v>
      </c>
      <c r="E14" s="80">
        <f ca="1">D14/ORÇAMENTO_EXECUTIVO!$G$2</f>
        <v>416.47298775082089</v>
      </c>
      <c r="F14" s="97">
        <f t="shared" ca="1" si="0"/>
        <v>137257.00257303804</v>
      </c>
      <c r="G14" s="98">
        <f t="shared" ca="1" si="0"/>
        <v>416.47298775082089</v>
      </c>
      <c r="H14" s="102" t="e">
        <f t="shared" ca="1" si="1"/>
        <v>#DIV/0!</v>
      </c>
      <c r="I14" s="112"/>
      <c r="J14" s="103"/>
    </row>
    <row r="15" spans="1:10" ht="21.75" x14ac:dyDescent="0.25">
      <c r="A15" s="81" t="s">
        <v>11</v>
      </c>
      <c r="B15" s="82"/>
      <c r="C15" s="83">
        <f>B15/ORÇAMENTO_EXECUTIVO!$G$2*($D$21/$B$21)</f>
        <v>0</v>
      </c>
      <c r="D15" s="83">
        <f ca="1">ORÇAMENTO_EXECUTIVO!B23</f>
        <v>68854.816000000006</v>
      </c>
      <c r="E15" s="84">
        <f ca="1">D15/ORÇAMENTO_EXECUTIVO!$G$2</f>
        <v>208.92319082440758</v>
      </c>
      <c r="F15" s="99">
        <f t="shared" ca="1" si="0"/>
        <v>68854.816000000006</v>
      </c>
      <c r="G15" s="100">
        <f t="shared" ca="1" si="0"/>
        <v>208.92319082440758</v>
      </c>
      <c r="H15" s="104" t="e">
        <f ca="1">F15/B15</f>
        <v>#DIV/0!</v>
      </c>
      <c r="I15" s="113"/>
      <c r="J15" s="105" t="s">
        <v>52</v>
      </c>
    </row>
    <row r="16" spans="1:10" ht="21.75" x14ac:dyDescent="0.25">
      <c r="A16" s="77" t="s">
        <v>20</v>
      </c>
      <c r="B16" s="78"/>
      <c r="C16" s="79">
        <f>B16/ORÇAMENTO_EXECUTIVO!$G$2*($D$21/$B$21)</f>
        <v>0</v>
      </c>
      <c r="D16" s="79">
        <f>ORÇAMENTO_EXECUTIVO!B24</f>
        <v>0</v>
      </c>
      <c r="E16" s="80">
        <f>D16/ORÇAMENTO_EXECUTIVO!$G$2</f>
        <v>0</v>
      </c>
      <c r="F16" s="97">
        <f t="shared" si="0"/>
        <v>0</v>
      </c>
      <c r="G16" s="98">
        <f t="shared" si="0"/>
        <v>0</v>
      </c>
      <c r="H16" s="102" t="e">
        <f t="shared" si="1"/>
        <v>#DIV/0!</v>
      </c>
      <c r="I16" s="112"/>
      <c r="J16" s="103" t="s">
        <v>53</v>
      </c>
    </row>
    <row r="17" spans="1:10" ht="21.75" x14ac:dyDescent="0.25">
      <c r="A17" s="81" t="s">
        <v>12</v>
      </c>
      <c r="B17" s="82"/>
      <c r="C17" s="83">
        <f>B17/ORÇAMENTO_EXECUTIVO!$G$2*($D$21/$B$21)</f>
        <v>0</v>
      </c>
      <c r="D17" s="83">
        <f ca="1">ORÇAMENTO_EXECUTIVO!B25</f>
        <v>23121.191607979999</v>
      </c>
      <c r="E17" s="84">
        <f ca="1">D17/ORÇAMENTO_EXECUTIVO!$G$2</f>
        <v>70.155631908183395</v>
      </c>
      <c r="F17" s="99">
        <f t="shared" ca="1" si="0"/>
        <v>23121.191607979999</v>
      </c>
      <c r="G17" s="100">
        <f t="shared" ca="1" si="0"/>
        <v>70.155631908183395</v>
      </c>
      <c r="H17" s="104" t="e">
        <f t="shared" ca="1" si="1"/>
        <v>#DIV/0!</v>
      </c>
      <c r="I17" s="113"/>
      <c r="J17" s="105" t="s">
        <v>54</v>
      </c>
    </row>
    <row r="18" spans="1:10" ht="21.75" x14ac:dyDescent="0.25">
      <c r="A18" s="77" t="s">
        <v>13</v>
      </c>
      <c r="B18" s="78"/>
      <c r="C18" s="79">
        <f>B18/ORÇAMENTO_EXECUTIVO!$G$2*($D$21/$B$21)</f>
        <v>0</v>
      </c>
      <c r="D18" s="79" t="e">
        <f>ORÇAMENTO_EXECUTIVO!#REF!</f>
        <v>#REF!</v>
      </c>
      <c r="E18" s="80" t="e">
        <f>D18/ORÇAMENTO_EXECUTIVO!$G$2</f>
        <v>#REF!</v>
      </c>
      <c r="F18" s="97" t="e">
        <f t="shared" si="0"/>
        <v>#REF!</v>
      </c>
      <c r="G18" s="98" t="e">
        <f t="shared" si="0"/>
        <v>#REF!</v>
      </c>
      <c r="H18" s="102" t="e">
        <f>F18/B18</f>
        <v>#REF!</v>
      </c>
      <c r="I18" s="112"/>
      <c r="J18" s="103" t="s">
        <v>55</v>
      </c>
    </row>
    <row r="19" spans="1:10" ht="21.75" x14ac:dyDescent="0.25">
      <c r="A19" s="81" t="s">
        <v>40</v>
      </c>
      <c r="B19" s="82"/>
      <c r="C19" s="83">
        <f>B19/ORÇAMENTO_EXECUTIVO!$G$2*($D$21/$B$21)</f>
        <v>0</v>
      </c>
      <c r="D19" s="83">
        <f ca="1">ORÇAMENTO_EXECUTIVO!B26</f>
        <v>26653.869807027662</v>
      </c>
      <c r="E19" s="84">
        <f ca="1">D19/ORÇAMENTO_EXECUTIVO!$G$2</f>
        <v>80.874684610333659</v>
      </c>
      <c r="F19" s="99">
        <f t="shared" ca="1" si="0"/>
        <v>26653.869807027662</v>
      </c>
      <c r="G19" s="100">
        <f t="shared" ca="1" si="0"/>
        <v>80.874684610333659</v>
      </c>
      <c r="H19" s="104" t="e">
        <f t="shared" ca="1" si="1"/>
        <v>#DIV/0!</v>
      </c>
      <c r="I19" s="113"/>
      <c r="J19" s="105" t="s">
        <v>55</v>
      </c>
    </row>
    <row r="20" spans="1:10" ht="21.75" x14ac:dyDescent="0.25">
      <c r="A20" s="73" t="s">
        <v>14</v>
      </c>
      <c r="B20" s="89">
        <f>SUM(B2:B19)</f>
        <v>0</v>
      </c>
      <c r="C20" s="89">
        <f>SUM(C2:C18)</f>
        <v>0</v>
      </c>
      <c r="D20" s="89" t="e">
        <f ca="1">SUM(D2:D19)</f>
        <v>#REF!</v>
      </c>
      <c r="E20" s="90" t="e">
        <f ca="1">SUM(E2:E18)</f>
        <v>#REF!</v>
      </c>
      <c r="F20" s="90" t="e">
        <f ca="1">SUM(F2:F18)</f>
        <v>#REF!</v>
      </c>
      <c r="G20" s="91" t="e">
        <f ca="1">SUM(G2:G18)</f>
        <v>#REF!</v>
      </c>
      <c r="H20" s="106"/>
      <c r="I20" s="107"/>
      <c r="J20" s="107"/>
    </row>
    <row r="21" spans="1:10" ht="21.75" x14ac:dyDescent="0.25">
      <c r="A21" s="21" t="s">
        <v>64</v>
      </c>
      <c r="B21" s="24">
        <v>2757.56</v>
      </c>
      <c r="C21" s="25">
        <v>45383</v>
      </c>
      <c r="D21" s="24">
        <v>2868.56</v>
      </c>
      <c r="E21" s="25">
        <v>45627</v>
      </c>
      <c r="F21" s="93"/>
      <c r="G21" s="94"/>
      <c r="H21" s="75"/>
      <c r="I21" s="108"/>
    </row>
    <row r="22" spans="1:10" ht="19.5" x14ac:dyDescent="0.25">
      <c r="A22" s="75"/>
      <c r="B22" s="109">
        <f>SUM(B2:B19)/ORÇAMENTO_EXECUTIVO!G2</f>
        <v>0</v>
      </c>
      <c r="C22" s="95"/>
      <c r="D22" s="95"/>
      <c r="E22" s="95"/>
      <c r="F22" s="75"/>
      <c r="G22" s="93"/>
      <c r="H22" s="75"/>
      <c r="I22" s="110"/>
    </row>
    <row r="23" spans="1:10" ht="19.5" x14ac:dyDescent="0.25">
      <c r="A23" s="75"/>
      <c r="B23" s="75">
        <f>B22/B21</f>
        <v>0</v>
      </c>
      <c r="C23" s="92"/>
      <c r="D23" s="92"/>
      <c r="E23" s="75"/>
      <c r="F23" s="75"/>
      <c r="G23" s="94"/>
      <c r="H23" s="75"/>
      <c r="I23" s="108"/>
    </row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EAP</vt:lpstr>
      <vt:lpstr>ORÇAMENTO_EXECUTIVO</vt:lpstr>
      <vt:lpstr>ANÁLISE_CUSTOS </vt:lpstr>
      <vt:lpstr>CÁLCULO_MÉDIAS</vt:lpstr>
      <vt:lpstr>CÁLCULO_MÉDIAS (2)</vt:lpstr>
      <vt:lpstr>ANÁLISE_CUSTOS LOTEAMENTO</vt:lpstr>
      <vt:lpstr>COMPARAÇÃO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2025-08-29T19:32:40Z</dcterms:modified>
</cp:coreProperties>
</file>