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GMF 08.2022\03. Custo\03.5 Custo - Determinação do orçamento\"/>
    </mc:Choice>
  </mc:AlternateContent>
  <bookViews>
    <workbookView xWindow="19095" yWindow="-105" windowWidth="19425" windowHeight="10305" firstSheet="2" activeTab="3"/>
  </bookViews>
  <sheets>
    <sheet name="Planilha1" sheetId="8" r:id="rId1"/>
    <sheet name="Relatório" sheetId="10" r:id="rId2"/>
    <sheet name="ORÇAMENTO_EXECUTIVO" sheetId="2" r:id="rId3"/>
    <sheet name="ANÁLISE_CUSTOS" sheetId="1" r:id="rId4"/>
    <sheet name="CÁLCULO_MÉDIAS" sheetId="5" r:id="rId5"/>
    <sheet name="AREAS_PRIVATIVAS" sheetId="7" r:id="rId6"/>
    <sheet name="Dif. Altura" sheetId="11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\0">#REF!</definedName>
    <definedName name="\1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i">#REF!</definedName>
    <definedName name="\J">#REF!</definedName>
    <definedName name="\k">#REF!</definedName>
    <definedName name="\l">#N/A</definedName>
    <definedName name="\m">#REF!</definedName>
    <definedName name="\o">#REF!</definedName>
    <definedName name="\p">#REF!</definedName>
    <definedName name="\r">#REF!</definedName>
    <definedName name="\T">#REF!</definedName>
    <definedName name="\xasd" hidden="1">{#N/A,#N/A,FALSE,"Plan1";#N/A,#N/A,FALSE,"Plan2"}</definedName>
    <definedName name="\z">#REF!</definedName>
    <definedName name="_" hidden="1">#REF!</definedName>
    <definedName name="__" hidden="1">#REF!</definedName>
    <definedName name="__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ACR10">#REF!</definedName>
    <definedName name="______ACR15">#REF!</definedName>
    <definedName name="______acr20">#REF!</definedName>
    <definedName name="______acr5">#REF!</definedName>
    <definedName name="______ARQ1">#REF!</definedName>
    <definedName name="______QT100">#REF!</definedName>
    <definedName name="______QT2">#REF!</definedName>
    <definedName name="______QT3">#REF!</definedName>
    <definedName name="______QT4">#REF!</definedName>
    <definedName name="______QT50">#REF!</definedName>
    <definedName name="______QT75">#REF!</definedName>
    <definedName name="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ACR10">#REF!</definedName>
    <definedName name="_____ACR15">#REF!</definedName>
    <definedName name="_____acr20">#REF!</definedName>
    <definedName name="_____acr5">#REF!</definedName>
    <definedName name="_____ARQ1">#REF!</definedName>
    <definedName name="_____key2" hidden="1">#REF!</definedName>
    <definedName name="_____QT100">#REF!</definedName>
    <definedName name="_____QT2">#REF!</definedName>
    <definedName name="_____QT3">#REF!</definedName>
    <definedName name="_____QT4">#REF!</definedName>
    <definedName name="_____QT50">#REF!</definedName>
    <definedName name="_____QT75">#REF!</definedName>
    <definedName name="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 hidden="1">#REF!</definedName>
    <definedName name="____la29" hidden="1">#REF!</definedName>
    <definedName name="____la3" hidden="1">#REF!</definedName>
    <definedName name="____la31" hidden="1">#REF!</definedName>
    <definedName name="____la32" hidden="1">#REF!</definedName>
    <definedName name="____la4" hidden="1">#REF!</definedName>
    <definedName name="____la5" hidden="1">#REF!</definedName>
    <definedName name="____la6" hidden="1">#REF!</definedName>
    <definedName name="____la7" hidden="1">#REF!</definedName>
    <definedName name="____la8" hidden="1">#REF!</definedName>
    <definedName name="____la9" hidden="1">#REF!</definedName>
    <definedName name="____lb1" hidden="1">#REF!</definedName>
    <definedName name="____lb10" hidden="1">#REF!</definedName>
    <definedName name="____lb11" hidden="1">#REF!</definedName>
    <definedName name="____lb12" hidden="1">#REF!</definedName>
    <definedName name="____lb13" hidden="1">#REF!</definedName>
    <definedName name="____lb14" hidden="1">#REF!</definedName>
    <definedName name="____lb15" hidden="1">#REF!</definedName>
    <definedName name="____lb16" hidden="1">#REF!</definedName>
    <definedName name="____lb17" hidden="1">#REF!</definedName>
    <definedName name="____lb18" hidden="1">#REF!</definedName>
    <definedName name="____lb19" hidden="1">#REF!</definedName>
    <definedName name="____lb2" hidden="1">#REF!</definedName>
    <definedName name="____lb20" hidden="1">#REF!</definedName>
    <definedName name="____lb21" hidden="1">#REF!</definedName>
    <definedName name="____lb22" hidden="1">#REF!</definedName>
    <definedName name="____lb23" hidden="1">#REF!</definedName>
    <definedName name="____lb24" hidden="1">#REF!</definedName>
    <definedName name="____lb25" hidden="1">#REF!</definedName>
    <definedName name="____lb27" hidden="1">#REF!</definedName>
    <definedName name="____lb28" hidden="1">#REF!</definedName>
    <definedName name="____lb29" hidden="1">#REF!</definedName>
    <definedName name="____lb3" hidden="1">#REF!</definedName>
    <definedName name="____lb30" hidden="1">#REF!</definedName>
    <definedName name="____lb31" hidden="1">#REF!</definedName>
    <definedName name="____lb32" hidden="1">#REF!</definedName>
    <definedName name="____lb4" hidden="1">#REF!</definedName>
    <definedName name="____lb5" hidden="1">#REF!</definedName>
    <definedName name="____lb6" hidden="1">#REF!</definedName>
    <definedName name="____lb7" hidden="1">#REF!</definedName>
    <definedName name="____lb8" hidden="1">#REF!</definedName>
    <definedName name="____lb9" hidden="1">#REF!</definedName>
    <definedName name="____lbc1" hidden="1">#REF!</definedName>
    <definedName name="____lbc10" hidden="1">#REF!</definedName>
    <definedName name="____lbc11" hidden="1">#REF!</definedName>
    <definedName name="____lbc12" hidden="1">#REF!</definedName>
    <definedName name="____lbc13" hidden="1">#REF!</definedName>
    <definedName name="____lbc14" hidden="1">#REF!</definedName>
    <definedName name="____lbc15" hidden="1">#REF!</definedName>
    <definedName name="____lbc16" hidden="1">#REF!</definedName>
    <definedName name="____lbc17" hidden="1">#REF!</definedName>
    <definedName name="____lbc18" hidden="1">#REF!</definedName>
    <definedName name="____lbc19" hidden="1">#REF!</definedName>
    <definedName name="____lbc2" hidden="1">#REF!</definedName>
    <definedName name="____lbc20" hidden="1">#REF!</definedName>
    <definedName name="____lbc21" hidden="1">#REF!</definedName>
    <definedName name="____lbc22" hidden="1">#REF!</definedName>
    <definedName name="____lbc23" hidden="1">#REF!</definedName>
    <definedName name="____lbc24" hidden="1">#REF!</definedName>
    <definedName name="____lbc25" hidden="1">#REF!</definedName>
    <definedName name="____lbc26" hidden="1">#REF!</definedName>
    <definedName name="____lbc27" hidden="1">#REF!</definedName>
    <definedName name="____lbc28" hidden="1">#REF!</definedName>
    <definedName name="____lbc29" hidden="1">#REF!</definedName>
    <definedName name="____lbc3" hidden="1">#REF!</definedName>
    <definedName name="____lbc31" hidden="1">#REF!</definedName>
    <definedName name="____lbc32" hidden="1">#REF!</definedName>
    <definedName name="____lbc4" hidden="1">#REF!</definedName>
    <definedName name="____lbc5" hidden="1">#REF!</definedName>
    <definedName name="____lbc6" hidden="1">#REF!</definedName>
    <definedName name="____lbc7" hidden="1">#REF!</definedName>
    <definedName name="____lbc8" hidden="1">#REF!</definedName>
    <definedName name="____lbc9" hidden="1">#REF!</definedName>
    <definedName name="____ld26" hidden="1">#REF!</definedName>
    <definedName name="____ld31" hidden="1">#REF!</definedName>
    <definedName name="____le31" hidden="1">#REF!</definedName>
    <definedName name="____lf31" hidden="1">#REF!</definedName>
    <definedName name="____PK2" hidden="1">{"'장비'!$A$3:$M$12"}</definedName>
    <definedName name="____PKG3" hidden="1">{"'장비'!$A$3:$M$12"}</definedName>
    <definedName name="____qqq222" hidden="1">{"'장비'!$A$3:$M$12"}</definedName>
    <definedName name="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x10" hidden="1">#REF!</definedName>
    <definedName name="____x11" hidden="1">#REF!</definedName>
    <definedName name="____x12" hidden="1">#REF!</definedName>
    <definedName name="____x13" hidden="1">#REF!</definedName>
    <definedName name="____x14" hidden="1">#REF!</definedName>
    <definedName name="____x15" hidden="1">#REF!</definedName>
    <definedName name="____x16" hidden="1">#REF!</definedName>
    <definedName name="____x17" hidden="1">#REF!</definedName>
    <definedName name="____x18" hidden="1">#REF!</definedName>
    <definedName name="____x19" hidden="1">#REF!</definedName>
    <definedName name="____x20" hidden="1">#REF!</definedName>
    <definedName name="____x21" hidden="1">#REF!</definedName>
    <definedName name="____x22" hidden="1">#REF!</definedName>
    <definedName name="____x23" hidden="1">#REF!</definedName>
    <definedName name="____x24" hidden="1">#REF!</definedName>
    <definedName name="____x25" hidden="1">#REF!</definedName>
    <definedName name="____x28" hidden="1">#REF!</definedName>
    <definedName name="____x29" hidden="1">#REF!</definedName>
    <definedName name="____x32" hidden="1">#REF!</definedName>
    <definedName name="____x4" hidden="1">#REF!</definedName>
    <definedName name="____x5" hidden="1">#REF!</definedName>
    <definedName name="____x6" hidden="1">#REF!</definedName>
    <definedName name="____x7" hidden="1">#REF!</definedName>
    <definedName name="____x8" hidden="1">#REF!</definedName>
    <definedName name="____x9" hidden="1">#REF!</definedName>
    <definedName name="___ACR10">#REF!</definedName>
    <definedName name="___ACR15">#REF!</definedName>
    <definedName name="___acr20">#REF!</definedName>
    <definedName name="___acr5">#REF!</definedName>
    <definedName name="___ARQ1">#REF!</definedName>
    <definedName name="_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 hidden="1">#REF!</definedName>
    <definedName name="___la29" hidden="1">#REF!</definedName>
    <definedName name="___la3" hidden="1">#REF!</definedName>
    <definedName name="___la31" hidden="1">#REF!</definedName>
    <definedName name="___la32" hidden="1">#REF!</definedName>
    <definedName name="___la4" hidden="1">#REF!</definedName>
    <definedName name="___la5" hidden="1">#REF!</definedName>
    <definedName name="___la6" hidden="1">#REF!</definedName>
    <definedName name="___la7" hidden="1">#REF!</definedName>
    <definedName name="___la8" hidden="1">#REF!</definedName>
    <definedName name="___la9" hidden="1">#REF!</definedName>
    <definedName name="___lb1" hidden="1">#REF!</definedName>
    <definedName name="___lb10" hidden="1">#REF!</definedName>
    <definedName name="___lb11" hidden="1">#REF!</definedName>
    <definedName name="___lb12" hidden="1">#REF!</definedName>
    <definedName name="___lb13" hidden="1">#REF!</definedName>
    <definedName name="___lb14" hidden="1">#REF!</definedName>
    <definedName name="___lb15" hidden="1">#REF!</definedName>
    <definedName name="___lb16" hidden="1">#REF!</definedName>
    <definedName name="___lb17" hidden="1">#REF!</definedName>
    <definedName name="___lb18" hidden="1">#REF!</definedName>
    <definedName name="___lb19" hidden="1">#REF!</definedName>
    <definedName name="___lb2" hidden="1">#REF!</definedName>
    <definedName name="___lb20" hidden="1">#REF!</definedName>
    <definedName name="___lb21" hidden="1">#REF!</definedName>
    <definedName name="___lb22" hidden="1">#REF!</definedName>
    <definedName name="___lb23" hidden="1">#REF!</definedName>
    <definedName name="___lb24" hidden="1">#REF!</definedName>
    <definedName name="___lb25" hidden="1">#REF!</definedName>
    <definedName name="___lb27" hidden="1">#REF!</definedName>
    <definedName name="___lb28" hidden="1">#REF!</definedName>
    <definedName name="___lb29" hidden="1">#REF!</definedName>
    <definedName name="___lb3" hidden="1">#REF!</definedName>
    <definedName name="___lb30" hidden="1">#REF!</definedName>
    <definedName name="___lb31" hidden="1">#REF!</definedName>
    <definedName name="___lb32" hidden="1">#REF!</definedName>
    <definedName name="___lb4" hidden="1">#REF!</definedName>
    <definedName name="___lb5" hidden="1">#REF!</definedName>
    <definedName name="___lb6" hidden="1">#REF!</definedName>
    <definedName name="___lb7" hidden="1">#REF!</definedName>
    <definedName name="___lb8" hidden="1">#REF!</definedName>
    <definedName name="___lb9" hidden="1">#REF!</definedName>
    <definedName name="___lbc1" hidden="1">#REF!</definedName>
    <definedName name="___lbc10" hidden="1">#REF!</definedName>
    <definedName name="___lbc11" hidden="1">#REF!</definedName>
    <definedName name="___lbc12" hidden="1">#REF!</definedName>
    <definedName name="___lbc13" hidden="1">#REF!</definedName>
    <definedName name="___lbc14" hidden="1">#REF!</definedName>
    <definedName name="___lbc15" hidden="1">#REF!</definedName>
    <definedName name="___lbc16" hidden="1">#REF!</definedName>
    <definedName name="___lbc17" hidden="1">#REF!</definedName>
    <definedName name="___lbc18" hidden="1">#REF!</definedName>
    <definedName name="___lbc19" hidden="1">#REF!</definedName>
    <definedName name="___lbc2" hidden="1">#REF!</definedName>
    <definedName name="___lbc20" hidden="1">#REF!</definedName>
    <definedName name="___lbc21" hidden="1">#REF!</definedName>
    <definedName name="___lbc22" hidden="1">#REF!</definedName>
    <definedName name="___lbc23" hidden="1">#REF!</definedName>
    <definedName name="___lbc24" hidden="1">#REF!</definedName>
    <definedName name="___lbc25" hidden="1">#REF!</definedName>
    <definedName name="___lbc26" hidden="1">#REF!</definedName>
    <definedName name="___lbc27" hidden="1">#REF!</definedName>
    <definedName name="___lbc28" hidden="1">#REF!</definedName>
    <definedName name="___lbc29" hidden="1">#REF!</definedName>
    <definedName name="___lbc3" hidden="1">#REF!</definedName>
    <definedName name="___lbc31" hidden="1">#REF!</definedName>
    <definedName name="___lbc32" hidden="1">#REF!</definedName>
    <definedName name="___lbc4" hidden="1">#REF!</definedName>
    <definedName name="___lbc5" hidden="1">#REF!</definedName>
    <definedName name="___lbc6" hidden="1">#REF!</definedName>
    <definedName name="___lbc7" hidden="1">#REF!</definedName>
    <definedName name="___lbc8" hidden="1">#REF!</definedName>
    <definedName name="___lbc9" hidden="1">#REF!</definedName>
    <definedName name="___ld26" hidden="1">#REF!</definedName>
    <definedName name="___ld31" hidden="1">#REF!</definedName>
    <definedName name="___le31" hidden="1">#REF!</definedName>
    <definedName name="___lf31" hidden="1">#REF!</definedName>
    <definedName name="___PK2" hidden="1">{"'장비'!$A$3:$M$12"}</definedName>
    <definedName name="___PKG3" hidden="1">{"'장비'!$A$3:$M$12"}</definedName>
    <definedName name="___qqq222" hidden="1">{"'장비'!$A$3:$M$12"}</definedName>
    <definedName name="___QT100">#REF!</definedName>
    <definedName name="___QT2">#REF!</definedName>
    <definedName name="___QT3">#REF!</definedName>
    <definedName name="___QT4">#REF!</definedName>
    <definedName name="___QT50">#REF!</definedName>
    <definedName name="___QT75">#REF!</definedName>
    <definedName name="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x10" hidden="1">#REF!</definedName>
    <definedName name="___x11" hidden="1">#REF!</definedName>
    <definedName name="___x12" hidden="1">#REF!</definedName>
    <definedName name="___x13" hidden="1">#REF!</definedName>
    <definedName name="___x14" hidden="1">#REF!</definedName>
    <definedName name="___x15" hidden="1">#REF!</definedName>
    <definedName name="___x16" hidden="1">#REF!</definedName>
    <definedName name="___x17" hidden="1">#REF!</definedName>
    <definedName name="___x18" hidden="1">#REF!</definedName>
    <definedName name="___x19" hidden="1">#REF!</definedName>
    <definedName name="___x20" hidden="1">#REF!</definedName>
    <definedName name="___x21" hidden="1">#REF!</definedName>
    <definedName name="___x22" hidden="1">#REF!</definedName>
    <definedName name="___x23" hidden="1">#REF!</definedName>
    <definedName name="___x24" hidden="1">#REF!</definedName>
    <definedName name="___x25" hidden="1">#REF!</definedName>
    <definedName name="___x28" hidden="1">#REF!</definedName>
    <definedName name="___x29" hidden="1">#REF!</definedName>
    <definedName name="___x32" hidden="1">#REF!</definedName>
    <definedName name="___x4" hidden="1">#REF!</definedName>
    <definedName name="___x5" hidden="1">#REF!</definedName>
    <definedName name="___x6" hidden="1">#REF!</definedName>
    <definedName name="___x7" hidden="1">#REF!</definedName>
    <definedName name="___x8" hidden="1">#REF!</definedName>
    <definedName name="___x9" hidden="1">#REF!</definedName>
    <definedName name="__123Graph_A" hidden="1">#REF!</definedName>
    <definedName name="__123Graph_AChart1" hidden="1">#REF!</definedName>
    <definedName name="__123Graph_ACurrent" hidden="1">#REF!</definedName>
    <definedName name="__123Graph_ACUSTO" hidden="1">#REF!</definedName>
    <definedName name="__123Graph_AFAT" hidden="1">#REF!</definedName>
    <definedName name="__123Graph_AGRA1" hidden="1">#REF!</definedName>
    <definedName name="__123Graph_ARES" hidden="1">#REF!</definedName>
    <definedName name="__123Graph_B" hidden="1">#REF!</definedName>
    <definedName name="__123Graph_BChart1" hidden="1">#REF!</definedName>
    <definedName name="__123Graph_BCurrent" hidden="1">#REF!</definedName>
    <definedName name="__123Graph_BCUSTO" hidden="1">#REF!</definedName>
    <definedName name="__123Graph_BFAT" hidden="1">#REF!</definedName>
    <definedName name="__123Graph_BPERFORMANCE" hidden="1">#REF!</definedName>
    <definedName name="__123Graph_BRES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LBL_A" hidden="1">#REF!</definedName>
    <definedName name="__123Graph_LBL_B" hidden="1">#REF!</definedName>
    <definedName name="__123Graph_X" hidden="1">#REF!</definedName>
    <definedName name="__123Graph_XChart1" hidden="1">#REF!</definedName>
    <definedName name="__123Graph_XCurrent" hidden="1">#REF!</definedName>
    <definedName name="__123Graph_XCUSTO" hidden="1">#REF!</definedName>
    <definedName name="__123Graph_XFAT" hidden="1">#REF!</definedName>
    <definedName name="__123Graph_XGRA1" hidden="1">#REF!</definedName>
    <definedName name="__123Graph_XRES" hidden="1">#REF!</definedName>
    <definedName name="__ACR10">#REF!</definedName>
    <definedName name="__ACR15">#REF!</definedName>
    <definedName name="__acr20">#REF!</definedName>
    <definedName name="__acr5">#REF!</definedName>
    <definedName name="__ARQ1">#REF!</definedName>
    <definedName name="__Axe3">#REF!</definedName>
    <definedName name="__Axe4">#REF!</definedName>
    <definedName name="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htm2">#REF!</definedName>
    <definedName name="__htn2">#REF!</definedName>
    <definedName name="__iss2">#REF!</definedName>
    <definedName name="__key2" hidden="1">#REF!</definedName>
    <definedName name="__la29" hidden="1">#REF!</definedName>
    <definedName name="__la3" hidden="1">#REF!</definedName>
    <definedName name="__la31" hidden="1">#REF!</definedName>
    <definedName name="__la32" hidden="1">#REF!</definedName>
    <definedName name="__la4" hidden="1">#REF!</definedName>
    <definedName name="__la5" hidden="1">#REF!</definedName>
    <definedName name="__la6" hidden="1">#REF!</definedName>
    <definedName name="__la7" hidden="1">#REF!</definedName>
    <definedName name="__la8" hidden="1">#REF!</definedName>
    <definedName name="__la9" hidden="1">#REF!</definedName>
    <definedName name="__lb1" hidden="1">#REF!</definedName>
    <definedName name="__lb10" hidden="1">#REF!</definedName>
    <definedName name="__lb11" hidden="1">#REF!</definedName>
    <definedName name="__lb12" hidden="1">#REF!</definedName>
    <definedName name="__lb13" hidden="1">#REF!</definedName>
    <definedName name="__lb14" hidden="1">#REF!</definedName>
    <definedName name="__lb15" hidden="1">#REF!</definedName>
    <definedName name="__lb16" hidden="1">#REF!</definedName>
    <definedName name="__lb17" hidden="1">#REF!</definedName>
    <definedName name="__lb18" hidden="1">#REF!</definedName>
    <definedName name="__lb19" hidden="1">#REF!</definedName>
    <definedName name="__lb2" hidden="1">#REF!</definedName>
    <definedName name="__lb20" hidden="1">#REF!</definedName>
    <definedName name="__lb21" hidden="1">#REF!</definedName>
    <definedName name="__lb22" hidden="1">#REF!</definedName>
    <definedName name="__lb23" hidden="1">#REF!</definedName>
    <definedName name="__lb24" hidden="1">#REF!</definedName>
    <definedName name="__lb25" hidden="1">#REF!</definedName>
    <definedName name="__lb27" hidden="1">#REF!</definedName>
    <definedName name="__lb28" hidden="1">#REF!</definedName>
    <definedName name="__lb29" hidden="1">#REF!</definedName>
    <definedName name="__lb3" hidden="1">#REF!</definedName>
    <definedName name="__lb30" hidden="1">#REF!</definedName>
    <definedName name="__lb31" hidden="1">#REF!</definedName>
    <definedName name="__lb32" hidden="1">#REF!</definedName>
    <definedName name="__lb4" hidden="1">#REF!</definedName>
    <definedName name="__lb5" hidden="1">#REF!</definedName>
    <definedName name="__lb6" hidden="1">#REF!</definedName>
    <definedName name="__lb7" hidden="1">#REF!</definedName>
    <definedName name="__lb8" hidden="1">#REF!</definedName>
    <definedName name="__lb9" hidden="1">#REF!</definedName>
    <definedName name="__lbc1" hidden="1">#REF!</definedName>
    <definedName name="__lbc10" hidden="1">#REF!</definedName>
    <definedName name="__lbc11" hidden="1">#REF!</definedName>
    <definedName name="__lbc12" hidden="1">#REF!</definedName>
    <definedName name="__lbc13" hidden="1">#REF!</definedName>
    <definedName name="__lbc14" hidden="1">#REF!</definedName>
    <definedName name="__lbc15" hidden="1">#REF!</definedName>
    <definedName name="__lbc16" hidden="1">#REF!</definedName>
    <definedName name="__lbc17" hidden="1">#REF!</definedName>
    <definedName name="__lbc18" hidden="1">#REF!</definedName>
    <definedName name="__lbc19" hidden="1">#REF!</definedName>
    <definedName name="__lbc2" hidden="1">#REF!</definedName>
    <definedName name="__lbc20" hidden="1">#REF!</definedName>
    <definedName name="__lbc21" hidden="1">#REF!</definedName>
    <definedName name="__lbc22" hidden="1">#REF!</definedName>
    <definedName name="__lbc23" hidden="1">#REF!</definedName>
    <definedName name="__lbc24" hidden="1">#REF!</definedName>
    <definedName name="__lbc25" hidden="1">#REF!</definedName>
    <definedName name="__lbc26" hidden="1">#REF!</definedName>
    <definedName name="__lbc27" hidden="1">#REF!</definedName>
    <definedName name="__lbc28" hidden="1">#REF!</definedName>
    <definedName name="__lbc29" hidden="1">#REF!</definedName>
    <definedName name="__lbc3" hidden="1">#REF!</definedName>
    <definedName name="__lbc31" hidden="1">#REF!</definedName>
    <definedName name="__lbc32" hidden="1">#REF!</definedName>
    <definedName name="__lbc4" hidden="1">#REF!</definedName>
    <definedName name="__lbc5" hidden="1">#REF!</definedName>
    <definedName name="__lbc6" hidden="1">#REF!</definedName>
    <definedName name="__lbc7" hidden="1">#REF!</definedName>
    <definedName name="__lbc8" hidden="1">#REF!</definedName>
    <definedName name="__lbc9" hidden="1">#REF!</definedName>
    <definedName name="__ld26" hidden="1">#REF!</definedName>
    <definedName name="__ld31" hidden="1">#REF!</definedName>
    <definedName name="__le31" hidden="1">#REF!</definedName>
    <definedName name="__lf31" hidden="1">#REF!</definedName>
    <definedName name="__PK2" hidden="1">{"'장비'!$A$3:$M$12"}</definedName>
    <definedName name="__PKG3" hidden="1">{"'장비'!$A$3:$M$12"}</definedName>
    <definedName name="__qqq222" hidden="1">{"'장비'!$A$3:$M$12"}</definedName>
    <definedName name="__QT100">#REF!</definedName>
    <definedName name="__QT2">#REF!</definedName>
    <definedName name="__QT3">#REF!</definedName>
    <definedName name="__QT4">#REF!</definedName>
    <definedName name="__QT50">#REF!</definedName>
    <definedName name="__QT75">#REF!</definedName>
    <definedName name="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x10" hidden="1">#REF!</definedName>
    <definedName name="__x11" hidden="1">#REF!</definedName>
    <definedName name="__x12" hidden="1">#REF!</definedName>
    <definedName name="__x13" hidden="1">#REF!</definedName>
    <definedName name="__x14" hidden="1">#REF!</definedName>
    <definedName name="__x15" hidden="1">#REF!</definedName>
    <definedName name="__x16" hidden="1">#REF!</definedName>
    <definedName name="__x17" hidden="1">#REF!</definedName>
    <definedName name="__x18" hidden="1">#REF!</definedName>
    <definedName name="__x19" hidden="1">#REF!</definedName>
    <definedName name="__x20" hidden="1">#REF!</definedName>
    <definedName name="__x21" hidden="1">#REF!</definedName>
    <definedName name="__x22" hidden="1">#REF!</definedName>
    <definedName name="__x23" hidden="1">#REF!</definedName>
    <definedName name="__x24" hidden="1">#REF!</definedName>
    <definedName name="__x25" hidden="1">#REF!</definedName>
    <definedName name="__x28" hidden="1">#REF!</definedName>
    <definedName name="__x29" hidden="1">#REF!</definedName>
    <definedName name="__x32" hidden="1">#REF!</definedName>
    <definedName name="__x4" hidden="1">#REF!</definedName>
    <definedName name="__x5" hidden="1">#REF!</definedName>
    <definedName name="__x6" hidden="1">#REF!</definedName>
    <definedName name="__x7" hidden="1">#REF!</definedName>
    <definedName name="__x8" hidden="1">#REF!</definedName>
    <definedName name="__x9" hidden="1">#REF!</definedName>
    <definedName name="_0.CURVA_OBRA">#REF!</definedName>
    <definedName name="_00.VAR._GASTO">#REF!</definedName>
    <definedName name="_000.CURVA_FINA">#REF!</definedName>
    <definedName name="_1">#REF!</definedName>
    <definedName name="_1__123Graph_ACHART_1" hidden="1">#REF!</definedName>
    <definedName name="_10__123Graph_CCHART_1" hidden="1">#REF!</definedName>
    <definedName name="_11.SERV.TECNIC">#REF!</definedName>
    <definedName name="_11__123Graph_DCHART_1" hidden="1">#REF!</definedName>
    <definedName name="_12.GAST_GERAIS">#REF!</definedName>
    <definedName name="_12__123Graph_XChart_1A" hidden="1">#REF!</definedName>
    <definedName name="_13.P._PERMAN.">#REF!</definedName>
    <definedName name="_15.IMPL._CANT">#REF!</definedName>
    <definedName name="_16.EQUIPAM.">#REF!</definedName>
    <definedName name="_17.OPER._CANT.">#REF!</definedName>
    <definedName name="_19.TRANC_LIMP.">#REF!</definedName>
    <definedName name="_1Dist_Val" hidden="1">#REF!</definedName>
    <definedName name="_2">#REF!</definedName>
    <definedName name="_2__123Graph_BCHART_1" hidden="1">#REF!</definedName>
    <definedName name="_25.PREP.TERREN">#REF!</definedName>
    <definedName name="_27.FUND._ESCOR">#REF!</definedName>
    <definedName name="_2F" hidden="1">#REF!</definedName>
    <definedName name="_3__123Graph_XCHART_1" hidden="1">#REF!</definedName>
    <definedName name="_31_32_33.C_A">#REF!</definedName>
    <definedName name="_41.ALVENARIA">#REF!</definedName>
    <definedName name="_47.IMP._ISOLA.">#REF!</definedName>
    <definedName name="_5__123Graph_ACHART_1" hidden="1">#REF!</definedName>
    <definedName name="_51.REV.ARGAMAS">#REF!</definedName>
    <definedName name="_52.REV.CERAM.I">#REF!</definedName>
    <definedName name="_53.REV.CERAM.E">#REF!</definedName>
    <definedName name="_54.TACOS_E_ASS">#REF!</definedName>
    <definedName name="_55.MARM._E_GRA">#REF!</definedName>
    <definedName name="_56.MARMORITE">#REF!</definedName>
    <definedName name="_59.OUTRS_REVES">#REF!</definedName>
    <definedName name="_6__123Graph_AChart_1A" hidden="1">#REF!</definedName>
    <definedName name="_61.ESQUAD._MAD">#REF!</definedName>
    <definedName name="_63.ESQUAD._ALU">#REF!</definedName>
    <definedName name="_65.ESQUAD._FER">#REF!</definedName>
    <definedName name="_67.VIDROS">#REF!</definedName>
    <definedName name="_7__123Graph_ACHART_2" hidden="1">#REF!</definedName>
    <definedName name="_71_73.I.ELET_H">#REF!</definedName>
    <definedName name="_77.OUTRAS_INST.">#REF!</definedName>
    <definedName name="_78.ELEVADORES">#REF!</definedName>
    <definedName name="_8__123Graph_BChart_1A" hidden="1">#REF!</definedName>
    <definedName name="_81.APAR._SANIT">#REF!</definedName>
    <definedName name="_83_85.PINT_LIM">#REF!</definedName>
    <definedName name="_9__123Graph_BCHART_2" hidden="1">#REF!</definedName>
    <definedName name="_ACR10">#REF!</definedName>
    <definedName name="_ACR15">#REF!</definedName>
    <definedName name="_acr20">#REF!</definedName>
    <definedName name="_acr5">#REF!</definedName>
    <definedName name="_AMO_UniqueIdentifier" hidden="1">"'54256040-62ff-475a-9348-dbdfce08df30'"</definedName>
    <definedName name="_ARQ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7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xe3">#REF!</definedName>
    <definedName name="_Axe4">#REF!</definedName>
    <definedName name="_Builtin13" hidden="1">#REF!</definedName>
    <definedName name="_CAB1">#REF!</definedName>
    <definedName name="_CAB2">#REF!</definedName>
    <definedName name="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 hidden="1">#REF!</definedName>
    <definedName name="_Dist_Values" hidden="1">#REF!</definedName>
    <definedName name="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Fill" hidden="1">#REF!</definedName>
    <definedName name="_fill1" hidden="1">#REF!</definedName>
    <definedName name="_FiltrarBancoDados2" hidden="1">#REF!</definedName>
    <definedName name="_xlnm._FilterDatabase" hidden="1">#REF!</definedName>
    <definedName name="_htm2">#REF!</definedName>
    <definedName name="_htn2">#REF!</definedName>
    <definedName name="_IA0542" hidden="1">{#N/A,#N/A,FALSE,"Plan1";#N/A,#N/A,FALSE,"Plan2"}</definedName>
    <definedName name="_iss2">#REF!</definedName>
    <definedName name="_IV65617">#REF!</definedName>
    <definedName name="_IV65999">#REF!</definedName>
    <definedName name="_IV66000">#REF!</definedName>
    <definedName name="_IV67021">#REF!</definedName>
    <definedName name="_IV67022">#REF!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l">#REF!</definedName>
    <definedName name="_la29" hidden="1">#REF!</definedName>
    <definedName name="_la3" hidden="1">#REF!</definedName>
    <definedName name="_la31" hidden="1">#REF!</definedName>
    <definedName name="_la32" hidden="1">#REF!</definedName>
    <definedName name="_la4" hidden="1">#REF!</definedName>
    <definedName name="_la5" hidden="1">#REF!</definedName>
    <definedName name="_la6" hidden="1">#REF!</definedName>
    <definedName name="_la7" hidden="1">#REF!</definedName>
    <definedName name="_la8" hidden="1">#REF!</definedName>
    <definedName name="_la9" hidden="1">#REF!</definedName>
    <definedName name="_lb1" hidden="1">#REF!</definedName>
    <definedName name="_lb10" hidden="1">#REF!</definedName>
    <definedName name="_lb11" hidden="1">#REF!</definedName>
    <definedName name="_lb12" hidden="1">#REF!</definedName>
    <definedName name="_lb13" hidden="1">#REF!</definedName>
    <definedName name="_lb14" hidden="1">#REF!</definedName>
    <definedName name="_lb15" hidden="1">#REF!</definedName>
    <definedName name="_lb16" hidden="1">#REF!</definedName>
    <definedName name="_lb17" hidden="1">#REF!</definedName>
    <definedName name="_lb18" hidden="1">#REF!</definedName>
    <definedName name="_lb19" hidden="1">#REF!</definedName>
    <definedName name="_lb2" hidden="1">#REF!</definedName>
    <definedName name="_lb20" hidden="1">#REF!</definedName>
    <definedName name="_lb21" hidden="1">#REF!</definedName>
    <definedName name="_lb22" hidden="1">#REF!</definedName>
    <definedName name="_lb23" hidden="1">#REF!</definedName>
    <definedName name="_lb24" hidden="1">#REF!</definedName>
    <definedName name="_lb25" hidden="1">#REF!</definedName>
    <definedName name="_lb27" hidden="1">#REF!</definedName>
    <definedName name="_lb28" hidden="1">#REF!</definedName>
    <definedName name="_lb29" hidden="1">#REF!</definedName>
    <definedName name="_lb3" hidden="1">#REF!</definedName>
    <definedName name="_lb30" hidden="1">#REF!</definedName>
    <definedName name="_lb31" hidden="1">#REF!</definedName>
    <definedName name="_lb32" hidden="1">#REF!</definedName>
    <definedName name="_lb4" hidden="1">#REF!</definedName>
    <definedName name="_lb5" hidden="1">#REF!</definedName>
    <definedName name="_lb6" hidden="1">#REF!</definedName>
    <definedName name="_lb7" hidden="1">#REF!</definedName>
    <definedName name="_lb8" hidden="1">#REF!</definedName>
    <definedName name="_lb9" hidden="1">#REF!</definedName>
    <definedName name="_lbc1" hidden="1">#REF!</definedName>
    <definedName name="_lbc10" hidden="1">#REF!</definedName>
    <definedName name="_lbc11" hidden="1">#REF!</definedName>
    <definedName name="_lbc12" hidden="1">#REF!</definedName>
    <definedName name="_lbc13" hidden="1">#REF!</definedName>
    <definedName name="_lbc14" hidden="1">#REF!</definedName>
    <definedName name="_lbc15" hidden="1">#REF!</definedName>
    <definedName name="_lbc16" hidden="1">#REF!</definedName>
    <definedName name="_lbc17" hidden="1">#REF!</definedName>
    <definedName name="_lbc18" hidden="1">#REF!</definedName>
    <definedName name="_lbc19" hidden="1">#REF!</definedName>
    <definedName name="_lbc2" hidden="1">#REF!</definedName>
    <definedName name="_lbc20" hidden="1">#REF!</definedName>
    <definedName name="_lbc21" hidden="1">#REF!</definedName>
    <definedName name="_lbc22" hidden="1">#REF!</definedName>
    <definedName name="_lbc23" hidden="1">#REF!</definedName>
    <definedName name="_lbc24" hidden="1">#REF!</definedName>
    <definedName name="_lbc25" hidden="1">#REF!</definedName>
    <definedName name="_lbc26" hidden="1">#REF!</definedName>
    <definedName name="_lbc27" hidden="1">#REF!</definedName>
    <definedName name="_lbc28" hidden="1">#REF!</definedName>
    <definedName name="_lbc29" hidden="1">#REF!</definedName>
    <definedName name="_lbc3" hidden="1">#REF!</definedName>
    <definedName name="_lbc31" hidden="1">#REF!</definedName>
    <definedName name="_lbc32" hidden="1">#REF!</definedName>
    <definedName name="_lbc4" hidden="1">#REF!</definedName>
    <definedName name="_lbc5" hidden="1">#REF!</definedName>
    <definedName name="_lbc6" hidden="1">#REF!</definedName>
    <definedName name="_lbc7" hidden="1">#REF!</definedName>
    <definedName name="_lbc8" hidden="1">#REF!</definedName>
    <definedName name="_lbc9" hidden="1">#REF!</definedName>
    <definedName name="_ld26" hidden="1">#REF!</definedName>
    <definedName name="_ld31" hidden="1">#REF!</definedName>
    <definedName name="_le31" hidden="1">#REF!</definedName>
    <definedName name="_lf31" hidden="1">#REF!</definedName>
    <definedName name="_MatInverse_In" hidden="1">#REF!</definedName>
    <definedName name="_MatMult_A" hidden="1">#REF!</definedName>
    <definedName name="_MatMult_AxB" hidden="1">#REF!</definedName>
    <definedName name="_MatMult_B" hidden="1">#REF!</definedName>
    <definedName name="_new11" hidden="1">{#N/A,#N/A,FALSE,"Global by BU";#N/A,#N/A,FALSE,"U.S. by BU";#N/A,#N/A,FALSE,"Canada by BU";#N/A,#N/A,FALSE,"Europe by BU";#N/A,#N/A,FALSE,"Asia by BU";#N/A,#N/A,FALSE,"Cala by BU"}</definedName>
    <definedName name="_Order1" hidden="1">0</definedName>
    <definedName name="_Order2" hidden="1">255</definedName>
    <definedName name="_Parse_Out" hidden="1">#REF!</definedName>
    <definedName name="_PAV01">#REF!</definedName>
    <definedName name="_PAV02">#REF!</definedName>
    <definedName name="_PAV03">#REF!</definedName>
    <definedName name="_PAV04">#REF!</definedName>
    <definedName name="_PAV05">#REF!</definedName>
    <definedName name="_PAV06">#REF!</definedName>
    <definedName name="_PAV07">#REF!</definedName>
    <definedName name="_PAV08">#REF!</definedName>
    <definedName name="_PAV09">#REF!</definedName>
    <definedName name="_PAV10">#REF!</definedName>
    <definedName name="_PAV11">#REF!</definedName>
    <definedName name="_PK2" hidden="1">{"'장비'!$A$3:$M$12"}</definedName>
    <definedName name="_PKG3" hidden="1">{"'장비'!$A$3:$M$12"}</definedName>
    <definedName name="_qqq222" hidden="1">{"'장비'!$A$3:$M$12"}</definedName>
    <definedName name="_QT100">#REF!</definedName>
    <definedName name="_QT2">#REF!</definedName>
    <definedName name="_QT3">#REF!</definedName>
    <definedName name="_QT4">#REF!</definedName>
    <definedName name="_QT50">#REF!</definedName>
    <definedName name="_QT75">#REF!</definedName>
    <definedName name="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fe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 hidden="1">#REF!</definedName>
    <definedName name="_T">#REF!</definedName>
    <definedName name="_Table1_In1" hidden="1">#REF!</definedName>
    <definedName name="_Table1_Out" hidden="1">#REF!</definedName>
    <definedName name="_wer3" hidden="1">{#N/A,#N/A,FALSE,"Plan1";#N/A,#N/A,FALSE,"Plan2"}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 hidden="1">#REF!</definedName>
    <definedName name="_x11" hidden="1">#REF!</definedName>
    <definedName name="_x12" hidden="1">#REF!</definedName>
    <definedName name="_x13" hidden="1">#REF!</definedName>
    <definedName name="_x14" hidden="1">#REF!</definedName>
    <definedName name="_x15" hidden="1">#REF!</definedName>
    <definedName name="_x16" hidden="1">#REF!</definedName>
    <definedName name="_x17" hidden="1">#REF!</definedName>
    <definedName name="_x18" hidden="1">#REF!</definedName>
    <definedName name="_x19" hidden="1">#REF!</definedName>
    <definedName name="_x20" hidden="1">#REF!</definedName>
    <definedName name="_x21" hidden="1">#REF!</definedName>
    <definedName name="_x22" hidden="1">#REF!</definedName>
    <definedName name="_x23" hidden="1">#REF!</definedName>
    <definedName name="_x24" hidden="1">#REF!</definedName>
    <definedName name="_x25" hidden="1">#REF!</definedName>
    <definedName name="_x28" hidden="1">#REF!</definedName>
    <definedName name="_x29" hidden="1">#REF!</definedName>
    <definedName name="_x32" hidden="1">#REF!</definedName>
    <definedName name="_x4" hidden="1">#REF!</definedName>
    <definedName name="_x5" hidden="1">#REF!</definedName>
    <definedName name="_x6" hidden="1">#REF!</definedName>
    <definedName name="_x7" hidden="1">#REF!</definedName>
    <definedName name="_x8" hidden="1">#REF!</definedName>
    <definedName name="_x9" hidden="1">#REF!</definedName>
    <definedName name="_xlcn.WorksheetConnection_2018_03ResumoRGOObrasRJ.xlsbTabela1" hidden="1">#REF!</definedName>
    <definedName name="_xlcn.WorksheetConnection_ProjetocontrolefisicoefinanceiroRJ.xlsxTabela31" hidden="1">#REF!</definedName>
    <definedName name="´cAE°eE¹" hidden="1">#REF!</definedName>
    <definedName name="￠￥cAE¡ÆeEⓒo" hidden="1">#REF!</definedName>
    <definedName name="a">#REF!</definedName>
    <definedName name="a\sgt" hidden="1">{#N/A,#N/A,FALSE,"Plan1";#N/A,#N/A,FALSE,"Plan2"}</definedName>
    <definedName name="aa">#REF!</definedName>
    <definedName name="aaa">#REF!</definedName>
    <definedName name="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dc">#REF!</definedName>
    <definedName name="aaacccc" hidden="1">{#N/A,#N/A,FALSE,"Plan1";#N/A,#N/A,FALSE,"Plan2"}</definedName>
    <definedName name="aaas">#REF!</definedName>
    <definedName name="AB">#REF!</definedName>
    <definedName name="Abat_ISS">#REF!</definedName>
    <definedName name="ab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D" hidden="1">#REF!</definedName>
    <definedName name="abebqt">#REF!</definedName>
    <definedName name="abr17RJ">#REF!</definedName>
    <definedName name="ABRIL">#REF!</definedName>
    <definedName name="ABRIL2001">#REF!</definedName>
    <definedName name="ac" hidden="1">#REF!</definedName>
    <definedName name="Acabam.">#REF!</definedName>
    <definedName name="ACADUC">#REF!</definedName>
    <definedName name="ACBEB">#REF!</definedName>
    <definedName name="ACBOMB">#REF!</definedName>
    <definedName name="AccessDatabase" hidden="1">"C:\posec\DATABASE\vlv_list\vlvlist1.mdb"</definedName>
    <definedName name="ACCHAF">#REF!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db" hidden="1">#REF!</definedName>
    <definedName name="ACDER">#REF!</definedName>
    <definedName name="ACDIV">#REF!</definedName>
    <definedName name="ACDS" hidden="1">#REF!</definedName>
    <definedName name="ACEQP">#REF!</definedName>
    <definedName name="ACHAFQT">#REF!</definedName>
    <definedName name="achar18" hidden="1">#REF!</definedName>
    <definedName name="achar19" hidden="1">#REF!</definedName>
    <definedName name="achart1" hidden="1">#REF!</definedName>
    <definedName name="achart10" hidden="1">#REF!</definedName>
    <definedName name="achart11" hidden="1">#REF!</definedName>
    <definedName name="achart12" hidden="1">#REF!</definedName>
    <definedName name="achart13" hidden="1">#REF!</definedName>
    <definedName name="achart14" hidden="1">#REF!</definedName>
    <definedName name="achart15" hidden="1">#REF!</definedName>
    <definedName name="achart16" hidden="1">#REF!</definedName>
    <definedName name="achart17" hidden="1">#REF!</definedName>
    <definedName name="achart2" hidden="1">#REF!</definedName>
    <definedName name="achart20" hidden="1">#REF!</definedName>
    <definedName name="achart21" hidden="1">#REF!</definedName>
    <definedName name="achart22" hidden="1">#REF!</definedName>
    <definedName name="achart23" hidden="1">#REF!</definedName>
    <definedName name="achart24" hidden="1">#REF!</definedName>
    <definedName name="achart25" hidden="1">#REF!</definedName>
    <definedName name="achart26" hidden="1">#REF!</definedName>
    <definedName name="achart27" hidden="1">#REF!</definedName>
    <definedName name="achart28" hidden="1">#REF!</definedName>
    <definedName name="achart29" hidden="1">#REF!</definedName>
    <definedName name="achart3" hidden="1">#REF!</definedName>
    <definedName name="achart30" hidden="1">#REF!</definedName>
    <definedName name="achart31" hidden="1">#REF!</definedName>
    <definedName name="achart32" hidden="1">#REF!</definedName>
    <definedName name="achart4" hidden="1">#REF!</definedName>
    <definedName name="achart5" hidden="1">#REF!</definedName>
    <definedName name="achart6" hidden="1">#REF!</definedName>
    <definedName name="achart7" hidden="1">#REF!</definedName>
    <definedName name="achart8" hidden="1">#REF!</definedName>
    <definedName name="achart9" hidden="1">#REF!</definedName>
    <definedName name="ACMUR">#REF!</definedName>
    <definedName name="açoeeer" hidden="1">{#N/A,#N/A,FALSE,"Plan1";#N/A,#N/A,FALSE,"Plan2"}</definedName>
    <definedName name="ACOMP">#REF!</definedName>
    <definedName name="ACONT2">#REF!</definedName>
    <definedName name="ACPIPA">#REF!</definedName>
    <definedName name="ACTRANSP">#REF!</definedName>
    <definedName name="ACwvu.Características." hidden="1">#REF!</definedName>
    <definedName name="ACwvu.Ciclos." hidden="1">#REF!</definedName>
    <definedName name="ACwvu.Custos." hidden="1">#REF!</definedName>
    <definedName name="ACwvu.PLANILHA2." hidden="1">#REF!</definedName>
    <definedName name="ACwvu.Recursos." hidden="1">#REF!</definedName>
    <definedName name="ad" hidden="1">{#N/A,#N/A,FALSE,"Plan1";#N/A,#N/A,FALSE,"Plan2"}</definedName>
    <definedName name="adads" hidden="1">{#N/A,#N/A,FALSE,"Plan1";#N/A,#N/A,FALSE,"Plan2"}</definedName>
    <definedName name="adads2" hidden="1">{#N/A,#N/A,FALSE,"Plan1";#N/A,#N/A,FALSE,"Plan2"}</definedName>
    <definedName name="adced" hidden="1">{#N/A,#N/A,FALSE,"Plan1";#N/A,#N/A,FALSE,"Plan2"}</definedName>
    <definedName name="adced2" hidden="1">{#N/A,#N/A,FALSE,"Plan1";#N/A,#N/A,FALSE,"Plan2"}</definedName>
    <definedName name="ader" hidden="1">{#N/A,#N/A,FALSE,"Plan1";#N/A,#N/A,FALSE,"Plan2"}</definedName>
    <definedName name="ader2" hidden="1">{#N/A,#N/A,FALSE,"Plan1";#N/A,#N/A,FALSE,"Plan2"}</definedName>
    <definedName name="adesr" hidden="1">{#N/A,#N/A,FALSE,"Plan1";#N/A,#N/A,FALSE,"Plan2"}</definedName>
    <definedName name="adew" hidden="1">"3ORZTPXRHBU97C8AJ5UM8CAVA"</definedName>
    <definedName name="adewr" hidden="1">{#N/A,#N/A,FALSE,"Plan1";#N/A,#N/A,FALSE,"Plan2"}</definedName>
    <definedName name="adf" hidden="1">{#N/A,#N/A,FALSE,"Plan1";#N/A,#N/A,FALSE,"Plan2"}</definedName>
    <definedName name="ADITIVO_BRUTO">#REF!</definedName>
    <definedName name="ADITIVO_LIQUIDO">#REF!</definedName>
    <definedName name="ADM.EXTERNA">#REF!</definedName>
    <definedName name="adsfr" hidden="1">{#N/A,#N/A,FALSE,"Plan1";#N/A,#N/A,FALSE,"Plan2"}</definedName>
    <definedName name="adssrgtg" hidden="1">{#N/A,#N/A,FALSE,"Plan1";#N/A,#N/A,FALSE,"Plan2"}</definedName>
    <definedName name="adtsetrr6t" hidden="1">{#N/A,#N/A,FALSE,"Plan1";#N/A,#N/A,FALSE,"Plan2"}</definedName>
    <definedName name="ADUCQT">#REF!</definedName>
    <definedName name="adwr" hidden="1">{#N/A,#N/A,FALSE,"Plan1";#N/A,#N/A,FALSE,"Plan2"}</definedName>
    <definedName name="aeiresft" hidden="1">{#N/A,#N/A,FALSE,"Plan1";#N/A,#N/A,FALSE,"Plan2"}</definedName>
    <definedName name="aEL3QE" hidden="1">{#N/A,#N/A,FALSE,"Plan1";#N/A,#N/A,FALSE,"Plan2"}</definedName>
    <definedName name="afeasfre" hidden="1">{#N/A,#N/A,FALSE,"Plan1";#N/A,#N/A,FALSE,"Plan2"}</definedName>
    <definedName name="agdsf" hidden="1">#REF!</definedName>
    <definedName name="ago17RJ">#REF!</definedName>
    <definedName name="AGOSTO">#REF!</definedName>
    <definedName name="agu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 hidden="1">{#N/A,#N/A,FALSE,"CCTV"}</definedName>
    <definedName name="AITEM">#REF!</definedName>
    <definedName name="Ajudante_Geral">#REF!</definedName>
    <definedName name="ajudante_mes">#REF!</definedName>
    <definedName name="AL">#REF!</definedName>
    <definedName name="ALTADUC">#REF!</definedName>
    <definedName name="ALTBOMB">#REF!</definedName>
    <definedName name="ALTCAP">#REF!</definedName>
    <definedName name="ALTDER">#REF!</definedName>
    <definedName name="ALTEQUIP">#REF!</definedName>
    <definedName name="ALTIEQP">#REF!</definedName>
    <definedName name="ALTMUR">#REF!</definedName>
    <definedName name="ALTRES10">#REF!</definedName>
    <definedName name="ALTRES15">#REF!</definedName>
    <definedName name="ALTRES20">#REF!</definedName>
    <definedName name="ALTTRANS">#REF!</definedName>
    <definedName name="ALUMÍNIO_2">#REF!</definedName>
    <definedName name="angelo">#REF!</definedName>
    <definedName name="anscount" hidden="1">3</definedName>
    <definedName name="AQE" hidden="1">{"'장비'!$A$3:$M$12"}</definedName>
    <definedName name="AQTEMP1">#REF!</definedName>
    <definedName name="AQTEMP2">#REF!</definedName>
    <definedName name="ArComprimido" hidden="1">{"'Estimativa de Lançamento-JAN'!$A$1:$AI$85"}</definedName>
    <definedName name="area" hidden="1">{#N/A,#N/A,FALSE,"Plan1";#N/A,#N/A,FALSE,"Plan2"}</definedName>
    <definedName name="área">#REF!</definedName>
    <definedName name="_xlnm.Print_Area">#REF!</definedName>
    <definedName name="Área_impressão_IM">#REF!</definedName>
    <definedName name="area1">#REF!</definedName>
    <definedName name="Areaimpresso">#REF!</definedName>
    <definedName name="ARM">#REF!</definedName>
    <definedName name="ARMABLOCOS">#REF!</definedName>
    <definedName name="ARMAÇÃO">#REF!</definedName>
    <definedName name="ARQ">#REF!</definedName>
    <definedName name="ARQERR">#REF!</definedName>
    <definedName name="ARQPLAN">#REF!</definedName>
    <definedName name="ARQT">#REF!</definedName>
    <definedName name="ARQTEMP">#REF!</definedName>
    <definedName name="ARQTXT">#REF!</definedName>
    <definedName name="ARTEMP">#REF!</definedName>
    <definedName name="AS">#REF!</definedName>
    <definedName name="AS2DocOpenMode" hidden="1">"AS2DocumentBrowse"</definedName>
    <definedName name="asawe3" hidden="1">{#N/A,#N/A,FALSE,"Plan1";#N/A,#N/A,FALSE,"Plan2"}</definedName>
    <definedName name="ASD" hidden="1">17</definedName>
    <definedName name="ASDA" hidden="1">{#N/A,#N/A,FALSE,"Plan1";#N/A,#N/A,FALSE,"Plan2"}</definedName>
    <definedName name="asdade" hidden="1">{#N/A,#N/A,FALSE,"Plan1";#N/A,#N/A,FALSE,"Plan2"}</definedName>
    <definedName name="asdas" hidden="1">{#N/A,#N/A,FALSE,"Plan1";#N/A,#N/A,FALSE,"Plan2"}</definedName>
    <definedName name="asdawed" hidden="1">{#N/A,#N/A,FALSE,"Plan1";#N/A,#N/A,FALSE,"Plan2"}</definedName>
    <definedName name="ASDER" hidden="1">{#N/A,#N/A,FALSE,"Plan1";#N/A,#N/A,FALSE,"Plan2"}</definedName>
    <definedName name="asderr" hidden="1">{#N/A,#N/A,FALSE,"Plan1";#N/A,#N/A,FALSE,"Plan2"}</definedName>
    <definedName name="asdesre" hidden="1">{#N/A,#N/A,FALSE,"Plan1";#N/A,#N/A,FALSE,"Plan2"}</definedName>
    <definedName name="asdewr" hidden="1">{#N/A,#N/A,FALSE,"Plan1";#N/A,#N/A,FALSE,"Plan2"}</definedName>
    <definedName name="ASDFASDF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 hidden="1">{#N/A,#N/A,FALSE,"Plan1";#N/A,#N/A,FALSE,"Plan2"}</definedName>
    <definedName name="asdg" hidden="1">{#N/A,#N/A,FALSE,"Plan1";#N/A,#N/A,FALSE,"Plan2"}</definedName>
    <definedName name="asdjksej" hidden="1">#REF!</definedName>
    <definedName name="as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 hidden="1">{#N/A,#N/A,FALSE,"Plan1";#N/A,#N/A,FALSE,"Plan2"}</definedName>
    <definedName name="asdqwe" hidden="1">{#N/A,#N/A,FALSE,"Plan1";#N/A,#N/A,FALSE,"Plan2"}</definedName>
    <definedName name="asdsa" hidden="1">{#N/A,#N/A,FALSE,"Plan1";#N/A,#N/A,FALSE,"Plan2"}</definedName>
    <definedName name="asdser" hidden="1">{#N/A,#N/A,FALSE,"Plan1";#N/A,#N/A,FALSE,"Plan2"}</definedName>
    <definedName name="asdwef" hidden="1">{#N/A,#N/A,FALSE,"Plan1";#N/A,#N/A,FALSE,"Plan2"}</definedName>
    <definedName name="aseiuw" hidden="1">#REF!</definedName>
    <definedName name="ASET" hidden="1">{#N/A,#N/A,FALSE,"Plan1";#N/A,#N/A,FALSE,"Plan2"}</definedName>
    <definedName name="asfDSF" hidden="1">{#N/A,#N/A,FALSE,"Plan1";#N/A,#N/A,FALSE,"Plan2"}</definedName>
    <definedName name="ASFERTE" hidden="1">{#N/A,#N/A,FALSE,"Plan1";#N/A,#N/A,FALSE,"Plan2"}</definedName>
    <definedName name="asfl" hidden="1">{#N/A,#N/A,FALSE,"Plan1";#N/A,#N/A,FALSE,"Plan2"}</definedName>
    <definedName name="asfsz" hidden="1">{#N/A,#N/A,FALSE,"Plan1";#N/A,#N/A,FALSE,"Plan2"}</definedName>
    <definedName name="askserf" hidden="1">{#N/A,#N/A,FALSE,"Plan1";#N/A,#N/A,FALSE,"Plan2"}</definedName>
    <definedName name="ASSFSDF" hidden="1">{#N/A,#N/A,FALSE,"Plan1";#N/A,#N/A,FALSE,"Plan2"}</definedName>
    <definedName name="asw" hidden="1">{#N/A,#N/A,FALSE,"Plan1";#N/A,#N/A,FALSE,"Plan2"}</definedName>
    <definedName name="Até_Chaves">#REF!</definedName>
    <definedName name="ATIVOS" hidden="1">{#N/A,#N/A,FALSE,"F-01"}</definedName>
    <definedName name="Ato">#REF!</definedName>
    <definedName name="ATUAL">#REF!</definedName>
    <definedName name="aux">#REF!</definedName>
    <definedName name="AUXILIO">#REF!</definedName>
    <definedName name="avulsos">#REF!</definedName>
    <definedName name="awdjw" hidden="1">{#N/A,#N/A,FALSE,"Plan1";#N/A,#N/A,FALSE,"Plan2"}</definedName>
    <definedName name="aweqw4" hidden="1">{#N/A,#N/A,FALSE,"Plan1";#N/A,#N/A,FALSE,"Plan2"}</definedName>
    <definedName name="awssdwaer" hidden="1">{#N/A,#N/A,FALSE,"Plan1";#N/A,#N/A,FALSE,"Plan2"}</definedName>
    <definedName name="AZ" hidden="1">#REF!</definedName>
    <definedName name="B">#REF!</definedName>
    <definedName name="BA">#REF!</definedName>
    <definedName name="balão1">"AutoForma 17"</definedName>
    <definedName name="BANCO">#REF!</definedName>
    <definedName name="Banco_dados_IM">#REF!</definedName>
    <definedName name="_xlnm.Database">#REF!</definedName>
    <definedName name="BANCO1">#REF!</definedName>
    <definedName name="BANCO2">#REF!</definedName>
    <definedName name="BANCO3">#REF!</definedName>
    <definedName name="BANCO4">#REF!</definedName>
    <definedName name="BASE">OFFSET(#REF!,0,0,COUNTA(#REF!)+1,5)</definedName>
    <definedName name="BASE_DE_DADOS_FLUXO_DE_CAIXA">OFFSET(#REF!,0,0,COUNTA(#REF!),COUNTA(#REF!))</definedName>
    <definedName name="BASE_FL_CX_3S">OFFSET(#REF!,0,0,COUNTA(#REF!),COUNTA(#REF!))</definedName>
    <definedName name="BASE_FLUXO_CAIXA_2017">OFFSET(#REF!,0,0,COUNTA(#REF!),COUNTA(#REF!))</definedName>
    <definedName name="bb">#REF!</definedName>
    <definedName name="bbb">#REF!</definedName>
    <definedName name="bbbbbbbbbbbbbbb" hidden="1">{"'Edit'!$A$1:$V$2277"}</definedName>
    <definedName name="bchar10" hidden="1">#REF!</definedName>
    <definedName name="bchart1" hidden="1">#REF!</definedName>
    <definedName name="bchart11" hidden="1">#REF!</definedName>
    <definedName name="bchart12" hidden="1">#REF!</definedName>
    <definedName name="bchart13" hidden="1">#REF!</definedName>
    <definedName name="bchart14" hidden="1">#REF!</definedName>
    <definedName name="bchart15" hidden="1">#REF!</definedName>
    <definedName name="bchart16" hidden="1">#REF!</definedName>
    <definedName name="bchart17" hidden="1">#REF!</definedName>
    <definedName name="bchart18" hidden="1">#REF!</definedName>
    <definedName name="bchart19" hidden="1">#REF!</definedName>
    <definedName name="bchart2" hidden="1">#REF!</definedName>
    <definedName name="bchart20" hidden="1">#REF!</definedName>
    <definedName name="bchart21" hidden="1">#REF!</definedName>
    <definedName name="bchart22" hidden="1">#REF!</definedName>
    <definedName name="bchart23" hidden="1">#REF!</definedName>
    <definedName name="bchart24" hidden="1">#REF!</definedName>
    <definedName name="bchart25" hidden="1">#REF!</definedName>
    <definedName name="bchart26" hidden="1">#REF!</definedName>
    <definedName name="bchart27" hidden="1">#REF!</definedName>
    <definedName name="bchart28" hidden="1">#REF!</definedName>
    <definedName name="bchart29" hidden="1">#REF!</definedName>
    <definedName name="bchart3" hidden="1">#REF!</definedName>
    <definedName name="bchart30" hidden="1">#REF!</definedName>
    <definedName name="bchart31" hidden="1">#REF!</definedName>
    <definedName name="bchart32" hidden="1">#REF!</definedName>
    <definedName name="bchart4" hidden="1">#REF!</definedName>
    <definedName name="bchart5" hidden="1">#REF!</definedName>
    <definedName name="bchart6" hidden="1">#REF!</definedName>
    <definedName name="bchart7" hidden="1">#REF!</definedName>
    <definedName name="bchart8" hidden="1">#REF!</definedName>
    <definedName name="bchart9" hidden="1">#REF!</definedName>
    <definedName name="BD">#REF!</definedName>
    <definedName name="BDA">#REF!</definedName>
    <definedName name="bdfjghf" hidden="1">{#N/A,#N/A,FALSE,"Plan1";#N/A,#N/A,FALSE,"Plan2"}</definedName>
    <definedName name="BDI">1.43344312465585</definedName>
    <definedName name="bdzbfbdr" hidden="1">{#N/A,#N/A,FALSE,"Plan1";#N/A,#N/A,FALSE,"Plan2"}</definedName>
    <definedName name="be">#REF!</definedName>
    <definedName name="bebqt">#REF!</definedName>
    <definedName name="bela_cdi">#REF!</definedName>
    <definedName name="bela_hist">#REF!</definedName>
    <definedName name="bela_uss">#REF!</definedName>
    <definedName name="bg" hidden="1">#REF!</definedName>
    <definedName name="BGG" hidden="1">{#N/A,#N/A,FALSE,"Plan1";#N/A,#N/A,FALSE,"Plan2"}</definedName>
    <definedName name="bhjgfhfh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 hidden="1">{#N/A,#N/A,FALSE,"Plan1";#N/A,#N/A,FALSE,"Plan2"}</definedName>
    <definedName name="bloco">#REF!</definedName>
    <definedName name="BLPH1" hidden="1">#REF!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7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mdgghrtfde" hidden="1">{#N/A,#N/A,FALSE,"Plan1";#N/A,#N/A,FALSE,"Plan2"}</definedName>
    <definedName name="bnkjhjhdfxgt" hidden="1">{#N/A,#N/A,FALSE,"Plan1";#N/A,#N/A,FALSE,"Plan2"}</definedName>
    <definedName name="BORBA2">#REF!</definedName>
    <definedName name="BORDA1">#N/A</definedName>
    <definedName name="BuiltIn_Print_Area">#REF!</definedName>
    <definedName name="BuiltIn_Print_Area___0">#REF!</definedName>
    <definedName name="BuiltIn_Print_Titles">#REF!</definedName>
    <definedName name="BuiltIn_Print_Titles___0">#REF!</definedName>
    <definedName name="BV" hidden="1">#REF!</definedName>
    <definedName name="bxnzfmkzxbhdf" hidden="1">{#N/A,#N/A,FALSE,"Plan1";#N/A,#N/A,FALSE,"Plan2"}</definedName>
    <definedName name="ca">#REF!</definedName>
    <definedName name="CAB">#N/A</definedName>
    <definedName name="CAFS">"Carlos Antonio Fernandes da Silva"</definedName>
    <definedName name="CAGR">#REF!</definedName>
    <definedName name="caixa">#REF!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bio">#REF!</definedName>
    <definedName name="CAMP">#REF!</definedName>
    <definedName name="CAMPOS">#REF!</definedName>
    <definedName name="çaos\ewapo" hidden="1">{#N/A,#N/A,FALSE,"Plan1";#N/A,#N/A,FALSE,"Plan2"}</definedName>
    <definedName name="Capa">#REF!</definedName>
    <definedName name="CAPA2">#REF!</definedName>
    <definedName name="CAPA55">#REF!</definedName>
    <definedName name="CAPA55A">#REF!</definedName>
    <definedName name="CAPELA">#REF!</definedName>
    <definedName name="CARLA" hidden="1">#REF!</definedName>
    <definedName name="CARLOS1">#REF!</definedName>
    <definedName name="CARTÃO4">#REF!</definedName>
    <definedName name="CAT6_IP" hidden="1">{#N/A,#N/A,FALSE,"F-01"}</definedName>
    <definedName name="categori45">#REF!</definedName>
    <definedName name="CATEGORIA1">#REF!</definedName>
    <definedName name="CATEGORIA10">#REF!</definedName>
    <definedName name="CATEGORIA11">#REF!</definedName>
    <definedName name="CATEGORIA12">#REF!</definedName>
    <definedName name="CATEGORIA13">#REF!</definedName>
    <definedName name="CATEGORIA14">#REF!</definedName>
    <definedName name="CATEGORIA15">#REF!</definedName>
    <definedName name="CATEGORIA16">#REF!</definedName>
    <definedName name="CATEGORIA17">#REF!</definedName>
    <definedName name="CATEGORIA18">#REF!</definedName>
    <definedName name="CATEGORIA19">#REF!</definedName>
    <definedName name="CATEGORIA2">#REF!</definedName>
    <definedName name="CATEGORIA20">#REF!</definedName>
    <definedName name="CATEGORIA21">#REF!</definedName>
    <definedName name="CATEGORIA22">#REF!</definedName>
    <definedName name="CATEGORIA3">#REF!</definedName>
    <definedName name="CATEGORIA4">#REF!</definedName>
    <definedName name="CATEGORIA5">#REF!</definedName>
    <definedName name="CATEGORIA6">#REF!</definedName>
    <definedName name="CATEGORIA7">#REF!</definedName>
    <definedName name="CATEGORIA8">#REF!</definedName>
    <definedName name="CATEGORIA9">#REF!</definedName>
    <definedName name="CATORZE">#REF!</definedName>
    <definedName name="CAUX2">OFFSET(#REF!,0,0,COUNTA(#REF!)+1,1)</definedName>
    <definedName name="CAUX3">OFFSET(#REF!,0,0,COUNTA(#REF!)+1,1)</definedName>
    <definedName name="CCC">#REF!</definedName>
    <definedName name="ççç" hidden="1">{#N/A,#N/A,FALSE,"Plan1";#N/A,#N/A,FALSE,"Plan2"}</definedName>
    <definedName name="cccc" hidden="1">{#N/A,#N/A,FALSE,"Plan1";#N/A,#N/A,FALSE,"Plan2"}</definedName>
    <definedName name="ççççççç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 hidden="1">{"HW",#N/A,FALSE,"1998"}</definedName>
    <definedName name="cchart1" hidden="1">#REF!</definedName>
    <definedName name="cchart10" hidden="1">#REF!</definedName>
    <definedName name="cchart11" hidden="1">#REF!</definedName>
    <definedName name="cchart12" hidden="1">#REF!</definedName>
    <definedName name="cchart13" hidden="1">#REF!</definedName>
    <definedName name="cchart14" hidden="1">#REF!</definedName>
    <definedName name="cchart15" hidden="1">#REF!</definedName>
    <definedName name="cchart16" hidden="1">#REF!</definedName>
    <definedName name="cchart17" hidden="1">#REF!</definedName>
    <definedName name="cchart18" hidden="1">#REF!</definedName>
    <definedName name="cchart19" hidden="1">#REF!</definedName>
    <definedName name="cchart2" hidden="1">#REF!</definedName>
    <definedName name="cchart20" hidden="1">#REF!</definedName>
    <definedName name="cchart21" hidden="1">#REF!</definedName>
    <definedName name="cchart22" hidden="1">#REF!</definedName>
    <definedName name="cchart23" hidden="1">#REF!</definedName>
    <definedName name="cchart24" hidden="1">#REF!</definedName>
    <definedName name="cchart25" hidden="1">#REF!</definedName>
    <definedName name="cchart26" hidden="1">#REF!</definedName>
    <definedName name="cchart27" hidden="1">#REF!</definedName>
    <definedName name="cchart28" hidden="1">#REF!</definedName>
    <definedName name="cchart29" hidden="1">#REF!</definedName>
    <definedName name="cchart3" hidden="1">#REF!</definedName>
    <definedName name="cchart31" hidden="1">#REF!</definedName>
    <definedName name="cchart32" hidden="1">#REF!</definedName>
    <definedName name="cchart4" hidden="1">#REF!</definedName>
    <definedName name="cchart5" hidden="1">#REF!</definedName>
    <definedName name="cchart6" hidden="1">#REF!</definedName>
    <definedName name="cchart7" hidden="1">#REF!</definedName>
    <definedName name="cchart8" hidden="1">#REF!</definedName>
    <definedName name="cchart9" hidden="1">#REF!</definedName>
    <definedName name="çcklfj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D">#REF!</definedName>
    <definedName name="çdfmerf" hidden="1">{#N/A,#N/A,FALSE,"Plan1";#N/A,#N/A,FALSE,"Plan2"}</definedName>
    <definedName name="CDSGHE" hidden="1">{#N/A,#N/A,FALSE,"Plan1";#N/A,#N/A,FALSE,"Plan2"}</definedName>
    <definedName name="cdvthd">#REF!</definedName>
    <definedName name="Cel_Constr">#REF!</definedName>
    <definedName name="CestaExcel">#REF!</definedName>
    <definedName name="CevaG">#REF!</definedName>
    <definedName name="CevaGS">#REF!</definedName>
    <definedName name="çfhjglkjhkljy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 hidden="1">{#N/A,#N/A,FALSE,"Plan1";#N/A,#N/A,FALSE,"Plan2"}</definedName>
    <definedName name="CHAFQT">#REF!</definedName>
    <definedName name="Chaves">#REF!</definedName>
    <definedName name="chfch" hidden="1">{#N/A,#N/A,FALSE,"Plan1";#N/A,#N/A,FALSE,"Plan2"}</definedName>
    <definedName name="CI">#REF!</definedName>
    <definedName name="cidades">#REF!</definedName>
    <definedName name="CIFIXA">#REF!</definedName>
    <definedName name="CINCO">#REF!</definedName>
    <definedName name="CITOTAL">#REF!</definedName>
    <definedName name="CIVAR">#REF!</definedName>
    <definedName name="ÇJKRÇLFS" hidden="1">{"Econ Consolidado",#N/A,FALSE,"Econ Consol";"Fluxo de Caixa",#N/A,FALSE,"Fluxo Caixa";"Investimentos",#N/A,FALSE,"Investimentos"}</definedName>
    <definedName name="ÇJsrejtçe" hidden="1">{#N/A,#N/A,FALSE,"Plan1";#N/A,#N/A,FALSE,"Plan2"}</definedName>
    <definedName name="çkaçekow" hidden="1">{#N/A,#N/A,FALSE,"Plan1";#N/A,#N/A,FALSE,"Plan2"}</definedName>
    <definedName name="ÇKSDOEKR" hidden="1">{#N/A,#N/A,FALSE,"Plan1";#N/A,#N/A,FALSE,"Plan2"}</definedName>
    <definedName name="çl" hidden="1">{#N/A,#N/A,FALSE,"Plan1";#N/A,#N/A,FALSE,"Plan2"}</definedName>
    <definedName name="çlassde" hidden="1">{#N/A,#N/A,FALSE,"Plan1";#N/A,#N/A,FALSE,"Plan2"}</definedName>
    <definedName name="Classificação">#REF!</definedName>
    <definedName name="çlçlç" hidden="1">{#N/A,#N/A,FALSE,"Plan1";#N/A,#N/A,FALSE,"Plan2"}</definedName>
    <definedName name="çld" hidden="1">{#N/A,#N/A,FALSE,"Plan1";#N/A,#N/A,FALSE,"Plan2"}</definedName>
    <definedName name="çlererr" hidden="1">{#N/A,#N/A,FALSE,"Plan1";#N/A,#N/A,FALSE,"Plan2"}</definedName>
    <definedName name="çlertert" hidden="1">{#N/A,#N/A,FALSE,"Plan1";#N/A,#N/A,FALSE,"Plan2"}</definedName>
    <definedName name="çlkdflçkrlr" hidden="1">#REF!</definedName>
    <definedName name="çll" hidden="1">{#N/A,#N/A,FALSE,"Plan1";#N/A,#N/A,FALSE,"Plan2"}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BRANÇA">#REF!</definedName>
    <definedName name="Cod_Esquadrias">#REF!</definedName>
    <definedName name="CÓDG">OFFSET(#REF!,0,0,COUNTA(#REF!),1)</definedName>
    <definedName name="codigo2">#REF!</definedName>
    <definedName name="codigo3">#REF!</definedName>
    <definedName name="CÓDT">OFFSET(#REF!,0,0,COUNTA(#REF!)+1,1)</definedName>
    <definedName name="COFINS">#REF!</definedName>
    <definedName name="cofins2">#REF!</definedName>
    <definedName name="COGS">#REF!</definedName>
    <definedName name="COLSUB">#REF!</definedName>
    <definedName name="COMISSOES">#REF!</definedName>
    <definedName name="COMPOSICAO">#REF!</definedName>
    <definedName name="composição">#REF!</definedName>
    <definedName name="COMPR">#REF!</definedName>
    <definedName name="COMPRIMENTO">#REF!</definedName>
    <definedName name="COMPROMETIDO">#REF!</definedName>
    <definedName name="CONFIRMAR" hidden="1">{#N/A,#N/A,TRUE,"Quinzena 01 à 15-04-98 "}</definedName>
    <definedName name="cont" hidden="1">{#N/A,#N/A,FALSE,"Plan1";#N/A,#N/A,FALSE,"Plan2"}</definedName>
    <definedName name="CONT1">#REF!</definedName>
    <definedName name="CONT2">#REF!</definedName>
    <definedName name="CONT3">#REF!</definedName>
    <definedName name="CONTAIT">#REF!</definedName>
    <definedName name="CONTREC">#REF!</definedName>
    <definedName name="CONTRES">#REF!</definedName>
    <definedName name="CONTROLE">#REF!</definedName>
    <definedName name="CONVERSÃO">#REF!</definedName>
    <definedName name="cpmf">#REF!</definedName>
    <definedName name="Credor_Rel_Sienge">#REF!</definedName>
    <definedName name="_xlnm.Criteria">#REF!</definedName>
    <definedName name="CRONG">#REF!</definedName>
    <definedName name="cronograma">#REF!</definedName>
    <definedName name="CRONOGRAMA_FÍSICO_FINANCEIRO">#REF!</definedName>
    <definedName name="CS">#REF!</definedName>
    <definedName name="cs_diferida">#REF!</definedName>
    <definedName name="ÇSAÇDFW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 hidden="1">#REF!</definedName>
    <definedName name="C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 hidden="1">{#N/A,#N/A,FALSE,"Plan1";#N/A,#N/A,FALSE,"Plan2"}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ST_DIR_IND">#REF!</definedName>
    <definedName name="CUSTINDIRETO">#REF!</definedName>
    <definedName name="CUSTO_DIR_IND">#REF!</definedName>
    <definedName name="Custo_Direto_de_Obras_Civis_e_Instalações_...........................................">#REF!</definedName>
    <definedName name="Custo_Direto_em_geral">#REF!</definedName>
    <definedName name="custo_financing">#REF!</definedName>
    <definedName name="CUSTO_OUTROS">#REF!</definedName>
    <definedName name="Custo_Outros1">#REF!</definedName>
    <definedName name="CUSTODIRETO">#REF!</definedName>
    <definedName name="CUSTODIRETO_R">#REF!</definedName>
    <definedName name="CUSTODIRETO_U">#REF!</definedName>
    <definedName name="CUSTODIRETO1">#REF!</definedName>
    <definedName name="CUSTOFIN">#REF!</definedName>
    <definedName name="d">#REF!</definedName>
    <definedName name="da">#REF!</definedName>
    <definedName name="dalm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 hidden="1">{#N/A,#N/A,FALSE,"Plan1";#N/A,#N/A,FALSE,"Plan2"}</definedName>
    <definedName name="DATA">#REF!</definedName>
    <definedName name="Data_base">#REF!</definedName>
    <definedName name="data_base_VL">#REF!</definedName>
    <definedName name="DATA_COTAÇÃO">#REF!</definedName>
    <definedName name="DATA_ENTREGA">#REF!</definedName>
    <definedName name="DATA_FECHA">#REF!</definedName>
    <definedName name="Data_Inicio">#REF!</definedName>
    <definedName name="Data_Lançado_Sienge">#REF!</definedName>
    <definedName name="Data_Pagamento_Sienge">#REF!</definedName>
    <definedName name="Data_Previsão_Medição_Fin_Medição">#REF!</definedName>
    <definedName name="Data_Tendência_Recebimento_Fin_Medições">#REF!</definedName>
    <definedName name="DATA1">#REF!</definedName>
    <definedName name="DATA3">#REF!</definedName>
    <definedName name="DATA4">#REF!</definedName>
    <definedName name="DATA6">#REF!</definedName>
    <definedName name="DataChaves_MAP">#REF!</definedName>
    <definedName name="DatasOut13AteDez20">#REF!</definedName>
    <definedName name="DÇDL" hidden="1">{#N/A,#N/A,FALSE,"Plan1";#N/A,#N/A,FALSE,"Plan2"}</definedName>
    <definedName name="dchart26" hidden="1">#REF!</definedName>
    <definedName name="dchart31" hidden="1">#REF!</definedName>
    <definedName name="dcnsfgdjkgb" hidden="1">{#N/A,#N/A,FALSE,"Plan1";#N/A,#N/A,FALSE,"Plan2"}</definedName>
    <definedName name="DÇWK" hidden="1">{#N/A,#N/A,FALSE,"Plan1";#N/A,#N/A,FALSE,"Plan2"}</definedName>
    <definedName name="D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>#REF!</definedName>
    <definedName name="ddddd" hidden="1">{#N/A,#N/A,FALSE,"Plan1";#N/A,#N/A,FALSE,"Plan2"}</definedName>
    <definedName name="ddddddddddd">#REF!</definedName>
    <definedName name="dddddddddddddddddddddddddd">#REF!</definedName>
    <definedName name="dddddddddddddppppppppp">#REF!</definedName>
    <definedName name="dde" hidden="1">{#N/A,#N/A,FALSE,"Plan1";#N/A,#N/A,FALSE,"Plan2"}</definedName>
    <definedName name="ddfs" hidden="1">#REF!</definedName>
    <definedName name="ddgfdvgd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 hidden="1">{#N/A,#N/A,FALSE,"Plan1";#N/A,#N/A,FALSE,"Plan2"}</definedName>
    <definedName name="dede" hidden="1">{#N/A,#N/A,FALSE,"Plan1";#N/A,#N/A,FALSE,"Plan2"}</definedName>
    <definedName name="defasagem">OFFSET(INDEX(#REF!,MATCH(#REF!,#REF!,0)),1,0,COUNTA(#REF!)-1)</definedName>
    <definedName name="depara">#REF!</definedName>
    <definedName name="DERIVQT">#REF!</definedName>
    <definedName name="des" hidden="1">{#N/A,#N/A,FALSE,"Plan1";#N/A,#N/A,FALSE,"Plan2"}</definedName>
    <definedName name="desc" hidden="1">{#N/A,#N/A,FALSE,"Plan1";#N/A,#N/A,FALSE,"Plan2"}</definedName>
    <definedName name="DESCONTO">#REF!</definedName>
    <definedName name="DESCRIÇÃO_OBRA">#REF!</definedName>
    <definedName name="DespFatur">#REF!</definedName>
    <definedName name="DEZ">#REF!</definedName>
    <definedName name="dez17RJ">#REF!</definedName>
    <definedName name="DEZEMBRO">#REF!</definedName>
    <definedName name="DEZENOVE">#REF!</definedName>
    <definedName name="DEZESSEIS">#REF!</definedName>
    <definedName name="DEZESSETE">#REF!</definedName>
    <definedName name="DEZOITO">#REF!</definedName>
    <definedName name="d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 hidden="1">{#N/A,#N/A,FALSE,"명세표"}</definedName>
    <definedName name="dfdft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 hidden="1">{#N/A,#N/A,FALSE,"Plan1";#N/A,#N/A,FALSE,"Plan2"}</definedName>
    <definedName name="dfdrtrr" hidden="1">{#N/A,#N/A,FALSE,"Plan1";#N/A,#N/A,FALSE,"Plan2"}</definedName>
    <definedName name="DFDSG" hidden="1">{#N/A,#N/A,FALSE,"Plan1";#N/A,#N/A,FALSE,"Plan2"}</definedName>
    <definedName name="dfer" hidden="1">{#N/A,#N/A,FALSE,"Plan1";#N/A,#N/A,FALSE,"Plan2"}</definedName>
    <definedName name="dffbty" hidden="1">{#N/A,#N/A,FALSE,"Plan1";#N/A,#N/A,FALSE,"Plan2"}</definedName>
    <definedName name="dffg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 hidden="1">{#N/A,#N/A,FALSE,"Plan1";#N/A,#N/A,FALSE,"Plan2"}</definedName>
    <definedName name="dfg" hidden="1">{#N/A,#N/A,FALSE,"Plan1";#N/A,#N/A,FALSE,"Plan2"}</definedName>
    <definedName name="dfgdf" hidden="1">{#N/A,#N/A,FALSE,"Plan1";#N/A,#N/A,FALSE,"Plan2"}</definedName>
    <definedName name="dfgdytygr" hidden="1">{#N/A,#N/A,FALSE,"Plan1";#N/A,#N/A,FALSE,"Plan2"}</definedName>
    <definedName name="dfgftrrdt5" hidden="1">{#N/A,#N/A,FALSE,"Plan1";#N/A,#N/A,FALSE,"Plan2"}</definedName>
    <definedName name="dfgh">#REF!</definedName>
    <definedName name="dfghjfhsg" hidden="1">{#N/A,#N/A,FALSE,"Plan1";#N/A,#N/A,FALSE,"Plan2"}</definedName>
    <definedName name="dfgj" hidden="1">{#N/A,#N/A,FALSE,"Plan1";#N/A,#N/A,FALSE,"Plan2"}</definedName>
    <definedName name="dfgjfttyd" hidden="1">{#N/A,#N/A,FALSE,"Plan1";#N/A,#N/A,FALSE,"Plan2"}</definedName>
    <definedName name="dfgjjtdrtg" hidden="1">{#N/A,#N/A,FALSE,"Plan1";#N/A,#N/A,FALSE,"Plan2"}</definedName>
    <definedName name="dfgt" hidden="1">{#N/A,#N/A,FALSE,"Plan1";#N/A,#N/A,FALSE,"Plan2"}</definedName>
    <definedName name="dfgtrkjhk" hidden="1">{#N/A,#N/A,FALSE,"Plan1";#N/A,#N/A,FALSE,"Plan2"}</definedName>
    <definedName name="dfgty" hidden="1">{#N/A,#N/A,FALSE,"Plan1";#N/A,#N/A,FALSE,"Plan2"}</definedName>
    <definedName name="dfhdgfdgf" hidden="1">{#N/A,#N/A,FALSE,"Plan1";#N/A,#N/A,FALSE,"Plan2"}</definedName>
    <definedName name="DFHDJGJFHJGF" hidden="1">{#N/A,#N/A,FALSE,"Plan1";#N/A,#N/A,FALSE,"Plan2"}</definedName>
    <definedName name="dfhdyg" hidden="1">{#N/A,#N/A,FALSE,"Plan1";#N/A,#N/A,FALSE,"Plan2"}</definedName>
    <definedName name="DFHGDHUR" hidden="1">{#N/A,#N/A,FALSE,"Plan1";#N/A,#N/A,FALSE,"Plan2"}</definedName>
    <definedName name="dfhgjfgdhfjdrf" hidden="1">{#N/A,#N/A,FALSE,"Plan1";#N/A,#N/A,FALSE,"Plan2"}</definedName>
    <definedName name="dfhgkhfut" hidden="1">{#N/A,#N/A,FALSE,"Plan1";#N/A,#N/A,FALSE,"Plan2"}</definedName>
    <definedName name="dfhgkjdhkjghjd" hidden="1">#REF!</definedName>
    <definedName name="dfhguitrhfg" hidden="1">{#N/A,#N/A,FALSE,"Plan1";#N/A,#N/A,FALSE,"Plan2"}</definedName>
    <definedName name="DFHKHDGKJHDKS" hidden="1">{#N/A,#N/A,FALSE,"Plan1";#N/A,#N/A,FALSE,"Plan2"}</definedName>
    <definedName name="dfijvnqienvvnjv">#REF!</definedName>
    <definedName name="dfjgjfhykj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 hidden="1">{#N/A,#N/A,FALSE,"Plan1";#N/A,#N/A,FALSE,"Plan2"}</definedName>
    <definedName name="dfkhg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 hidden="1">{#N/A,#N/A,FALSE,"Plan1";#N/A,#N/A,FALSE,"Plan2"}</definedName>
    <definedName name="dfnert" hidden="1">{#N/A,#N/A,FALSE,"Plan1";#N/A,#N/A,FALSE,"Plan2"}</definedName>
    <definedName name="dfrt" hidden="1">{#N/A,#N/A,FALSE,"Plan1";#N/A,#N/A,FALSE,"Plan2"}</definedName>
    <definedName name="dfsdr5tt" hidden="1">{#N/A,#N/A,FALSE,"Plan1";#N/A,#N/A,FALSE,"Plan2"}</definedName>
    <definedName name="dfsds" hidden="1">#REF!</definedName>
    <definedName name="dfsd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 hidden="1">{#N/A,#N/A,FALSE,"Plan1";#N/A,#N/A,FALSE,"Plan2"}</definedName>
    <definedName name="dfsf" hidden="1">{#N/A,#N/A,FALSE,"Plan1";#N/A,#N/A,FALSE,"Plan2"}</definedName>
    <definedName name="DFT" hidden="1">{#N/A,#N/A,FALSE,"Plan1";#N/A,#N/A,FALSE,"Plan2"}</definedName>
    <definedName name="DFTRTTY" hidden="1">{#N/A,#N/A,FALSE,"Plan1";#N/A,#N/A,FALSE,"Plan2"}</definedName>
    <definedName name="dfurghifdjyhits" hidden="1">{#N/A,#N/A,FALSE,"Plan1";#N/A,#N/A,FALSE,"Plan2"}</definedName>
    <definedName name="dfxgdrged" hidden="1">{#N/A,#N/A,FALSE,"Plan1";#N/A,#N/A,FALSE,"Plan2"}</definedName>
    <definedName name="dgfrtyt" hidden="1">{#N/A,#N/A,FALSE,"Plan1";#N/A,#N/A,FALSE,"Plan2"}</definedName>
    <definedName name="dggfdg" hidden="1">{#N/A,#N/A,FALSE,"Plan1";#N/A,#N/A,FALSE,"Plan2"}</definedName>
    <definedName name="dgldfhgkljslh" hidden="1">{#N/A,#N/A,FALSE,"Plan1";#N/A,#N/A,FALSE,"Plan2"}</definedName>
    <definedName name="dhfgdhrehrwe" hidden="1">{#N/A,#N/A,FALSE,"Plan1";#N/A,#N/A,FALSE,"Plan2"}</definedName>
    <definedName name="dhgfdgrfgdfgd" hidden="1">{#N/A,#N/A,FALSE,"Plan1";#N/A,#N/A,FALSE,"Plan2"}</definedName>
    <definedName name="dhkjfhdhfjdh" hidden="1">{#N/A,#N/A,FALSE,"Plan1";#N/A,#N/A,FALSE,"Plan2"}</definedName>
    <definedName name="DHTJRT" hidden="1">{#N/A,#N/A,FALSE,"Plan1";#N/A,#N/A,FALSE,"Plan2"}</definedName>
    <definedName name="DI">#REF!</definedName>
    <definedName name="dia3estac">#REF!</definedName>
    <definedName name="diaestaca">#REF!</definedName>
    <definedName name="diambase">#REF!</definedName>
    <definedName name="DIFQT">#REF!</definedName>
    <definedName name="dijghdhks" hidden="1">{#N/A,#N/A,FALSE,"Plan1";#N/A,#N/A,FALSE,"Plan2"}</definedName>
    <definedName name="DIMENSÕES">#REF!</definedName>
    <definedName name="DIR_OPER">#REF!</definedName>
    <definedName name="DIR_TECNICO">#REF!</definedName>
    <definedName name="direto">#REF!</definedName>
    <definedName name="DIRETORIA">#REF!</definedName>
    <definedName name="diretorias">#REF!</definedName>
    <definedName name="Discrim">#REF!</definedName>
    <definedName name="DISCRIMINAÇÃO">#REF!</definedName>
    <definedName name="Discriminação_Controladoria">#REF!</definedName>
    <definedName name="DistCidade">#REF!</definedName>
    <definedName name="distratos">#REF!</definedName>
    <definedName name="div">#REF!</definedName>
    <definedName name="djasdrjas" hidden="1">{#N/A,#N/A,FALSE,"Plan1";#N/A,#N/A,FALSE,"Plan2"}</definedName>
    <definedName name="dj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 hidden="1">{#N/A,#N/A,FALSE,"Plan1";#N/A,#N/A,FALSE,"Plan2"}</definedName>
    <definedName name="djfkhsdkjhf" hidden="1">{#N/A,#N/A,FALSE,"Plan1";#N/A,#N/A,FALSE,"Plan2"}</definedName>
    <definedName name="djfldjsgljslkjtg" hidden="1">{#N/A,#N/A,FALSE,"Plan1";#N/A,#N/A,FALSE,"Plan2"}</definedName>
    <definedName name="djflkdjgdth" hidden="1">{#N/A,#N/A,FALSE,"Plan1";#N/A,#N/A,FALSE,"Plan2"}</definedName>
    <definedName name="DJFLKDJGKTJYJT" hidden="1">{#N/A,#N/A,FALSE,"Plan1";#N/A,#N/A,FALSE,"Plan2"}</definedName>
    <definedName name="djgkfjgtiyty" hidden="1">{#N/A,#N/A,FALSE,"Plan1";#N/A,#N/A,FALSE,"Plan2"}</definedName>
    <definedName name="djrkehrjfhng" hidden="1">{#N/A,#N/A,FALSE,"Plan1";#N/A,#N/A,FALSE,"Plan2"}</definedName>
    <definedName name="djswfr" hidden="1">#REF!</definedName>
    <definedName name="djtkjldfr" hidden="1">{#N/A,#N/A,FALSE,"Plan1";#N/A,#N/A,FALSE,"Plan2"}</definedName>
    <definedName name="DJXDLFGDFG" hidden="1">{#N/A,#N/A,FALSE,"Plan1";#N/A,#N/A,FALSE,"Plan2"}</definedName>
    <definedName name="dkdkdkdkd" hidden="1">{#N/A,#N/A,FALSE,"명세표"}</definedName>
    <definedName name="dkfhskgf" hidden="1">{#N/A,#N/A,FALSE,"Plan1";#N/A,#N/A,FALSE,"Plan2"}</definedName>
    <definedName name="dkjfk" hidden="1">{#N/A,#N/A,FALSE,"Plan1";#N/A,#N/A,FALSE,"Plan2"}</definedName>
    <definedName name="DKLD" hidden="1">{#N/A,#N/A,FALSE,"Plan1";#N/A,#N/A,FALSE,"Plan2"}</definedName>
    <definedName name="DKLFJDKFD" hidden="1">{#N/A,#N/A,FALSE,"Plan1";#N/A,#N/A,FALSE,"Plan2"}</definedName>
    <definedName name="dklfjgirtgid" hidden="1">{#N/A,#N/A,FALSE,"Plan1";#N/A,#N/A,FALSE,"Plan2"}</definedName>
    <definedName name="dklf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 hidden="1">{#N/A,#N/A,FALSE,"Plan1";#N/A,#N/A,FALSE,"Plan2"}</definedName>
    <definedName name="DNFJKDHTKRE" hidden="1">{#N/A,#N/A,FALSE,"Plan1";#N/A,#N/A,FALSE,"Plan2"}</definedName>
    <definedName name="d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CUMENT">#REF!</definedName>
    <definedName name="DOIS">#REF!</definedName>
    <definedName name="dolar">#REF!</definedName>
    <definedName name="dolar_dez">#REF!</definedName>
    <definedName name="dolar_nov">#REF!</definedName>
    <definedName name="dolar_out">#REF!</definedName>
    <definedName name="dolar2">#REF!</definedName>
    <definedName name="dolarabr">#REF!</definedName>
    <definedName name="dolarabr02">#REF!</definedName>
    <definedName name="DolarAgo">#REF!</definedName>
    <definedName name="dolarago02">#REF!</definedName>
    <definedName name="dolardez">#REF!</definedName>
    <definedName name="dolarfev">#REF!</definedName>
    <definedName name="dolarfev02">#REF!</definedName>
    <definedName name="dolarfimdez">#REF!</definedName>
    <definedName name="dolarFimJun">#REF!</definedName>
    <definedName name="dolarfindez">#REF!</definedName>
    <definedName name="dolarfinmar">#REF!</definedName>
    <definedName name="DolarFinSet">#REF!</definedName>
    <definedName name="dolarjan">#REF!</definedName>
    <definedName name="dolarjan02">#REF!</definedName>
    <definedName name="DolarJul">#REF!</definedName>
    <definedName name="dolarjul02">#REF!</definedName>
    <definedName name="dolarjun">#REF!</definedName>
    <definedName name="dolarjun02">#REF!</definedName>
    <definedName name="dolarmai">#REF!</definedName>
    <definedName name="dolarmai02">#REF!</definedName>
    <definedName name="dolarmar">#REF!</definedName>
    <definedName name="dolarmar02">#REF!</definedName>
    <definedName name="dolarnov">#REF!</definedName>
    <definedName name="dolarout">#REF!</definedName>
    <definedName name="DolarSet">#REF!</definedName>
    <definedName name="dolarset02">#REF!</definedName>
    <definedName name="DOZE">#REF!</definedName>
    <definedName name="DRE">#REF!</definedName>
    <definedName name="drewr" hidden="1">{#N/A,#N/A,FALSE,"Plan1";#N/A,#N/A,FALSE,"Plan2"}</definedName>
    <definedName name="DRRJR" hidden="1">{#N/A,#N/A,FALSE,"Plan1";#N/A,#N/A,FALSE,"Plan2"}</definedName>
    <definedName name="drtr" hidden="1">#REF!</definedName>
    <definedName name="drtrt" hidden="1">{"'Estimativa de Lançamento-JAN'!$A$1:$AI$85"}</definedName>
    <definedName name="dsdrf" hidden="1">{#N/A,#N/A,FALSE,"Plan1";#N/A,#N/A,FALSE,"Plan2"}</definedName>
    <definedName name="dsfdf" hidden="1">{#N/A,#N/A,FALSE,"Plan1";#N/A,#N/A,FALSE,"Plan2"}</definedName>
    <definedName name="dsfg" hidden="1">{#N/A,#N/A,FALSE,"Plan1";#N/A,#N/A,FALSE,"Plan2"}</definedName>
    <definedName name="DSFKDSKH" hidden="1">{#N/A,#N/A,FALSE,"Plan1";#N/A,#N/A,FALSE,"Plan2"}</definedName>
    <definedName name="DSF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 hidden="1">{#N/A,#N/A,FALSE,"Plan1";#N/A,#N/A,FALSE,"Plan2"}</definedName>
    <definedName name="DSFSAD" hidden="1">{#N/A,#N/A,FALSE,"Plan1";#N/A,#N/A,FALSE,"Plan2"}</definedName>
    <definedName name="dsfsdf" hidden="1">{#N/A,#N/A,FALSE,"Plan1";#N/A,#N/A,FALSE,"Plan2"}</definedName>
    <definedName name="dsfsdgfb" hidden="1">{#N/A,#N/A,FALSE,"Plan1";#N/A,#N/A,FALSE,"Plan2"}</definedName>
    <definedName name="dsgfr" hidden="1">{#N/A,#N/A,FALSE,"Plan1";#N/A,#N/A,FALSE,"Plan2"}</definedName>
    <definedName name="dshfkhkrhesru" hidden="1">{#N/A,#N/A,FALSE,"Plan1";#N/A,#N/A,FALSE,"Plan2"}</definedName>
    <definedName name="dsjkthkr" hidden="1">{#N/A,#N/A,FALSE,"Plan1";#N/A,#N/A,FALSE,"Plan2"}</definedName>
    <definedName name="dskfdhksdfh" hidden="1">4</definedName>
    <definedName name="DSLFJSLFJ" hidden="1">{#N/A,#N/A,FALSE,"Plan1";#N/A,#N/A,FALSE,"Plan2"}</definedName>
    <definedName name="dslfkf" hidden="1">4</definedName>
    <definedName name="dsrf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 hidden="1">{#N/A,#N/A,FALSE,"Plan1";#N/A,#N/A,FALSE,"Plan2"}</definedName>
    <definedName name="dtgsrytt" hidden="1">{#N/A,#N/A,FALSE,"Plan1";#N/A,#N/A,FALSE,"Plan2"}</definedName>
    <definedName name="dtrjkhtrgkfh" hidden="1">{#N/A,#N/A,FALSE,"Plan1";#N/A,#N/A,FALSE,"Plan2"}</definedName>
    <definedName name="dttjuk" hidden="1">{#N/A,#N/A,FALSE,"Plan1";#N/A,#N/A,FALSE,"Plan2"}</definedName>
    <definedName name="dvtr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 hidden="1">{#N/A,#N/A,FALSE,"Plan1";#N/A,#N/A,FALSE,"Plan2"}</definedName>
    <definedName name="dwqhdjwqgdwq">#REF!</definedName>
    <definedName name="DY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 hidden="1">{#N/A,#N/A,FALSE,"Plan1";#N/A,#N/A,FALSE,"Plan2"}</definedName>
    <definedName name="dzdfr" hidden="1">{#N/A,#N/A,FALSE,"Plan1";#N/A,#N/A,FALSE,"Plan2"}</definedName>
    <definedName name="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>#REF!</definedName>
    <definedName name="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 hidden="1">{#N/A,#N/A,FALSE,"F-01"}</definedName>
    <definedName name="ECEW_1" hidden="1">{#N/A,#N/A,FALSE,"F-01"}</definedName>
    <definedName name="echart31" hidden="1">#REF!</definedName>
    <definedName name="EcoPark">#REF!</definedName>
    <definedName name="EC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 hidden="1">{#N/A,#N/A,FALSE,"Plan1";#N/A,#N/A,FALSE,"Plan2"}</definedName>
    <definedName name="ee">#REF!</definedName>
    <definedName name="eee" hidden="1">{#N/A,#N/A,FALSE,"ET-CAPA";#N/A,#N/A,FALSE,"ET-PAG1";#N/A,#N/A,FALSE,"ET-PAG2";#N/A,#N/A,FALSE,"ET-PAG3";#N/A,#N/A,FALSE,"ET-PAG4";#N/A,#N/A,FALSE,"ET-PAG5"}</definedName>
    <definedName name="EF">#REF!</definedName>
    <definedName name="efestfr" hidden="1">{#N/A,#N/A,FALSE,"Plan1";#N/A,#N/A,FALSE,"Plan2"}</definedName>
    <definedName name="EFICIÊNCIA">#REF!</definedName>
    <definedName name="Eficiência1">#REF!</definedName>
    <definedName name="efrdrt" hidden="1">{#N/A,#N/A,FALSE,"Plan1";#N/A,#N/A,FALSE,"Plan2"}</definedName>
    <definedName name="efrg" hidden="1">{#N/A,#N/A,FALSE,"Plan1";#N/A,#N/A,FALSE,"Plan2"}</definedName>
    <definedName name="efsgfr" hidden="1">{#N/A,#N/A,FALSE,"Plan1";#N/A,#N/A,FALSE,"Plan2"}</definedName>
    <definedName name="eixo_x_fluxo_graf1">IFERROR(OFFSET(INDEX(#REF!,MATCH((INDEX(#REF!,MATCH(1,#REF!,0))),#REF!,0)),0,0,1,COUNTIF(#REF!,"&gt;=0")+COUNTIF(#REF!,"&lt;0")),0)</definedName>
    <definedName name="eixo_x_graf2">IFERROR(OFFSET(INDEX(#REF!,MATCH((INDEX(#REF!,MATCH(1,#REF!,0))),#REF!,0)),0,0,1,COUNTIF(#REF!,"&gt;=0")+COUNTIF(#REF!,"&lt;0")),0)</definedName>
    <definedName name="eixo_x_graf3_distratos">#REF!</definedName>
    <definedName name="eixo_x_graf3_vendas">#REF!</definedName>
    <definedName name="eixo_y_cury_graf2">IFERROR(OFFSET(INDEX(#REF!,MATCH((INDEX(#REF!,MATCH(1,#REF!,0))),#REF!,0)),0,0,1,COUNTIF(#REF!,"&gt;=0")+COUNTIF(#REF!,"&lt;0")),0)</definedName>
    <definedName name="eixo_y_fluxo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3">#REF!</definedName>
    <definedName name="eixo_y_socio_graf2">IFERROR(OFFSET(INDEX(#REF!,MATCH((INDEX(#REF!,MATCH(1,#REF!,0))),#REF!,0)),0,0,1,COUNTIF(#REF!,"&gt;=0")+COUNTIF(#REF!,"&lt;0")),0)</definedName>
    <definedName name="eixo_y_viab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M">#REF!</definedName>
    <definedName name="Empreend">#REF!</definedName>
    <definedName name="Empreendimentos">#REF!</definedName>
    <definedName name="empresas">#REF!</definedName>
    <definedName name="encanador">#REF!</definedName>
    <definedName name="EPI">#REF!</definedName>
    <definedName name="EQUIP">#REF!</definedName>
    <definedName name="equipamento">#REF!</definedName>
    <definedName name="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 hidden="1">{#N/A,#N/A,FALSE,"Plan1";#N/A,#N/A,FALSE,"Plan2"}</definedName>
    <definedName name="erne_cdi">#REF!</definedName>
    <definedName name="erne_hist">#REF!</definedName>
    <definedName name="erne_uss">#REF!</definedName>
    <definedName name="erte" hidden="1">#REF!</definedName>
    <definedName name="ESGFDSFD" hidden="1">{#N/A,#N/A,FALSE,"Plan1";#N/A,#N/A,FALSE,"Plan2"}</definedName>
    <definedName name="esp">#REF!</definedName>
    <definedName name="ESPESSURA">#REF!</definedName>
    <definedName name="estaca">#REF!</definedName>
    <definedName name="estaca3">#REF!</definedName>
    <definedName name="ESTADO">#REF!</definedName>
    <definedName name="estados">#REF!</definedName>
    <definedName name="estagiário">#REF!</definedName>
    <definedName name="ESTOQUE">#REF!</definedName>
    <definedName name="Etq_final">#REF!</definedName>
    <definedName name="EU" hidden="1">{#N/A,#N/A,FALSE,"Plan1";#N/A,#N/A,FALSE,"Plan2"}</definedName>
    <definedName name="EV__LASTREFTIME__" hidden="1">39965.7223611111</definedName>
    <definedName name="EVL" hidden="1">{"Econ Consolidado",#N/A,FALSE,"Econ Consol";"Fluxo de Caixa",#N/A,FALSE,"Fluxo Caixa";"Investimentos",#N/A,FALSE,"Investimentos"}</definedName>
    <definedName name="Evol." hidden="1">{"Econ Consolidado",#N/A,FALSE,"Econ Consol";"Fluxo de Caixa",#N/A,FALSE,"Fluxo Caixa";"Investimentos",#N/A,FALSE,"Investimentos"}</definedName>
    <definedName name="ewfr" hidden="1">{#N/A,#N/A,FALSE,"Plan1";#N/A,#N/A,FALSE,"Plan2"}</definedName>
    <definedName name="exce_cdi">#REF!</definedName>
    <definedName name="exce_hist">#REF!</definedName>
    <definedName name="exce_uss">#REF!</definedName>
    <definedName name="Excel_BuiltIn__FilterDatabase_1">#REF!</definedName>
    <definedName name="Excel_BuiltIn__FilterDatabase_1_1">#REF!</definedName>
    <definedName name="Excel_BuiltIn__FilterDatabase_6">#REF!</definedName>
    <definedName name="Excel_BuiltIn_Print_Area_0">#REF!</definedName>
    <definedName name="Excel_BuiltIn_Print_Area_1_1">#REF!</definedName>
    <definedName name="Excel_BuiltIn_Print_Titles_1_1_1">#REF!</definedName>
    <definedName name="Excel_BuiltIn_Print_Titles_1_1_4">#REF!</definedName>
    <definedName name="Excel_BuiltIn_Print_Titles_1_1_5">#REF!</definedName>
    <definedName name="Exrate">#REF!</definedName>
    <definedName name="eyruieyteta" hidden="1">{#N/A,#N/A,FALSE,"Plan1";#N/A,#N/A,FALSE,"Plan2"}</definedName>
    <definedName name="f">#REF!</definedName>
    <definedName name="FACULDADE">#REF!</definedName>
    <definedName name="FAL">#REF!</definedName>
    <definedName name="farialima">#REF!</definedName>
    <definedName name="FAS" hidden="1">{"'Total'!$A$1","'Total'!$A$3"}</definedName>
    <definedName name="fasfasf" hidden="1">{#N/A,#N/A,TRUE,"Quinzena 01 à 15-04-98 "}</definedName>
    <definedName name="FATOR_K">#REF!</definedName>
    <definedName name="FATORK">#REF!</definedName>
    <definedName name="FBancaria">#REF!</definedName>
    <definedName name="fchart31" hidden="1">#REF!</definedName>
    <definedName name="fddhght" hidden="1">{#N/A,#N/A,FALSE,"Plan1";#N/A,#N/A,FALSE,"Plan2"}</definedName>
    <definedName name="fdfgd" hidden="1">{#N/A,#N/A,FALSE,"Plan1";#N/A,#N/A,FALSE,"Plan2"}</definedName>
    <definedName name="fdf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 hidden="1">{#N/A,#N/A,FALSE,"Plan1";#N/A,#N/A,FALSE,"Plan2"}</definedName>
    <definedName name="fdgd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 hidden="1">{#N/A,#N/A,FALSE,"Plan1";#N/A,#N/A,FALSE,"Plan2"}</definedName>
    <definedName name="fdgfyhygfuj" hidden="1">{#N/A,#N/A,FALSE,"Plan1";#N/A,#N/A,FALSE,"Plan2"}</definedName>
    <definedName name="fdhgfdf" hidden="1">{#N/A,#N/A,FALSE,"Plan1";#N/A,#N/A,FALSE,"Plan2"}</definedName>
    <definedName name="fdjfgdfjg" hidden="1">{#N/A,#N/A,FALSE,"Plan1";#N/A,#N/A,FALSE,"Plan2"}</definedName>
    <definedName name="fdjghkshtygt" hidden="1">{#N/A,#N/A,FALSE,"Plan1";#N/A,#N/A,FALSE,"Plan2"}</definedName>
    <definedName name="fdnhgf" hidden="1">{"'Estimativa de Lançamento-JAN'!$A$1:$AI$85"}</definedName>
    <definedName name="fdsf" hidden="1">{#N/A,#N/A,FALSE,"Plan1";#N/A,#N/A,FALSE,"Plan2"}</definedName>
    <definedName name="FE">#REF!</definedName>
    <definedName name="fefefefe">#REF!</definedName>
    <definedName name="FER" hidden="1">#REF!</definedName>
    <definedName name="fev17RJ">#REF!</definedName>
    <definedName name="FEVEREIRO2001">#REF!</definedName>
    <definedName name="ff">#REF!</definedName>
    <definedName name="fffefes">#REF!</definedName>
    <definedName name="fffff" hidden="1">{#N/A,#N/A,FALSE,"Plan1";#N/A,#N/A,FALSE,"Plan2"}</definedName>
    <definedName name="FFFFFFF">#REF!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 hidden="1">{#N/A,#N/A,FALSE,"Plan1";#N/A,#N/A,FALSE,"Plan2"}</definedName>
    <definedName name="fgg" hidden="1">{"'장비'!$A$3:$M$12"}</definedName>
    <definedName name="fghfh" hidden="1">{"'Estimativa de Lançamento-JAN'!$A$1:$AI$85"}</definedName>
    <definedName name="fghgfh" hidden="1">{#N/A,#N/A,FALSE,"Plan1";#N/A,#N/A,FALSE,"Plan2"}</definedName>
    <definedName name="FGJHFGK" hidden="1">{#N/A,#N/A,FALSE,"Plan1";#N/A,#N/A,FALSE,"Plan2"}</definedName>
    <definedName name="fgktyhd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 hidden="1">{#N/A,#N/A,FALSE,"Plan1";#N/A,#N/A,FALSE,"Plan2"}</definedName>
    <definedName name="fgty" hidden="1">#REF!</definedName>
    <definedName name="fhgjfgyt" hidden="1">{#N/A,#N/A,FALSE,"Plan1";#N/A,#N/A,FALSE,"Plan2"}</definedName>
    <definedName name="fhgjkhtrfg" hidden="1">{#N/A,#N/A,FALSE,"Plan1";#N/A,#N/A,FALSE,"Plan2"}</definedName>
    <definedName name="FHGTGSRSG" hidden="1">{#N/A,#N/A,FALSE,"Plan1";#N/A,#N/A,FALSE,"Plan2"}</definedName>
    <definedName name="FIEL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 hidden="1">{#N/A,#N/A,TRUE,"Quinzena 01 à 15-04-98 "}</definedName>
    <definedName name="Filtro_Rel_Sienge">#REF!</definedName>
    <definedName name="Firs_hist">#REF!</definedName>
    <definedName name="First_cdi">#REF!</definedName>
    <definedName name="First_uss">#REF!</definedName>
    <definedName name="fjdhfgjdhtgu" hidden="1">{#N/A,#N/A,FALSE,"Plan1";#N/A,#N/A,FALSE,"Plan2"}</definedName>
    <definedName name="fjfjg" hidden="1">{#N/A,#N/A,FALSE,"명세표"}</definedName>
    <definedName name="FJG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hidden="1">{#N/A,#N/A,FALSE,"Plan1";#N/A,#N/A,FALSE,"Plan2"}</definedName>
    <definedName name="fjtgfh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 hidden="1">{#N/A,#N/A,FALSE,"Plan1";#N/A,#N/A,FALSE,"Plan2"}</definedName>
    <definedName name="fl">#REF!</definedName>
    <definedName name="FL_1">#REF!</definedName>
    <definedName name="FL_2">#REF!</definedName>
    <definedName name="FL_3">#REF!</definedName>
    <definedName name="Fluxo_captação">#REF!</definedName>
    <definedName name="FOLHA2">#REF!</definedName>
    <definedName name="Format">#REF!</definedName>
    <definedName name="Formato_da_Loja">#REF!</definedName>
    <definedName name="FORMULA">#REF!</definedName>
    <definedName name="FORNECEDOR">OFFSET(#REF!,6,0,COUNTA(#REF!))</definedName>
    <definedName name="FORNECEDOR_2">OFFSET(#REF!,6,0,COUNTA(#REF!))</definedName>
    <definedName name="FORNECEDOR_3">OFFSET(#REF!,6,0,COUNTA(#REF!))</definedName>
    <definedName name="FORNECEDOR_4">OFFSET(#REF!,6,0,COUNTA(#REF!))</definedName>
    <definedName name="FORNECEDOR_5">OFFSET(#REF!,6,0,COUNTA(#REF!))</definedName>
    <definedName name="FORNECEDOR_7">OFFSET(#REF!,6,0,COUNTA(#REF!))</definedName>
    <definedName name="FORNECEDOR_8">OFFSET(#REF!,6,0,COUNTA(#REF!))</definedName>
    <definedName name="frçt4r" hidden="1">{#N/A,#N/A,FALSE,"Plan1";#N/A,#N/A,FALSE,"Plan2"}</definedName>
    <definedName name="frdtty" hidden="1">{#N/A,#N/A,FALSE,"Plan1";#N/A,#N/A,FALSE,"Plan2"}</definedName>
    <definedName name="fsdf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 hidden="1">{#N/A,#N/A,FALSE,"Plan1";#N/A,#N/A,FALSE,"Plan2"}</definedName>
    <definedName name="fuste">#REF!</definedName>
    <definedName name="fxjghkfg" hidden="1">{#N/A,#N/A,FALSE,"Plan1";#N/A,#N/A,FALSE,"Plan2"}</definedName>
    <definedName name="g_10">#REF!</definedName>
    <definedName name="g_11">#REF!</definedName>
    <definedName name="g_12">#REF!</definedName>
    <definedName name="g_13">#REF!</definedName>
    <definedName name="g_15">#REF!</definedName>
    <definedName name="g_16">#REF!</definedName>
    <definedName name="g_17">#REF!</definedName>
    <definedName name="g_19">#REF!</definedName>
    <definedName name="g_21">#REF!</definedName>
    <definedName name="g_25">#REF!</definedName>
    <definedName name="g_27">#REF!</definedName>
    <definedName name="g_31">#REF!</definedName>
    <definedName name="g_32">#REF!</definedName>
    <definedName name="g_33">#REF!</definedName>
    <definedName name="g_34">#REF!</definedName>
    <definedName name="G_35">#REF!</definedName>
    <definedName name="g_37">#REF!</definedName>
    <definedName name="g_41">#REF!</definedName>
    <definedName name="g_42">#REF!</definedName>
    <definedName name="g_45">#REF!</definedName>
    <definedName name="g_47">#REF!</definedName>
    <definedName name="g_51">#REF!</definedName>
    <definedName name="g_52">#REF!</definedName>
    <definedName name="g_53">#REF!</definedName>
    <definedName name="G_54">#REF!</definedName>
    <definedName name="G_55">#REF!</definedName>
    <definedName name="G_56">#REF!</definedName>
    <definedName name="G_57">#REF!</definedName>
    <definedName name="G_58">#REF!</definedName>
    <definedName name="G_59">#REF!</definedName>
    <definedName name="G_61">#REF!</definedName>
    <definedName name="G_63">#REF!</definedName>
    <definedName name="G_65">#REF!</definedName>
    <definedName name="G_67">#REF!</definedName>
    <definedName name="g_68">#REF!</definedName>
    <definedName name="g_69">#REF!</definedName>
    <definedName name="G_71">#REF!</definedName>
    <definedName name="G_73">#REF!</definedName>
    <definedName name="G_75">#REF!</definedName>
    <definedName name="G_77">#REF!</definedName>
    <definedName name="G_78">#REF!</definedName>
    <definedName name="G_81">#REF!</definedName>
    <definedName name="G_83">#REF!</definedName>
    <definedName name="G_85">#REF!</definedName>
    <definedName name="G_87">#REF!</definedName>
    <definedName name="G_90">#REF!</definedName>
    <definedName name="G_91">#REF!</definedName>
    <definedName name="G_92">#REF!</definedName>
    <definedName name="G_94">#REF!</definedName>
    <definedName name="G_95">#REF!</definedName>
    <definedName name="G_96">#REF!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AGEM">#REF!</definedName>
    <definedName name="garcia">#REF!</definedName>
    <definedName name="GASTOS_JULHO">#REF!</definedName>
    <definedName name="gbdjkvhgd" hidden="1">{#N/A,#N/A,FALSE,"Plan1";#N/A,#N/A,FALSE,"Plan2"}</definedName>
    <definedName name="gbdsjgsjfdgj" hidden="1">{#N/A,#N/A,FALSE,"Plan1";#N/A,#N/A,FALSE,"Plan2"}</definedName>
    <definedName name="gdfdhgfjgj" hidden="1">{#N/A,#N/A,FALSE,"Plan1";#N/A,#N/A,FALSE,"Plan2"}</definedName>
    <definedName name="gdfgdstggt" hidden="1">{#N/A,#N/A,FALSE,"Plan1";#N/A,#N/A,FALSE,"Plan2"}</definedName>
    <definedName name="GDFHGRJGFJDRF" hidden="1">{"Econ Consolidado",#N/A,FALSE,"Econ Consol";"Fluxo de Caixa",#N/A,FALSE,"Fluxo Caixa";"Investimentos",#N/A,FALSE,"Investimentos"}</definedName>
    <definedName name="gdfigfhuyuy" hidden="1">{#N/A,#N/A,FALSE,"Plan1";#N/A,#N/A,FALSE,"Plan2"}</definedName>
    <definedName name="gdfsgfew" hidden="1">{#N/A,#N/A,FALSE,"Plan1";#N/A,#N/A,FALSE,"Plan2"}</definedName>
    <definedName name="gdhfgdhfgf" hidden="1">{#N/A,#N/A,FALSE,"Plan1";#N/A,#N/A,FALSE,"Plan2"}</definedName>
    <definedName name="gdsfhefrwrw" hidden="1">{#N/A,#N/A,FALSE,"Plan1";#N/A,#N/A,FALSE,"Plan2"}</definedName>
    <definedName name="GER_TECNICO">#REF!</definedName>
    <definedName name="Gerentes">#REF!</definedName>
    <definedName name="geshrjhed" hidden="1">{#N/A,#N/A,FALSE,"Plan1";#N/A,#N/A,FALSE,"Plan2"}</definedName>
    <definedName name="gestao" hidden="1">OFFSET(INDEX(#REF!,MATCH(#REF!,#REF!,0)),1,0,COUNTA(#REF!)-1)</definedName>
    <definedName name="gfdcgnkf" hidden="1">{#N/A,#N/A,FALSE,"Plan1";#N/A,#N/A,FALSE,"Plan2"}</definedName>
    <definedName name="gfdjtgur" hidden="1">{#N/A,#N/A,FALSE,"Plan1";#N/A,#N/A,FALSE,"Plan2"}</definedName>
    <definedName name="gfdrtg" hidden="1">#REF!</definedName>
    <definedName name="gfgdhxgfdhf" hidden="1">{#N/A,#N/A,FALSE,"Plan1";#N/A,#N/A,FALSE,"Plan2"}</definedName>
    <definedName name="gfhfdtgjb" hidden="1">{#N/A,#N/A,FALSE,"Plan1";#N/A,#N/A,FALSE,"Plan2"}</definedName>
    <definedName name="gfjdshrtjhtged" hidden="1">{#N/A,#N/A,FALSE,"Plan1";#N/A,#N/A,FALSE,"Plan2"}</definedName>
    <definedName name="gfjgkddgfd" hidden="1">{#N/A,#N/A,FALSE,"Plan1";#N/A,#N/A,FALSE,"Plan2"}</definedName>
    <definedName name="gfsghjdgygr" hidden="1">{#N/A,#N/A,FALSE,"Plan1";#N/A,#N/A,FALSE,"Plan2"}</definedName>
    <definedName name="gftfy" hidden="1">{#N/A,#N/A,FALSE,"Plan1";#N/A,#N/A,FALSE,"Plan2"}</definedName>
    <definedName name="gfty" hidden="1">{#N/A,#N/A,FALSE,"Plan1";#N/A,#N/A,FALSE,"Plan2"}</definedName>
    <definedName name="GFUJU9" hidden="1">{#N/A,#N/A,FALSE,"Plan1";#N/A,#N/A,FALSE,"Plan2"}</definedName>
    <definedName name="ggg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hidden="1">{#N/A,#N/A,FALSE,"Plan1";#N/A,#N/A,FALSE,"Plan2"}</definedName>
    <definedName name="ggggggggg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hidden="1">{"'장비'!$A$3:$M$12"}</definedName>
    <definedName name="ghfgdfrtert" hidden="1">{#N/A,#N/A,FALSE,"Plan1";#N/A,#N/A,FALSE,"Plan2"}</definedName>
    <definedName name="ghfhghft" hidden="1">{#N/A,#N/A,FALSE,"Plan1";#N/A,#N/A,FALSE,"Plan2"}</definedName>
    <definedName name="ghjg" hidden="1">{"'Estimativa de Lançamento-JAN'!$A$1:$AI$85"}</definedName>
    <definedName name="ghkfhgh" hidden="1">{#N/A,#N/A,FALSE,"Plan1";#N/A,#N/A,FALSE,"Plan2"}</definedName>
    <definedName name="ghkjh" hidden="1">{#N/A,#N/A,FALSE,"ENG'G(보호계전기)"}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 hidden="1">{#N/A,#N/A,FALSE,"Plan1";#N/A,#N/A,FALSE,"Plan2"}</definedName>
    <definedName name="GJ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 hidden="1">{#N/A,#N/A,FALSE,"Plan1";#N/A,#N/A,FALSE,"Plan2"}</definedName>
    <definedName name="glgl" hidden="1">{#N/A,#N/A,FALSE,"Plan1";#N/A,#N/A,FALSE,"Plan2"}</definedName>
    <definedName name="GLOBAL">#REF!</definedName>
    <definedName name="gnfrt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ec_cdi">#REF!</definedName>
    <definedName name="grec_hist">#REF!</definedName>
    <definedName name="grec_uss">#REF!</definedName>
    <definedName name="grua">#REF!</definedName>
    <definedName name="GSDWJSTG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 hidden="1">{#N/A,#N/A,FALSE,"Plan1";#N/A,#N/A,FALSE,"Plan2"}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 hidden="1">{#N/A,#N/A,FALSE,"CCTV"}</definedName>
    <definedName name="h">#REF!</definedName>
    <definedName name="hbjgjuae">#REF!</definedName>
    <definedName name="hcjfkhdghfktg" hidden="1">{#N/A,#N/A,FALSE,"Plan1";#N/A,#N/A,FALSE,"Plan2"}</definedName>
    <definedName name="hckhjfdkgfdg" hidden="1">#REF!</definedName>
    <definedName name="hddfndgd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 hidden="1">{#N/A,#N/A,FALSE,"Plan1";#N/A,#N/A,FALSE,"Plan2"}</definedName>
    <definedName name="HDFGJKHKFDHTY" hidden="1">{#N/A,#N/A,FALSE,"Plan1";#N/A,#N/A,FALSE,"Plan2"}</definedName>
    <definedName name="hdfhdhrtgd" hidden="1">{#N/A,#N/A,FALSE,"Plan1";#N/A,#N/A,FALSE,"Plan2"}</definedName>
    <definedName name="hdfhftde" hidden="1">{#N/A,#N/A,FALSE,"Plan1";#N/A,#N/A,FALSE,"Plan2"}</definedName>
    <definedName name="hdfhgkdhgtrf" hidden="1">{#N/A,#N/A,FALSE,"Plan1";#N/A,#N/A,FALSE,"Plan2"}</definedName>
    <definedName name="hdfjhdkzhgdr" hidden="1">{#N/A,#N/A,FALSE,"Plan1";#N/A,#N/A,FALSE,"Plan2"}</definedName>
    <definedName name="hdfjkgvjgtd" hidden="1">{#N/A,#N/A,FALSE,"Plan1";#N/A,#N/A,FALSE,"Plan2"}</definedName>
    <definedName name="hdfjkhdhrute" hidden="1">{#N/A,#N/A,FALSE,"Plan1";#N/A,#N/A,FALSE,"Plan2"}</definedName>
    <definedName name="HDFKGVF" hidden="1">{#N/A,#N/A,FALSE,"Plan1";#N/A,#N/A,FALSE,"Plan2"}</definedName>
    <definedName name="hdgfhdgtdrt" hidden="1">{#N/A,#N/A,FALSE,"Plan1";#N/A,#N/A,FALSE,"Plan2"}</definedName>
    <definedName name="hdghgtgtrgd" hidden="1">{#N/A,#N/A,FALSE,"Plan1";#N/A,#N/A,FALSE,"Plan2"}</definedName>
    <definedName name="HDHDGHTUHDTG" hidden="1">{#N/A,#N/A,FALSE,"Plan1";#N/A,#N/A,FALSE,"Plan2"}</definedName>
    <definedName name="hdhghfthrrhy" hidden="1">{#N/A,#N/A,FALSE,"Plan1";#N/A,#N/A,FALSE,"Plan2"}</definedName>
    <definedName name="hdkfjhydjh" hidden="1">{#N/A,#N/A,FALSE,"Plan1";#N/A,#N/A,FALSE,"Plan2"}</definedName>
    <definedName name="hdsgfgrrdgr" hidden="1">{#N/A,#N/A,FALSE,"Plan1";#N/A,#N/A,FALSE,"Plan2"}</definedName>
    <definedName name="hdtertkkdsa" hidden="1">{#N/A,#N/A,FALSE,"Plan1";#N/A,#N/A,FALSE,"Plan2"}</definedName>
    <definedName name="Header">#REF!</definedName>
    <definedName name="HEDHA" hidden="1">{#N/A,#N/A,FALSE,"Plan1";#N/A,#N/A,FALSE,"Plan2"}</definedName>
    <definedName name="hei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LP">#REF!</definedName>
    <definedName name="herkfdshfker" hidden="1">{#N/A,#N/A,FALSE,"Plan1";#N/A,#N/A,FALSE,"Plan2"}</definedName>
    <definedName name="hersdtretyt" hidden="1">{#N/A,#N/A,FALSE,"Plan1";#N/A,#N/A,FALSE,"Plan2"}</definedName>
    <definedName name="HFDJTHTR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 hidden="1">{#N/A,#N/A,FALSE,"Plan1";#N/A,#N/A,FALSE,"Plan2"}</definedName>
    <definedName name="hfdkhgkfdhtj" hidden="1">{#N/A,#N/A,FALSE,"Plan1";#N/A,#N/A,FALSE,"Plan2"}</definedName>
    <definedName name="hfgfktgkhyt" hidden="1">{#N/A,#N/A,FALSE,"Plan1";#N/A,#N/A,FALSE,"Plan2"}</definedName>
    <definedName name="hfghdkhrgkjg" hidden="1">{#N/A,#N/A,FALSE,"Plan1";#N/A,#N/A,FALSE,"Plan2"}</definedName>
    <definedName name="hfighfth" hidden="1">{#N/A,#N/A,FALSE,"Plan1";#N/A,#N/A,FALSE,"Plan2"}</definedName>
    <definedName name="hfjghtfuyrf" hidden="1">{#N/A,#N/A,FALSE,"Plan1";#N/A,#N/A,FALSE,"Plan2"}</definedName>
    <definedName name="HFKJHDJGHFJ" hidden="1">{#N/A,#N/A,FALSE,"Plan1";#N/A,#N/A,FALSE,"Plan2"}</definedName>
    <definedName name="hgdesgfgsj" hidden="1">{#N/A,#N/A,FALSE,"Plan1";#N/A,#N/A,FALSE,"Plan2"}</definedName>
    <definedName name="hgdgfd" hidden="1">{#N/A,#N/A,FALSE,"Plan1";#N/A,#N/A,FALSE,"Plan2"}</definedName>
    <definedName name="hgfhjkdfhj" hidden="1">{#N/A,#N/A,FALSE,"Plan1";#N/A,#N/A,FALSE,"Plan2"}</definedName>
    <definedName name="hgg" hidden="1">{#N/A,#N/A,FALSE,"Plan1";#N/A,#N/A,FALSE,"Plan2"}</definedName>
    <definedName name="hgjdfgghg" hidden="1">{#N/A,#N/A,FALSE,"Plan1";#N/A,#N/A,FALSE,"Plan2"}</definedName>
    <definedName name="hgjkfdhg" hidden="1">{#N/A,#N/A,FALSE,"Plan1";#N/A,#N/A,FALSE,"Plan2"}</definedName>
    <definedName name="hgkdfhkfk" hidden="1">{#N/A,#N/A,FALSE,"Plan1";#N/A,#N/A,FALSE,"Plan2"}</definedName>
    <definedName name="hgkjhdfhtrdyt" hidden="1">{#N/A,#N/A,FALSE,"Plan1";#N/A,#N/A,FALSE,"Plan2"}</definedName>
    <definedName name="hgkjhdfkhgtfhg" hidden="1">{#N/A,#N/A,FALSE,"Plan1";#N/A,#N/A,FALSE,"Plan2"}</definedName>
    <definedName name="hgkjhkfhsdkdhgk" hidden="1">{#N/A,#N/A,FALSE,"Plan1";#N/A,#N/A,FALSE,"Plan2"}</definedName>
    <definedName name="hgsufgdhghd" hidden="1">{#N/A,#N/A,FALSE,"Plan1";#N/A,#N/A,FALSE,"Plan2"}</definedName>
    <definedName name="HHGFHTYUT" hidden="1">{#N/A,#N/A,FALSE,"Plan1";#N/A,#N/A,FALSE,"Plan2"}</definedName>
    <definedName name="hhh" hidden="1">{"'Total'!$A$1","'Total'!$A$3"}</definedName>
    <definedName name="HHIHLK" hidden="1">#REF!</definedName>
    <definedName name="hik" hidden="1">{#N/A,#N/A,FALSE,"TABLE"}</definedName>
    <definedName name="hist">#REF!</definedName>
    <definedName name="HIST1">#REF!</definedName>
    <definedName name="HISTEQ">#REF!</definedName>
    <definedName name="HISTOGRAMA">#REF!</definedName>
    <definedName name="hjdgtjdjxrfg" hidden="1">{#N/A,#N/A,FALSE,"Plan1";#N/A,#N/A,FALSE,"Plan2"}</definedName>
    <definedName name="HJFDGD" hidden="1">{#N/A,#N/A,FALSE,"Plan1";#N/A,#N/A,FALSE,"Plan2"}</definedName>
    <definedName name="HJGASD" hidden="1">{#N/A,#N/A,FALSE,"Plan1";#N/A,#N/A,FALSE,"Plan2"}</definedName>
    <definedName name="HJGFGTFDG" hidden="1">{#N/A,#N/A,FALSE,"Plan1";#N/A,#N/A,FALSE,"Plan2"}</definedName>
    <definedName name="hjgfhdsgfhsd" hidden="1">{#N/A,#N/A,FALSE,"Plan1";#N/A,#N/A,FALSE,"Plan2"}</definedName>
    <definedName name="hjgxfjgdjyftr" hidden="1">{#N/A,#N/A,FALSE,"Plan1";#N/A,#N/A,FALSE,"Plan2"}</definedName>
    <definedName name="hjgyugasd" hidden="1">{#N/A,#N/A,FALSE,"Plan1";#N/A,#N/A,FALSE,"Plan2"}</definedName>
    <definedName name="hjjfyfy" hidden="1">{#N/A,#N/A,FALSE,"Plan1";#N/A,#N/A,FALSE,"Plan2"}</definedName>
    <definedName name="hjkchkvjhdjkgh" hidden="1">{#N/A,#N/A,FALSE,"Plan1";#N/A,#N/A,FALSE,"Plan2"}</definedName>
    <definedName name="hjkfjdyht" hidden="1">{#N/A,#N/A,FALSE,"Plan1";#N/A,#N/A,FALSE,"Plan2"}</definedName>
    <definedName name="hjsdf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 hidden="1">{#N/A,#N/A,FALSE,"Plan1";#N/A,#N/A,FALSE,"Plan2"}</definedName>
    <definedName name="hjsdsdrjfrh" hidden="1">2</definedName>
    <definedName name="hjsrdfre" hidden="1">{"Econ Consolidado",#N/A,FALSE,"Econ Consol";"Fluxo de Caixa",#N/A,FALSE,"Fluxo Caixa";"Investimentos",#N/A,FALSE,"Investimentos"}</definedName>
    <definedName name="HKewewsr" hidden="1">{#N/A,#N/A,FALSE,"Plan1";#N/A,#N/A,FALSE,"Plan2"}</definedName>
    <definedName name="hkhdskacd" hidden="1">{#N/A,#N/A,FALSE,"Plan1";#N/A,#N/A,FALSE,"Plan2"}</definedName>
    <definedName name="hkjfgfhgfh" hidden="1">{#N/A,#N/A,FALSE,"Plan1";#N/A,#N/A,FALSE,"Plan2"}</definedName>
    <definedName name="hkjfhgjkfhghfg" hidden="1">{#N/A,#N/A,FALSE,"Plan1";#N/A,#N/A,FALSE,"Plan2"}</definedName>
    <definedName name="HKLZHFRH" hidden="1">{#N/A,#N/A,FALSE,"Plan1";#N/A,#N/A,FALSE,"Plan2"}</definedName>
    <definedName name="ho" hidden="1">{#N/A,#N/A,FALSE,"TABLE"}</definedName>
    <definedName name="HOJE">#REF!</definedName>
    <definedName name="HONORARIOS">#REF!</definedName>
    <definedName name="HOSPEDES">#REF!</definedName>
    <definedName name="HOTEL">#REF!</definedName>
    <definedName name="hrterte" hidden="1">{#N/A,#N/A,FALSE,"Plan1";#N/A,#N/A,FALSE,"Plan2"}</definedName>
    <definedName name="hsdf" hidden="1">{#N/A,#N/A,FALSE,"Plan1";#N/A,#N/A,FALSE,"Plan2"}</definedName>
    <definedName name="hsdfgdgudrt" hidden="1">{#N/A,#N/A,FALSE,"Plan1";#N/A,#N/A,FALSE,"Plan2"}</definedName>
    <definedName name="hsdfjkdhur" hidden="1">{#N/A,#N/A,FALSE,"Plan1";#N/A,#N/A,FALSE,"Plan2"}</definedName>
    <definedName name="hsdgftdh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 hidden="1">{#N/A,#N/A,FALSE,"Plan1";#N/A,#N/A,FALSE,"Plan2"}</definedName>
    <definedName name="hsdjffe" hidden="1">{#N/A,#N/A,FALSE,"Plan1";#N/A,#N/A,FALSE,"Plan2"}</definedName>
    <definedName name="HSFIHDTR" hidden="1">{"Econ Consolidado",#N/A,FALSE,"Econ Consol";"Fluxo de Caixa",#N/A,FALSE,"Fluxo Caixa";"Investimentos",#N/A,FALSE,"Investimentos"}</definedName>
    <definedName name="hsfjkdshrgf" hidden="1">{#N/A,#N/A,FALSE,"Plan1";#N/A,#N/A,FALSE,"Plan2"}</definedName>
    <definedName name="hthhrtetdre" hidden="1">{#N/A,#N/A,FALSE,"Plan1";#N/A,#N/A,FALSE,"Plan2"}</definedName>
    <definedName name="HTM">#REF!</definedName>
    <definedName name="HTML_CodePage" hidden="1">949</definedName>
    <definedName name="HTML_Control" hidden="1">{"'장비'!$A$3:$M$12"}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</definedName>
    <definedName name="HTML_LineBefore" hidden="1">FALSE</definedName>
    <definedName name="HTML_Name" hidden="1">"이진화"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"가산동미라보"</definedName>
    <definedName name="HTML2_CONTROL" hidden="1">{"'Estimativa de Lançamento-JAN'!$A$1:$AI$85"}</definedName>
    <definedName name="HTML3_CONTROL" hidden="1">{"'Estimativa de Lançamento-JAN'!$A$1:$AI$85"}</definedName>
    <definedName name="HTMLControl" hidden="1">{"'Edit'!$A$1:$V$2277"}</definedName>
    <definedName name="HTN">#REF!</definedName>
    <definedName name="HVJKHGKFXHFD" hidden="1">{#N/A,#N/A,FALSE,"Plan1";#N/A,#N/A,FALSE,"Plan2"}</definedName>
    <definedName name="hwekjhekhf" hidden="1">{#N/A,#N/A,FALSE,"Plan1";#N/A,#N/A,FALSE,"Plan2"}</definedName>
    <definedName name="HXFRE" hidden="1">{#N/A,#N/A,FALSE,"Plan1";#N/A,#N/A,FALSE,"Plan2"}</definedName>
    <definedName name="HXKJFGDKHG" hidden="1">{#N/A,#N/A,FALSE,"Plan1";#N/A,#N/A,FALSE,"Plan2"}</definedName>
    <definedName name="I">#REF!</definedName>
    <definedName name="ibir_cdi">#REF!</definedName>
    <definedName name="ibir_hist">#REF!</definedName>
    <definedName name="ibir_uss">#REF!</definedName>
    <definedName name="IC" hidden="1">#REF!</definedName>
    <definedName name="icoa_cdi">#REF!</definedName>
    <definedName name="icoa_hist">#REF!</definedName>
    <definedName name="icoa_uss">#REF!</definedName>
    <definedName name="Identificação">#REF!</definedName>
    <definedName name="idfhgkjhfkthy" hidden="1">{#N/A,#N/A,FALSE,"Plan1";#N/A,#N/A,FALSE,"Plan2"}</definedName>
    <definedName name="ieroweft" hidden="1">{#N/A,#N/A,FALSE,"Plan1";#N/A,#N/A,FALSE,"Plan2"}</definedName>
    <definedName name="iewpotqi5poejy" hidden="1">{#N/A,#N/A,FALSE,"Plan1";#N/A,#N/A,FALSE,"Plan2"}</definedName>
    <definedName name="ihdfifguhgfuiy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 hidden="1">#REF!</definedName>
    <definedName name="ihfdkjhktgrd" hidden="1">{#N/A,#N/A,FALSE,"Plan1";#N/A,#N/A,FALSE,"Plan2"}</definedName>
    <definedName name="ihrtetw4r" hidden="1">{#N/A,#N/A,FALSE,"Plan1";#N/A,#N/A,FALSE,"Plan2"}</definedName>
    <definedName name="II">#REF!</definedName>
    <definedName name="IIASDSAWE" hidden="1">{"Econ Consolidado",#N/A,FALSE,"Econ Consol";"Fluxo de Caixa",#N/A,FALSE,"Fluxo Caixa";"Investimentos",#N/A,FALSE,"Investimentos"}</definedName>
    <definedName name="III">#REF!</definedName>
    <definedName name="iins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 hidden="1">{#N/A,#N/A,FALSE,"Plan1";#N/A,#N/A,FALSE,"Plan2"}</definedName>
    <definedName name="ilsdr4w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">#REF!</definedName>
    <definedName name="IMP" hidden="1">#REF!</definedName>
    <definedName name="IMPERMEABILIZ.">#REF!</definedName>
    <definedName name="IMPF">#REF!</definedName>
    <definedName name="IMPI">#REF!</definedName>
    <definedName name="IMPOSTO">#REF!</definedName>
    <definedName name="INCC">#REF!</definedName>
    <definedName name="Incorido_Aplicado_X_Físico">#REF!</definedName>
    <definedName name="INCORPORAÇÃO">#REF!</definedName>
    <definedName name="Index" hidden="1">#REF!</definedName>
    <definedName name="Indice">#REF!</definedName>
    <definedName name="indice_correcao_proj">#REF!</definedName>
    <definedName name="infra">#REF!</definedName>
    <definedName name="Infra_OBra_Sienge">#REF!</definedName>
    <definedName name="Infra_Projetos_Sienge">#REF!</definedName>
    <definedName name="INFRA2">#REF!</definedName>
    <definedName name="Insa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S_Bloqueado_Fin_Medição">#REF!</definedName>
    <definedName name="Inss_Bloqueado_Previsão_Fin_Medições">#REF!</definedName>
    <definedName name="instalaçoe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">OFFSET(#REF!,0,0,COUNTA(#REF!),1)</definedName>
    <definedName name="INSUMOS">#REF!</definedName>
    <definedName name="INT.FILTRO.NBASE">#REF!</definedName>
    <definedName name="INTEGRA" hidden="1">{"'Edit'!$A$1:$V$2277"}</definedName>
    <definedName name="IO">196.003</definedName>
    <definedName name="ioeriotyt" hidden="1">{#N/A,#N/A,FALSE,"Plan1";#N/A,#N/A,FALSE,"Plan2"}</definedName>
    <definedName name="iohudtorh" hidden="1">{#N/A,#N/A,FALSE,"Plan1";#N/A,#N/A,FALSE,"Plan2"}</definedName>
    <definedName name="iojtkheayed" hidden="1">{#N/A,#N/A,FALSE,"Plan1";#N/A,#N/A,FALSE,"Plan2"}</definedName>
    <definedName name="iouweroieuw4" hidden="1">{#N/A,#N/A,FALSE,"Plan1";#N/A,#N/A,FALSE,"Plan2"}</definedName>
    <definedName name="iphifpgh" hidden="1">{#N/A,#N/A,FALSE,"Plan1";#N/A,#N/A,FALSE,"Plan2"}</definedName>
    <definedName name="IPMF">#REF!</definedName>
    <definedName name="ipodsifgpd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 hidden="1">{#N/A,#N/A,FALSE,"Plan1";#N/A,#N/A,FALSE,"Plan2"}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40730.4399768518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R_diferido">#REF!</definedName>
    <definedName name="ISOPOR">#REF!</definedName>
    <definedName name="ISS">#REF!</definedName>
    <definedName name="ItalieNS">#REF!</definedName>
    <definedName name="ItalieNT">#REF!</definedName>
    <definedName name="itc_cdi">#REF!</definedName>
    <definedName name="itc_hist">#REF!</definedName>
    <definedName name="itc_uss">#REF!</definedName>
    <definedName name="item_1">#REF!</definedName>
    <definedName name="ITEMCONT">#REF!</definedName>
    <definedName name="ITEMDER">#REF!</definedName>
    <definedName name="ITEMIZAÇÃO">#REF!</definedName>
    <definedName name="ITEMIZAÇÃO_2">#REF!</definedName>
    <definedName name="ITEMIZAÇÃO_3">#REF!</definedName>
    <definedName name="ITEMIZAÇÃO_4">#REF!</definedName>
    <definedName name="ITEMIZAÇÃO_5">#REF!</definedName>
    <definedName name="ITEMIZAÇÃO_7">#REF!</definedName>
    <definedName name="ITEMIZAÇÃO_8">#REF!</definedName>
    <definedName name="ITEMR20">#REF!</definedName>
    <definedName name="ITEM별상세업무분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NS">#REF!</definedName>
    <definedName name="ITENS0">#REF!</definedName>
    <definedName name="ITENS1">#REF!</definedName>
    <definedName name="ITENSP">#REF!</definedName>
    <definedName name="ITENSPMED">#REF!</definedName>
    <definedName name="IUGFGDFU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V">#REF!</definedName>
    <definedName name="iyguygiyt" hidden="1">{#N/A,#N/A,FALSE,"Plan1";#N/A,#N/A,FALSE,"Plan2"}</definedName>
    <definedName name="iyuyheturtd" hidden="1">{#N/A,#N/A,FALSE,"Plan1";#N/A,#N/A,FALSE,"Plan2"}</definedName>
    <definedName name="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 hidden="1">{#N/A,#N/A,FALSE,"Plan1";#N/A,#N/A,FALSE,"Plan2"}</definedName>
    <definedName name="jan_05">#REF!</definedName>
    <definedName name="jan17RJ">#REF!</definedName>
    <definedName name="JANEIRO2001">#REF!</definedName>
    <definedName name="JASDJS" hidden="1">{#N/A,#N/A,FALSE,"Plan1";#N/A,#N/A,FALSE,"Plan2"}</definedName>
    <definedName name="jaskldjlse" hidden="1">{#N/A,#N/A,FALSE,"Plan1";#N/A,#N/A,FALSE,"Plan2"}</definedName>
    <definedName name="JASLDKLD" hidden="1">{#N/A,#N/A,FALSE,"Plan1";#N/A,#N/A,FALSE,"Plan2"}</definedName>
    <definedName name="jasoe" hidden="1">#REF!</definedName>
    <definedName name="jbzxffcbgdhgft" hidden="1">#REF!</definedName>
    <definedName name="JÇDFHDF" hidden="1">{"Econ Consolidado",#N/A,FALSE,"Econ Consol";"Fluxo de Caixa",#N/A,FALSE,"Fluxo Caixa";"Investimentos",#N/A,FALSE,"Investimentos"}</definedName>
    <definedName name="jdbgftbhr" hidden="1">{#N/A,#N/A,FALSE,"Plan1";#N/A,#N/A,FALSE,"Plan2"}</definedName>
    <definedName name="jdfgkrhgft" hidden="1">#REF!</definedName>
    <definedName name="jdfgldfjgklh" hidden="1">{#N/A,#N/A,FALSE,"Plan1";#N/A,#N/A,FALSE,"Plan2"}</definedName>
    <definedName name="jdfhjkdrhjtkg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 hidden="1">{#N/A,#N/A,FALSE,"Plan1";#N/A,#N/A,FALSE,"Plan2"}</definedName>
    <definedName name="JDFJLDJR" hidden="1">{#N/A,#N/A,FALSE,"Plan1";#N/A,#N/A,FALSE,"Plan2"}</definedName>
    <definedName name="jdfkgitfgdrtt" hidden="1">{#N/A,#N/A,FALSE,"Plan1";#N/A,#N/A,FALSE,"Plan2"}</definedName>
    <definedName name="JDFKHFKJ" hidden="1">{#N/A,#N/A,FALSE,"Plan1";#N/A,#N/A,FALSE,"Plan2"}</definedName>
    <definedName name="jdfklgtdtr" hidden="1">{#N/A,#N/A,FALSE,"Plan1";#N/A,#N/A,FALSE,"Plan2"}</definedName>
    <definedName name="JDFKTHRT" hidden="1">{#N/A,#N/A,FALSE,"Plan1";#N/A,#N/A,FALSE,"Plan2"}</definedName>
    <definedName name="JDFLKJDRF" hidden="1">{#N/A,#N/A,FALSE,"Plan1";#N/A,#N/A,FALSE,"Plan2"}</definedName>
    <definedName name="jdfzlkjgfdht" hidden="1">{#N/A,#N/A,FALSE,"Plan1";#N/A,#N/A,FALSE,"Plan2"}</definedName>
    <definedName name="jdglhfghkt" hidden="1">{#N/A,#N/A,FALSE,"Plan1";#N/A,#N/A,FALSE,"Plan2"}</definedName>
    <definedName name="jdhfjdhgfd" hidden="1">{#N/A,#N/A,FALSE,"Plan1";#N/A,#N/A,FALSE,"Plan2"}</definedName>
    <definedName name="jdjdjdjd" hidden="1">{#N/A,#N/A,FALSE,"명세표"}</definedName>
    <definedName name="jdkfhgjhf" hidden="1">{#N/A,#N/A,FALSE,"Plan1";#N/A,#N/A,FALSE,"Plan2"}</definedName>
    <definedName name="jdkfjdtr" hidden="1">{#N/A,#N/A,FALSE,"Plan1";#N/A,#N/A,FALSE,"Plan2"}</definedName>
    <definedName name="jdljgftldjti5r" hidden="1">{#N/A,#N/A,FALSE,"Plan1";#N/A,#N/A,FALSE,"Plan2"}</definedName>
    <definedName name="JDLKJDASGF" hidden="1">{#N/A,#N/A,FALSE,"Plan1";#N/A,#N/A,FALSE,"Plan2"}</definedName>
    <definedName name="jdrfkdjfghrtfjg" hidden="1">{#N/A,#N/A,FALSE,"Plan1";#N/A,#N/A,FALSE,"Plan2"}</definedName>
    <definedName name="jdskfhdk" hidden="1">{#N/A,#N/A,FALSE,"Plan1";#N/A,#N/A,FALSE,"Plan2"}</definedName>
    <definedName name="JDSKLGKDRHGGF" hidden="1">{#N/A,#N/A,FALSE,"Plan1";#N/A,#N/A,FALSE,"Plan2"}</definedName>
    <definedName name="jefsgfr" hidden="1">{#N/A,#N/A,FALSE,"Plan1";#N/A,#N/A,FALSE,"Plan2"}</definedName>
    <definedName name="JERHIEHYURE" hidden="1">{#N/A,#N/A,FALSE,"Plan1";#N/A,#N/A,FALSE,"Plan2"}</definedName>
    <definedName name="jfddlsrtyty" hidden="1">{#N/A,#N/A,FALSE,"Plan1";#N/A,#N/A,FALSE,"Plan2"}</definedName>
    <definedName name="jfdjtgdjghitfyh" hidden="1">{#N/A,#N/A,FALSE,"Plan1";#N/A,#N/A,FALSE,"Plan2"}</definedName>
    <definedName name="jfdkgkftftg" hidden="1">{#N/A,#N/A,FALSE,"Plan1";#N/A,#N/A,FALSE,"Plan2"}</definedName>
    <definedName name="jfghjkfdhtkyr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 hidden="1">{#N/A,#N/A,FALSE,"Plan1";#N/A,#N/A,FALSE,"Plan2"}</definedName>
    <definedName name="jfgkflcnjkglc" hidden="1">{#N/A,#N/A,FALSE,"Plan1";#N/A,#N/A,FALSE,"Plan2"}</definedName>
    <definedName name="JFHRE" hidden="1">{#N/A,#N/A,FALSE,"Plan1";#N/A,#N/A,FALSE,"Plan2"}</definedName>
    <definedName name="jfkdls5jtirjd" hidden="1">{#N/A,#N/A,FALSE,"Plan1";#N/A,#N/A,FALSE,"Plan2"}</definedName>
    <definedName name="jfkljdkfcj" hidden="1">{#N/A,#N/A,FALSE,"Plan1";#N/A,#N/A,FALSE,"Plan2"}</definedName>
    <definedName name="jfkrhdtghdut" hidden="1">{#N/A,#N/A,FALSE,"Plan1";#N/A,#N/A,FALSE,"Plan2"}</definedName>
    <definedName name="JFRESR" hidden="1">{#N/A,#N/A,FALSE,"Plan1";#N/A,#N/A,FALSE,"Plan2"}</definedName>
    <definedName name="jgdfdgfjgdj" hidden="1">{#N/A,#N/A,FALSE,"Plan1";#N/A,#N/A,FALSE,"Plan2"}</definedName>
    <definedName name="jgdfght" hidden="1">{#N/A,#N/A,FALSE,"Plan1";#N/A,#N/A,FALSE,"Plan2"}</definedName>
    <definedName name="jgfgdsgfdhrf" hidden="1">{#N/A,#N/A,FALSE,"Plan1";#N/A,#N/A,FALSE,"Plan2"}</definedName>
    <definedName name="JGFJGTFT" hidden="1">{#N/A,#N/A,FALSE,"Plan1";#N/A,#N/A,FALSE,"Plan2"}</definedName>
    <definedName name="JGJSFJKSDGB" hidden="1">17</definedName>
    <definedName name="jgkjkhjuftgi" hidden="1">{#N/A,#N/A,FALSE,"Plan1";#N/A,#N/A,FALSE,"Plan2"}</definedName>
    <definedName name="jh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 hidden="1">{#N/A,#N/A,FALSE,"Plan1";#N/A,#N/A,FALSE,"Plan2"}</definedName>
    <definedName name="jhdfjkhtrdhf" hidden="1">{#N/A,#N/A,FALSE,"Plan1";#N/A,#N/A,FALSE,"Plan2"}</definedName>
    <definedName name="jhdfuthr" hidden="1">{#N/A,#N/A,FALSE,"Plan1";#N/A,#N/A,FALSE,"Plan2"}</definedName>
    <definedName name="JHDFZGRDHF" hidden="1">{"Econ Consolidado",#N/A,FALSE,"Econ Consol";"Fluxo de Caixa",#N/A,FALSE,"Fluxo Caixa";"Investimentos",#N/A,FALSE,"Investimentos"}</definedName>
    <definedName name="JHERKHKFGH" hidden="1">{#N/A,#N/A,FALSE,"Plan1";#N/A,#N/A,FALSE,"Plan2"}</definedName>
    <definedName name="jhfhhztfhe" hidden="1">#REF!</definedName>
    <definedName name="JHGKJFJFJGL" hidden="1">{#N/A,#N/A,FALSE,"Plan1";#N/A,#N/A,FALSE,"Plan2"}</definedName>
    <definedName name="jhsdjkhfuks" hidden="1">{#N/A,#N/A,FALSE,"Plan1";#N/A,#N/A,FALSE,"Plan2"}</definedName>
    <definedName name="jisdrkje" hidden="1">{#N/A,#N/A,FALSE,"Plan1";#N/A,#N/A,FALSE,"Plan2"}</definedName>
    <definedName name="jishfrieyhtau" hidden="1">{#N/A,#N/A,FALSE,"Plan1";#N/A,#N/A,FALSE,"Plan2"}</definedName>
    <definedName name="ji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 hidden="1">{"'Apr-00'!$B$4:$AD$44"}</definedName>
    <definedName name="jjfdsktyhhy" hidden="1">{#N/A,#N/A,FALSE,"Plan1";#N/A,#N/A,FALSE,"Plan2"}</definedName>
    <definedName name="jjjjjjjjjjjjjjjjjjjj">#REF!</definedName>
    <definedName name="jjkjkjk" hidden="1">{#N/A,#N/A,FALSE,"Plan1";#N/A,#N/A,FALSE,"Plan2"}</definedName>
    <definedName name="JKDCK" hidden="1">{#N/A,#N/A,FALSE,"Plan1";#N/A,#N/A,FALSE,"Plan2"}</definedName>
    <definedName name="JKDFHKHFR" hidden="1">{#N/A,#N/A,FALSE,"Plan1";#N/A,#N/A,FALSE,"Plan2"}</definedName>
    <definedName name="JKDFTRDRJ" hidden="1">{#N/A,#N/A,FALSE,"Plan1";#N/A,#N/A,FALSE,"Plan2"}</definedName>
    <definedName name="jkdhfukhddf" hidden="1">{#N/A,#N/A,FALSE,"Plan1";#N/A,#N/A,FALSE,"Plan2"}</definedName>
    <definedName name="JKDRKGJHTD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 hidden="1">{#N/A,#N/A,FALSE,"Plan1";#N/A,#N/A,FALSE,"Plan2"}</definedName>
    <definedName name="jkfhjgkfhghh" hidden="1">{#N/A,#N/A,FALSE,"Plan1";#N/A,#N/A,FALSE,"Plan2"}</definedName>
    <definedName name="jkhderjkhes" hidden="1">{#N/A,#N/A,FALSE,"Plan1";#N/A,#N/A,FALSE,"Plan2"}</definedName>
    <definedName name="jkhdfhfd" hidden="1">{#N/A,#N/A,FALSE,"Plan1";#N/A,#N/A,FALSE,"Plan2"}</definedName>
    <definedName name="jkhfhes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 hidden="1">{#N/A,#N/A,FALSE,"Plan1";#N/A,#N/A,FALSE,"Plan2"}</definedName>
    <definedName name="JKHGDHFUHTG" hidden="1">{#N/A,#N/A,FALSE,"Plan1";#N/A,#N/A,FALSE,"Plan2"}</definedName>
    <definedName name="jkhsdzjkfyiu" hidden="1">{#N/A,#N/A,FALSE,"Plan1";#N/A,#N/A,FALSE,"Plan2"}</definedName>
    <definedName name="jkjsdkhfdhrf" hidden="1">{#N/A,#N/A,FALSE,"Plan1";#N/A,#N/A,FALSE,"Plan2"}</definedName>
    <definedName name="jklgfsjgtjtg" hidden="1">{#N/A,#N/A,FALSE,"Plan1";#N/A,#N/A,FALSE,"Plan2"}</definedName>
    <definedName name="jksldfjsdhf" hidden="1">{#N/A,#N/A,FALSE,"Plan1";#N/A,#N/A,FALSE,"Plan2"}</definedName>
    <definedName name="jkxhcjkhfr" hidden="1">{#N/A,#N/A,FALSE,"Plan1";#N/A,#N/A,FALSE,"Plan2"}</definedName>
    <definedName name="JNGCKFKJFGH" hidden="1">{#N/A,#N/A,FALSE,"Plan1";#N/A,#N/A,FALSE,"Plan2"}</definedName>
    <definedName name="JOALDO">#REF!</definedName>
    <definedName name="joao_cdi">#REF!</definedName>
    <definedName name="joao_hist">#REF!</definedName>
    <definedName name="joao_uss">#REF!</definedName>
    <definedName name="JREJRW" hidden="1">{#N/A,#N/A,FALSE,"Plan1";#N/A,#N/A,FALSE,"Plan2"}</definedName>
    <definedName name="JSADKAH" hidden="1">{"Econ Consolidado",#N/A,FALSE,"Econ Consol";"Fluxo de Caixa",#N/A,FALSE,"Fluxo Caixa";"Investimentos",#N/A,FALSE,"Investimentos"}</definedName>
    <definedName name="JSDAJRE" hidden="1">{#N/A,#N/A,FALSE,"Plan1";#N/A,#N/A,FALSE,"Plan2"}</definedName>
    <definedName name="jsdffs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 hidden="1">{#N/A,#N/A,FALSE,"Plan1";#N/A,#N/A,FALSE,"Plan2"}</definedName>
    <definedName name="jsdfkgnfr" hidden="1">#REF!</definedName>
    <definedName name="jsdfsdfd" hidden="1">{#N/A,#N/A,FALSE,"Plan1";#N/A,#N/A,FALSE,"Plan2"}</definedName>
    <definedName name="jsdljficd" hidden="1">{#N/A,#N/A,FALSE,"Plan1";#N/A,#N/A,FALSE,"Plan2"}</definedName>
    <definedName name="JSDTLFJDRG" hidden="1">{#N/A,#N/A,FALSE,"Plan1";#N/A,#N/A,FALSE,"Plan2"}</definedName>
    <definedName name="jsfjsjferwea" hidden="1">{#N/A,#N/A,FALSE,"Plan1";#N/A,#N/A,FALSE,"Plan2"}</definedName>
    <definedName name="jslrjer" hidden="1">{#N/A,#N/A,FALSE,"Plan1";#N/A,#N/A,FALSE,"Plan2"}</definedName>
    <definedName name="juklhkhdf" hidden="1">{#N/A,#N/A,FALSE,"Plan1";#N/A,#N/A,FALSE,"Plan2"}</definedName>
    <definedName name="jul17RJ">#REF!</definedName>
    <definedName name="JULHO">#REF!</definedName>
    <definedName name="JULHO2001">#REF!</definedName>
    <definedName name="JULHO99" hidden="1">{#N/A,#N/A,TRUE,"Quinzena 01 à 15-04-98 "}</definedName>
    <definedName name="jun17RJ">#REF!</definedName>
    <definedName name="JUNHO">#REF!</definedName>
    <definedName name="JUNHO2001">#REF!</definedName>
    <definedName name="JurosTpMes">#REF!</definedName>
    <definedName name="jwekljd" hidden="1">{#N/A,#N/A,FALSE,"Plan1";#N/A,#N/A,FALSE,"Plan2"}</definedName>
    <definedName name="JWEOITORU5Y" hidden="1">{#N/A,#N/A,FALSE,"Plan1";#N/A,#N/A,FALSE,"Plan2"}</definedName>
    <definedName name="jxdfjsrf" hidden="1">{#N/A,#N/A,FALSE,"Plan1";#N/A,#N/A,FALSE,"Plan2"}</definedName>
    <definedName name="jxdklfj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 hidden="1">#REF!</definedName>
    <definedName name="jzsdjkszl" hidden="1">{#N/A,#N/A,FALSE,"Plan1";#N/A,#N/A,FALSE,"Plan2"}</definedName>
    <definedName name="JZXFKLJLDJF" hidden="1">{#N/A,#N/A,FALSE,"Plan1";#N/A,#N/A,FALSE,"Plan2"}</definedName>
    <definedName name="jzxklfdlvgfg" hidden="1">{#N/A,#N/A,FALSE,"Plan1";#N/A,#N/A,FALSE,"Plan2"}</definedName>
    <definedName name="k" hidden="1">{#N/A,#N/A,FALSE,"Plan1";#N/A,#N/A,FALSE,"Plan2"}</definedName>
    <definedName name="K_1">#REF!</definedName>
    <definedName name="kaedkroswr" hidden="1">{"Econ Consolidado",#N/A,FALSE,"Econ Consol";"Fluxo de Caixa",#N/A,FALSE,"Fluxo Caixa";"Investimentos",#N/A,FALSE,"Investimentos"}</definedName>
    <definedName name="kapa">#REF!</definedName>
    <definedName name="kç\lKçaksdçaqew" hidden="1">{#N/A,#N/A,FALSE,"Plan1";#N/A,#N/A,FALSE,"Plan2"}</definedName>
    <definedName name="kçdasekr" hidden="1">{#N/A,#N/A,FALSE,"Plan1";#N/A,#N/A,FALSE,"Plan2"}</definedName>
    <definedName name="kçfdljtredr" hidden="1">{#N/A,#N/A,FALSE,"Plan1";#N/A,#N/A,FALSE,"Plan2"}</definedName>
    <definedName name="KCIVIL">#REF!</definedName>
    <definedName name="kclçkglf" hidden="1">{#N/A,#N/A,FALSE,"Plan1";#N/A,#N/A,FALSE,"Plan2"}</definedName>
    <definedName name="kçlkasçkere" hidden="1">{#N/A,#N/A,FALSE,"Plan1";#N/A,#N/A,FALSE,"Plan2"}</definedName>
    <definedName name="kdfbngtjkbf" hidden="1">{#N/A,#N/A,FALSE,"Plan1";#N/A,#N/A,FALSE,"Plan2"}</definedName>
    <definedName name="kdfhkghkrh" hidden="1">{#N/A,#N/A,FALSE,"Plan1";#N/A,#N/A,FALSE,"Plan2"}</definedName>
    <definedName name="kdfier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 hidden="1">{#N/A,#N/A,FALSE,"Plan1";#N/A,#N/A,FALSE,"Plan2"}</definedName>
    <definedName name="kdfljlfr" hidden="1">{#N/A,#N/A,FALSE,"Plan1";#N/A,#N/A,FALSE,"Plan2"}</definedName>
    <definedName name="kdhfgkdfhytgu" hidden="1">{#N/A,#N/A,FALSE,"Plan1";#N/A,#N/A,FALSE,"Plan2"}</definedName>
    <definedName name="kdhgftfg" hidden="1">{#N/A,#N/A,FALSE,"Plan1";#N/A,#N/A,FALSE,"Plan2"}</definedName>
    <definedName name="KDHKFGKKHGF" hidden="1">{#N/A,#N/A,FALSE,"Plan1";#N/A,#N/A,FALSE,"Plan2"}</definedName>
    <definedName name="kdjfdr" hidden="1">#REF!</definedName>
    <definedName name="kdjgkfjgd" hidden="1">{#N/A,#N/A,FALSE,"Plan1";#N/A,#N/A,FALSE,"Plan2"}</definedName>
    <definedName name="kdjglkdlgjd" hidden="1">{#N/A,#N/A,FALSE,"Plan1";#N/A,#N/A,FALSE,"Plan2"}</definedName>
    <definedName name="kdjsfkldjgkty" hidden="1">{#N/A,#N/A,FALSE,"Plan1";#N/A,#N/A,FALSE,"Plan2"}</definedName>
    <definedName name="KDJU" hidden="1">{"'장비'!$A$3:$M$12"}</definedName>
    <definedName name="kdkjhgdkfhjk" hidden="1">{#N/A,#N/A,FALSE,"Plan1";#N/A,#N/A,FALSE,"Plan2"}</definedName>
    <definedName name="kdsf" hidden="1">{#N/A,#N/A,FALSE,"Plan1";#N/A,#N/A,FALSE,"Plan2"}</definedName>
    <definedName name="kdsr" hidden="1">{#N/A,#N/A,FALSE,"Plan1";#N/A,#N/A,FALSE,"Plan2"}</definedName>
    <definedName name="kergtfdstr" hidden="1">{#N/A,#N/A,FALSE,"Plan1";#N/A,#N/A,FALSE,"Plan2"}</definedName>
    <definedName name="kesp">#REF!</definedName>
    <definedName name="KFDKTHGT" hidden="1">{#N/A,#N/A,FALSE,"Plan1";#N/A,#N/A,FALSE,"Plan2"}</definedName>
    <definedName name="kfdxlfdzs" hidden="1">{"Econ Consolidado",#N/A,FALSE,"Econ Consol";"Fluxo de Caixa",#N/A,FALSE,"Fluxo Caixa";"Investimentos",#N/A,FALSE,"Investimentos"}</definedName>
    <definedName name="kfgkhjkjhy" hidden="1">{#N/A,#N/A,FALSE,"Plan1";#N/A,#N/A,FALSE,"Plan2"}</definedName>
    <definedName name="KFJFDSDF" hidden="1">{#N/A,#N/A,FALSE,"Plan1";#N/A,#N/A,FALSE,"Plan2"}</definedName>
    <definedName name="kfnkeasd" hidden="1">{#N/A,#N/A,FALSE,"Plan1";#N/A,#N/A,FALSE,"Plan2"}</definedName>
    <definedName name="khdjkfkjhtg" hidden="1">{#N/A,#N/A,FALSE,"Plan1";#N/A,#N/A,FALSE,"Plan2"}</definedName>
    <definedName name="khdkfjhhfsdg" hidden="1">{#N/A,#N/A,FALSE,"Plan1";#N/A,#N/A,FALSE,"Plan2"}</definedName>
    <definedName name="khdkjfhgudytu" hidden="1">{#N/A,#N/A,FALSE,"Plan1";#N/A,#N/A,FALSE,"Plan2"}</definedName>
    <definedName name="khfdghhhgd" hidden="1">{#N/A,#N/A,FALSE,"Plan1";#N/A,#N/A,FALSE,"Plan2"}</definedName>
    <definedName name="khfdkjhsdjf" hidden="1">{#N/A,#N/A,FALSE,"Plan1";#N/A,#N/A,FALSE,"Plan2"}</definedName>
    <definedName name="khgdkftfy" hidden="1">{#N/A,#N/A,FALSE,"Plan1";#N/A,#N/A,FALSE,"Plan2"}</definedName>
    <definedName name="khgfhhtuhf" hidden="1">{#N/A,#N/A,FALSE,"Plan1";#N/A,#N/A,FALSE,"Plan2"}</definedName>
    <definedName name="khjk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 hidden="1">{#N/A,#N/A,FALSE,"Plan1";#N/A,#N/A,FALSE,"Plan2"}</definedName>
    <definedName name="kieret" hidden="1">{#N/A,#N/A,FALSE,"Plan1";#N/A,#N/A,FALSE,"Plan2"}</definedName>
    <definedName name="kiweokwr" hidden="1">#REF!</definedName>
    <definedName name="kjchkfhsezk" hidden="1">{#N/A,#N/A,FALSE,"Plan1";#N/A,#N/A,FALSE,"Plan2"}</definedName>
    <definedName name="kjdghksef" hidden="1">{#N/A,#N/A,FALSE,"Plan1";#N/A,#N/A,FALSE,"Plan2"}</definedName>
    <definedName name="kjdkftyhtert" hidden="1">{#N/A,#N/A,FALSE,"Plan1";#N/A,#N/A,FALSE,"Plan2"}</definedName>
    <definedName name="kjdlfkjds" hidden="1">{#N/A,#N/A,FALSE,"Plan1";#N/A,#N/A,FALSE,"Plan2"}</definedName>
    <definedName name="kjdzhfytrfy" hidden="1">{#N/A,#N/A,FALSE,"Plan1";#N/A,#N/A,FALSE,"Plan2"}</definedName>
    <definedName name="kjhdfgjthdft" hidden="1">{#N/A,#N/A,FALSE,"Plan1";#N/A,#N/A,FALSE,"Plan2"}</definedName>
    <definedName name="kjhsdf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 hidden="1">{#N/A,#N/A,FALSE,"Plan1";#N/A,#N/A,FALSE,"Plan2"}</definedName>
    <definedName name="KJ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 hidden="1">{#N/A,#N/A,FALSE,"Plan1";#N/A,#N/A,FALSE,"Plan2"}</definedName>
    <definedName name="kjl" hidden="1">{#N/A,#N/A,FALSE,"ENG'G(보호계전기)"}</definedName>
    <definedName name="KJOI" hidden="1">{#N/A,#N/A,FALSE,"Plan1";#N/A,#N/A,FALSE,"Plan2"}</definedName>
    <definedName name="kjqwerw" hidden="1">{#N/A,#N/A,FALSE,"Plan1";#N/A,#N/A,FALSE,"Plan2"}</definedName>
    <definedName name="kjsfert" hidden="1">{#N/A,#N/A,FALSE,"Plan1";#N/A,#N/A,FALSE,"Plan2"}</definedName>
    <definedName name="KJXCFKR" hidden="1">{#N/A,#N/A,FALSE,"Plan1";#N/A,#N/A,FALSE,"Plan2"}</definedName>
    <definedName name="KJXDFD" hidden="1">{#N/A,#N/A,FALSE,"Plan1";#N/A,#N/A,FALSE,"Plan2"}</definedName>
    <definedName name="kjydhfkjghkjfh" hidden="1">#REF!</definedName>
    <definedName name="kk">#REF!</definedName>
    <definedName name="kk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 hidden="1">{#N/A,#N/A,FALSE,"Plan1";#N/A,#N/A,FALSE,"Plan2"}</definedName>
    <definedName name="kkkkk" hidden="1">{#N/A,#N/A,FALSE,"Plan1";#N/A,#N/A,FALSE,"Plan2"}</definedName>
    <definedName name="kkkkkk" hidden="1">{#N/A,#N/A,FALSE,"Plan1";#N/A,#N/A,FALSE,"Plan2"}</definedName>
    <definedName name="kk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 hidden="1">{#N/A,#N/A,FALSE,"Plan1";#N/A,#N/A,FALSE,"Plan2"}</definedName>
    <definedName name="kksarde" hidden="1">{#N/A,#N/A,FALSE,"Plan1";#N/A,#N/A,FALSE,"Plan2"}</definedName>
    <definedName name="klaskldjsw" hidden="1">{#N/A,#N/A,FALSE,"Plan1";#N/A,#N/A,FALSE,"Plan2"}</definedName>
    <definedName name="klçkop" hidden="1">{#N/A,#N/A,FALSE,"Plan1";#N/A,#N/A,FALSE,"Plan2"}</definedName>
    <definedName name="KLDFNTRDT" hidden="1">{#N/A,#N/A,FALSE,"Plan1";#N/A,#N/A,FALSE,"Plan2"}</definedName>
    <definedName name="klhjsdklhdf" hidden="1">{#N/A,#N/A,FALSE,"Plan1";#N/A,#N/A,FALSE,"Plan2"}</definedName>
    <definedName name="KLHSKLRHWE" hidden="1">{#N/A,#N/A,FALSE,"Plan1";#N/A,#N/A,FALSE,"Plan2"}</definedName>
    <definedName name="KLJASKJD" hidden="1">{#N/A,#N/A,FALSE,"Plan1";#N/A,#N/A,FALSE,"Plan2"}</definedName>
    <definedName name="KLJDXL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 hidden="1">{#N/A,#N/A,FALSE,"Plan1";#N/A,#N/A,FALSE,"Plan2"}</definedName>
    <definedName name="kljflgjrf" hidden="1">{#N/A,#N/A,FALSE,"Plan1";#N/A,#N/A,FALSE,"Plan2"}</definedName>
    <definedName name="kljgfdfr" hidden="1">{#N/A,#N/A,FALSE,"Plan1";#N/A,#N/A,FALSE,"Plan2"}</definedName>
    <definedName name="kljgfjrt" hidden="1">{#N/A,#N/A,FALSE,"Plan1";#N/A,#N/A,FALSE,"Plan2"}</definedName>
    <definedName name="kljlkdfj" hidden="1">{#N/A,#N/A,FALSE,"Plan1";#N/A,#N/A,FALSE,"Plan2"}</definedName>
    <definedName name="kljsakjfr" hidden="1">{#N/A,#N/A,FALSE,"Plan1";#N/A,#N/A,FALSE,"Plan2"}</definedName>
    <definedName name="kljsdje" hidden="1">{#N/A,#N/A,FALSE,"Plan1";#N/A,#N/A,FALSE,"Plan2"}</definedName>
    <definedName name="kljsfwe" hidden="1">{#N/A,#N/A,FALSE,"Plan1";#N/A,#N/A,FALSE,"Plan2"}</definedName>
    <definedName name="klk" hidden="1">{#N/A,#N/A,FALSE,"Plan1";#N/A,#N/A,FALSE,"Plan2"}</definedName>
    <definedName name="KLKKLKÇJÇ" hidden="1">{#N/A,#N/A,FALSE,"Plan1";#N/A,#N/A,FALSE,"Plan2"}</definedName>
    <definedName name="KLSDFT" hidden="1">{#N/A,#N/A,FALSE,"Plan1";#N/A,#N/A,FALSE,"Plan2"}</definedName>
    <definedName name="KLSDHSJKHF" hidden="1">{#N/A,#N/A,FALSE,"Plan1";#N/A,#N/A,FALSE,"Plan2"}</definedName>
    <definedName name="klsdkre" hidden="1">{#N/A,#N/A,FALSE,"Plan1";#N/A,#N/A,FALSE,"Plan2"}</definedName>
    <definedName name="KLSIDJE" hidden="1">{#N/A,#N/A,FALSE,"Plan1";#N/A,#N/A,FALSE,"Plan2"}</definedName>
    <definedName name="klsjarsf" hidden="1">{#N/A,#N/A,FALSE,"Plan1";#N/A,#N/A,FALSE,"Plan2"}</definedName>
    <definedName name="klsjdwe" hidden="1">#REF!</definedName>
    <definedName name="klxhjfdkhser" hidden="1">{#N/A,#N/A,FALSE,"Plan1";#N/A,#N/A,FALSE,"Plan2"}</definedName>
    <definedName name="kopipnsdfne" hidden="1">{#N/A,#N/A,FALSE,"Plan1";#N/A,#N/A,FALSE,"Plan2"}</definedName>
    <definedName name="kp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 hidden="1">{#N/A,#N/A,FALSE,"Plan1";#N/A,#N/A,FALSE,"Plan2"}</definedName>
    <definedName name="ksdlkfsçzd" hidden="1">{#N/A,#N/A,FALSE,"Plan1";#N/A,#N/A,FALSE,"Plan2"}</definedName>
    <definedName name="KSDNFK">#REF!</definedName>
    <definedName name="ksdoçierfe" hidden="1">{#N/A,#N/A,FALSE,"Plan1";#N/A,#N/A,FALSE,"Plan2"}</definedName>
    <definedName name="ksdtrdrkf" hidden="1">{#N/A,#N/A,FALSE,"Plan1";#N/A,#N/A,FALSE,"Plan2"}</definedName>
    <definedName name="KSFÇJDFJL" hidden="1">{#N/A,#N/A,FALSE,"Plan1";#N/A,#N/A,FALSE,"Plan2"}</definedName>
    <definedName name="ksfhse" hidden="1">{#N/A,#N/A,FALSE,"Plan1";#N/A,#N/A,FALSE,"Plan2"}</definedName>
    <definedName name="KSRKOE" hidden="1">{#N/A,#N/A,FALSE,"Plan1";#N/A,#N/A,FALSE,"Plan2"}</definedName>
    <definedName name="KSWKE" hidden="1">{#N/A,#N/A,FALSE,"Plan1";#N/A,#N/A,FALSE,"Plan2"}</definedName>
    <definedName name="kubus">#REF!</definedName>
    <definedName name="kubus1">#REF!</definedName>
    <definedName name="kysdusf" hidden="1">{#N/A,#N/A,FALSE,"Plan1";#N/A,#N/A,FALSE,"Plan2"}</definedName>
    <definedName name="kzslçdkçle" hidden="1">{#N/A,#N/A,FALSE,"Plan1";#N/A,#N/A,FALSE,"Plan2"}</definedName>
    <definedName name="L_">#REF!</definedName>
    <definedName name="LAEKWRK" hidden="1">{#N/A,#N/A,FALSE,"Plan1";#N/A,#N/A,FALSE,"Plan2"}</definedName>
    <definedName name="laeqwep" hidden="1">#REF!</definedName>
    <definedName name="LAKDEWRF" hidden="1">{#N/A,#N/A,FALSE,"Plan1";#N/A,#N/A,FALSE,"Plan2"}</definedName>
    <definedName name="Lancamentos">#REF!</definedName>
    <definedName name="LARGURA">#REF!</definedName>
    <definedName name="LASÇDSRLF" hidden="1">{#N/A,#N/A,FALSE,"Plan1";#N/A,#N/A,FALSE,"Plan2"}</definedName>
    <definedName name="LASDAKWE" hidden="1">25</definedName>
    <definedName name="lasrlswer" hidden="1">{#N/A,#N/A,FALSE,"Plan1";#N/A,#N/A,FALSE,"Plan2"}</definedName>
    <definedName name="LAZER">#REF!</definedName>
    <definedName name="lbla1" hidden="1">#REF!</definedName>
    <definedName name="lbla10" hidden="1">#REF!</definedName>
    <definedName name="lbla11" hidden="1">#REF!</definedName>
    <definedName name="lbla12" hidden="1">#REF!</definedName>
    <definedName name="lbla13" hidden="1">#REF!</definedName>
    <definedName name="lbla14" hidden="1">#REF!</definedName>
    <definedName name="lbla15" hidden="1">#REF!</definedName>
    <definedName name="lbla16" hidden="1">#REF!</definedName>
    <definedName name="lbla17" hidden="1">#REF!</definedName>
    <definedName name="lbla18" hidden="1">#REF!</definedName>
    <definedName name="lbla19" hidden="1">#REF!</definedName>
    <definedName name="lbla2" hidden="1">#REF!</definedName>
    <definedName name="lbla20" hidden="1">#REF!</definedName>
    <definedName name="lbla21" hidden="1">#REF!</definedName>
    <definedName name="lbla22" hidden="1">#REF!</definedName>
    <definedName name="lbla23" hidden="1">#REF!</definedName>
    <definedName name="lbla24" hidden="1">#REF!</definedName>
    <definedName name="lbla25" hidden="1">#REF!</definedName>
    <definedName name="lbla27" hidden="1">#REF!</definedName>
    <definedName name="lbla28" hidden="1">#REF!</definedName>
    <definedName name="lçadple4r" hidden="1">{#N/A,#N/A,FALSE,"Plan1";#N/A,#N/A,FALSE,"Plan2"}</definedName>
    <definedName name="lçasser" hidden="1">{#N/A,#N/A,FALSE,"Plan1";#N/A,#N/A,FALSE,"Plan2"}</definedName>
    <definedName name="lcdgjtklfrn" hidden="1">{#N/A,#N/A,FALSE,"Plan1";#N/A,#N/A,FALSE,"Plan2"}</definedName>
    <definedName name="lçfklsdkçaer" hidden="1">{#N/A,#N/A,FALSE,"Plan1";#N/A,#N/A,FALSE,"Plan2"}</definedName>
    <definedName name="lçjkgf" hidden="1">{#N/A,#N/A,FALSE,"Plan1";#N/A,#N/A,FALSE,"Plan2"}</definedName>
    <definedName name="LÇJSLDFJ" hidden="1">{#N/A,#N/A,FALSE,"Plan1";#N/A,#N/A,FALSE,"Plan2"}</definedName>
    <definedName name="LÇKÇSDRLK" hidden="1">{#N/A,#N/A,FALSE,"Plan1";#N/A,#N/A,FALSE,"Plan2"}</definedName>
    <definedName name="lçkdfkdstkre" hidden="1">25</definedName>
    <definedName name="lçk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 hidden="1">{#N/A,#N/A,FALSE,"Plan1";#N/A,#N/A,FALSE,"Plan2"}</definedName>
    <definedName name="lçslrr4r" hidden="1">{#N/A,#N/A,FALSE,"Plan1";#N/A,#N/A,FALSE,"Plan2"}</definedName>
    <definedName name="ldfjgry" hidden="1">{#N/A,#N/A,FALSE,"Plan1";#N/A,#N/A,FALSE,"Plan2"}</definedName>
    <definedName name="ldfjgtilrf" hidden="1">{#N/A,#N/A,FALSE,"Plan1";#N/A,#N/A,FALSE,"Plan2"}</definedName>
    <definedName name="ldk" hidden="1">{#N/A,#N/A,FALSE,"Plan1";#N/A,#N/A,FALSE,"Plan2"}</definedName>
    <definedName name="ldkgkdfjgkh" hidden="1">{#N/A,#N/A,FALSE,"Plan1";#N/A,#N/A,FALSE,"Plan2"}</definedName>
    <definedName name="LDTJGR" hidden="1">{#N/A,#N/A,FALSE,"Plan1";#N/A,#N/A,FALSE,"Plan2"}</definedName>
    <definedName name="Leg" hidden="1">#REF!</definedName>
    <definedName name="legr_cdi">#REF!</definedName>
    <definedName name="legr_hist">#REF!</definedName>
    <definedName name="legr_uss">#REF!</definedName>
    <definedName name="LEK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VANTAMENTO">#REF!</definedName>
    <definedName name="lfjdjrt" hidden="1">{#N/A,#N/A,FALSE,"Plan1";#N/A,#N/A,FALSE,"Plan2"}</definedName>
    <definedName name="LI">#REF!</definedName>
    <definedName name="LIDER_OPER">#REF!</definedName>
    <definedName name="lidfjgklruf" hidden="1">{#N/A,#N/A,FALSE,"Plan1";#N/A,#N/A,FALSE,"Plan2"}</definedName>
    <definedName name="LII">#REF!</definedName>
    <definedName name="LIII">#REF!</definedName>
    <definedName name="LIMBO">#REF!</definedName>
    <definedName name="limcount" hidden="1">3</definedName>
    <definedName name="LIN">#REF!</definedName>
    <definedName name="lis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A">#REF!</definedName>
    <definedName name="LISTA_CONTAS">#REF!</definedName>
    <definedName name="lista_empresa">OFFSET(INDEX(#REF!,MATCH(#REF!,#REF!,0)),1,0,COUNTA(#REF!)-1)</definedName>
    <definedName name="LISTA_FORNECEDORES">#REF!</definedName>
    <definedName name="LISTSEL">#REF!</definedName>
    <definedName name="list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V">#REF!</definedName>
    <definedName name="LIX">#REF!</definedName>
    <definedName name="ljdfkgyt" hidden="1">{#N/A,#N/A,FALSE,"Plan1";#N/A,#N/A,FALSE,"Plan2"}</definedName>
    <definedName name="LJDFLJRL" hidden="1">{#N/A,#N/A,FALSE,"Plan1";#N/A,#N/A,FALSE,"Plan2"}</definedName>
    <definedName name="ljsdfrd" hidden="1">{#N/A,#N/A,FALSE,"Plan1";#N/A,#N/A,FALSE,"Plan2"}</definedName>
    <definedName name="LJSFLDJDLKFJG" hidden="1">#REF!</definedName>
    <definedName name="LK" hidden="1">{#N/A,#N/A,TRUE,"Quinzena 01 à 15-04-98 "}</definedName>
    <definedName name="lkasdkeo" hidden="1">{#N/A,#N/A,FALSE,"Plan1";#N/A,#N/A,FALSE,"Plan2"}</definedName>
    <definedName name="lkdea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 hidden="1">{#N/A,#N/A,FALSE,"Plan1";#N/A,#N/A,FALSE,"Plan2"}</definedName>
    <definedName name="lkfdkçtktr" hidden="1">{#N/A,#N/A,FALSE,"Plan1";#N/A,#N/A,FALSE,"Plan2"}</definedName>
    <definedName name="lkjr4" hidden="1">17</definedName>
    <definedName name="LKSSDKÇ\E" hidden="1">{#N/A,#N/A,FALSE,"Plan1";#N/A,#N/A,FALSE,"Plan2"}</definedName>
    <definedName name="lkt" hidden="1">{#N/A,#N/A,FALSE,"Plan1";#N/A,#N/A,FALSE,"Plan2"}</definedName>
    <definedName name="lktlyklt" hidden="1">{#N/A,#N/A,FALSE,"Plan1";#N/A,#N/A,FALSE,"Plan2"}</definedName>
    <definedName name="LKTTYT" hidden="1">{#N/A,#N/A,FALSE,"Plan1";#N/A,#N/A,FALSE,"Plan2"}</definedName>
    <definedName name="llgg" hidden="1">{#N/A,#N/A,FALSE,"Plan1";#N/A,#N/A,FALSE,"Plan2"}</definedName>
    <definedName name="LLL" hidden="1">{#N/A,#N/A,FALSE,"Plan1";#N/A,#N/A,FALSE,"Plan2"}</definedName>
    <definedName name="LM_AR" hidden="1">{#N/A,#N/A,FALSE,"F-01"}</definedName>
    <definedName name="LM_AT" hidden="1">{#N/A,#N/A,FALSE,"F-01"}</definedName>
    <definedName name="LM_INC" hidden="1">{#N/A,#N/A,FALSE,"F-01"}</definedName>
    <definedName name="LMPAS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CALMENU">#REF!</definedName>
    <definedName name="LOCALOBRA">#REF!</definedName>
    <definedName name="LS">#REF!</definedName>
    <definedName name="LSDFKLDKFTR" hidden="1">{#N/A,#N/A,FALSE,"Plan1";#N/A,#N/A,FALSE,"Plan2"}</definedName>
    <definedName name="lsdj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 hidden="1">{#N/A,#N/A,FALSE,"Plan1";#N/A,#N/A,FALSE,"Plan2"}</definedName>
    <definedName name="lsdsder" hidden="1">{#N/A,#N/A,FALSE,"Plan1";#N/A,#N/A,FALSE,"Plan2"}</definedName>
    <definedName name="ltj6ljyhdjhngças" hidden="1">{#N/A,#N/A,FALSE,"Plan1";#N/A,#N/A,FALSE,"Plan2"}</definedName>
    <definedName name="LUCRO">#REF!</definedName>
    <definedName name="luis_cdi">#REF!</definedName>
    <definedName name="luis_hist">#REF!</definedName>
    <definedName name="luis_uss">#REF!</definedName>
    <definedName name="LV">#REF!</definedName>
    <definedName name="LVI">#REF!</definedName>
    <definedName name="LVII">#REF!</definedName>
    <definedName name="LVIII">#REF!</definedName>
    <definedName name="lwaeddew" hidden="1">#REF!</definedName>
    <definedName name="LXX">#REF!</definedName>
    <definedName name="LXXI">#REF!</definedName>
    <definedName name="LXXII">#REF!</definedName>
    <definedName name="LXXIII">#REF!</definedName>
    <definedName name="LXXIV">#REF!</definedName>
    <definedName name="LXXIX">#REF!</definedName>
    <definedName name="LXXV">#REF!</definedName>
    <definedName name="LXXVI">#REF!</definedName>
    <definedName name="LXXVII">#REF!</definedName>
    <definedName name="LXXVIII">#REF!</definedName>
    <definedName name="LXXX">#REF!</definedName>
    <definedName name="LXXXI">#REF!</definedName>
    <definedName name="LXXXII">#REF!</definedName>
    <definedName name="LXXXIII">#REF!</definedName>
    <definedName name="LXXXIV">#REF!</definedName>
    <definedName name="LXXXV">#REF!</definedName>
    <definedName name="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DRI">#REF!</definedName>
    <definedName name="mai17RJ">#REF!</definedName>
    <definedName name="MAIO">#REF!</definedName>
    <definedName name="MAIO2001">#REF!</definedName>
    <definedName name="MAISAP" hidden="1">{#N/A,#N/A,FALSE,"Plan1";#N/A,#N/A,FALSE,"Plan2"}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O_DE_OBRA">#REF!</definedName>
    <definedName name="mar17RJ">#REF!</definedName>
    <definedName name="MARCAX">#REF!</definedName>
    <definedName name="MARÇO">#REF!</definedName>
    <definedName name="MARÇO2001">#REF!</definedName>
    <definedName name="martha">#REF!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ERIAL">#REF!</definedName>
    <definedName name="mattubcu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 hidden="1">{#N/A,#N/A,FALSE,"Plan1";#N/A,#N/A,FALSE,"Plan2"}</definedName>
    <definedName name="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V">#REF!</definedName>
    <definedName name="mdfgtr" hidden="1">{#N/A,#N/A,FALSE,"Plan1";#N/A,#N/A,FALSE,"Plan2"}</definedName>
    <definedName name="MDSÇLFJKJSD" hidden="1">{#N/A,#N/A,FALSE,"Plan1";#N/A,#N/A,FALSE,"Plan2"}</definedName>
    <definedName name="ME" hidden="1">{"HW",#N/A,FALSE,"1998"}</definedName>
    <definedName name="Medido_Fin_Medições">#REF!</definedName>
    <definedName name="melo_cdi">#REF!</definedName>
    <definedName name="melo_hist">#REF!</definedName>
    <definedName name="melo_uss">#REF!</definedName>
    <definedName name="MEMÓRIA">#REF!</definedName>
    <definedName name="memória2">#REF!</definedName>
    <definedName name="mensal">#REF!</definedName>
    <definedName name="MENU">#REF!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BOM">#REF!</definedName>
    <definedName name="MENUEQP">#REF!</definedName>
    <definedName name="MENUFIM">#REF!</definedName>
    <definedName name="MENUMED">#REF!</definedName>
    <definedName name="MENUOBRA">#REF!</definedName>
    <definedName name="MENUOUT">#REF!</definedName>
    <definedName name="MENUOUTRO">#REF!</definedName>
    <definedName name="menures">#REF!</definedName>
    <definedName name="Mês_data_base">#REF!</definedName>
    <definedName name="Mês_Medição_Fin_Medições">#REF!</definedName>
    <definedName name="mes_relatorio">#REF!</definedName>
    <definedName name="Meses">#REF!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_venda">#REF!</definedName>
    <definedName name="MetaBP">#REF!</definedName>
    <definedName name="MILENA" hidden="1">#REF!</definedName>
    <definedName name="Minha_Casa_Minha_Vida">#REF!</definedName>
    <definedName name="MLMÇLKJKI" hidden="1">{#N/A,#N/A,FALSE,"Plan1";#N/A,#N/A,FALSE,"Plan2"}</definedName>
    <definedName name="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 hidden="1">{"tabela",#N/A,FALSE,"Tabela";"decoração",#N/A,FALSE,"Decor.";"Informações",#N/A,FALSE,"Inform."}</definedName>
    <definedName name="mmmmm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 hidden="1">{#N/A,#N/A,FALSE,"Plan1";#N/A,#N/A,FALSE,"Plan2"}</definedName>
    <definedName name="mncvbgcvmc" hidden="1">{#N/A,#N/A,FALSE,"Plan1";#N/A,#N/A,FALSE,"Plan2"}</definedName>
    <definedName name="MNDKZSFNCEA" hidden="1">{#N/A,#N/A,FALSE,"Plan1";#N/A,#N/A,FALSE,"Plan2"}</definedName>
    <definedName name="mnhdshfgfhd" hidden="1">{#N/A,#N/A,FALSE,"Plan1";#N/A,#N/A,FALSE,"Plan2"}</definedName>
    <definedName name="mo">#REF!</definedName>
    <definedName name="mobr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 hidden="1">{#N/A,#N/A,FALSE,"cdi";#N/A,#N/A,FALSE,"debent";#N/A,#N/A,FALSE,"fdos";#N/A,#N/A,FALSE,"resumo"}</definedName>
    <definedName name="Modelo1a" hidden="1">{#N/A,#N/A,FALSE,"cdi";#N/A,#N/A,FALSE,"debent";#N/A,#N/A,FALSE,"fdos";#N/A,#N/A,FALSE,"resumo"}</definedName>
    <definedName name="Modelo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ódulo">#REF!</definedName>
    <definedName name="mond_cdi">#REF!</definedName>
    <definedName name="mond_hist">#REF!</definedName>
    <definedName name="mond_uss">#REF!</definedName>
    <definedName name="MP" hidden="1">{#N/A,#N/A,FALSE,"CCTV"}</definedName>
    <definedName name="MSDFJKDT" hidden="1">25</definedName>
    <definedName name="MSDRFSWER" hidden="1">{"Econ Consolidado",#N/A,FALSE,"Econ Consol";"Fluxo de Caixa",#N/A,FALSE,"Fluxo Caixa";"Investimentos",#N/A,FALSE,"Investimentos"}</definedName>
    <definedName name="MURBOMB">#REF!</definedName>
    <definedName name="mzshdjshjs" hidden="1">{#N/A,#N/A,FALSE,"Plan1";#N/A,#N/A,FALSE,"Plan2"}</definedName>
    <definedName name="na" hidden="1">{#N/A,#N/A,FALSE,"$170M Cash";#N/A,#N/A,FALSE,"$250M Cash";#N/A,#N/A,FALSE,"$325M Cash"}</definedName>
    <definedName name="ncdgrdhrtg" hidden="1">{#N/A,#N/A,FALSE,"Plan1";#N/A,#N/A,FALSE,"Plan2"}</definedName>
    <definedName name="nchngdfhgdh" hidden="1">{#N/A,#N/A,FALSE,"Plan1";#N/A,#N/A,FALSE,"Plan2"}</definedName>
    <definedName name="NCJFKNGJHF" hidden="1">{#N/A,#N/A,FALSE,"Plan1";#N/A,#N/A,FALSE,"Plan2"}</definedName>
    <definedName name="NDATA">#REF!</definedName>
    <definedName name="ndcxhgdhf" hidden="1">{#N/A,#N/A,FALSE,"Plan1";#N/A,#N/A,FALSE,"Plan2"}</definedName>
    <definedName name="ndfjnjkrhdgt" hidden="1">{#N/A,#N/A,FALSE,"Plan1";#N/A,#N/A,FALSE,"Plan2"}</definedName>
    <definedName name="ndfkghkjthfyst" hidden="1">{#N/A,#N/A,FALSE,"Plan1";#N/A,#N/A,FALSE,"Plan2"}</definedName>
    <definedName name="ndfldslvjnvberugberqubquierbv">#REF!</definedName>
    <definedName name="NDJGKFKGHUFG" hidden="1">{#N/A,#N/A,FALSE,"Plan1";#N/A,#N/A,FALSE,"Plan2"}</definedName>
    <definedName name="ndrjkt" hidden="1">{#N/A,#N/A,FALSE,"Plan1";#N/A,#N/A,FALSE,"Plan2"}</definedName>
    <definedName name="new" hidden="1">{#N/A,#N/A,FALSE,"Global by BU";#N/A,#N/A,FALSE,"U.S. by BU";#N/A,#N/A,FALSE,"Canada by BU";#N/A,#N/A,FALSE,"Europe by BU";#N/A,#N/A,FALSE,"Asia by BU";#N/A,#N/A,FALSE,"Cala by BU"}</definedName>
    <definedName name="NEWNAME" hidden="1">{#N/A,#N/A,FALSE,"CCTV"}</definedName>
    <definedName name="nfgjkhvhfghn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 hidden="1">{#N/A,#N/A,FALSE,"Plan1";#N/A,#N/A,FALSE,"Plan2"}</definedName>
    <definedName name="n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 hidden="1">{#N/A,#N/A,FALSE,"Plan1";#N/A,#N/A,FALSE,"Plan2"}</definedName>
    <definedName name="NJSDFHERTG" hidden="1">{#N/A,#N/A,FALSE,"Plan1";#N/A,#N/A,FALSE,"Plan2"}</definedName>
    <definedName name="nkfnsskdn" hidden="1">{#N/A,#N/A,FALSE,"Plan1";#N/A,#N/A,FALSE,"Plan2"}</definedName>
    <definedName name="NKJ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">#REF!</definedName>
    <definedName name="nlaksjdwe" hidden="1">{#N/A,#N/A,FALSE,"Plan1";#N/A,#N/A,FALSE,"Plan2"}</definedName>
    <definedName name="nljsdfljfdsfr" hidden="1">{#N/A,#N/A,FALSE,"Plan1";#N/A,#N/A,FALSE,"Plan2"}</definedName>
    <definedName name="nm_k1">#REF!</definedName>
    <definedName name="nm_k2">#REF!</definedName>
    <definedName name="nm_k3">#REF!</definedName>
    <definedName name="nmjdfhxj" hidden="1">{#N/A,#N/A,FALSE,"Plan1";#N/A,#N/A,FALSE,"Plan2"}</definedName>
    <definedName name="nnmn" hidden="1">{#N/A,#N/A,FALSE,"Plan1";#N/A,#N/A,FALSE,"Plan2"}</definedName>
    <definedName name="nnn" hidden="1">{#N/A,#N/A,FALSE,"Plan1";#N/A,#N/A,FALSE,"Plan2"}</definedName>
    <definedName name="nnnnnnnnnnn" hidden="1">{"HW",#N/A,FALSE,"1998"}</definedName>
    <definedName name="NNNNNNNNNNNNNNN" hidden="1">{#N/A,#N/A,FALSE,"Plan1";#N/A,#N/A,FALSE,"Plan2"}</definedName>
    <definedName name="nnnnnnnnnnnnnnnnnnnn" hidden="1">{#N/A,#N/A,FALSE,"Plan1";#N/A,#N/A,FALSE,"Plan2"}</definedName>
    <definedName name="NNXFT" hidden="1">{#N/A,#N/A,FALSE,"Plan1";#N/A,#N/A,FALSE,"Plan2"}</definedName>
    <definedName name="no">#REF!</definedName>
    <definedName name="NOME">#REF!</definedName>
    <definedName name="nome2">#REF!</definedName>
    <definedName name="NOMEITEM">#REF!</definedName>
    <definedName name="NOMEOBRA">#REF!</definedName>
    <definedName name="nov17RJ">#REF!</definedName>
    <definedName name="NOVE">#REF!</definedName>
    <definedName name="NOVEMBRO">#REF!</definedName>
    <definedName name="nsdkfndgfdnatf" hidden="1">{#N/A,#N/A,FALSE,"Plan1";#N/A,#N/A,FALSE,"Plan2"}</definedName>
    <definedName name="nsfljdiljrf" hidden="1">{#N/A,#N/A,FALSE,"Plan1";#N/A,#N/A,FALSE,"Plan2"}</definedName>
    <definedName name="NUCOPIAS">#REF!</definedName>
    <definedName name="NUMOBRA">#REF!</definedName>
    <definedName name="NutN">#REF!</definedName>
    <definedName name="nzxcnnjkd" hidden="1">{#N/A,#N/A,FALSE,"Plan1";#N/A,#N/A,FALSE,"Plan2"}</definedName>
    <definedName name="OAE">#REF!</definedName>
    <definedName name="OBRA">#REF!</definedName>
    <definedName name="Obra_Fin_Medição">#REF!</definedName>
    <definedName name="OBRA_PROJETADO">#REF!</definedName>
    <definedName name="Obra_Rel_Controladoria">#REF!</definedName>
    <definedName name="Obra_Sienge">#REF!</definedName>
    <definedName name="Obra2_Fin_Medição">#REF!</definedName>
    <definedName name="OBRALOC">#REF!</definedName>
    <definedName name="OBRAS">#REF!</definedName>
    <definedName name="Obras_Apoio_Rel_Controladoria">#REF!</definedName>
    <definedName name="OBRAS_REALIZADO">#REF!</definedName>
    <definedName name="OBRASEL">#REF!</definedName>
    <definedName name="odflgj" hidden="1">25</definedName>
    <definedName name="odfuudor" hidden="1">{#N/A,#N/A,FALSE,"Plan1";#N/A,#N/A,FALSE,"Plan2"}</definedName>
    <definedName name="ODH" hidden="1">#REF!</definedName>
    <definedName name="oficial_mes">#REF!</definedName>
    <definedName name="oficial2_mes">#REF!</definedName>
    <definedName name="oiditrot" hidden="1">{#N/A,#N/A,FALSE,"Plan1";#N/A,#N/A,FALSE,"Plan2"}</definedName>
    <definedName name="oio" hidden="1">{#N/A,#N/A,FALSE,"Plan1";#N/A,#N/A,FALSE,"Plan2"}</definedName>
    <definedName name="OITO">#REF!</definedName>
    <definedName name="oiufioorif" hidden="1">#REF!</definedName>
    <definedName name="OJÇLJ" hidden="1">{#N/A,#N/A,FALSE,"Plan1";#N/A,#N/A,FALSE,"Plan2"}</definedName>
    <definedName name="ojkdfit" hidden="1">{#N/A,#N/A,FALSE,"Plan1";#N/A,#N/A,FALSE,"Plan2"}</definedName>
    <definedName name="oMISSOS" hidden="1">#REF!</definedName>
    <definedName name="ONZE">#REF!</definedName>
    <definedName name="ooo" hidden="1">{#N/A,#N/A,FALSE,"Plan1";#N/A,#N/A,FALSE,"Plan2"}</definedName>
    <definedName name="OPASEDWED" hidden="1">{"Econ Consolidado",#N/A,FALSE,"Econ Consol";"Fluxo de Caixa",#N/A,FALSE,"Fluxo Caixa";"Investimentos",#N/A,FALSE,"Investimentos"}</definedName>
    <definedName name="opcao_taxa_desconto">#REF!</definedName>
    <definedName name="opções">#REF!</definedName>
    <definedName name="opiwre" hidden="1">{#N/A,#N/A,FALSE,"Plan1";#N/A,#N/A,FALSE,"Plan2"}</definedName>
    <definedName name="ORCAMEN">#REF!</definedName>
    <definedName name="Orcamentistas">#REF!</definedName>
    <definedName name="origem_recebiveis">#REF!</definedName>
    <definedName name="origem_unidades">#REF!</definedName>
    <definedName name="Origem2_Recebimento_Fin_Medições">#REF!</definedName>
    <definedName name="os" hidden="1">{#N/A,#N/A,FALSE,"TABLE"}</definedName>
    <definedName name="osca_cdi">#REF!</definedName>
    <definedName name="osca_hist">#REF!</definedName>
    <definedName name="osca_uss">#REF!</definedName>
    <definedName name="otodgkrjglsrd" hidden="1">{#N/A,#N/A,FALSE,"Plan1";#N/A,#N/A,FALSE,"Plan2"}</definedName>
    <definedName name="OUERWRSR" hidden="1">{#N/A,#N/A,FALSE,"Plan1";#N/A,#N/A,FALSE,"Plan2"}</definedName>
    <definedName name="out17RJ">#REF!</definedName>
    <definedName name="outro" hidden="1">#REF!</definedName>
    <definedName name="OUTROS">#REF!</definedName>
    <definedName name="OUTROS_CCUSTO">#REF!</definedName>
    <definedName name="Outros_Pisos">#REF!</definedName>
    <definedName name="Outros1">#REF!</definedName>
    <definedName name="OUTUBRO">#REF!</definedName>
    <definedName name="overhau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xfo_cdi">#REF!</definedName>
    <definedName name="oxfo_hist">#REF!</definedName>
    <definedName name="oxfo_uss">#REF!</definedName>
    <definedName name="P">#REF!</definedName>
    <definedName name="PA">#REF!</definedName>
    <definedName name="Padrao_A">#REF!</definedName>
    <definedName name="Padrao_B">#REF!</definedName>
    <definedName name="Padrao_C">#REF!</definedName>
    <definedName name="Padrao_D">#REF!</definedName>
    <definedName name="Padrao_E">#REF!</definedName>
    <definedName name="Padrao_F">#REF!</definedName>
    <definedName name="Pagamento_Num">ROW()-Linha_Cabeçalho</definedName>
    <definedName name="Pago_Até_2015_Controladoria">#REF!</definedName>
    <definedName name="Pal_Workbook_GUID" hidden="1">"3HURD34M2XKWJ5V6M4BWCR5Q"</definedName>
    <definedName name="PAP">#REF!</definedName>
    <definedName name="PARAM_FIS_1">#REF!</definedName>
    <definedName name="PARAM_FIS_2">#REF!</definedName>
    <definedName name="ParamValues1">[1]ParamValues!$A$1:$A$39</definedName>
    <definedName name="Parao_E">#REF!</definedName>
    <definedName name="Parede1">#REF!</definedName>
    <definedName name="Parede2">#REF!</definedName>
    <definedName name="PAREDES">#REF!</definedName>
    <definedName name="PAV">#REF!</definedName>
    <definedName name="PAVILHAO">#REF!</definedName>
    <definedName name="PAVT">#REF!</definedName>
    <definedName name="pçgktr" hidden="1">#REF!</definedName>
    <definedName name="PDER">#REF!</definedName>
    <definedName name="PDIVERS">#REF!</definedName>
    <definedName name="PE">#REF!</definedName>
    <definedName name="PEMD">#REF!</definedName>
    <definedName name="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rfura">#REF!</definedName>
    <definedName name="pessoal">#REF!</definedName>
    <definedName name="petro2" hidden="1">#REF!</definedName>
    <definedName name="PhyG">#REF!</definedName>
    <definedName name="PhyGS">#REF!</definedName>
    <definedName name="PI">#REF!</definedName>
    <definedName name="piaz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EQUIP">#REF!</definedName>
    <definedName name="PIS_COFINS">#REF!</definedName>
    <definedName name="PisCofins">#REF!</definedName>
    <definedName name="Piso1">#REF!</definedName>
    <definedName name="Piso2">#REF!</definedName>
    <definedName name="PISOS">#REF!</definedName>
    <definedName name="PL">#REF!</definedName>
    <definedName name="PLACAS" hidden="1">{#N/A,#N/A,TRUE,"Quinzena 01 à 15-04-98 "}</definedName>
    <definedName name="Placas_Areas" hidden="1">{#N/A,#N/A,TRUE,"Quinzena 01 à 15-04-98 "}</definedName>
    <definedName name="PLAN">#REF!</definedName>
    <definedName name="plan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>#REF!</definedName>
    <definedName name="Planilha2">#REF!</definedName>
    <definedName name="plasçdeaw" hidden="1">{#N/A,#N/A,FALSE,"Plan1";#N/A,#N/A,FALSE,"Plan2"}</definedName>
    <definedName name="plaslrswe" hidden="1">{#N/A,#N/A,FALSE,"Plan1";#N/A,#N/A,FALSE,"Plan2"}</definedName>
    <definedName name="pls" hidden="1">#REF!</definedName>
    <definedName name="plsearpef" hidden="1">{#N/A,#N/A,FALSE,"Plan1";#N/A,#N/A,FALSE,"Plan2"}</definedName>
    <definedName name="plss" hidden="1">{#N/A,#N/A,FALSE,"Plan1";#N/A,#N/A,FALSE,"Plan2"}</definedName>
    <definedName name="PMUR">#REF!</definedName>
    <definedName name="PN2건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nderações">#REF!</definedName>
    <definedName name="Pós_Chaves">#REF!</definedName>
    <definedName name="pr">#REF!</definedName>
    <definedName name="PRAZO">#REF!</definedName>
    <definedName name="PRAZO_EDITAL">#REF!</definedName>
    <definedName name="PRAZO_ORC">#REF!</definedName>
    <definedName name="prazo2">#REF!</definedName>
    <definedName name="PRE">#REF!</definedName>
    <definedName name="PREÇ">OFFSET(#REF!,0,0,COUNTA(#REF!),1)</definedName>
    <definedName name="Previsão_Inicial_abr_16">#REF!</definedName>
    <definedName name="Previsão_Inicial_ago_16">#REF!</definedName>
    <definedName name="Previsão_Inicial_dez_16">#REF!</definedName>
    <definedName name="Previsão_Inicial_fev_16">#REF!</definedName>
    <definedName name="Previsão_Inicial_jan_16">#REF!</definedName>
    <definedName name="Previsão_Inicial_jul_16">#REF!</definedName>
    <definedName name="Previsão_Inicial_jun_16">#REF!</definedName>
    <definedName name="Previsão_Inicial_mai_16">#REF!</definedName>
    <definedName name="Previsão_Inicial_mar_16">#REF!</definedName>
    <definedName name="Previsão_Inicial_nov_16">#REF!</definedName>
    <definedName name="Previsão_Inicial_out_16">#REF!</definedName>
    <definedName name="Previsão_Inicial_set_16">#REF!</definedName>
    <definedName name="Previsão_Vento1">#REF!</definedName>
    <definedName name="Previsto_a_medir_Fin_Medições">#REF!</definedName>
    <definedName name="print" hidden="1">{#N/A,#N/A,FALSE,"$170M Cash";#N/A,#N/A,FALSE,"$250M Cash";#N/A,#N/A,FALSE,"$325M Cash"}</definedName>
    <definedName name="Print_Area_MI">#REF!</definedName>
    <definedName name="PRINT_TITLES_MI">#REF!</definedName>
    <definedName name="programa">#REF!</definedName>
    <definedName name="Programaa">#REF!</definedName>
    <definedName name="projeto_nome_com">IF((COUNTA(#REF!)-2)&gt;1,"TERRENO "&amp;VLOOKUP(#REF!,#REF!,8,0),VLOOKUP(#REF!,#REF!,3,0))</definedName>
    <definedName name="PROPAGANDA">#REF!</definedName>
    <definedName name="ptirigyiotut" hidden="1">{#N/A,#N/A,FALSE,"Plan1";#N/A,#N/A,FALSE,"Plan2"}</definedName>
    <definedName name="PWER3" hidden="1">{#N/A,#N/A,FALSE,"Plan1";#N/A,#N/A,FALSE,"Plan2"}</definedName>
    <definedName name="q">#REF!</definedName>
    <definedName name="QCLIENTE_PCLIENTE">#REF!</definedName>
    <definedName name="QCliente_PCliente1">#REF!</definedName>
    <definedName name="qe">#REF!</definedName>
    <definedName name="qee">#REF!</definedName>
    <definedName name="qkqh1" hidden="1">{#N/A,#N/A,FALSE,"명세표"}</definedName>
    <definedName name="QOAS_POAS">#REF!</definedName>
    <definedName name="Q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">#REF!:#REF!</definedName>
    <definedName name="QQQQQQQQ" hidden="1">#REF!</definedName>
    <definedName name="QREAL_PCLIENTE">#REF!</definedName>
    <definedName name="QReal_PCliente1">#REF!</definedName>
    <definedName name="QSQWSE" hidden="1">{#N/A,#N/A,FALSE,"Plan1";#N/A,#N/A,FALSE,"Plan2"}</definedName>
    <definedName name="qtd_mensal">#REF!</definedName>
    <definedName name="qtd3esta">#REF!</definedName>
    <definedName name="qtdbase">#REF!</definedName>
    <definedName name="qtdbltub">#REF!</definedName>
    <definedName name="qtdestac">#REF!</definedName>
    <definedName name="qtdsap">#REF!</definedName>
    <definedName name="qtdtub">#REF!</definedName>
    <definedName name="QTNULO">#REF!</definedName>
    <definedName name="QTPADRAO">#REF!</definedName>
    <definedName name="QTRES">#REF!</definedName>
    <definedName name="QuadraE">#REF!</definedName>
    <definedName name="quadrocompar.">#REF!</definedName>
    <definedName name="QUANT">#REF!</definedName>
    <definedName name="QUANTP">#REF!</definedName>
    <definedName name="QUATRO">#REF!</definedName>
    <definedName name="QUINZE">#REF!</definedName>
    <definedName name="qwdqw" hidden="1">{#N/A,#N/A,FALSE,"Plan1";#N/A,#N/A,FALSE,"Plan2"}</definedName>
    <definedName name="qweqwe" hidden="1">{#N/A,#N/A,FALSE,"Plan1";#N/A,#N/A,FALSE,"Plan2"}</definedName>
    <definedName name="qweqwe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 hidden="1">#REF!</definedName>
    <definedName name="qwqw" hidden="1">#REF!</definedName>
    <definedName name="R.imobAtualiz">#REF!</definedName>
    <definedName name="R_CorretAtualiz">#REF!</definedName>
    <definedName name="R_G.Cobr.Atualiz">#REF!</definedName>
    <definedName name="R_PmaisJAtualiz">#REF!</definedName>
    <definedName name="R_Prev.PerdaAtualiz">#REF!</definedName>
    <definedName name="RADIO" hidden="1">{"HW",#N/A,FALSE,"1998"}</definedName>
    <definedName name="RANGE">#REF!</definedName>
    <definedName name="RANGE1">#REF!</definedName>
    <definedName name="RANGE2">#REF!</definedName>
    <definedName name="RARQIMP">#REF!</definedName>
    <definedName name="RawData">#REF!</definedName>
    <definedName name="RE">#REF!</definedName>
    <definedName name="RECADUC">#REF!</definedName>
    <definedName name="Recebido_Acumulado_2015_Controladoria">#REF!</definedName>
    <definedName name="RE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>#REF!</definedName>
    <definedName name="REL_RJ">#REF!</definedName>
    <definedName name="REL_SP">#REF!</definedName>
    <definedName name="relat3">#REF!</definedName>
    <definedName name="ren">#REF!</definedName>
    <definedName name="REPETIÇÃO">#REF!</definedName>
    <definedName name="ReqC">#REF!</definedName>
    <definedName name="Responsável_Rel_Controladoria">#REF!</definedName>
    <definedName name="resum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">#REF!</definedName>
    <definedName name="RESUMO2" hidden="1">{#N/A,#N/A,TRUE,"Quinzena 01 à 15-04-98 "}</definedName>
    <definedName name="REV">#REF!</definedName>
    <definedName name="RF" hidden="1">{#N/A,#N/A,FALSE,"CCTV"}</definedName>
    <definedName name="rgedrfrgfdg" hidden="1">{#N/A,#N/A,FALSE,"Plan1";#N/A,#N/A,FALSE,"Plan2"}</definedName>
    <definedName name="rhdrm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">#REF!</definedName>
    <definedName name="ridbeb">#REF!</definedName>
    <definedName name="RIDCHAF">#REF!</definedName>
    <definedName name="ridres05">#REF!</definedName>
    <definedName name="RIDRES10">#REF!</definedName>
    <definedName name="RIDRES15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SwapState" hidden="1">"True"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O">#REF!</definedName>
    <definedName name="Rodapé">#REF!</definedName>
    <definedName name="RODAPÉS">#REF!</definedName>
    <definedName name="ROMANO">#REF!</definedName>
    <definedName name="ROTCOMP">#REF!</definedName>
    <definedName name="ROTIMP">#REF!</definedName>
    <definedName name="ROTRES">#REF!</definedName>
    <definedName name="RQTADUC">#REF!</definedName>
    <definedName name="rqtbeb">#REF!</definedName>
    <definedName name="RQTCHAF">#REF!</definedName>
    <definedName name="RQTDERV">#REF!</definedName>
    <definedName name="rres05">#REF!</definedName>
    <definedName name="RRES10">#REF!</definedName>
    <definedName name="RRES15">#REF!</definedName>
    <definedName name="RRES20">#REF!</definedName>
    <definedName name="RRR" hidden="1">#REF!</definedName>
    <definedName name="rrrrr" hidden="1">{"'장비'!$A$3:$M$12"}</definedName>
    <definedName name="rrrrrrrr" hidden="1">{"'장비'!$A$3:$M$12"}</definedName>
    <definedName name="rrrrrrrrrrr" hidden="1">{#N/A,#N/A,TRUE,"Quinzena 01 à 15-04-98 "}</definedName>
    <definedName name="RSEQ">#REF!</definedName>
    <definedName name="RSUBTOT">#REF!</definedName>
    <definedName name="rtitbeb">#REF!</definedName>
    <definedName name="RTITCHAF">#REF!</definedName>
    <definedName name="rtubos">#REF!</definedName>
    <definedName name="RTYE" hidden="1">{"'장비'!$A$3:$M$12"}</definedName>
    <definedName name="s">#REF!</definedName>
    <definedName name="s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 hidden="1">{#N/A,#N/A,FALSE,"Plan1";#N/A,#N/A,FALSE,"Plan2"}</definedName>
    <definedName name="sa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 hidden="1">{#N/A,#N/A,FALSE,"Plan1";#N/A,#N/A,FALSE,"Plan2"}</definedName>
    <definedName name="SADSRTR" hidden="1">{#N/A,#N/A,FALSE,"Plan1";#N/A,#N/A,FALSE,"Plan2"}</definedName>
    <definedName name="sadwde" hidden="1">{#N/A,#N/A,FALSE,"Plan1";#N/A,#N/A,FALSE,"Plan2"}</definedName>
    <definedName name="Salas">#REF!</definedName>
    <definedName name="sanjay" hidden="1">{#N/A,#N/A,FALSE,"TABLE"}</definedName>
    <definedName name="sapata">#REF!</definedName>
    <definedName name="SAPBEXrevision" hidden="1">14</definedName>
    <definedName name="SAPBEXsysID" hidden="1">"BW3"</definedName>
    <definedName name="SAPBEXwbID" hidden="1">"3SO04G3IWYENSZLK6QOKKYLB2"</definedName>
    <definedName name="SAS" hidden="1">{#N/A,#N/A,FALSE,"Plan1";#N/A,#N/A,FALSE,"Plan2"}</definedName>
    <definedName name="sasads" hidden="1">{#N/A,#N/A,FALSE,"Plan1";#N/A,#N/A,FALSE,"Plan2"}</definedName>
    <definedName name="SC" hidden="1">#REF!</definedName>
    <definedName name="sçadldfsfd" hidden="1">25</definedName>
    <definedName name="sda">#REF!</definedName>
    <definedName name="sda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 hidden="1">{#N/A,#N/A,FALSE,"Plan1";#N/A,#N/A,FALSE,"Plan2"}</definedName>
    <definedName name="sdckd" hidden="1">{#N/A,#N/A,FALSE,"Plan1";#N/A,#N/A,FALSE,"Plan2"}</definedName>
    <definedName name="SDDFKSEDE" hidden="1">{#N/A,#N/A,FALSE,"Plan1";#N/A,#N/A,FALSE,"Plan2"}</definedName>
    <definedName name="sddkslker" hidden="1">{#N/A,#N/A,FALSE,"Plan1";#N/A,#N/A,FALSE,"Plan2"}</definedName>
    <definedName name="sdefr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 hidden="1">#REF!</definedName>
    <definedName name="sd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 hidden="1">{#N/A,#N/A,FALSE,"Plan1";#N/A,#N/A,FALSE,"Plan2"}</definedName>
    <definedName name="sdfdfc" hidden="1">{#N/A,#N/A,FALSE,"Plan1";#N/A,#N/A,FALSE,"Plan2"}</definedName>
    <definedName name="sdfd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 hidden="1">{#N/A,#N/A,FALSE,"Plan1";#N/A,#N/A,FALSE,"Plan2"}</definedName>
    <definedName name="sdfdsf" hidden="1">{#N/A,#N/A,FALSE,"Plan1";#N/A,#N/A,FALSE,"Plan2"}</definedName>
    <definedName name="sdfdsf\da" hidden="1">{#N/A,#N/A,FALSE,"Plan1";#N/A,#N/A,FALSE,"Plan2"}</definedName>
    <definedName name="SDFEDRT" hidden="1">{#N/A,#N/A,FALSE,"Plan1";#N/A,#N/A,FALSE,"Plan2"}</definedName>
    <definedName name="sdfer" hidden="1">{#N/A,#N/A,FALSE,"Plan1";#N/A,#N/A,FALSE,"Plan2"}</definedName>
    <definedName name="sdferr" hidden="1">{#N/A,#N/A,FALSE,"Plan1";#N/A,#N/A,FALSE,"Plan2"}</definedName>
    <definedName name="sdfe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 hidden="1">{#N/A,#N/A,FALSE,"Plan1";#N/A,#N/A,FALSE,"Plan2"}</definedName>
    <definedName name="sdfgtr" hidden="1">{#N/A,#N/A,FALSE,"Plan1";#N/A,#N/A,FALSE,"Plan2"}</definedName>
    <definedName name="sdfjdetrt" hidden="1">{#N/A,#N/A,FALSE,"Plan1";#N/A,#N/A,FALSE,"Plan2"}</definedName>
    <definedName name="SDFJDRTJEIDR" hidden="1">{#N/A,#N/A,FALSE,"Plan1";#N/A,#N/A,FALSE,"Plan2"}</definedName>
    <definedName name="sdfjergtij" hidden="1">{#N/A,#N/A,FALSE,"Plan1";#N/A,#N/A,FALSE,"Plan2"}</definedName>
    <definedName name="SDFOPJKWE" hidden="1">{#N/A,#N/A,FALSE,"Plan1";#N/A,#N/A,FALSE,"Plan2"}</definedName>
    <definedName name="sdfrdt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 hidden="1">{#N/A,#N/A,FALSE,"Plan1";#N/A,#N/A,FALSE,"Plan2"}</definedName>
    <definedName name="SDFRTKK" hidden="1">{#N/A,#N/A,FALSE,"Plan1";#N/A,#N/A,FALSE,"Plan2"}</definedName>
    <definedName name="SDFRTR" hidden="1">{#N/A,#N/A,FALSE,"Plan1";#N/A,#N/A,FALSE,"Plan2"}</definedName>
    <definedName name="sdfry6" hidden="1">{#N/A,#N/A,FALSE,"Plan1";#N/A,#N/A,FALSE,"Plan2"}</definedName>
    <definedName name="sdfsaf" hidden="1">{#N/A,#N/A,FALSE,"Plan1";#N/A,#N/A,FALSE,"Plan2"}</definedName>
    <definedName name="sdfsd" hidden="1">{"'Estimativa de Lançamento-JAN'!$A$1:$AI$85"}</definedName>
    <definedName name="sdfsdfg" hidden="1">{#N/A,#N/A,FALSE,"Plan1";#N/A,#N/A,FALSE,"Plan2"}</definedName>
    <definedName name="SDFSDFK" hidden="1">{#N/A,#N/A,FALSE,"Plan1";#N/A,#N/A,FALSE,"Plan2"}</definedName>
    <definedName name="sdfsdgftret" hidden="1">{#N/A,#N/A,FALSE,"Plan1";#N/A,#N/A,FALSE,"Plan2"}</definedName>
    <definedName name="sdfsdr" hidden="1">1</definedName>
    <definedName name="sdfsf" hidden="1">{#N/A,#N/A,FALSE,"Plan1";#N/A,#N/A,FALSE,"Plan2"}</definedName>
    <definedName name="SDFSFRT" hidden="1">{"Econ Consolidado",#N/A,FALSE,"Econ Consol";"Fluxo de Caixa",#N/A,FALSE,"Fluxo Caixa";"Investimentos",#N/A,FALSE,"Investimentos"}</definedName>
    <definedName name="sdfsr" hidden="1">{#N/A,#N/A,FALSE,"Plan1";#N/A,#N/A,FALSE,"Plan2"}</definedName>
    <definedName name="sdfty" hidden="1">{#N/A,#N/A,FALSE,"Plan1";#N/A,#N/A,FALSE,"Plan2"}</definedName>
    <definedName name="sdgdf" hidden="1">{#N/A,#N/A,FALSE,"Plan1";#N/A,#N/A,FALSE,"Plan2"}</definedName>
    <definedName name="sdgfrt" hidden="1">{#N/A,#N/A,FALSE,"Plan1";#N/A,#N/A,FALSE,"Plan2"}</definedName>
    <definedName name="sdgft" hidden="1">{#N/A,#N/A,FALSE,"Plan1";#N/A,#N/A,FALSE,"Plan2"}</definedName>
    <definedName name="sdgt" hidden="1">{#N/A,#N/A,FALSE,"Plan1";#N/A,#N/A,FALSE,"Plan2"}</definedName>
    <definedName name="sdgtry" hidden="1">#REF!</definedName>
    <definedName name="sdhfghdsfg" hidden="1">{#N/A,#N/A,FALSE,"Plan1";#N/A,#N/A,FALSE,"Plan2"}</definedName>
    <definedName name="SDHFJKHDFJRE" hidden="1">{#N/A,#N/A,FALSE,"Plan1";#N/A,#N/A,FALSE,"Plan2"}</definedName>
    <definedName name="SDHKFDRKGTR" hidden="1">{#N/A,#N/A,FALSE,"Plan1";#N/A,#N/A,FALSE,"Plan2"}</definedName>
    <definedName name="sdjdswger" hidden="1">{#N/A,#N/A,FALSE,"Plan1";#N/A,#N/A,FALSE,"Plan2"}</definedName>
    <definedName name="sdjfdf" hidden="1">{#N/A,#N/A,FALSE,"Plan1";#N/A,#N/A,FALSE,"Plan2"}</definedName>
    <definedName name="sdjfhdjk" hidden="1">{#N/A,#N/A,FALSE,"Plan1";#N/A,#N/A,FALSE,"Plan2"}</definedName>
    <definedName name="SDJFJDER" hidden="1">{#N/A,#N/A,FALSE,"Plan1";#N/A,#N/A,FALSE,"Plan2"}</definedName>
    <definedName name="sdjflsdjfl" hidden="1">{#N/A,#N/A,FALSE,"Plan1";#N/A,#N/A,FALSE,"Plan2"}</definedName>
    <definedName name="SDJHF" hidden="1">{#N/A,#N/A,FALSE,"Plan1";#N/A,#N/A,FALSE,"Plan2"}</definedName>
    <definedName name="sdjrderertrr" hidden="1">{#N/A,#N/A,FALSE,"Plan1";#N/A,#N/A,FALSE,"Plan2"}</definedName>
    <definedName name="sdkdjk" hidden="1">{#N/A,#N/A,FALSE,"Plan1";#N/A,#N/A,FALSE,"Plan2"}</definedName>
    <definedName name="sdkfjhkdgfh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 hidden="1">{#N/A,#N/A,FALSE,"Plan1";#N/A,#N/A,FALSE,"Plan2"}</definedName>
    <definedName name="sdkk" hidden="1">{#N/A,#N/A,FALSE,"Plan1";#N/A,#N/A,FALSE,"Plan2"}</definedName>
    <definedName name="sdlfsdflj" hidden="1">{#N/A,#N/A,FALSE,"Plan1";#N/A,#N/A,FALSE,"Plan2"}</definedName>
    <definedName name="sdmfmdfsgfd" hidden="1">{#N/A,#N/A,FALSE,"Plan1";#N/A,#N/A,FALSE,"Plan2"}</definedName>
    <definedName name="sd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 hidden="1">{#N/A,#N/A,FALSE,"Plan1";#N/A,#N/A,FALSE,"Plan2"}</definedName>
    <definedName name="sdsd" hidden="1">{#N/A,#N/A,FALSE,"Plan1";#N/A,#N/A,FALSE,"Plan2"}</definedName>
    <definedName name="sdser" hidden="1">{#N/A,#N/A,FALSE,"Plan1";#N/A,#N/A,FALSE,"Plan2"}</definedName>
    <definedName name="sdsre" hidden="1">{#N/A,#N/A,FALSE,"Plan1";#N/A,#N/A,FALSE,"Plan2"}</definedName>
    <definedName name="sdss" hidden="1">{#N/A,#N/A,FALSE,"Plan1";#N/A,#N/A,FALSE,"Plan2"}</definedName>
    <definedName name="sdtrtg" hidden="1">#REF!</definedName>
    <definedName name="sdusi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 hidden="1">{"Econ Consolidado",#N/A,FALSE,"Econ Consol";"Fluxo de Caixa",#N/A,FALSE,"Fluxo Caixa";"Investimentos",#N/A,FALSE,"Investimentos"}</definedName>
    <definedName name="sdxfrt" hidden="1">{#N/A,#N/A,FALSE,"Plan1";#N/A,#N/A,FALSE,"Plan2"}</definedName>
    <definedName name="SDZFERF" hidden="1">{#N/A,#N/A,FALSE,"Plan1";#N/A,#N/A,FALSE,"Plan2"}</definedName>
    <definedName name="se">#REF!</definedName>
    <definedName name="SEDE">#REF!</definedName>
    <definedName name="sefret4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>#REF!</definedName>
    <definedName name="segftru" hidden="1">{#N/A,#N/A,FALSE,"Plan1";#N/A,#N/A,FALSE,"Plan2"}</definedName>
    <definedName name="SegmentaçãodeDados_UF1">""</definedName>
    <definedName name="SegmentaçãodeDados_UF11">""</definedName>
    <definedName name="SegmentaçãodeDados_UF12">""</definedName>
    <definedName name="SEIS">#REF!</definedName>
    <definedName name="sencount" hidden="1">3</definedName>
    <definedName name="SEQUENCIA">#REF!</definedName>
    <definedName name="SEREWRSWE" hidden="1">{"tabela",#N/A,FALSE,"Tabela";"decoração",#N/A,FALSE,"Decor.";"Informações",#N/A,FALSE,"Inform."}</definedName>
    <definedName name="Set_17">#REF!</definedName>
    <definedName name="SETE">#REF!</definedName>
    <definedName name="SETEMBRO">#REF!</definedName>
    <definedName name="setRJ17">#REF!</definedName>
    <definedName name="severo">#REF!</definedName>
    <definedName name="sf" hidden="1">{#N/A,#N/A,FALSE,"Plan1";#N/A,#N/A,FALSE,"Plan2"}</definedName>
    <definedName name="sfcre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 hidden="1">{#N/A,#N/A,FALSE,"Plan1";#N/A,#N/A,FALSE,"Plan2"}</definedName>
    <definedName name="sfds" hidden="1">{#N/A,#N/A,FALSE,"Plan1";#N/A,#N/A,FALSE,"Plan2"}</definedName>
    <definedName name="sfdsd" hidden="1">{#N/A,#N/A,FALSE,"Plan1";#N/A,#N/A,FALSE,"Plan2"}</definedName>
    <definedName name="SFDSF" hidden="1">34</definedName>
    <definedName name="sfrsdrgt" hidden="1">{#N/A,#N/A,FALSE,"Plan1";#N/A,#N/A,FALSE,"Plan2"}</definedName>
    <definedName name="SFRT" hidden="1">{#N/A,#N/A,FALSE,"Plan1";#N/A,#N/A,FALSE,"Plan2"}</definedName>
    <definedName name="sfsdferf" hidden="1">{#N/A,#N/A,FALSE,"Plan1";#N/A,#N/A,FALSE,"Plan2"}</definedName>
    <definedName name="sfsdfs" hidden="1">34</definedName>
    <definedName name="SFSDS" hidden="1">{#N/A,#N/A,FALSE,"Plan1";#N/A,#N/A,FALSE,"Plan2"}</definedName>
    <definedName name="SGarantia">#REF!</definedName>
    <definedName name="sgtghty" hidden="1">{#N/A,#N/A,FALSE,"Plan1";#N/A,#N/A,FALSE,"Plan2"}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RED_FORMULA_0">#N/A</definedName>
    <definedName name="SHARED_FORMULA_1">#N/A</definedName>
    <definedName name="SHARED_FORMULA_10">#N/A</definedName>
    <definedName name="SHARED_FORMULA_11">#N/A</definedName>
    <definedName name="SHARED_FORMULA_12">#N/A</definedName>
    <definedName name="SHARED_FORMULA_13">#N/A</definedName>
    <definedName name="SHARED_FORMULA_14">#N/A</definedName>
    <definedName name="SHARED_FORMULA_15">#N/A</definedName>
    <definedName name="SHARED_FORMULA_16">#N/A</definedName>
    <definedName name="SHARED_FORMULA_17">#N/A</definedName>
    <definedName name="SHARED_FORMULA_18">#N/A</definedName>
    <definedName name="SHARED_FORMULA_19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39">#N/A</definedName>
    <definedName name="SHARED_FORMULA_4">#N/A</definedName>
    <definedName name="SHARED_FORMULA_40">#N/A</definedName>
    <definedName name="SHARED_FORMULA_41">#N/A</definedName>
    <definedName name="SHARED_FORMULA_42">#N/A</definedName>
    <definedName name="SHARED_FORMULA_43">#N/A</definedName>
    <definedName name="SHARED_FORMULA_44">#N/A</definedName>
    <definedName name="SHARED_FORMULA_45">#N/A</definedName>
    <definedName name="SHARED_FORMULA_46">#N/A</definedName>
    <definedName name="SHARED_FORMULA_47">#N/A</definedName>
    <definedName name="SHARED_FORMULA_48">#N/A</definedName>
    <definedName name="SHARED_FORMULA_49">#N/A</definedName>
    <definedName name="SHARED_FORMULA_5">#N/A</definedName>
    <definedName name="SHARED_FORMULA_50">#N/A</definedName>
    <definedName name="SHARED_FORMULA_51">#N/A</definedName>
    <definedName name="SHARED_FORMULA_52">#N/A</definedName>
    <definedName name="SHARED_FORMULA_53">#N/A</definedName>
    <definedName name="SHARED_FORMULA_54">#N/A</definedName>
    <definedName name="SHARED_FORMULA_55">#N/A</definedName>
    <definedName name="SHARED_FORMULA_56">#N/A</definedName>
    <definedName name="SHARED_FORMULA_57">#N/A</definedName>
    <definedName name="SHARED_FORMULA_58">#N/A</definedName>
    <definedName name="SHARED_FORMULA_59">#N/A</definedName>
    <definedName name="SHARED_FORMULA_6">#N/A</definedName>
    <definedName name="SHARED_FORMULA_60">#N/A</definedName>
    <definedName name="SHARED_FORMULA_61">#N/A</definedName>
    <definedName name="SHARED_FORMULA_62">#N/A</definedName>
    <definedName name="SHARED_FORMULA_7">#N/A</definedName>
    <definedName name="SHARED_FORMULA_8">#N/A</definedName>
    <definedName name="SHARED_FORMULA_9">#N/A</definedName>
    <definedName name="SIH">#REF!</definedName>
    <definedName name="SISTEM1">#REF!</definedName>
    <definedName name="SISTEM2">#REF!</definedName>
    <definedName name="SIV">#REF!</definedName>
    <definedName name="sjawe" hidden="1">{#N/A,#N/A,FALSE,"Plan1";#N/A,#N/A,FALSE,"Plan2"}</definedName>
    <definedName name="sjdffd" hidden="1">{#N/A,#N/A,FALSE,"Plan1";#N/A,#N/A,FALSE,"Plan2"}</definedName>
    <definedName name="SJDFHDJ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 hidden="1">{#N/A,#N/A,FALSE,"Plan1";#N/A,#N/A,FALSE,"Plan2"}</definedName>
    <definedName name="SJDKJDE" hidden="1">{"Econ Consolidado",#N/A,FALSE,"Econ Consol";"Fluxo de Caixa",#N/A,FALSE,"Fluxo Caixa";"Investimentos",#N/A,FALSE,"Investimentos"}</definedName>
    <definedName name="sjekwjri" hidden="1">{#N/A,#N/A,FALSE,"Plan1";#N/A,#N/A,FALSE,"Plan2"}</definedName>
    <definedName name="sjfkdhsfds" hidden="1">{#N/A,#N/A,FALSE,"Plan1";#N/A,#N/A,FALSE,"Plan2"}</definedName>
    <definedName name="sjkdljslkrje" hidden="1">{#N/A,#N/A,FALSE,"Plan1";#N/A,#N/A,FALSE,"Plan2"}</definedName>
    <definedName name="skadadaszs" hidden="1">{#N/A,#N/A,FALSE,"Plan1";#N/A,#N/A,FALSE,"Plan2"}</definedName>
    <definedName name="SKASH" hidden="1">{#N/A,#N/A,FALSE,"Plan1";#N/A,#N/A,FALSE,"Plan2"}</definedName>
    <definedName name="skldfrde" hidden="1">{#N/A,#N/A,FALSE,"Plan1";#N/A,#N/A,FALSE,"Plan2"}</definedName>
    <definedName name="skosroer" hidden="1">{#N/A,#N/A,FALSE,"Plan1";#N/A,#N/A,FALSE,"Plan2"}</definedName>
    <definedName name="SO">#REF!</definedName>
    <definedName name="solver_lin" hidden="1">0</definedName>
    <definedName name="solver_num" hidden="1">0</definedName>
    <definedName name="solver_rel1" hidden="1">3</definedName>
    <definedName name="solver_rhs1" hidden="1">0</definedName>
    <definedName name="solver_tmp" hidden="1">0</definedName>
    <definedName name="solver_typ" hidden="1">1</definedName>
    <definedName name="solver_val" hidden="1">0</definedName>
    <definedName name="soma">#REF!</definedName>
    <definedName name="sp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 hidden="1">{#N/A,#N/A,FALSE,"Plan1";#N/A,#N/A,FALSE,"Plan2"}</definedName>
    <definedName name="SR" hidden="1">#REF!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 hidden="1">#REF!</definedName>
    <definedName name="sssss" hidden="1">#REF!</definedName>
    <definedName name="stake_cury">#REF!</definedName>
    <definedName name="status_projeto" hidden="1">OFFSET(INDEX(#REF!,MATCH(#REF!,#REF!,0)),1,0,COUNTA(#REF!)-1)</definedName>
    <definedName name="SUB_TOTAL_1">#REF!</definedName>
    <definedName name="SUBDER">#REF!</definedName>
    <definedName name="SUBDIV">#REF!</definedName>
    <definedName name="SUBEQP">#REF!</definedName>
    <definedName name="SUBMUR">#REF!</definedName>
    <definedName name="summ" hidden="1">#REF!</definedName>
    <definedName name="susref">#REF!</definedName>
    <definedName name="Swvu.Características." hidden="1">#REF!</definedName>
    <definedName name="Swvu.Ciclos." hidden="1">#REF!</definedName>
    <definedName name="Swvu.Custos." hidden="1">#REF!</definedName>
    <definedName name="Swvu.PLANILHA2." hidden="1">#REF!</definedName>
    <definedName name="Swvu.Recursos." hidden="1">#REF!</definedName>
    <definedName name="T_actual">#REF!</definedName>
    <definedName name="t_cc">#REF!</definedName>
    <definedName name="t_KSB1_Transport">#REF!</definedName>
    <definedName name="tab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GASTOS">#REF!</definedName>
    <definedName name="TABACABAMENTOS">#REF!</definedName>
    <definedName name="tabela">#REF!</definedName>
    <definedName name="Tabela_Atribuição">#REF!</definedName>
    <definedName name="TABELA_DE_REVESTIMENTOS">#REF!</definedName>
    <definedName name="Tabela_Recursos">#REF!</definedName>
    <definedName name="Tabela_Tarefas">#REF!</definedName>
    <definedName name="Tabela1">#REF!</definedName>
    <definedName name="Tabela2">#REF!</definedName>
    <definedName name="tabela3">#REF!</definedName>
    <definedName name="TABREF">#REF!</definedName>
    <definedName name="tania">#REF!</definedName>
    <definedName name="TAUX2">OFFSET(#REF!,0,0,COUNTA(#REF!)+1,1)</definedName>
    <definedName name="TAUX3">OFFSET(#REF!,0,0,COUNTA(#REF!)+1,1)</definedName>
    <definedName name="TAXA_VENTO">#REF!</definedName>
    <definedName name="TAXAS">#REF!</definedName>
    <definedName name="TbDin">OFFSET(#REF!,0,0,COUNTA(#REF!),13)</definedName>
    <definedName name="tc">#REF!</definedName>
    <definedName name="TE">#REF!</definedName>
    <definedName name="TECLA">#REF!</definedName>
    <definedName name="Tendência_Obra_Controladoria">#REF!</definedName>
    <definedName name="TERRENO">#REF!</definedName>
    <definedName name="Test" hidden="1">{"'Edit'!$A$1:$V$2277"}</definedName>
    <definedName name="TESTANDO" hidden="1">{#N/A,#N/A,TRUE,"Quinzena 01 à 15-04-98 "}</definedName>
    <definedName name="teste">#REF!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3">#REF!</definedName>
    <definedName name="TESTHKEY">#REF!</definedName>
    <definedName name="teto1">#REF!</definedName>
    <definedName name="Teto2">#REF!</definedName>
    <definedName name="tetuytw">#REF!</definedName>
    <definedName name="TextRefCopyRangeCount" hidden="1">1</definedName>
    <definedName name="thjgsergsr" hidden="1">{#N/A,#N/A,FALSE,"Plan1";#N/A,#N/A,FALSE,"Plan2"}</definedName>
    <definedName name="THYJ" hidden="1">{#N/A,#N/A,FALSE,"Plan1";#N/A,#N/A,FALSE,"Plan2"}</definedName>
    <definedName name="tihjgih" hidden="1">{#N/A,#N/A,FALSE,"Plan1";#N/A,#N/A,FALSE,"Plan2"}</definedName>
    <definedName name="TIPO_CTT">#REF!</definedName>
    <definedName name="Tipo_de_Diretoria">#REF!</definedName>
    <definedName name="Tipo_de_Gestao">#REF!</definedName>
    <definedName name="Tipo_de_Padrao">#REF!</definedName>
    <definedName name="Tipo_de_Regiao">#REF!</definedName>
    <definedName name="Tipo_de_Segmento">#REF!</definedName>
    <definedName name="Tipo_de_Status">#REF!</definedName>
    <definedName name="Tipo_de_UF">#REF!</definedName>
    <definedName name="Tipo_de_Unidade_de_Negocio">#REF!</definedName>
    <definedName name="Tipo_do_cliente">#REF!</definedName>
    <definedName name="tipo_subtotal">#REF!</definedName>
    <definedName name="tipobloco">#REF!</definedName>
    <definedName name="titbeb">#REF!</definedName>
    <definedName name="TITCHAF">#REF!</definedName>
    <definedName name="TituloMkt">#REF!</definedName>
    <definedName name="titulos">#REF!</definedName>
    <definedName name="_xlnm.Print_Titles">#REF!</definedName>
    <definedName name="Títulos_impressão_IM">#REF!</definedName>
    <definedName name="TMO">#REF!</definedName>
    <definedName name="TOLTAL2">#REF!</definedName>
    <definedName name="TOT">#REF!</definedName>
    <definedName name="tot3estac">#REF!</definedName>
    <definedName name="TOTAIS">#REF!</definedName>
    <definedName name="Total">#REF!</definedName>
    <definedName name="Total_2016_Rel_Controladoria">#REF!</definedName>
    <definedName name="Total_Parcelas_MAP">#REF!</definedName>
    <definedName name="total_unid">#REF!</definedName>
    <definedName name="TOTAL1">#REF!</definedName>
    <definedName name="TOTAL10">#REF!</definedName>
    <definedName name="TOTAL11">#REF!</definedName>
    <definedName name="TOTAL12">#REF!</definedName>
    <definedName name="TOTAL13">#REF!</definedName>
    <definedName name="TOTAL14">#REF!</definedName>
    <definedName name="TOTAL15">#REF!</definedName>
    <definedName name="TOTAL16">#REF!</definedName>
    <definedName name="TOTAL2">#REF!</definedName>
    <definedName name="TOTAL3">#REF!</definedName>
    <definedName name="TOTAL4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ITEM">#REF!</definedName>
    <definedName name="totbase">#REF!</definedName>
    <definedName name="totestaca">#REF!</definedName>
    <definedName name="TOTG">OFFSET(#REF!,0,0,COUNTA(#REF!),1)</definedName>
    <definedName name="totperfura">#REF!</definedName>
    <definedName name="TOTQTS">#REF!</definedName>
    <definedName name="TOTT">OFFSET(#REF!,0,0,COUNTA(#REF!)+1,1)</definedName>
    <definedName name="TR">#REF!</definedName>
    <definedName name="Transferencia1">#REF!</definedName>
    <definedName name="TRES">#REF!</definedName>
    <definedName name="TREZE">#REF!</definedName>
    <definedName name="tri">#REF!</definedName>
    <definedName name="Trimestre_data_base">#REF!</definedName>
    <definedName name="trjyidih" hidden="1">{#N/A,#N/A,FALSE,"Plan1";#N/A,#N/A,FALSE,"Plan2"}</definedName>
    <definedName name="TRP">#REF!</definedName>
    <definedName name="TTT">#REF!</definedName>
    <definedName name="TURNO">#REF!</definedName>
    <definedName name="tuyedjsksj" hidden="1">{#N/A,#N/A,FALSE,"Plan1";#N/A,#N/A,FALSE,"Plan2"}</definedName>
    <definedName name="TX_ADM">#REF!</definedName>
    <definedName name="tx_desconto_real">#REF!</definedName>
    <definedName name="TxAplicMes">#REF!</definedName>
    <definedName name="TxCdiMes">#REF!</definedName>
    <definedName name="TxDescMes">#REF!</definedName>
    <definedName name="TxSecuritizacaoMes">#REF!</definedName>
    <definedName name="TxSfhEco">#REF!</definedName>
    <definedName name="TxSfhMap">#REF!</definedName>
    <definedName name="TXTEQUIP">#REF!</definedName>
    <definedName name="TXTMARCA">#REF!</definedName>
    <definedName name="TXTMOD">#REF!</definedName>
    <definedName name="TXTPOT">#REF!</definedName>
    <definedName name="TYHGFHFHG" hidden="1">{#N/A,#N/A,FALSE,"Plan1";#N/A,#N/A,FALSE,"Plan2"}</definedName>
    <definedName name="u" hidden="1">{#N/A,#N/A,FALSE,"ET-CAPA";#N/A,#N/A,FALSE,"ET-PAG1";#N/A,#N/A,FALSE,"ET-PAG2";#N/A,#N/A,FALSE,"ET-PAG3";#N/A,#N/A,FALSE,"ET-PAG4";#N/A,#N/A,FALSE,"ET-PAG5"}</definedName>
    <definedName name="udhgfhfg" hidden="1">{#N/A,#N/A,FALSE,"Plan1";#N/A,#N/A,FALSE,"Plan2"}</definedName>
    <definedName name="ueiutriuef" hidden="1">{#N/A,#N/A,FALSE,"Plan1";#N/A,#N/A,FALSE,"Plan2"}</definedName>
    <definedName name="UENSIT">#REF!</definedName>
    <definedName name="UENSITS">#REF!</definedName>
    <definedName name="UHGSDUS" hidden="1">{#N/A,#N/A,FALSE,"Plan1";#N/A,#N/A,FALSE,"Plan2"}</definedName>
    <definedName name="UI" hidden="1">#REF!</definedName>
    <definedName name="UIHWER45R" hidden="1">{#N/A,#N/A,FALSE,"Plan1";#N/A,#N/A,FALSE,"Plan2"}</definedName>
    <definedName name="uiosderuiu" hidden="1">{#N/A,#N/A,FALSE,"Plan1";#N/A,#N/A,FALSE,"Plan2"}</definedName>
    <definedName name="UIOURET" hidden="1">{#N/A,#N/A,FALSE,"Plan1";#N/A,#N/A,FALSE,"Plan2"}</definedName>
    <definedName name="uiwuer" hidden="1">{#N/A,#N/A,FALSE,"Plan1";#N/A,#N/A,FALSE,"Plan2"}</definedName>
    <definedName name="UKHDFDSGUDFKD" hidden="1">{#N/A,#N/A,FALSE,"Plan1";#N/A,#N/A,FALSE,"Plan2"}</definedName>
    <definedName name="UM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">OFFSET(#REF!,0,0,COUNTA(#REF!),1)</definedName>
    <definedName name="uni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v_cdi">#REF!</definedName>
    <definedName name="univ_hist">#REF!</definedName>
    <definedName name="univ_uss">#REF!</definedName>
    <definedName name="UP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 hidden="1">{#N/A,#N/A,FALSE,"Plan1";#N/A,#N/A,FALSE,"Plan2"}</definedName>
    <definedName name="V">#REF!</definedName>
    <definedName name="VALIDADE_EXECUÇÃO">#REF!</definedName>
    <definedName name="Valor_PLS_Controladoria">#REF!</definedName>
    <definedName name="Valor_Previsto_Fin_Medições">#REF!</definedName>
    <definedName name="VALOR_REAIS">#REF!</definedName>
    <definedName name="Valor_Recebido_Fin_Medições">#REF!</definedName>
    <definedName name="Valor_Sienge">#REF!</definedName>
    <definedName name="VALOR_VENDA">#REF!</definedName>
    <definedName name="valores_diferidos">#REF!</definedName>
    <definedName name="valv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OS">#REF!</definedName>
    <definedName name="vdsgfrhgfr" hidden="1">{#N/A,#N/A,FALSE,"Plan1";#N/A,#N/A,FALSE,"Plan2"}</definedName>
    <definedName name="Veiculos">#REF!</definedName>
    <definedName name="VENDA_ADOTADA">#REF!</definedName>
    <definedName name="VENDAFINAL_R">#REF!</definedName>
    <definedName name="VENDAFINAL_U">#REF!</definedName>
    <definedName name="Vendas">#REF!</definedName>
    <definedName name="vendas_">#REF!</definedName>
    <definedName name="VERIFICAR" hidden="1">{#N/A,#N/A,TRUE,"Quinzena 01 à 15-04-98 "}</definedName>
    <definedName name="versao_estudo">#REF!</definedName>
    <definedName name="vfbg">#REF!</definedName>
    <definedName name="vfnij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 hidden="1">{#N/A,#N/A,FALSE,"Plan1";#N/A,#N/A,FALSE,"Plan2"}</definedName>
    <definedName name="VI">#REF!</definedName>
    <definedName name="VINTE">#REF!</definedName>
    <definedName name="visao_cashflow">#REF!</definedName>
    <definedName name="visao_VL">#REF!</definedName>
    <definedName name="vl_cd">#REF!</definedName>
    <definedName name="vl_k1">#REF!</definedName>
    <definedName name="vl_k2">#REF!</definedName>
    <definedName name="vl_k3">#REF!</definedName>
    <definedName name="vld_classificacao" hidden="1">IF(#REF!="Ativa",OFFSET(INDEX(rng_list_classificacao,MATCH(#REF!,rng_list_classificacao,0)),1,0,COUNTA(rng_list_classificacao)-1),#REF!)</definedName>
    <definedName name="vld_regional" hidden="1">OFFSET(INDEX(rng_list_regional,MATCH(#REF!,rng_list_regional,0)),1,0,COUNTA(rng_list_regional)-1)</definedName>
    <definedName name="vld_segmento" hidden="1">IF(#REF!="Ativa",OFFSET(INDEX(rng_list_segmento,MATCH(#REF!,rng_list_segmento,0)),1,0,COUNTA(rng_list_segmento)-1),#REF!)</definedName>
    <definedName name="vld_sociedade" hidden="1">OFFSET(INDEX(rng_list_sociedade,MATCH(#REF!,rng_list_sociedade,0)),1,0,COUNTA(rng_list_sociedade)-1)</definedName>
    <definedName name="vld_status_empresa" hidden="1">OFFSET(INDEX(rng_list_status_empresa,MATCH(#REF!,rng_list_status_empresa,0)),1,0,COUNTA(rng_list_status_empresa)-1)</definedName>
    <definedName name="vld_status_lancamento" hidden="1">IF(#REF!="Ativa",OFFSET(INDEX(rng_list_status_lancamento,MATCH(#REF!,rng_list_status_lancamento,0)),1,0,COUNTA(rng_list_status_lancamento)-1),#REF!)</definedName>
    <definedName name="vld_status_projeto" hidden="1">IF(#REF!="Ativa",OFFSET(INDEX(rng_list_status_projeto,MATCH(#REF!,rng_list_status_projeto,0)),1,0,COUNTA(rng_list_status_projeto)-1),#REF!)</definedName>
    <definedName name="vld_status_viabilidade" hidden="1">OFFSET(INDEX(rng_list_status_viabilidade,MATCH(#REF!,rng_list_status_viabilidade,0)),1,0,COUNTA(rng_list_status_viabilidade)-1)</definedName>
    <definedName name="VOLUME1">#REF!</definedName>
    <definedName name="VOLUME2">#REF!</definedName>
    <definedName name="VOLUME3">#REF!</definedName>
    <definedName name="VSDHFGDFGR" hidden="1">{#N/A,#N/A,FALSE,"Plan1";#N/A,#N/A,FALSE,"Plan2"}</definedName>
    <definedName name="vvbb" hidden="1">{"tabela",#N/A,FALSE,"Tabela";"decoração",#N/A,FALSE,"Decor.";"Informações",#N/A,FALSE,"Inform."}</definedName>
    <definedName name="vvcbnb" hidden="1">{#N/A,#N/A,FALSE,"Plan1";#N/A,#N/A,FALSE,"Plan2"}</definedName>
    <definedName name="vvvvv" hidden="1">{"Econ Consolidado",#N/A,FALSE,"Econ Consol";"Fluxo de Caixa",#N/A,FALSE,"Fluxo Caixa";"Investimentos",#N/A,FALSE,"Investimentos"}</definedName>
    <definedName name="vvvvvv" hidden="1">{#N/A,#N/A,FALSE,"Plan1";#N/A,#N/A,FALSE,"Plan2"}</definedName>
    <definedName name="vvvvvvvvvvvvvvvvv" hidden="1">{"HW",#N/A,FALSE,"1998"}</definedName>
    <definedName name="VX" hidden="1">#REF!</definedName>
    <definedName name="w">#REF!</definedName>
    <definedName name="wacc">#REF!</definedName>
    <definedName name="wadalrdjlae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 hidden="1">#REF!</definedName>
    <definedName name="WE" hidden="1">#REF!</definedName>
    <definedName name="weki_9701.xls" hidden="1">#REF!</definedName>
    <definedName name="wekir9701.xls" hidden="1">#REF!</definedName>
    <definedName name="werw4tr" hidden="1">{#N/A,#N/A,FALSE,"Plan1";#N/A,#N/A,FALSE,"Plan2"}</definedName>
    <definedName name="wetoedjtkdr" hidden="1">{#N/A,#N/A,FALSE,"Plan1";#N/A,#N/A,FALSE,"Plan2"}</definedName>
    <definedName name="WHATS" hidden="1">{"'Edit'!$A$1:$V$2277"}</definedName>
    <definedName name="win.VESSE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TENS">#REF!</definedName>
    <definedName name="WKJHIR" hidden="1">{#N/A,#N/A,FALSE,"Plan1";#N/A,#N/A,FALSE,"Plan2"}</definedName>
    <definedName name="WLQ" hidden="1">{#N/A,#N/A,FALSE,"명세표"}</definedName>
    <definedName name="WNMLOCAL">#REF!</definedName>
    <definedName name="WNMMUN">#REF!</definedName>
    <definedName name="WNMSERV">#REF!</definedName>
    <definedName name="worl_cdi">#REF!</definedName>
    <definedName name="worl_hist">#REF!</definedName>
    <definedName name="worl_uss">#REF!</definedName>
    <definedName name="WRITE" hidden="1">{#N/A,#N/A,FALSE,"CCTV"}</definedName>
    <definedName name="wrn.BM." hidden="1">{#N/A,#N/A,FALSE,"CCTV"}</definedName>
    <definedName name="wrn.Brita98.xls." hidden="1">{#N/A,#N/A,TRUE,"Quinzena 01 à 15-04-98 "}</definedName>
    <definedName name="wrn.Completo.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 hidden="1">{"EconCons",#N/A,TRUE,"Econômico - Consolidado";"CaixaCons",#N/A,TRUE,"Caixa - Consolidado";"InvestCons",#N/A,TRUE,"Invest Consolidado"}</definedName>
    <definedName name="wrn.Consolidado." hidden="1">{"Econ Consolidado",#N/A,FALSE,"Econ Consol";"Fluxo de Caixa",#N/A,FALSE,"Fluxo Caixa";"Investimentos",#N/A,FALSE,"Investimentos"}</definedName>
    <definedName name="wrn.GERAL." hidden="1">{#N/A,#N/A,FALSE,"ET-CAPA";#N/A,#N/A,FALSE,"ET-PAG1";#N/A,#N/A,FALSE,"ET-PAG2";#N/A,#N/A,FALSE,"ET-PAG3";#N/A,#N/A,FALSE,"ET-PAG4";#N/A,#N/A,FALSE,"ET-PAG5"}</definedName>
    <definedName name="wrn.HAGE." hidden="1">{#N/A,#N/A,FALSE,"cdi";#N/A,#N/A,FALSE,"debent";#N/A,#N/A,FALSE,"fdos";#N/A,#N/A,FALSE,"resumo"}</definedName>
    <definedName name="wrn.HAGE01" hidden="1">{#N/A,#N/A,FALSE,"cdi";#N/A,#N/A,FALSE,"debent";#N/A,#N/A,FALSE,"fdos";#N/A,#N/A,FALSE,"resumo"}</definedName>
    <definedName name="wrn.HW." hidden="1">{"HW",#N/A,FALSE,"1998"}</definedName>
    <definedName name="wrn.imp_flx." hidden="1">{#N/A,#N/A,FALSE,"CONSOLID";#N/A,#N/A,FALSE,"CIMENTO";#N/A,#N/A,FALSE,"METALURGIA";#N/A,#N/A,FALSE,"PAPEL";#N/A,#N/A,FALSE,"QUÍMICA";#N/A,#N/A,FALSE,"AGROINDL";#N/A,#N/A,FALSE,"OUTROS";#N/A,#N/A,FALSE,"REAL_ORCADO"}</definedName>
    <definedName name="wrn.IMPRESSO." hidden="1">{#N/A,#N/A,FALSE,"Plan1";#N/A,#N/A,FALSE,"Plan2"}</definedName>
    <definedName name="wrn.Imprimir." hidden="1">{"tabela",#N/A,FALSE,"Tabela";"decoração",#N/A,FALSE,"Decor.";"Informações",#N/A,FALSE,"Inform."}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onth._.Report._.Package." hidden="1">{#N/A,#N/A,FALSE,"Global Wls Trend";#N/A,#N/A,FALSE,"Region Trend";#N/A,#N/A,FALSE,"PBU Trend"}</definedName>
    <definedName name="wrn.Monthly._.Report._.Package." hidden="1">{#N/A,#N/A,FALSE,"Global by BU";#N/A,#N/A,FALSE,"U.S. by BU";#N/A,#N/A,FALSE,"Canada by BU";#N/A,#N/A,FALSE,"Europe by BU";#N/A,#N/A,FALSE,"Asia by BU";#N/A,#N/A,FALSE,"Cala by BU"}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 hidden="1">{#N/A,#N/A,FALSE,"F-01"}</definedName>
    <definedName name="wrn.Planiha._.de._.Medição._.F._.01._1" hidden="1">{#N/A,#N/A,FALSE,"F-01"}</definedName>
    <definedName name="wrn.Planilha_de_Medição_F_02" hidden="1">{#N/A,#N/A,FALSE,"F-01"}</definedName>
    <definedName name="wrn.print._.all." hidden="1">{#N/A,#N/A,FALSE,"$170M Cash";#N/A,#N/A,FALSE,"$250M Cash";#N/A,#N/A,FALSE,"$325M Cash"}</definedName>
    <definedName name="wrn.PrintAll.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hidden="1">{#N/A,#N/A,FALSE,"Sheet1";#N/A,#N/A,FALSE,"Sheet2";#N/A,#N/A,FALSE,"Sheet3"}</definedName>
    <definedName name="wrn.PrintPrev1." hidden="1">{#N/A,#N/A,FALSE,"Sheet4";#N/A,#N/A,FALSE,"Sheet5";#N/A,#N/A,FALSE,"Sheet6"}</definedName>
    <definedName name="wrn.PrintPrev2." hidden="1">{#N/A,#N/A,FALSE,"Sheet7";#N/A,#N/A,FALSE,"Sheet8";#N/A,#N/A,FALSE,"Sheet9"}</definedName>
    <definedName name="wrn.Quadros._.relatório.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 hidden="1">{#N/A,#N/A,FALSE,"표지";#N/A,#N/A,FALSE,"목차";#N/A,#N/A,FALSE,"내용1";#N/A,#N/A,FALSE,"내용2";#N/A,#N/A,FALSE,"결론";#N/A,#N/A,FALSE,"첨부";#N/A,#N/A,FALSE,"진공도달시간";#N/A,#N/A,FALSE,"배가스속도"}</definedName>
    <definedName name="wrn.STAFFS." hidden="1">{#N/A,#N/A,FALSE,"TABLE"}</definedName>
    <definedName name="wrn.TERCEIRO.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 hidden="1">{#N/A,#N/A,FALSE,"명세표"}</definedName>
    <definedName name="wrn.Unidades." hidden="1">{"Rio Branco",#N/A,FALSE,"Rio Branco";"Itajaí",#N/A,FALSE,"Itajaí";"Pinheiro Machado",#N/A,FALSE,"PMachado";"Esteio",#N/A,FALSE,"Esteio"}</definedName>
    <definedName name="wrn.VESSEL및N2._.구입사양서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 hidden="1">{#N/A,#N/A,FALSE,"Sheet1";#N/A,#N/A,FALSE,"Sheet2";#N/A,#N/A,FALSE,"TAB96-1"}</definedName>
    <definedName name="wrn.보호계전기." hidden="1">{#N/A,#N/A,FALSE,"ENG'G(보호계전기)"}</definedName>
    <definedName name="wrn.현장._.NCR._.분석." hidden="1">{#N/A,#N/A,FALSE,"현장 NCR 분석";#N/A,#N/A,FALSE,"현장품질감사";#N/A,#N/A,FALSE,"현장품질감사"}</definedName>
    <definedName name="wrn1.Cons." hidden="1">{"EconCons",#N/A,TRUE,"Econômico - Consolidado";"CaixaCons",#N/A,TRUE,"Caixa - Consolidado";"InvestCons",#N/A,TRUE,"Invest Consolidado"}</definedName>
    <definedName name="wrn1.print._.all." hidden="1">{#N/A,#N/A,FALSE,"$170M Cash";#N/A,#N/A,FALSE,"$250M Cash";#N/A,#N/A,FALSE,"$325M Cash"}</definedName>
    <definedName name="WRS" hidden="1">{"'장비'!$A$3:$M$12"}</definedName>
    <definedName name="wrt" hidden="1">{#N/A,#N/A,FALSE,"$170M Cash";#N/A,#N/A,FALSE,"$250M Cash";#N/A,#N/A,FALSE,"$325M Cash"}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>#REF!</definedName>
    <definedName name="XALFA">#REF!</definedName>
    <definedName name="XC">#REF!</definedName>
    <definedName name="xcfrt" hidden="1">{#N/A,#N/A,FALSE,"Plan1";#N/A,#N/A,FALSE,"Plan2"}</definedName>
    <definedName name="xcgjkfghf" hidden="1">{#N/A,#N/A,FALSE,"Plan1";#N/A,#N/A,FALSE,"Plan2"}</definedName>
    <definedName name="XCGJKVHFDG" hidden="1">{#N/A,#N/A,FALSE,"Plan1";#N/A,#N/A,FALSE,"Plan2"}</definedName>
    <definedName name="xcgtrt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I">#REF!</definedName>
    <definedName name="XCII">#REF!</definedName>
    <definedName name="XCIII">#REF!</definedName>
    <definedName name="XCIV">#REF!</definedName>
    <definedName name="XCIX">#REF!</definedName>
    <definedName name="xçl" hidden="1">{#N/A,#N/A,FALSE,"Plan1";#N/A,#N/A,FALSE,"Plan2"}</definedName>
    <definedName name="xcndj" hidden="1">{#N/A,#N/A,FALSE,"Plan1";#N/A,#N/A,FALSE,"Plan2"}</definedName>
    <definedName name="XCV">#REF!</definedName>
    <definedName name="XCVGGT" hidden="1">{#N/A,#N/A,FALSE,"Plan1";#N/A,#N/A,FALSE,"Plan2"}</definedName>
    <definedName name="XCVI">#REF!</definedName>
    <definedName name="XCVII">#REF!</definedName>
    <definedName name="XCVIII">#REF!</definedName>
    <definedName name="xcvrg" hidden="1">{#N/A,#N/A,FALSE,"Plan1";#N/A,#N/A,FALSE,"Plan2"}</definedName>
    <definedName name="XDATA">#REF!</definedName>
    <definedName name="xdfe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 hidden="1">{#N/A,#N/A,FALSE,"Plan1";#N/A,#N/A,FALSE,"Plan2"}</definedName>
    <definedName name="xfdlfj" hidden="1">{#N/A,#N/A,FALSE,"Plan1";#N/A,#N/A,FALSE,"Plan2"}</definedName>
    <definedName name="xfdxfdf" hidden="1">{#N/A,#N/A,FALSE,"Plan1";#N/A,#N/A,FALSE,"Plan2"}</definedName>
    <definedName name="XFJKLDJKLG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 hidden="1">{#N/A,#N/A,FALSE,"Plan1";#N/A,#N/A,FALSE,"Plan2"}</definedName>
    <definedName name="X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 hidden="1">{"Econ Consolidado",#N/A,FALSE,"Econ Consol";"Fluxo de Caixa",#N/A,FALSE,"Fluxo Caixa";"Investimentos",#N/A,FALSE,"Investimentos"}</definedName>
    <definedName name="xfvgcfgt" hidden="1">{#N/A,#N/A,FALSE,"Plan1";#N/A,#N/A,FALSE,"Plan2"}</definedName>
    <definedName name="xgrg" hidden="1">{#N/A,#N/A,FALSE,"Plan1";#N/A,#N/A,FALSE,"Plan2"}</definedName>
    <definedName name="XI">#REF!</definedName>
    <definedName name="XII">#REF!</definedName>
    <definedName name="XIII">#REF!</definedName>
    <definedName name="XITEM">#REF!</definedName>
    <definedName name="XIV">#REF!</definedName>
    <definedName name="XLOC">#REF!</definedName>
    <definedName name="xmght" hidden="1">{#N/A,#N/A,FALSE,"Plan1";#N/A,#N/A,FALSE,"Plan2"}</definedName>
    <definedName name="xnInforme_quantos_bebedouros____bebqt__if_bebqt__0__xlQt.bebedouros_invalida___ENTER_p_reinformar__xresp__branch_rqtderv">#REF!</definedName>
    <definedName name="XNUCOPIAS">#REF!</definedName>
    <definedName name="xo" hidden="1">{#N/A,#N/A,FALSE,"Global by BU";#N/A,#N/A,FALSE,"U.S. by BU";#N/A,#N/A,FALSE,"Canada by BU";#N/A,#N/A,FALSE,"Europe by BU";#N/A,#N/A,FALSE,"Asia by BU";#N/A,#N/A,FALSE,"Cala by BU"}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ColumnsCount" hidden="1">1</definedName>
    <definedName name="XRefCopy2" hidden="1">#REF!</definedName>
    <definedName name="XRefCopy3Row" hidden="1">#REF!</definedName>
    <definedName name="XRefCopy4Row" hidden="1">#REF!</definedName>
    <definedName name="XRefCopy6" hidden="1">#REF!</definedName>
    <definedName name="XRefCopyRangeCount" hidden="1">1</definedName>
    <definedName name="XRefPaste2" hidden="1">#REF!</definedName>
    <definedName name="XRefPaste4" hidden="1">#REF!</definedName>
    <definedName name="XRefPaste5" hidden="1">#REF!</definedName>
    <definedName name="XRefPaste6" hidden="1">#REF!</definedName>
    <definedName name="XRefPaste7Row" hidden="1">#REF!</definedName>
    <definedName name="XRefPasteRangeCount" hidden="1">1</definedName>
    <definedName name="XRESP">#REF!</definedName>
    <definedName name="XTITRES">#REF!</definedName>
    <definedName name="XV">#REF!</definedName>
    <definedName name="XX">#REF!</definedName>
    <definedName name="XXI">#REF!</definedName>
    <definedName name="XXII">#REF!</definedName>
    <definedName name="XXIII">#REF!</definedName>
    <definedName name="XXIV">#REF!</definedName>
    <definedName name="XXV">#REF!</definedName>
    <definedName name="XXX">#REF!</definedName>
    <definedName name="XXXI">#REF!</definedName>
    <definedName name="XXXII">#REF!</definedName>
    <definedName name="XXXIII">#REF!</definedName>
    <definedName name="XXXIV">#REF!</definedName>
    <definedName name="XXXIX">#REF!</definedName>
    <definedName name="XXXV">#REF!</definedName>
    <definedName name="XXXVI">#REF!</definedName>
    <definedName name="XXXVII">#REF!</definedName>
    <definedName name="XXXVIII">#REF!</definedName>
    <definedName name="xxxx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>#REF!</definedName>
    <definedName name="xxxxxxxxxxxxxx" hidden="1">{#N/A,#N/A,FALSE,"Plan1";#N/A,#N/A,FALSE,"Plan2"}</definedName>
    <definedName name="xzfrt" hidden="1">{#N/A,#N/A,FALSE,"Plan1";#N/A,#N/A,FALSE,"Plan2"}</definedName>
    <definedName name="yeitrtged" hidden="1">{#N/A,#N/A,FALSE,"Plan1";#N/A,#N/A,FALSE,"Plan2"}</definedName>
    <definedName name="yhdfiuygrui" hidden="1">{#N/A,#N/A,FALSE,"Plan1";#N/A,#N/A,FALSE,"Plan2"}</definedName>
    <definedName name="YRGUYDRIY" hidden="1">{"Econ Consolidado",#N/A,FALSE,"Econ Consol";"Fluxo de Caixa",#N/A,FALSE,"Fluxo Caixa";"Investimentos",#N/A,FALSE,"Investimentos"}</definedName>
    <definedName name="ytdju">#REF!</definedName>
    <definedName name="yuegursdmksf" hidden="1">{#N/A,#N/A,FALSE,"Plan1";#N/A,#N/A,FALSE,"Plan2"}</definedName>
    <definedName name="yuekl4fr" hidden="1">{#N/A,#N/A,FALSE,"Plan1";#N/A,#N/A,FALSE,"Plan2"}</definedName>
    <definedName name="yureytuyrea" hidden="1">{#N/A,#N/A,FALSE,"Plan1";#N/A,#N/A,FALSE,"Plan2"}</definedName>
    <definedName name="z" hidden="1">{"'Estimativa de Lançamento-JAN'!$A$1:$AI$85"}</definedName>
    <definedName name="z\dj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_022B7420_7F94_427F_B370_84030F9B3342_.wvu.FilterData" hidden="1">#REF!</definedName>
    <definedName name="Z_04BC043C_175B_412D_8093_6F29CD74FBAE_.wvu.FilterData" hidden="1">#REF!</definedName>
    <definedName name="Z_058B9256_CB4D_4C39_834D_D693FEEB491F_.wvu.FilterData" hidden="1">#REF!</definedName>
    <definedName name="Z_05D1A71D_3B7B_4FB7_8DF3_B8E29CA3927A_.wvu.FilterData" hidden="1">#REF!</definedName>
    <definedName name="Z_07C2CF55_E6DF_411A_AB00_7E155615468C_.wvu.FilterData" hidden="1">#REF!</definedName>
    <definedName name="Z_0B1003A7_69DB_4D5B_966D_57B9E8AF76FB_.wvu.FilterData" hidden="1">#REF!</definedName>
    <definedName name="Z_0C3EE359_64F6_4049_9576_8EACA8563EA4_.wvu.FilterData" hidden="1">#REF!</definedName>
    <definedName name="Z_0D05AC4E_32D3_4985_8208_9776E00AC749_.wvu.FilterData" hidden="1">#REF!</definedName>
    <definedName name="Z_0DB407A0_1449_11D8_ADD1_0060083A646F_.wvu.PrintArea" hidden="1">#REF!</definedName>
    <definedName name="Z_0DC459DE_F68C_4E33_8D1E_F1663ABAC944_.wvu.FilterData" hidden="1">#REF!</definedName>
    <definedName name="Z_0FACBA89_1203_4ED8_87E5_EC1D45B051B7_.wvu.FilterData" hidden="1">#REF!</definedName>
    <definedName name="Z_0FEA3536_5108_4591_BECF_C3181387F85F_.wvu.FilterData" hidden="1">#REF!</definedName>
    <definedName name="Z_0FEFDB42_ECBC_4500_A6C8_FEE3D368790B_.wvu.FilterData" hidden="1">#REF!</definedName>
    <definedName name="Z_110A0651_47C7_408E_B3BF_0C80D30B95FC_.wvu.FilterData" hidden="1">#REF!</definedName>
    <definedName name="Z_128E64DD_BE84_40EE_A6D2_C9B0EB25CBBD_.wvu.FilterData" hidden="1">#REF!</definedName>
    <definedName name="Z_12F2973E_0018_407B_98AD_CD9C5D1F65FA_.wvu.FilterData" hidden="1">#REF!</definedName>
    <definedName name="Z_137DAE61_8A8D_4219_A4CC_0EEC18A94882_.wvu.FilterData" hidden="1">#REF!</definedName>
    <definedName name="Z_13E06FB5_D019_406D_B278_1B53AD2F6386_.wvu.FilterData" hidden="1">#REF!</definedName>
    <definedName name="Z_14D375AC_5615_46DE_8EE3_95915B2A8B54_.wvu.FilterData" hidden="1">#REF!</definedName>
    <definedName name="Z_15697660_066E_11D5_AF15_00010242ED40_.wvu.PrintArea" hidden="1">#REF!</definedName>
    <definedName name="Z_15697660_066E_11D5_AF15_00010242ED40_.wvu.PrintTitles" hidden="1">#REF!</definedName>
    <definedName name="Z_15697660_066E_11D5_AF15_00010242ED40_.wvu.Rows" hidden="1">#REF!</definedName>
    <definedName name="Z_15B5DC78_B02F_4AC6_8572_015040A55619_.wvu.FilterData" hidden="1">#REF!</definedName>
    <definedName name="Z_166D6F0F_4D44_46E7_8C36_48FD4848B5AA_.wvu.FilterData" hidden="1">#REF!</definedName>
    <definedName name="Z_16FAB836_2255_4D4C_90E4_6B46255F3759_.wvu.FilterData" hidden="1">#REF!</definedName>
    <definedName name="Z_198D391C_95CB_49F5_8924_5FEA3CE5C98A_.wvu.FilterData" hidden="1">#REF!</definedName>
    <definedName name="Z_1D9C37CC_3E33_4D4D_B7CD_819F75C83D65_.wvu.FilterData" hidden="1">#REF!</definedName>
    <definedName name="Z_1DF9838C_880D_4C4E_BFFE_89B5894EC40F_.wvu.FilterData" hidden="1">#REF!</definedName>
    <definedName name="Z_1EF42BFC_874B_4E01_B67D_1607E823ACD0_.wvu.FilterData" hidden="1">#REF!</definedName>
    <definedName name="Z_1F94C6E7_3CCA_4599_AF6F_4D6291B2AD93_.wvu.FilterData" hidden="1">#REF!</definedName>
    <definedName name="Z_20A9AA17_0DEB_4190_8DAD_FC60D0D33A52_.wvu.FilterData" hidden="1">#REF!</definedName>
    <definedName name="Z_2103F656_ECB2_4F99_BE9B_56F4D7A5CEE2_.wvu.FilterData" hidden="1">#REF!</definedName>
    <definedName name="Z_2158A2BC_8DB5_455D_AFDE_914B22949288_.wvu.FilterData" hidden="1">#REF!</definedName>
    <definedName name="Z_21A967FF_561E_495F_AEB9_4DD3BEDA53BC_.wvu.FilterData" hidden="1">#REF!</definedName>
    <definedName name="Z_227E7522_DC52_4EA7_A11A_0741FF23CC42_.wvu.FilterData" hidden="1">#REF!</definedName>
    <definedName name="Z_23BA0C23_280B_4568_A53C_1C6D2E85772A_.wvu.FilterData" hidden="1">#REF!</definedName>
    <definedName name="Z_244346C6_3866_4160_9E2E_C77913F25398_.wvu.FilterData" hidden="1">#REF!</definedName>
    <definedName name="Z_25117F67_F0EE_43EF_8FF9_79F533CE10B0_.wvu.FilterData" hidden="1">#REF!</definedName>
    <definedName name="Z_259E2DDE_5459_4510_B7A2_66F49964C56E_.wvu.FilterData" hidden="1">#REF!</definedName>
    <definedName name="Z_25C7DFCF_BE54_4A41_B957_DE39B9B2A5B5_.wvu.FilterData" hidden="1">#REF!</definedName>
    <definedName name="Z_272E0E4D_901D_11D7_B59C_0050DAB35C7B_.wvu.FilterData" hidden="1">#REF!</definedName>
    <definedName name="Z_27D9353E_5A5F_49BF_8724_FA312A4073FF_.wvu.FilterData" hidden="1">#REF!</definedName>
    <definedName name="Z_299BE965_B904_49FA_A79D_B9538F94936F_.wvu.FilterData" hidden="1">#REF!</definedName>
    <definedName name="Z_29D37CE9_76D1_4D09_99A0_55ABA6929929_.wvu.FilterData" hidden="1">#REF!</definedName>
    <definedName name="Z_2C05BC27_731C_41F4_980F_CD81E4A7A662_.wvu.FilterData" hidden="1">#REF!</definedName>
    <definedName name="Z_2C0BDCBF_705B_4E5A_9659_05D99EC56641_.wvu.FilterData" hidden="1">#REF!</definedName>
    <definedName name="Z_2CD580B5_D99D_45ED_AC1E_45F8CBBBB9F1_.wvu.FilterData" hidden="1">#REF!</definedName>
    <definedName name="Z_2D98D706_A306_4353_8B3D_DA92F9EAEC9A_.wvu.FilterData" hidden="1">#REF!</definedName>
    <definedName name="Z_2F8736FC_F07E_49E8_9C13_8E0A0F5EFE5F_.wvu.FilterData" hidden="1">#REF!</definedName>
    <definedName name="Z_304C2F7A_D3A6_4DBA_A568_C3E56D7C6E2F_.wvu.FilterData" hidden="1">#REF!</definedName>
    <definedName name="Z_30E0ACE8_B29A_44E9_B542_E8C1CA3FD802_.wvu.FilterData" hidden="1">#REF!</definedName>
    <definedName name="Z_31A27EA2_D574_43B8_A671_7419A12151C9_.wvu.FilterData" hidden="1">#REF!</definedName>
    <definedName name="Z_32D1B352_62AB_4105_8DFC_EAA2DF743365_.wvu.FilterData" hidden="1">#REF!</definedName>
    <definedName name="Z_330DF436_5BED_40AF_AC51_73D268BD9DF4_.wvu.FilterData" hidden="1">#REF!</definedName>
    <definedName name="Z_33B8EF57_2FB1_4600_9590_B0A2F2FE409B_.wvu.FilterData" hidden="1">#REF!</definedName>
    <definedName name="Z_3404588C_6CE7_4C97_A62C_D19D9EE290D3_.wvu.FilterData" hidden="1">#REF!</definedName>
    <definedName name="Z_34E71878_8D1A_4343_91A1_3FE085136D2B_.wvu.FilterData" hidden="1">#REF!</definedName>
    <definedName name="Z_37611AA0_E86A_42C8_8705_108B25E060A1_.wvu.FilterData" hidden="1">#REF!</definedName>
    <definedName name="Z_38FE6CED_4C19_4332_9788_ACC902B20A46_.wvu.FilterData" hidden="1">#REF!</definedName>
    <definedName name="Z_394E75CB_4F7F_4C88_A08F_29E48E587341_.wvu.FilterData" hidden="1">#REF!</definedName>
    <definedName name="Z_3C200595_20A3_4A0C_B071_705F4AD5DAD3_.wvu.FilterData" hidden="1">#REF!</definedName>
    <definedName name="Z_3E93FF4A_0B7F_475C_A63C_54FBDB9DB4C5_.wvu.FilterData" hidden="1">#REF!</definedName>
    <definedName name="Z_3FF05DC4_CA9E_470D_A193_91785ACE00EF_.wvu.FilterData" hidden="1">#REF!</definedName>
    <definedName name="Z_43791B95_57D7_42F4_8815_D1B7E488543E_.wvu.FilterData" hidden="1">#REF!</definedName>
    <definedName name="Z_445AA90F_6D9B_40F5_8E1D_CE1EF57CF450_.wvu.FilterData" hidden="1">#REF!</definedName>
    <definedName name="Z_454E0C40_F84F_42A3_A371_6F23C1F38595_.wvu.FilterData" hidden="1">#REF!</definedName>
    <definedName name="Z_4608FCB3_3552_4D58_B6CE_B8F34D78221E_.wvu.FilterData" hidden="1">#REF!</definedName>
    <definedName name="Z_46E47F7C_9185_4E39_BED5_B4A69FF64CC1_.wvu.FilterData" hidden="1">#REF!</definedName>
    <definedName name="Z_48202D5D_77CB_41DE_8C59_9325C98D7C97_.wvu.FilterData" hidden="1">#REF!</definedName>
    <definedName name="Z_48824DFE_B714_4D0B_9E95_F01C5BAD5D1F_.wvu.FilterData" hidden="1">#REF!</definedName>
    <definedName name="Z_4C45D885_33EE_4DA9_BF96_6B10CFBA5596_.wvu.FilterData" hidden="1">#REF!</definedName>
    <definedName name="Z_4CA4BF7C_65C1_4E25_8563_22DF58586D2C_.wvu.PrintArea" hidden="1">#REF!</definedName>
    <definedName name="Z_4CA4BF7C_65C1_4E25_8563_22DF58586D2C_.wvu.PrintTitles" hidden="1">#REF!</definedName>
    <definedName name="Z_4CA4BF7C_65C1_4E25_8563_22DF58586D2C_.wvu.Rows" hidden="1">#REF!</definedName>
    <definedName name="Z_4D344757_9064_4D2F_A3A5_69132D23B7B9_.wvu.FilterData" hidden="1">#REF!</definedName>
    <definedName name="Z_4E773EE1_0A5B_43A9_9C28_FFB0A27D19C3_.wvu.FilterData" hidden="1">#REF!</definedName>
    <definedName name="Z_5122F04C_91B2_4031_BAE2_43203D520992_.wvu.FilterData" hidden="1">#REF!</definedName>
    <definedName name="Z_52B8D0B0_5872_4367_8D38_9AA5A4B975B3_.wvu.FilterData" hidden="1">#REF!</definedName>
    <definedName name="Z_532423B2_94C7_44C1_9A2A_9712DAE92CE9_.wvu.FilterData" hidden="1">#REF!</definedName>
    <definedName name="Z_53F31130_5EA7_42BA_93EB_88A7CB743782_.wvu.FilterData" hidden="1">#REF!</definedName>
    <definedName name="Z_55213581_1831_4A94_AB4D_23E4F8BC8085_.wvu.FilterData" hidden="1">#REF!</definedName>
    <definedName name="Z_552B9204_1C85_45BC_B148_AF3E206BDAA2_.wvu.FilterData" hidden="1">#REF!</definedName>
    <definedName name="Z_566671FC_5910_47FD_B961_1065A17D262D_.wvu.FilterData" hidden="1">#REF!</definedName>
    <definedName name="Z_569D17FA_30FE_42CA_8D65_E126C1C01EC2_.wvu.FilterData" hidden="1">#REF!</definedName>
    <definedName name="Z_573E904E_5C2F_4CA2_AFCF_918B916322E4_.wvu.FilterData" hidden="1">#REF!</definedName>
    <definedName name="Z_58DA6172_DC47_4A5F_B420_207BB6987764_.wvu.FilterData" hidden="1">#REF!</definedName>
    <definedName name="Z_58FCB891_F6F4_46F2_BF6B_861E585C9231_.wvu.FilterData" hidden="1">#REF!</definedName>
    <definedName name="Z_59A87EBA_E018_40E8_A580_AB2176E95D7E_.wvu.FilterData" hidden="1">#REF!</definedName>
    <definedName name="Z_5A3E740D_87C0_4F85_AB6D_B402AD860D04_.wvu.FilterData" hidden="1">#REF!</definedName>
    <definedName name="Z_5B42E6B5_40AA_4D3F_B932_EF1583491CDE_.wvu.FilterData" hidden="1">#REF!</definedName>
    <definedName name="Z_5B7B4951_7310_4C66_B906_4D046076272E_.wvu.FilterData" hidden="1">#REF!</definedName>
    <definedName name="Z_5D41F4B9_83DF_4509_9C07_453BA5A62846_.wvu.FilterData" hidden="1">#REF!</definedName>
    <definedName name="Z_5DB05E9F_8F3B_4886_A6CB_2CC53331BA7A_.wvu.FilterData" hidden="1">#REF!</definedName>
    <definedName name="Z_5F096896_2CB8_4B96_A0FE_9AB50EEEEFAB_.wvu.FilterData" hidden="1">#REF!</definedName>
    <definedName name="Z_60DF8B29_1C1F_4B50_BDA8_B8E0C7DD04C3_.wvu.Cols" hidden="1">#REF!,#REF!</definedName>
    <definedName name="Z_60DF8B29_1C1F_4B50_BDA8_B8E0C7DD04C3_.wvu.FilterData" hidden="1">#REF!</definedName>
    <definedName name="Z_615F4A4D_D5AB_4A04_81F5_F436484247A5_.wvu.FilterData" hidden="1">#REF!</definedName>
    <definedName name="Z_616443B5_6F0D_4082_9223_F71B54305366_.wvu.FilterData" hidden="1">#REF!</definedName>
    <definedName name="Z_631F0312_B404_409F_AF2B_39FB2D25040B_.wvu.FilterData" hidden="1">#REF!</definedName>
    <definedName name="Z_632CF316_8294_4588_87E1_2B69E184A62B_.wvu.FilterData" hidden="1">#REF!</definedName>
    <definedName name="Z_66D1BA5F_F4AE_443C_8583_CE89D6674A73_.wvu.FilterData" hidden="1">#REF!</definedName>
    <definedName name="Z_66DD4806_8039_438A_B1CE_46CC5B464050_.wvu.FilterData" hidden="1">#REF!</definedName>
    <definedName name="Z_67B65FDF_FF67_490E_B8E5_92DC66C9FC9D_.wvu.FilterData" hidden="1">#REF!</definedName>
    <definedName name="Z_68B709DF_9429_4090_9106_386C5F16C4D7_.wvu.FilterData" hidden="1">#REF!</definedName>
    <definedName name="Z_690BC25F_5AA3_4B4B_9507_8C197E768E98_.wvu.FilterData" hidden="1">#REF!</definedName>
    <definedName name="Z_6A66B8A7_491B_4A29_94A1_39F4FDA32C48_.wvu.FilterData" hidden="1">#REF!</definedName>
    <definedName name="Z_6A6F36C8_24A1_4147_9C63_27B7978935DD_.wvu.FilterData" hidden="1">#REF!</definedName>
    <definedName name="Z_6C2050D3_ABE5_4B48_B2A7_DDDD21669987_.wvu.FilterData" hidden="1">#REF!</definedName>
    <definedName name="Z_6CD84A0B_C00D_4BC8_A655_6383CCA4B296_.wvu.FilterData" hidden="1">#REF!</definedName>
    <definedName name="Z_6D5E5F42_E924_48A0_A50F_5BB481AFD1D5_.wvu.FilterData" hidden="1">#REF!</definedName>
    <definedName name="Z_6D789842_F56B_40C4_8907_F36C02855F76_.wvu.FilterData" hidden="1">#REF!</definedName>
    <definedName name="Z_6E345713_0818_471C_B54B_D890B987A0BC_.wvu.FilterData" hidden="1">#REF!</definedName>
    <definedName name="Z_701DEAE4_9CF1_491A_A54B_A6AE3235639D_.wvu.FilterData" hidden="1">#REF!</definedName>
    <definedName name="Z_7319B1DA_C8AE_4D1D_AB4C_B14141921483_.wvu.FilterData" hidden="1">#REF!</definedName>
    <definedName name="Z_75A1B66F_9EE1_4406_8264_C9BF12113183_.wvu.FilterData" hidden="1">#REF!</definedName>
    <definedName name="Z_7651BD63_D75B_41A5_B133_06AE6A84AE8F_.wvu.FilterData" hidden="1">#REF!</definedName>
    <definedName name="Z_767B7DB4_B657_4E6E_831B_84CA933FFCBE_.wvu.FilterData" hidden="1">#REF!</definedName>
    <definedName name="Z_76FA93EF_40A9_4929_9B4A_2213742C1620_.wvu.FilterData" hidden="1">#REF!</definedName>
    <definedName name="Z_78A33412_D032_45F7_9C2D_D4A31DB937D9_.wvu.FilterData" hidden="1">#REF!</definedName>
    <definedName name="Z_796E4E5E_16C3_474D_B1D5_F6D39CD34051_.wvu.FilterData" hidden="1">#REF!</definedName>
    <definedName name="Z_7BFA9C41_C881_48A8_90C2_F93F8E16E599_.wvu.FilterData" hidden="1">#REF!</definedName>
    <definedName name="Z_7BFBCE1E_B6C5_4BAC_AD95_2B50D2ED28AB_.wvu.FilterData" hidden="1">#REF!</definedName>
    <definedName name="Z_7C6FEBF3_4382_4282_BBB0_E0269BEE42DE_.wvu.FilterData" hidden="1">#REF!</definedName>
    <definedName name="Z_7D057642_92FA_4DD6_84C5_B10B17893E1F_.wvu.FilterData" hidden="1">#REF!</definedName>
    <definedName name="Z_7ED5F3D1_B838_492E_9467_7E7CE6B348ED_.wvu.FilterData" hidden="1">#REF!</definedName>
    <definedName name="Z_8090FD3B_94DF_4ACF_9708_D5B9ADEFD29C_.wvu.FilterData" hidden="1">#REF!</definedName>
    <definedName name="Z_8149A5A7_8307_4FA6_B457_A66B8A6DFABD_.wvu.FilterData" hidden="1">#REF!</definedName>
    <definedName name="Z_819A0FD3_B678_47E8_9DFB_641B3990B590_.wvu.FilterData" hidden="1">#REF!</definedName>
    <definedName name="Z_82999604_BD48_4054_BDCB_CB8B074A34A3_.wvu.FilterData" hidden="1">#REF!</definedName>
    <definedName name="Z_8473B3F0_0740_4E9F_9BAE_9113E5077DE8_.wvu.FilterData" hidden="1">#REF!</definedName>
    <definedName name="Z_85A83A94_71B4_44C8_8B5A_68CAA2461241_.wvu.FilterData" hidden="1">#REF!</definedName>
    <definedName name="Z_86E0C273_91AF_11D7_9C1E_0004231B06E7_.wvu.FilterData" hidden="1">#REF!</definedName>
    <definedName name="Z_87F04A72_68BF_497D_8569_47D1A3B89590_.wvu.FilterData" hidden="1">#REF!</definedName>
    <definedName name="Z_893CBEFD_F317_41F0_BA87_CC1860E1F73B_.wvu.FilterData" hidden="1">#REF!</definedName>
    <definedName name="Z_89D83FA2_2F4F_4275_9074_3A6247C2CDA6_.wvu.FilterData" hidden="1">#REF!</definedName>
    <definedName name="Z_8B2E8E84_1A68_4B75_A867_04E8EAC8E685_.wvu.FilterData" hidden="1">#REF!</definedName>
    <definedName name="Z_8B5FADF8_BAFC_44E0_9D1D_DE21657D83CA_.wvu.FilterData" hidden="1">#REF!</definedName>
    <definedName name="Z_8CBA7976_3F45_4926_8F5C_251343B1DCDB_.wvu.FilterData" hidden="1">#REF!</definedName>
    <definedName name="Z_8D213052_8AFD_4E06_B410_DCB431062572_.wvu.FilterData" hidden="1">#REF!</definedName>
    <definedName name="Z_8EA755F4_0515_4AA0_970C_55F473C7FD9B_.wvu.FilterData" hidden="1">#REF!</definedName>
    <definedName name="Z_8F33F4E3_A14E_4DD4_ADD4_B19023A45B10_.wvu.FilterData" hidden="1">#REF!</definedName>
    <definedName name="Z_901BF8EA_CA8A_411C_8FD3_BCB793FCF48A_.wvu.FilterData" hidden="1">#REF!</definedName>
    <definedName name="Z_9066F505_4944_4582_AAF9_B40B49D59413_.wvu.PrintArea" hidden="1">#REF!</definedName>
    <definedName name="Z_9066F505_4944_4582_AAF9_B40B49D59413_.wvu.PrintTitles" hidden="1">#REF!</definedName>
    <definedName name="Z_9066F505_4944_4582_AAF9_B40B49D59413_.wvu.Rows" hidden="1">#REF!</definedName>
    <definedName name="Z_91488B6D_F045_4050_BA1B_41C2E3B3B10A_.wvu.FilterData" hidden="1">#REF!</definedName>
    <definedName name="Z_92919032_3A1D_4E0A_A8D8_FD23494D13A8_.wvu.FilterData" hidden="1">#REF!</definedName>
    <definedName name="Z_9587B38A_B060_410B_8598_4B23623A371C_.wvu.FilterData" hidden="1">#REF!</definedName>
    <definedName name="Z_96EB0306_BB94_45E8_9D0D_4C07A6623010_.wvu.FilterData" hidden="1">#REF!</definedName>
    <definedName name="Z_97666733_8666_4F9D_9588_AF9B6CF9224C_.wvu.FilterData" hidden="1">#REF!</definedName>
    <definedName name="Z_98599B4F_1D05_4040_9183_E1D7A1DDEB9C_.wvu.FilterData" hidden="1">#REF!</definedName>
    <definedName name="Z_98C8BF36_C172_45C3_8EFB_521E6ACCA0D3_.wvu.FilterData" hidden="1">#REF!</definedName>
    <definedName name="Z_9A372634_7C2D_4502_BF44_0C63FD1FB6D2_.wvu.FilterData" hidden="1">#REF!</definedName>
    <definedName name="Z_9A5CC0D4_28E7_4461_BE2E_802002496535_.wvu.FilterData" hidden="1">#REF!</definedName>
    <definedName name="Z_9C86BF25_210A_4B5C_9F2A_856CA801294A_.wvu.FilterData" hidden="1">#REF!</definedName>
    <definedName name="Z_9C8AF864_7E20_415C_848E_C2849E8CBF0C_.wvu.FilterData" hidden="1">#REF!</definedName>
    <definedName name="Z_9E7B61E2_2701_4257_A261_86548A6D7D7C_.wvu.FilterData" hidden="1">#REF!</definedName>
    <definedName name="Z_A0276843_5A14_4A7A_AD1C_583475FE9ED2_.wvu.FilterData" hidden="1">#REF!</definedName>
    <definedName name="Z_A2CB926C_E33A_4E38_9626_682814771DB1_.wvu.FilterData" hidden="1">#REF!</definedName>
    <definedName name="Z_A320C8A7_8D87_4204_85D4_AE25493D1363_.wvu.FilterData" hidden="1">#REF!</definedName>
    <definedName name="Z_A5F4C2AC_640B_40D9_88C9_69B3215DBE96_.wvu.FilterData" hidden="1">#REF!</definedName>
    <definedName name="Z_A686C168_1672_48B1_ADFD_481A1276CC81_.wvu.FilterData" hidden="1">#REF!</definedName>
    <definedName name="Z_A933351F_4BD3_4901_98D5_53D192BD61DC_.wvu.FilterData" hidden="1">#REF!</definedName>
    <definedName name="Z_AA0BD2F5_1513_40DB_B224_CC27CA57E181_.wvu.FilterData" hidden="1">#REF!</definedName>
    <definedName name="Z_AA329A38_94E6_4014_8D54_EFB48C7FA433_.wvu.FilterData" hidden="1">#REF!</definedName>
    <definedName name="Z_AC5679A6_5A24_441C_BBA3_F0C9D8E8E441_.wvu.FilterData" hidden="1">#REF!</definedName>
    <definedName name="Z_ACE528A7_3516_429C_8E77_FA07F86ED2D8_.wvu.Cols" hidden="1">#REF!</definedName>
    <definedName name="Z_AE302359_F16A_4874_8921_3865B0ECD878_.wvu.FilterData" hidden="1">#REF!</definedName>
    <definedName name="Z_AF0BF736_181F_4A59_8FB9_D3BCA8E591F7_.wvu.FilterData" hidden="1">#REF!</definedName>
    <definedName name="Z_AF12B415_1D2E_4088_9C86_BB0173951217_.wvu.FilterData" hidden="1">#REF!</definedName>
    <definedName name="Z_AF537E87_E5DE_4792_8C82_FFA1FC35463A_.wvu.FilterData" hidden="1">#REF!</definedName>
    <definedName name="Z_B1269BAB_A618_45E5_8379_9ECE98405A14_.wvu.FilterData" hidden="1">#REF!</definedName>
    <definedName name="Z_B20EEB3D_E9E6_496E_8678_B417DDC74718_.wvu.FilterData" hidden="1">#REF!</definedName>
    <definedName name="Z_B3255642_8A6B_11D5_916F_005004920FCB_.wvu.PrintTitles" hidden="1">#REF!</definedName>
    <definedName name="Z_B4864B96_AD18_4114_8AFA_A8BAA8915737_.wvu.FilterData" hidden="1">#REF!</definedName>
    <definedName name="Z_B645C4A8_1830_42C7_9DBF_0F519499A6CE_.wvu.FilterData" hidden="1">#REF!</definedName>
    <definedName name="Z_B7475313_60A1_440E_A07B_6B97978B34F2_.wvu.FilterData" hidden="1">#REF!</definedName>
    <definedName name="Z_B891B51F_1CA2_435F_A819_8A494B08D3EE_.wvu.FilterData" hidden="1">#REF!</definedName>
    <definedName name="Z_B8CE2FA5_D3F2_48A0_8603_A3FBA2808CB4_.wvu.FilterData" hidden="1">#REF!</definedName>
    <definedName name="Z_B9837360_94DA_11D7_9C1E_0004231B06E7_.wvu.FilterData" hidden="1">#REF!</definedName>
    <definedName name="Z_BBE1AFA0_C6F6_4019_9D53_075DA4654337_.wvu.FilterData" hidden="1">#REF!</definedName>
    <definedName name="Z_BC0EED6A_3F15_49FF_A48F_B40AC74B528A_.wvu.FilterData" hidden="1">#REF!</definedName>
    <definedName name="Z_BC4212E8_2D54_48E9_A2B4_66875F86EBEF_.wvu.FilterData" hidden="1">#REF!</definedName>
    <definedName name="Z_BE48B5BF_102F_4FB8_8807_DA126440E01B_.wvu.FilterData" hidden="1">#REF!</definedName>
    <definedName name="Z_BE949522_4A35_4352_9A91_0CE0E28D3461_.wvu.FilterData" hidden="1">#REF!</definedName>
    <definedName name="Z_C1310828_8567_4952_A9D3_7183F1221321_.wvu.FilterData" hidden="1">#REF!</definedName>
    <definedName name="Z_C581774C_2FCD_4906_B930_CCB3F9F9A50B_.wvu.FilterData" hidden="1">#REF!</definedName>
    <definedName name="Z_C67C9A44_7556_4756_AC39_E00F137116ED_.wvu.FilterData" hidden="1">#REF!</definedName>
    <definedName name="Z_C908089F_9A5A_11D7_9C1E_0004231B06E7_.wvu.FilterData" hidden="1">#REF!</definedName>
    <definedName name="Z_C942EE3A_8DBF_41D7_ADAF_F43C01F31E23_.wvu.FilterData" hidden="1">#REF!</definedName>
    <definedName name="Z_CB8FB7EE_B771_11D7_9C1E_0004231B06E7_.wvu.FilterData" hidden="1">#REF!</definedName>
    <definedName name="Z_CB8FB7F1_B771_11D7_9C1E_0004231B06E7_.wvu.FilterData" hidden="1">#REF!</definedName>
    <definedName name="Z_CD48E0DF_E307_492A_9CFD_ADF6DE6ECCFB_.wvu.FilterData" hidden="1">#REF!</definedName>
    <definedName name="Z_CDAD3BC7_95B1_4949_91B3_EAB234D2A550_.wvu.FilterData" hidden="1">#REF!</definedName>
    <definedName name="Z_CE1A6073_4007_44EE_88D3_3C79CF746C78_.wvu.FilterData" hidden="1">#REF!</definedName>
    <definedName name="Z_D0500033_B90B_46E5_BD62_60D0DA033A55_.wvu.FilterData" hidden="1">#REF!</definedName>
    <definedName name="Z_D11C04A2_606C_4EF4_9AD3_4865E5EFAE70_.wvu.FilterData" hidden="1">#REF!</definedName>
    <definedName name="Z_D1371C66_ADFD_11D7_9C1E_0004231B06E7_.wvu.FilterData" hidden="1">#REF!</definedName>
    <definedName name="Z_D1371C82_ADFD_11D7_9C1E_0004231B06E7_.wvu.FilterData" hidden="1">#REF!</definedName>
    <definedName name="Z_D1371C98_ADFD_11D7_9C1E_0004231B06E7_.wvu.FilterData" hidden="1">#REF!</definedName>
    <definedName name="Z_D15727E9_9BC2_420E_AC98_E8E9B60BD754_.wvu.FilterData" hidden="1">#REF!</definedName>
    <definedName name="Z_D371D622_5497_46A4_826D_01F2F492E39D_.wvu.FilterData" hidden="1">#REF!</definedName>
    <definedName name="Z_D3FF2053_BD11_4CA8_9648_A06F387C0C79_.wvu.FilterData" hidden="1">#REF!</definedName>
    <definedName name="Z_D4D6DC3A_302F_4BF4_8221_EFB7EA05B30F_.wvu.FilterData" hidden="1">#REF!</definedName>
    <definedName name="Z_D4FF4BA0_F9BE_4CEE_B334_FBD19DA86BF4_.wvu.FilterData" hidden="1">#REF!</definedName>
    <definedName name="Z_D5810466_54E3_455B_B341_3E7B86FB72D3_.wvu.FilterData" hidden="1">#REF!</definedName>
    <definedName name="Z_D60B1DF7_D653_4F01_B5AD_6A66E578C24F_.wvu.FilterData" hidden="1">#REF!</definedName>
    <definedName name="Z_D684BA0E_B94B_4BF7_8F27_4E3A1924425C_.wvu.FilterData" hidden="1">#REF!</definedName>
    <definedName name="Z_D9443332_B48E_4E65_8F23_AC96FB75A5A9_.wvu.FilterData" hidden="1">#REF!</definedName>
    <definedName name="Z_DAA35AF8_874B_4671_A195_994D9700CFB0_.wvu.FilterData" hidden="1">#REF!</definedName>
    <definedName name="Z_DB31579F_8662_40C5_BB19_660F0F7B70E5_.wvu.FilterData" hidden="1">#REF!</definedName>
    <definedName name="Z_DB349C77_BBCF_4BF0_8906_770DC9CEB279_.wvu.FilterData" hidden="1">#REF!</definedName>
    <definedName name="Z_DBA9A16F_C863_43D6_BEF6_4907AD7FF11A_.wvu.FilterData" hidden="1">#REF!</definedName>
    <definedName name="Z_DC39DC03_5BF1_41DE_A26D_8DA774859990_.wvu.FilterData" hidden="1">#REF!</definedName>
    <definedName name="Z_DC4BE57B_E9B6_4823_AAB5_0B4AD0A1C9F8_.wvu.FilterData" hidden="1">#REF!</definedName>
    <definedName name="Z_DD40B456_B833_4D7B_A3C9_47AA2D6A0830_.wvu.FilterData" hidden="1">#REF!</definedName>
    <definedName name="Z_DDC9046D_2716_4CA3_9471_7091058B3C12_.wvu.FilterData" hidden="1">#REF!</definedName>
    <definedName name="Z_DF3B204A_F509_4DA0_BCB7_F89536B5FEBF_.wvu.FilterData" hidden="1">#REF!</definedName>
    <definedName name="Z_E3FFE9E0_6C4F_4FB4_A56E_FBE96871B5C8_.wvu.Cols" hidden="1">#REF!,#REF!</definedName>
    <definedName name="Z_E3FFE9E0_6C4F_4FB4_A56E_FBE96871B5C8_.wvu.FilterData" hidden="1">#REF!</definedName>
    <definedName name="Z_E42D429F_E4E8_41D2_9176_83C726BAF8E3_.wvu.FilterData" hidden="1">#REF!</definedName>
    <definedName name="Z_E491B72F_902A_11D7_9C1E_0004231B06E7_.wvu.FilterData" hidden="1">#REF!</definedName>
    <definedName name="Z_E491B77E_902A_11D7_9C1E_0004231B06E7_.wvu.FilterData" hidden="1">#REF!</definedName>
    <definedName name="Z_E4A534A8_CD89_4423_9F3F_8134353F3CAC_.wvu.FilterData" hidden="1">#REF!</definedName>
    <definedName name="Z_E4E1532E_DC25_47E7_8CAC_8E70342889F1_.wvu.FilterData" hidden="1">#REF!</definedName>
    <definedName name="Z_E74731A0_5CEF_4B97_AFDD_B1DCA3953478_.wvu.FilterData" hidden="1">#REF!</definedName>
    <definedName name="Z_E7582842_0D7F_4174_A223_2AB1DD8C9047_.wvu.FilterData" hidden="1">#REF!</definedName>
    <definedName name="Z_E7E3B215_0D2B_424B_B9A9_091ABF42A9B2_.wvu.FilterData" hidden="1">#REF!</definedName>
    <definedName name="Z_E833D806_B408_4951_8EA0_84873DD98CC6_.wvu.FilterData" hidden="1">#REF!</definedName>
    <definedName name="Z_E84FA520_D8B7_472A_9913_1B62E15D532D_.wvu.FilterData" hidden="1">#REF!</definedName>
    <definedName name="Z_E856A7FB_F0DE_4CE8_85BE_FBD78193AF0B_.wvu.FilterData" hidden="1">#REF!</definedName>
    <definedName name="Z_E8B81FC8_C17A_451A_B505_641DE5886245_.wvu.FilterData" hidden="1">#REF!</definedName>
    <definedName name="Z_EA900FC6_5EC3_4E18_9ED9_37FAC8862A4C_.wvu.FilterData" hidden="1">#REF!</definedName>
    <definedName name="Z_EC12F0CE_807C_4CF2_B52D_1E5945238C05_.wvu.FilterData" hidden="1">#REF!</definedName>
    <definedName name="Z_EC74CDC8_4C91_4C55_BE9F_24DF0A9793FF_.wvu.FilterData" hidden="1">#REF!</definedName>
    <definedName name="Z_ED3E33DB_FBFA_4FDE_929F_AD12074101A3_.wvu.FilterData" hidden="1">#REF!</definedName>
    <definedName name="Z_EE21DFC7_81AA_40DA_B313_9BC83DA41DD6_.wvu.FilterData" hidden="1">#REF!</definedName>
    <definedName name="Z_EE5311D7_3149_40F1_82F5_7EEC6ACB6C85_.wvu.FilterData" hidden="1">#REF!</definedName>
    <definedName name="Z_EEE8CD21_C3A5_4786_B8BE_B9E68F0A5347_.wvu.FilterData" hidden="1">#REF!</definedName>
    <definedName name="Z_F0522591_4E2E_4AD6_B99B_B69551272A68_.wvu.FilterData" hidden="1">#REF!</definedName>
    <definedName name="Z_F1326E0B_5376_4D6E_9BC8_214AA525DE83_.wvu.FilterData" hidden="1">#REF!</definedName>
    <definedName name="Z_F2145668_4090_4220_8C3C_9C4DCC7A01D1_.wvu.Cols" hidden="1">#REF!</definedName>
    <definedName name="Z_F2145668_4090_4220_8C3C_9C4DCC7A01D1_.wvu.FilterData" hidden="1">#REF!</definedName>
    <definedName name="Z_F300E2D5_C458_4E4B_AB71_FF06367EF684_.wvu.FilterData" hidden="1">#REF!</definedName>
    <definedName name="Z_F3F443DB_8EE1_48F9_9BF4_EAF21EDD719F_.wvu.FilterData" hidden="1">#REF!</definedName>
    <definedName name="Z_F6923408_DB58_4A59_8717_D0133A922204_.wvu.FilterData" hidden="1">#REF!</definedName>
    <definedName name="Z_F9CB3A99_6D24_412C_93C4_575819594890_.wvu.FilterData" hidden="1">#REF!</definedName>
    <definedName name="Z_FA40CB26_17FE_4901_96A4_2176E8FA5EEE_.wvu.FilterData" hidden="1">#REF!</definedName>
    <definedName name="Z_FC4D1412_4B52_4393_A184_1BAD70B9C231_.wvu.FilterData" hidden="1">#REF!</definedName>
    <definedName name="Z_FD259A29_AD61_4284_9BC7_5C3B20DD002B_.wvu.FilterData" hidden="1">#REF!</definedName>
    <definedName name="Z_FDFF93A6_D487_497C_8FA1_B8636451E74C_.wvu.FilterData" hidden="1">#REF!</definedName>
    <definedName name="Z_FE37516D_56E4_424C_8DE6_6B2719F76EF4_.wvu.FilterData" hidden="1">#REF!</definedName>
    <definedName name="Z_FEBB3479_FB57_4CDC_BCCD_5D8B83257FC7_.wvu.FilterData" hidden="1">#REF!</definedName>
    <definedName name="zcdçskld" hidden="1">{#N/A,#N/A,FALSE,"Plan1";#N/A,#N/A,FALSE,"Plan2"}</definedName>
    <definedName name="zcsdrfrt" hidden="1">{#N/A,#N/A,FALSE,"Plan1";#N/A,#N/A,FALSE,"Plan2"}</definedName>
    <definedName name="ZDRE" hidden="1">{#N/A,#N/A,FALSE,"Plan1";#N/A,#N/A,FALSE,"Plan2"}</definedName>
    <definedName name="ZEZE">#REF!</definedName>
    <definedName name="ZIN">#REF!</definedName>
    <definedName name="ZINS">#REF!</definedName>
    <definedName name="ZSADF" hidden="1">{#N/A,#N/A,FALSE,"Plan1";#N/A,#N/A,FALSE,"Plan2"}</definedName>
    <definedName name="zsads" hidden="1">{#N/A,#N/A,FALSE,"Plan1";#N/A,#N/A,FALSE,"Plan2"}</definedName>
    <definedName name="ZSDFSETR" hidden="1">#REF!</definedName>
    <definedName name="zsd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 hidden="1">{#N/A,#N/A,FALSE,"Plan1";#N/A,#N/A,FALSE,"Plan2"}</definedName>
    <definedName name="zxcdsf" hidden="1">#REF!</definedName>
    <definedName name="zxcfdstrrt" hidden="1">{#N/A,#N/A,FALSE,"Plan1";#N/A,#N/A,FALSE,"Plan2"}</definedName>
    <definedName name="zxcx" hidden="1">{#N/A,#N/A,FALSE,"Plan1";#N/A,#N/A,FALSE,"Plan2"}</definedName>
    <definedName name="ZXFC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 hidden="1">{#N/A,#N/A,FALSE,"Plan1";#N/A,#N/A,FALSE,"Plan2"}</definedName>
    <definedName name="ZZ">#REF!</definedName>
    <definedName name="zzdftr" hidden="1">{#N/A,#N/A,FALSE,"Plan1";#N/A,#N/A,FALSE,"Plan2"}</definedName>
    <definedName name="zzz">#REF!</definedName>
    <definedName name="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hidden="1">{"'장비'!$A$3:$M$12"}</definedName>
    <definedName name="가나다" hidden="1">#REF!</definedName>
    <definedName name="검증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조건" hidden="1">#REF!</definedName>
    <definedName name="계약고햔황2" hidden="1">#REF!</definedName>
    <definedName name="계약고현황2" hidden="1">#REF!</definedName>
    <definedName name="고문" hidden="1">{#N/A,#N/A,FALSE,"현장 NCR 분석";#N/A,#N/A,FALSE,"현장품질감사";#N/A,#N/A,FALSE,"현장품질감사"}</definedName>
    <definedName name="고문2" hidden="1">{#N/A,#N/A,FALSE,"현장 NCR 분석";#N/A,#N/A,FALSE,"현장품질감사";#N/A,#N/A,FALSE,"현장품질감사"}</definedName>
    <definedName name="공공공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hidden="1">{#N/A,#N/A,FALSE,"ENG'G(보호계전기)"}</definedName>
    <definedName name="공급표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ㄴㄴ" hidden="1">#REF!</definedName>
    <definedName name="내역" hidden="1">{#N/A,#N/A,FALSE,"CCTV"}</definedName>
    <definedName name="ㄷㄳ" hidden="1">{"'장비'!$A$3:$M$12"}</definedName>
    <definedName name="ㄷㄷㄷㄷ" hidden="1">{"'장비'!$A$3:$M$12"}</definedName>
    <definedName name="ㄷㅈㅂㄷ" hidden="1">{"'장비'!$A$3:$M$12"}</definedName>
    <definedName name="당초계획" hidden="1">#REF!</definedName>
    <definedName name="도면외주" hidden="1">#REF!</definedName>
    <definedName name="도면용역비" hidden="1">#REF!</definedName>
    <definedName name="ㄹㄹ" hidden="1">{"'장비'!$A$3:$M$12"}</definedName>
    <definedName name="ㄹㄹㄹ" hidden="1">#REF!</definedName>
    <definedName name="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 hidden="1">{#N/A,#N/A,FALSE,"현장 NCR 분석";#N/A,#N/A,FALSE,"현장품질감사";#N/A,#N/A,FALSE,"현장품질감사"}</definedName>
    <definedName name="ㅁ" hidden="1">{#N/A,#N/A,FALSE,"명세표"}</definedName>
    <definedName name="ㅁㄱ해ㅜ5" hidden="1">#REF!</definedName>
    <definedName name="ㅁ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 hidden="1">{#N/A,#N/A,FALSE,"명세표"}</definedName>
    <definedName name="ㅁㅁㅁ" hidden="1">#REF!</definedName>
    <definedName name="ㅁㅁㅁㅁㅁㅁㅁㅁㅁㅁ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 hidden="1">{#N/A,#N/A,FALSE,"명세표"}</definedName>
    <definedName name="ㅂㅂㅂㅂ" hidden="1">{#N/A,#N/A,FALSE,"명세표"}</definedName>
    <definedName name="ㅂㅂㅂㅂㅂㅂㅂ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hidden="1">{"'장비'!$A$3:$M$12"}</definedName>
    <definedName name="ㅂㅈㄷ" hidden="1">{"'장비'!$A$3:$M$12"}</definedName>
    <definedName name="ㅂㅈㄷㄷㅂㅈㅈㅂ" hidden="1">{"'장비'!$A$3:$M$12"}</definedName>
    <definedName name="ㅂㅈㄷㅂㅈ" hidden="1">{"'장비'!$A$3:$M$12"}</definedName>
    <definedName name="ㅂㅈㄷㅂㅈㅈㅂㄷ" hidden="1">{"'장비'!$A$3:$M$12"}</definedName>
    <definedName name="ㅂㅈㄷㅈㅂㄷ" hidden="1">{"'장비'!$A$3:$M$12"}</definedName>
    <definedName name="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 hidden="1">#REF!</definedName>
    <definedName name="보호" hidden="1">{#N/A,#N/A,FALSE,"ENG'G(보호계전기)"}</definedName>
    <definedName name="본공사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 hidden="1">#REF!</definedName>
    <definedName name="부손익" hidden="1">{#N/A,#N/A,FALSE,"현장 NCR 분석";#N/A,#N/A,FALSE,"현장품질감사";#N/A,#N/A,FALSE,"현장품질감사"}</definedName>
    <definedName name="분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 hidden="1">{"'장비'!$A$3:$M$12"}</definedName>
    <definedName name="ㅅㅅㅅㅅㅅ" hidden="1">{"'장비'!$A$3:$M$12"}</definedName>
    <definedName name="사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 hidden="1">#REF!</definedName>
    <definedName name="사업관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 hidden="1">#REF!</definedName>
    <definedName name="산출" hidden="1">#REF!</definedName>
    <definedName name="새안" hidden="1">{#N/A,#N/A,FALSE,"TABLE"}</definedName>
    <definedName name="석항" hidden="1">{#N/A,#N/A,FALSE,"명세표"}</definedName>
    <definedName name="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 hidden="1">#REF!</definedName>
    <definedName name="쇼ㅗㅎ로" hidden="1">{"'장비'!$A$3:$M$12"}</definedName>
    <definedName name="수" hidden="1">#REF!</definedName>
    <definedName name="수당" hidden="1">#N/A</definedName>
    <definedName name="신설" hidden="1">{#N/A,#N/A,FALSE,"명세표"}</definedName>
    <definedName name="실적총괄1" hidden="1">#REF!</definedName>
    <definedName name="실총" hidden="1">#REF!</definedName>
    <definedName name="ㅇㄹㄹ" hidden="1">#REF!</definedName>
    <definedName name="ㅇ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ㅇ" hidden="1">#REF!</definedName>
    <definedName name="양식변경1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월" hidden="1">#REF!</definedName>
    <definedName name="이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 hidden="1">{#N/A,#N/A,FALSE,"명세표"}</definedName>
    <definedName name="ㅈㅈㅈㅈ" hidden="1">{#N/A,#N/A,FALSE,"명세표"}</definedName>
    <definedName name="자미" hidden="1">{#N/A,#N/A,FALSE,"명세표"}</definedName>
    <definedName name="자운" hidden="1">#REF!</definedName>
    <definedName name="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계장금액" hidden="1">#REF!</definedName>
    <definedName name="전기사양_SAMPL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 hidden="1">#REF!</definedName>
    <definedName name="조직표현장" hidden="1">#REF!</definedName>
    <definedName name="종합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 hidden="1">{#N/A,#N/A,FALSE,"ENG'G(보호계전기)"}</definedName>
    <definedName name="집계" hidden="1">{#N/A,#N/A,FALSE,"명세표"}</definedName>
    <definedName name="철골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 hidden="1">{#N/A,#N/A,FALSE,"명세표"}</definedName>
    <definedName name="ㅋㅋㅋ" hidden="1">{#N/A,#N/A,FALSE,"명세표"}</definedName>
    <definedName name="ㅌㅌ" hidden="1">{#N/A,#N/A,FALSE,"명세표"}</definedName>
    <definedName name="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hidden="1">{"'장비'!$A$3:$M$12"}</definedName>
    <definedName name="하하하" hidden="1">{#N/A,#N/A,FALSE,"명세표"}</definedName>
    <definedName name="한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 hidden="1">{#N/A,#N/A,FALSE,"명세표"}</definedName>
    <definedName name="ㅏㅏㅏ" hidden="1">{#N/A,#N/A,FALSE,"명세표"}</definedName>
    <definedName name="ㅔㅔ" hidden="1">{#N/A,#N/A,FALSE,"명세표"}</definedName>
    <definedName name="ㅔㅔㅔㅔ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 hidden="1">{"'장비'!$A$3:$M$12"}</definedName>
    <definedName name="ㅗㅗ" hidden="1">{#N/A,#N/A,FALSE,"명세표"}</definedName>
    <definedName name="ㅗㅗㅗㅗㅗ" hidden="1">{"'장비'!$A$3:$M$12"}</definedName>
    <definedName name="ㅛ" hidden="1">{"'장비'!$A$3:$M$12"}</definedName>
    <definedName name="ㅛㅕㅛㅕㅛ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hidden="1">{"'장비'!$A$3:$M$12"}</definedName>
    <definedName name="ㅜ" hidden="1">{#N/A,#N/A,FALSE,"명세표"}</definedName>
    <definedName name="ㅠ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 hidden="1">{#N/A,#N/A,FALSE,"명세표"}</definedName>
  </definedNames>
  <calcPr calcId="162913"/>
  <pivotCaches>
    <pivotCache cacheId="0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2" l="1"/>
  <c r="X36" i="10"/>
  <c r="AF37" i="10"/>
  <c r="X51" i="10"/>
  <c r="AE36" i="10" l="1"/>
  <c r="X37" i="10"/>
  <c r="X52" i="10"/>
  <c r="AF28" i="8"/>
  <c r="I9" i="5"/>
  <c r="M4" i="5"/>
  <c r="AE48" i="10" l="1"/>
  <c r="AE51" i="10" s="1"/>
  <c r="AE19" i="10"/>
  <c r="AE23" i="10"/>
  <c r="AE27" i="10"/>
  <c r="AE31" i="10"/>
  <c r="AE35" i="10"/>
  <c r="AE25" i="10"/>
  <c r="AE33" i="10"/>
  <c r="AE16" i="10"/>
  <c r="AE20" i="10"/>
  <c r="AE24" i="10"/>
  <c r="AE28" i="10"/>
  <c r="AE32" i="10"/>
  <c r="AE50" i="10"/>
  <c r="AE17" i="10"/>
  <c r="AE21" i="10"/>
  <c r="AE29" i="10"/>
  <c r="AE15" i="10"/>
  <c r="AE49" i="10"/>
  <c r="AE18" i="10"/>
  <c r="AE22" i="10"/>
  <c r="AE26" i="10"/>
  <c r="AE30" i="10"/>
  <c r="AE34" i="10"/>
  <c r="AF32" i="10"/>
  <c r="AE37" i="10" l="1"/>
  <c r="C4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3" i="2"/>
  <c r="F23" i="2"/>
  <c r="B20" i="1" l="1"/>
  <c r="A20" i="1"/>
  <c r="B23" i="7"/>
  <c r="I25" i="7" l="1"/>
  <c r="H23" i="7"/>
  <c r="J23" i="7" s="1"/>
  <c r="O24" i="5"/>
  <c r="AF29" i="10"/>
  <c r="AF28" i="10"/>
  <c r="AF27" i="10"/>
  <c r="AF26" i="10"/>
  <c r="AF25" i="10"/>
  <c r="AF24" i="10"/>
  <c r="AF20" i="10"/>
  <c r="AF21" i="10"/>
  <c r="L27" i="7" l="1"/>
  <c r="AF52" i="8" l="1"/>
  <c r="AF39" i="8"/>
  <c r="AG31" i="10" l="1"/>
  <c r="AF31" i="10"/>
  <c r="AI504" i="1"/>
  <c r="AI502" i="8"/>
  <c r="G13" i="1" l="1"/>
  <c r="F7" i="2" l="1"/>
  <c r="J7" i="2" l="1"/>
  <c r="I7" i="2"/>
  <c r="D7" i="1"/>
  <c r="B6" i="7"/>
  <c r="AG30" i="10"/>
  <c r="AF30" i="10"/>
  <c r="F3" i="2"/>
  <c r="B2" i="7" l="1"/>
  <c r="D2" i="7" s="1"/>
  <c r="J3" i="2"/>
  <c r="I3" i="2"/>
  <c r="G5" i="5"/>
  <c r="AF36" i="10"/>
  <c r="C24" i="11" l="1"/>
  <c r="D23" i="11"/>
  <c r="C23" i="11"/>
  <c r="E21" i="11"/>
  <c r="E20" i="11"/>
  <c r="E19" i="11"/>
  <c r="E18" i="11"/>
  <c r="E17" i="11"/>
  <c r="E16" i="11"/>
  <c r="E15" i="11"/>
  <c r="E14" i="11"/>
  <c r="E13" i="11"/>
  <c r="I12" i="11"/>
  <c r="E12" i="11"/>
  <c r="E11" i="11"/>
  <c r="E10" i="11"/>
  <c r="E9" i="11"/>
  <c r="E8" i="11"/>
  <c r="E7" i="11"/>
  <c r="E6" i="11"/>
  <c r="E5" i="11"/>
  <c r="E4" i="11"/>
  <c r="E3" i="11"/>
  <c r="E23" i="11" s="1"/>
  <c r="F23" i="11" l="1"/>
  <c r="I8" i="11"/>
  <c r="I14" i="11" s="1"/>
  <c r="F9" i="2" l="1"/>
  <c r="K9" i="5"/>
  <c r="J9" i="5"/>
  <c r="L10" i="5"/>
  <c r="F10" i="2"/>
  <c r="F19" i="2"/>
  <c r="F18" i="2"/>
  <c r="F17" i="2"/>
  <c r="F16" i="2"/>
  <c r="F15" i="2"/>
  <c r="F13" i="2"/>
  <c r="F11" i="2"/>
  <c r="F8" i="2"/>
  <c r="F6" i="2"/>
  <c r="F5" i="2"/>
  <c r="F4" i="2"/>
  <c r="J18" i="2" l="1"/>
  <c r="I18" i="2"/>
  <c r="I8" i="2"/>
  <c r="J8" i="2"/>
  <c r="I4" i="2"/>
  <c r="J4" i="2"/>
  <c r="J5" i="2"/>
  <c r="I5" i="2"/>
  <c r="I11" i="2"/>
  <c r="J11" i="2"/>
  <c r="I17" i="2"/>
  <c r="J17" i="2"/>
  <c r="I6" i="2"/>
  <c r="J6" i="2"/>
  <c r="I13" i="2"/>
  <c r="J13" i="2"/>
  <c r="I15" i="2"/>
  <c r="J15" i="2"/>
  <c r="J19" i="2"/>
  <c r="I19" i="2"/>
  <c r="I10" i="2"/>
  <c r="J10" i="2"/>
  <c r="J16" i="2"/>
  <c r="I16" i="2"/>
  <c r="J9" i="2"/>
  <c r="I9" i="2"/>
  <c r="B4" i="7"/>
  <c r="D4" i="7" s="1"/>
  <c r="D5" i="1"/>
  <c r="D18" i="1"/>
  <c r="B17" i="7"/>
  <c r="D19" i="1"/>
  <c r="B18" i="7"/>
  <c r="D6" i="1"/>
  <c r="B5" i="7"/>
  <c r="D8" i="1"/>
  <c r="B7" i="7"/>
  <c r="D10" i="1"/>
  <c r="B9" i="7"/>
  <c r="B3" i="7"/>
  <c r="D3" i="7" s="1"/>
  <c r="D4" i="1"/>
  <c r="D11" i="1"/>
  <c r="B10" i="7"/>
  <c r="D13" i="1"/>
  <c r="B12" i="7"/>
  <c r="D17" i="1"/>
  <c r="B16" i="7"/>
  <c r="B14" i="7"/>
  <c r="D15" i="1"/>
  <c r="D16" i="1"/>
  <c r="B15" i="7"/>
  <c r="D9" i="1"/>
  <c r="B8" i="7"/>
  <c r="A5" i="1"/>
  <c r="B5" i="1"/>
  <c r="C5" i="1"/>
  <c r="F5" i="1" l="1"/>
  <c r="H5" i="2"/>
  <c r="E5" i="1" s="1"/>
  <c r="A19" i="1" l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4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4" i="1"/>
  <c r="B3" i="1"/>
  <c r="G3" i="1"/>
  <c r="A3" i="1"/>
  <c r="G4" i="1"/>
  <c r="E19" i="2"/>
  <c r="C19" i="1" s="1"/>
  <c r="E15" i="2"/>
  <c r="C15" i="1" s="1"/>
  <c r="E11" i="2"/>
  <c r="C11" i="1" s="1"/>
  <c r="E7" i="2"/>
  <c r="C7" i="1" s="1"/>
  <c r="E20" i="2"/>
  <c r="C20" i="1" s="1"/>
  <c r="E18" i="2"/>
  <c r="C18" i="1" s="1"/>
  <c r="E17" i="2"/>
  <c r="C17" i="1" s="1"/>
  <c r="E16" i="2"/>
  <c r="C16" i="1" s="1"/>
  <c r="E14" i="2"/>
  <c r="C14" i="1" s="1"/>
  <c r="E13" i="2"/>
  <c r="C13" i="1" s="1"/>
  <c r="E12" i="2"/>
  <c r="C12" i="1" s="1"/>
  <c r="E10" i="2"/>
  <c r="C10" i="1" s="1"/>
  <c r="E9" i="2"/>
  <c r="C9" i="1" s="1"/>
  <c r="E8" i="2"/>
  <c r="C8" i="1" s="1"/>
  <c r="E6" i="2"/>
  <c r="C6" i="1" s="1"/>
  <c r="E3" i="2"/>
  <c r="C3" i="1" s="1"/>
  <c r="F4" i="1" l="1"/>
  <c r="B21" i="1"/>
  <c r="H4" i="2"/>
  <c r="E4" i="1" s="1"/>
  <c r="E4" i="2"/>
  <c r="B21" i="2"/>
  <c r="D7" i="2" l="1"/>
  <c r="F24" i="2"/>
  <c r="E21" i="2"/>
  <c r="E22" i="2" s="1"/>
  <c r="C4" i="1"/>
  <c r="C21" i="1" s="1"/>
  <c r="D4" i="2"/>
  <c r="D14" i="2"/>
  <c r="D11" i="2"/>
  <c r="D6" i="2"/>
  <c r="D3" i="2"/>
  <c r="D8" i="2"/>
  <c r="D18" i="2"/>
  <c r="D17" i="2"/>
  <c r="D9" i="2"/>
  <c r="D13" i="2"/>
  <c r="D10" i="2"/>
  <c r="D20" i="2"/>
  <c r="D16" i="2"/>
  <c r="D19" i="2"/>
  <c r="D15" i="2"/>
  <c r="D12" i="2"/>
  <c r="D21" i="2" l="1"/>
  <c r="F14" i="2" l="1"/>
  <c r="F12" i="2"/>
  <c r="N16" i="2"/>
  <c r="M13" i="2"/>
  <c r="N14" i="2" s="1"/>
  <c r="M25" i="2"/>
  <c r="N25" i="2" s="1"/>
  <c r="M24" i="2"/>
  <c r="N24" i="2" s="1"/>
  <c r="M23" i="2"/>
  <c r="N23" i="2" s="1"/>
  <c r="M22" i="2"/>
  <c r="N22" i="2" s="1"/>
  <c r="M20" i="2"/>
  <c r="N20" i="2" s="1"/>
  <c r="M19" i="2"/>
  <c r="N19" i="2" s="1"/>
  <c r="M18" i="2"/>
  <c r="N18" i="2" s="1"/>
  <c r="N15" i="2"/>
  <c r="N11" i="2"/>
  <c r="N10" i="2"/>
  <c r="N9" i="2"/>
  <c r="S16" i="2"/>
  <c r="Q16" i="2"/>
  <c r="Q15" i="2"/>
  <c r="S14" i="2"/>
  <c r="T11" i="2"/>
  <c r="U11" i="2" s="1"/>
  <c r="T10" i="2"/>
  <c r="U10" i="2" s="1"/>
  <c r="T9" i="2"/>
  <c r="U9" i="2" s="1"/>
  <c r="T18" i="2"/>
  <c r="Q9" i="2"/>
  <c r="J12" i="2" l="1"/>
  <c r="I12" i="2"/>
  <c r="J14" i="2"/>
  <c r="I14" i="2"/>
  <c r="B11" i="7"/>
  <c r="D12" i="1"/>
  <c r="D14" i="1"/>
  <c r="B13" i="7"/>
  <c r="D3" i="1"/>
  <c r="F8" i="5"/>
  <c r="H8" i="5"/>
  <c r="F3" i="1" l="1"/>
  <c r="G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24" i="5" l="1"/>
  <c r="E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24" i="5" l="1"/>
  <c r="G6" i="1"/>
  <c r="G7" i="1"/>
  <c r="G8" i="1"/>
  <c r="G9" i="1"/>
  <c r="G10" i="1"/>
  <c r="G11" i="1"/>
  <c r="G12" i="1"/>
  <c r="G14" i="1"/>
  <c r="G15" i="1"/>
  <c r="G16" i="1"/>
  <c r="G17" i="1"/>
  <c r="G18" i="1"/>
  <c r="G19" i="1"/>
  <c r="Z33" i="2" l="1"/>
  <c r="AA33" i="2" s="1"/>
  <c r="F27" i="7" l="1"/>
  <c r="Z29" i="2" l="1"/>
  <c r="Z31" i="2" s="1"/>
  <c r="X29" i="2"/>
  <c r="X31" i="2" s="1"/>
  <c r="R29" i="2"/>
  <c r="R31" i="2" s="1"/>
  <c r="P29" i="2"/>
  <c r="P31" i="2" s="1"/>
  <c r="P25" i="2" l="1"/>
  <c r="Q25" i="2" s="1"/>
  <c r="P24" i="2"/>
  <c r="Q24" i="2" s="1"/>
  <c r="P23" i="2"/>
  <c r="Q23" i="2" s="1"/>
  <c r="P22" i="2"/>
  <c r="Q22" i="2" s="1"/>
  <c r="U23" i="2" l="1"/>
  <c r="U24" i="2"/>
  <c r="U25" i="2"/>
  <c r="U26" i="2"/>
  <c r="U22" i="2"/>
  <c r="X26" i="2"/>
  <c r="Y26" i="2" s="1"/>
  <c r="X25" i="2"/>
  <c r="Y25" i="2" s="1"/>
  <c r="X24" i="2"/>
  <c r="Y24" i="2" s="1"/>
  <c r="X23" i="2"/>
  <c r="Y23" i="2" s="1"/>
  <c r="X22" i="2"/>
  <c r="Y22" i="2" s="1"/>
  <c r="T20" i="2" l="1"/>
  <c r="U20" i="2" s="1"/>
  <c r="U18" i="2"/>
  <c r="T19" i="2"/>
  <c r="U19" i="2" s="1"/>
  <c r="X18" i="2" l="1"/>
  <c r="Y18" i="2" s="1"/>
  <c r="X20" i="2"/>
  <c r="Y20" i="2" s="1"/>
  <c r="X19" i="2"/>
  <c r="Y19" i="2" s="1"/>
  <c r="P20" i="2" l="1"/>
  <c r="Q20" i="2" s="1"/>
  <c r="P19" i="2"/>
  <c r="Q19" i="2" s="1"/>
  <c r="P18" i="2"/>
  <c r="Q18" i="2" s="1"/>
  <c r="U16" i="2" l="1"/>
  <c r="U15" i="2" l="1"/>
  <c r="U14" i="2"/>
  <c r="Q14" i="2" l="1"/>
  <c r="AA14" i="2" l="1"/>
  <c r="AA15" i="2"/>
  <c r="Y14" i="2"/>
  <c r="Y15" i="2"/>
  <c r="S15" i="2"/>
  <c r="AA10" i="2" l="1"/>
  <c r="AA11" i="2"/>
  <c r="AA9" i="2"/>
  <c r="Y10" i="2"/>
  <c r="Y11" i="2"/>
  <c r="Y9" i="2"/>
  <c r="S10" i="2" l="1"/>
  <c r="S11" i="2"/>
  <c r="S9" i="2"/>
  <c r="Q10" i="2"/>
  <c r="Q11" i="2"/>
  <c r="AB9" i="5" l="1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8" i="5"/>
  <c r="Z9" i="5"/>
  <c r="Z14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8" i="5"/>
  <c r="AB24" i="5" l="1"/>
  <c r="Y23" i="5"/>
  <c r="Z23" i="5" s="1"/>
  <c r="Y22" i="5"/>
  <c r="Z22" i="5" s="1"/>
  <c r="Y21" i="5"/>
  <c r="Z21" i="5" s="1"/>
  <c r="Y20" i="5"/>
  <c r="Z20" i="5" s="1"/>
  <c r="Y19" i="5"/>
  <c r="Z19" i="5" s="1"/>
  <c r="Y18" i="5"/>
  <c r="Z18" i="5" s="1"/>
  <c r="Y17" i="5"/>
  <c r="Z17" i="5" s="1"/>
  <c r="Y16" i="5"/>
  <c r="Z16" i="5" s="1"/>
  <c r="Y15" i="5"/>
  <c r="Z15" i="5" s="1"/>
  <c r="Y13" i="5"/>
  <c r="Z13" i="5" s="1"/>
  <c r="Y12" i="5"/>
  <c r="Y11" i="5"/>
  <c r="Z11" i="5" s="1"/>
  <c r="Y10" i="5"/>
  <c r="Z10" i="5" s="1"/>
  <c r="Y8" i="5"/>
  <c r="Z8" i="5" s="1"/>
  <c r="W24" i="5"/>
  <c r="X24" i="5"/>
  <c r="Y24" i="5" l="1"/>
  <c r="Z12" i="5"/>
  <c r="Z24" i="5" s="1"/>
  <c r="C24" i="5" l="1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24" i="5" l="1"/>
  <c r="V23" i="5" l="1"/>
  <c r="V22" i="5"/>
  <c r="V21" i="5"/>
  <c r="V20" i="5"/>
  <c r="V19" i="5"/>
  <c r="V17" i="5"/>
  <c r="V12" i="5"/>
  <c r="V11" i="5"/>
  <c r="V10" i="5"/>
  <c r="V9" i="5"/>
  <c r="H21" i="1" l="1"/>
  <c r="N24" i="5"/>
  <c r="G21" i="1" l="1"/>
  <c r="D18" i="7"/>
  <c r="E9" i="7"/>
  <c r="V15" i="5" l="1"/>
  <c r="V16" i="5"/>
  <c r="V18" i="5"/>
  <c r="U14" i="5"/>
  <c r="V14" i="5" s="1"/>
  <c r="U13" i="5"/>
  <c r="V13" i="5" s="1"/>
  <c r="U8" i="5"/>
  <c r="V8" i="5" s="1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8" i="5"/>
  <c r="AD9" i="5"/>
  <c r="AD10" i="5"/>
  <c r="AD11" i="5"/>
  <c r="AD12" i="5"/>
  <c r="AD13" i="5"/>
  <c r="AD14" i="5"/>
  <c r="AD15" i="5"/>
  <c r="AD16" i="5"/>
  <c r="AD17" i="5"/>
  <c r="AD18" i="5"/>
  <c r="AD19" i="5"/>
  <c r="AD20" i="5"/>
  <c r="AD21" i="5"/>
  <c r="AD22" i="5"/>
  <c r="AD23" i="5"/>
  <c r="AD8" i="5" l="1"/>
  <c r="S24" i="5"/>
  <c r="U24" i="5"/>
  <c r="U26" i="5" s="1"/>
  <c r="AA24" i="5"/>
  <c r="AC24" i="5"/>
  <c r="V24" i="5" l="1"/>
  <c r="T24" i="5"/>
  <c r="AD24" i="5"/>
  <c r="H3" i="2" l="1"/>
  <c r="E3" i="1" s="1"/>
  <c r="D13" i="7" l="1"/>
  <c r="F14" i="1"/>
  <c r="H14" i="2"/>
  <c r="E14" i="1" l="1"/>
  <c r="F19" i="1" l="1"/>
  <c r="H19" i="2"/>
  <c r="E19" i="1" l="1"/>
  <c r="D16" i="7" l="1"/>
  <c r="F17" i="1"/>
  <c r="H17" i="2"/>
  <c r="E17" i="1" l="1"/>
  <c r="D17" i="7" l="1"/>
  <c r="F18" i="1"/>
  <c r="H18" i="2"/>
  <c r="D15" i="7" l="1"/>
  <c r="E18" i="1"/>
  <c r="F16" i="1"/>
  <c r="H16" i="2"/>
  <c r="D14" i="7" l="1"/>
  <c r="E16" i="1"/>
  <c r="F15" i="1"/>
  <c r="H15" i="2"/>
  <c r="E15" i="1" s="1"/>
  <c r="D12" i="7" l="1"/>
  <c r="F13" i="1"/>
  <c r="H13" i="2"/>
  <c r="E13" i="1" l="1"/>
  <c r="R33" i="2" l="1"/>
  <c r="S33" i="2" s="1"/>
  <c r="D11" i="7" l="1"/>
  <c r="F12" i="1"/>
  <c r="H12" i="2"/>
  <c r="D10" i="7" l="1"/>
  <c r="E12" i="1"/>
  <c r="F11" i="1"/>
  <c r="H11" i="2"/>
  <c r="E11" i="1" l="1"/>
  <c r="D7" i="7" l="1"/>
  <c r="F8" i="1"/>
  <c r="H8" i="2"/>
  <c r="I15" i="11" s="1"/>
  <c r="I16" i="11" s="1"/>
  <c r="R22" i="2"/>
  <c r="S22" i="2" s="1"/>
  <c r="R24" i="2"/>
  <c r="S24" i="2" s="1"/>
  <c r="AG36" i="10" l="1"/>
  <c r="E8" i="1"/>
  <c r="R25" i="2"/>
  <c r="S25" i="2" s="1"/>
  <c r="R23" i="2"/>
  <c r="S23" i="2" s="1"/>
  <c r="F20" i="2" l="1"/>
  <c r="I20" i="2" l="1"/>
  <c r="J20" i="2"/>
  <c r="B19" i="7"/>
  <c r="D20" i="1"/>
  <c r="D6" i="7"/>
  <c r="D5" i="7"/>
  <c r="H6" i="2"/>
  <c r="F7" i="1"/>
  <c r="H7" i="2"/>
  <c r="F20" i="1" l="1"/>
  <c r="D21" i="1"/>
  <c r="F6" i="1"/>
  <c r="E6" i="1"/>
  <c r="E7" i="1"/>
  <c r="D9" i="7" l="1"/>
  <c r="F10" i="1"/>
  <c r="H10" i="2"/>
  <c r="R20" i="2"/>
  <c r="S20" i="2" s="1"/>
  <c r="E10" i="1" l="1"/>
  <c r="R19" i="2" l="1"/>
  <c r="S19" i="2" s="1"/>
  <c r="R18" i="2" l="1"/>
  <c r="S18" i="2" s="1"/>
  <c r="D8" i="7" l="1"/>
  <c r="H9" i="2"/>
  <c r="F9" i="1" l="1"/>
  <c r="F21" i="2"/>
  <c r="J21" i="2" s="1"/>
  <c r="H20" i="2"/>
  <c r="E9" i="1"/>
  <c r="H21" i="2" l="1"/>
  <c r="H22" i="2" s="1"/>
  <c r="E20" i="1"/>
  <c r="E21" i="1" s="1"/>
  <c r="G4" i="2"/>
  <c r="G5" i="2"/>
  <c r="G20" i="2"/>
  <c r="D19" i="7"/>
  <c r="D20" i="7" s="1"/>
  <c r="B20" i="7"/>
  <c r="D23" i="7" s="1"/>
  <c r="G7" i="2"/>
  <c r="G15" i="2"/>
  <c r="G3" i="2"/>
  <c r="G14" i="2"/>
  <c r="G8" i="2"/>
  <c r="G18" i="2"/>
  <c r="G12" i="2"/>
  <c r="G19" i="2"/>
  <c r="G11" i="2"/>
  <c r="G10" i="2"/>
  <c r="G17" i="2"/>
  <c r="G13" i="2"/>
  <c r="G16" i="2"/>
  <c r="G6" i="2"/>
  <c r="G9" i="2"/>
  <c r="C4" i="7" l="1"/>
  <c r="C3" i="7"/>
  <c r="C2" i="7"/>
  <c r="D29" i="7"/>
  <c r="D28" i="7"/>
  <c r="D24" i="7"/>
  <c r="J28" i="7"/>
  <c r="J27" i="7"/>
  <c r="J26" i="7"/>
  <c r="J24" i="7"/>
  <c r="J29" i="7"/>
  <c r="J25" i="7"/>
  <c r="C18" i="7"/>
  <c r="C13" i="7"/>
  <c r="C16" i="7"/>
  <c r="C17" i="7"/>
  <c r="C15" i="7"/>
  <c r="C14" i="7"/>
  <c r="C12" i="7"/>
  <c r="C11" i="7"/>
  <c r="C10" i="7"/>
  <c r="C7" i="7"/>
  <c r="C6" i="7"/>
  <c r="C5" i="7"/>
  <c r="C9" i="7"/>
  <c r="C8" i="7"/>
  <c r="C19" i="7"/>
  <c r="D31" i="7"/>
  <c r="D25" i="7"/>
  <c r="D30" i="7"/>
  <c r="D27" i="7"/>
  <c r="D26" i="7"/>
  <c r="G21" i="2"/>
  <c r="C20" i="7" l="1"/>
</calcChain>
</file>

<file path=xl/comments1.xml><?xml version="1.0" encoding="utf-8"?>
<comments xmlns="http://schemas.openxmlformats.org/spreadsheetml/2006/main">
  <authors>
    <author>tc={609C0E73-15FD-4EF4-AC26-83460E664A69}</author>
    <author>tc={0D7D8585-172E-43C3-8923-B16E08B09CEC}</author>
  </authors>
  <commentList>
    <comment ref="AF30" authorId="0" shapeId="0">
      <text>
        <r>
          <rPr>
            <sz val="11"/>
            <color theme="1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 fosse contar pintura teto garagem</t>
        </r>
      </text>
    </comment>
    <comment ref="AG30" authorId="1" shapeId="0">
      <text>
        <r>
          <rPr>
            <sz val="11"/>
            <color theme="1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 fosse contar pintura piso garagem</t>
        </r>
      </text>
    </comment>
  </commentList>
</comments>
</file>

<file path=xl/comments2.xml><?xml version="1.0" encoding="utf-8"?>
<comments xmlns="http://schemas.openxmlformats.org/spreadsheetml/2006/main">
  <authors>
    <author>Larissa Oliveira</author>
    <author>tc={2BD625B1-ABDE-4BB2-B4E5-9585C5E73455}</author>
    <author>tc={E7011368-3FE6-4A88-B09A-0C8D568432B3}</author>
    <author>tc={2D33D676-4E26-4CDC-863A-E73BC6826037}</author>
  </authors>
  <commentList>
    <comment ref="G7" authorId="0" shapeId="0">
      <text>
        <r>
          <rPr>
            <b/>
            <sz val="9"/>
            <color indexed="81"/>
            <rFont val="Segoe UI"/>
            <family val="2"/>
          </rPr>
          <t>Larissa Oliveira:</t>
        </r>
        <r>
          <rPr>
            <sz val="9"/>
            <color indexed="81"/>
            <rFont val="Segoe UI"/>
            <family val="2"/>
          </rPr>
          <t xml:space="preserve">
VALOR SEM IMPREVISTOS
</t>
        </r>
      </text>
    </comment>
    <comment ref="G9" authorId="0" shapeId="0">
      <text>
        <r>
          <rPr>
            <b/>
            <sz val="9"/>
            <color indexed="81"/>
            <rFont val="Segoe UI"/>
            <family val="2"/>
          </rPr>
          <t>Larissa Oliveira:</t>
        </r>
        <r>
          <rPr>
            <sz val="9"/>
            <color indexed="81"/>
            <rFont val="Segoe UI"/>
            <family val="2"/>
          </rPr>
          <t xml:space="preserve">
VERBA DE ESCAVAÇÃO REPASSADA PELO RAVELLO, E FOI CONSIDERADO SOMENTE ESCAVAÇÃO COM BOTA FORA DE BLOCOS BALDRAMES E LASTRO DE BRITA</t>
        </r>
      </text>
    </comment>
    <comment ref="O9" authorId="0" shapeId="0">
      <text>
        <r>
          <rPr>
            <b/>
            <sz val="9"/>
            <color indexed="81"/>
            <rFont val="Segoe UI"/>
            <family val="2"/>
          </rPr>
          <t>Larissa Oliveira:</t>
        </r>
        <r>
          <rPr>
            <sz val="9"/>
            <color indexed="81"/>
            <rFont val="Segoe UI"/>
            <family val="2"/>
          </rPr>
          <t xml:space="preserve">
LEVAD EM CONSIDERAÇÃO O VALOR DE MÉDIA DO DOM</t>
        </r>
      </text>
    </comment>
    <comment ref="I10" authorId="1" shapeId="0">
      <text>
        <r>
          <rPr>
            <sz val="11"/>
            <color theme="1"/>
            <rFont val="Calibri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Considerando contenção
</t>
        </r>
      </text>
    </comment>
    <comment ref="K10" authorId="2" shapeId="0">
      <text>
        <r>
          <rPr>
            <sz val="11"/>
            <color theme="1"/>
            <rFont val="Calibri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Considerando contenção
</t>
        </r>
      </text>
    </comment>
    <comment ref="O18" authorId="3" shapeId="0">
      <text>
        <r>
          <rPr>
            <sz val="11"/>
            <color theme="1"/>
            <rFont val="Calibri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SAK ASPEN</t>
        </r>
      </text>
    </comment>
  </commentList>
</comments>
</file>

<file path=xl/sharedStrings.xml><?xml version="1.0" encoding="utf-8"?>
<sst xmlns="http://schemas.openxmlformats.org/spreadsheetml/2006/main" count="1767" uniqueCount="1089">
  <si>
    <t>ETAPA</t>
  </si>
  <si>
    <t>OBRA SIMILAR</t>
  </si>
  <si>
    <t>VALOR</t>
  </si>
  <si>
    <t>VALOR / m²</t>
  </si>
  <si>
    <t>MOVIMENTAÇÃO DE TERRA</t>
  </si>
  <si>
    <t>INFRAESTRUTURA</t>
  </si>
  <si>
    <t>SUPRAESTRUTURA</t>
  </si>
  <si>
    <t>ALVENARIA</t>
  </si>
  <si>
    <t>INSTALAÇÕES ELÉTRICAS, HIDRÁULICAS, GLP E PREVENTIVAS</t>
  </si>
  <si>
    <t>IMPERMEABILIZAÇÃO</t>
  </si>
  <si>
    <t>ACABAMENTOS EM PISO E PAREDE</t>
  </si>
  <si>
    <t>PINTURA INTERNA</t>
  </si>
  <si>
    <t>ESQUADRIAS, VIDROS E FERRAGENS</t>
  </si>
  <si>
    <t>REVESTIMENTOS E ACABAMENTOS DE FACHADA</t>
  </si>
  <si>
    <t>SERVIÇOS COMPLEMENTARES</t>
  </si>
  <si>
    <t>TOTAL</t>
  </si>
  <si>
    <t>VALOR ORÇADO</t>
  </si>
  <si>
    <t>%</t>
  </si>
  <si>
    <t>GERENCIAMENTO TÉCNICO E ADMINISTRATIVO</t>
  </si>
  <si>
    <t>REVESTIMENTOS INTERNOS EM PISO E PAREDE</t>
  </si>
  <si>
    <t>REVESTIMENTOS E ACABAMENTOS INTERNOS EM TETO</t>
  </si>
  <si>
    <t>IMPREVISTOS E CONTINGENCIAS</t>
  </si>
  <si>
    <t>COBERTURA</t>
  </si>
  <si>
    <t>EQUIPAMENTOS E SISTEMAS ESPECIAIS</t>
  </si>
  <si>
    <t>GERENCIAMENTO TECNICO E ADMINISTRATIVO</t>
  </si>
  <si>
    <t>DATA BASE</t>
  </si>
  <si>
    <t>ÁREA CONSTRUÍDA</t>
  </si>
  <si>
    <t>m²</t>
  </si>
  <si>
    <t>CUB</t>
  </si>
  <si>
    <t>VALOR / M2</t>
  </si>
  <si>
    <t>INDEXADO</t>
  </si>
  <si>
    <t>MÉDIAS</t>
  </si>
  <si>
    <t>MÍNIMA</t>
  </si>
  <si>
    <t>MÁXIMA</t>
  </si>
  <si>
    <t>DIFERENÇAS EM QUNATITATIVOS:</t>
  </si>
  <si>
    <t>PISOS - AREAS TECNICAS E LAJES APENAS COM CONTRAPISO, SEM REVESTIMENTO</t>
  </si>
  <si>
    <t>HABITAH</t>
  </si>
  <si>
    <t>DOM BOSCO</t>
  </si>
  <si>
    <t>SAN MARINO</t>
  </si>
  <si>
    <t>LIBERATO</t>
  </si>
  <si>
    <t>ÁREA PRIVATIVA</t>
  </si>
  <si>
    <t>CUB/SC</t>
  </si>
  <si>
    <t>DESCRIÇÃO</t>
  </si>
  <si>
    <t>DOM</t>
  </si>
  <si>
    <t>PAESSAGGIO</t>
  </si>
  <si>
    <t>THOZEN</t>
  </si>
  <si>
    <t>GRAN TORINO</t>
  </si>
  <si>
    <t>AREA</t>
  </si>
  <si>
    <t>ARGAMASSADO</t>
  </si>
  <si>
    <t>ACABAMENTOS</t>
  </si>
  <si>
    <t>MO</t>
  </si>
  <si>
    <t>TEXTURA</t>
  </si>
  <si>
    <t>CONCRETO</t>
  </si>
  <si>
    <t>AÇO</t>
  </si>
  <si>
    <t>FORMA</t>
  </si>
  <si>
    <t>RAVELLO</t>
  </si>
  <si>
    <t>AREA FACH</t>
  </si>
  <si>
    <t>ELETRICA</t>
  </si>
  <si>
    <t>HIDRAULICA</t>
  </si>
  <si>
    <t>PREVENTIVA</t>
  </si>
  <si>
    <t>ARMAÇÃO</t>
  </si>
  <si>
    <t>COCNRETO</t>
  </si>
  <si>
    <t>MAO DE OBRA</t>
  </si>
  <si>
    <t>FACHADA</t>
  </si>
  <si>
    <t>ESQUADRIAS</t>
  </si>
  <si>
    <t>ÁREA (m²)</t>
  </si>
  <si>
    <t>VALOR TOTAL</t>
  </si>
  <si>
    <t>VALOR POR ÁREA PRIVATIVA (R$/m²)</t>
  </si>
  <si>
    <t>MANTA</t>
  </si>
  <si>
    <t>área</t>
  </si>
  <si>
    <t>ÁREA DE LAZER</t>
  </si>
  <si>
    <t>ATALAIA</t>
  </si>
  <si>
    <t>COMPLEMENTARES</t>
  </si>
  <si>
    <t>Orçamento</t>
  </si>
  <si>
    <t>Obra</t>
  </si>
  <si>
    <t>2 - Moradas do Atalaia - Custo Direto</t>
  </si>
  <si>
    <t>Unidade construtiva</t>
  </si>
  <si>
    <t>Tipo de obra</t>
  </si>
  <si>
    <t>1 - Construção Civil</t>
  </si>
  <si>
    <t>Endereço da obra</t>
  </si>
  <si>
    <t>Rua Lila Heusi - Fazendinha - Itajaí/SC - 88306-023</t>
  </si>
  <si>
    <t>Versão do orçamento</t>
  </si>
  <si>
    <t>2 - 15/09/2022 - 15:24:23 - Versão 2 do orçamento</t>
  </si>
  <si>
    <t>Data base</t>
  </si>
  <si>
    <t>15/09/2022</t>
  </si>
  <si>
    <t>BDI</t>
  </si>
  <si>
    <t>não aplicado</t>
  </si>
  <si>
    <t>Encargos sociais</t>
  </si>
  <si>
    <t>Preços expressos em</t>
  </si>
  <si>
    <t>R$ (REAL)</t>
  </si>
  <si>
    <t>Código</t>
  </si>
  <si>
    <t>Descrição</t>
  </si>
  <si>
    <t>Un.</t>
  </si>
  <si>
    <t>Quantidade orçada</t>
  </si>
  <si>
    <t>Preço unitário</t>
  </si>
  <si>
    <t>Preço total</t>
  </si>
  <si>
    <t xml:space="preserve">01 </t>
  </si>
  <si>
    <t>m2</t>
  </si>
  <si>
    <t>un</t>
  </si>
  <si>
    <t xml:space="preserve">02 </t>
  </si>
  <si>
    <t>kg</t>
  </si>
  <si>
    <t>m3</t>
  </si>
  <si>
    <t xml:space="preserve">03 </t>
  </si>
  <si>
    <t>Total da unidade construtiva</t>
  </si>
  <si>
    <t>2 - GERENCIAMENTO EXECUTIVO</t>
  </si>
  <si>
    <t xml:space="preserve">01.001 </t>
  </si>
  <si>
    <t xml:space="preserve">01.001.001 </t>
  </si>
  <si>
    <t>Corte e aterro</t>
  </si>
  <si>
    <t xml:space="preserve">01.001.001.001 </t>
  </si>
  <si>
    <t>Escavação Mecânica de Solo Exceto Rocha até 4m</t>
  </si>
  <si>
    <t xml:space="preserve">01.001.002 </t>
  </si>
  <si>
    <t>Escavação e Reaterro de Valas</t>
  </si>
  <si>
    <t xml:space="preserve">01.001.002.001 </t>
  </si>
  <si>
    <t>Escavação Mecânica de blocos, baldrames, sapatas e cortinas</t>
  </si>
  <si>
    <t xml:space="preserve">01.001.002.002 </t>
  </si>
  <si>
    <t>Reaterro Compactado de blocos, baldrames e sapatas</t>
  </si>
  <si>
    <t xml:space="preserve">01.001.003 </t>
  </si>
  <si>
    <t>Movimentação de bota - fora</t>
  </si>
  <si>
    <t xml:space="preserve">01.001.003.001 </t>
  </si>
  <si>
    <t>Movimentação de terra para bota-fora de escavação</t>
  </si>
  <si>
    <t>CONTENÇÃO</t>
  </si>
  <si>
    <t xml:space="preserve">02.001 </t>
  </si>
  <si>
    <t xml:space="preserve">02.001.001 </t>
  </si>
  <si>
    <t>Forma</t>
  </si>
  <si>
    <t xml:space="preserve">02.001.001.001 </t>
  </si>
  <si>
    <t>Fabricação, montagem e desmontagem de fôrma para cortina de contenção, em chapa de madeira compensada plastificada, e = 20mm</t>
  </si>
  <si>
    <t xml:space="preserve">02.001.002 </t>
  </si>
  <si>
    <t>Armadura</t>
  </si>
  <si>
    <t xml:space="preserve">02.001.002.001 </t>
  </si>
  <si>
    <t>Armação aço CA-60 ø 5mm para cortina de contenção em concreto armado (corte e dobra em indústria)</t>
  </si>
  <si>
    <t xml:space="preserve">02.001.002.002 </t>
  </si>
  <si>
    <t>Armação aço CA-50 ø 8mm para cortina de contenção em concreto armado (corte e dobra em indústria)</t>
  </si>
  <si>
    <t xml:space="preserve">02.001.002.003 </t>
  </si>
  <si>
    <t>Armação aço CA-50 ø 10mm para cortina de contenção em concreto armado  (corte e dobra em indústria)</t>
  </si>
  <si>
    <t xml:space="preserve">02.001.002.004 </t>
  </si>
  <si>
    <t>Armação aço CA-50 ø 12,5mm para cortina de contenção em concreto armado (corte e dobra em indústria)</t>
  </si>
  <si>
    <t xml:space="preserve">02.001.002.005 </t>
  </si>
  <si>
    <t>Armação aço CA-50 ø 16mm de cortina de contenção em concreto armado (corte e dobra em indústria)</t>
  </si>
  <si>
    <t xml:space="preserve">02.001.002.006 </t>
  </si>
  <si>
    <t>Armação aço CA-50 ø 20mm de cortina de contenção em concreto armado (corte e dobra em indústria)</t>
  </si>
  <si>
    <t xml:space="preserve">02.001.003 </t>
  </si>
  <si>
    <t>Concreto</t>
  </si>
  <si>
    <t xml:space="preserve">02.001.003.001 </t>
  </si>
  <si>
    <t>Concretagem de cortina de contenção, através de bomba - lançamento, adensamento e acabamento, concreto Fck 35MPa</t>
  </si>
  <si>
    <t xml:space="preserve">02.001.004 </t>
  </si>
  <si>
    <t>Mão de obra</t>
  </si>
  <si>
    <t xml:space="preserve">02.001.004.001 </t>
  </si>
  <si>
    <t>Mão de obra para execução de cortina de contenção</t>
  </si>
  <si>
    <t xml:space="preserve">03.001 </t>
  </si>
  <si>
    <t>FUNDAÇÃO PROFUNDA</t>
  </si>
  <si>
    <t xml:space="preserve">03.001.001 </t>
  </si>
  <si>
    <t>Perfuração</t>
  </si>
  <si>
    <t xml:space="preserve">03.001.001.001 </t>
  </si>
  <si>
    <t>Taxa de mobilização/desmobilização</t>
  </si>
  <si>
    <t>vb</t>
  </si>
  <si>
    <t xml:space="preserve">03.001.001.002 </t>
  </si>
  <si>
    <t>Estacas Hélice 50cm</t>
  </si>
  <si>
    <t>m</t>
  </si>
  <si>
    <t xml:space="preserve">03.001.001.003 </t>
  </si>
  <si>
    <t>Estacas Hélice 60cm</t>
  </si>
  <si>
    <t xml:space="preserve">03.001.002 </t>
  </si>
  <si>
    <t xml:space="preserve">03.001.002.001 </t>
  </si>
  <si>
    <t>Armação aço CA-50 ø 6.3mm para estaca (corte e dobra em indústria)</t>
  </si>
  <si>
    <t xml:space="preserve">03.001.002.002 </t>
  </si>
  <si>
    <t>Armação aço CA-50 ø 16mm para estaca (corte e dobra em indústria)</t>
  </si>
  <si>
    <t xml:space="preserve">03.001.002.003 </t>
  </si>
  <si>
    <t>Armacao aco CA-50 ø 20mm para estaca (corte e dobra em indústria)</t>
  </si>
  <si>
    <t xml:space="preserve">03.001.003 </t>
  </si>
  <si>
    <t xml:space="preserve">03.001.003.001 </t>
  </si>
  <si>
    <t>Concreto usinado bombeavel - Fck 40MPa - incluindo serviço de bombeamento</t>
  </si>
  <si>
    <t xml:space="preserve">03.002 </t>
  </si>
  <si>
    <t>FUNDAÇÃO RASA</t>
  </si>
  <si>
    <t xml:space="preserve">03.002.001 </t>
  </si>
  <si>
    <t xml:space="preserve">03.002.001.001 </t>
  </si>
  <si>
    <t>Fabricação, montagem e desmontagem de forma para blocos, baldrames e sapatas em chapa de madeira serrada</t>
  </si>
  <si>
    <t xml:space="preserve">03.002.002 </t>
  </si>
  <si>
    <t xml:space="preserve">03.002.002.001 </t>
  </si>
  <si>
    <t>Armação aço CA-60 ø 5mm para bloco, viga baldrame e sapata (corte e dobra em indústria)</t>
  </si>
  <si>
    <t xml:space="preserve">03.002.002.002 </t>
  </si>
  <si>
    <t>Armação aço CA-50 ø 6,3mm de bloco para viga baldrame e sapata (corte e dobra em indústria)</t>
  </si>
  <si>
    <t xml:space="preserve">03.002.002.003 </t>
  </si>
  <si>
    <t>Armação aço CA-50 ø 8mm para bloco, viga baldrame e sapata (corte e dobra em indústria)</t>
  </si>
  <si>
    <t xml:space="preserve">03.002.002.004 </t>
  </si>
  <si>
    <t>Armação aço CA-50 ø 10mm para bloco, viga baldrame e sapata (corte e dobra em indústria)</t>
  </si>
  <si>
    <t xml:space="preserve">03.002.002.005 </t>
  </si>
  <si>
    <t>Armação aço CA-50 ø 12,5mm para bloco, viga baldrame e sapata (corte e dobra em indústria)</t>
  </si>
  <si>
    <t xml:space="preserve">03.002.002.006 </t>
  </si>
  <si>
    <t>Armação aço CA-50 ø 16mm para bloco, viga baldrame e sapata (corte e dobra em indústria)</t>
  </si>
  <si>
    <t xml:space="preserve">03.002.002.007 </t>
  </si>
  <si>
    <t>Armação aço CA-50 ø 20mm para bloco, viga baldrame e sapata (corte e dobra em indústria)</t>
  </si>
  <si>
    <t xml:space="preserve">03.002.003 </t>
  </si>
  <si>
    <t xml:space="preserve">03.002.003.001 </t>
  </si>
  <si>
    <t>Concretagem de blocos de coroamento, vigas baldrame e sapatas com uso de bomba - lançamento, adensamento e acabamento, concreto Fck 35MPa</t>
  </si>
  <si>
    <t xml:space="preserve">03.002.003.002 </t>
  </si>
  <si>
    <t>Lastro de Concreto 5cm</t>
  </si>
  <si>
    <t xml:space="preserve">03.002.004 </t>
  </si>
  <si>
    <t xml:space="preserve">03.002.004.001 </t>
  </si>
  <si>
    <t>Mão de obra para execução de infraestrutura de concreto armado</t>
  </si>
  <si>
    <t xml:space="preserve">04 </t>
  </si>
  <si>
    <t xml:space="preserve">04.001 </t>
  </si>
  <si>
    <t xml:space="preserve">04.001.001 </t>
  </si>
  <si>
    <t xml:space="preserve">04.001.001.001 </t>
  </si>
  <si>
    <t>Forma p/ Viga Compensado Plástica 20mm Reaprov. 6x</t>
  </si>
  <si>
    <t xml:space="preserve">04.001.001.002 </t>
  </si>
  <si>
    <t>Forma p/ Pilares Compensado Plástica 20mm Reaprov. 6x</t>
  </si>
  <si>
    <t xml:space="preserve">04.001.001.003 </t>
  </si>
  <si>
    <t>Forma p/ Lajes Compensado Plástica 20mm Reaprov. 6x</t>
  </si>
  <si>
    <t xml:space="preserve">04.001.001.004 </t>
  </si>
  <si>
    <t>Forma p/ Rampas e Escadas Compensado Plástica 20mm Reaprov. 6x</t>
  </si>
  <si>
    <t xml:space="preserve">04.001.001.005 </t>
  </si>
  <si>
    <t>Montagem e Desmontagem de Forma para Vigas</t>
  </si>
  <si>
    <t xml:space="preserve">04.001.001.006 </t>
  </si>
  <si>
    <t>Montagem e Desmontagem de Forma para Pilar</t>
  </si>
  <si>
    <t xml:space="preserve">04.001.001.007 </t>
  </si>
  <si>
    <t>Montagem e Desmontagem de Forma para Lajes</t>
  </si>
  <si>
    <t xml:space="preserve">04.001.001.008 </t>
  </si>
  <si>
    <t>Montagem e Desmontagem de Forma para Escadas</t>
  </si>
  <si>
    <t xml:space="preserve">04.001.002 </t>
  </si>
  <si>
    <t xml:space="preserve">04.001.002.001 </t>
  </si>
  <si>
    <t>Armação aço CA-60 ø 5mm para supraestrutura (corte e dobra em indústria)</t>
  </si>
  <si>
    <t xml:space="preserve">04.001.002.002 </t>
  </si>
  <si>
    <t>Armação aço CA-50 ø 6,3mm para supraestrutura (corte e dobra em indústria)</t>
  </si>
  <si>
    <t xml:space="preserve">04.001.002.003 </t>
  </si>
  <si>
    <t>Armação aço CA-50 ø 8mm para supraestrutura (corte e dobra em indústria)</t>
  </si>
  <si>
    <t xml:space="preserve">04.001.002.004 </t>
  </si>
  <si>
    <t>Armação aço CA-50 ø 10mm para supraestrutura (corte e dobra em indústria)</t>
  </si>
  <si>
    <t xml:space="preserve">04.001.002.005 </t>
  </si>
  <si>
    <t>Armação aço CA-50 ø 12,5mm para supraestrutura (corte e dobra em indústria)</t>
  </si>
  <si>
    <t xml:space="preserve">04.001.002.006 </t>
  </si>
  <si>
    <t>Armação aço CA-50 ø 16mm para supraestrutura (corte e dobra em indústria)</t>
  </si>
  <si>
    <t xml:space="preserve">04.001.002.007 </t>
  </si>
  <si>
    <t>Armação aço CA-50 ø 20mm para supraestrutura (corte e dobra em indústria)</t>
  </si>
  <si>
    <t xml:space="preserve">04.001.002.008 </t>
  </si>
  <si>
    <t>Armação aço CA-50 ø 25mm para supraestrutura (corte e dobra em indústria)</t>
  </si>
  <si>
    <t xml:space="preserve">04.001.003 </t>
  </si>
  <si>
    <t xml:space="preserve">Concreto </t>
  </si>
  <si>
    <t xml:space="preserve">04.001.003.001 </t>
  </si>
  <si>
    <t>Concreto Usinado FCK = 35MPa Bombeavel</t>
  </si>
  <si>
    <t xml:space="preserve">04.001.004 </t>
  </si>
  <si>
    <t>Complementares</t>
  </si>
  <si>
    <t xml:space="preserve">04.001.004.001 </t>
  </si>
  <si>
    <t>Locação de escoramento metálico</t>
  </si>
  <si>
    <t xml:space="preserve">04.001.004.002 </t>
  </si>
  <si>
    <t>Piso de Concreto Armado (acessórios)</t>
  </si>
  <si>
    <t xml:space="preserve">04.001.005 </t>
  </si>
  <si>
    <t xml:space="preserve">04.001.005.001 </t>
  </si>
  <si>
    <t>Mão de obra para execução de supraestrutura de concreto armado</t>
  </si>
  <si>
    <t xml:space="preserve">04.001.005.002 </t>
  </si>
  <si>
    <t>Mão de obra para execução de piso armado</t>
  </si>
  <si>
    <t xml:space="preserve">05 </t>
  </si>
  <si>
    <t>PAREDES E PAINÉIS</t>
  </si>
  <si>
    <t xml:space="preserve">05.001 </t>
  </si>
  <si>
    <t xml:space="preserve">05.001.001 </t>
  </si>
  <si>
    <t>Alvenaria de vedação com blocos cerâmicos</t>
  </si>
  <si>
    <t xml:space="preserve">05.001.001.001 </t>
  </si>
  <si>
    <t>Alvenaria de vedação de blocos cerâmicos furados na horizontal de 9,0x19x39cm (espessura 9,0cm) com argamassa industrializada de assentamento</t>
  </si>
  <si>
    <t xml:space="preserve">05.001.001.002 </t>
  </si>
  <si>
    <t>Alvenaria de vedação de blocos cerâmicos furados na horizontal de 11.5x19x39cm (espessura 11.5cm) com argamassa industrializada de assentamento</t>
  </si>
  <si>
    <t xml:space="preserve">05.001.001.003 </t>
  </si>
  <si>
    <t>Alvenaria de vedação de blocos cerâmicos furados na horizontal de 14,0x19x39cm (espessura 14,0cm) com argamassa industrializada de assentamento</t>
  </si>
  <si>
    <t xml:space="preserve">05.001.001.004 </t>
  </si>
  <si>
    <t>Alvenaria de vedação de blocos cerâmicos furados na horizontal de 19,0x19x39cm (espessura 19,0cm) com argamassa industrializada de assentamento</t>
  </si>
  <si>
    <t xml:space="preserve">05.001.002 </t>
  </si>
  <si>
    <t>Alvenaria de vedação com bocos de concreto</t>
  </si>
  <si>
    <t xml:space="preserve">05.001.002.001 </t>
  </si>
  <si>
    <t>Bloco de vedação de concreto celular autoclavado 7,5x30x60 cm</t>
  </si>
  <si>
    <t xml:space="preserve">05.001.002.002 </t>
  </si>
  <si>
    <t>Bloco de vedação de concreto celular autoclavado 10x30x60 cm</t>
  </si>
  <si>
    <t xml:space="preserve">05.001.002.003 </t>
  </si>
  <si>
    <t>Bloco de vedação de concreto celular autoclavado 15x30x60 cm</t>
  </si>
  <si>
    <t xml:space="preserve">05.001.003 </t>
  </si>
  <si>
    <t>Serviços complementares para alvenaria de vedação</t>
  </si>
  <si>
    <t xml:space="preserve">05.001.003.001 </t>
  </si>
  <si>
    <t>Encunhamento de alvenaria de vedação</t>
  </si>
  <si>
    <t xml:space="preserve">05.001.003.002 </t>
  </si>
  <si>
    <t>Tela soldada para ligação alvenaria/estrutura</t>
  </si>
  <si>
    <t xml:space="preserve">05.001.003.003 </t>
  </si>
  <si>
    <t>Verga/contraverga de concreto, moldada in loco</t>
  </si>
  <si>
    <t xml:space="preserve">05.001.003.004 </t>
  </si>
  <si>
    <t>Enchimento - Lã de vidro</t>
  </si>
  <si>
    <t xml:space="preserve">05.001.004 </t>
  </si>
  <si>
    <t>Divisória</t>
  </si>
  <si>
    <t xml:space="preserve">05.001.005 </t>
  </si>
  <si>
    <t xml:space="preserve">05.001.005.001 </t>
  </si>
  <si>
    <t>Mão de obra vedações internas e externas - assentamento blocos cerâmicos</t>
  </si>
  <si>
    <t xml:space="preserve">05.001.005.002 </t>
  </si>
  <si>
    <t>Mão de obra vedações internas e externas - assentamento blocos concreto celular</t>
  </si>
  <si>
    <t xml:space="preserve">06 </t>
  </si>
  <si>
    <t>IMPERMEABILIZAÇÃO E TRATAMENTOS</t>
  </si>
  <si>
    <t xml:space="preserve">06.001 </t>
  </si>
  <si>
    <t xml:space="preserve">06.001.001 </t>
  </si>
  <si>
    <t>Regularização e proteção mecânica</t>
  </si>
  <si>
    <t xml:space="preserve">06.001.001.001 </t>
  </si>
  <si>
    <t>Regularização de superfície para impermeabilização</t>
  </si>
  <si>
    <t xml:space="preserve">06.001.001.002 </t>
  </si>
  <si>
    <t>Proteção mecânica de superfície com argamassa de cimento e areia, traço 1:3 E=5cm</t>
  </si>
  <si>
    <t xml:space="preserve">06.001.002 </t>
  </si>
  <si>
    <t>Impermeabilização de fundação e contenção</t>
  </si>
  <si>
    <t xml:space="preserve">06.001.002.001 </t>
  </si>
  <si>
    <t>Impermeabilização com aditivo impermeabilizante</t>
  </si>
  <si>
    <t xml:space="preserve">06.001.003 </t>
  </si>
  <si>
    <t>Impermeabilização de cisternas</t>
  </si>
  <si>
    <t xml:space="preserve">06.001.003.001 </t>
  </si>
  <si>
    <t>Impermeabilização de cisternas com argamassa polimérica impermeabilizante</t>
  </si>
  <si>
    <t xml:space="preserve">06.001.004 </t>
  </si>
  <si>
    <t>Impermeabilização de lajes e terraços</t>
  </si>
  <si>
    <t xml:space="preserve">06.001.004.001 </t>
  </si>
  <si>
    <t>Impermeabilização de superfície com manta asfáltica, inclusive aplicação de primer asfáltico</t>
  </si>
  <si>
    <t xml:space="preserve">06.001.005 </t>
  </si>
  <si>
    <t>Impermeabilização de áreas técnicas, serviço e lazer</t>
  </si>
  <si>
    <t xml:space="preserve">06.001.005.001 </t>
  </si>
  <si>
    <t>Impermeabilização de argamassa polimérica</t>
  </si>
  <si>
    <t xml:space="preserve">06.001.006 </t>
  </si>
  <si>
    <t>Impermeabilização de piscinas</t>
  </si>
  <si>
    <t xml:space="preserve">06.001.006.001 </t>
  </si>
  <si>
    <t xml:space="preserve">06.001.007 </t>
  </si>
  <si>
    <t>Impermeabilização de banheiro, cozinha, área de serviço e sacada</t>
  </si>
  <si>
    <t xml:space="preserve">06.001.007.001 </t>
  </si>
  <si>
    <t xml:space="preserve">06.001.008 </t>
  </si>
  <si>
    <t>Impermeabilização de esquadrias</t>
  </si>
  <si>
    <t xml:space="preserve">06.001.008.001 </t>
  </si>
  <si>
    <t>Impermeabilização com manta liquida em peitoris</t>
  </si>
  <si>
    <t xml:space="preserve">06.001.009 </t>
  </si>
  <si>
    <t>Impermeabilização de ralos</t>
  </si>
  <si>
    <t xml:space="preserve">06.001.009.001 </t>
  </si>
  <si>
    <t>Tratamento de ralo com manta de poliéster</t>
  </si>
  <si>
    <t xml:space="preserve">06.001.010 </t>
  </si>
  <si>
    <t xml:space="preserve">06.001.010.001 </t>
  </si>
  <si>
    <t xml:space="preserve">06.001.011 </t>
  </si>
  <si>
    <t>Impermeabilização de reservatórios</t>
  </si>
  <si>
    <t xml:space="preserve">06.001.011.001 </t>
  </si>
  <si>
    <t xml:space="preserve">06.001.012 </t>
  </si>
  <si>
    <t>Mão de Obra</t>
  </si>
  <si>
    <t xml:space="preserve">06.001.012.001 </t>
  </si>
  <si>
    <t xml:space="preserve">Mão de obra para regularização de superfície </t>
  </si>
  <si>
    <t xml:space="preserve">06.001.012.002 </t>
  </si>
  <si>
    <t>Mão de obra para proteção mecânica</t>
  </si>
  <si>
    <t xml:space="preserve">06.001.012.003 </t>
  </si>
  <si>
    <t>Mão de obra impermeabilização de superfície com manta asfáltica</t>
  </si>
  <si>
    <t xml:space="preserve">06.001.012.004 </t>
  </si>
  <si>
    <t>Mão de obra impermeabilização de argamassa polimérica</t>
  </si>
  <si>
    <t xml:space="preserve">06.001.012.005 </t>
  </si>
  <si>
    <t>Mão de obra impermeabilização com manta liquida em peitoris</t>
  </si>
  <si>
    <t xml:space="preserve">06.001.012.006 </t>
  </si>
  <si>
    <t>Mão de obra tratamento de ralo com manta de poliéster</t>
  </si>
  <si>
    <t xml:space="preserve">07 </t>
  </si>
  <si>
    <t>SISTEMAS E INSTALAÇÕES HIDROSSANITÁRIAS E DRENAGEM</t>
  </si>
  <si>
    <t xml:space="preserve">07.001 </t>
  </si>
  <si>
    <t xml:space="preserve">07.001.001 </t>
  </si>
  <si>
    <t>Instalações de água fria</t>
  </si>
  <si>
    <t xml:space="preserve">07.001.001.001 </t>
  </si>
  <si>
    <t xml:space="preserve">07.001.002 </t>
  </si>
  <si>
    <t>Instalações de água quente</t>
  </si>
  <si>
    <t xml:space="preserve">07.001.002.001 </t>
  </si>
  <si>
    <t xml:space="preserve">07.001.003 </t>
  </si>
  <si>
    <t xml:space="preserve">07.001.003.001 </t>
  </si>
  <si>
    <t xml:space="preserve">07.001.004 </t>
  </si>
  <si>
    <t xml:space="preserve">07.001.005 </t>
  </si>
  <si>
    <t xml:space="preserve">07.001.005.001 </t>
  </si>
  <si>
    <t>Mão de obra Instalação Hidráulica</t>
  </si>
  <si>
    <t xml:space="preserve">08 </t>
  </si>
  <si>
    <t>SISTEMAS E INSTALAÇÕES ELÉTRICAS</t>
  </si>
  <si>
    <t xml:space="preserve">08.001 </t>
  </si>
  <si>
    <t xml:space="preserve">08.001.001 </t>
  </si>
  <si>
    <t>Entrada de Energia</t>
  </si>
  <si>
    <t xml:space="preserve">08.001.001.001 </t>
  </si>
  <si>
    <t>Entrada de energia</t>
  </si>
  <si>
    <t xml:space="preserve">08.001.002 </t>
  </si>
  <si>
    <t xml:space="preserve">08.001.003 </t>
  </si>
  <si>
    <t>Grupo gerador</t>
  </si>
  <si>
    <t xml:space="preserve">08.001.004 </t>
  </si>
  <si>
    <t>Quadros elétricos e disjuntores</t>
  </si>
  <si>
    <t xml:space="preserve">08.001.004.001 </t>
  </si>
  <si>
    <t xml:space="preserve">08.001.005 </t>
  </si>
  <si>
    <t>Eletrodutos e eletrocalhas</t>
  </si>
  <si>
    <t xml:space="preserve">08.001.005.001 </t>
  </si>
  <si>
    <t xml:space="preserve">08.001.006 </t>
  </si>
  <si>
    <t>Fios e cabos elétricos</t>
  </si>
  <si>
    <t xml:space="preserve">08.001.006.001 </t>
  </si>
  <si>
    <t xml:space="preserve">08.001.007 </t>
  </si>
  <si>
    <t>Pontos de tomadas e interruptores</t>
  </si>
  <si>
    <t xml:space="preserve">08.001.007.001 </t>
  </si>
  <si>
    <t xml:space="preserve">08.001.008 </t>
  </si>
  <si>
    <t xml:space="preserve">Luminárias, lâmpadas e acessórios </t>
  </si>
  <si>
    <t xml:space="preserve">08.001.008.001 </t>
  </si>
  <si>
    <t>Luminárias, lâmpadas e acessórios</t>
  </si>
  <si>
    <t>Mão de obra elétrica</t>
  </si>
  <si>
    <t xml:space="preserve">09 </t>
  </si>
  <si>
    <t xml:space="preserve">09.001 </t>
  </si>
  <si>
    <t xml:space="preserve">09.001.001 </t>
  </si>
  <si>
    <t xml:space="preserve">09.001.001.001 </t>
  </si>
  <si>
    <t xml:space="preserve">09.001.002 </t>
  </si>
  <si>
    <t xml:space="preserve">09.001.002.001 </t>
  </si>
  <si>
    <t xml:space="preserve">09.001.003 </t>
  </si>
  <si>
    <t>Instalações de proteção e aterramento -SPDA</t>
  </si>
  <si>
    <t xml:space="preserve">09.001.003.001 </t>
  </si>
  <si>
    <t xml:space="preserve">09.001.004 </t>
  </si>
  <si>
    <t xml:space="preserve">09.001.004.001 </t>
  </si>
  <si>
    <t xml:space="preserve">10 </t>
  </si>
  <si>
    <t xml:space="preserve">10.001 </t>
  </si>
  <si>
    <t xml:space="preserve">10.001.001 </t>
  </si>
  <si>
    <t xml:space="preserve">10.001.002 </t>
  </si>
  <si>
    <t xml:space="preserve">11 </t>
  </si>
  <si>
    <t>INSTALAÇÕES DE COMUNICAÇÕES</t>
  </si>
  <si>
    <t xml:space="preserve">11.001 </t>
  </si>
  <si>
    <t xml:space="preserve">11.001.001 </t>
  </si>
  <si>
    <t>Sistema de interfone / controle de acesso</t>
  </si>
  <si>
    <t xml:space="preserve">11.001.001.001 </t>
  </si>
  <si>
    <t xml:space="preserve">11.001.002 </t>
  </si>
  <si>
    <t xml:space="preserve">11.001.002.001 </t>
  </si>
  <si>
    <t>Telefonia/lógica/internet</t>
  </si>
  <si>
    <t xml:space="preserve">11.002 </t>
  </si>
  <si>
    <t xml:space="preserve">11.002.001 </t>
  </si>
  <si>
    <t xml:space="preserve">11.002.001.001 </t>
  </si>
  <si>
    <t xml:space="preserve">12 </t>
  </si>
  <si>
    <t xml:space="preserve">12.001 </t>
  </si>
  <si>
    <t xml:space="preserve">12.001.001 </t>
  </si>
  <si>
    <t>Equipamentos de piscina</t>
  </si>
  <si>
    <t xml:space="preserve">12.001.001.001 </t>
  </si>
  <si>
    <t>Elevadores</t>
  </si>
  <si>
    <t>Elevador</t>
  </si>
  <si>
    <t xml:space="preserve">13 </t>
  </si>
  <si>
    <t>CLIMATIZAÇÃO, EXAUSTÃO MECÂNICA E PRESSURIZAÇÃO</t>
  </si>
  <si>
    <t xml:space="preserve">13.001 </t>
  </si>
  <si>
    <t xml:space="preserve">13.001.001 </t>
  </si>
  <si>
    <t>Climatização</t>
  </si>
  <si>
    <t xml:space="preserve">13.001.001.001 </t>
  </si>
  <si>
    <t>Infraestrutura de Ar Condicionado</t>
  </si>
  <si>
    <t xml:space="preserve">13.001.002 </t>
  </si>
  <si>
    <t>Exaustão mecânica</t>
  </si>
  <si>
    <t xml:space="preserve">13.001.002.001 </t>
  </si>
  <si>
    <t xml:space="preserve">13.001.003 </t>
  </si>
  <si>
    <t>Exaustão de churrasqueiras</t>
  </si>
  <si>
    <t xml:space="preserve">13.001.003.001 </t>
  </si>
  <si>
    <t xml:space="preserve">13.001.004 </t>
  </si>
  <si>
    <t xml:space="preserve">14 </t>
  </si>
  <si>
    <t>REVESTIMENTOS INTERNOS DE PAREDE</t>
  </si>
  <si>
    <t xml:space="preserve">14.001 </t>
  </si>
  <si>
    <t xml:space="preserve">14.001.001 </t>
  </si>
  <si>
    <t>Reboco interno</t>
  </si>
  <si>
    <t xml:space="preserve">14.001.001.001 </t>
  </si>
  <si>
    <t>Chapisco interno de argamassa preparada em obra de cimento e areia - traço 1:4 - aplicação em paredes internas</t>
  </si>
  <si>
    <t xml:space="preserve">14.001.001.002 </t>
  </si>
  <si>
    <t>Chapisco rolado aplicado em estruturas de concreto - aplicação em paredes internas</t>
  </si>
  <si>
    <t xml:space="preserve">14.001.001.003 </t>
  </si>
  <si>
    <t>Massa unica para reboco interno em argamassa estabilizada - espessura de 20mm - com execução de taliscas</t>
  </si>
  <si>
    <t>Estucamento de estrutura de concreto</t>
  </si>
  <si>
    <t xml:space="preserve">14.001.002 </t>
  </si>
  <si>
    <t>Acabamentos cerâmicos</t>
  </si>
  <si>
    <t xml:space="preserve">14.001.002.001 </t>
  </si>
  <si>
    <t>Revestimento cerâmico em parede</t>
  </si>
  <si>
    <t xml:space="preserve">14.001.002.002 </t>
  </si>
  <si>
    <t>Pastilhas Parede - Piscinas</t>
  </si>
  <si>
    <t xml:space="preserve">14.001.003 </t>
  </si>
  <si>
    <t>Acabamentos especiais</t>
  </si>
  <si>
    <t xml:space="preserve">14.001.003.001 </t>
  </si>
  <si>
    <t>Moldura de acabamento de elevadores em granito - espessura 2cm</t>
  </si>
  <si>
    <t xml:space="preserve">14.001.004 </t>
  </si>
  <si>
    <t>Peitoris</t>
  </si>
  <si>
    <t xml:space="preserve">14.001.004.001 </t>
  </si>
  <si>
    <t>Peitoril em granito</t>
  </si>
  <si>
    <t>Mão de obra para colocação de peitoril / moldura elevador</t>
  </si>
  <si>
    <t>Mão de obra para reboco interno - incluindo chapisco</t>
  </si>
  <si>
    <t xml:space="preserve">15 </t>
  </si>
  <si>
    <t xml:space="preserve">15.001 </t>
  </si>
  <si>
    <t xml:space="preserve">15.001.001 </t>
  </si>
  <si>
    <t>Revestimento interno argamassado em teto</t>
  </si>
  <si>
    <t xml:space="preserve">15.001.001.001 </t>
  </si>
  <si>
    <t xml:space="preserve">Estucamento de estrutura de concreto em teto </t>
  </si>
  <si>
    <t xml:space="preserve">15.001.001.002 </t>
  </si>
  <si>
    <t xml:space="preserve">Chapisco rolado aplicado em teto </t>
  </si>
  <si>
    <t>Massa unica para reboco de teto em argamassa estabilizada - espessura de 20mm - com execucao de taliscas</t>
  </si>
  <si>
    <t xml:space="preserve">15.001.002 </t>
  </si>
  <si>
    <t>Acabamento de gesso em teto</t>
  </si>
  <si>
    <t xml:space="preserve">15.001.002.001 </t>
  </si>
  <si>
    <t>Forro gesso em placa gesso mineral (mat+mo)</t>
  </si>
  <si>
    <t xml:space="preserve">15.001.003 </t>
  </si>
  <si>
    <t xml:space="preserve">15.001.003.001 </t>
  </si>
  <si>
    <t>Forro PVC - tipo amadeirado (mat+mo)</t>
  </si>
  <si>
    <t>Forro colmeia (mat+mo)</t>
  </si>
  <si>
    <t xml:space="preserve">15.001.004 </t>
  </si>
  <si>
    <t xml:space="preserve">15.001.004.001 </t>
  </si>
  <si>
    <t>Mão de obra para reboco interno em teto - incluindo chapisco</t>
  </si>
  <si>
    <t xml:space="preserve">15.001.004.002 </t>
  </si>
  <si>
    <t>Mão de obra para estucamento de estrutura de concreto</t>
  </si>
  <si>
    <t xml:space="preserve">16 </t>
  </si>
  <si>
    <t>PISOS E PAVIMENTAÇÕES</t>
  </si>
  <si>
    <t xml:space="preserve">16.001 </t>
  </si>
  <si>
    <t xml:space="preserve">16.001.001 </t>
  </si>
  <si>
    <t>Contrapiso</t>
  </si>
  <si>
    <t xml:space="preserve">16.001.001.001 </t>
  </si>
  <si>
    <t>Contrapiso comum em argamassa estabilizada - não aderido - espessura 5cm</t>
  </si>
  <si>
    <t xml:space="preserve">16.001.002 </t>
  </si>
  <si>
    <t>Isolamento acústico</t>
  </si>
  <si>
    <t xml:space="preserve">16.001.002.001 </t>
  </si>
  <si>
    <t>Manta acustica</t>
  </si>
  <si>
    <t xml:space="preserve">16.001.003 </t>
  </si>
  <si>
    <t>Acabamentos cimentados em piso</t>
  </si>
  <si>
    <t xml:space="preserve">16.001.003.001 </t>
  </si>
  <si>
    <t>Estucamento</t>
  </si>
  <si>
    <t xml:space="preserve">16.001.004 </t>
  </si>
  <si>
    <t>Acabamentos cerâmicos em piso</t>
  </si>
  <si>
    <t xml:space="preserve">16.001.004.001 </t>
  </si>
  <si>
    <t xml:space="preserve">16.001.004.002 </t>
  </si>
  <si>
    <t>Revestimento interno de piso cerâmico</t>
  </si>
  <si>
    <t xml:space="preserve">16.001.004.003 </t>
  </si>
  <si>
    <t>Piso Pastilhado</t>
  </si>
  <si>
    <t>Acabamentos em pedra</t>
  </si>
  <si>
    <t>Revestimento de granito em piso do elevador</t>
  </si>
  <si>
    <t>Piso vinílico</t>
  </si>
  <si>
    <t>Deck de madeira</t>
  </si>
  <si>
    <t>Piso emborrachado</t>
  </si>
  <si>
    <t>Rodapés</t>
  </si>
  <si>
    <t>Rodapé cerâmico</t>
  </si>
  <si>
    <t>Rodapé em porcelanato</t>
  </si>
  <si>
    <t>Rodapé poliestireno</t>
  </si>
  <si>
    <t>Soleiras</t>
  </si>
  <si>
    <t>Soleira em pedra natural</t>
  </si>
  <si>
    <t>Mão de obra contrapiso comum em argamassa estabilizada</t>
  </si>
  <si>
    <t>Mão de obra de revestimento de piso</t>
  </si>
  <si>
    <t>Mão de obra de demarcação de vaga com revestimento cerâmico</t>
  </si>
  <si>
    <t>Mão de obra de revestimento de pastilha</t>
  </si>
  <si>
    <t xml:space="preserve">Mão de obra de revestimento de piso vinílico </t>
  </si>
  <si>
    <t>Mão de obra de revestimento de piso granito</t>
  </si>
  <si>
    <t>Mão de obra de revestimento de deck madeira</t>
  </si>
  <si>
    <t>Mão de obra para colocação de piso emborrachado</t>
  </si>
  <si>
    <t>Mão de obra de rodapé cerâmico/porcelanato</t>
  </si>
  <si>
    <t>Mão de obra de rodapé poliestireno</t>
  </si>
  <si>
    <t>Mão de obra de soleira</t>
  </si>
  <si>
    <t xml:space="preserve">17 </t>
  </si>
  <si>
    <t>SISTEMAS DE PINTURA INTERNA</t>
  </si>
  <si>
    <t xml:space="preserve">17.001 </t>
  </si>
  <si>
    <t xml:space="preserve">17.001.001 </t>
  </si>
  <si>
    <t>Sistema de pintura em piso</t>
  </si>
  <si>
    <t xml:space="preserve">17.001.001.001 </t>
  </si>
  <si>
    <t>Pintura resina acrílica - 2 demãos</t>
  </si>
  <si>
    <t xml:space="preserve">17.001.002 </t>
  </si>
  <si>
    <t>Sistema de pintura em parede</t>
  </si>
  <si>
    <t xml:space="preserve">17.001.002.001 </t>
  </si>
  <si>
    <t>Fundo selador látex PVA em paredes internas - 1 demão</t>
  </si>
  <si>
    <t xml:space="preserve">17.001.002.002 </t>
  </si>
  <si>
    <t>Pintura com tinta látex acrílica - acabamento fosco em paredes - 3 demãos</t>
  </si>
  <si>
    <t>Textura acrílica aplicação em paredes internas - 1 demão</t>
  </si>
  <si>
    <t>Pintura de Faixas de Garagem Parede - 2 demãos</t>
  </si>
  <si>
    <t xml:space="preserve">17.001.003 </t>
  </si>
  <si>
    <t>Sistema de pintura em teto</t>
  </si>
  <si>
    <t xml:space="preserve">17.001.003.001 </t>
  </si>
  <si>
    <t>Fundo selador látex PVA em teto - 1 demão</t>
  </si>
  <si>
    <t>Aplicação de lixamento de massa látex PVA em teto - 2 demãos</t>
  </si>
  <si>
    <t>Pintura com tinta látex acrílica - acabamento fosco em teto - 3 demãos</t>
  </si>
  <si>
    <t xml:space="preserve">17.001.004 </t>
  </si>
  <si>
    <t xml:space="preserve">17.001.005 </t>
  </si>
  <si>
    <t xml:space="preserve">17.001.005.001 </t>
  </si>
  <si>
    <t xml:space="preserve">Mão de obra para pintura acrílica em paredes - 3 demãos </t>
  </si>
  <si>
    <t>Mão de obra para aplicação de textura acrílica em paredes internas - 1 demão</t>
  </si>
  <si>
    <t>Mão de obra para pintura acrílica em teto - 3 demãos</t>
  </si>
  <si>
    <t>Mão de obra para aplicação de resina em piso</t>
  </si>
  <si>
    <t xml:space="preserve">18 </t>
  </si>
  <si>
    <t xml:space="preserve">18.001 </t>
  </si>
  <si>
    <t>ESQUADRIAS DE ALUMÍNIO</t>
  </si>
  <si>
    <t xml:space="preserve">18.001.001 </t>
  </si>
  <si>
    <t>Contramarco</t>
  </si>
  <si>
    <t xml:space="preserve">18.001.001.001 </t>
  </si>
  <si>
    <t xml:space="preserve">18.001.002 </t>
  </si>
  <si>
    <t>Esquadrias de alumínio</t>
  </si>
  <si>
    <t xml:space="preserve">18.001.002.001 </t>
  </si>
  <si>
    <t>Esquadrias de Alumínio - fornecimento e instalação</t>
  </si>
  <si>
    <t>Moldura de churrasqueiras</t>
  </si>
  <si>
    <t xml:space="preserve">18.001.003 </t>
  </si>
  <si>
    <t>Guarda corpo</t>
  </si>
  <si>
    <t xml:space="preserve">18.001.003.001 </t>
  </si>
  <si>
    <t>Guarda Corpo de vidro e aço inox</t>
  </si>
  <si>
    <t xml:space="preserve">18.001.004 </t>
  </si>
  <si>
    <t>Pele de vidro</t>
  </si>
  <si>
    <t>Mao de obra para fixação de contramarco</t>
  </si>
  <si>
    <t>ESQUADRIAS DE MADEIRA</t>
  </si>
  <si>
    <t>Esquadrias de madeira</t>
  </si>
  <si>
    <t xml:space="preserve">Corrimão de madeira </t>
  </si>
  <si>
    <t>Corrimão de escadas de madeira</t>
  </si>
  <si>
    <t>Mão de obra para instalação de portas de madeira</t>
  </si>
  <si>
    <t>ESQUADRIAS METÁLICAS</t>
  </si>
  <si>
    <t>Esquadrias metálicas</t>
  </si>
  <si>
    <t>Serralheria</t>
  </si>
  <si>
    <t>Escada Marinheiro</t>
  </si>
  <si>
    <t xml:space="preserve">Alçapão de Ferro </t>
  </si>
  <si>
    <t xml:space="preserve">19 </t>
  </si>
  <si>
    <t>LOUÇAS E METAIS</t>
  </si>
  <si>
    <t xml:space="preserve">19.001 </t>
  </si>
  <si>
    <t xml:space="preserve">19.001.001 </t>
  </si>
  <si>
    <t>Louças</t>
  </si>
  <si>
    <t xml:space="preserve">19.001.001.001 </t>
  </si>
  <si>
    <t>Louças sanitárias</t>
  </si>
  <si>
    <t>Metais e acessórios</t>
  </si>
  <si>
    <t>Acabamentos e acessórios</t>
  </si>
  <si>
    <t>Bancadas, pias e divisórias</t>
  </si>
  <si>
    <t xml:space="preserve">Tampo de Granito </t>
  </si>
  <si>
    <t>Instalação de louças e metais sanitários</t>
  </si>
  <si>
    <t xml:space="preserve">20 </t>
  </si>
  <si>
    <t xml:space="preserve">20.001 </t>
  </si>
  <si>
    <t xml:space="preserve">20.001.001 </t>
  </si>
  <si>
    <t xml:space="preserve">20.001.001.001 </t>
  </si>
  <si>
    <t xml:space="preserve">21 </t>
  </si>
  <si>
    <t>REVESTIMENTOS E ACABAMENTOS EM FACHADA</t>
  </si>
  <si>
    <t xml:space="preserve">21.001 </t>
  </si>
  <si>
    <t xml:space="preserve">21.001.001 </t>
  </si>
  <si>
    <t>Revestimento argamassado em fachada</t>
  </si>
  <si>
    <t xml:space="preserve">21.001.001.001 </t>
  </si>
  <si>
    <t xml:space="preserve">21.001.001.002 </t>
  </si>
  <si>
    <t>Chapisco rolado aplicado em estruturas de concreto - aplicação em paredes externas</t>
  </si>
  <si>
    <t xml:space="preserve">21.001.001.003 </t>
  </si>
  <si>
    <t>Massa única para reboco externo em argamassa estabilizada - espessura 35mm</t>
  </si>
  <si>
    <t xml:space="preserve">21.001.002 </t>
  </si>
  <si>
    <t>Pintura e textura em fachada</t>
  </si>
  <si>
    <t xml:space="preserve">21.001.002.001 </t>
  </si>
  <si>
    <t>Fundo selador látex acrílico em paredes externas - 1 demão</t>
  </si>
  <si>
    <t>Pintura com tinta externa - 2 demãos - Branca</t>
  </si>
  <si>
    <t>Pintura com tinta externa - 2 demãos - Cinza escuro</t>
  </si>
  <si>
    <t>Textura acrílica aplicação em paredes externas - 1 demão</t>
  </si>
  <si>
    <t xml:space="preserve">21.001.003 </t>
  </si>
  <si>
    <t>Acabamentos especiais em fachada</t>
  </si>
  <si>
    <t xml:space="preserve">21.001.003.001 </t>
  </si>
  <si>
    <t>Revestimento de concreto aparente</t>
  </si>
  <si>
    <t>Revestimento de pedra natural</t>
  </si>
  <si>
    <t xml:space="preserve">21.001.004 </t>
  </si>
  <si>
    <t>Tratamentos de fachada</t>
  </si>
  <si>
    <t xml:space="preserve">21.001.004.001 </t>
  </si>
  <si>
    <t>Tela soldada para ligação alvenaria/estrutura em chapisco externo</t>
  </si>
  <si>
    <t xml:space="preserve">21.001.005 </t>
  </si>
  <si>
    <t xml:space="preserve">21.001.005.001 </t>
  </si>
  <si>
    <t>Mao de obra para reboco externo - inclui chapisco</t>
  </si>
  <si>
    <t>Mão de obra para aplicação de pintura em paredes externas - 2 demão</t>
  </si>
  <si>
    <t>Mão de obra para aplicação de textura em paredes externas - 1 demão</t>
  </si>
  <si>
    <t xml:space="preserve">22 </t>
  </si>
  <si>
    <t>SERVIÇOS COMPLEMENTARES E FINAIS</t>
  </si>
  <si>
    <t xml:space="preserve">22.001 </t>
  </si>
  <si>
    <t>SERVIÇOS COMPLEMENTARES EXTERNOS</t>
  </si>
  <si>
    <t xml:space="preserve">22.001.001 </t>
  </si>
  <si>
    <t>Calçadas e Passeios</t>
  </si>
  <si>
    <t xml:space="preserve">22.001.001.001 </t>
  </si>
  <si>
    <t>Reforço de rede elétrica</t>
  </si>
  <si>
    <t>Mobiliário e decoração</t>
  </si>
  <si>
    <t xml:space="preserve">Mobiliário e decoração </t>
  </si>
  <si>
    <t>Paisagismo</t>
  </si>
  <si>
    <t xml:space="preserve">Paisagismo </t>
  </si>
  <si>
    <t>Serviços Finais</t>
  </si>
  <si>
    <t>Limpeza final</t>
  </si>
  <si>
    <t>Desmobilização</t>
  </si>
  <si>
    <t>Ligações definitivas</t>
  </si>
  <si>
    <t xml:space="preserve">IMPREVISTOS E CONTINGÊNCIAS </t>
  </si>
  <si>
    <t>Imprevistos e contingências</t>
  </si>
  <si>
    <t>3 - GERENCIAMENTE TÉCNICO E ADMINISTRATIVO</t>
  </si>
  <si>
    <t>SERVIÇOS TÉCNICOS</t>
  </si>
  <si>
    <t>ESTUDOS, PROJETOS E CONSULTORIAS</t>
  </si>
  <si>
    <t>Estudos</t>
  </si>
  <si>
    <t>Estudo ambiental</t>
  </si>
  <si>
    <t xml:space="preserve">01.001.001.002 </t>
  </si>
  <si>
    <t>Levantamento Topográfico</t>
  </si>
  <si>
    <t xml:space="preserve">01.001.001.003 </t>
  </si>
  <si>
    <t>Estudo geológico</t>
  </si>
  <si>
    <t xml:space="preserve">01.001.001.004 </t>
  </si>
  <si>
    <t>Sondagem de Percussão</t>
  </si>
  <si>
    <t>Projetos</t>
  </si>
  <si>
    <t>Legalização de incorporação</t>
  </si>
  <si>
    <t>Projeto Arquitetônico</t>
  </si>
  <si>
    <t xml:space="preserve">01.001.002.003 </t>
  </si>
  <si>
    <t>Projeto de interiores</t>
  </si>
  <si>
    <t xml:space="preserve">01.001.002.004 </t>
  </si>
  <si>
    <t>Projeto Estrutural</t>
  </si>
  <si>
    <t xml:space="preserve">01.001.002.005 </t>
  </si>
  <si>
    <t>Projeto Fundações</t>
  </si>
  <si>
    <t xml:space="preserve">01.001.002.006 </t>
  </si>
  <si>
    <t>Projeto Elétrico</t>
  </si>
  <si>
    <t xml:space="preserve">01.001.002.007 </t>
  </si>
  <si>
    <t xml:space="preserve"> Projeto hidrossanitário</t>
  </si>
  <si>
    <t xml:space="preserve">01.001.002.008 </t>
  </si>
  <si>
    <t>Projeto preventivo</t>
  </si>
  <si>
    <t xml:space="preserve">01.001.002.009 </t>
  </si>
  <si>
    <t>Projeto de climatização</t>
  </si>
  <si>
    <t>mes</t>
  </si>
  <si>
    <t>Consultorias</t>
  </si>
  <si>
    <t>Vistoria a Vizinhos e Outros</t>
  </si>
  <si>
    <t xml:space="preserve">01.001.003.002 </t>
  </si>
  <si>
    <t>Orçamento e Planejamento</t>
  </si>
  <si>
    <t xml:space="preserve">01.001.004 </t>
  </si>
  <si>
    <t>Ensaios</t>
  </si>
  <si>
    <t xml:space="preserve">01.001.004.001 </t>
  </si>
  <si>
    <t>Controle Tecnologico de Concreto</t>
  </si>
  <si>
    <t xml:space="preserve">01.002 </t>
  </si>
  <si>
    <t xml:space="preserve">CONSUMOS, TAXAS E DOCUMENTOS </t>
  </si>
  <si>
    <t xml:space="preserve">01.002.001 </t>
  </si>
  <si>
    <t xml:space="preserve">Licenciamentos, Taxas, Impostos, Aprovações e Seguros </t>
  </si>
  <si>
    <t xml:space="preserve">01.002.001.001 </t>
  </si>
  <si>
    <t>Iptu</t>
  </si>
  <si>
    <t xml:space="preserve">01.002.001.002 </t>
  </si>
  <si>
    <t>Incorporação</t>
  </si>
  <si>
    <t xml:space="preserve">01.002.001.003 </t>
  </si>
  <si>
    <t>Taxa Habite-se</t>
  </si>
  <si>
    <t xml:space="preserve">01.002.001.004 </t>
  </si>
  <si>
    <t>Taxas ART</t>
  </si>
  <si>
    <t xml:space="preserve">01.002.001.005 </t>
  </si>
  <si>
    <t>Alvará Construção</t>
  </si>
  <si>
    <t xml:space="preserve">01.002.001.006 </t>
  </si>
  <si>
    <t>Aprovação e legalização ambiental</t>
  </si>
  <si>
    <t xml:space="preserve">01.002.001.007 </t>
  </si>
  <si>
    <t>Aprovação e legalização prefeitura</t>
  </si>
  <si>
    <t xml:space="preserve">01.002.001.008 </t>
  </si>
  <si>
    <t>Aprovação e legalização bombeiros</t>
  </si>
  <si>
    <t xml:space="preserve">01.002.001.009 </t>
  </si>
  <si>
    <t>Despesas de Seguros</t>
  </si>
  <si>
    <t xml:space="preserve">01.002.001.010 </t>
  </si>
  <si>
    <t>Despesas de cartório, licenças, certidões e juridicas</t>
  </si>
  <si>
    <t xml:space="preserve">01.002.001.011 </t>
  </si>
  <si>
    <t>Aprovação e legalização elétrico</t>
  </si>
  <si>
    <t xml:space="preserve">01.002.001.012 </t>
  </si>
  <si>
    <t>Despesas com o vizinho</t>
  </si>
  <si>
    <t xml:space="preserve">01.002.002 </t>
  </si>
  <si>
    <t>Documentos</t>
  </si>
  <si>
    <t xml:space="preserve">01.002.002.001 </t>
  </si>
  <si>
    <t>Manuais técnicos de condomínios/proprietários</t>
  </si>
  <si>
    <t>SERVIÇOS INICIAIS</t>
  </si>
  <si>
    <t>SEGURANÇA, MEIO AMBIENTE, SAÚDE</t>
  </si>
  <si>
    <t>Equipamentos de proteção</t>
  </si>
  <si>
    <t>Bandeja primária - 1 montagens</t>
  </si>
  <si>
    <t>Bandeja secundária - 2 montagens</t>
  </si>
  <si>
    <t>Guarda-corpo vãos tela prolipopileno</t>
  </si>
  <si>
    <t>Guarda-corpo pós desforma pontalete e tela</t>
  </si>
  <si>
    <t>Fechamento removível de vãos de porta elevador em madeira</t>
  </si>
  <si>
    <t>Linha de vida- cabo de aço junto ao piso</t>
  </si>
  <si>
    <t xml:space="preserve"> Instalações Provisórias (central de aço, formas, argamassa, almoxarifado geral, construções temporárias)</t>
  </si>
  <si>
    <t>Rede de proteção, SLQA, Intermediário</t>
  </si>
  <si>
    <t>Tela fachadeira mosqueteiro reforçada simples</t>
  </si>
  <si>
    <t>Serviço segurança do trabalho  terceirizado</t>
  </si>
  <si>
    <t xml:space="preserve">EPI seguindo projeto de segurança   </t>
  </si>
  <si>
    <t>Meio ambiente</t>
  </si>
  <si>
    <t>Elaboração PCMAT</t>
  </si>
  <si>
    <t>Saúde ocupacional</t>
  </si>
  <si>
    <t>Kit socorrista</t>
  </si>
  <si>
    <t xml:space="preserve">02.002 </t>
  </si>
  <si>
    <t>ADMINISTRAÇÃO E CANTEIRO DE OBRA</t>
  </si>
  <si>
    <t xml:space="preserve">02.002.001 </t>
  </si>
  <si>
    <t>Equipe de Gestão e Apoio</t>
  </si>
  <si>
    <t xml:space="preserve">02.002.001.001 </t>
  </si>
  <si>
    <t>Engenheiro</t>
  </si>
  <si>
    <t xml:space="preserve">02.002.001.002 </t>
  </si>
  <si>
    <t>Mestre</t>
  </si>
  <si>
    <t xml:space="preserve">02.002.001.003 </t>
  </si>
  <si>
    <t>Corretor</t>
  </si>
  <si>
    <t xml:space="preserve">02.002.001.004 </t>
  </si>
  <si>
    <t>Vigia</t>
  </si>
  <si>
    <t xml:space="preserve">02.002.002 </t>
  </si>
  <si>
    <t>Operação inicial de canteiro</t>
  </si>
  <si>
    <t xml:space="preserve">02.002.002.001 </t>
  </si>
  <si>
    <t>Sinalização de obra</t>
  </si>
  <si>
    <t xml:space="preserve">02.002.003 </t>
  </si>
  <si>
    <t>Despesas de consumo e manutenção</t>
  </si>
  <si>
    <t xml:space="preserve">02.002.003.001 </t>
  </si>
  <si>
    <t>Consumo de Água</t>
  </si>
  <si>
    <t xml:space="preserve">02.002.003.002 </t>
  </si>
  <si>
    <t>Consumo de Energia</t>
  </si>
  <si>
    <t xml:space="preserve">02.002.003.003 </t>
  </si>
  <si>
    <t>Consumo de Internet</t>
  </si>
  <si>
    <t xml:space="preserve">02.002.003.004 </t>
  </si>
  <si>
    <t>Coleta de lixo</t>
  </si>
  <si>
    <t xml:space="preserve">02.002.003.005 </t>
  </si>
  <si>
    <t>Material de expediente/escritório</t>
  </si>
  <si>
    <t xml:space="preserve">02.002.003.006 </t>
  </si>
  <si>
    <t>Material de Limpeza</t>
  </si>
  <si>
    <t xml:space="preserve">02.002.003.007 </t>
  </si>
  <si>
    <t>Manutenção provisória de canteiro</t>
  </si>
  <si>
    <t xml:space="preserve">02.002.003.008 </t>
  </si>
  <si>
    <t>Manutenção provisória elétrica</t>
  </si>
  <si>
    <t xml:space="preserve">02.002.003.009 </t>
  </si>
  <si>
    <t>Manutenção provisória hidrossanitária</t>
  </si>
  <si>
    <t xml:space="preserve">02.002.003.010 </t>
  </si>
  <si>
    <t>Manutenção provisória vigilância e acesso</t>
  </si>
  <si>
    <t xml:space="preserve">02.002.003.011 </t>
  </si>
  <si>
    <t>Equipamentos de escritório</t>
  </si>
  <si>
    <t xml:space="preserve">02.002.003.012 </t>
  </si>
  <si>
    <t>Fotocópias e Heliográficas</t>
  </si>
  <si>
    <t xml:space="preserve">02.002.004 </t>
  </si>
  <si>
    <t>Instalações provisórias</t>
  </si>
  <si>
    <t xml:space="preserve">02.002.004.001 </t>
  </si>
  <si>
    <t>Locação de conteiner</t>
  </si>
  <si>
    <t xml:space="preserve">02.002.004.002 </t>
  </si>
  <si>
    <t>Locação de banheiro quimico</t>
  </si>
  <si>
    <t xml:space="preserve">02.002.004.003 </t>
  </si>
  <si>
    <t>Mobiliário de apoio a obra</t>
  </si>
  <si>
    <t xml:space="preserve">02.002.004.004 </t>
  </si>
  <si>
    <t>Divisória em madeira compensada simples</t>
  </si>
  <si>
    <t xml:space="preserve">02.002.004.005 </t>
  </si>
  <si>
    <t>Tapume Compensado Resinado 6 mm - com plotagem</t>
  </si>
  <si>
    <t xml:space="preserve">02.002.005 </t>
  </si>
  <si>
    <t>Ligações Provisórias</t>
  </si>
  <si>
    <t xml:space="preserve">02.002.005.001 </t>
  </si>
  <si>
    <t>Rede provisória - agua fria, esgoto e drenagem</t>
  </si>
  <si>
    <t xml:space="preserve">02.002.005.002 </t>
  </si>
  <si>
    <t>Rede provisória - elétrica, comunicação e dados</t>
  </si>
  <si>
    <t xml:space="preserve">02.003 </t>
  </si>
  <si>
    <t>SERVIÇOS PRELIMINARES</t>
  </si>
  <si>
    <t xml:space="preserve">02.003.001 </t>
  </si>
  <si>
    <t>Limpeza de terreno</t>
  </si>
  <si>
    <t xml:space="preserve">02.003.001.001 </t>
  </si>
  <si>
    <t>Remoção de entulhos e resíduos</t>
  </si>
  <si>
    <t xml:space="preserve">02.003.001.002 </t>
  </si>
  <si>
    <t>Limpeza manual de obra - camada vegetal</t>
  </si>
  <si>
    <t>EQUIPAMENTOS</t>
  </si>
  <si>
    <t>Equipamentos de Carga e Transporte</t>
  </si>
  <si>
    <t>Aquisição de carro de cargas ou pessoas</t>
  </si>
  <si>
    <t>Equipamentos de obra</t>
  </si>
  <si>
    <t>Locação de elevador cremalheira</t>
  </si>
  <si>
    <t>Manutenção periódica de elevador cremalheira</t>
  </si>
  <si>
    <t>Manutenção inicial de elevador cremalheira</t>
  </si>
  <si>
    <t xml:space="preserve">03.001.002.004 </t>
  </si>
  <si>
    <t>Locação de mini grua</t>
  </si>
  <si>
    <t xml:space="preserve">03.001.002.005 </t>
  </si>
  <si>
    <t>Manutenção periódica de mini grua</t>
  </si>
  <si>
    <t xml:space="preserve">03.001.002.006 </t>
  </si>
  <si>
    <t>Manutenção inicial de mini grua</t>
  </si>
  <si>
    <t xml:space="preserve">03.001.002.007 </t>
  </si>
  <si>
    <t>Ferramentas</t>
  </si>
  <si>
    <t>Balancins e Andaimes</t>
  </si>
  <si>
    <t>Locação de andaime tubular tipo torre</t>
  </si>
  <si>
    <t xml:space="preserve">03.001.003.002 </t>
  </si>
  <si>
    <t xml:space="preserve">03.001.003.003 </t>
  </si>
  <si>
    <t>Locação de balancim motorizado</t>
  </si>
  <si>
    <t>Montagem e desmontagem de balancim motorizado</t>
  </si>
  <si>
    <t>Total da obra</t>
  </si>
  <si>
    <t>SIENGE / SOFTPLAN</t>
  </si>
  <si>
    <t>DIFERENÇA</t>
  </si>
  <si>
    <t>JUSTIFICATIVA</t>
  </si>
  <si>
    <t>EXECUTIVO</t>
  </si>
  <si>
    <t>Rótulos de Linha</t>
  </si>
  <si>
    <t>Total Geral</t>
  </si>
  <si>
    <t>Soma de %2</t>
  </si>
  <si>
    <t>ATALAIA - PARAMÉTRICO</t>
  </si>
  <si>
    <t>ATALAIA - EXECUTIVO</t>
  </si>
  <si>
    <t xml:space="preserve">	CONTENÇÃO</t>
  </si>
  <si>
    <t xml:space="preserve">08.001.003.001 </t>
  </si>
  <si>
    <t xml:space="preserve">13.001.001.002 </t>
  </si>
  <si>
    <t xml:space="preserve">Equipamento de ar-condicionado </t>
  </si>
  <si>
    <t xml:space="preserve">13.001.002.002 </t>
  </si>
  <si>
    <t>Ventokit</t>
  </si>
  <si>
    <t>Mão de obra para pintura da faixa de garagem parede</t>
  </si>
  <si>
    <t>Fixação de contramarco com argamassa</t>
  </si>
  <si>
    <t xml:space="preserve">18.001.004.001 </t>
  </si>
  <si>
    <t>Painel de vidro</t>
  </si>
  <si>
    <t>Brise</t>
  </si>
  <si>
    <t>Porta de madeira 60x210cm (kit completo) - fixação com espuma expansiva</t>
  </si>
  <si>
    <t>Porta de madeira 70x210cm (kit completo) - fixação com espuma expansiva</t>
  </si>
  <si>
    <t>Porta de madeira 80x210cm (kit completo) - fixação com espuma expansiva</t>
  </si>
  <si>
    <t>Porta de madeira - 90x210cm (kit completo) - fixação com espuma expansiva</t>
  </si>
  <si>
    <t>Porta de madeira de correr 70x210cm (kit completo)</t>
  </si>
  <si>
    <t>Contramarco de aço galvanizado para portas corta fogo, fixação com argamassa</t>
  </si>
  <si>
    <t>Porta Corta Fogo P80 80X210cm (instalada)</t>
  </si>
  <si>
    <t>Portão basculante de alumínio</t>
  </si>
  <si>
    <t>Bicicletário</t>
  </si>
  <si>
    <t>Claraboia</t>
  </si>
  <si>
    <t>Mão de obra para revestimento de pedra natural</t>
  </si>
  <si>
    <t>Resumo por Células Construtivas</t>
  </si>
  <si>
    <t>% Total</t>
  </si>
  <si>
    <t>Não tem telha</t>
  </si>
  <si>
    <t>Porcelanato garagem + demarcação de vagas com piso cerâmico</t>
  </si>
  <si>
    <t>OBRA SIMILAR - PARAMÉTRICO</t>
  </si>
  <si>
    <t>OK</t>
  </si>
  <si>
    <t>Serviços complementares</t>
  </si>
  <si>
    <t xml:space="preserve">20.001.001.002 </t>
  </si>
  <si>
    <t xml:space="preserve">20.001.001.003 </t>
  </si>
  <si>
    <t>Rufos Metálicos</t>
  </si>
  <si>
    <t>Concregrama (mat+mo)</t>
  </si>
  <si>
    <t>CENTRAL PARK</t>
  </si>
  <si>
    <t>BRAVA - VALLEY</t>
  </si>
  <si>
    <t>PARAMETRICO</t>
  </si>
  <si>
    <t xml:space="preserve">03.001.004 </t>
  </si>
  <si>
    <t xml:space="preserve">03.001.004.001 </t>
  </si>
  <si>
    <t>Mão de obra de apoio e arrasamento de estacas</t>
  </si>
  <si>
    <t>Impermeabilização fundo do elevador</t>
  </si>
  <si>
    <t>Instalações de águas pluviais</t>
  </si>
  <si>
    <t>Instalações de esgoto</t>
  </si>
  <si>
    <t xml:space="preserve">07.001.004.001 </t>
  </si>
  <si>
    <t xml:space="preserve">08.001.002.001 </t>
  </si>
  <si>
    <t>INSTALAÇÕES PREVENTIVAS E GLP</t>
  </si>
  <si>
    <t>Instalações do sistema preventivo</t>
  </si>
  <si>
    <t>Instalações do Sistema Preventivo de Incêndio</t>
  </si>
  <si>
    <t>Instalações de Gás</t>
  </si>
  <si>
    <t>Mão de obra preventivo e glp</t>
  </si>
  <si>
    <t xml:space="preserve">10.001.001.001 </t>
  </si>
  <si>
    <t>Sistema de Interfonia, controle de acesso e CFTV</t>
  </si>
  <si>
    <t xml:space="preserve">10.001.002.001 </t>
  </si>
  <si>
    <t>SISTEMAS ESPECIAIS</t>
  </si>
  <si>
    <t>Infra para carro elétrico</t>
  </si>
  <si>
    <t xml:space="preserve">12.001.001.002 </t>
  </si>
  <si>
    <t xml:space="preserve">12.001.002 </t>
  </si>
  <si>
    <t xml:space="preserve">12.001.002.001 </t>
  </si>
  <si>
    <t xml:space="preserve">12.001.002.002 </t>
  </si>
  <si>
    <t xml:space="preserve">13.001.001.003 </t>
  </si>
  <si>
    <t xml:space="preserve">13.001.001.004 </t>
  </si>
  <si>
    <t xml:space="preserve">13.001.004.001 </t>
  </si>
  <si>
    <t xml:space="preserve">13.001.005 </t>
  </si>
  <si>
    <t xml:space="preserve">13.001.005.001 </t>
  </si>
  <si>
    <t xml:space="preserve">13.001.005.002 </t>
  </si>
  <si>
    <t xml:space="preserve">13.001.005.003 </t>
  </si>
  <si>
    <t xml:space="preserve">13.001.005.004 </t>
  </si>
  <si>
    <t>Gesso negativo - material e mão de obra</t>
  </si>
  <si>
    <t xml:space="preserve">14.001.003.002 </t>
  </si>
  <si>
    <t xml:space="preserve">14.001.004.002 </t>
  </si>
  <si>
    <t>Contrapiso comum em argamassa estabilizada - não aderido - espessura 4cm</t>
  </si>
  <si>
    <t>Revestimento interno de piso porcelanato (apto)</t>
  </si>
  <si>
    <t>Revestimento interno de piso porcelanato (área comum)</t>
  </si>
  <si>
    <t xml:space="preserve">15.001.004.003 </t>
  </si>
  <si>
    <t xml:space="preserve">15.001.004.004 </t>
  </si>
  <si>
    <t xml:space="preserve">15.001.005 </t>
  </si>
  <si>
    <t xml:space="preserve">15.001.005.001 </t>
  </si>
  <si>
    <t xml:space="preserve">15.001.006 </t>
  </si>
  <si>
    <t xml:space="preserve">15.001.006.001 </t>
  </si>
  <si>
    <t xml:space="preserve">15.001.006.002 </t>
  </si>
  <si>
    <t xml:space="preserve">15.001.006.003 </t>
  </si>
  <si>
    <t xml:space="preserve">15.001.007 </t>
  </si>
  <si>
    <t xml:space="preserve">15.001.007.001 </t>
  </si>
  <si>
    <t xml:space="preserve">15.001.007.002 </t>
  </si>
  <si>
    <t xml:space="preserve">15.001.007.003 </t>
  </si>
  <si>
    <t xml:space="preserve">15.001.008 </t>
  </si>
  <si>
    <t xml:space="preserve">15.001.008.001 </t>
  </si>
  <si>
    <t xml:space="preserve">15.001.009 </t>
  </si>
  <si>
    <t xml:space="preserve">15.001.009.001 </t>
  </si>
  <si>
    <t xml:space="preserve">15.001.009.002 </t>
  </si>
  <si>
    <t xml:space="preserve">15.001.009.003 </t>
  </si>
  <si>
    <t xml:space="preserve">15.001.009.004 </t>
  </si>
  <si>
    <t xml:space="preserve">15.001.009.005 </t>
  </si>
  <si>
    <t xml:space="preserve">15.001.009.006 </t>
  </si>
  <si>
    <t xml:space="preserve">15.001.009.007 </t>
  </si>
  <si>
    <t xml:space="preserve">15.001.009.008 </t>
  </si>
  <si>
    <t xml:space="preserve">15.001.009.009 </t>
  </si>
  <si>
    <t xml:space="preserve">15.001.009.010 </t>
  </si>
  <si>
    <t xml:space="preserve">15.001.009.011 </t>
  </si>
  <si>
    <t xml:space="preserve">15.001.009.012 </t>
  </si>
  <si>
    <t xml:space="preserve">16.001.001.002 </t>
  </si>
  <si>
    <t>Pintura de Simbolo PNE (Escada de Emergência)</t>
  </si>
  <si>
    <t xml:space="preserve">16.001.002.002 </t>
  </si>
  <si>
    <t xml:space="preserve">16.001.002.003 </t>
  </si>
  <si>
    <t xml:space="preserve">16.001.002.004 </t>
  </si>
  <si>
    <t xml:space="preserve">16.001.002.005 </t>
  </si>
  <si>
    <t xml:space="preserve">16.001.002.006 </t>
  </si>
  <si>
    <t>Pintura de rodapé nas escadas</t>
  </si>
  <si>
    <t xml:space="preserve">16.001.003.002 </t>
  </si>
  <si>
    <t xml:space="preserve">16.001.003.003 </t>
  </si>
  <si>
    <t>Mão de obra para pintura de rodapé</t>
  </si>
  <si>
    <t xml:space="preserve">17.001.004.001 </t>
  </si>
  <si>
    <t xml:space="preserve">17.001.006 </t>
  </si>
  <si>
    <t xml:space="preserve">17.001.006.001 </t>
  </si>
  <si>
    <t xml:space="preserve">17.002 </t>
  </si>
  <si>
    <t xml:space="preserve">17.002.001 </t>
  </si>
  <si>
    <t xml:space="preserve">17.002.001.001 </t>
  </si>
  <si>
    <t xml:space="preserve">17.002.001.002 </t>
  </si>
  <si>
    <t xml:space="preserve">17.002.001.003 </t>
  </si>
  <si>
    <t xml:space="preserve">17.002.001.004 </t>
  </si>
  <si>
    <t xml:space="preserve">17.002.001.005 </t>
  </si>
  <si>
    <t xml:space="preserve">17.002.002 </t>
  </si>
  <si>
    <t xml:space="preserve">17.002.002.001 </t>
  </si>
  <si>
    <t xml:space="preserve">17.002.003 </t>
  </si>
  <si>
    <t xml:space="preserve">17.002.003.001 </t>
  </si>
  <si>
    <t xml:space="preserve">17.003 </t>
  </si>
  <si>
    <t xml:space="preserve">17.003.001 </t>
  </si>
  <si>
    <t xml:space="preserve">17.003.001.001 </t>
  </si>
  <si>
    <t xml:space="preserve">17.003.002 </t>
  </si>
  <si>
    <t xml:space="preserve">17.003.002.001 </t>
  </si>
  <si>
    <t xml:space="preserve">17.003.002.002 </t>
  </si>
  <si>
    <t xml:space="preserve">17.003.003 </t>
  </si>
  <si>
    <t xml:space="preserve">17.003.003.001 </t>
  </si>
  <si>
    <t xml:space="preserve">17.003.003.002 </t>
  </si>
  <si>
    <t xml:space="preserve">17.003.003.003 </t>
  </si>
  <si>
    <t xml:space="preserve">19.001.001.002 </t>
  </si>
  <si>
    <t>Estucamento de estrutura de concreto em fachada</t>
  </si>
  <si>
    <t>Chapisco de argamassa preparada em obra de cimento e areia - traço 1:4 - aplicação em paredes externas</t>
  </si>
  <si>
    <t xml:space="preserve">20.001.001.004 </t>
  </si>
  <si>
    <t xml:space="preserve">20.001.002 </t>
  </si>
  <si>
    <t xml:space="preserve">20.001.002.001 </t>
  </si>
  <si>
    <t xml:space="preserve">20.001.002.002 </t>
  </si>
  <si>
    <t xml:space="preserve">20.001.002.003 </t>
  </si>
  <si>
    <t xml:space="preserve">20.001.002.004 </t>
  </si>
  <si>
    <t xml:space="preserve">20.001.003 </t>
  </si>
  <si>
    <t xml:space="preserve">20.001.003.001 </t>
  </si>
  <si>
    <t xml:space="preserve">20.001.003.002 </t>
  </si>
  <si>
    <t xml:space="preserve">20.001.004 </t>
  </si>
  <si>
    <t xml:space="preserve">20.001.004.001 </t>
  </si>
  <si>
    <t xml:space="preserve">20.001.005 </t>
  </si>
  <si>
    <t xml:space="preserve">20.001.005.001 </t>
  </si>
  <si>
    <t xml:space="preserve">20.001.005.002 </t>
  </si>
  <si>
    <t xml:space="preserve">20.001.005.003 </t>
  </si>
  <si>
    <t xml:space="preserve">20.001.005.004 </t>
  </si>
  <si>
    <t xml:space="preserve">20.001.005.005 </t>
  </si>
  <si>
    <t>Comunicação visual</t>
  </si>
  <si>
    <t>40,00 - 60,00</t>
  </si>
  <si>
    <t>30,00 - 50,00</t>
  </si>
  <si>
    <t>180,00 - 240,00</t>
  </si>
  <si>
    <t>630,00 - 680,00</t>
  </si>
  <si>
    <t>110,00 - 150,00</t>
  </si>
  <si>
    <t>300,00 - 350,00</t>
  </si>
  <si>
    <t>150,00 - 200,00</t>
  </si>
  <si>
    <t>35,00 - 45,00</t>
  </si>
  <si>
    <t>140,00 - 160,00</t>
  </si>
  <si>
    <t>75,00 - 85,00</t>
  </si>
  <si>
    <t>160,00 - 190,00</t>
  </si>
  <si>
    <t>100,00 - 120,00</t>
  </si>
  <si>
    <t>280,00 - 320,00</t>
  </si>
  <si>
    <t>4,50 - 5,50</t>
  </si>
  <si>
    <t>80,00 - 120,00</t>
  </si>
  <si>
    <t>280,00 - 350,00</t>
  </si>
  <si>
    <t>Considerado concreto aparente (estucamento, 2x lixamento e verniz)</t>
  </si>
  <si>
    <t>Alta densidade de esquadrias na fachada</t>
  </si>
  <si>
    <t>Solicitado pela Gi para inserir médias próximas...</t>
  </si>
  <si>
    <t>Solicitado pela Gi para aumentarmos as médias devido ao porte do empreendimento</t>
  </si>
  <si>
    <t>CÁLCULO DA DIFERENÇA DE ALTURA DA REVISÃO DE PROJETO X VISUS</t>
  </si>
  <si>
    <t>Projeto atual</t>
  </si>
  <si>
    <t>Visus</t>
  </si>
  <si>
    <t>Diferença</t>
  </si>
  <si>
    <t>Subsolo</t>
  </si>
  <si>
    <t>Térreo</t>
  </si>
  <si>
    <t>Nível 1</t>
  </si>
  <si>
    <t>Nível 2</t>
  </si>
  <si>
    <t>Lazer</t>
  </si>
  <si>
    <t>Tipo 1 A</t>
  </si>
  <si>
    <t>X</t>
  </si>
  <si>
    <t>Tipo 1-B1</t>
  </si>
  <si>
    <t>Tipo 1-B2</t>
  </si>
  <si>
    <t>Tipo 1-B3</t>
  </si>
  <si>
    <t>Tipo 1-B4</t>
  </si>
  <si>
    <t>A.C.</t>
  </si>
  <si>
    <t>Tipo 1-B5</t>
  </si>
  <si>
    <t>A.C. 1 PAV</t>
  </si>
  <si>
    <t>Tipo 2 A</t>
  </si>
  <si>
    <t>A.C. 1 PAV DIF.</t>
  </si>
  <si>
    <t>Tipo 2-B1</t>
  </si>
  <si>
    <t>Tipo 2-B2</t>
  </si>
  <si>
    <t>Tipo 2-B3</t>
  </si>
  <si>
    <t>Tipo 3</t>
  </si>
  <si>
    <t>Ático</t>
  </si>
  <si>
    <t>Casa de máquinas</t>
  </si>
  <si>
    <t>Barrilete</t>
  </si>
  <si>
    <t>Caixa d'água</t>
  </si>
  <si>
    <t>MÉDIA</t>
  </si>
  <si>
    <t>CUSTO:</t>
  </si>
  <si>
    <t>Obras similares com 2 banheiros/apto</t>
  </si>
  <si>
    <t>Tratamento do concreto aparente e  alta densidade de esquadrias</t>
  </si>
  <si>
    <t>Considerado 310,00/m² no paramétrico</t>
  </si>
  <si>
    <t>Mão de obra para estucamento de estrutura de concreto externo</t>
  </si>
  <si>
    <t xml:space="preserve">21.001.006 </t>
  </si>
  <si>
    <t xml:space="preserve">21.001.006.001 </t>
  </si>
  <si>
    <t xml:space="preserve">21.001.006.002 </t>
  </si>
  <si>
    <t xml:space="preserve">21.001.007 </t>
  </si>
  <si>
    <t xml:space="preserve">21.001.007.001 </t>
  </si>
  <si>
    <t xml:space="preserve">02.001.001.002 </t>
  </si>
  <si>
    <t xml:space="preserve">02.001.001.003 </t>
  </si>
  <si>
    <t xml:space="preserve">02.001.001.004 </t>
  </si>
  <si>
    <t xml:space="preserve">02.001.001.005 </t>
  </si>
  <si>
    <t xml:space="preserve">02.001.001.006 </t>
  </si>
  <si>
    <t xml:space="preserve">02.001.001.007 </t>
  </si>
  <si>
    <t xml:space="preserve">02.001.001.008 </t>
  </si>
  <si>
    <t xml:space="preserve">02.001.001.009 </t>
  </si>
  <si>
    <t xml:space="preserve">02.001.001.010 </t>
  </si>
  <si>
    <t xml:space="preserve">02.001.001.011 </t>
  </si>
  <si>
    <t>07/05/2024 - 00:35:55</t>
  </si>
  <si>
    <t>Aplicação de lixamento de massa látex PVA em paredes internas - 2 demãos</t>
  </si>
  <si>
    <t xml:space="preserve">16.001.004.004 </t>
  </si>
  <si>
    <t xml:space="preserve">16.001.004.005 </t>
  </si>
  <si>
    <t xml:space="preserve">16.001.004.006 </t>
  </si>
  <si>
    <t>----------&gt;</t>
  </si>
  <si>
    <t>Mão de obra para aplicação de massa látex PVA - 2 demãos</t>
  </si>
  <si>
    <t xml:space="preserve">16.001.004.007 </t>
  </si>
  <si>
    <t>Mao de obra para colocação e rejuntamento de revestimento em parede</t>
  </si>
  <si>
    <t>VALOR POR UNIDADE TIPO 01</t>
  </si>
  <si>
    <t>VALOR POR UNIDADE TIPO 02</t>
  </si>
  <si>
    <t>VALOR POR UNIDADE TIPO 03</t>
  </si>
  <si>
    <t>VALOR POR UNIDADE TIPO 04</t>
  </si>
  <si>
    <t>VALOR POR UNIDADE ESTÚDIO</t>
  </si>
  <si>
    <t>VALOR POR UNIDADE GARDEN</t>
  </si>
  <si>
    <t>QUANT.</t>
  </si>
  <si>
    <t>PB01</t>
  </si>
  <si>
    <t>Garden</t>
  </si>
  <si>
    <t>Estúdio</t>
  </si>
  <si>
    <t>PB02</t>
  </si>
  <si>
    <t>PB03B</t>
  </si>
  <si>
    <t>Duplex</t>
  </si>
  <si>
    <t>PB03</t>
  </si>
  <si>
    <t>PB02B</t>
  </si>
  <si>
    <t>-</t>
  </si>
  <si>
    <t>Malaga</t>
  </si>
  <si>
    <t>VALOR INDEXADO</t>
  </si>
  <si>
    <t>08/05/2024 - 20:10:30</t>
  </si>
  <si>
    <t>Custo indexado do Central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</si>
</sst>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_-;\-* #,##0.00_-;_-* &quot;-&quot;??_-;_-@"/>
    <numFmt numFmtId="165" formatCode="_-&quot;R$&quot;\ * #,##0.00_-;\-&quot;R$&quot;\ * #,##0.00_-;_-&quot;R$&quot;\ * &quot;-&quot;??_-;_-@"/>
    <numFmt numFmtId="166" formatCode="0.000"/>
    <numFmt numFmtId="167" formatCode="###,##0.00"/>
    <numFmt numFmtId="168" formatCode="##0.0000"/>
    <numFmt numFmtId="169" formatCode="#0.0000"/>
    <numFmt numFmtId="170" formatCode="##,##0.00"/>
    <numFmt numFmtId="171" formatCode="#,##0.0000"/>
    <numFmt numFmtId="172" formatCode="#,###,##0.00"/>
    <numFmt numFmtId="173" formatCode="0.0000"/>
    <numFmt numFmtId="174" formatCode="#0.00"/>
    <numFmt numFmtId="175" formatCode="##,##0.0000"/>
    <numFmt numFmtId="176" formatCode="##0.00"/>
    <numFmt numFmtId="177" formatCode="##,###,##0.00"/>
    <numFmt numFmtId="178" formatCode="###,##0.0000"/>
    <numFmt numFmtId="179" formatCode="#,##0.00\ &quot;m²&quot;"/>
    <numFmt numFmtId="180" formatCode="#,##0.00_ ;\-#,##0.00\ "/>
  </numFmts>
  <fonts count="5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Poppins"/>
    </font>
    <font>
      <b/>
      <sz val="11"/>
      <color rgb="FFF5F5F5"/>
      <name val="Poppins"/>
    </font>
    <font>
      <sz val="11"/>
      <color theme="1"/>
      <name val="Poppins"/>
    </font>
    <font>
      <sz val="10"/>
      <color theme="1"/>
      <name val="Poppins"/>
    </font>
    <font>
      <sz val="11"/>
      <color theme="1"/>
      <name val="Calibri"/>
      <family val="2"/>
    </font>
    <font>
      <sz val="10"/>
      <color rgb="FF121212"/>
      <name val="Poppins"/>
    </font>
    <font>
      <sz val="8"/>
      <color theme="1"/>
      <name val="Poppins"/>
    </font>
    <font>
      <sz val="11"/>
      <color theme="1"/>
      <name val="Calibri"/>
      <family val="2"/>
      <scheme val="minor"/>
    </font>
    <font>
      <sz val="10"/>
      <color rgb="FF19212D"/>
      <name val="Arial"/>
      <family val="2"/>
    </font>
    <font>
      <sz val="11"/>
      <color theme="1"/>
      <name val="Calibri"/>
      <family val="2"/>
      <scheme val="minor"/>
    </font>
    <font>
      <sz val="11"/>
      <name val="Poppins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Poppins"/>
    </font>
    <font>
      <sz val="8"/>
      <color rgb="FF3B3B3B"/>
      <name val="Tahoma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Poppins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8"/>
      <color rgb="FF010000"/>
      <name val="Arial"/>
      <family val="2"/>
    </font>
    <font>
      <b/>
      <sz val="7"/>
      <color rgb="FF010000"/>
      <name val="Arial"/>
      <family val="2"/>
    </font>
    <font>
      <sz val="7"/>
      <color rgb="FF010000"/>
      <name val="Arial"/>
      <family val="2"/>
    </font>
    <font>
      <sz val="1"/>
      <color rgb="FF010000"/>
      <name val="Arial"/>
      <family val="2"/>
    </font>
    <font>
      <sz val="6"/>
      <color rgb="FF010000"/>
      <name val="Arial"/>
      <family val="2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1"/>
      <color rgb="FF010000"/>
      <name val="Arial"/>
      <family val="2"/>
    </font>
    <font>
      <b/>
      <sz val="14"/>
      <color rgb="FF010000"/>
      <name val="Arial"/>
      <family val="2"/>
    </font>
    <font>
      <i/>
      <sz val="12"/>
      <color rgb="FF01000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8"/>
      <color theme="1"/>
      <name val="Calibri"/>
      <family val="2"/>
      <scheme val="minor"/>
    </font>
    <font>
      <sz val="7"/>
      <color indexed="8"/>
      <name val="Arial"/>
      <family val="2"/>
    </font>
    <font>
      <b/>
      <sz val="7"/>
      <color indexed="8"/>
      <name val="Arial"/>
      <family val="2"/>
    </font>
    <font>
      <sz val="8"/>
      <color indexed="8"/>
      <name val="Arial"/>
      <family val="2"/>
    </font>
    <font>
      <sz val="1"/>
      <color indexed="8"/>
      <name val="Arial"/>
      <family val="2"/>
    </font>
    <font>
      <sz val="6"/>
      <color indexed="8"/>
      <name val="Arial"/>
      <family val="2"/>
    </font>
    <font>
      <sz val="15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sz val="7"/>
      <color rgb="FFFF000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255AE5"/>
        <bgColor rgb="FF255AE5"/>
      </patternFill>
    </fill>
    <fill>
      <patternFill patternType="solid">
        <fgColor theme="0"/>
        <bgColor theme="0"/>
      </patternFill>
    </fill>
    <fill>
      <patternFill patternType="solid">
        <fgColor rgb="FFDCDCDC"/>
        <bgColor rgb="FFDCDCDC"/>
      </patternFill>
    </fill>
    <fill>
      <patternFill patternType="solid">
        <fgColor rgb="FF12121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121212"/>
        <bgColor theme="0"/>
      </patternFill>
    </fill>
    <fill>
      <patternFill patternType="solid">
        <fgColor rgb="FFFFFFFF"/>
        <bgColor indexed="8"/>
      </patternFill>
    </fill>
    <fill>
      <patternFill patternType="solid">
        <fgColor theme="1" tint="0.749992370372631"/>
        <bgColor indexed="64"/>
      </patternFill>
    </fill>
    <fill>
      <patternFill patternType="solid">
        <fgColor theme="1" tint="0.749992370372631"/>
        <bgColor rgb="FF255AE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9.9978637043366805E-2"/>
        <bgColor theme="0"/>
      </patternFill>
    </fill>
    <fill>
      <patternFill patternType="solid">
        <fgColor theme="0"/>
        <bgColor rgb="FFDCDCDC"/>
      </patternFill>
    </fill>
    <fill>
      <patternFill patternType="solid">
        <fgColor indexed="9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rgb="FFFFFF00"/>
        <bgColor indexed="64"/>
      </patternFill>
    </fill>
  </fills>
  <borders count="99">
    <border>
      <left/>
      <right/>
      <top/>
      <bottom/>
      <diagonal/>
    </border>
    <border>
      <left style="medium">
        <color rgb="FF000000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646464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6464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646464"/>
      </left>
      <right style="thin">
        <color rgb="FF646464"/>
      </right>
      <top style="hair">
        <color rgb="FF000000"/>
      </top>
      <bottom/>
      <diagonal/>
    </border>
    <border>
      <left style="medium">
        <color indexed="64"/>
      </left>
      <right style="thin">
        <color rgb="FF646464"/>
      </right>
      <top style="hair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rgb="FF646464"/>
      </right>
      <top/>
      <bottom style="hair">
        <color rgb="FF000000"/>
      </bottom>
      <diagonal/>
    </border>
    <border>
      <left/>
      <right style="medium">
        <color indexed="64"/>
      </right>
      <top style="hair">
        <color rgb="FF000000"/>
      </top>
      <bottom style="hair">
        <color rgb="FF000000"/>
      </bottom>
      <diagonal/>
    </border>
    <border>
      <left/>
      <right style="medium">
        <color indexed="64"/>
      </right>
      <top/>
      <bottom style="hair">
        <color rgb="FF000000"/>
      </bottom>
      <diagonal/>
    </border>
    <border>
      <left style="medium">
        <color indexed="64"/>
      </left>
      <right style="thin">
        <color rgb="FF6464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/>
      <diagonal/>
    </border>
    <border>
      <left/>
      <right style="hair">
        <color rgb="FF010000"/>
      </right>
      <top style="hair">
        <color rgb="FF010000"/>
      </top>
      <bottom/>
      <diagonal/>
    </border>
    <border>
      <left style="hair">
        <color rgb="FF010000"/>
      </left>
      <right style="hair">
        <color rgb="FF010000"/>
      </right>
      <top/>
      <bottom/>
      <diagonal/>
    </border>
    <border>
      <left/>
      <right style="hair">
        <color rgb="FF010000"/>
      </right>
      <top/>
      <bottom/>
      <diagonal/>
    </border>
    <border>
      <left style="hair">
        <color rgb="FF010000"/>
      </left>
      <right style="hair">
        <color rgb="FF010000"/>
      </right>
      <top/>
      <bottom style="hair">
        <color rgb="FF010000"/>
      </bottom>
      <diagonal/>
    </border>
    <border>
      <left/>
      <right style="hair">
        <color rgb="FF010000"/>
      </right>
      <top/>
      <bottom style="hair">
        <color rgb="FF010000"/>
      </bottom>
      <diagonal/>
    </border>
    <border>
      <left/>
      <right/>
      <top/>
      <bottom style="hair">
        <color rgb="FF010000"/>
      </bottom>
      <diagonal/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  <diagonal/>
    </border>
    <border>
      <left/>
      <right/>
      <top style="hair">
        <color rgb="FF010000"/>
      </top>
      <bottom/>
      <diagonal/>
    </border>
    <border>
      <left style="thin">
        <color rgb="FF646464"/>
      </left>
      <right/>
      <top style="hair">
        <color rgb="FF000000"/>
      </top>
      <bottom style="hair">
        <color rgb="FF000000"/>
      </bottom>
      <diagonal/>
    </border>
    <border>
      <left style="thin">
        <color rgb="FF646464"/>
      </left>
      <right/>
      <top style="hair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646464"/>
      </right>
      <top/>
      <bottom style="hair">
        <color rgb="FF000000"/>
      </bottom>
      <diagonal/>
    </border>
    <border>
      <left/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/>
      <right style="thin">
        <color indexed="64"/>
      </right>
      <top/>
      <bottom style="hair">
        <color rgb="FF000000"/>
      </bottom>
      <diagonal/>
    </border>
    <border>
      <left style="thin">
        <color indexed="64"/>
      </left>
      <right style="thin">
        <color rgb="FF646464"/>
      </right>
      <top/>
      <bottom style="thin">
        <color indexed="64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 style="hair">
        <color indexed="8"/>
      </top>
      <bottom/>
      <diagonal/>
    </border>
    <border>
      <left style="hair">
        <color indexed="8"/>
      </left>
      <right/>
      <top/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</borders>
  <cellStyleXfs count="16">
    <xf numFmtId="0" fontId="0" fillId="0" borderId="0"/>
    <xf numFmtId="44" fontId="14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5" fillId="0" borderId="4"/>
    <xf numFmtId="9" fontId="5" fillId="0" borderId="4" applyFont="0" applyFill="0" applyBorder="0" applyAlignment="0" applyProtection="0"/>
    <xf numFmtId="0" fontId="21" fillId="8" borderId="4" applyNumberFormat="0" applyFont="0" applyFill="0" applyBorder="0" applyAlignment="0" applyProtection="0">
      <alignment horizontal="left" vertical="top" wrapText="1"/>
    </xf>
    <xf numFmtId="0" fontId="3" fillId="0" borderId="4"/>
    <xf numFmtId="9" fontId="3" fillId="0" borderId="4" applyFont="0" applyFill="0" applyBorder="0" applyAlignment="0" applyProtection="0"/>
    <xf numFmtId="9" fontId="24" fillId="0" borderId="0" applyFont="0" applyFill="0" applyBorder="0" applyAlignment="0" applyProtection="0"/>
    <xf numFmtId="0" fontId="34" fillId="0" borderId="4"/>
    <xf numFmtId="9" fontId="34" fillId="0" borderId="4" applyFont="0" applyFill="0" applyBorder="0" applyAlignment="0" applyProtection="0"/>
    <xf numFmtId="44" fontId="34" fillId="0" borderId="4" applyFont="0" applyFill="0" applyBorder="0" applyAlignment="0" applyProtection="0"/>
    <xf numFmtId="42" fontId="34" fillId="0" borderId="4" applyFont="0" applyFill="0" applyBorder="0" applyAlignment="0" applyProtection="0"/>
    <xf numFmtId="43" fontId="34" fillId="0" borderId="4" applyFont="0" applyFill="0" applyBorder="0" applyAlignment="0" applyProtection="0"/>
    <xf numFmtId="41" fontId="34" fillId="0" borderId="4" applyFont="0" applyFill="0" applyBorder="0" applyAlignment="0" applyProtection="0"/>
    <xf numFmtId="0" fontId="34" fillId="0" borderId="4" applyNumberFormat="0" applyFont="0" applyFill="0" applyBorder="0" applyAlignment="0" applyProtection="0"/>
  </cellStyleXfs>
  <cellXfs count="520">
    <xf numFmtId="0" fontId="0" fillId="0" borderId="0" xfId="0"/>
    <xf numFmtId="0" fontId="9" fillId="0" borderId="0" xfId="0" applyFont="1"/>
    <xf numFmtId="0" fontId="9" fillId="3" borderId="1" xfId="0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164" fontId="9" fillId="0" borderId="0" xfId="0" applyNumberFormat="1" applyFont="1" applyAlignment="1">
      <alignment vertical="center"/>
    </xf>
    <xf numFmtId="4" fontId="9" fillId="0" borderId="0" xfId="0" applyNumberFormat="1" applyFont="1" applyAlignment="1">
      <alignment vertical="center"/>
    </xf>
    <xf numFmtId="164" fontId="9" fillId="0" borderId="0" xfId="0" applyNumberFormat="1" applyFont="1"/>
    <xf numFmtId="0" fontId="10" fillId="0" borderId="0" xfId="0" applyFont="1" applyAlignment="1">
      <alignment vertical="center"/>
    </xf>
    <xf numFmtId="0" fontId="9" fillId="4" borderId="1" xfId="0" applyFont="1" applyFill="1" applyBorder="1" applyAlignment="1">
      <alignment horizontal="left" vertical="center"/>
    </xf>
    <xf numFmtId="10" fontId="9" fillId="4" borderId="2" xfId="0" applyNumberFormat="1" applyFont="1" applyFill="1" applyBorder="1" applyAlignment="1">
      <alignment horizontal="center" vertical="center"/>
    </xf>
    <xf numFmtId="164" fontId="9" fillId="3" borderId="2" xfId="0" applyNumberFormat="1" applyFont="1" applyFill="1" applyBorder="1" applyAlignment="1">
      <alignment horizontal="left" vertical="center"/>
    </xf>
    <xf numFmtId="10" fontId="9" fillId="3" borderId="2" xfId="0" applyNumberFormat="1" applyFont="1" applyFill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vertical="center"/>
    </xf>
    <xf numFmtId="0" fontId="10" fillId="0" borderId="0" xfId="0" applyFont="1" applyAlignment="1">
      <alignment horizontal="center" vertical="center"/>
    </xf>
    <xf numFmtId="4" fontId="11" fillId="0" borderId="0" xfId="0" applyNumberFormat="1" applyFont="1"/>
    <xf numFmtId="165" fontId="13" fillId="0" borderId="0" xfId="0" applyNumberFormat="1" applyFont="1" applyAlignment="1">
      <alignment horizontal="left"/>
    </xf>
    <xf numFmtId="165" fontId="10" fillId="0" borderId="0" xfId="0" applyNumberFormat="1" applyFont="1" applyAlignment="1">
      <alignment vertical="center"/>
    </xf>
    <xf numFmtId="4" fontId="10" fillId="0" borderId="0" xfId="0" applyNumberFormat="1" applyFont="1" applyAlignment="1">
      <alignment vertical="center"/>
    </xf>
    <xf numFmtId="164" fontId="9" fillId="4" borderId="2" xfId="0" applyNumberFormat="1" applyFont="1" applyFill="1" applyBorder="1" applyAlignment="1">
      <alignment horizontal="center" vertical="center"/>
    </xf>
    <xf numFmtId="164" fontId="9" fillId="3" borderId="2" xfId="0" applyNumberFormat="1" applyFont="1" applyFill="1" applyBorder="1" applyAlignment="1">
      <alignment horizontal="center" vertical="center"/>
    </xf>
    <xf numFmtId="0" fontId="0" fillId="0" borderId="4" xfId="0" applyBorder="1"/>
    <xf numFmtId="44" fontId="0" fillId="0" borderId="7" xfId="1" applyFont="1" applyBorder="1"/>
    <xf numFmtId="0" fontId="15" fillId="0" borderId="0" xfId="0" applyFont="1"/>
    <xf numFmtId="44" fontId="0" fillId="0" borderId="7" xfId="1" applyFont="1" applyFill="1" applyBorder="1"/>
    <xf numFmtId="0" fontId="6" fillId="0" borderId="0" xfId="0" applyFont="1"/>
    <xf numFmtId="164" fontId="9" fillId="3" borderId="3" xfId="0" applyNumberFormat="1" applyFont="1" applyFill="1" applyBorder="1" applyAlignment="1">
      <alignment horizontal="center" vertical="center"/>
    </xf>
    <xf numFmtId="164" fontId="9" fillId="4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2" fillId="0" borderId="0" xfId="0" applyFont="1" applyAlignment="1">
      <alignment vertical="center"/>
    </xf>
    <xf numFmtId="164" fontId="12" fillId="0" borderId="4" xfId="0" applyNumberFormat="1" applyFont="1" applyBorder="1" applyAlignment="1">
      <alignment vertical="center"/>
    </xf>
    <xf numFmtId="0" fontId="20" fillId="0" borderId="14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horizontal="center" vertical="center"/>
    </xf>
    <xf numFmtId="0" fontId="9" fillId="4" borderId="17" xfId="0" applyFont="1" applyFill="1" applyBorder="1" applyAlignment="1">
      <alignment horizontal="left" vertical="center"/>
    </xf>
    <xf numFmtId="0" fontId="9" fillId="3" borderId="17" xfId="0" applyFont="1" applyFill="1" applyBorder="1" applyAlignment="1">
      <alignment horizontal="left" vertical="center"/>
    </xf>
    <xf numFmtId="0" fontId="9" fillId="4" borderId="18" xfId="0" applyFont="1" applyFill="1" applyBorder="1" applyAlignment="1">
      <alignment horizontal="left" vertical="center"/>
    </xf>
    <xf numFmtId="0" fontId="9" fillId="3" borderId="19" xfId="0" applyFont="1" applyFill="1" applyBorder="1" applyAlignment="1">
      <alignment horizontal="left" vertical="center"/>
    </xf>
    <xf numFmtId="0" fontId="9" fillId="4" borderId="19" xfId="0" applyFont="1" applyFill="1" applyBorder="1" applyAlignment="1">
      <alignment horizontal="left" vertical="center"/>
    </xf>
    <xf numFmtId="0" fontId="9" fillId="4" borderId="20" xfId="0" applyFont="1" applyFill="1" applyBorder="1" applyAlignment="1">
      <alignment horizontal="left" vertical="center"/>
    </xf>
    <xf numFmtId="0" fontId="9" fillId="4" borderId="21" xfId="0" applyFont="1" applyFill="1" applyBorder="1" applyAlignment="1">
      <alignment horizontal="left" vertical="center"/>
    </xf>
    <xf numFmtId="44" fontId="0" fillId="0" borderId="22" xfId="1" applyFont="1" applyBorder="1"/>
    <xf numFmtId="44" fontId="0" fillId="0" borderId="22" xfId="1" applyFont="1" applyFill="1" applyBorder="1"/>
    <xf numFmtId="0" fontId="0" fillId="0" borderId="9" xfId="0" applyBorder="1"/>
    <xf numFmtId="0" fontId="7" fillId="7" borderId="13" xfId="0" applyFont="1" applyFill="1" applyBorder="1" applyAlignment="1">
      <alignment horizontal="left" vertical="center"/>
    </xf>
    <xf numFmtId="44" fontId="19" fillId="5" borderId="24" xfId="0" applyNumberFormat="1" applyFont="1" applyFill="1" applyBorder="1"/>
    <xf numFmtId="44" fontId="19" fillId="5" borderId="24" xfId="0" applyNumberFormat="1" applyFont="1" applyFill="1" applyBorder="1" applyAlignment="1">
      <alignment horizontal="center"/>
    </xf>
    <xf numFmtId="0" fontId="19" fillId="5" borderId="5" xfId="0" applyFont="1" applyFill="1" applyBorder="1"/>
    <xf numFmtId="0" fontId="19" fillId="5" borderId="8" xfId="0" applyFont="1" applyFill="1" applyBorder="1"/>
    <xf numFmtId="43" fontId="0" fillId="0" borderId="0" xfId="2" applyFont="1"/>
    <xf numFmtId="43" fontId="19" fillId="5" borderId="10" xfId="2" applyFont="1" applyFill="1" applyBorder="1" applyAlignment="1">
      <alignment horizontal="center"/>
    </xf>
    <xf numFmtId="43" fontId="0" fillId="0" borderId="10" xfId="2" applyFont="1" applyBorder="1"/>
    <xf numFmtId="43" fontId="0" fillId="0" borderId="31" xfId="2" applyFont="1" applyBorder="1"/>
    <xf numFmtId="43" fontId="19" fillId="5" borderId="24" xfId="2" applyFont="1" applyFill="1" applyBorder="1"/>
    <xf numFmtId="43" fontId="9" fillId="0" borderId="0" xfId="2" applyFont="1" applyAlignment="1">
      <alignment horizontal="center"/>
    </xf>
    <xf numFmtId="0" fontId="7" fillId="2" borderId="10" xfId="0" applyFont="1" applyFill="1" applyBorder="1" applyAlignment="1">
      <alignment horizontal="left" vertical="center"/>
    </xf>
    <xf numFmtId="0" fontId="7" fillId="2" borderId="10" xfId="0" applyFont="1" applyFill="1" applyBorder="1" applyAlignment="1">
      <alignment horizontal="center" vertical="center"/>
    </xf>
    <xf numFmtId="164" fontId="7" fillId="2" borderId="10" xfId="0" applyNumberFormat="1" applyFont="1" applyFill="1" applyBorder="1" applyAlignment="1">
      <alignment horizontal="left" vertical="center"/>
    </xf>
    <xf numFmtId="9" fontId="7" fillId="2" borderId="10" xfId="0" applyNumberFormat="1" applyFont="1" applyFill="1" applyBorder="1" applyAlignment="1">
      <alignment horizontal="center" vertical="center"/>
    </xf>
    <xf numFmtId="164" fontId="7" fillId="2" borderId="10" xfId="0" applyNumberFormat="1" applyFont="1" applyFill="1" applyBorder="1" applyAlignment="1">
      <alignment horizontal="center" vertical="center"/>
    </xf>
    <xf numFmtId="17" fontId="7" fillId="2" borderId="10" xfId="0" applyNumberFormat="1" applyFont="1" applyFill="1" applyBorder="1" applyAlignment="1">
      <alignment horizontal="center" vertical="center"/>
    </xf>
    <xf numFmtId="0" fontId="9" fillId="4" borderId="33" xfId="0" applyFont="1" applyFill="1" applyBorder="1" applyAlignment="1">
      <alignment horizontal="left" vertical="center"/>
    </xf>
    <xf numFmtId="164" fontId="9" fillId="4" borderId="32" xfId="0" applyNumberFormat="1" applyFont="1" applyFill="1" applyBorder="1" applyAlignment="1">
      <alignment horizontal="center" vertical="center"/>
    </xf>
    <xf numFmtId="44" fontId="0" fillId="6" borderId="23" xfId="1" applyFont="1" applyFill="1" applyBorder="1"/>
    <xf numFmtId="44" fontId="19" fillId="6" borderId="24" xfId="0" applyNumberFormat="1" applyFont="1" applyFill="1" applyBorder="1"/>
    <xf numFmtId="2" fontId="7" fillId="2" borderId="10" xfId="0" applyNumberFormat="1" applyFont="1" applyFill="1" applyBorder="1" applyAlignment="1">
      <alignment horizontal="center" vertical="center"/>
    </xf>
    <xf numFmtId="17" fontId="0" fillId="0" borderId="6" xfId="0" applyNumberFormat="1" applyBorder="1"/>
    <xf numFmtId="2" fontId="10" fillId="0" borderId="0" xfId="0" applyNumberFormat="1" applyFont="1" applyAlignment="1">
      <alignment vertical="center"/>
    </xf>
    <xf numFmtId="43" fontId="2" fillId="0" borderId="10" xfId="2" applyFont="1" applyBorder="1"/>
    <xf numFmtId="44" fontId="9" fillId="3" borderId="2" xfId="1" applyFont="1" applyFill="1" applyBorder="1" applyAlignment="1">
      <alignment horizontal="left" vertical="center"/>
    </xf>
    <xf numFmtId="44" fontId="9" fillId="4" borderId="2" xfId="1" applyFont="1" applyFill="1" applyBorder="1" applyAlignment="1">
      <alignment horizontal="left" vertical="center"/>
    </xf>
    <xf numFmtId="44" fontId="17" fillId="3" borderId="2" xfId="1" applyFont="1" applyFill="1" applyBorder="1" applyAlignment="1">
      <alignment horizontal="left" vertical="center"/>
    </xf>
    <xf numFmtId="44" fontId="9" fillId="4" borderId="32" xfId="1" applyFont="1" applyFill="1" applyBorder="1" applyAlignment="1">
      <alignment horizontal="left" vertical="center"/>
    </xf>
    <xf numFmtId="44" fontId="17" fillId="4" borderId="2" xfId="1" applyFont="1" applyFill="1" applyBorder="1" applyAlignment="1">
      <alignment horizontal="left" vertical="center"/>
    </xf>
    <xf numFmtId="44" fontId="7" fillId="2" borderId="10" xfId="1" applyFont="1" applyFill="1" applyBorder="1" applyAlignment="1">
      <alignment horizontal="left" vertical="center"/>
    </xf>
    <xf numFmtId="44" fontId="7" fillId="2" borderId="10" xfId="1" applyFont="1" applyFill="1" applyBorder="1" applyAlignment="1">
      <alignment horizontal="center" vertical="center"/>
    </xf>
    <xf numFmtId="44" fontId="9" fillId="3" borderId="3" xfId="1" applyFont="1" applyFill="1" applyBorder="1" applyAlignment="1">
      <alignment horizontal="center" vertical="center"/>
    </xf>
    <xf numFmtId="44" fontId="9" fillId="4" borderId="3" xfId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43" fontId="9" fillId="0" borderId="0" xfId="0" applyNumberFormat="1" applyFont="1"/>
    <xf numFmtId="0" fontId="10" fillId="0" borderId="36" xfId="0" applyFont="1" applyBorder="1" applyAlignment="1">
      <alignment vertical="center"/>
    </xf>
    <xf numFmtId="0" fontId="20" fillId="0" borderId="37" xfId="0" applyFont="1" applyBorder="1" applyAlignment="1">
      <alignment vertical="center"/>
    </xf>
    <xf numFmtId="0" fontId="10" fillId="0" borderId="38" xfId="0" applyFont="1" applyBorder="1" applyAlignment="1">
      <alignment vertical="center"/>
    </xf>
    <xf numFmtId="4" fontId="10" fillId="0" borderId="36" xfId="0" applyNumberFormat="1" applyFont="1" applyBorder="1" applyAlignment="1">
      <alignment vertical="center"/>
    </xf>
    <xf numFmtId="2" fontId="20" fillId="0" borderId="37" xfId="0" applyNumberFormat="1" applyFont="1" applyBorder="1" applyAlignment="1">
      <alignment vertical="center"/>
    </xf>
    <xf numFmtId="0" fontId="10" fillId="0" borderId="26" xfId="0" applyFont="1" applyBorder="1" applyAlignment="1">
      <alignment vertical="center"/>
    </xf>
    <xf numFmtId="0" fontId="10" fillId="0" borderId="34" xfId="0" applyFont="1" applyBorder="1" applyAlignment="1">
      <alignment vertical="center"/>
    </xf>
    <xf numFmtId="0" fontId="20" fillId="0" borderId="35" xfId="0" applyFont="1" applyBorder="1" applyAlignment="1">
      <alignment vertical="center"/>
    </xf>
    <xf numFmtId="0" fontId="10" fillId="0" borderId="35" xfId="0" applyFont="1" applyBorder="1" applyAlignment="1">
      <alignment vertical="center"/>
    </xf>
    <xf numFmtId="0" fontId="0" fillId="0" borderId="26" xfId="0" applyBorder="1"/>
    <xf numFmtId="0" fontId="0" fillId="0" borderId="34" xfId="0" applyBorder="1"/>
    <xf numFmtId="43" fontId="10" fillId="0" borderId="0" xfId="0" applyNumberFormat="1" applyFont="1" applyAlignment="1">
      <alignment vertical="center"/>
    </xf>
    <xf numFmtId="43" fontId="10" fillId="0" borderId="40" xfId="0" applyNumberFormat="1" applyFont="1" applyBorder="1" applyAlignment="1">
      <alignment vertical="center"/>
    </xf>
    <xf numFmtId="43" fontId="20" fillId="0" borderId="40" xfId="0" applyNumberFormat="1" applyFont="1" applyBorder="1" applyAlignment="1">
      <alignment vertical="center"/>
    </xf>
    <xf numFmtId="0" fontId="10" fillId="0" borderId="40" xfId="0" applyFont="1" applyBorder="1" applyAlignment="1">
      <alignment vertical="center"/>
    </xf>
    <xf numFmtId="43" fontId="10" fillId="0" borderId="4" xfId="0" applyNumberFormat="1" applyFont="1" applyBorder="1" applyAlignment="1">
      <alignment vertical="center"/>
    </xf>
    <xf numFmtId="43" fontId="20" fillId="0" borderId="4" xfId="0" applyNumberFormat="1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43" fontId="10" fillId="0" borderId="23" xfId="0" applyNumberFormat="1" applyFont="1" applyBorder="1" applyAlignment="1">
      <alignment vertical="center"/>
    </xf>
    <xf numFmtId="0" fontId="10" fillId="0" borderId="23" xfId="0" applyFont="1" applyBorder="1" applyAlignment="1">
      <alignment vertical="center"/>
    </xf>
    <xf numFmtId="0" fontId="7" fillId="2" borderId="5" xfId="0" applyFont="1" applyFill="1" applyBorder="1" applyAlignment="1">
      <alignment horizontal="left" vertical="center"/>
    </xf>
    <xf numFmtId="0" fontId="7" fillId="2" borderId="11" xfId="0" applyFont="1" applyFill="1" applyBorder="1" applyAlignment="1">
      <alignment horizontal="center" vertical="center"/>
    </xf>
    <xf numFmtId="0" fontId="9" fillId="4" borderId="41" xfId="0" applyFont="1" applyFill="1" applyBorder="1" applyAlignment="1">
      <alignment horizontal="left" vertical="center"/>
    </xf>
    <xf numFmtId="44" fontId="9" fillId="3" borderId="42" xfId="1" applyFont="1" applyFill="1" applyBorder="1" applyAlignment="1">
      <alignment horizontal="center" vertical="center"/>
    </xf>
    <xf numFmtId="44" fontId="9" fillId="4" borderId="43" xfId="1" applyFont="1" applyFill="1" applyBorder="1" applyAlignment="1">
      <alignment horizontal="center" vertical="center"/>
    </xf>
    <xf numFmtId="0" fontId="9" fillId="4" borderId="44" xfId="0" applyFont="1" applyFill="1" applyBorder="1" applyAlignment="1">
      <alignment horizontal="left" vertical="center"/>
    </xf>
    <xf numFmtId="44" fontId="9" fillId="4" borderId="45" xfId="1" applyFont="1" applyFill="1" applyBorder="1" applyAlignment="1">
      <alignment horizontal="center" vertical="center"/>
    </xf>
    <xf numFmtId="10" fontId="13" fillId="0" borderId="0" xfId="8" applyNumberFormat="1" applyFont="1" applyAlignment="1">
      <alignment horizontal="left"/>
    </xf>
    <xf numFmtId="43" fontId="0" fillId="0" borderId="0" xfId="0" applyNumberFormat="1"/>
    <xf numFmtId="43" fontId="7" fillId="2" borderId="10" xfId="2" applyFont="1" applyFill="1" applyBorder="1" applyAlignment="1">
      <alignment horizontal="center" vertical="center"/>
    </xf>
    <xf numFmtId="0" fontId="0" fillId="9" borderId="0" xfId="0" applyFill="1"/>
    <xf numFmtId="0" fontId="19" fillId="9" borderId="5" xfId="0" applyFont="1" applyFill="1" applyBorder="1"/>
    <xf numFmtId="0" fontId="10" fillId="9" borderId="15" xfId="0" applyFont="1" applyFill="1" applyBorder="1" applyAlignment="1">
      <alignment vertical="center"/>
    </xf>
    <xf numFmtId="17" fontId="0" fillId="9" borderId="6" xfId="0" applyNumberFormat="1" applyFill="1" applyBorder="1"/>
    <xf numFmtId="17" fontId="2" fillId="9" borderId="6" xfId="0" applyNumberFormat="1" applyFont="1" applyFill="1" applyBorder="1"/>
    <xf numFmtId="0" fontId="19" fillId="9" borderId="8" xfId="0" applyFont="1" applyFill="1" applyBorder="1"/>
    <xf numFmtId="0" fontId="0" fillId="9" borderId="9" xfId="0" applyFill="1" applyBorder="1"/>
    <xf numFmtId="0" fontId="7" fillId="10" borderId="30" xfId="0" applyFont="1" applyFill="1" applyBorder="1" applyAlignment="1">
      <alignment horizontal="center" vertical="center"/>
    </xf>
    <xf numFmtId="0" fontId="7" fillId="10" borderId="24" xfId="0" applyFont="1" applyFill="1" applyBorder="1" applyAlignment="1">
      <alignment horizontal="center" vertical="center"/>
    </xf>
    <xf numFmtId="0" fontId="7" fillId="10" borderId="25" xfId="0" applyFont="1" applyFill="1" applyBorder="1" applyAlignment="1">
      <alignment horizontal="center" vertical="center"/>
    </xf>
    <xf numFmtId="44" fontId="19" fillId="9" borderId="24" xfId="0" applyNumberFormat="1" applyFont="1" applyFill="1" applyBorder="1" applyAlignment="1">
      <alignment horizontal="center"/>
    </xf>
    <xf numFmtId="44" fontId="19" fillId="9" borderId="30" xfId="0" applyNumberFormat="1" applyFont="1" applyFill="1" applyBorder="1" applyAlignment="1">
      <alignment horizontal="center"/>
    </xf>
    <xf numFmtId="44" fontId="19" fillId="9" borderId="25" xfId="0" applyNumberFormat="1" applyFont="1" applyFill="1" applyBorder="1" applyAlignment="1">
      <alignment horizontal="center"/>
    </xf>
    <xf numFmtId="44" fontId="0" fillId="9" borderId="22" xfId="1" applyFont="1" applyFill="1" applyBorder="1"/>
    <xf numFmtId="44" fontId="0" fillId="9" borderId="23" xfId="1" applyFont="1" applyFill="1" applyBorder="1"/>
    <xf numFmtId="44" fontId="0" fillId="9" borderId="29" xfId="1" applyFont="1" applyFill="1" applyBorder="1"/>
    <xf numFmtId="44" fontId="2" fillId="9" borderId="22" xfId="1" applyFont="1" applyFill="1" applyBorder="1"/>
    <xf numFmtId="44" fontId="0" fillId="9" borderId="26" xfId="1" applyFont="1" applyFill="1" applyBorder="1"/>
    <xf numFmtId="44" fontId="0" fillId="9" borderId="27" xfId="1" applyFont="1" applyFill="1" applyBorder="1"/>
    <xf numFmtId="44" fontId="22" fillId="9" borderId="7" xfId="1" applyFont="1" applyFill="1" applyBorder="1"/>
    <xf numFmtId="44" fontId="0" fillId="9" borderId="7" xfId="1" applyFont="1" applyFill="1" applyBorder="1"/>
    <xf numFmtId="44" fontId="18" fillId="9" borderId="27" xfId="1" applyFont="1" applyFill="1" applyBorder="1"/>
    <xf numFmtId="44" fontId="4" fillId="9" borderId="27" xfId="1" applyFont="1" applyFill="1" applyBorder="1"/>
    <xf numFmtId="44" fontId="18" fillId="9" borderId="28" xfId="1" applyFont="1" applyFill="1" applyBorder="1"/>
    <xf numFmtId="44" fontId="19" fillId="9" borderId="24" xfId="0" applyNumberFormat="1" applyFont="1" applyFill="1" applyBorder="1"/>
    <xf numFmtId="44" fontId="23" fillId="9" borderId="24" xfId="0" applyNumberFormat="1" applyFont="1" applyFill="1" applyBorder="1"/>
    <xf numFmtId="0" fontId="15" fillId="9" borderId="0" xfId="0" applyFont="1" applyFill="1"/>
    <xf numFmtId="0" fontId="6" fillId="9" borderId="0" xfId="0" applyFont="1" applyFill="1"/>
    <xf numFmtId="2" fontId="0" fillId="9" borderId="0" xfId="0" applyNumberFormat="1" applyFill="1"/>
    <xf numFmtId="0" fontId="10" fillId="0" borderId="40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0" fillId="0" borderId="23" xfId="0" applyBorder="1"/>
    <xf numFmtId="2" fontId="20" fillId="0" borderId="4" xfId="0" applyNumberFormat="1" applyFont="1" applyBorder="1" applyAlignment="1">
      <alignment vertical="center"/>
    </xf>
    <xf numFmtId="166" fontId="20" fillId="0" borderId="23" xfId="0" applyNumberFormat="1" applyFont="1" applyBorder="1" applyAlignment="1">
      <alignment vertical="center"/>
    </xf>
    <xf numFmtId="0" fontId="10" fillId="0" borderId="50" xfId="0" applyFont="1" applyBorder="1" applyAlignment="1">
      <alignment vertical="center"/>
    </xf>
    <xf numFmtId="0" fontId="12" fillId="0" borderId="52" xfId="0" applyFont="1" applyBorder="1" applyAlignment="1">
      <alignment horizontal="left" vertical="top"/>
    </xf>
    <xf numFmtId="0" fontId="10" fillId="0" borderId="52" xfId="0" applyFont="1" applyBorder="1" applyAlignment="1">
      <alignment horizontal="left" vertical="top"/>
    </xf>
    <xf numFmtId="0" fontId="10" fillId="0" borderId="54" xfId="0" applyFont="1" applyBorder="1" applyAlignment="1">
      <alignment horizontal="left" vertical="top"/>
    </xf>
    <xf numFmtId="43" fontId="20" fillId="11" borderId="4" xfId="0" applyNumberFormat="1" applyFont="1" applyFill="1" applyBorder="1" applyAlignment="1">
      <alignment vertical="center"/>
    </xf>
    <xf numFmtId="0" fontId="10" fillId="11" borderId="55" xfId="0" applyFont="1" applyFill="1" applyBorder="1" applyAlignment="1">
      <alignment vertical="center"/>
    </xf>
    <xf numFmtId="0" fontId="20" fillId="12" borderId="4" xfId="0" applyFont="1" applyFill="1" applyBorder="1" applyAlignment="1">
      <alignment vertical="center"/>
    </xf>
    <xf numFmtId="0" fontId="10" fillId="12" borderId="55" xfId="0" applyFont="1" applyFill="1" applyBorder="1" applyAlignment="1">
      <alignment vertical="center"/>
    </xf>
    <xf numFmtId="2" fontId="20" fillId="13" borderId="53" xfId="0" applyNumberFormat="1" applyFont="1" applyFill="1" applyBorder="1" applyAlignment="1">
      <alignment vertical="center"/>
    </xf>
    <xf numFmtId="0" fontId="10" fillId="13" borderId="4" xfId="0" applyFont="1" applyFill="1" applyBorder="1" applyAlignment="1">
      <alignment vertical="center"/>
    </xf>
    <xf numFmtId="0" fontId="10" fillId="13" borderId="53" xfId="0" applyFont="1" applyFill="1" applyBorder="1" applyAlignment="1">
      <alignment vertical="center"/>
    </xf>
    <xf numFmtId="43" fontId="10" fillId="13" borderId="4" xfId="0" applyNumberFormat="1" applyFont="1" applyFill="1" applyBorder="1" applyAlignment="1">
      <alignment vertical="center"/>
    </xf>
    <xf numFmtId="43" fontId="20" fillId="13" borderId="53" xfId="0" applyNumberFormat="1" applyFont="1" applyFill="1" applyBorder="1" applyAlignment="1">
      <alignment vertical="center"/>
    </xf>
    <xf numFmtId="43" fontId="10" fillId="13" borderId="4" xfId="2" applyFont="1" applyFill="1" applyBorder="1" applyAlignment="1">
      <alignment vertical="center"/>
    </xf>
    <xf numFmtId="0" fontId="20" fillId="13" borderId="53" xfId="0" applyFont="1" applyFill="1" applyBorder="1" applyAlignment="1">
      <alignment vertical="center"/>
    </xf>
    <xf numFmtId="43" fontId="10" fillId="13" borderId="55" xfId="2" applyFont="1" applyFill="1" applyBorder="1" applyAlignment="1">
      <alignment vertical="center"/>
    </xf>
    <xf numFmtId="0" fontId="20" fillId="13" borderId="45" xfId="0" applyFont="1" applyFill="1" applyBorder="1" applyAlignment="1">
      <alignment vertical="center"/>
    </xf>
    <xf numFmtId="0" fontId="10" fillId="0" borderId="30" xfId="0" applyFont="1" applyBorder="1" applyAlignment="1">
      <alignment horizontal="left" vertical="top"/>
    </xf>
    <xf numFmtId="0" fontId="10" fillId="0" borderId="50" xfId="0" applyFont="1" applyBorder="1" applyAlignment="1">
      <alignment horizontal="left" vertical="top"/>
    </xf>
    <xf numFmtId="43" fontId="20" fillId="13" borderId="51" xfId="0" applyNumberFormat="1" applyFont="1" applyFill="1" applyBorder="1" applyAlignment="1">
      <alignment vertical="center"/>
    </xf>
    <xf numFmtId="164" fontId="12" fillId="0" borderId="54" xfId="0" applyNumberFormat="1" applyFont="1" applyBorder="1" applyAlignment="1">
      <alignment horizontal="left" vertical="top"/>
    </xf>
    <xf numFmtId="0" fontId="0" fillId="13" borderId="45" xfId="0" applyFill="1" applyBorder="1"/>
    <xf numFmtId="2" fontId="20" fillId="13" borderId="51" xfId="0" applyNumberFormat="1" applyFont="1" applyFill="1" applyBorder="1" applyAlignment="1">
      <alignment vertical="center"/>
    </xf>
    <xf numFmtId="166" fontId="20" fillId="13" borderId="45" xfId="0" applyNumberFormat="1" applyFont="1" applyFill="1" applyBorder="1" applyAlignment="1">
      <alignment vertical="center"/>
    </xf>
    <xf numFmtId="43" fontId="20" fillId="11" borderId="56" xfId="0" applyNumberFormat="1" applyFont="1" applyFill="1" applyBorder="1" applyAlignment="1">
      <alignment vertical="center"/>
    </xf>
    <xf numFmtId="43" fontId="10" fillId="13" borderId="56" xfId="0" applyNumberFormat="1" applyFont="1" applyFill="1" applyBorder="1" applyAlignment="1">
      <alignment vertical="center"/>
    </xf>
    <xf numFmtId="43" fontId="10" fillId="13" borderId="55" xfId="0" applyNumberFormat="1" applyFont="1" applyFill="1" applyBorder="1" applyAlignment="1">
      <alignment vertical="center"/>
    </xf>
    <xf numFmtId="43" fontId="20" fillId="13" borderId="45" xfId="0" applyNumberFormat="1" applyFont="1" applyFill="1" applyBorder="1" applyAlignment="1">
      <alignment vertical="center"/>
    </xf>
    <xf numFmtId="43" fontId="10" fillId="13" borderId="56" xfId="2" applyFont="1" applyFill="1" applyBorder="1" applyAlignment="1">
      <alignment vertical="center"/>
    </xf>
    <xf numFmtId="0" fontId="20" fillId="13" borderId="51" xfId="0" applyFont="1" applyFill="1" applyBorder="1" applyAlignment="1">
      <alignment vertical="center"/>
    </xf>
    <xf numFmtId="43" fontId="10" fillId="12" borderId="50" xfId="2" applyFont="1" applyFill="1" applyBorder="1" applyAlignment="1">
      <alignment vertical="center"/>
    </xf>
    <xf numFmtId="43" fontId="10" fillId="12" borderId="52" xfId="2" applyFont="1" applyFill="1" applyBorder="1" applyAlignment="1">
      <alignment vertical="center"/>
    </xf>
    <xf numFmtId="0" fontId="20" fillId="12" borderId="53" xfId="0" applyFont="1" applyFill="1" applyBorder="1" applyAlignment="1">
      <alignment vertical="center"/>
    </xf>
    <xf numFmtId="0" fontId="10" fillId="12" borderId="54" xfId="0" applyFont="1" applyFill="1" applyBorder="1" applyAlignment="1">
      <alignment vertical="center"/>
    </xf>
    <xf numFmtId="0" fontId="10" fillId="12" borderId="45" xfId="0" applyFont="1" applyFill="1" applyBorder="1" applyAlignment="1">
      <alignment vertical="center"/>
    </xf>
    <xf numFmtId="2" fontId="25" fillId="12" borderId="51" xfId="0" applyNumberFormat="1" applyFont="1" applyFill="1" applyBorder="1" applyAlignment="1">
      <alignment vertical="center"/>
    </xf>
    <xf numFmtId="2" fontId="25" fillId="12" borderId="53" xfId="0" applyNumberFormat="1" applyFont="1" applyFill="1" applyBorder="1" applyAlignment="1">
      <alignment vertical="center"/>
    </xf>
    <xf numFmtId="43" fontId="10" fillId="12" borderId="54" xfId="2" applyFont="1" applyFill="1" applyBorder="1" applyAlignment="1">
      <alignment vertical="center"/>
    </xf>
    <xf numFmtId="166" fontId="20" fillId="12" borderId="45" xfId="0" applyNumberFormat="1" applyFont="1" applyFill="1" applyBorder="1" applyAlignment="1">
      <alignment vertical="center"/>
    </xf>
    <xf numFmtId="0" fontId="10" fillId="12" borderId="52" xfId="0" applyFont="1" applyFill="1" applyBorder="1" applyAlignment="1">
      <alignment vertical="center"/>
    </xf>
    <xf numFmtId="0" fontId="10" fillId="12" borderId="53" xfId="0" applyFont="1" applyFill="1" applyBorder="1" applyAlignment="1">
      <alignment vertical="center"/>
    </xf>
    <xf numFmtId="43" fontId="20" fillId="12" borderId="51" xfId="0" applyNumberFormat="1" applyFont="1" applyFill="1" applyBorder="1" applyAlignment="1">
      <alignment vertical="center"/>
    </xf>
    <xf numFmtId="43" fontId="20" fillId="12" borderId="53" xfId="0" applyNumberFormat="1" applyFont="1" applyFill="1" applyBorder="1" applyAlignment="1">
      <alignment vertical="center"/>
    </xf>
    <xf numFmtId="43" fontId="20" fillId="12" borderId="45" xfId="0" applyNumberFormat="1" applyFont="1" applyFill="1" applyBorder="1" applyAlignment="1">
      <alignment vertical="center"/>
    </xf>
    <xf numFmtId="43" fontId="10" fillId="11" borderId="50" xfId="2" applyFont="1" applyFill="1" applyBorder="1" applyAlignment="1">
      <alignment vertical="center"/>
    </xf>
    <xf numFmtId="0" fontId="20" fillId="11" borderId="51" xfId="0" applyFont="1" applyFill="1" applyBorder="1" applyAlignment="1">
      <alignment vertical="center"/>
    </xf>
    <xf numFmtId="43" fontId="10" fillId="11" borderId="52" xfId="2" applyFont="1" applyFill="1" applyBorder="1" applyAlignment="1">
      <alignment vertical="center"/>
    </xf>
    <xf numFmtId="0" fontId="20" fillId="11" borderId="53" xfId="0" applyFont="1" applyFill="1" applyBorder="1" applyAlignment="1">
      <alignment vertical="center"/>
    </xf>
    <xf numFmtId="0" fontId="0" fillId="11" borderId="54" xfId="0" applyFill="1" applyBorder="1"/>
    <xf numFmtId="0" fontId="0" fillId="11" borderId="45" xfId="0" applyFill="1" applyBorder="1"/>
    <xf numFmtId="2" fontId="25" fillId="11" borderId="51" xfId="0" applyNumberFormat="1" applyFont="1" applyFill="1" applyBorder="1" applyAlignment="1">
      <alignment vertical="center"/>
    </xf>
    <xf numFmtId="2" fontId="25" fillId="11" borderId="53" xfId="0" applyNumberFormat="1" applyFont="1" applyFill="1" applyBorder="1" applyAlignment="1">
      <alignment vertical="center"/>
    </xf>
    <xf numFmtId="43" fontId="10" fillId="11" borderId="54" xfId="2" applyFont="1" applyFill="1" applyBorder="1" applyAlignment="1">
      <alignment vertical="center"/>
    </xf>
    <xf numFmtId="166" fontId="20" fillId="11" borderId="45" xfId="0" applyNumberFormat="1" applyFont="1" applyFill="1" applyBorder="1" applyAlignment="1">
      <alignment vertical="center"/>
    </xf>
    <xf numFmtId="0" fontId="10" fillId="11" borderId="52" xfId="0" applyFont="1" applyFill="1" applyBorder="1" applyAlignment="1">
      <alignment vertical="center"/>
    </xf>
    <xf numFmtId="0" fontId="10" fillId="11" borderId="53" xfId="0" applyFont="1" applyFill="1" applyBorder="1" applyAlignment="1">
      <alignment vertical="center"/>
    </xf>
    <xf numFmtId="43" fontId="10" fillId="11" borderId="50" xfId="0" applyNumberFormat="1" applyFont="1" applyFill="1" applyBorder="1" applyAlignment="1">
      <alignment vertical="center"/>
    </xf>
    <xf numFmtId="43" fontId="20" fillId="11" borderId="51" xfId="0" applyNumberFormat="1" applyFont="1" applyFill="1" applyBorder="1" applyAlignment="1">
      <alignment vertical="center"/>
    </xf>
    <xf numFmtId="43" fontId="10" fillId="11" borderId="52" xfId="0" applyNumberFormat="1" applyFont="1" applyFill="1" applyBorder="1" applyAlignment="1">
      <alignment vertical="center"/>
    </xf>
    <xf numFmtId="43" fontId="20" fillId="11" borderId="53" xfId="0" applyNumberFormat="1" applyFont="1" applyFill="1" applyBorder="1" applyAlignment="1">
      <alignment vertical="center"/>
    </xf>
    <xf numFmtId="43" fontId="10" fillId="11" borderId="54" xfId="0" applyNumberFormat="1" applyFont="1" applyFill="1" applyBorder="1" applyAlignment="1">
      <alignment vertical="center"/>
    </xf>
    <xf numFmtId="43" fontId="20" fillId="11" borderId="45" xfId="0" applyNumberFormat="1" applyFont="1" applyFill="1" applyBorder="1" applyAlignment="1">
      <alignment vertical="center"/>
    </xf>
    <xf numFmtId="0" fontId="10" fillId="11" borderId="54" xfId="0" applyFont="1" applyFill="1" applyBorder="1" applyAlignment="1">
      <alignment vertical="center"/>
    </xf>
    <xf numFmtId="43" fontId="10" fillId="12" borderId="51" xfId="2" applyFont="1" applyFill="1" applyBorder="1" applyAlignment="1">
      <alignment vertical="center"/>
    </xf>
    <xf numFmtId="43" fontId="10" fillId="12" borderId="53" xfId="2" applyFont="1" applyFill="1" applyBorder="1" applyAlignment="1">
      <alignment vertical="center"/>
    </xf>
    <xf numFmtId="0" fontId="20" fillId="12" borderId="56" xfId="0" applyFont="1" applyFill="1" applyBorder="1" applyAlignment="1">
      <alignment vertical="center"/>
    </xf>
    <xf numFmtId="43" fontId="10" fillId="13" borderId="50" xfId="0" applyNumberFormat="1" applyFont="1" applyFill="1" applyBorder="1" applyAlignment="1">
      <alignment vertical="center"/>
    </xf>
    <xf numFmtId="43" fontId="10" fillId="13" borderId="52" xfId="0" applyNumberFormat="1" applyFont="1" applyFill="1" applyBorder="1" applyAlignment="1">
      <alignment vertical="center"/>
    </xf>
    <xf numFmtId="0" fontId="0" fillId="13" borderId="54" xfId="0" applyFill="1" applyBorder="1"/>
    <xf numFmtId="43" fontId="10" fillId="14" borderId="50" xfId="2" applyFont="1" applyFill="1" applyBorder="1" applyAlignment="1">
      <alignment vertical="center"/>
    </xf>
    <xf numFmtId="0" fontId="20" fillId="14" borderId="51" xfId="0" applyFont="1" applyFill="1" applyBorder="1" applyAlignment="1">
      <alignment vertical="center"/>
    </xf>
    <xf numFmtId="43" fontId="10" fillId="14" borderId="52" xfId="2" applyFont="1" applyFill="1" applyBorder="1" applyAlignment="1">
      <alignment vertical="center"/>
    </xf>
    <xf numFmtId="0" fontId="20" fillId="14" borderId="53" xfId="0" applyFont="1" applyFill="1" applyBorder="1" applyAlignment="1">
      <alignment vertical="center"/>
    </xf>
    <xf numFmtId="0" fontId="0" fillId="14" borderId="54" xfId="0" applyFill="1" applyBorder="1"/>
    <xf numFmtId="0" fontId="0" fillId="14" borderId="45" xfId="0" applyFill="1" applyBorder="1"/>
    <xf numFmtId="2" fontId="25" fillId="14" borderId="51" xfId="0" applyNumberFormat="1" applyFont="1" applyFill="1" applyBorder="1" applyAlignment="1">
      <alignment vertical="center"/>
    </xf>
    <xf numFmtId="2" fontId="25" fillId="14" borderId="53" xfId="0" applyNumberFormat="1" applyFont="1" applyFill="1" applyBorder="1" applyAlignment="1">
      <alignment vertical="center"/>
    </xf>
    <xf numFmtId="43" fontId="10" fillId="14" borderId="54" xfId="2" applyFont="1" applyFill="1" applyBorder="1" applyAlignment="1">
      <alignment vertical="center"/>
    </xf>
    <xf numFmtId="166" fontId="20" fillId="14" borderId="45" xfId="0" applyNumberFormat="1" applyFont="1" applyFill="1" applyBorder="1" applyAlignment="1">
      <alignment vertical="center"/>
    </xf>
    <xf numFmtId="0" fontId="10" fillId="14" borderId="52" xfId="0" applyFont="1" applyFill="1" applyBorder="1" applyAlignment="1">
      <alignment vertical="center"/>
    </xf>
    <xf numFmtId="0" fontId="10" fillId="14" borderId="53" xfId="0" applyFont="1" applyFill="1" applyBorder="1" applyAlignment="1">
      <alignment vertical="center"/>
    </xf>
    <xf numFmtId="43" fontId="10" fillId="14" borderId="50" xfId="0" applyNumberFormat="1" applyFont="1" applyFill="1" applyBorder="1" applyAlignment="1">
      <alignment vertical="center"/>
    </xf>
    <xf numFmtId="43" fontId="20" fillId="14" borderId="51" xfId="0" applyNumberFormat="1" applyFont="1" applyFill="1" applyBorder="1" applyAlignment="1">
      <alignment vertical="center"/>
    </xf>
    <xf numFmtId="43" fontId="10" fillId="14" borderId="52" xfId="0" applyNumberFormat="1" applyFont="1" applyFill="1" applyBorder="1" applyAlignment="1">
      <alignment vertical="center"/>
    </xf>
    <xf numFmtId="43" fontId="20" fillId="14" borderId="53" xfId="0" applyNumberFormat="1" applyFont="1" applyFill="1" applyBorder="1" applyAlignment="1">
      <alignment vertical="center"/>
    </xf>
    <xf numFmtId="43" fontId="10" fillId="14" borderId="54" xfId="0" applyNumberFormat="1" applyFont="1" applyFill="1" applyBorder="1" applyAlignment="1">
      <alignment vertical="center"/>
    </xf>
    <xf numFmtId="43" fontId="20" fillId="14" borderId="45" xfId="0" applyNumberFormat="1" applyFont="1" applyFill="1" applyBorder="1" applyAlignment="1">
      <alignment vertical="center"/>
    </xf>
    <xf numFmtId="43" fontId="20" fillId="14" borderId="56" xfId="0" applyNumberFormat="1" applyFont="1" applyFill="1" applyBorder="1" applyAlignment="1">
      <alignment vertical="center"/>
    </xf>
    <xf numFmtId="43" fontId="20" fillId="14" borderId="4" xfId="0" applyNumberFormat="1" applyFont="1" applyFill="1" applyBorder="1" applyAlignment="1">
      <alignment vertical="center"/>
    </xf>
    <xf numFmtId="0" fontId="10" fillId="14" borderId="54" xfId="0" applyFont="1" applyFill="1" applyBorder="1" applyAlignment="1">
      <alignment vertical="center"/>
    </xf>
    <xf numFmtId="0" fontId="10" fillId="14" borderId="55" xfId="0" applyFont="1" applyFill="1" applyBorder="1" applyAlignment="1">
      <alignment vertical="center"/>
    </xf>
    <xf numFmtId="0" fontId="29" fillId="15" borderId="64" xfId="0" applyFont="1" applyFill="1" applyBorder="1" applyAlignment="1">
      <alignment horizontal="right" vertical="top" wrapText="1"/>
    </xf>
    <xf numFmtId="0" fontId="33" fillId="0" borderId="0" xfId="0" applyFont="1" applyAlignment="1">
      <alignment horizontal="center" vertical="center"/>
    </xf>
    <xf numFmtId="49" fontId="7" fillId="2" borderId="10" xfId="0" applyNumberFormat="1" applyFont="1" applyFill="1" applyBorder="1" applyAlignment="1">
      <alignment horizontal="center" vertical="center"/>
    </xf>
    <xf numFmtId="49" fontId="9" fillId="3" borderId="2" xfId="0" applyNumberFormat="1" applyFont="1" applyFill="1" applyBorder="1" applyAlignment="1">
      <alignment horizontal="center" vertical="center"/>
    </xf>
    <xf numFmtId="49" fontId="9" fillId="4" borderId="2" xfId="0" applyNumberFormat="1" applyFont="1" applyFill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7" fillId="2" borderId="39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4" fontId="9" fillId="4" borderId="66" xfId="0" applyNumberFormat="1" applyFont="1" applyFill="1" applyBorder="1" applyAlignment="1">
      <alignment horizontal="center" vertical="center"/>
    </xf>
    <xf numFmtId="164" fontId="9" fillId="3" borderId="66" xfId="0" applyNumberFormat="1" applyFont="1" applyFill="1" applyBorder="1" applyAlignment="1">
      <alignment horizontal="center" vertical="center"/>
    </xf>
    <xf numFmtId="164" fontId="9" fillId="4" borderId="67" xfId="0" applyNumberFormat="1" applyFont="1" applyFill="1" applyBorder="1" applyAlignment="1">
      <alignment horizontal="center" vertical="center"/>
    </xf>
    <xf numFmtId="43" fontId="7" fillId="2" borderId="46" xfId="2" applyFont="1" applyFill="1" applyBorder="1" applyAlignment="1">
      <alignment horizontal="center" vertical="center"/>
    </xf>
    <xf numFmtId="43" fontId="7" fillId="2" borderId="39" xfId="2" applyFont="1" applyFill="1" applyBorder="1" applyAlignment="1">
      <alignment horizontal="center" vertical="center"/>
    </xf>
    <xf numFmtId="43" fontId="9" fillId="4" borderId="66" xfId="2" applyFont="1" applyFill="1" applyBorder="1" applyAlignment="1">
      <alignment horizontal="center" vertical="center"/>
    </xf>
    <xf numFmtId="164" fontId="9" fillId="3" borderId="69" xfId="0" applyNumberFormat="1" applyFont="1" applyFill="1" applyBorder="1" applyAlignment="1">
      <alignment horizontal="center" vertical="center"/>
    </xf>
    <xf numFmtId="164" fontId="9" fillId="4" borderId="69" xfId="0" applyNumberFormat="1" applyFont="1" applyFill="1" applyBorder="1" applyAlignment="1">
      <alignment horizontal="center" vertical="center"/>
    </xf>
    <xf numFmtId="0" fontId="34" fillId="0" borderId="4" xfId="9"/>
    <xf numFmtId="49" fontId="9" fillId="4" borderId="2" xfId="0" applyNumberFormat="1" applyFont="1" applyFill="1" applyBorder="1" applyAlignment="1">
      <alignment horizontal="left" vertical="center"/>
    </xf>
    <xf numFmtId="49" fontId="9" fillId="3" borderId="2" xfId="0" applyNumberFormat="1" applyFont="1" applyFill="1" applyBorder="1" applyAlignment="1">
      <alignment horizontal="left" vertical="center"/>
    </xf>
    <xf numFmtId="0" fontId="7" fillId="2" borderId="8" xfId="0" applyFont="1" applyFill="1" applyBorder="1" applyAlignment="1">
      <alignment horizontal="right" vertical="center"/>
    </xf>
    <xf numFmtId="44" fontId="7" fillId="2" borderId="12" xfId="1" applyFont="1" applyFill="1" applyBorder="1" applyAlignment="1">
      <alignment horizontal="right" vertical="center"/>
    </xf>
    <xf numFmtId="164" fontId="7" fillId="2" borderId="12" xfId="0" applyNumberFormat="1" applyFont="1" applyFill="1" applyBorder="1" applyAlignment="1">
      <alignment horizontal="center" vertical="center"/>
    </xf>
    <xf numFmtId="164" fontId="7" fillId="2" borderId="68" xfId="0" applyNumberFormat="1" applyFont="1" applyFill="1" applyBorder="1" applyAlignment="1">
      <alignment horizontal="center" vertical="center"/>
    </xf>
    <xf numFmtId="43" fontId="8" fillId="2" borderId="68" xfId="2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4" fillId="0" borderId="4" xfId="15" applyNumberFormat="1" applyFont="1" applyFill="1" applyBorder="1" applyAlignment="1"/>
    <xf numFmtId="0" fontId="38" fillId="16" borderId="71" xfId="15" applyNumberFormat="1" applyFont="1" applyFill="1" applyBorder="1" applyAlignment="1">
      <alignment horizontal="center" vertical="center"/>
    </xf>
    <xf numFmtId="0" fontId="38" fillId="0" borderId="71" xfId="15" applyNumberFormat="1" applyFont="1" applyFill="1" applyBorder="1" applyAlignment="1"/>
    <xf numFmtId="2" fontId="34" fillId="0" borderId="71" xfId="15" applyNumberFormat="1" applyFont="1" applyFill="1" applyBorder="1" applyAlignment="1">
      <alignment horizontal="center" vertical="center"/>
    </xf>
    <xf numFmtId="0" fontId="34" fillId="0" borderId="4" xfId="15" applyNumberFormat="1" applyFont="1" applyFill="1" applyBorder="1" applyAlignment="1">
      <alignment horizontal="center" vertical="center"/>
    </xf>
    <xf numFmtId="2" fontId="34" fillId="0" borderId="4" xfId="15" applyNumberFormat="1" applyFont="1" applyFill="1" applyBorder="1" applyAlignment="1">
      <alignment horizontal="center" vertical="center"/>
    </xf>
    <xf numFmtId="0" fontId="34" fillId="0" borderId="4" xfId="15" applyNumberFormat="1" applyFont="1" applyFill="1" applyBorder="1" applyAlignment="1">
      <alignment vertical="center"/>
    </xf>
    <xf numFmtId="0" fontId="38" fillId="16" borderId="4" xfId="15" applyNumberFormat="1" applyFont="1" applyFill="1" applyBorder="1" applyAlignment="1">
      <alignment vertical="center"/>
    </xf>
    <xf numFmtId="179" fontId="38" fillId="16" borderId="4" xfId="15" applyNumberFormat="1" applyFont="1" applyFill="1" applyBorder="1" applyAlignment="1">
      <alignment vertical="center"/>
    </xf>
    <xf numFmtId="0" fontId="38" fillId="16" borderId="74" xfId="15" applyNumberFormat="1" applyFont="1" applyFill="1" applyBorder="1" applyAlignment="1">
      <alignment vertical="center"/>
    </xf>
    <xf numFmtId="2" fontId="34" fillId="16" borderId="71" xfId="15" applyNumberFormat="1" applyFont="1" applyFill="1" applyBorder="1" applyAlignment="1">
      <alignment horizontal="center" vertical="center"/>
    </xf>
    <xf numFmtId="2" fontId="34" fillId="0" borderId="4" xfId="15" applyNumberFormat="1" applyFont="1" applyFill="1" applyBorder="1" applyAlignment="1">
      <alignment vertical="center"/>
    </xf>
    <xf numFmtId="0" fontId="38" fillId="6" borderId="4" xfId="15" applyNumberFormat="1" applyFont="1" applyFill="1" applyBorder="1" applyAlignment="1">
      <alignment vertical="center"/>
    </xf>
    <xf numFmtId="179" fontId="38" fillId="6" borderId="4" xfId="15" applyNumberFormat="1" applyFont="1" applyFill="1" applyBorder="1" applyAlignment="1">
      <alignment vertical="center"/>
    </xf>
    <xf numFmtId="44" fontId="34" fillId="0" borderId="4" xfId="15" applyNumberFormat="1" applyFont="1" applyFill="1" applyBorder="1" applyAlignment="1"/>
    <xf numFmtId="44" fontId="34" fillId="6" borderId="4" xfId="15" applyNumberFormat="1" applyFont="1" applyFill="1" applyBorder="1" applyAlignment="1"/>
    <xf numFmtId="44" fontId="39" fillId="0" borderId="4" xfId="1" applyFont="1" applyBorder="1" applyAlignment="1">
      <alignment vertical="center"/>
    </xf>
    <xf numFmtId="43" fontId="9" fillId="0" borderId="0" xfId="0" applyNumberFormat="1" applyFont="1" applyAlignment="1">
      <alignment vertical="center"/>
    </xf>
    <xf numFmtId="43" fontId="17" fillId="4" borderId="66" xfId="2" applyFont="1" applyFill="1" applyBorder="1" applyAlignment="1">
      <alignment horizontal="center" vertical="center"/>
    </xf>
    <xf numFmtId="44" fontId="0" fillId="0" borderId="0" xfId="0" applyNumberFormat="1"/>
    <xf numFmtId="164" fontId="9" fillId="3" borderId="69" xfId="0" applyNumberFormat="1" applyFont="1" applyFill="1" applyBorder="1" applyAlignment="1">
      <alignment horizontal="center" vertical="center" wrapText="1"/>
    </xf>
    <xf numFmtId="4" fontId="34" fillId="0" borderId="4" xfId="9" applyNumberFormat="1"/>
    <xf numFmtId="44" fontId="40" fillId="0" borderId="4" xfId="1" applyFont="1" applyBorder="1"/>
    <xf numFmtId="164" fontId="17" fillId="4" borderId="70" xfId="0" applyNumberFormat="1" applyFont="1" applyFill="1" applyBorder="1" applyAlignment="1">
      <alignment horizontal="center" vertical="center"/>
    </xf>
    <xf numFmtId="0" fontId="1" fillId="0" borderId="0" xfId="0" quotePrefix="1" applyFont="1"/>
    <xf numFmtId="44" fontId="33" fillId="0" borderId="0" xfId="1" applyFont="1" applyAlignment="1">
      <alignment horizontal="center" vertical="center"/>
    </xf>
    <xf numFmtId="44" fontId="40" fillId="0" borderId="4" xfId="1" applyFont="1" applyBorder="1" applyAlignment="1">
      <alignment horizontal="center" vertical="center"/>
    </xf>
    <xf numFmtId="0" fontId="10" fillId="0" borderId="75" xfId="0" applyFont="1" applyBorder="1" applyAlignment="1">
      <alignment vertical="center"/>
    </xf>
    <xf numFmtId="0" fontId="7" fillId="2" borderId="46" xfId="0" applyFont="1" applyFill="1" applyBorder="1" applyAlignment="1">
      <alignment horizontal="center" vertical="center"/>
    </xf>
    <xf numFmtId="4" fontId="9" fillId="4" borderId="76" xfId="0" applyNumberFormat="1" applyFont="1" applyFill="1" applyBorder="1" applyAlignment="1">
      <alignment horizontal="center" vertical="center"/>
    </xf>
    <xf numFmtId="4" fontId="9" fillId="3" borderId="77" xfId="0" applyNumberFormat="1" applyFont="1" applyFill="1" applyBorder="1" applyAlignment="1">
      <alignment horizontal="center" vertical="center"/>
    </xf>
    <xf numFmtId="4" fontId="9" fillId="4" borderId="55" xfId="0" applyNumberFormat="1" applyFont="1" applyFill="1" applyBorder="1" applyAlignment="1">
      <alignment horizontal="center" vertical="center"/>
    </xf>
    <xf numFmtId="0" fontId="7" fillId="2" borderId="78" xfId="0" applyFont="1" applyFill="1" applyBorder="1" applyAlignment="1">
      <alignment horizontal="center" vertical="center"/>
    </xf>
    <xf numFmtId="44" fontId="9" fillId="4" borderId="42" xfId="1" applyFont="1" applyFill="1" applyBorder="1" applyAlignment="1">
      <alignment vertical="center"/>
    </xf>
    <xf numFmtId="4" fontId="9" fillId="4" borderId="79" xfId="0" applyNumberFormat="1" applyFont="1" applyFill="1" applyBorder="1" applyAlignment="1">
      <alignment horizontal="center" vertical="center"/>
    </xf>
    <xf numFmtId="4" fontId="9" fillId="3" borderId="69" xfId="0" applyNumberFormat="1" applyFont="1" applyFill="1" applyBorder="1" applyAlignment="1">
      <alignment horizontal="center" vertical="center"/>
    </xf>
    <xf numFmtId="4" fontId="9" fillId="4" borderId="80" xfId="0" applyNumberFormat="1" applyFont="1" applyFill="1" applyBorder="1" applyAlignment="1">
      <alignment horizontal="center" vertical="center"/>
    </xf>
    <xf numFmtId="4" fontId="9" fillId="4" borderId="8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0" fontId="9" fillId="4" borderId="82" xfId="0" applyFont="1" applyFill="1" applyBorder="1" applyAlignment="1">
      <alignment horizontal="left" vertical="center"/>
    </xf>
    <xf numFmtId="44" fontId="9" fillId="4" borderId="83" xfId="1" applyFont="1" applyFill="1" applyBorder="1" applyAlignment="1">
      <alignment vertical="center"/>
    </xf>
    <xf numFmtId="0" fontId="9" fillId="3" borderId="84" xfId="0" applyFont="1" applyFill="1" applyBorder="1" applyAlignment="1">
      <alignment horizontal="left" vertical="center"/>
    </xf>
    <xf numFmtId="44" fontId="9" fillId="3" borderId="83" xfId="1" applyFont="1" applyFill="1" applyBorder="1" applyAlignment="1">
      <alignment horizontal="center" vertical="center"/>
    </xf>
    <xf numFmtId="44" fontId="9" fillId="4" borderId="85" xfId="1" applyFont="1" applyFill="1" applyBorder="1" applyAlignment="1">
      <alignment horizontal="center" vertical="center"/>
    </xf>
    <xf numFmtId="0" fontId="9" fillId="4" borderId="86" xfId="0" applyFont="1" applyFill="1" applyBorder="1" applyAlignment="1">
      <alignment horizontal="left" vertical="center"/>
    </xf>
    <xf numFmtId="44" fontId="9" fillId="4" borderId="26" xfId="1" applyFont="1" applyFill="1" applyBorder="1" applyAlignment="1">
      <alignment horizontal="center" vertical="center"/>
    </xf>
    <xf numFmtId="164" fontId="9" fillId="17" borderId="2" xfId="0" applyNumberFormat="1" applyFont="1" applyFill="1" applyBorder="1" applyAlignment="1">
      <alignment horizontal="left" vertical="center"/>
    </xf>
    <xf numFmtId="4" fontId="10" fillId="0" borderId="0" xfId="0" applyNumberFormat="1" applyFont="1" applyAlignment="1">
      <alignment horizontal="center" vertical="center"/>
    </xf>
    <xf numFmtId="0" fontId="20" fillId="0" borderId="4" xfId="0" applyFont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9" fillId="18" borderId="1" xfId="0" applyFont="1" applyFill="1" applyBorder="1" applyAlignment="1">
      <alignment horizontal="left" vertical="center"/>
    </xf>
    <xf numFmtId="0" fontId="9" fillId="17" borderId="1" xfId="0" applyFont="1" applyFill="1" applyBorder="1" applyAlignment="1">
      <alignment horizontal="left" vertical="center"/>
    </xf>
    <xf numFmtId="10" fontId="9" fillId="17" borderId="2" xfId="0" applyNumberFormat="1" applyFont="1" applyFill="1" applyBorder="1" applyAlignment="1">
      <alignment horizontal="center" vertical="center"/>
    </xf>
    <xf numFmtId="164" fontId="9" fillId="17" borderId="3" xfId="0" applyNumberFormat="1" applyFont="1" applyFill="1" applyBorder="1" applyAlignment="1">
      <alignment horizontal="center" vertical="center"/>
    </xf>
    <xf numFmtId="10" fontId="7" fillId="2" borderId="10" xfId="0" applyNumberFormat="1" applyFont="1" applyFill="1" applyBorder="1" applyAlignment="1">
      <alignment horizontal="center" vertical="center"/>
    </xf>
    <xf numFmtId="173" fontId="0" fillId="0" borderId="0" xfId="0" applyNumberFormat="1"/>
    <xf numFmtId="44" fontId="10" fillId="0" borderId="0" xfId="0" applyNumberFormat="1" applyFont="1" applyAlignment="1">
      <alignment vertical="center"/>
    </xf>
    <xf numFmtId="44" fontId="39" fillId="0" borderId="4" xfId="9" applyNumberFormat="1" applyFont="1" applyAlignment="1">
      <alignment horizontal="center" vertical="center"/>
    </xf>
    <xf numFmtId="44" fontId="34" fillId="0" borderId="4" xfId="1" applyFont="1" applyFill="1" applyBorder="1" applyAlignment="1"/>
    <xf numFmtId="44" fontId="41" fillId="0" borderId="0" xfId="1" applyFont="1" applyAlignment="1">
      <alignment horizontal="center" vertical="center"/>
    </xf>
    <xf numFmtId="172" fontId="39" fillId="0" borderId="4" xfId="9" applyNumberFormat="1" applyFont="1" applyAlignment="1">
      <alignment vertical="center"/>
    </xf>
    <xf numFmtId="180" fontId="40" fillId="0" borderId="4" xfId="1" applyNumberFormat="1" applyFont="1" applyFill="1" applyBorder="1" applyAlignment="1">
      <alignment horizontal="center" vertical="center"/>
    </xf>
    <xf numFmtId="44" fontId="40" fillId="0" borderId="4" xfId="1" applyFont="1" applyFill="1" applyBorder="1" applyAlignment="1">
      <alignment horizontal="center" vertical="center"/>
    </xf>
    <xf numFmtId="176" fontId="43" fillId="9" borderId="90" xfId="15" applyNumberFormat="1" applyFont="1" applyFill="1" applyBorder="1" applyAlignment="1">
      <alignment horizontal="right" vertical="top" wrapText="1"/>
    </xf>
    <xf numFmtId="0" fontId="43" fillId="20" borderId="90" xfId="0" applyFont="1" applyFill="1" applyBorder="1" applyAlignment="1">
      <alignment horizontal="left" vertical="top" wrapText="1"/>
    </xf>
    <xf numFmtId="0" fontId="43" fillId="19" borderId="90" xfId="0" applyFont="1" applyFill="1" applyBorder="1" applyAlignment="1">
      <alignment horizontal="left" vertical="top" wrapText="1"/>
    </xf>
    <xf numFmtId="0" fontId="42" fillId="19" borderId="90" xfId="0" applyFont="1" applyFill="1" applyBorder="1" applyAlignment="1">
      <alignment horizontal="left" vertical="top" wrapText="1"/>
    </xf>
    <xf numFmtId="0" fontId="33" fillId="0" borderId="0" xfId="0" applyFont="1" applyAlignment="1">
      <alignment horizontal="left" vertical="center"/>
    </xf>
    <xf numFmtId="0" fontId="45" fillId="19" borderId="4" xfId="0" applyFont="1" applyFill="1" applyBorder="1" applyAlignment="1">
      <alignment horizontal="left" vertical="top" wrapText="1"/>
    </xf>
    <xf numFmtId="0" fontId="45" fillId="19" borderId="4" xfId="0" applyFont="1" applyFill="1" applyBorder="1" applyAlignment="1">
      <alignment horizontal="center" vertical="top" wrapText="1"/>
    </xf>
    <xf numFmtId="0" fontId="45" fillId="19" borderId="4" xfId="0" applyFont="1" applyFill="1" applyBorder="1" applyAlignment="1">
      <alignment horizontal="right" vertical="top" wrapText="1"/>
    </xf>
    <xf numFmtId="170" fontId="42" fillId="19" borderId="87" xfId="0" applyNumberFormat="1" applyFont="1" applyFill="1" applyBorder="1" applyAlignment="1">
      <alignment horizontal="right" vertical="top" wrapText="1"/>
    </xf>
    <xf numFmtId="170" fontId="42" fillId="19" borderId="88" xfId="0" applyNumberFormat="1" applyFont="1" applyFill="1" applyBorder="1" applyAlignment="1">
      <alignment horizontal="right" vertical="top" wrapText="1"/>
    </xf>
    <xf numFmtId="170" fontId="42" fillId="19" borderId="89" xfId="0" applyNumberFormat="1" applyFont="1" applyFill="1" applyBorder="1" applyAlignment="1">
      <alignment horizontal="right" vertical="top" wrapText="1"/>
    </xf>
    <xf numFmtId="0" fontId="43" fillId="20" borderId="87" xfId="0" applyFont="1" applyFill="1" applyBorder="1" applyAlignment="1">
      <alignment horizontal="right" vertical="top" wrapText="1"/>
    </xf>
    <xf numFmtId="0" fontId="43" fillId="20" borderId="88" xfId="0" applyFont="1" applyFill="1" applyBorder="1" applyAlignment="1">
      <alignment horizontal="right" vertical="top" wrapText="1"/>
    </xf>
    <xf numFmtId="0" fontId="43" fillId="20" borderId="89" xfId="0" applyFont="1" applyFill="1" applyBorder="1" applyAlignment="1">
      <alignment horizontal="right" vertical="top" wrapText="1"/>
    </xf>
    <xf numFmtId="0" fontId="42" fillId="19" borderId="87" xfId="0" applyFont="1" applyFill="1" applyBorder="1" applyAlignment="1">
      <alignment horizontal="left" vertical="top" wrapText="1"/>
    </xf>
    <xf numFmtId="0" fontId="42" fillId="19" borderId="88" xfId="0" applyFont="1" applyFill="1" applyBorder="1" applyAlignment="1">
      <alignment horizontal="left" vertical="top" wrapText="1"/>
    </xf>
    <xf numFmtId="0" fontId="42" fillId="19" borderId="89" xfId="0" applyFont="1" applyFill="1" applyBorder="1" applyAlignment="1">
      <alignment horizontal="left" vertical="top" wrapText="1"/>
    </xf>
    <xf numFmtId="173" fontId="42" fillId="19" borderId="87" xfId="0" applyNumberFormat="1" applyFont="1" applyFill="1" applyBorder="1" applyAlignment="1">
      <alignment horizontal="right" vertical="top" wrapText="1"/>
    </xf>
    <xf numFmtId="173" fontId="42" fillId="19" borderId="88" xfId="0" applyNumberFormat="1" applyFont="1" applyFill="1" applyBorder="1" applyAlignment="1">
      <alignment horizontal="right" vertical="top" wrapText="1"/>
    </xf>
    <xf numFmtId="173" fontId="42" fillId="19" borderId="89" xfId="0" applyNumberFormat="1" applyFont="1" applyFill="1" applyBorder="1" applyAlignment="1">
      <alignment horizontal="right" vertical="top" wrapText="1"/>
    </xf>
    <xf numFmtId="175" fontId="42" fillId="19" borderId="87" xfId="0" applyNumberFormat="1" applyFont="1" applyFill="1" applyBorder="1" applyAlignment="1">
      <alignment horizontal="right" vertical="top" wrapText="1"/>
    </xf>
    <xf numFmtId="175" fontId="42" fillId="19" borderId="88" xfId="0" applyNumberFormat="1" applyFont="1" applyFill="1" applyBorder="1" applyAlignment="1">
      <alignment horizontal="right" vertical="top" wrapText="1"/>
    </xf>
    <xf numFmtId="175" fontId="42" fillId="19" borderId="89" xfId="0" applyNumberFormat="1" applyFont="1" applyFill="1" applyBorder="1" applyAlignment="1">
      <alignment horizontal="right" vertical="top" wrapText="1"/>
    </xf>
    <xf numFmtId="0" fontId="46" fillId="19" borderId="94" xfId="0" applyFont="1" applyFill="1" applyBorder="1" applyAlignment="1">
      <alignment horizontal="left" vertical="top" wrapText="1"/>
    </xf>
    <xf numFmtId="0" fontId="46" fillId="19" borderId="94" xfId="0" applyFont="1" applyFill="1" applyBorder="1" applyAlignment="1">
      <alignment horizontal="center" vertical="top" wrapText="1"/>
    </xf>
    <xf numFmtId="0" fontId="46" fillId="19" borderId="94" xfId="0" applyFont="1" applyFill="1" applyBorder="1" applyAlignment="1">
      <alignment horizontal="right" vertical="top" wrapText="1"/>
    </xf>
    <xf numFmtId="170" fontId="43" fillId="19" borderId="87" xfId="0" applyNumberFormat="1" applyFont="1" applyFill="1" applyBorder="1" applyAlignment="1">
      <alignment horizontal="right" vertical="top" wrapText="1"/>
    </xf>
    <xf numFmtId="170" fontId="43" fillId="19" borderId="88" xfId="0" applyNumberFormat="1" applyFont="1" applyFill="1" applyBorder="1" applyAlignment="1">
      <alignment horizontal="right" vertical="top" wrapText="1"/>
    </xf>
    <xf numFmtId="170" fontId="43" fillId="19" borderId="89" xfId="0" applyNumberFormat="1" applyFont="1" applyFill="1" applyBorder="1" applyAlignment="1">
      <alignment horizontal="right" vertical="top" wrapText="1"/>
    </xf>
    <xf numFmtId="0" fontId="43" fillId="19" borderId="87" xfId="0" applyFont="1" applyFill="1" applyBorder="1" applyAlignment="1">
      <alignment horizontal="left" vertical="top" wrapText="1"/>
    </xf>
    <xf numFmtId="0" fontId="43" fillId="19" borderId="88" xfId="0" applyFont="1" applyFill="1" applyBorder="1" applyAlignment="1">
      <alignment horizontal="left" vertical="top" wrapText="1"/>
    </xf>
    <xf numFmtId="0" fontId="43" fillId="19" borderId="89" xfId="0" applyFont="1" applyFill="1" applyBorder="1" applyAlignment="1">
      <alignment horizontal="left" vertical="top" wrapText="1"/>
    </xf>
    <xf numFmtId="0" fontId="43" fillId="19" borderId="87" xfId="0" applyFont="1" applyFill="1" applyBorder="1" applyAlignment="1">
      <alignment horizontal="right" vertical="top" wrapText="1"/>
    </xf>
    <xf numFmtId="0" fontId="43" fillId="19" borderId="88" xfId="0" applyFont="1" applyFill="1" applyBorder="1" applyAlignment="1">
      <alignment horizontal="right" vertical="top" wrapText="1"/>
    </xf>
    <xf numFmtId="0" fontId="43" fillId="19" borderId="89" xfId="0" applyFont="1" applyFill="1" applyBorder="1" applyAlignment="1">
      <alignment horizontal="right" vertical="top" wrapText="1"/>
    </xf>
    <xf numFmtId="171" fontId="42" fillId="19" borderId="87" xfId="0" applyNumberFormat="1" applyFont="1" applyFill="1" applyBorder="1" applyAlignment="1">
      <alignment horizontal="right" vertical="top" wrapText="1"/>
    </xf>
    <xf numFmtId="171" fontId="42" fillId="19" borderId="88" xfId="0" applyNumberFormat="1" applyFont="1" applyFill="1" applyBorder="1" applyAlignment="1">
      <alignment horizontal="right" vertical="top" wrapText="1"/>
    </xf>
    <xf numFmtId="171" fontId="42" fillId="19" borderId="89" xfId="0" applyNumberFormat="1" applyFont="1" applyFill="1" applyBorder="1" applyAlignment="1">
      <alignment horizontal="right" vertical="top" wrapText="1"/>
    </xf>
    <xf numFmtId="4" fontId="42" fillId="19" borderId="87" xfId="0" applyNumberFormat="1" applyFont="1" applyFill="1" applyBorder="1" applyAlignment="1">
      <alignment horizontal="right" vertical="top" wrapText="1"/>
    </xf>
    <xf numFmtId="4" fontId="42" fillId="19" borderId="88" xfId="0" applyNumberFormat="1" applyFont="1" applyFill="1" applyBorder="1" applyAlignment="1">
      <alignment horizontal="right" vertical="top" wrapText="1"/>
    </xf>
    <xf numFmtId="4" fontId="42" fillId="19" borderId="89" xfId="0" applyNumberFormat="1" applyFont="1" applyFill="1" applyBorder="1" applyAlignment="1">
      <alignment horizontal="right" vertical="top" wrapText="1"/>
    </xf>
    <xf numFmtId="177" fontId="43" fillId="20" borderId="87" xfId="0" applyNumberFormat="1" applyFont="1" applyFill="1" applyBorder="1" applyAlignment="1">
      <alignment horizontal="right" vertical="top" wrapText="1"/>
    </xf>
    <xf numFmtId="177" fontId="43" fillId="20" borderId="88" xfId="0" applyNumberFormat="1" applyFont="1" applyFill="1" applyBorder="1" applyAlignment="1">
      <alignment horizontal="right" vertical="top" wrapText="1"/>
    </xf>
    <xf numFmtId="177" fontId="43" fillId="20" borderId="89" xfId="0" applyNumberFormat="1" applyFont="1" applyFill="1" applyBorder="1" applyAlignment="1">
      <alignment horizontal="right" vertical="top" wrapText="1"/>
    </xf>
    <xf numFmtId="168" fontId="42" fillId="19" borderId="87" xfId="0" applyNumberFormat="1" applyFont="1" applyFill="1" applyBorder="1" applyAlignment="1">
      <alignment horizontal="right" vertical="top" wrapText="1"/>
    </xf>
    <xf numFmtId="168" fontId="42" fillId="19" borderId="88" xfId="0" applyNumberFormat="1" applyFont="1" applyFill="1" applyBorder="1" applyAlignment="1">
      <alignment horizontal="right" vertical="top" wrapText="1"/>
    </xf>
    <xf numFmtId="168" fontId="42" fillId="19" borderId="89" xfId="0" applyNumberFormat="1" applyFont="1" applyFill="1" applyBorder="1" applyAlignment="1">
      <alignment horizontal="right" vertical="top" wrapText="1"/>
    </xf>
    <xf numFmtId="176" fontId="42" fillId="19" borderId="87" xfId="0" applyNumberFormat="1" applyFont="1" applyFill="1" applyBorder="1" applyAlignment="1">
      <alignment horizontal="right" vertical="top" wrapText="1"/>
    </xf>
    <xf numFmtId="176" fontId="42" fillId="19" borderId="88" xfId="0" applyNumberFormat="1" applyFont="1" applyFill="1" applyBorder="1" applyAlignment="1">
      <alignment horizontal="right" vertical="top" wrapText="1"/>
    </xf>
    <xf numFmtId="176" fontId="42" fillId="19" borderId="89" xfId="0" applyNumberFormat="1" applyFont="1" applyFill="1" applyBorder="1" applyAlignment="1">
      <alignment horizontal="right" vertical="top" wrapText="1"/>
    </xf>
    <xf numFmtId="172" fontId="43" fillId="20" borderId="87" xfId="0" applyNumberFormat="1" applyFont="1" applyFill="1" applyBorder="1" applyAlignment="1">
      <alignment horizontal="right" vertical="top" wrapText="1"/>
    </xf>
    <xf numFmtId="172" fontId="43" fillId="20" borderId="88" xfId="0" applyNumberFormat="1" applyFont="1" applyFill="1" applyBorder="1" applyAlignment="1">
      <alignment horizontal="right" vertical="top" wrapText="1"/>
    </xf>
    <xf numFmtId="172" fontId="43" fillId="20" borderId="89" xfId="0" applyNumberFormat="1" applyFont="1" applyFill="1" applyBorder="1" applyAlignment="1">
      <alignment horizontal="right" vertical="top" wrapText="1"/>
    </xf>
    <xf numFmtId="169" fontId="42" fillId="19" borderId="87" xfId="0" applyNumberFormat="1" applyFont="1" applyFill="1" applyBorder="1" applyAlignment="1">
      <alignment horizontal="right" vertical="top" wrapText="1"/>
    </xf>
    <xf numFmtId="169" fontId="42" fillId="19" borderId="88" xfId="0" applyNumberFormat="1" applyFont="1" applyFill="1" applyBorder="1" applyAlignment="1">
      <alignment horizontal="right" vertical="top" wrapText="1"/>
    </xf>
    <xf numFmtId="169" fontId="42" fillId="19" borderId="89" xfId="0" applyNumberFormat="1" applyFont="1" applyFill="1" applyBorder="1" applyAlignment="1">
      <alignment horizontal="right" vertical="top" wrapText="1"/>
    </xf>
    <xf numFmtId="167" fontId="43" fillId="19" borderId="87" xfId="0" applyNumberFormat="1" applyFont="1" applyFill="1" applyBorder="1" applyAlignment="1">
      <alignment horizontal="right" vertical="top" wrapText="1"/>
    </xf>
    <xf numFmtId="167" fontId="43" fillId="19" borderId="88" xfId="0" applyNumberFormat="1" applyFont="1" applyFill="1" applyBorder="1" applyAlignment="1">
      <alignment horizontal="right" vertical="top" wrapText="1"/>
    </xf>
    <xf numFmtId="167" fontId="43" fillId="19" borderId="89" xfId="0" applyNumberFormat="1" applyFont="1" applyFill="1" applyBorder="1" applyAlignment="1">
      <alignment horizontal="right" vertical="top" wrapText="1"/>
    </xf>
    <xf numFmtId="174" fontId="42" fillId="19" borderId="87" xfId="0" applyNumberFormat="1" applyFont="1" applyFill="1" applyBorder="1" applyAlignment="1">
      <alignment horizontal="right" vertical="top" wrapText="1"/>
    </xf>
    <xf numFmtId="174" fontId="42" fillId="19" borderId="88" xfId="0" applyNumberFormat="1" applyFont="1" applyFill="1" applyBorder="1" applyAlignment="1">
      <alignment horizontal="right" vertical="top" wrapText="1"/>
    </xf>
    <xf numFmtId="174" fontId="42" fillId="19" borderId="89" xfId="0" applyNumberFormat="1" applyFont="1" applyFill="1" applyBorder="1" applyAlignment="1">
      <alignment horizontal="right" vertical="top" wrapText="1"/>
    </xf>
    <xf numFmtId="4" fontId="43" fillId="19" borderId="87" xfId="0" applyNumberFormat="1" applyFont="1" applyFill="1" applyBorder="1" applyAlignment="1">
      <alignment horizontal="right" vertical="top" wrapText="1"/>
    </xf>
    <xf numFmtId="4" fontId="43" fillId="19" borderId="88" xfId="0" applyNumberFormat="1" applyFont="1" applyFill="1" applyBorder="1" applyAlignment="1">
      <alignment horizontal="right" vertical="top" wrapText="1"/>
    </xf>
    <xf numFmtId="4" fontId="43" fillId="19" borderId="89" xfId="0" applyNumberFormat="1" applyFont="1" applyFill="1" applyBorder="1" applyAlignment="1">
      <alignment horizontal="right" vertical="top" wrapText="1"/>
    </xf>
    <xf numFmtId="167" fontId="42" fillId="19" borderId="87" xfId="0" applyNumberFormat="1" applyFont="1" applyFill="1" applyBorder="1" applyAlignment="1">
      <alignment horizontal="right" vertical="top" wrapText="1"/>
    </xf>
    <xf numFmtId="167" fontId="42" fillId="19" borderId="88" xfId="0" applyNumberFormat="1" applyFont="1" applyFill="1" applyBorder="1" applyAlignment="1">
      <alignment horizontal="right" vertical="top" wrapText="1"/>
    </xf>
    <xf numFmtId="167" fontId="42" fillId="19" borderId="89" xfId="0" applyNumberFormat="1" applyFont="1" applyFill="1" applyBorder="1" applyAlignment="1">
      <alignment horizontal="right" vertical="top" wrapText="1"/>
    </xf>
    <xf numFmtId="172" fontId="43" fillId="19" borderId="87" xfId="0" applyNumberFormat="1" applyFont="1" applyFill="1" applyBorder="1" applyAlignment="1">
      <alignment horizontal="right" vertical="top" wrapText="1"/>
    </xf>
    <xf numFmtId="172" fontId="43" fillId="19" borderId="88" xfId="0" applyNumberFormat="1" applyFont="1" applyFill="1" applyBorder="1" applyAlignment="1">
      <alignment horizontal="right" vertical="top" wrapText="1"/>
    </xf>
    <xf numFmtId="172" fontId="43" fillId="19" borderId="89" xfId="0" applyNumberFormat="1" applyFont="1" applyFill="1" applyBorder="1" applyAlignment="1">
      <alignment horizontal="right" vertical="top" wrapText="1"/>
    </xf>
    <xf numFmtId="176" fontId="43" fillId="19" borderId="87" xfId="0" applyNumberFormat="1" applyFont="1" applyFill="1" applyBorder="1" applyAlignment="1">
      <alignment horizontal="right" vertical="top" wrapText="1"/>
    </xf>
    <xf numFmtId="176" fontId="43" fillId="19" borderId="88" xfId="0" applyNumberFormat="1" applyFont="1" applyFill="1" applyBorder="1" applyAlignment="1">
      <alignment horizontal="right" vertical="top" wrapText="1"/>
    </xf>
    <xf numFmtId="176" fontId="43" fillId="19" borderId="89" xfId="0" applyNumberFormat="1" applyFont="1" applyFill="1" applyBorder="1" applyAlignment="1">
      <alignment horizontal="right" vertical="top" wrapText="1"/>
    </xf>
    <xf numFmtId="178" fontId="42" fillId="19" borderId="87" xfId="0" applyNumberFormat="1" applyFont="1" applyFill="1" applyBorder="1" applyAlignment="1">
      <alignment horizontal="right" vertical="top" wrapText="1"/>
    </xf>
    <xf numFmtId="178" fontId="42" fillId="19" borderId="88" xfId="0" applyNumberFormat="1" applyFont="1" applyFill="1" applyBorder="1" applyAlignment="1">
      <alignment horizontal="right" vertical="top" wrapText="1"/>
    </xf>
    <xf numFmtId="178" fontId="42" fillId="19" borderId="89" xfId="0" applyNumberFormat="1" applyFont="1" applyFill="1" applyBorder="1" applyAlignment="1">
      <alignment horizontal="right" vertical="top" wrapText="1"/>
    </xf>
    <xf numFmtId="0" fontId="43" fillId="20" borderId="87" xfId="0" applyFont="1" applyFill="1" applyBorder="1" applyAlignment="1">
      <alignment horizontal="left" vertical="top" wrapText="1"/>
    </xf>
    <xf numFmtId="0" fontId="43" fillId="20" borderId="88" xfId="0" applyFont="1" applyFill="1" applyBorder="1" applyAlignment="1">
      <alignment horizontal="left" vertical="top" wrapText="1"/>
    </xf>
    <xf numFmtId="0" fontId="43" fillId="20" borderId="89" xfId="0" applyFont="1" applyFill="1" applyBorder="1" applyAlignment="1">
      <alignment horizontal="left" vertical="top" wrapText="1"/>
    </xf>
    <xf numFmtId="0" fontId="44" fillId="19" borderId="4" xfId="0" applyFont="1" applyFill="1" applyBorder="1" applyAlignment="1">
      <alignment horizontal="left" vertical="top" wrapText="1"/>
    </xf>
    <xf numFmtId="172" fontId="42" fillId="19" borderId="87" xfId="0" applyNumberFormat="1" applyFont="1" applyFill="1" applyBorder="1" applyAlignment="1">
      <alignment horizontal="right" vertical="top" wrapText="1"/>
    </xf>
    <xf numFmtId="172" fontId="42" fillId="19" borderId="88" xfId="0" applyNumberFormat="1" applyFont="1" applyFill="1" applyBorder="1" applyAlignment="1">
      <alignment horizontal="right" vertical="top" wrapText="1"/>
    </xf>
    <xf numFmtId="172" fontId="42" fillId="19" borderId="89" xfId="0" applyNumberFormat="1" applyFont="1" applyFill="1" applyBorder="1" applyAlignment="1">
      <alignment horizontal="right" vertical="top" wrapText="1"/>
    </xf>
    <xf numFmtId="174" fontId="43" fillId="19" borderId="87" xfId="0" applyNumberFormat="1" applyFont="1" applyFill="1" applyBorder="1" applyAlignment="1">
      <alignment horizontal="right" vertical="top" wrapText="1"/>
    </xf>
    <xf numFmtId="174" fontId="43" fillId="19" borderId="88" xfId="0" applyNumberFormat="1" applyFont="1" applyFill="1" applyBorder="1" applyAlignment="1">
      <alignment horizontal="right" vertical="top" wrapText="1"/>
    </xf>
    <xf numFmtId="174" fontId="43" fillId="19" borderId="89" xfId="0" applyNumberFormat="1" applyFont="1" applyFill="1" applyBorder="1" applyAlignment="1">
      <alignment horizontal="right" vertical="top" wrapText="1"/>
    </xf>
    <xf numFmtId="2" fontId="43" fillId="19" borderId="87" xfId="0" applyNumberFormat="1" applyFont="1" applyFill="1" applyBorder="1" applyAlignment="1">
      <alignment horizontal="right" vertical="top" wrapText="1"/>
    </xf>
    <xf numFmtId="2" fontId="43" fillId="19" borderId="88" xfId="0" applyNumberFormat="1" applyFont="1" applyFill="1" applyBorder="1" applyAlignment="1">
      <alignment horizontal="right" vertical="top" wrapText="1"/>
    </xf>
    <xf numFmtId="2" fontId="43" fillId="19" borderId="89" xfId="0" applyNumberFormat="1" applyFont="1" applyFill="1" applyBorder="1" applyAlignment="1">
      <alignment horizontal="right" vertical="top" wrapText="1"/>
    </xf>
    <xf numFmtId="0" fontId="47" fillId="19" borderId="95" xfId="0" applyFont="1" applyFill="1" applyBorder="1" applyAlignment="1">
      <alignment horizontal="center" vertical="center" wrapText="1"/>
    </xf>
    <xf numFmtId="0" fontId="47" fillId="19" borderId="94" xfId="0" applyFont="1" applyFill="1" applyBorder="1" applyAlignment="1">
      <alignment horizontal="center" vertical="center" wrapText="1"/>
    </xf>
    <xf numFmtId="0" fontId="47" fillId="19" borderId="91" xfId="0" applyFont="1" applyFill="1" applyBorder="1" applyAlignment="1">
      <alignment horizontal="center" vertical="center" wrapText="1"/>
    </xf>
    <xf numFmtId="0" fontId="47" fillId="19" borderId="96" xfId="0" applyFont="1" applyFill="1" applyBorder="1" applyAlignment="1">
      <alignment horizontal="center" vertical="center" wrapText="1"/>
    </xf>
    <xf numFmtId="0" fontId="47" fillId="19" borderId="4" xfId="0" applyFont="1" applyFill="1" applyBorder="1" applyAlignment="1">
      <alignment horizontal="center" vertical="center" wrapText="1"/>
    </xf>
    <xf numFmtId="0" fontId="47" fillId="19" borderId="92" xfId="0" applyFont="1" applyFill="1" applyBorder="1" applyAlignment="1">
      <alignment horizontal="center" vertical="center" wrapText="1"/>
    </xf>
    <xf numFmtId="0" fontId="48" fillId="19" borderId="94" xfId="0" applyFont="1" applyFill="1" applyBorder="1" applyAlignment="1">
      <alignment horizontal="center" vertical="top" wrapText="1"/>
    </xf>
    <xf numFmtId="0" fontId="48" fillId="19" borderId="91" xfId="0" applyFont="1" applyFill="1" applyBorder="1" applyAlignment="1">
      <alignment horizontal="center" vertical="top" wrapText="1"/>
    </xf>
    <xf numFmtId="0" fontId="49" fillId="19" borderId="4" xfId="0" applyFont="1" applyFill="1" applyBorder="1" applyAlignment="1">
      <alignment horizontal="center" vertical="top" wrapText="1"/>
    </xf>
    <xf numFmtId="0" fontId="49" fillId="19" borderId="92" xfId="0" applyFont="1" applyFill="1" applyBorder="1" applyAlignment="1">
      <alignment horizontal="center" vertical="top" wrapText="1"/>
    </xf>
    <xf numFmtId="0" fontId="47" fillId="19" borderId="97" xfId="0" applyFont="1" applyFill="1" applyBorder="1" applyAlignment="1">
      <alignment horizontal="center" vertical="center" wrapText="1"/>
    </xf>
    <xf numFmtId="0" fontId="47" fillId="19" borderId="98" xfId="0" applyFont="1" applyFill="1" applyBorder="1" applyAlignment="1">
      <alignment horizontal="center" vertical="center" wrapText="1"/>
    </xf>
    <xf numFmtId="0" fontId="47" fillId="19" borderId="93" xfId="0" applyFont="1" applyFill="1" applyBorder="1" applyAlignment="1">
      <alignment horizontal="center" vertical="center" wrapText="1"/>
    </xf>
    <xf numFmtId="0" fontId="48" fillId="19" borderId="98" xfId="0" applyFont="1" applyFill="1" applyBorder="1" applyAlignment="1">
      <alignment horizontal="center" vertical="top" wrapText="1"/>
    </xf>
    <xf numFmtId="0" fontId="48" fillId="19" borderId="93" xfId="0" applyFont="1" applyFill="1" applyBorder="1" applyAlignment="1">
      <alignment horizontal="center" vertical="top" wrapText="1"/>
    </xf>
    <xf numFmtId="0" fontId="44" fillId="19" borderId="4" xfId="0" applyFont="1" applyFill="1" applyBorder="1" applyAlignment="1">
      <alignment horizontal="center" vertical="center" wrapText="1"/>
    </xf>
    <xf numFmtId="0" fontId="44" fillId="19" borderId="4" xfId="0" applyFont="1" applyFill="1" applyBorder="1" applyAlignment="1">
      <alignment horizontal="center" vertical="top" wrapText="1"/>
    </xf>
    <xf numFmtId="167" fontId="42" fillId="19" borderId="87" xfId="15" applyNumberFormat="1" applyFont="1" applyFill="1" applyBorder="1" applyAlignment="1">
      <alignment horizontal="right" vertical="top" wrapText="1"/>
    </xf>
    <xf numFmtId="167" fontId="42" fillId="19" borderId="88" xfId="15" applyNumberFormat="1" applyFont="1" applyFill="1" applyBorder="1" applyAlignment="1">
      <alignment horizontal="right" vertical="top" wrapText="1"/>
    </xf>
    <xf numFmtId="167" fontId="42" fillId="19" borderId="89" xfId="15" applyNumberFormat="1" applyFont="1" applyFill="1" applyBorder="1" applyAlignment="1">
      <alignment horizontal="right" vertical="top" wrapText="1"/>
    </xf>
    <xf numFmtId="172" fontId="42" fillId="19" borderId="87" xfId="15" applyNumberFormat="1" applyFont="1" applyFill="1" applyBorder="1" applyAlignment="1">
      <alignment horizontal="right" vertical="top" wrapText="1"/>
    </xf>
    <xf numFmtId="172" fontId="42" fillId="19" borderId="88" xfId="15" applyNumberFormat="1" applyFont="1" applyFill="1" applyBorder="1" applyAlignment="1">
      <alignment horizontal="right" vertical="top" wrapText="1"/>
    </xf>
    <xf numFmtId="172" fontId="42" fillId="19" borderId="89" xfId="15" applyNumberFormat="1" applyFont="1" applyFill="1" applyBorder="1" applyAlignment="1">
      <alignment horizontal="right" vertical="top" wrapText="1"/>
    </xf>
    <xf numFmtId="177" fontId="43" fillId="9" borderId="87" xfId="15" applyNumberFormat="1" applyFont="1" applyFill="1" applyBorder="1" applyAlignment="1">
      <alignment horizontal="right" vertical="top" wrapText="1"/>
    </xf>
    <xf numFmtId="177" fontId="43" fillId="9" borderId="88" xfId="15" applyNumberFormat="1" applyFont="1" applyFill="1" applyBorder="1" applyAlignment="1">
      <alignment horizontal="right" vertical="top" wrapText="1"/>
    </xf>
    <xf numFmtId="177" fontId="43" fillId="9" borderId="89" xfId="15" applyNumberFormat="1" applyFont="1" applyFill="1" applyBorder="1" applyAlignment="1">
      <alignment horizontal="right" vertical="top" wrapText="1"/>
    </xf>
    <xf numFmtId="170" fontId="42" fillId="19" borderId="87" xfId="15" applyNumberFormat="1" applyFont="1" applyFill="1" applyBorder="1" applyAlignment="1">
      <alignment horizontal="right" vertical="top" wrapText="1"/>
    </xf>
    <xf numFmtId="170" fontId="42" fillId="19" borderId="88" xfId="15" applyNumberFormat="1" applyFont="1" applyFill="1" applyBorder="1" applyAlignment="1">
      <alignment horizontal="right" vertical="top" wrapText="1"/>
    </xf>
    <xf numFmtId="170" fontId="42" fillId="19" borderId="89" xfId="15" applyNumberFormat="1" applyFont="1" applyFill="1" applyBorder="1" applyAlignment="1">
      <alignment horizontal="right" vertical="top" wrapText="1"/>
    </xf>
    <xf numFmtId="0" fontId="29" fillId="15" borderId="64" xfId="0" applyFont="1" applyFill="1" applyBorder="1" applyAlignment="1">
      <alignment horizontal="right" vertical="top" wrapText="1"/>
    </xf>
    <xf numFmtId="0" fontId="30" fillId="0" borderId="64" xfId="0" applyFont="1" applyBorder="1" applyAlignment="1">
      <alignment horizontal="left" vertical="top" wrapText="1"/>
    </xf>
    <xf numFmtId="0" fontId="28" fillId="0" borderId="63" xfId="0" applyFont="1" applyBorder="1" applyAlignment="1">
      <alignment horizontal="center" vertical="center" wrapText="1"/>
    </xf>
    <xf numFmtId="0" fontId="28" fillId="0" borderId="63" xfId="0" applyFont="1" applyBorder="1" applyAlignment="1">
      <alignment horizontal="center" vertical="top" wrapText="1"/>
    </xf>
    <xf numFmtId="0" fontId="35" fillId="0" borderId="57" xfId="0" applyFont="1" applyBorder="1" applyAlignment="1">
      <alignment horizontal="center" vertical="center" wrapText="1"/>
    </xf>
    <xf numFmtId="0" fontId="35" fillId="0" borderId="59" xfId="0" applyFont="1" applyBorder="1" applyAlignment="1">
      <alignment horizontal="center" vertical="center" wrapText="1"/>
    </xf>
    <xf numFmtId="0" fontId="28" fillId="0" borderId="58" xfId="0" applyFont="1" applyBorder="1" applyAlignment="1">
      <alignment horizontal="center" vertical="top" wrapText="1"/>
    </xf>
    <xf numFmtId="0" fontId="36" fillId="0" borderId="60" xfId="0" applyFont="1" applyBorder="1" applyAlignment="1">
      <alignment horizontal="center" vertical="top" wrapText="1"/>
    </xf>
    <xf numFmtId="0" fontId="37" fillId="0" borderId="60" xfId="0" applyFont="1" applyBorder="1" applyAlignment="1">
      <alignment horizontal="center" vertical="top" wrapText="1"/>
    </xf>
    <xf numFmtId="0" fontId="35" fillId="0" borderId="61" xfId="0" applyFont="1" applyBorder="1" applyAlignment="1">
      <alignment horizontal="center" vertical="center" wrapText="1"/>
    </xf>
    <xf numFmtId="0" fontId="28" fillId="0" borderId="62" xfId="0" applyFont="1" applyBorder="1" applyAlignment="1">
      <alignment horizontal="center" vertical="top" wrapText="1"/>
    </xf>
    <xf numFmtId="0" fontId="28" fillId="0" borderId="63" xfId="0" applyFont="1" applyBorder="1" applyAlignment="1">
      <alignment horizontal="left" vertical="top" wrapText="1"/>
    </xf>
    <xf numFmtId="0" fontId="29" fillId="15" borderId="64" xfId="0" applyFont="1" applyFill="1" applyBorder="1" applyAlignment="1">
      <alignment horizontal="left" vertical="top" wrapText="1"/>
    </xf>
    <xf numFmtId="0" fontId="32" fillId="0" borderId="65" xfId="0" applyFont="1" applyBorder="1" applyAlignment="1">
      <alignment horizontal="left" vertical="top" wrapText="1"/>
    </xf>
    <xf numFmtId="0" fontId="32" fillId="0" borderId="65" xfId="0" applyFont="1" applyBorder="1" applyAlignment="1">
      <alignment horizontal="center" vertical="top" wrapText="1"/>
    </xf>
    <xf numFmtId="0" fontId="32" fillId="0" borderId="65" xfId="0" applyFont="1" applyBorder="1" applyAlignment="1">
      <alignment horizontal="right" vertical="top" wrapText="1"/>
    </xf>
    <xf numFmtId="0" fontId="31" fillId="0" borderId="63" xfId="0" applyFont="1" applyBorder="1" applyAlignment="1">
      <alignment horizontal="left" vertical="top" wrapText="1"/>
    </xf>
    <xf numFmtId="0" fontId="31" fillId="0" borderId="63" xfId="0" applyFont="1" applyBorder="1" applyAlignment="1">
      <alignment horizontal="center" vertical="top" wrapText="1"/>
    </xf>
    <xf numFmtId="0" fontId="31" fillId="0" borderId="63" xfId="0" applyFont="1" applyBorder="1" applyAlignment="1">
      <alignment horizontal="right" vertical="top" wrapText="1"/>
    </xf>
    <xf numFmtId="172" fontId="43" fillId="9" borderId="87" xfId="15" applyNumberFormat="1" applyFont="1" applyFill="1" applyBorder="1" applyAlignment="1">
      <alignment horizontal="right" vertical="top" wrapText="1"/>
    </xf>
    <xf numFmtId="172" fontId="43" fillId="9" borderId="88" xfId="15" applyNumberFormat="1" applyFont="1" applyFill="1" applyBorder="1" applyAlignment="1">
      <alignment horizontal="right" vertical="top" wrapText="1"/>
    </xf>
    <xf numFmtId="172" fontId="43" fillId="9" borderId="89" xfId="15" applyNumberFormat="1" applyFont="1" applyFill="1" applyBorder="1" applyAlignment="1">
      <alignment horizontal="right" vertical="top" wrapText="1"/>
    </xf>
    <xf numFmtId="4" fontId="10" fillId="11" borderId="30" xfId="0" applyNumberFormat="1" applyFont="1" applyFill="1" applyBorder="1" applyAlignment="1">
      <alignment horizontal="center" vertical="center"/>
    </xf>
    <xf numFmtId="4" fontId="10" fillId="11" borderId="25" xfId="0" applyNumberFormat="1" applyFont="1" applyFill="1" applyBorder="1" applyAlignment="1">
      <alignment horizontal="center" vertical="center"/>
    </xf>
    <xf numFmtId="0" fontId="10" fillId="13" borderId="55" xfId="0" applyFont="1" applyFill="1" applyBorder="1" applyAlignment="1">
      <alignment horizontal="center" vertical="center"/>
    </xf>
    <xf numFmtId="0" fontId="10" fillId="13" borderId="45" xfId="0" applyFont="1" applyFill="1" applyBorder="1" applyAlignment="1">
      <alignment horizontal="center" vertical="center"/>
    </xf>
    <xf numFmtId="0" fontId="0" fillId="12" borderId="30" xfId="0" applyFill="1" applyBorder="1" applyAlignment="1">
      <alignment horizontal="center"/>
    </xf>
    <xf numFmtId="0" fontId="0" fillId="12" borderId="25" xfId="0" applyFill="1" applyBorder="1" applyAlignment="1">
      <alignment horizontal="center"/>
    </xf>
    <xf numFmtId="0" fontId="10" fillId="14" borderId="50" xfId="0" applyFont="1" applyFill="1" applyBorder="1" applyAlignment="1">
      <alignment horizontal="center" vertical="center"/>
    </xf>
    <xf numFmtId="0" fontId="10" fillId="14" borderId="51" xfId="0" applyFont="1" applyFill="1" applyBorder="1" applyAlignment="1">
      <alignment horizontal="center" vertical="center"/>
    </xf>
    <xf numFmtId="0" fontId="10" fillId="14" borderId="30" xfId="0" applyFont="1" applyFill="1" applyBorder="1" applyAlignment="1">
      <alignment horizontal="center" vertical="center"/>
    </xf>
    <xf numFmtId="0" fontId="10" fillId="14" borderId="25" xfId="0" applyFont="1" applyFill="1" applyBorder="1" applyAlignment="1">
      <alignment horizontal="center" vertical="center"/>
    </xf>
    <xf numFmtId="4" fontId="10" fillId="14" borderId="30" xfId="0" applyNumberFormat="1" applyFont="1" applyFill="1" applyBorder="1" applyAlignment="1">
      <alignment horizontal="center" vertical="center"/>
    </xf>
    <xf numFmtId="4" fontId="10" fillId="14" borderId="25" xfId="0" applyNumberFormat="1" applyFont="1" applyFill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13" borderId="56" xfId="0" applyFont="1" applyFill="1" applyBorder="1" applyAlignment="1">
      <alignment horizontal="center" vertical="center"/>
    </xf>
    <xf numFmtId="0" fontId="10" fillId="13" borderId="51" xfId="0" applyFont="1" applyFill="1" applyBorder="1" applyAlignment="1">
      <alignment horizontal="center" vertical="center"/>
    </xf>
    <xf numFmtId="0" fontId="10" fillId="11" borderId="30" xfId="0" applyFont="1" applyFill="1" applyBorder="1" applyAlignment="1">
      <alignment horizontal="center" vertical="center"/>
    </xf>
    <xf numFmtId="0" fontId="10" fillId="11" borderId="25" xfId="0" applyFont="1" applyFill="1" applyBorder="1" applyAlignment="1">
      <alignment horizontal="center" vertical="center"/>
    </xf>
    <xf numFmtId="0" fontId="10" fillId="11" borderId="50" xfId="0" applyFont="1" applyFill="1" applyBorder="1" applyAlignment="1">
      <alignment horizontal="center" vertical="center"/>
    </xf>
    <xf numFmtId="0" fontId="10" fillId="11" borderId="51" xfId="0" applyFont="1" applyFill="1" applyBorder="1" applyAlignment="1">
      <alignment horizontal="center" vertical="center"/>
    </xf>
    <xf numFmtId="0" fontId="10" fillId="12" borderId="30" xfId="0" applyFont="1" applyFill="1" applyBorder="1" applyAlignment="1">
      <alignment horizontal="center" vertical="center"/>
    </xf>
    <xf numFmtId="0" fontId="10" fillId="12" borderId="25" xfId="0" applyFont="1" applyFill="1" applyBorder="1" applyAlignment="1">
      <alignment horizontal="center" vertical="center"/>
    </xf>
    <xf numFmtId="0" fontId="10" fillId="12" borderId="50" xfId="0" applyFont="1" applyFill="1" applyBorder="1" applyAlignment="1">
      <alignment horizontal="center" vertical="center"/>
    </xf>
    <xf numFmtId="0" fontId="10" fillId="12" borderId="51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7" fillId="2" borderId="38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49" fontId="7" fillId="2" borderId="10" xfId="0" applyNumberFormat="1" applyFont="1" applyFill="1" applyBorder="1" applyAlignment="1">
      <alignment horizontal="center" vertical="center"/>
    </xf>
    <xf numFmtId="0" fontId="7" fillId="2" borderId="39" xfId="0" applyFont="1" applyFill="1" applyBorder="1" applyAlignment="1">
      <alignment horizontal="center" vertical="center"/>
    </xf>
    <xf numFmtId="0" fontId="7" fillId="2" borderId="49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48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8" fillId="2" borderId="46" xfId="0" applyFont="1" applyFill="1" applyBorder="1" applyAlignment="1">
      <alignment horizontal="center" vertical="center"/>
    </xf>
    <xf numFmtId="0" fontId="8" fillId="2" borderId="47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10" borderId="30" xfId="0" applyFont="1" applyFill="1" applyBorder="1" applyAlignment="1">
      <alignment horizontal="center" vertical="center"/>
    </xf>
    <xf numFmtId="0" fontId="7" fillId="10" borderId="24" xfId="0" applyFont="1" applyFill="1" applyBorder="1" applyAlignment="1">
      <alignment horizontal="center" vertical="center"/>
    </xf>
    <xf numFmtId="0" fontId="7" fillId="10" borderId="25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38" fillId="0" borderId="4" xfId="15" applyNumberFormat="1" applyFont="1" applyFill="1" applyBorder="1" applyAlignment="1">
      <alignment horizontal="center" vertical="center"/>
    </xf>
    <xf numFmtId="2" fontId="34" fillId="0" borderId="72" xfId="15" applyNumberFormat="1" applyFont="1" applyFill="1" applyBorder="1" applyAlignment="1">
      <alignment horizontal="center" vertical="center"/>
    </xf>
    <xf numFmtId="2" fontId="34" fillId="0" borderId="73" xfId="15" applyNumberFormat="1" applyFont="1" applyFill="1" applyBorder="1" applyAlignment="1">
      <alignment horizontal="center" vertical="center"/>
    </xf>
    <xf numFmtId="10" fontId="42" fillId="19" borderId="90" xfId="8" applyNumberFormat="1" applyFont="1" applyFill="1" applyBorder="1" applyAlignment="1">
      <alignment horizontal="right" vertical="top" wrapText="1"/>
    </xf>
    <xf numFmtId="9" fontId="43" fillId="9" borderId="90" xfId="8" applyFont="1" applyFill="1" applyBorder="1" applyAlignment="1">
      <alignment horizontal="right" vertical="top" wrapText="1"/>
    </xf>
    <xf numFmtId="44" fontId="39" fillId="21" borderId="4" xfId="1" applyFont="1" applyFill="1" applyBorder="1" applyAlignment="1">
      <alignment vertical="center"/>
    </xf>
    <xf numFmtId="167" fontId="50" fillId="19" borderId="87" xfId="15" applyNumberFormat="1" applyFont="1" applyFill="1" applyBorder="1" applyAlignment="1">
      <alignment horizontal="right" vertical="top" wrapText="1"/>
    </xf>
    <xf numFmtId="167" fontId="50" fillId="19" borderId="88" xfId="15" applyNumberFormat="1" applyFont="1" applyFill="1" applyBorder="1" applyAlignment="1">
      <alignment horizontal="right" vertical="top" wrapText="1"/>
    </xf>
    <xf numFmtId="167" fontId="50" fillId="19" borderId="89" xfId="15" applyNumberFormat="1" applyFont="1" applyFill="1" applyBorder="1" applyAlignment="1">
      <alignment horizontal="right" vertical="top" wrapText="1"/>
    </xf>
  </cellXfs>
  <cellStyles count="16">
    <cellStyle name="Comma" xfId="13"/>
    <cellStyle name="Comma [0]" xfId="14"/>
    <cellStyle name="Currency" xfId="11"/>
    <cellStyle name="Currency [0]" xfId="12"/>
    <cellStyle name="Moeda" xfId="1" builtinId="4"/>
    <cellStyle name="Normal" xfId="0" builtinId="0"/>
    <cellStyle name="Normal 2" xfId="3"/>
    <cellStyle name="Normal 2 2" xfId="6"/>
    <cellStyle name="Normal 3" xfId="5"/>
    <cellStyle name="Normal 4" xfId="9"/>
    <cellStyle name="Normal 5" xfId="15"/>
    <cellStyle name="Percent" xfId="10"/>
    <cellStyle name="Porcentagem" xfId="8" builtinId="5"/>
    <cellStyle name="Porcentagem 2" xfId="4"/>
    <cellStyle name="Porcentagem 2 2" xfId="7"/>
    <cellStyle name="Vírgula" xfId="2" builtinId="3"/>
  </cellStyles>
  <dxfs count="0"/>
  <tableStyles count="1" defaultTableStyle="TableStyleMedium2" defaultPivotStyle="PivotStyleLight16">
    <tableStyle name="Estilo de Tabela 1" pivot="0" count="0"/>
  </tableStyles>
  <colors>
    <mruColors>
      <color rgb="FF1212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externalLink" Target="externalLinks/externalLink3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[CTN-GMF- ATA - Apresentação Orçamento - R00ok.xlsx]ORÇAMENTO_EXECUTIVO!Tabela dinâmica1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ORÇAMENTO_EXECUTIVO!$B$25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ORÇAMENTO_EXECUTIVO!$A$26:$A$44</c:f>
              <c:strCache>
                <c:ptCount val="18"/>
                <c:pt idx="0">
                  <c:v>SUPRAESTRUTURA</c:v>
                </c:pt>
                <c:pt idx="1">
                  <c:v>ESQUADRIAS, VIDROS E FERRAGENS</c:v>
                </c:pt>
                <c:pt idx="2">
                  <c:v>GERENCIAMENTO TÉCNICO E ADMINISTRATIVO</c:v>
                </c:pt>
                <c:pt idx="3">
                  <c:v>INSTALAÇÕES ELÉTRICAS, HIDRÁULICAS, GLP E PREVENTIVAS</c:v>
                </c:pt>
                <c:pt idx="4">
                  <c:v>ACABAMENTOS EM PISO E PAREDE</c:v>
                </c:pt>
                <c:pt idx="5">
                  <c:v>SERVIÇOS COMPLEMENTARES</c:v>
                </c:pt>
                <c:pt idx="6">
                  <c:v>INFRAESTRUTURA</c:v>
                </c:pt>
                <c:pt idx="7">
                  <c:v>REVESTIMENTOS INTERNOS EM PISO E PAREDE</c:v>
                </c:pt>
                <c:pt idx="8">
                  <c:v>EQUIPAMENTOS E SISTEMAS ESPECIAIS</c:v>
                </c:pt>
                <c:pt idx="9">
                  <c:v>PINTURA INTERNA</c:v>
                </c:pt>
                <c:pt idx="10">
                  <c:v>ALVENARIA</c:v>
                </c:pt>
                <c:pt idx="11">
                  <c:v>IMPREVISTOS E CONTINGENCIAS</c:v>
                </c:pt>
                <c:pt idx="12">
                  <c:v>IMPERMEABILIZAÇÃO</c:v>
                </c:pt>
                <c:pt idx="13">
                  <c:v>REVESTIMENTOS E ACABAMENTOS DE FACHADA</c:v>
                </c:pt>
                <c:pt idx="14">
                  <c:v>REVESTIMENTOS E ACABAMENTOS INTERNOS EM TETO</c:v>
                </c:pt>
                <c:pt idx="15">
                  <c:v>	CONTENÇÃO</c:v>
                </c:pt>
                <c:pt idx="16">
                  <c:v>MOVIMENTAÇÃO DE TERRA</c:v>
                </c:pt>
                <c:pt idx="17">
                  <c:v>COBERTURA</c:v>
                </c:pt>
              </c:strCache>
            </c:strRef>
          </c:cat>
          <c:val>
            <c:numRef>
              <c:f>ORÇAMENTO_EXECUTIVO!$B$26:$B$44</c:f>
              <c:numCache>
                <c:formatCode>0.00%</c:formatCode>
                <c:ptCount val="18"/>
                <c:pt idx="0">
                  <c:v>0.19774220828158187</c:v>
                </c:pt>
                <c:pt idx="1">
                  <c:v>0.11621611317717528</c:v>
                </c:pt>
                <c:pt idx="2">
                  <c:v>0.11419498673027023</c:v>
                </c:pt>
                <c:pt idx="3">
                  <c:v>0.11166839059170644</c:v>
                </c:pt>
                <c:pt idx="4">
                  <c:v>7.4009087231033915E-2</c:v>
                </c:pt>
                <c:pt idx="5">
                  <c:v>6.1743224880367084E-2</c:v>
                </c:pt>
                <c:pt idx="6">
                  <c:v>5.1473031206866887E-2</c:v>
                </c:pt>
                <c:pt idx="7">
                  <c:v>4.7162246204451787E-2</c:v>
                </c:pt>
                <c:pt idx="8">
                  <c:v>4.2898868542728501E-2</c:v>
                </c:pt>
                <c:pt idx="9">
                  <c:v>4.129205211920791E-2</c:v>
                </c:pt>
                <c:pt idx="10">
                  <c:v>3.7774146999630588E-2</c:v>
                </c:pt>
                <c:pt idx="11">
                  <c:v>2.805950619469812E-2</c:v>
                </c:pt>
                <c:pt idx="12">
                  <c:v>2.0005601654926233E-2</c:v>
                </c:pt>
                <c:pt idx="13">
                  <c:v>1.7456220679733053E-2</c:v>
                </c:pt>
                <c:pt idx="14">
                  <c:v>1.6815604669920128E-2</c:v>
                </c:pt>
                <c:pt idx="15">
                  <c:v>1.6029567827625209E-2</c:v>
                </c:pt>
                <c:pt idx="16">
                  <c:v>4.8617364446299051E-3</c:v>
                </c:pt>
                <c:pt idx="17">
                  <c:v>5.974065634468458E-4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F5-4931-A423-97AA87F8FD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20824671"/>
        <c:axId val="1220826111"/>
      </c:barChart>
      <c:catAx>
        <c:axId val="1220824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20826111"/>
        <c:crosses val="autoZero"/>
        <c:auto val="1"/>
        <c:lblAlgn val="ctr"/>
        <c:lblOffset val="100"/>
        <c:noMultiLvlLbl val="0"/>
      </c:catAx>
      <c:valAx>
        <c:axId val="1220826111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220824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160655</xdr:colOff>
      <xdr:row>0</xdr:row>
      <xdr:rowOff>8255</xdr:rowOff>
    </xdr:from>
    <xdr:to>
      <xdr:col>3</xdr:col>
      <xdr:colOff>103698</xdr:colOff>
      <xdr:row>2</xdr:row>
      <xdr:rowOff>148590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FA1FC7-8A21-4CA1-9886-A77FEC659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655" y="8255"/>
          <a:ext cx="1217295" cy="66230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 editAs="oneCell">
    <xdr:from>
      <xdr:col>0</xdr:col>
      <xdr:colOff>161925</xdr:colOff>
      <xdr:row>0</xdr:row>
      <xdr:rowOff>9525</xdr:rowOff>
    </xdr:from>
    <xdr:to>
      <xdr:col>2</xdr:col>
      <xdr:colOff>444058</xdr:colOff>
      <xdr:row>1</xdr:row>
      <xdr:rowOff>262890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3C109028-530B-42BC-A367-02B10FAD7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655" y="8255"/>
          <a:ext cx="1045845" cy="5022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 editAs="oneCell">
    <xdr:from>
      <xdr:col>0</xdr:col>
      <xdr:colOff>161925</xdr:colOff>
      <xdr:row>0</xdr:row>
      <xdr:rowOff>9525</xdr:rowOff>
    </xdr:from>
    <xdr:to>
      <xdr:col>2</xdr:col>
      <xdr:colOff>444058</xdr:colOff>
      <xdr:row>1</xdr:row>
      <xdr:rowOff>262890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DFBC28FC-592C-47E8-ABA5-A85D1E7D9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655" y="8255"/>
          <a:ext cx="1045845" cy="5022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 editAs="oneCell">
    <xdr:from>
      <xdr:col>0</xdr:col>
      <xdr:colOff>161925</xdr:colOff>
      <xdr:row>0</xdr:row>
      <xdr:rowOff>9525</xdr:rowOff>
    </xdr:from>
    <xdr:to>
      <xdr:col>2</xdr:col>
      <xdr:colOff>444058</xdr:colOff>
      <xdr:row>1</xdr:row>
      <xdr:rowOff>262890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16E4229B-C9B2-45DC-BA0C-0A937E9C5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655" y="8255"/>
          <a:ext cx="1045845" cy="5022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 editAs="oneCell">
    <xdr:from>
      <xdr:col>0</xdr:col>
      <xdr:colOff>161925</xdr:colOff>
      <xdr:row>0</xdr:row>
      <xdr:rowOff>9525</xdr:rowOff>
    </xdr:from>
    <xdr:to>
      <xdr:col>2</xdr:col>
      <xdr:colOff>444058</xdr:colOff>
      <xdr:row>1</xdr:row>
      <xdr:rowOff>262890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EED23797-DA07-4F50-8744-F4AFDA3F7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655" y="8255"/>
          <a:ext cx="1045845" cy="5022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 editAs="oneCell">
    <xdr:from>
      <xdr:col>0</xdr:col>
      <xdr:colOff>161925</xdr:colOff>
      <xdr:row>0</xdr:row>
      <xdr:rowOff>9525</xdr:rowOff>
    </xdr:from>
    <xdr:to>
      <xdr:col>2</xdr:col>
      <xdr:colOff>430088</xdr:colOff>
      <xdr:row>1</xdr:row>
      <xdr:rowOff>231140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9A551173-0E81-4F23-8D59-F68D7FEFD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9525"/>
          <a:ext cx="1042035" cy="49720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 editAs="oneCell">
    <xdr:from>
      <xdr:col>0</xdr:col>
      <xdr:colOff>161925</xdr:colOff>
      <xdr:row>0</xdr:row>
      <xdr:rowOff>9525</xdr:rowOff>
    </xdr:from>
    <xdr:to>
      <xdr:col>2</xdr:col>
      <xdr:colOff>430088</xdr:colOff>
      <xdr:row>1</xdr:row>
      <xdr:rowOff>231140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9A77727A-DFA0-44B2-9D32-02E5FA074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9525"/>
          <a:ext cx="1042035" cy="49720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 editAs="oneCell">
    <xdr:from>
      <xdr:col>0</xdr:col>
      <xdr:colOff>161925</xdr:colOff>
      <xdr:row>0</xdr:row>
      <xdr:rowOff>9525</xdr:rowOff>
    </xdr:from>
    <xdr:to>
      <xdr:col>2</xdr:col>
      <xdr:colOff>444058</xdr:colOff>
      <xdr:row>1</xdr:row>
      <xdr:rowOff>262890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4597C46B-B7DB-4378-BC54-9C063C9D9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9525"/>
          <a:ext cx="1042035" cy="49720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 editAs="oneCell">
    <xdr:from>
      <xdr:col>0</xdr:col>
      <xdr:colOff>161925</xdr:colOff>
      <xdr:row>0</xdr:row>
      <xdr:rowOff>9525</xdr:rowOff>
    </xdr:from>
    <xdr:to>
      <xdr:col>2</xdr:col>
      <xdr:colOff>444058</xdr:colOff>
      <xdr:row>1</xdr:row>
      <xdr:rowOff>262890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01AD02B9-3B93-4924-A047-A25E5709E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9525"/>
          <a:ext cx="1042035" cy="49720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 editAs="oneCell">
    <xdr:from>
      <xdr:col>0</xdr:col>
      <xdr:colOff>161925</xdr:colOff>
      <xdr:row>0</xdr:row>
      <xdr:rowOff>9525</xdr:rowOff>
    </xdr:from>
    <xdr:to>
      <xdr:col>2</xdr:col>
      <xdr:colOff>430088</xdr:colOff>
      <xdr:row>1</xdr:row>
      <xdr:rowOff>232410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E46C57AC-8654-45F9-87B3-A7AEBA7BA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9525"/>
          <a:ext cx="1042035" cy="49720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 editAs="oneCell">
    <xdr:from>
      <xdr:col>0</xdr:col>
      <xdr:colOff>228600</xdr:colOff>
      <xdr:row>0</xdr:row>
      <xdr:rowOff>7620</xdr:rowOff>
    </xdr:from>
    <xdr:to>
      <xdr:col>2</xdr:col>
      <xdr:colOff>500380</xdr:colOff>
      <xdr:row>1</xdr:row>
      <xdr:rowOff>238760</xdr:rowOff>
    </xdr:to>
    <xdr:pic>
      <xdr:nvPicPr>
        <xdr:cNvPr id="14" name="Picture 1">
          <a:extLst>
            <a:ext uri="{FF2B5EF4-FFF2-40B4-BE49-F238E27FC236}">
              <a16:creationId xmlns:a16="http://schemas.microsoft.com/office/drawing/2014/main" id="{22E3B629-FD2C-4357-A14A-287406A0E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620"/>
          <a:ext cx="105918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9525</xdr:rowOff>
    </xdr:from>
    <xdr:to>
      <xdr:col>3</xdr:col>
      <xdr:colOff>34290</xdr:colOff>
      <xdr:row>3</xdr:row>
      <xdr:rowOff>34290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2717DE-3B7B-4C15-BF8F-AB93A4AAD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045" y="8255"/>
          <a:ext cx="1210945" cy="57848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 editAs="oneCell">
    <xdr:from>
      <xdr:col>0</xdr:col>
      <xdr:colOff>104775</xdr:colOff>
      <xdr:row>0</xdr:row>
      <xdr:rowOff>9525</xdr:rowOff>
    </xdr:from>
    <xdr:to>
      <xdr:col>3</xdr:col>
      <xdr:colOff>34290</xdr:colOff>
      <xdr:row>3</xdr:row>
      <xdr:rowOff>34290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9A93907D-98D0-4822-AA1D-B00F68A85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045" y="8255"/>
          <a:ext cx="1210945" cy="578485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460647</xdr:colOff>
      <xdr:row>25</xdr:row>
      <xdr:rowOff>61686</xdr:rowOff>
    </xdr:from>
    <xdr:to>
      <xdr:col>11</xdr:col>
      <xdr:colOff>217714</xdr:colOff>
      <xdr:row>36</xdr:row>
      <xdr:rowOff>110672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24C4238-0A2A-FD2A-28D2-ACF6DA0DE7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198486</xdr:colOff>
      <xdr:row>0</xdr:row>
      <xdr:rowOff>0</xdr:rowOff>
    </xdr:from>
    <xdr:to>
      <xdr:col>29</xdr:col>
      <xdr:colOff>460464</xdr:colOff>
      <xdr:row>22</xdr:row>
      <xdr:rowOff>70575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55A0CF2-7E31-C4C4-2CFB-C2C6E620C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97759" y="0"/>
          <a:ext cx="9494416" cy="551120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114300</xdr:colOff>
      <xdr:row>0</xdr:row>
      <xdr:rowOff>0</xdr:rowOff>
    </xdr:from>
    <xdr:to>
      <xdr:col>21</xdr:col>
      <xdr:colOff>77136</xdr:colOff>
      <xdr:row>36</xdr:row>
      <xdr:rowOff>116169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A219854-96A0-48BD-8CF2-88DB99538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62900" y="0"/>
          <a:ext cx="6058836" cy="637726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AS%20Ramos%20-%2001.2022/02.%20Paessaggio/02.%20Escopo/02.4%20Escopo%20-%20Extra&#231;&#227;o%20de%20quantitativos/CTN_ORC_ED%20PAESAGGIO_MOD_ARQ_R0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GMF%2008.2022/02.%20Escopo/02.4%20Escopo%20-%20Extra&#231;&#227;o%20de%20quantitativos/Or&#231;amento%20base/CTN-ALF-RVL%20-Or&#231;amento%20comentado-R00%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Mabrem%2010.2020/Liberato/03.%20Custo/03.5%20Custo%20-%20Determina&#231;&#227;o%20do%20or&#231;amento/R01/CTN-MBR-LBR-%20EAP_Comentada_R0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Mabrem%2010.2020/Gran%20Torino/03.%20Custo/03.5%20Custo%20-%20Determina&#231;&#227;o%20do%20or&#231;amento/CTN-MBM-GRT-%20Or&#231;amento%20comentado-R00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microsoft.com/office/2019/04/relationships/externalLinkLongPath" Target="/.shortcut-targets-by-id/16oaQUYgx8kiowDwLhg-oO1zGZ777DJUb/2.%20Projetos%20em%20Andamento/Amalfi%20Constru&#231;&#245;es%20e%20Incorpora&#231;&#245;es/Ravello/03.%20Custo/03.5%20Custo%20-%20Determina&#231;&#227;o%20do%20or&#231;amento/CTN-ALF-RVL%20-Or&#231;amento%20comentado-R00%20.xlsx?EC37B5F6" TargetMode="External"/><Relationship Id="rId1" Type="http://schemas.openxmlformats.org/officeDocument/2006/relationships/externalLinkPath" Target="file:///\\EC37B5F6\CTN-ALF-RVL%20-Or&#231;amento%20comentado-R00%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Thozen%20-%2002.2023/03.%20Custo/03.5%20Custo%20-%20Determina&#231;&#227;o%20do%20or&#231;amento/R01/Or&#231;amento/CTN-THO-MAT%20-Or&#231;amento%20comentado-R0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Mabrem%2010.2020/San%20Marino/03.%20Custo/03.5%20Custo%20-%20Determina&#231;&#227;o%20do%20or&#231;amento/MTH_MAB-SAN_Or&#231;amento%20completo%2011.03.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10º Tipo (x24) 3</v>
          </cell>
        </row>
        <row r="2">
          <cell r="A2" t="str">
            <v>11º Tipo (24x) 4</v>
          </cell>
        </row>
        <row r="3">
          <cell r="A3" t="str">
            <v>12º Tipo (24x) 5</v>
          </cell>
        </row>
        <row r="4">
          <cell r="A4" t="str">
            <v>13º Tipo (24x) 6</v>
          </cell>
        </row>
        <row r="5">
          <cell r="A5" t="str">
            <v>14º Tipo (24x) 7</v>
          </cell>
        </row>
        <row r="6">
          <cell r="A6" t="str">
            <v>15º Tipo (24x) 8</v>
          </cell>
        </row>
        <row r="7">
          <cell r="A7" t="str">
            <v>16º Tipo (24x) 9</v>
          </cell>
        </row>
        <row r="8">
          <cell r="A8" t="str">
            <v>17º Tipo (24x) 10</v>
          </cell>
        </row>
        <row r="9">
          <cell r="A9" t="str">
            <v>18º Tipo (24x) 11</v>
          </cell>
        </row>
        <row r="10">
          <cell r="A10" t="str">
            <v>19º Tipo (24x) 12</v>
          </cell>
        </row>
        <row r="11">
          <cell r="A11" t="str">
            <v>20º Tipo (24x) 13</v>
          </cell>
        </row>
        <row r="12">
          <cell r="A12" t="str">
            <v>21º Tipo (24x) 14</v>
          </cell>
        </row>
        <row r="13">
          <cell r="A13" t="str">
            <v>22º Tipo (24x) 15</v>
          </cell>
        </row>
        <row r="14">
          <cell r="A14" t="str">
            <v>23º Tipo (24x) 16</v>
          </cell>
        </row>
        <row r="15">
          <cell r="A15" t="str">
            <v>24º Tipo (24x) 17</v>
          </cell>
        </row>
        <row r="16">
          <cell r="A16" t="str">
            <v>25º Tipo (24x) 18</v>
          </cell>
        </row>
        <row r="17">
          <cell r="A17" t="str">
            <v>26º Tipo (24x) 19</v>
          </cell>
        </row>
        <row r="18">
          <cell r="A18" t="str">
            <v>27º Tipo (24x) 20</v>
          </cell>
        </row>
        <row r="19">
          <cell r="A19" t="str">
            <v>28º Tipo (24x) 21</v>
          </cell>
        </row>
        <row r="20">
          <cell r="A20" t="str">
            <v>29º Tipo (24x) 22</v>
          </cell>
        </row>
        <row r="21">
          <cell r="A21" t="str">
            <v>2º Mezanino - G1</v>
          </cell>
        </row>
        <row r="22">
          <cell r="A22" t="str">
            <v>30º Tipo (24x) 23</v>
          </cell>
        </row>
        <row r="23">
          <cell r="A23" t="str">
            <v>31º Tipo (24x) 24</v>
          </cell>
        </row>
        <row r="24">
          <cell r="A24" t="str">
            <v>32º Duplex Inf.</v>
          </cell>
        </row>
        <row r="25">
          <cell r="A25" t="str">
            <v>33º Duplex Sup.</v>
          </cell>
        </row>
        <row r="26">
          <cell r="A26" t="str">
            <v>3º G2</v>
          </cell>
        </row>
        <row r="27">
          <cell r="A27" t="str">
            <v>4º G3</v>
          </cell>
        </row>
        <row r="28">
          <cell r="A28" t="str">
            <v>5º Tipo Dif 01/Lazer</v>
          </cell>
        </row>
        <row r="29">
          <cell r="A29" t="str">
            <v>6º Tipo Dif. 02</v>
          </cell>
        </row>
        <row r="30">
          <cell r="A30" t="str">
            <v>7º Tipo Dif. 03</v>
          </cell>
        </row>
        <row r="31">
          <cell r="A31" t="str">
            <v>8º Tipo (x24) 1</v>
          </cell>
        </row>
        <row r="32">
          <cell r="A32" t="str">
            <v>9º Tipo (x24) 2</v>
          </cell>
        </row>
        <row r="33">
          <cell r="A33" t="str">
            <v>Barrilete</v>
          </cell>
        </row>
        <row r="34">
          <cell r="A34" t="str">
            <v>Cobertura Casa Máq.</v>
          </cell>
        </row>
        <row r="35">
          <cell r="A35" t="str">
            <v>PAVIMENTO TÉRREO</v>
          </cell>
        </row>
        <row r="36">
          <cell r="A36" t="str">
            <v>PC Maq</v>
          </cell>
        </row>
        <row r="37">
          <cell r="A37" t="str">
            <v>Reservatório</v>
          </cell>
        </row>
        <row r="38">
          <cell r="A38" t="str">
            <v>Tampa Reserv.</v>
          </cell>
        </row>
        <row r="39">
          <cell r="A39" t="str">
            <v>Terreno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RA"/>
      <sheetName val="CANTEIRO"/>
      <sheetName val="EPC's"/>
      <sheetName val="ORÇAMENTO_EXECUTIVO_COMENTADO"/>
    </sheetNames>
    <sheetDataSet>
      <sheetData sheetId="0"/>
      <sheetData sheetId="1"/>
      <sheetData sheetId="2"/>
      <sheetData sheetId="3">
        <row r="500">
          <cell r="F500">
            <v>178294.88394999999</v>
          </cell>
        </row>
        <row r="501">
          <cell r="F501">
            <v>143344.87599999999</v>
          </cell>
        </row>
        <row r="510">
          <cell r="F510">
            <v>1818368.987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"/>
      <sheetName val="COTAÇÕES"/>
      <sheetName val="ORÇAMENTO_EXECUTIVO"/>
      <sheetName val="EPC's"/>
      <sheetName val="ESCAVAÇÕES"/>
      <sheetName val="CISTERNAS E CAIXAS"/>
      <sheetName val="ALVENARIAS"/>
      <sheetName val="ESQUADRIAS"/>
      <sheetName val="GUARDA-CORPO"/>
      <sheetName val="ELETRICA + LOGICA"/>
      <sheetName val="HIDRAULICA"/>
      <sheetName val="PRUMADA"/>
      <sheetName val="SANITÁRIO"/>
      <sheetName val="LOUÇAS E METAIS"/>
      <sheetName val="GAS"/>
      <sheetName val="PREVENTIVAS"/>
      <sheetName val="SPDA"/>
      <sheetName val="IMPERMEABILIZAÇÃO"/>
      <sheetName val="CONTRAPISOS"/>
      <sheetName val="REVEST PISO"/>
      <sheetName val="REVEST PAREDES"/>
      <sheetName val="TETOS"/>
      <sheetName val="RODAPÉS"/>
      <sheetName val="INTERFONIA"/>
      <sheetName val="COBERTURA"/>
      <sheetName val="REUSO"/>
      <sheetName val="FACHADAS"/>
      <sheetName val="MOBILIÁRIO"/>
    </sheetNames>
    <sheetDataSet>
      <sheetData sheetId="0" refreshError="1"/>
      <sheetData sheetId="1" refreshError="1"/>
      <sheetData sheetId="2">
        <row r="137">
          <cell r="G137">
            <v>29522.832600000002</v>
          </cell>
        </row>
        <row r="145">
          <cell r="G145">
            <v>63943.595800000003</v>
          </cell>
        </row>
        <row r="152">
          <cell r="G152">
            <v>9731.75</v>
          </cell>
        </row>
        <row r="154">
          <cell r="G154">
            <v>610782.9</v>
          </cell>
        </row>
        <row r="156">
          <cell r="G156">
            <v>275214.59999999998</v>
          </cell>
        </row>
        <row r="160">
          <cell r="G160">
            <v>167021.3082</v>
          </cell>
        </row>
        <row r="169">
          <cell r="G169">
            <v>680954.13879999996</v>
          </cell>
        </row>
        <row r="177">
          <cell r="G177">
            <v>163162.23000000001</v>
          </cell>
        </row>
        <row r="179">
          <cell r="G179">
            <v>287788.59999999998</v>
          </cell>
        </row>
        <row r="182">
          <cell r="G182">
            <v>138964.78349999999</v>
          </cell>
        </row>
        <row r="191">
          <cell r="G191">
            <v>113852.439</v>
          </cell>
        </row>
        <row r="197">
          <cell r="G197">
            <v>145139.60999999999</v>
          </cell>
        </row>
        <row r="199">
          <cell r="G199">
            <v>287888.59999999998</v>
          </cell>
        </row>
        <row r="203">
          <cell r="G203">
            <v>228926.94779999999</v>
          </cell>
        </row>
        <row r="212">
          <cell r="G212">
            <v>94790.565100000007</v>
          </cell>
        </row>
        <row r="218">
          <cell r="G218">
            <v>194071.43</v>
          </cell>
        </row>
        <row r="220">
          <cell r="G220">
            <v>240581.8</v>
          </cell>
        </row>
        <row r="224">
          <cell r="G224">
            <v>70727.582500000004</v>
          </cell>
        </row>
        <row r="233">
          <cell r="G233">
            <v>43798.3505</v>
          </cell>
        </row>
        <row r="239">
          <cell r="G239">
            <v>72171.820000000007</v>
          </cell>
        </row>
        <row r="241">
          <cell r="G241">
            <v>111648.6</v>
          </cell>
        </row>
        <row r="245">
          <cell r="G245">
            <v>471494.60200000001</v>
          </cell>
        </row>
        <row r="254">
          <cell r="G254">
            <v>442529.17469999997</v>
          </cell>
        </row>
        <row r="260">
          <cell r="G260">
            <v>606569.81000000006</v>
          </cell>
        </row>
        <row r="262">
          <cell r="G262">
            <v>1143639.2</v>
          </cell>
        </row>
        <row r="266">
          <cell r="G266">
            <v>30087.607199999999</v>
          </cell>
        </row>
        <row r="273">
          <cell r="G273">
            <v>5069.8631999999998</v>
          </cell>
        </row>
        <row r="278">
          <cell r="G278">
            <v>53655.35</v>
          </cell>
        </row>
        <row r="280">
          <cell r="G280">
            <v>7889.2</v>
          </cell>
        </row>
        <row r="283">
          <cell r="G283">
            <v>10310.699199999999</v>
          </cell>
        </row>
        <row r="289">
          <cell r="G289">
            <v>3957.4236000000001</v>
          </cell>
        </row>
        <row r="293">
          <cell r="G293">
            <v>11341.12</v>
          </cell>
        </row>
        <row r="295">
          <cell r="G295">
            <v>9935.2000000000007</v>
          </cell>
        </row>
        <row r="418">
          <cell r="G418">
            <v>1091325.71</v>
          </cell>
        </row>
        <row r="512">
          <cell r="G512">
            <v>2062487.33</v>
          </cell>
        </row>
        <row r="602">
          <cell r="G602">
            <v>311725.07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"/>
      <sheetName val="OBRA"/>
      <sheetName val="EPC's"/>
      <sheetName val="CANTEIRO"/>
      <sheetName val="ORÇAMENTO_EXECUTIVO"/>
      <sheetName val="MOBILIÁRIO R00"/>
    </sheetNames>
    <sheetDataSet>
      <sheetData sheetId="0"/>
      <sheetData sheetId="1"/>
      <sheetData sheetId="2"/>
      <sheetData sheetId="3"/>
      <sheetData sheetId="4">
        <row r="156">
          <cell r="F156">
            <v>27239.238669999999</v>
          </cell>
        </row>
        <row r="165">
          <cell r="F165">
            <v>126100.11743300001</v>
          </cell>
        </row>
        <row r="170">
          <cell r="F170">
            <v>6553.3956000000007</v>
          </cell>
        </row>
        <row r="172">
          <cell r="F172">
            <v>145074.53268</v>
          </cell>
        </row>
        <row r="174">
          <cell r="F174">
            <v>228685</v>
          </cell>
        </row>
        <row r="178">
          <cell r="F178">
            <v>116766.47775999999</v>
          </cell>
        </row>
        <row r="187">
          <cell r="F187">
            <v>330176.44688900001</v>
          </cell>
        </row>
        <row r="195">
          <cell r="F195">
            <v>146556.29800000004</v>
          </cell>
        </row>
        <row r="198">
          <cell r="F198">
            <v>223257.5</v>
          </cell>
        </row>
        <row r="202">
          <cell r="F202">
            <v>104369.41884</v>
          </cell>
        </row>
        <row r="211">
          <cell r="F211">
            <v>74205.920364999998</v>
          </cell>
        </row>
        <row r="217">
          <cell r="F217">
            <v>143858.14380000002</v>
          </cell>
        </row>
        <row r="220">
          <cell r="F220">
            <v>222937.5</v>
          </cell>
        </row>
        <row r="224">
          <cell r="F224">
            <v>115855.96741000001</v>
          </cell>
        </row>
        <row r="233">
          <cell r="F233">
            <v>74218.667053000012</v>
          </cell>
        </row>
        <row r="239">
          <cell r="F239">
            <v>149912.96540000002</v>
          </cell>
        </row>
        <row r="242">
          <cell r="F242">
            <v>224697.5</v>
          </cell>
        </row>
        <row r="246">
          <cell r="F246">
            <v>238099.97151000003</v>
          </cell>
        </row>
        <row r="255">
          <cell r="F255">
            <v>60531.265206999997</v>
          </cell>
        </row>
        <row r="261">
          <cell r="F261">
            <v>153718.48320000002</v>
          </cell>
        </row>
        <row r="263">
          <cell r="F263">
            <v>179942.5</v>
          </cell>
        </row>
        <row r="267">
          <cell r="F267">
            <v>969357.72914999991</v>
          </cell>
        </row>
        <row r="276">
          <cell r="F276">
            <v>610605.49933699996</v>
          </cell>
        </row>
        <row r="282">
          <cell r="F282">
            <v>945406.84680000017</v>
          </cell>
        </row>
        <row r="284">
          <cell r="F284">
            <v>1898637.5</v>
          </cell>
        </row>
        <row r="288">
          <cell r="F288">
            <v>92414.343309999997</v>
          </cell>
        </row>
        <row r="297">
          <cell r="F297">
            <v>46464.574207999998</v>
          </cell>
        </row>
        <row r="303">
          <cell r="F303">
            <v>79022.498400000011</v>
          </cell>
        </row>
        <row r="305">
          <cell r="F305">
            <v>140817.5</v>
          </cell>
        </row>
        <row r="309">
          <cell r="F309">
            <v>61846.392169999999</v>
          </cell>
        </row>
        <row r="318">
          <cell r="F318">
            <v>35129.235553000006</v>
          </cell>
        </row>
        <row r="324">
          <cell r="F324">
            <v>49500.405600000006</v>
          </cell>
        </row>
        <row r="326">
          <cell r="F326">
            <v>104665</v>
          </cell>
        </row>
        <row r="329">
          <cell r="F329">
            <v>23255.418900000001</v>
          </cell>
        </row>
        <row r="338">
          <cell r="F338">
            <v>5970.6721179999995</v>
          </cell>
        </row>
        <row r="343">
          <cell r="F343">
            <v>27867.837600000006</v>
          </cell>
        </row>
        <row r="345">
          <cell r="F345">
            <v>16180</v>
          </cell>
        </row>
        <row r="495">
          <cell r="F495">
            <v>2000291.6800000002</v>
          </cell>
        </row>
        <row r="606">
          <cell r="F606">
            <v>1748574.4988999998</v>
          </cell>
        </row>
        <row r="704">
          <cell r="F704">
            <v>585043.91</v>
          </cell>
        </row>
        <row r="790">
          <cell r="D790">
            <v>23.51</v>
          </cell>
        </row>
        <row r="836">
          <cell r="D836">
            <v>12</v>
          </cell>
        </row>
        <row r="870">
          <cell r="D870">
            <v>143.72999999999999</v>
          </cell>
        </row>
        <row r="886">
          <cell r="D886">
            <v>347.94</v>
          </cell>
        </row>
        <row r="898">
          <cell r="D898">
            <v>310.54000000000002</v>
          </cell>
        </row>
      </sheetData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RA"/>
      <sheetName val="CANTEIRO"/>
      <sheetName val="EPC's"/>
      <sheetName val="ORÇAMENTO_EXECUTIVO_COMENTADO"/>
    </sheetNames>
    <sheetDataSet>
      <sheetData sheetId="0"/>
      <sheetData sheetId="1"/>
      <sheetData sheetId="2"/>
      <sheetData sheetId="3">
        <row r="238">
          <cell r="F238">
            <v>1461799.3071000001</v>
          </cell>
        </row>
        <row r="254">
          <cell r="F254">
            <v>2057578.1100182501</v>
          </cell>
        </row>
        <row r="274">
          <cell r="F274">
            <v>430872.82000000007</v>
          </cell>
        </row>
        <row r="286">
          <cell r="F286">
            <v>195580.82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"/>
      <sheetName val="OBRA"/>
      <sheetName val="CANTEIRO"/>
      <sheetName val="ORÇAMENTO_EXECUTIVO_COMENTADO"/>
      <sheetName val="EPC's"/>
      <sheetName val="Louças e metais"/>
      <sheetName val="Custo Louças e Metais"/>
      <sheetName val="Churrasqueira"/>
      <sheetName val="MOBILIÁRIO"/>
    </sheetNames>
    <sheetDataSet>
      <sheetData sheetId="0"/>
      <sheetData sheetId="1"/>
      <sheetData sheetId="2"/>
      <sheetData sheetId="3">
        <row r="188">
          <cell r="F188">
            <v>409359.26041972608</v>
          </cell>
        </row>
        <row r="197">
          <cell r="F197">
            <v>919749.87385999993</v>
          </cell>
        </row>
        <row r="207">
          <cell r="F207">
            <v>590552.3600000001</v>
          </cell>
        </row>
        <row r="209">
          <cell r="F209">
            <v>371499.51092505711</v>
          </cell>
        </row>
        <row r="214">
          <cell r="F214">
            <v>985405</v>
          </cell>
        </row>
        <row r="217">
          <cell r="F217">
            <v>251576.8073888394</v>
          </cell>
        </row>
        <row r="226">
          <cell r="F226">
            <v>1759182.9294200002</v>
          </cell>
        </row>
        <row r="236">
          <cell r="F236">
            <v>1432939.0000000005</v>
          </cell>
        </row>
        <row r="238">
          <cell r="F238">
            <v>160549.19999999998</v>
          </cell>
        </row>
        <row r="240">
          <cell r="F240">
            <v>1679875</v>
          </cell>
        </row>
        <row r="289">
          <cell r="F289">
            <v>778425.73699999996</v>
          </cell>
        </row>
        <row r="303">
          <cell r="F303">
            <v>1419545.358</v>
          </cell>
        </row>
        <row r="330">
          <cell r="F330">
            <v>408416.91493333335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904">
          <cell r="K1904">
            <v>234.01</v>
          </cell>
        </row>
        <row r="2018">
          <cell r="K2018">
            <v>250.1</v>
          </cell>
        </row>
        <row r="2080">
          <cell r="K2080">
            <v>311.8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ichelle Oliveira" id="{9A9401D4-DFED-44C9-A3FD-9C3061420AEF}" userId="5e761594a592f5f8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chelle Oliveira" refreshedDate="45420.844097106485" createdVersion="8" refreshedVersion="8" minRefreshableVersion="3" recordCount="18">
  <cacheSource type="worksheet">
    <worksheetSource ref="A2:H20" sheet="ORÇAMENTO_EXECUTIVO"/>
  </cacheSource>
  <cacheFields count="8">
    <cacheField name="ETAPA" numFmtId="0">
      <sharedItems count="18">
        <s v="GERENCIAMENTO TÉCNICO E ADMINISTRATIVO"/>
        <s v="MOVIMENTAÇÃO DE TERRA"/>
        <s v="_x0009_CONTENÇÃO"/>
        <s v="INFRAESTRUTURA"/>
        <s v="SUPRAESTRUTURA"/>
        <s v="ALVENARIA"/>
        <s v="INSTALAÇÕES ELÉTRICAS, HIDRÁULICAS, GLP E PREVENTIVAS"/>
        <s v="EQUIPAMENTOS E SISTEMAS ESPECIAIS"/>
        <s v="IMPERMEABILIZAÇÃO"/>
        <s v="REVESTIMENTOS INTERNOS EM PISO E PAREDE"/>
        <s v="REVESTIMENTOS E ACABAMENTOS INTERNOS EM TETO"/>
        <s v="ACABAMENTOS EM PISO E PAREDE"/>
        <s v="PINTURA INTERNA"/>
        <s v="ESQUADRIAS, VIDROS E FERRAGENS"/>
        <s v="COBERTURA"/>
        <s v="REVESTIMENTOS E ACABAMENTOS DE FACHADA"/>
        <s v="SERVIÇOS COMPLEMENTARES"/>
        <s v="IMPREVISTOS E CONTINGENCIAS"/>
      </sharedItems>
    </cacheField>
    <cacheField name="VALOR ORÇADO" numFmtId="44">
      <sharedItems containsSemiMixedTypes="0" containsString="0" containsNumber="1" minValue="0" maxValue="4913547.75"/>
    </cacheField>
    <cacheField name="VALOR INDEXADO" numFmtId="44">
      <sharedItems containsSemiMixedTypes="0" containsString="0" containsNumber="1" minValue="0" maxValue="5147206.2291500466"/>
    </cacheField>
    <cacheField name="%" numFmtId="10">
      <sharedItems containsString="0" containsBlank="1" containsNumber="1" minValue="5.0235322890859453E-4" maxValue="0.20569471480075496"/>
    </cacheField>
    <cacheField name="VALOR / m²" numFmtId="44">
      <sharedItems containsString="0" containsBlank="1" containsNumber="1" minValue="1.6247195666331342" maxValue="665.26143091760093"/>
    </cacheField>
    <cacheField name="VALOR ORÇADO2" numFmtId="44">
      <sharedItems containsSemiMixedTypes="0" containsString="0" containsNumber="1" minValue="14404.72" maxValue="4767977.6500000004"/>
    </cacheField>
    <cacheField name="%2" numFmtId="10">
      <sharedItems containsSemiMixedTypes="0" containsString="0" containsNumber="1" minValue="5.974065634468458E-4" maxValue="0.19774220828158187"/>
    </cacheField>
    <cacheField name="VALOR / m²2" numFmtId="44">
      <sharedItems containsSemiMixedTypes="0" containsString="0" containsNumber="1" minValue="1.9533995644261462" maxValue="646.577334700265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n v="2289625.9"/>
    <n v="2398506.5973772784"/>
    <n v="9.5850080321478903E-2"/>
    <n v="310"/>
    <n v="2753479.64"/>
    <n v="0.11419498673027023"/>
    <n v="373.39468795174514"/>
  </r>
  <r>
    <x v="1"/>
    <n v="239687.72425816159"/>
    <n v="251085.81622156984"/>
    <n v="1.0033991850903361E-2"/>
    <n v="32.452111290333541"/>
    <n v="117226.62"/>
    <n v="4.8617364446299051E-3"/>
    <n v="15.896902435253816"/>
  </r>
  <r>
    <x v="2"/>
    <n v="0"/>
    <n v="0"/>
    <m/>
    <m/>
    <n v="386506.36"/>
    <n v="1.6029567827625209E-2"/>
    <n v="52.41346970103794"/>
  </r>
  <r>
    <x v="3"/>
    <n v="1500018.3"/>
    <n v="1571350.0571148542"/>
    <n v="6.2794919702248403E-2"/>
    <n v="203.0924235264809"/>
    <n v="1241122.29"/>
    <n v="5.1473031206866887E-2"/>
    <n v="168.30648153421805"/>
  </r>
  <r>
    <x v="4"/>
    <n v="4913547.75"/>
    <n v="5147206.2291500466"/>
    <n v="0.20569471480075496"/>
    <n v="665.26143091760093"/>
    <n v="4767977.6500000004"/>
    <n v="0.19774220828158187"/>
    <n v="646.57733470026506"/>
  </r>
  <r>
    <x v="5"/>
    <n v="976885.48124999995"/>
    <n v="1023340.2197538918"/>
    <n v="4.0895131314988648E-2"/>
    <n v="132.26374631222507"/>
    <n v="910813.58"/>
    <n v="3.7774146999630588E-2"/>
    <n v="123.51387950931492"/>
  </r>
  <r>
    <x v="6"/>
    <n v="2460414.25"/>
    <n v="2577416.6036932357"/>
    <n v="0.10299975357835149"/>
    <n v="333.12359783316566"/>
    <n v="2692558.13"/>
    <n v="0.11166839059170644"/>
    <n v="365.13322566034458"/>
  </r>
  <r>
    <x v="7"/>
    <n v="1080588.3500000001"/>
    <n v="1131974.5669037146"/>
    <n v="4.5236420561959208E-2"/>
    <n v="146.30441964340113"/>
    <n v="1034381.32"/>
    <n v="4.2898868542728501E-2"/>
    <n v="140.27069043608915"/>
  </r>
  <r>
    <x v="8"/>
    <n v="412732.29300000001"/>
    <n v="432359.33333526319"/>
    <n v="1.7278116671949843E-2"/>
    <n v="55.881186018204978"/>
    <n v="482376.84"/>
    <n v="2.0005601654926233E-2"/>
    <n v="65.414302335988538"/>
  </r>
  <r>
    <x v="9"/>
    <n v="1113794.7525000002"/>
    <n v="1166760.0641639505"/>
    <n v="4.6626532521651998E-2"/>
    <n v="150.80034396667159"/>
    <n v="1137180.2600000002"/>
    <n v="4.7162246204451787E-2"/>
    <n v="154.21107974039151"/>
  </r>
  <r>
    <x v="10"/>
    <n v="860184.98599999992"/>
    <n v="901090.15795369959"/>
    <n v="3.6009725431316177E-2"/>
    <n v="116.46328147318737"/>
    <n v="405459.35"/>
    <n v="1.6815604669920128E-2"/>
    <n v="54.98365241965886"/>
  </r>
  <r>
    <x v="11"/>
    <n v="1461063.35"/>
    <n v="1530542.646360328"/>
    <n v="6.116415762604234E-2"/>
    <n v="197.81818440296294"/>
    <n v="1784513.6700000002"/>
    <n v="7.4009087231033915E-2"/>
    <n v="241.99486180158337"/>
  </r>
  <r>
    <x v="12"/>
    <n v="876494.55"/>
    <n v="918175.30573017569"/>
    <n v="3.6692488942773799E-2"/>
    <n v="118.67148711935867"/>
    <n v="995637.62"/>
    <n v="4.129205211920791E-2"/>
    <n v="135.01672321532698"/>
  </r>
  <r>
    <x v="13"/>
    <n v="2361298.1"/>
    <n v="2473587.0917709447"/>
    <n v="9.885047707922745E-2"/>
    <n v="319.70393547697029"/>
    <n v="2802213.22"/>
    <n v="0.11621611317717528"/>
    <n v="380.00336579795993"/>
  </r>
  <r>
    <x v="14"/>
    <n v="12000"/>
    <n v="12570.647095024275"/>
    <n v="5.0235322890859453E-4"/>
    <n v="1.6247195666331342"/>
    <n v="14404.72"/>
    <n v="5.974065634468458E-4"/>
    <n v="1.9533995644261462"/>
  </r>
  <r>
    <x v="15"/>
    <n v="667221.89999999991"/>
    <n v="698950.91991429788"/>
    <n v="2.793175632196061E-2"/>
    <n v="90.337373018011348"/>
    <n v="420905.94"/>
    <n v="1.7456220679733053E-2"/>
    <n v="57.078338201671237"/>
  </r>
  <r>
    <x v="16"/>
    <n v="2170877.9299999997"/>
    <n v="2274111.6953672338"/>
    <n v="9.0878961475158809E-2"/>
    <n v="293.92232080358622"/>
    <n v="1488758.11"/>
    <n v="6.1743224880367084E-2"/>
    <n v="201.88795364365936"/>
  </r>
  <r>
    <x v="17"/>
    <n v="491138.52294716332"/>
    <n v="514494.08722835593"/>
    <n v="2.0560418570325447E-2"/>
    <n v="66.496864013296062"/>
    <n v="676573.3"/>
    <n v="2.805950619469812E-2"/>
    <n v="91.7489537819798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25:B44" firstHeaderRow="1" firstDataRow="1" firstDataCol="1"/>
  <pivotFields count="8">
    <pivotField axis="axisRow" showAll="0" sortType="descending">
      <items count="19">
        <item x="11"/>
        <item x="5"/>
        <item x="14"/>
        <item x="7"/>
        <item x="13"/>
        <item x="0"/>
        <item x="8"/>
        <item x="17"/>
        <item x="3"/>
        <item x="6"/>
        <item x="12"/>
        <item x="15"/>
        <item x="10"/>
        <item x="9"/>
        <item x="16"/>
        <item x="4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44" showAll="0"/>
    <pivotField showAll="0"/>
    <pivotField showAll="0"/>
    <pivotField showAll="0"/>
    <pivotField dataField="1" numFmtId="10" showAll="0"/>
    <pivotField numFmtId="44" showAll="0"/>
  </pivotFields>
  <rowFields count="1">
    <field x="0"/>
  </rowFields>
  <rowItems count="19">
    <i>
      <x v="15"/>
    </i>
    <i>
      <x v="4"/>
    </i>
    <i>
      <x v="5"/>
    </i>
    <i>
      <x v="9"/>
    </i>
    <i>
      <x/>
    </i>
    <i>
      <x v="14"/>
    </i>
    <i>
      <x v="8"/>
    </i>
    <i>
      <x v="13"/>
    </i>
    <i>
      <x v="3"/>
    </i>
    <i>
      <x v="10"/>
    </i>
    <i>
      <x v="1"/>
    </i>
    <i>
      <x v="7"/>
    </i>
    <i>
      <x v="6"/>
    </i>
    <i>
      <x v="11"/>
    </i>
    <i>
      <x v="12"/>
    </i>
    <i>
      <x v="17"/>
    </i>
    <i>
      <x v="16"/>
    </i>
    <i>
      <x v="2"/>
    </i>
    <i t="grand">
      <x/>
    </i>
  </rowItems>
  <colItems count="1">
    <i/>
  </colItems>
  <dataFields count="1">
    <dataField name="Soma de %2" fld="6" baseField="0" baseItem="5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121212"/>
      </a:dk1>
      <a:lt1>
        <a:srgbClr val="F5F5F5"/>
      </a:lt1>
      <a:dk2>
        <a:srgbClr val="121212"/>
      </a:dk2>
      <a:lt2>
        <a:srgbClr val="F5F5F5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F30" dT="2024-05-07T03:27:24.05" personId="{9A9401D4-DFED-44C9-A3FD-9C3061420AEF}" id="{609C0E73-15FD-4EF4-AC26-83460E664A69}">
    <text>Se fosse contar pintura teto garagem</text>
  </threadedComment>
  <threadedComment ref="AG30" dT="2024-05-07T03:27:40.85" personId="{9A9401D4-DFED-44C9-A3FD-9C3061420AEF}" id="{0D7D8585-172E-43C3-8923-B16E08B09CEC}">
    <text>Se fosse contar pintura piso garagem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10" dT="2024-04-30T13:04:05.62" personId="{9A9401D4-DFED-44C9-A3FD-9C3061420AEF}" id="{2BD625B1-ABDE-4BB2-B4E5-9585C5E73455}">
    <text xml:space="preserve">Considerando contenção
</text>
  </threadedComment>
  <threadedComment ref="K10" dT="2024-04-30T13:04:05.62" personId="{9A9401D4-DFED-44C9-A3FD-9C3061420AEF}" id="{E7011368-3FE6-4A88-B09A-0C8D568432B3}">
    <text xml:space="preserve">Considerando contenção
</text>
  </threadedComment>
  <threadedComment ref="O18" dT="2024-05-07T04:01:27.80" personId="{9A9401D4-DFED-44C9-A3FD-9C3061420AEF}" id="{2D33D676-4E26-4CDC-863A-E73BC6826037}">
    <text>SAK ASPEN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51"/>
  <sheetViews>
    <sheetView showGridLines="0" topLeftCell="A23" zoomScale="115" zoomScaleNormal="115" workbookViewId="0">
      <selection activeCell="W37" sqref="W37:AB37"/>
    </sheetView>
  </sheetViews>
  <sheetFormatPr defaultRowHeight="15" x14ac:dyDescent="0.25"/>
  <cols>
    <col min="1" max="1" width="10.28515625" style="21" bestFit="1" customWidth="1"/>
    <col min="2" max="2" width="0.85546875" style="21" bestFit="1" customWidth="1"/>
    <col min="3" max="3" width="7.42578125" style="21" bestFit="1" customWidth="1"/>
    <col min="4" max="4" width="3.28515625" style="21" bestFit="1" customWidth="1"/>
    <col min="5" max="5" width="7.85546875" style="21" bestFit="1" customWidth="1"/>
    <col min="6" max="6" width="2.7109375" style="21" bestFit="1" customWidth="1"/>
    <col min="7" max="7" width="0.85546875" style="21" bestFit="1" customWidth="1"/>
    <col min="8" max="8" width="3.7109375" style="21" bestFit="1" customWidth="1"/>
    <col min="9" max="9" width="2.7109375" style="21" bestFit="1" customWidth="1"/>
    <col min="10" max="10" width="0.85546875" style="21" bestFit="1" customWidth="1"/>
    <col min="11" max="11" width="5.5703125" style="21" bestFit="1" customWidth="1"/>
    <col min="12" max="12" width="1.85546875" style="21" bestFit="1" customWidth="1"/>
    <col min="13" max="13" width="0.85546875" style="21" bestFit="1" customWidth="1"/>
    <col min="14" max="15" width="1.85546875" style="21" bestFit="1" customWidth="1"/>
    <col min="16" max="16" width="3.7109375" style="21" bestFit="1" customWidth="1"/>
    <col min="17" max="17" width="2.7109375" style="21" bestFit="1" customWidth="1"/>
    <col min="18" max="18" width="0.85546875" style="21" bestFit="1" customWidth="1"/>
    <col min="19" max="19" width="1.85546875" style="21" bestFit="1" customWidth="1"/>
    <col min="20" max="20" width="0.85546875" style="21" bestFit="1" customWidth="1"/>
    <col min="21" max="21" width="1.85546875" style="21" bestFit="1" customWidth="1"/>
    <col min="22" max="22" width="3.7109375" style="21" bestFit="1" customWidth="1"/>
    <col min="23" max="24" width="0.85546875" style="21" bestFit="1" customWidth="1"/>
    <col min="25" max="25" width="2.7109375" style="21" bestFit="1" customWidth="1"/>
    <col min="26" max="26" width="0.85546875" style="21" bestFit="1" customWidth="1"/>
    <col min="27" max="27" width="3.7109375" style="21" bestFit="1" customWidth="1"/>
    <col min="28" max="28" width="2.7109375" style="21" bestFit="1" customWidth="1"/>
    <col min="29" max="29" width="0.85546875" style="21" bestFit="1" customWidth="1"/>
    <col min="30" max="30" width="1.85546875" style="21" bestFit="1" customWidth="1"/>
    <col min="31" max="31" width="9.28515625" style="21" bestFit="1" customWidth="1"/>
    <col min="32" max="32" width="9.42578125" style="236" customWidth="1"/>
  </cols>
  <sheetData>
    <row r="1" spans="1:31" ht="20.25" x14ac:dyDescent="0.25">
      <c r="A1" s="418"/>
      <c r="B1" s="419"/>
      <c r="C1" s="419"/>
      <c r="D1" s="420"/>
      <c r="E1" s="424"/>
      <c r="F1" s="424"/>
      <c r="G1" s="424"/>
      <c r="H1" s="424"/>
      <c r="I1" s="424"/>
      <c r="J1" s="424"/>
      <c r="K1" s="424"/>
      <c r="L1" s="424"/>
      <c r="M1" s="424"/>
      <c r="N1" s="424"/>
      <c r="O1" s="424"/>
      <c r="P1" s="424"/>
      <c r="Q1" s="424"/>
      <c r="R1" s="424"/>
      <c r="S1" s="424"/>
      <c r="T1" s="424"/>
      <c r="U1" s="424"/>
      <c r="V1" s="424"/>
      <c r="W1" s="424"/>
      <c r="X1" s="424"/>
      <c r="Y1" s="424"/>
      <c r="Z1" s="424"/>
      <c r="AA1" s="424"/>
      <c r="AB1" s="424"/>
      <c r="AC1" s="424"/>
      <c r="AD1" s="424"/>
      <c r="AE1" s="425"/>
    </row>
    <row r="2" spans="1:31" ht="21" customHeight="1" x14ac:dyDescent="0.25">
      <c r="A2" s="421"/>
      <c r="B2" s="422"/>
      <c r="C2" s="422"/>
      <c r="D2" s="423"/>
      <c r="E2" s="426" t="s">
        <v>73</v>
      </c>
      <c r="F2" s="426"/>
      <c r="G2" s="426"/>
      <c r="H2" s="426"/>
      <c r="I2" s="426"/>
      <c r="J2" s="426"/>
      <c r="K2" s="426"/>
      <c r="L2" s="426"/>
      <c r="M2" s="426"/>
      <c r="N2" s="426"/>
      <c r="O2" s="426"/>
      <c r="P2" s="426"/>
      <c r="Q2" s="426"/>
      <c r="R2" s="426"/>
      <c r="S2" s="426"/>
      <c r="T2" s="426"/>
      <c r="U2" s="426"/>
      <c r="V2" s="426"/>
      <c r="W2" s="426"/>
      <c r="X2" s="426"/>
      <c r="Y2" s="426"/>
      <c r="Z2" s="426"/>
      <c r="AA2" s="426"/>
      <c r="AB2" s="426"/>
      <c r="AC2" s="426"/>
      <c r="AD2" s="426"/>
      <c r="AE2" s="427"/>
    </row>
    <row r="3" spans="1:31" ht="20.25" x14ac:dyDescent="0.25">
      <c r="A3" s="428"/>
      <c r="B3" s="429"/>
      <c r="C3" s="429"/>
      <c r="D3" s="430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  <c r="U3" s="431"/>
      <c r="V3" s="431"/>
      <c r="W3" s="431"/>
      <c r="X3" s="431"/>
      <c r="Y3" s="431"/>
      <c r="Z3" s="431"/>
      <c r="AA3" s="431"/>
      <c r="AB3" s="431"/>
      <c r="AC3" s="431"/>
      <c r="AD3" s="431"/>
      <c r="AE3" s="432"/>
    </row>
    <row r="4" spans="1:31" x14ac:dyDescent="0.25">
      <c r="A4" s="433"/>
      <c r="B4" s="433"/>
      <c r="C4" s="433"/>
      <c r="D4" s="433"/>
      <c r="E4" s="434"/>
      <c r="F4" s="434"/>
      <c r="G4" s="434"/>
      <c r="H4" s="434"/>
      <c r="I4" s="434"/>
      <c r="J4" s="434"/>
      <c r="K4" s="434"/>
      <c r="L4" s="434"/>
      <c r="M4" s="434"/>
      <c r="N4" s="434"/>
      <c r="O4" s="434"/>
      <c r="P4" s="434"/>
      <c r="Q4" s="434"/>
      <c r="R4" s="434"/>
      <c r="S4" s="434"/>
      <c r="T4" s="434"/>
      <c r="U4" s="434"/>
      <c r="V4" s="434"/>
      <c r="W4" s="434"/>
      <c r="X4" s="434"/>
      <c r="Y4" s="434"/>
      <c r="Z4" s="434"/>
      <c r="AA4" s="434"/>
      <c r="AB4" s="434"/>
      <c r="AC4" s="434"/>
      <c r="AD4" s="434"/>
      <c r="AE4" s="434"/>
    </row>
    <row r="5" spans="1:31" ht="14.45" customHeight="1" x14ac:dyDescent="0.25">
      <c r="A5" s="339" t="s">
        <v>74</v>
      </c>
      <c r="B5" s="340"/>
      <c r="C5" s="341"/>
      <c r="D5" s="342" t="s">
        <v>75</v>
      </c>
      <c r="E5" s="343"/>
      <c r="F5" s="343"/>
      <c r="G5" s="343"/>
      <c r="H5" s="343"/>
      <c r="I5" s="343"/>
      <c r="J5" s="343"/>
      <c r="K5" s="343"/>
      <c r="L5" s="343"/>
      <c r="M5" s="343"/>
      <c r="N5" s="343"/>
      <c r="O5" s="343"/>
      <c r="P5" s="343"/>
      <c r="Q5" s="343"/>
      <c r="R5" s="343"/>
      <c r="S5" s="343"/>
      <c r="T5" s="343"/>
      <c r="U5" s="343"/>
      <c r="V5" s="343"/>
      <c r="W5" s="343"/>
      <c r="X5" s="343"/>
      <c r="Y5" s="343"/>
      <c r="Z5" s="343"/>
      <c r="AA5" s="343"/>
      <c r="AB5" s="343"/>
      <c r="AC5" s="343"/>
      <c r="AD5" s="343"/>
      <c r="AE5" s="344"/>
    </row>
    <row r="6" spans="1:31" ht="14.45" customHeight="1" x14ac:dyDescent="0.25">
      <c r="A6" s="339" t="s">
        <v>76</v>
      </c>
      <c r="B6" s="340"/>
      <c r="C6" s="341"/>
      <c r="D6" s="342" t="s">
        <v>104</v>
      </c>
      <c r="E6" s="343"/>
      <c r="F6" s="343"/>
      <c r="G6" s="343"/>
      <c r="H6" s="343"/>
      <c r="I6" s="343"/>
      <c r="J6" s="343"/>
      <c r="K6" s="343"/>
      <c r="L6" s="343"/>
      <c r="M6" s="343"/>
      <c r="N6" s="343"/>
      <c r="O6" s="343"/>
      <c r="P6" s="343"/>
      <c r="Q6" s="343"/>
      <c r="R6" s="343"/>
      <c r="S6" s="343"/>
      <c r="T6" s="343"/>
      <c r="U6" s="343"/>
      <c r="V6" s="343"/>
      <c r="W6" s="343"/>
      <c r="X6" s="343"/>
      <c r="Y6" s="343"/>
      <c r="Z6" s="343"/>
      <c r="AA6" s="343"/>
      <c r="AB6" s="343"/>
      <c r="AC6" s="343"/>
      <c r="AD6" s="343"/>
      <c r="AE6" s="344"/>
    </row>
    <row r="7" spans="1:31" ht="14.45" customHeight="1" x14ac:dyDescent="0.25">
      <c r="A7" s="339" t="s">
        <v>77</v>
      </c>
      <c r="B7" s="340"/>
      <c r="C7" s="341"/>
      <c r="D7" s="342" t="s">
        <v>78</v>
      </c>
      <c r="E7" s="343"/>
      <c r="F7" s="343"/>
      <c r="G7" s="343"/>
      <c r="H7" s="343"/>
      <c r="I7" s="343"/>
      <c r="J7" s="343"/>
      <c r="K7" s="343"/>
      <c r="L7" s="343"/>
      <c r="M7" s="343"/>
      <c r="N7" s="343"/>
      <c r="O7" s="343"/>
      <c r="P7" s="343"/>
      <c r="Q7" s="343"/>
      <c r="R7" s="343"/>
      <c r="S7" s="343"/>
      <c r="T7" s="343"/>
      <c r="U7" s="343"/>
      <c r="V7" s="343"/>
      <c r="W7" s="343"/>
      <c r="X7" s="343"/>
      <c r="Y7" s="343"/>
      <c r="Z7" s="343"/>
      <c r="AA7" s="343"/>
      <c r="AB7" s="343"/>
      <c r="AC7" s="343"/>
      <c r="AD7" s="343"/>
      <c r="AE7" s="344"/>
    </row>
    <row r="8" spans="1:31" ht="14.45" customHeight="1" x14ac:dyDescent="0.25">
      <c r="A8" s="339" t="s">
        <v>79</v>
      </c>
      <c r="B8" s="340"/>
      <c r="C8" s="341"/>
      <c r="D8" s="342" t="s">
        <v>80</v>
      </c>
      <c r="E8" s="343"/>
      <c r="F8" s="343"/>
      <c r="G8" s="343"/>
      <c r="H8" s="343"/>
      <c r="I8" s="343"/>
      <c r="J8" s="343"/>
      <c r="K8" s="343"/>
      <c r="L8" s="343"/>
      <c r="M8" s="343"/>
      <c r="N8" s="343"/>
      <c r="O8" s="343"/>
      <c r="P8" s="343"/>
      <c r="Q8" s="343"/>
      <c r="R8" s="343"/>
      <c r="S8" s="343"/>
      <c r="T8" s="343"/>
      <c r="U8" s="343"/>
      <c r="V8" s="343"/>
      <c r="W8" s="343"/>
      <c r="X8" s="343"/>
      <c r="Y8" s="343"/>
      <c r="Z8" s="343"/>
      <c r="AA8" s="343"/>
      <c r="AB8" s="343"/>
      <c r="AC8" s="343"/>
      <c r="AD8" s="343"/>
      <c r="AE8" s="344"/>
    </row>
    <row r="9" spans="1:31" ht="14.45" customHeight="1" x14ac:dyDescent="0.25">
      <c r="A9" s="339" t="s">
        <v>81</v>
      </c>
      <c r="B9" s="340"/>
      <c r="C9" s="341"/>
      <c r="D9" s="342" t="s">
        <v>82</v>
      </c>
      <c r="E9" s="343"/>
      <c r="F9" s="343"/>
      <c r="G9" s="343"/>
      <c r="H9" s="343"/>
      <c r="I9" s="343"/>
      <c r="J9" s="343"/>
      <c r="K9" s="344"/>
      <c r="L9" s="339" t="s">
        <v>83</v>
      </c>
      <c r="M9" s="340"/>
      <c r="N9" s="340"/>
      <c r="O9" s="340"/>
      <c r="P9" s="340"/>
      <c r="Q9" s="340"/>
      <c r="R9" s="340"/>
      <c r="S9" s="340"/>
      <c r="T9" s="340"/>
      <c r="U9" s="341"/>
      <c r="V9" s="342" t="s">
        <v>84</v>
      </c>
      <c r="W9" s="343"/>
      <c r="X9" s="343"/>
      <c r="Y9" s="343"/>
      <c r="Z9" s="343"/>
      <c r="AA9" s="343"/>
      <c r="AB9" s="343"/>
      <c r="AC9" s="343"/>
      <c r="AD9" s="343"/>
      <c r="AE9" s="344"/>
    </row>
    <row r="10" spans="1:31" ht="14.45" customHeight="1" x14ac:dyDescent="0.25">
      <c r="A10" s="339" t="s">
        <v>85</v>
      </c>
      <c r="B10" s="340"/>
      <c r="C10" s="341"/>
      <c r="D10" s="342" t="s">
        <v>86</v>
      </c>
      <c r="E10" s="343"/>
      <c r="F10" s="343"/>
      <c r="G10" s="343"/>
      <c r="H10" s="343"/>
      <c r="I10" s="343"/>
      <c r="J10" s="343"/>
      <c r="K10" s="344"/>
      <c r="L10" s="339" t="s">
        <v>87</v>
      </c>
      <c r="M10" s="340"/>
      <c r="N10" s="340"/>
      <c r="O10" s="340"/>
      <c r="P10" s="340"/>
      <c r="Q10" s="340"/>
      <c r="R10" s="340"/>
      <c r="S10" s="340"/>
      <c r="T10" s="340"/>
      <c r="U10" s="341"/>
      <c r="V10" s="342" t="s">
        <v>86</v>
      </c>
      <c r="W10" s="343"/>
      <c r="X10" s="343"/>
      <c r="Y10" s="343"/>
      <c r="Z10" s="343"/>
      <c r="AA10" s="343"/>
      <c r="AB10" s="343"/>
      <c r="AC10" s="343"/>
      <c r="AD10" s="343"/>
      <c r="AE10" s="344"/>
    </row>
    <row r="11" spans="1:31" ht="14.45" customHeight="1" x14ac:dyDescent="0.25">
      <c r="A11" s="339" t="s">
        <v>88</v>
      </c>
      <c r="B11" s="340"/>
      <c r="C11" s="341"/>
      <c r="D11" s="342" t="s">
        <v>89</v>
      </c>
      <c r="E11" s="343"/>
      <c r="F11" s="343"/>
      <c r="G11" s="343"/>
      <c r="H11" s="343"/>
      <c r="I11" s="343"/>
      <c r="J11" s="343"/>
      <c r="K11" s="343"/>
      <c r="L11" s="343"/>
      <c r="M11" s="343"/>
      <c r="N11" s="343"/>
      <c r="O11" s="343"/>
      <c r="P11" s="343"/>
      <c r="Q11" s="343"/>
      <c r="R11" s="343"/>
      <c r="S11" s="343"/>
      <c r="T11" s="343"/>
      <c r="U11" s="343"/>
      <c r="V11" s="343"/>
      <c r="W11" s="343"/>
      <c r="X11" s="343"/>
      <c r="Y11" s="343"/>
      <c r="Z11" s="343"/>
      <c r="AA11" s="343"/>
      <c r="AB11" s="343"/>
      <c r="AC11" s="343"/>
      <c r="AD11" s="343"/>
      <c r="AE11" s="344"/>
    </row>
    <row r="12" spans="1:31" x14ac:dyDescent="0.25">
      <c r="A12" s="408"/>
      <c r="B12" s="408"/>
      <c r="C12" s="408"/>
      <c r="D12" s="408"/>
      <c r="E12" s="408"/>
      <c r="F12" s="408"/>
      <c r="G12" s="408"/>
      <c r="H12" s="408"/>
      <c r="I12" s="408"/>
      <c r="J12" s="408"/>
      <c r="K12" s="408"/>
      <c r="L12" s="408"/>
      <c r="M12" s="408"/>
      <c r="N12" s="408"/>
      <c r="O12" s="408"/>
      <c r="P12" s="408"/>
      <c r="Q12" s="408"/>
      <c r="R12" s="408"/>
      <c r="S12" s="408"/>
      <c r="T12" s="408"/>
      <c r="U12" s="408"/>
      <c r="V12" s="408"/>
      <c r="W12" s="408"/>
      <c r="X12" s="408"/>
      <c r="Y12" s="408"/>
      <c r="Z12" s="408"/>
      <c r="AA12" s="408"/>
      <c r="AB12" s="408"/>
      <c r="AC12" s="408"/>
      <c r="AD12" s="408"/>
      <c r="AE12" s="408"/>
    </row>
    <row r="13" spans="1:31" ht="14.45" customHeight="1" x14ac:dyDescent="0.25">
      <c r="A13" s="329" t="s">
        <v>90</v>
      </c>
      <c r="B13" s="405" t="s">
        <v>91</v>
      </c>
      <c r="C13" s="406"/>
      <c r="D13" s="406"/>
      <c r="E13" s="406"/>
      <c r="F13" s="406"/>
      <c r="G13" s="406"/>
      <c r="H13" s="406"/>
      <c r="I13" s="406"/>
      <c r="J13" s="406"/>
      <c r="K13" s="406"/>
      <c r="L13" s="406"/>
      <c r="M13" s="407"/>
      <c r="N13" s="405" t="s">
        <v>92</v>
      </c>
      <c r="O13" s="406"/>
      <c r="P13" s="407"/>
      <c r="Q13" s="339" t="s">
        <v>93</v>
      </c>
      <c r="R13" s="340"/>
      <c r="S13" s="340"/>
      <c r="T13" s="340"/>
      <c r="U13" s="340"/>
      <c r="V13" s="341"/>
      <c r="W13" s="339" t="s">
        <v>94</v>
      </c>
      <c r="X13" s="340"/>
      <c r="Y13" s="340"/>
      <c r="Z13" s="340"/>
      <c r="AA13" s="340"/>
      <c r="AB13" s="341"/>
      <c r="AC13" s="339" t="s">
        <v>95</v>
      </c>
      <c r="AD13" s="340"/>
      <c r="AE13" s="341"/>
    </row>
    <row r="14" spans="1:31" ht="14.45" customHeight="1" x14ac:dyDescent="0.25">
      <c r="A14" s="330" t="s">
        <v>96</v>
      </c>
      <c r="B14" s="357" t="s">
        <v>4</v>
      </c>
      <c r="C14" s="358"/>
      <c r="D14" s="358"/>
      <c r="E14" s="358"/>
      <c r="F14" s="358"/>
      <c r="G14" s="358"/>
      <c r="H14" s="358"/>
      <c r="I14" s="358"/>
      <c r="J14" s="358"/>
      <c r="K14" s="358"/>
      <c r="L14" s="358"/>
      <c r="M14" s="359"/>
      <c r="N14" s="357"/>
      <c r="O14" s="358"/>
      <c r="P14" s="359"/>
      <c r="Q14" s="360"/>
      <c r="R14" s="361"/>
      <c r="S14" s="361"/>
      <c r="T14" s="361"/>
      <c r="U14" s="361"/>
      <c r="V14" s="362"/>
      <c r="W14" s="360"/>
      <c r="X14" s="361"/>
      <c r="Y14" s="361"/>
      <c r="Z14" s="361"/>
      <c r="AA14" s="361"/>
      <c r="AB14" s="362"/>
      <c r="AC14" s="384">
        <v>117226.62</v>
      </c>
      <c r="AD14" s="385"/>
      <c r="AE14" s="386"/>
    </row>
    <row r="15" spans="1:31" ht="14.45" customHeight="1" x14ac:dyDescent="0.25">
      <c r="A15" s="330" t="s">
        <v>105</v>
      </c>
      <c r="B15" s="357" t="s">
        <v>4</v>
      </c>
      <c r="C15" s="358"/>
      <c r="D15" s="358"/>
      <c r="E15" s="358"/>
      <c r="F15" s="358"/>
      <c r="G15" s="358"/>
      <c r="H15" s="358"/>
      <c r="I15" s="358"/>
      <c r="J15" s="358"/>
      <c r="K15" s="358"/>
      <c r="L15" s="358"/>
      <c r="M15" s="359"/>
      <c r="N15" s="357"/>
      <c r="O15" s="358"/>
      <c r="P15" s="359"/>
      <c r="Q15" s="360"/>
      <c r="R15" s="361"/>
      <c r="S15" s="361"/>
      <c r="T15" s="361"/>
      <c r="U15" s="361"/>
      <c r="V15" s="362"/>
      <c r="W15" s="360"/>
      <c r="X15" s="361"/>
      <c r="Y15" s="361"/>
      <c r="Z15" s="361"/>
      <c r="AA15" s="361"/>
      <c r="AB15" s="362"/>
      <c r="AC15" s="384">
        <v>117226.62</v>
      </c>
      <c r="AD15" s="385"/>
      <c r="AE15" s="386"/>
    </row>
    <row r="16" spans="1:31" ht="14.45" customHeight="1" x14ac:dyDescent="0.25">
      <c r="A16" s="330" t="s">
        <v>106</v>
      </c>
      <c r="B16" s="357" t="s">
        <v>107</v>
      </c>
      <c r="C16" s="358"/>
      <c r="D16" s="358"/>
      <c r="E16" s="358"/>
      <c r="F16" s="358"/>
      <c r="G16" s="358"/>
      <c r="H16" s="358"/>
      <c r="I16" s="358"/>
      <c r="J16" s="358"/>
      <c r="K16" s="358"/>
      <c r="L16" s="358"/>
      <c r="M16" s="359"/>
      <c r="N16" s="357"/>
      <c r="O16" s="358"/>
      <c r="P16" s="359"/>
      <c r="Q16" s="360"/>
      <c r="R16" s="361"/>
      <c r="S16" s="361"/>
      <c r="T16" s="361"/>
      <c r="U16" s="361"/>
      <c r="V16" s="362"/>
      <c r="W16" s="360"/>
      <c r="X16" s="361"/>
      <c r="Y16" s="361"/>
      <c r="Z16" s="361"/>
      <c r="AA16" s="361"/>
      <c r="AB16" s="362"/>
      <c r="AC16" s="354">
        <v>37350</v>
      </c>
      <c r="AD16" s="355"/>
      <c r="AE16" s="356"/>
    </row>
    <row r="17" spans="1:32" ht="14.45" customHeight="1" x14ac:dyDescent="0.25">
      <c r="A17" s="331" t="s">
        <v>108</v>
      </c>
      <c r="B17" s="342" t="s">
        <v>109</v>
      </c>
      <c r="C17" s="343"/>
      <c r="D17" s="343"/>
      <c r="E17" s="343"/>
      <c r="F17" s="343"/>
      <c r="G17" s="343"/>
      <c r="H17" s="343"/>
      <c r="I17" s="343"/>
      <c r="J17" s="343"/>
      <c r="K17" s="343"/>
      <c r="L17" s="343"/>
      <c r="M17" s="344"/>
      <c r="N17" s="342" t="s">
        <v>101</v>
      </c>
      <c r="O17" s="343"/>
      <c r="P17" s="344"/>
      <c r="Q17" s="372">
        <v>747</v>
      </c>
      <c r="R17" s="373"/>
      <c r="S17" s="373"/>
      <c r="T17" s="373"/>
      <c r="U17" s="373"/>
      <c r="V17" s="374"/>
      <c r="W17" s="381">
        <v>50</v>
      </c>
      <c r="X17" s="382"/>
      <c r="Y17" s="382"/>
      <c r="Z17" s="382"/>
      <c r="AA17" s="382"/>
      <c r="AB17" s="383"/>
      <c r="AC17" s="336">
        <v>37350</v>
      </c>
      <c r="AD17" s="337"/>
      <c r="AE17" s="338"/>
    </row>
    <row r="18" spans="1:32" ht="14.45" customHeight="1" x14ac:dyDescent="0.25">
      <c r="A18" s="330" t="s">
        <v>110</v>
      </c>
      <c r="B18" s="357" t="s">
        <v>111</v>
      </c>
      <c r="C18" s="358"/>
      <c r="D18" s="358"/>
      <c r="E18" s="358"/>
      <c r="F18" s="358"/>
      <c r="G18" s="358"/>
      <c r="H18" s="358"/>
      <c r="I18" s="358"/>
      <c r="J18" s="358"/>
      <c r="K18" s="358"/>
      <c r="L18" s="358"/>
      <c r="M18" s="359"/>
      <c r="N18" s="357"/>
      <c r="O18" s="358"/>
      <c r="P18" s="359"/>
      <c r="Q18" s="360"/>
      <c r="R18" s="361"/>
      <c r="S18" s="361"/>
      <c r="T18" s="361"/>
      <c r="U18" s="361"/>
      <c r="V18" s="362"/>
      <c r="W18" s="360"/>
      <c r="X18" s="361"/>
      <c r="Y18" s="361"/>
      <c r="Z18" s="361"/>
      <c r="AA18" s="361"/>
      <c r="AB18" s="362"/>
      <c r="AC18" s="354">
        <v>65174.99</v>
      </c>
      <c r="AD18" s="355"/>
      <c r="AE18" s="356"/>
    </row>
    <row r="19" spans="1:32" ht="14.45" customHeight="1" x14ac:dyDescent="0.25">
      <c r="A19" s="331" t="s">
        <v>112</v>
      </c>
      <c r="B19" s="342" t="s">
        <v>113</v>
      </c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4"/>
      <c r="N19" s="342" t="s">
        <v>101</v>
      </c>
      <c r="O19" s="343"/>
      <c r="P19" s="344"/>
      <c r="Q19" s="363">
        <v>1116.1400000000001</v>
      </c>
      <c r="R19" s="364"/>
      <c r="S19" s="364"/>
      <c r="T19" s="364"/>
      <c r="U19" s="364"/>
      <c r="V19" s="365"/>
      <c r="W19" s="381">
        <v>50</v>
      </c>
      <c r="X19" s="382"/>
      <c r="Y19" s="382"/>
      <c r="Z19" s="382"/>
      <c r="AA19" s="382"/>
      <c r="AB19" s="383"/>
      <c r="AC19" s="336">
        <v>55807</v>
      </c>
      <c r="AD19" s="337"/>
      <c r="AE19" s="338"/>
    </row>
    <row r="20" spans="1:32" ht="14.45" customHeight="1" x14ac:dyDescent="0.25">
      <c r="A20" s="331" t="s">
        <v>114</v>
      </c>
      <c r="B20" s="342" t="s">
        <v>115</v>
      </c>
      <c r="C20" s="343"/>
      <c r="D20" s="343"/>
      <c r="E20" s="343"/>
      <c r="F20" s="343"/>
      <c r="G20" s="343"/>
      <c r="H20" s="343"/>
      <c r="I20" s="343"/>
      <c r="J20" s="343"/>
      <c r="K20" s="343"/>
      <c r="L20" s="343"/>
      <c r="M20" s="344"/>
      <c r="N20" s="342" t="s">
        <v>101</v>
      </c>
      <c r="O20" s="343"/>
      <c r="P20" s="344"/>
      <c r="Q20" s="372">
        <v>690.03</v>
      </c>
      <c r="R20" s="373"/>
      <c r="S20" s="373"/>
      <c r="T20" s="373"/>
      <c r="U20" s="373"/>
      <c r="V20" s="374"/>
      <c r="W20" s="381">
        <v>13.5762</v>
      </c>
      <c r="X20" s="382"/>
      <c r="Y20" s="382"/>
      <c r="Z20" s="382"/>
      <c r="AA20" s="382"/>
      <c r="AB20" s="383"/>
      <c r="AC20" s="366">
        <v>9367.99</v>
      </c>
      <c r="AD20" s="367"/>
      <c r="AE20" s="368"/>
    </row>
    <row r="21" spans="1:32" ht="14.45" customHeight="1" x14ac:dyDescent="0.25">
      <c r="A21" s="330" t="s">
        <v>116</v>
      </c>
      <c r="B21" s="357" t="s">
        <v>117</v>
      </c>
      <c r="C21" s="358"/>
      <c r="D21" s="358"/>
      <c r="E21" s="358"/>
      <c r="F21" s="358"/>
      <c r="G21" s="358"/>
      <c r="H21" s="358"/>
      <c r="I21" s="358"/>
      <c r="J21" s="358"/>
      <c r="K21" s="358"/>
      <c r="L21" s="358"/>
      <c r="M21" s="359"/>
      <c r="N21" s="357"/>
      <c r="O21" s="358"/>
      <c r="P21" s="359"/>
      <c r="Q21" s="360"/>
      <c r="R21" s="361"/>
      <c r="S21" s="361"/>
      <c r="T21" s="361"/>
      <c r="U21" s="361"/>
      <c r="V21" s="362"/>
      <c r="W21" s="360"/>
      <c r="X21" s="361"/>
      <c r="Y21" s="361"/>
      <c r="Z21" s="361"/>
      <c r="AA21" s="361"/>
      <c r="AB21" s="362"/>
      <c r="AC21" s="354">
        <v>14701.63</v>
      </c>
      <c r="AD21" s="355"/>
      <c r="AE21" s="356"/>
    </row>
    <row r="22" spans="1:32" ht="14.45" customHeight="1" x14ac:dyDescent="0.25">
      <c r="A22" s="331" t="s">
        <v>118</v>
      </c>
      <c r="B22" s="342" t="s">
        <v>119</v>
      </c>
      <c r="C22" s="343"/>
      <c r="D22" s="343"/>
      <c r="E22" s="343"/>
      <c r="F22" s="343"/>
      <c r="G22" s="343"/>
      <c r="H22" s="343"/>
      <c r="I22" s="343"/>
      <c r="J22" s="343"/>
      <c r="K22" s="343"/>
      <c r="L22" s="343"/>
      <c r="M22" s="344"/>
      <c r="N22" s="342" t="s">
        <v>101</v>
      </c>
      <c r="O22" s="343"/>
      <c r="P22" s="344"/>
      <c r="Q22" s="372">
        <v>980.03</v>
      </c>
      <c r="R22" s="373"/>
      <c r="S22" s="373"/>
      <c r="T22" s="373"/>
      <c r="U22" s="373"/>
      <c r="V22" s="374"/>
      <c r="W22" s="381">
        <v>15.001200000000001</v>
      </c>
      <c r="X22" s="382"/>
      <c r="Y22" s="382"/>
      <c r="Z22" s="382"/>
      <c r="AA22" s="382"/>
      <c r="AB22" s="383"/>
      <c r="AC22" s="336">
        <v>14701.63</v>
      </c>
      <c r="AD22" s="337"/>
      <c r="AE22" s="338"/>
    </row>
    <row r="23" spans="1:32" ht="14.45" customHeight="1" x14ac:dyDescent="0.25">
      <c r="A23" s="330" t="s">
        <v>99</v>
      </c>
      <c r="B23" s="357" t="s">
        <v>120</v>
      </c>
      <c r="C23" s="358"/>
      <c r="D23" s="358"/>
      <c r="E23" s="358"/>
      <c r="F23" s="358"/>
      <c r="G23" s="358"/>
      <c r="H23" s="358"/>
      <c r="I23" s="358"/>
      <c r="J23" s="358"/>
      <c r="K23" s="358"/>
      <c r="L23" s="358"/>
      <c r="M23" s="359"/>
      <c r="N23" s="357"/>
      <c r="O23" s="358"/>
      <c r="P23" s="359"/>
      <c r="Q23" s="360"/>
      <c r="R23" s="361"/>
      <c r="S23" s="361"/>
      <c r="T23" s="361"/>
      <c r="U23" s="361"/>
      <c r="V23" s="362"/>
      <c r="W23" s="360"/>
      <c r="X23" s="361"/>
      <c r="Y23" s="361"/>
      <c r="Z23" s="361"/>
      <c r="AA23" s="361"/>
      <c r="AB23" s="362"/>
      <c r="AC23" s="384">
        <v>386506.36</v>
      </c>
      <c r="AD23" s="385"/>
      <c r="AE23" s="386"/>
    </row>
    <row r="24" spans="1:32" ht="14.45" customHeight="1" x14ac:dyDescent="0.25">
      <c r="A24" s="330" t="s">
        <v>121</v>
      </c>
      <c r="B24" s="357" t="s">
        <v>120</v>
      </c>
      <c r="C24" s="358"/>
      <c r="D24" s="358"/>
      <c r="E24" s="358"/>
      <c r="F24" s="358"/>
      <c r="G24" s="358"/>
      <c r="H24" s="358"/>
      <c r="I24" s="358"/>
      <c r="J24" s="358"/>
      <c r="K24" s="358"/>
      <c r="L24" s="358"/>
      <c r="M24" s="359"/>
      <c r="N24" s="357"/>
      <c r="O24" s="358"/>
      <c r="P24" s="359"/>
      <c r="Q24" s="360"/>
      <c r="R24" s="361"/>
      <c r="S24" s="361"/>
      <c r="T24" s="361"/>
      <c r="U24" s="361"/>
      <c r="V24" s="362"/>
      <c r="W24" s="360"/>
      <c r="X24" s="361"/>
      <c r="Y24" s="361"/>
      <c r="Z24" s="361"/>
      <c r="AA24" s="361"/>
      <c r="AB24" s="362"/>
      <c r="AC24" s="384">
        <v>386506.36</v>
      </c>
      <c r="AD24" s="385"/>
      <c r="AE24" s="386"/>
    </row>
    <row r="25" spans="1:32" ht="14.45" customHeight="1" x14ac:dyDescent="0.25">
      <c r="A25" s="330" t="s">
        <v>122</v>
      </c>
      <c r="B25" s="357" t="s">
        <v>123</v>
      </c>
      <c r="C25" s="358"/>
      <c r="D25" s="358"/>
      <c r="E25" s="358"/>
      <c r="F25" s="358"/>
      <c r="G25" s="358"/>
      <c r="H25" s="358"/>
      <c r="I25" s="358"/>
      <c r="J25" s="358"/>
      <c r="K25" s="358"/>
      <c r="L25" s="358"/>
      <c r="M25" s="359"/>
      <c r="N25" s="357"/>
      <c r="O25" s="358"/>
      <c r="P25" s="359"/>
      <c r="Q25" s="360"/>
      <c r="R25" s="361"/>
      <c r="S25" s="361"/>
      <c r="T25" s="361"/>
      <c r="U25" s="361"/>
      <c r="V25" s="362"/>
      <c r="W25" s="360"/>
      <c r="X25" s="361"/>
      <c r="Y25" s="361"/>
      <c r="Z25" s="361"/>
      <c r="AA25" s="361"/>
      <c r="AB25" s="362"/>
      <c r="AC25" s="384">
        <v>142926.93</v>
      </c>
      <c r="AD25" s="385"/>
      <c r="AE25" s="386"/>
    </row>
    <row r="26" spans="1:32" ht="14.45" customHeight="1" x14ac:dyDescent="0.25">
      <c r="A26" s="331" t="s">
        <v>124</v>
      </c>
      <c r="B26" s="342" t="s">
        <v>125</v>
      </c>
      <c r="C26" s="343"/>
      <c r="D26" s="343"/>
      <c r="E26" s="343"/>
      <c r="F26" s="343"/>
      <c r="G26" s="343"/>
      <c r="H26" s="343"/>
      <c r="I26" s="343"/>
      <c r="J26" s="343"/>
      <c r="K26" s="343"/>
      <c r="L26" s="343"/>
      <c r="M26" s="344"/>
      <c r="N26" s="342" t="s">
        <v>97</v>
      </c>
      <c r="O26" s="343"/>
      <c r="P26" s="344"/>
      <c r="Q26" s="372">
        <v>610.01</v>
      </c>
      <c r="R26" s="373"/>
      <c r="S26" s="373"/>
      <c r="T26" s="373"/>
      <c r="U26" s="373"/>
      <c r="V26" s="374"/>
      <c r="W26" s="372">
        <v>234.30260000000001</v>
      </c>
      <c r="X26" s="373"/>
      <c r="Y26" s="373"/>
      <c r="Z26" s="373"/>
      <c r="AA26" s="373"/>
      <c r="AB26" s="374"/>
      <c r="AC26" s="393">
        <v>142926.93</v>
      </c>
      <c r="AD26" s="394"/>
      <c r="AE26" s="395"/>
    </row>
    <row r="27" spans="1:32" ht="14.45" customHeight="1" x14ac:dyDescent="0.25">
      <c r="A27" s="330" t="s">
        <v>126</v>
      </c>
      <c r="B27" s="357" t="s">
        <v>127</v>
      </c>
      <c r="C27" s="358"/>
      <c r="D27" s="358"/>
      <c r="E27" s="358"/>
      <c r="F27" s="358"/>
      <c r="G27" s="358"/>
      <c r="H27" s="358"/>
      <c r="I27" s="358"/>
      <c r="J27" s="358"/>
      <c r="K27" s="358"/>
      <c r="L27" s="358"/>
      <c r="M27" s="359"/>
      <c r="N27" s="357"/>
      <c r="O27" s="358"/>
      <c r="P27" s="359"/>
      <c r="Q27" s="360"/>
      <c r="R27" s="361"/>
      <c r="S27" s="361"/>
      <c r="T27" s="361"/>
      <c r="U27" s="361"/>
      <c r="V27" s="362"/>
      <c r="W27" s="360"/>
      <c r="X27" s="361"/>
      <c r="Y27" s="361"/>
      <c r="Z27" s="361"/>
      <c r="AA27" s="361"/>
      <c r="AB27" s="362"/>
      <c r="AC27" s="354">
        <v>73313.8</v>
      </c>
      <c r="AD27" s="355"/>
      <c r="AE27" s="356"/>
    </row>
    <row r="28" spans="1:32" ht="14.45" customHeight="1" x14ac:dyDescent="0.25">
      <c r="A28" s="331" t="s">
        <v>128</v>
      </c>
      <c r="B28" s="342" t="s">
        <v>129</v>
      </c>
      <c r="C28" s="343"/>
      <c r="D28" s="343"/>
      <c r="E28" s="343"/>
      <c r="F28" s="343"/>
      <c r="G28" s="343"/>
      <c r="H28" s="343"/>
      <c r="I28" s="343"/>
      <c r="J28" s="343"/>
      <c r="K28" s="343"/>
      <c r="L28" s="343"/>
      <c r="M28" s="344"/>
      <c r="N28" s="342" t="s">
        <v>100</v>
      </c>
      <c r="O28" s="343"/>
      <c r="P28" s="344"/>
      <c r="Q28" s="345">
        <v>1</v>
      </c>
      <c r="R28" s="346"/>
      <c r="S28" s="346"/>
      <c r="T28" s="346"/>
      <c r="U28" s="346"/>
      <c r="V28" s="347"/>
      <c r="W28" s="381">
        <v>10.7041</v>
      </c>
      <c r="X28" s="382"/>
      <c r="Y28" s="382"/>
      <c r="Z28" s="382"/>
      <c r="AA28" s="382"/>
      <c r="AB28" s="383"/>
      <c r="AC28" s="387">
        <v>10.7</v>
      </c>
      <c r="AD28" s="388"/>
      <c r="AE28" s="389"/>
      <c r="AF28" s="236">
        <f>SUM(Q28:V33)/Q35</f>
        <v>125.36532029843069</v>
      </c>
    </row>
    <row r="29" spans="1:32" ht="14.45" customHeight="1" x14ac:dyDescent="0.25">
      <c r="A29" s="331" t="s">
        <v>130</v>
      </c>
      <c r="B29" s="342" t="s">
        <v>131</v>
      </c>
      <c r="C29" s="343"/>
      <c r="D29" s="343"/>
      <c r="E29" s="343"/>
      <c r="F29" s="343"/>
      <c r="G29" s="343"/>
      <c r="H29" s="343"/>
      <c r="I29" s="343"/>
      <c r="J29" s="343"/>
      <c r="K29" s="343"/>
      <c r="L29" s="343"/>
      <c r="M29" s="344"/>
      <c r="N29" s="342" t="s">
        <v>100</v>
      </c>
      <c r="O29" s="343"/>
      <c r="P29" s="344"/>
      <c r="Q29" s="372">
        <v>903.45</v>
      </c>
      <c r="R29" s="373"/>
      <c r="S29" s="373"/>
      <c r="T29" s="373"/>
      <c r="U29" s="373"/>
      <c r="V29" s="374"/>
      <c r="W29" s="345">
        <v>8.1999999999999993</v>
      </c>
      <c r="X29" s="346"/>
      <c r="Y29" s="346"/>
      <c r="Z29" s="346"/>
      <c r="AA29" s="346"/>
      <c r="AB29" s="347"/>
      <c r="AC29" s="366">
        <v>7408.29</v>
      </c>
      <c r="AD29" s="367"/>
      <c r="AE29" s="368"/>
    </row>
    <row r="30" spans="1:32" ht="14.45" customHeight="1" x14ac:dyDescent="0.25">
      <c r="A30" s="331" t="s">
        <v>132</v>
      </c>
      <c r="B30" s="342" t="s">
        <v>133</v>
      </c>
      <c r="C30" s="343"/>
      <c r="D30" s="343"/>
      <c r="E30" s="343"/>
      <c r="F30" s="343"/>
      <c r="G30" s="343"/>
      <c r="H30" s="343"/>
      <c r="I30" s="343"/>
      <c r="J30" s="343"/>
      <c r="K30" s="343"/>
      <c r="L30" s="343"/>
      <c r="M30" s="344"/>
      <c r="N30" s="342" t="s">
        <v>100</v>
      </c>
      <c r="O30" s="343"/>
      <c r="P30" s="344"/>
      <c r="Q30" s="363">
        <v>2885.82</v>
      </c>
      <c r="R30" s="364"/>
      <c r="S30" s="364"/>
      <c r="T30" s="364"/>
      <c r="U30" s="364"/>
      <c r="V30" s="365"/>
      <c r="W30" s="345">
        <v>7.7510000000000003</v>
      </c>
      <c r="X30" s="346"/>
      <c r="Y30" s="346"/>
      <c r="Z30" s="346"/>
      <c r="AA30" s="346"/>
      <c r="AB30" s="347"/>
      <c r="AC30" s="336">
        <v>22367.99</v>
      </c>
      <c r="AD30" s="337"/>
      <c r="AE30" s="338"/>
    </row>
    <row r="31" spans="1:32" ht="14.45" customHeight="1" x14ac:dyDescent="0.25">
      <c r="A31" s="331" t="s">
        <v>134</v>
      </c>
      <c r="B31" s="342" t="s">
        <v>135</v>
      </c>
      <c r="C31" s="343"/>
      <c r="D31" s="343"/>
      <c r="E31" s="343"/>
      <c r="F31" s="343"/>
      <c r="G31" s="343"/>
      <c r="H31" s="343"/>
      <c r="I31" s="343"/>
      <c r="J31" s="343"/>
      <c r="K31" s="343"/>
      <c r="L31" s="343"/>
      <c r="M31" s="344"/>
      <c r="N31" s="342" t="s">
        <v>100</v>
      </c>
      <c r="O31" s="343"/>
      <c r="P31" s="344"/>
      <c r="Q31" s="363">
        <v>5303.27</v>
      </c>
      <c r="R31" s="364"/>
      <c r="S31" s="364"/>
      <c r="T31" s="364"/>
      <c r="U31" s="364"/>
      <c r="V31" s="365"/>
      <c r="W31" s="345">
        <v>7.3201999999999998</v>
      </c>
      <c r="X31" s="346"/>
      <c r="Y31" s="346"/>
      <c r="Z31" s="346"/>
      <c r="AA31" s="346"/>
      <c r="AB31" s="347"/>
      <c r="AC31" s="336">
        <v>38821</v>
      </c>
      <c r="AD31" s="337"/>
      <c r="AE31" s="338"/>
    </row>
    <row r="32" spans="1:32" ht="14.45" customHeight="1" x14ac:dyDescent="0.25">
      <c r="A32" s="331" t="s">
        <v>136</v>
      </c>
      <c r="B32" s="342" t="s">
        <v>137</v>
      </c>
      <c r="C32" s="343"/>
      <c r="D32" s="343"/>
      <c r="E32" s="343"/>
      <c r="F32" s="343"/>
      <c r="G32" s="343"/>
      <c r="H32" s="343"/>
      <c r="I32" s="343"/>
      <c r="J32" s="343"/>
      <c r="K32" s="343"/>
      <c r="L32" s="343"/>
      <c r="M32" s="344"/>
      <c r="N32" s="342" t="s">
        <v>100</v>
      </c>
      <c r="O32" s="343"/>
      <c r="P32" s="344"/>
      <c r="Q32" s="372">
        <v>468.45</v>
      </c>
      <c r="R32" s="373"/>
      <c r="S32" s="373"/>
      <c r="T32" s="373"/>
      <c r="U32" s="373"/>
      <c r="V32" s="374"/>
      <c r="W32" s="345">
        <v>7.2023999999999999</v>
      </c>
      <c r="X32" s="346"/>
      <c r="Y32" s="346"/>
      <c r="Z32" s="346"/>
      <c r="AA32" s="346"/>
      <c r="AB32" s="347"/>
      <c r="AC32" s="366">
        <v>3373.96</v>
      </c>
      <c r="AD32" s="367"/>
      <c r="AE32" s="368"/>
    </row>
    <row r="33" spans="1:32" ht="14.45" customHeight="1" x14ac:dyDescent="0.25">
      <c r="A33" s="331" t="s">
        <v>138</v>
      </c>
      <c r="B33" s="342" t="s">
        <v>139</v>
      </c>
      <c r="C33" s="343"/>
      <c r="D33" s="343"/>
      <c r="E33" s="343"/>
      <c r="F33" s="343"/>
      <c r="G33" s="343"/>
      <c r="H33" s="343"/>
      <c r="I33" s="343"/>
      <c r="J33" s="343"/>
      <c r="K33" s="343"/>
      <c r="L33" s="343"/>
      <c r="M33" s="344"/>
      <c r="N33" s="342" t="s">
        <v>100</v>
      </c>
      <c r="O33" s="343"/>
      <c r="P33" s="344"/>
      <c r="Q33" s="372">
        <v>183.91</v>
      </c>
      <c r="R33" s="373"/>
      <c r="S33" s="373"/>
      <c r="T33" s="373"/>
      <c r="U33" s="373"/>
      <c r="V33" s="374"/>
      <c r="W33" s="345">
        <v>7.2419000000000002</v>
      </c>
      <c r="X33" s="346"/>
      <c r="Y33" s="346"/>
      <c r="Z33" s="346"/>
      <c r="AA33" s="346"/>
      <c r="AB33" s="347"/>
      <c r="AC33" s="366">
        <v>1331.86</v>
      </c>
      <c r="AD33" s="367"/>
      <c r="AE33" s="368"/>
    </row>
    <row r="34" spans="1:32" ht="14.45" customHeight="1" x14ac:dyDescent="0.25">
      <c r="A34" s="330" t="s">
        <v>140</v>
      </c>
      <c r="B34" s="357" t="s">
        <v>141</v>
      </c>
      <c r="C34" s="358"/>
      <c r="D34" s="358"/>
      <c r="E34" s="358"/>
      <c r="F34" s="358"/>
      <c r="G34" s="358"/>
      <c r="H34" s="358"/>
      <c r="I34" s="358"/>
      <c r="J34" s="358"/>
      <c r="K34" s="358"/>
      <c r="L34" s="358"/>
      <c r="M34" s="359"/>
      <c r="N34" s="357"/>
      <c r="O34" s="358"/>
      <c r="P34" s="359"/>
      <c r="Q34" s="360"/>
      <c r="R34" s="361"/>
      <c r="S34" s="361"/>
      <c r="T34" s="361"/>
      <c r="U34" s="361"/>
      <c r="V34" s="362"/>
      <c r="W34" s="360"/>
      <c r="X34" s="361"/>
      <c r="Y34" s="361"/>
      <c r="Z34" s="361"/>
      <c r="AA34" s="361"/>
      <c r="AB34" s="362"/>
      <c r="AC34" s="354">
        <v>46360.4</v>
      </c>
      <c r="AD34" s="355"/>
      <c r="AE34" s="356"/>
    </row>
    <row r="35" spans="1:32" ht="14.45" customHeight="1" x14ac:dyDescent="0.25">
      <c r="A35" s="331" t="s">
        <v>142</v>
      </c>
      <c r="B35" s="342" t="s">
        <v>143</v>
      </c>
      <c r="C35" s="343"/>
      <c r="D35" s="343"/>
      <c r="E35" s="343"/>
      <c r="F35" s="343"/>
      <c r="G35" s="343"/>
      <c r="H35" s="343"/>
      <c r="I35" s="343"/>
      <c r="J35" s="343"/>
      <c r="K35" s="343"/>
      <c r="L35" s="343"/>
      <c r="M35" s="344"/>
      <c r="N35" s="342" t="s">
        <v>101</v>
      </c>
      <c r="O35" s="343"/>
      <c r="P35" s="344"/>
      <c r="Q35" s="381">
        <v>77.739999999999995</v>
      </c>
      <c r="R35" s="382"/>
      <c r="S35" s="382"/>
      <c r="T35" s="382"/>
      <c r="U35" s="382"/>
      <c r="V35" s="383"/>
      <c r="W35" s="372">
        <v>596.35199999999998</v>
      </c>
      <c r="X35" s="373"/>
      <c r="Y35" s="373"/>
      <c r="Z35" s="373"/>
      <c r="AA35" s="373"/>
      <c r="AB35" s="374"/>
      <c r="AC35" s="336">
        <v>46360.4</v>
      </c>
      <c r="AD35" s="337"/>
      <c r="AE35" s="338"/>
    </row>
    <row r="36" spans="1:32" ht="14.45" customHeight="1" x14ac:dyDescent="0.25">
      <c r="A36" s="330" t="s">
        <v>144</v>
      </c>
      <c r="B36" s="357" t="s">
        <v>145</v>
      </c>
      <c r="C36" s="358"/>
      <c r="D36" s="358"/>
      <c r="E36" s="358"/>
      <c r="F36" s="358"/>
      <c r="G36" s="358"/>
      <c r="H36" s="358"/>
      <c r="I36" s="358"/>
      <c r="J36" s="358"/>
      <c r="K36" s="358"/>
      <c r="L36" s="358"/>
      <c r="M36" s="359"/>
      <c r="N36" s="357"/>
      <c r="O36" s="358"/>
      <c r="P36" s="359"/>
      <c r="Q36" s="360"/>
      <c r="R36" s="361"/>
      <c r="S36" s="361"/>
      <c r="T36" s="361"/>
      <c r="U36" s="361"/>
      <c r="V36" s="362"/>
      <c r="W36" s="360"/>
      <c r="X36" s="361"/>
      <c r="Y36" s="361"/>
      <c r="Z36" s="361"/>
      <c r="AA36" s="361"/>
      <c r="AB36" s="362"/>
      <c r="AC36" s="384">
        <v>123905.23</v>
      </c>
      <c r="AD36" s="385"/>
      <c r="AE36" s="386"/>
    </row>
    <row r="37" spans="1:32" ht="14.45" customHeight="1" x14ac:dyDescent="0.25">
      <c r="A37" s="331" t="s">
        <v>146</v>
      </c>
      <c r="B37" s="342" t="s">
        <v>147</v>
      </c>
      <c r="C37" s="343"/>
      <c r="D37" s="343"/>
      <c r="E37" s="343"/>
      <c r="F37" s="343"/>
      <c r="G37" s="343"/>
      <c r="H37" s="343"/>
      <c r="I37" s="343"/>
      <c r="J37" s="343"/>
      <c r="K37" s="343"/>
      <c r="L37" s="343"/>
      <c r="M37" s="344"/>
      <c r="N37" s="342" t="s">
        <v>97</v>
      </c>
      <c r="O37" s="343"/>
      <c r="P37" s="344"/>
      <c r="Q37" s="372">
        <v>610.01</v>
      </c>
      <c r="R37" s="373"/>
      <c r="S37" s="373"/>
      <c r="T37" s="373"/>
      <c r="U37" s="373"/>
      <c r="V37" s="374"/>
      <c r="W37" s="372">
        <v>203.12</v>
      </c>
      <c r="X37" s="373"/>
      <c r="Y37" s="373"/>
      <c r="Z37" s="373"/>
      <c r="AA37" s="373"/>
      <c r="AB37" s="374"/>
      <c r="AC37" s="393">
        <v>123905.23</v>
      </c>
      <c r="AD37" s="394"/>
      <c r="AE37" s="395"/>
      <c r="AF37" s="332" t="s">
        <v>1088</v>
      </c>
    </row>
    <row r="38" spans="1:32" ht="14.45" customHeight="1" x14ac:dyDescent="0.25">
      <c r="A38" s="330" t="s">
        <v>102</v>
      </c>
      <c r="B38" s="357" t="s">
        <v>5</v>
      </c>
      <c r="C38" s="358"/>
      <c r="D38" s="358"/>
      <c r="E38" s="358"/>
      <c r="F38" s="358"/>
      <c r="G38" s="358"/>
      <c r="H38" s="358"/>
      <c r="I38" s="358"/>
      <c r="J38" s="358"/>
      <c r="K38" s="358"/>
      <c r="L38" s="358"/>
      <c r="M38" s="359"/>
      <c r="N38" s="357"/>
      <c r="O38" s="358"/>
      <c r="P38" s="359"/>
      <c r="Q38" s="360"/>
      <c r="R38" s="361"/>
      <c r="S38" s="361"/>
      <c r="T38" s="361"/>
      <c r="U38" s="361"/>
      <c r="V38" s="362"/>
      <c r="W38" s="360"/>
      <c r="X38" s="361"/>
      <c r="Y38" s="361"/>
      <c r="Z38" s="361"/>
      <c r="AA38" s="361"/>
      <c r="AB38" s="362"/>
      <c r="AC38" s="396">
        <v>1241122.29</v>
      </c>
      <c r="AD38" s="397"/>
      <c r="AE38" s="398"/>
    </row>
    <row r="39" spans="1:32" ht="14.45" customHeight="1" x14ac:dyDescent="0.25">
      <c r="A39" s="330" t="s">
        <v>148</v>
      </c>
      <c r="B39" s="357" t="s">
        <v>149</v>
      </c>
      <c r="C39" s="358"/>
      <c r="D39" s="358"/>
      <c r="E39" s="358"/>
      <c r="F39" s="358"/>
      <c r="G39" s="358"/>
      <c r="H39" s="358"/>
      <c r="I39" s="358"/>
      <c r="J39" s="358"/>
      <c r="K39" s="358"/>
      <c r="L39" s="358"/>
      <c r="M39" s="359"/>
      <c r="N39" s="357"/>
      <c r="O39" s="358"/>
      <c r="P39" s="359"/>
      <c r="Q39" s="360"/>
      <c r="R39" s="361"/>
      <c r="S39" s="361"/>
      <c r="T39" s="361"/>
      <c r="U39" s="361"/>
      <c r="V39" s="362"/>
      <c r="W39" s="360"/>
      <c r="X39" s="361"/>
      <c r="Y39" s="361"/>
      <c r="Z39" s="361"/>
      <c r="AA39" s="361"/>
      <c r="AB39" s="362"/>
      <c r="AC39" s="384">
        <v>485558.05</v>
      </c>
      <c r="AD39" s="385"/>
      <c r="AE39" s="386"/>
      <c r="AF39" s="289">
        <f>AC39/ORÇAMENTO_EXECUTIVO!$N$3</f>
        <v>65.845700810123972</v>
      </c>
    </row>
    <row r="40" spans="1:32" ht="14.45" customHeight="1" x14ac:dyDescent="0.25">
      <c r="A40" s="330" t="s">
        <v>150</v>
      </c>
      <c r="B40" s="357" t="s">
        <v>151</v>
      </c>
      <c r="C40" s="358"/>
      <c r="D40" s="358"/>
      <c r="E40" s="358"/>
      <c r="F40" s="358"/>
      <c r="G40" s="358"/>
      <c r="H40" s="358"/>
      <c r="I40" s="358"/>
      <c r="J40" s="358"/>
      <c r="K40" s="358"/>
      <c r="L40" s="358"/>
      <c r="M40" s="359"/>
      <c r="N40" s="357"/>
      <c r="O40" s="358"/>
      <c r="P40" s="359"/>
      <c r="Q40" s="360"/>
      <c r="R40" s="361"/>
      <c r="S40" s="361"/>
      <c r="T40" s="361"/>
      <c r="U40" s="361"/>
      <c r="V40" s="362"/>
      <c r="W40" s="360"/>
      <c r="X40" s="361"/>
      <c r="Y40" s="361"/>
      <c r="Z40" s="361"/>
      <c r="AA40" s="361"/>
      <c r="AB40" s="362"/>
      <c r="AC40" s="384">
        <v>151056</v>
      </c>
      <c r="AD40" s="385"/>
      <c r="AE40" s="386"/>
      <c r="AF40" s="289"/>
    </row>
    <row r="41" spans="1:32" ht="14.45" customHeight="1" x14ac:dyDescent="0.25">
      <c r="A41" s="331" t="s">
        <v>152</v>
      </c>
      <c r="B41" s="342" t="s">
        <v>153</v>
      </c>
      <c r="C41" s="343"/>
      <c r="D41" s="343"/>
      <c r="E41" s="343"/>
      <c r="F41" s="343"/>
      <c r="G41" s="343"/>
      <c r="H41" s="343"/>
      <c r="I41" s="343"/>
      <c r="J41" s="343"/>
      <c r="K41" s="343"/>
      <c r="L41" s="343"/>
      <c r="M41" s="344"/>
      <c r="N41" s="342" t="s">
        <v>154</v>
      </c>
      <c r="O41" s="343"/>
      <c r="P41" s="344"/>
      <c r="Q41" s="345">
        <v>1</v>
      </c>
      <c r="R41" s="346"/>
      <c r="S41" s="346"/>
      <c r="T41" s="346"/>
      <c r="U41" s="346"/>
      <c r="V41" s="347"/>
      <c r="W41" s="348">
        <v>10000</v>
      </c>
      <c r="X41" s="349"/>
      <c r="Y41" s="349"/>
      <c r="Z41" s="349"/>
      <c r="AA41" s="349"/>
      <c r="AB41" s="350"/>
      <c r="AC41" s="336">
        <v>10000</v>
      </c>
      <c r="AD41" s="337"/>
      <c r="AE41" s="338"/>
      <c r="AF41" s="289"/>
    </row>
    <row r="42" spans="1:32" ht="14.45" customHeight="1" x14ac:dyDescent="0.25">
      <c r="A42" s="331" t="s">
        <v>155</v>
      </c>
      <c r="B42" s="342" t="s">
        <v>156</v>
      </c>
      <c r="C42" s="343"/>
      <c r="D42" s="343"/>
      <c r="E42" s="343"/>
      <c r="F42" s="343"/>
      <c r="G42" s="343"/>
      <c r="H42" s="343"/>
      <c r="I42" s="343"/>
      <c r="J42" s="343"/>
      <c r="K42" s="343"/>
      <c r="L42" s="343"/>
      <c r="M42" s="344"/>
      <c r="N42" s="342" t="s">
        <v>157</v>
      </c>
      <c r="O42" s="343"/>
      <c r="P42" s="344"/>
      <c r="Q42" s="372">
        <v>544</v>
      </c>
      <c r="R42" s="373"/>
      <c r="S42" s="373"/>
      <c r="T42" s="373"/>
      <c r="U42" s="373"/>
      <c r="V42" s="374"/>
      <c r="W42" s="381">
        <v>95</v>
      </c>
      <c r="X42" s="382"/>
      <c r="Y42" s="382"/>
      <c r="Z42" s="382"/>
      <c r="AA42" s="382"/>
      <c r="AB42" s="383"/>
      <c r="AC42" s="336">
        <v>51680</v>
      </c>
      <c r="AD42" s="337"/>
      <c r="AE42" s="338"/>
      <c r="AF42" s="289"/>
    </row>
    <row r="43" spans="1:32" ht="14.45" customHeight="1" x14ac:dyDescent="0.25">
      <c r="A43" s="331" t="s">
        <v>158</v>
      </c>
      <c r="B43" s="342" t="s">
        <v>159</v>
      </c>
      <c r="C43" s="343"/>
      <c r="D43" s="343"/>
      <c r="E43" s="343"/>
      <c r="F43" s="343"/>
      <c r="G43" s="343"/>
      <c r="H43" s="343"/>
      <c r="I43" s="343"/>
      <c r="J43" s="343"/>
      <c r="K43" s="343"/>
      <c r="L43" s="343"/>
      <c r="M43" s="344"/>
      <c r="N43" s="342" t="s">
        <v>157</v>
      </c>
      <c r="O43" s="343"/>
      <c r="P43" s="344"/>
      <c r="Q43" s="372">
        <v>784</v>
      </c>
      <c r="R43" s="373"/>
      <c r="S43" s="373"/>
      <c r="T43" s="373"/>
      <c r="U43" s="373"/>
      <c r="V43" s="374"/>
      <c r="W43" s="372">
        <v>114</v>
      </c>
      <c r="X43" s="373"/>
      <c r="Y43" s="373"/>
      <c r="Z43" s="373"/>
      <c r="AA43" s="373"/>
      <c r="AB43" s="374"/>
      <c r="AC43" s="336">
        <v>89376</v>
      </c>
      <c r="AD43" s="337"/>
      <c r="AE43" s="338"/>
      <c r="AF43" s="289"/>
    </row>
    <row r="44" spans="1:32" ht="14.45" customHeight="1" x14ac:dyDescent="0.25">
      <c r="A44" s="330" t="s">
        <v>160</v>
      </c>
      <c r="B44" s="357" t="s">
        <v>127</v>
      </c>
      <c r="C44" s="358"/>
      <c r="D44" s="358"/>
      <c r="E44" s="358"/>
      <c r="F44" s="358"/>
      <c r="G44" s="358"/>
      <c r="H44" s="358"/>
      <c r="I44" s="358"/>
      <c r="J44" s="358"/>
      <c r="K44" s="358"/>
      <c r="L44" s="358"/>
      <c r="M44" s="359"/>
      <c r="N44" s="357"/>
      <c r="O44" s="358"/>
      <c r="P44" s="359"/>
      <c r="Q44" s="360"/>
      <c r="R44" s="361"/>
      <c r="S44" s="361"/>
      <c r="T44" s="361"/>
      <c r="U44" s="361"/>
      <c r="V44" s="362"/>
      <c r="W44" s="360"/>
      <c r="X44" s="361"/>
      <c r="Y44" s="361"/>
      <c r="Z44" s="361"/>
      <c r="AA44" s="361"/>
      <c r="AB44" s="362"/>
      <c r="AC44" s="354">
        <v>71059.820000000007</v>
      </c>
      <c r="AD44" s="355"/>
      <c r="AE44" s="356"/>
      <c r="AF44" s="289"/>
    </row>
    <row r="45" spans="1:32" ht="14.45" customHeight="1" x14ac:dyDescent="0.25">
      <c r="A45" s="331" t="s">
        <v>161</v>
      </c>
      <c r="B45" s="342" t="s">
        <v>162</v>
      </c>
      <c r="C45" s="343"/>
      <c r="D45" s="343"/>
      <c r="E45" s="343"/>
      <c r="F45" s="343"/>
      <c r="G45" s="343"/>
      <c r="H45" s="343"/>
      <c r="I45" s="343"/>
      <c r="J45" s="343"/>
      <c r="K45" s="343"/>
      <c r="L45" s="343"/>
      <c r="M45" s="344"/>
      <c r="N45" s="342" t="s">
        <v>100</v>
      </c>
      <c r="O45" s="343"/>
      <c r="P45" s="344"/>
      <c r="Q45" s="363">
        <v>1003</v>
      </c>
      <c r="R45" s="364"/>
      <c r="S45" s="364"/>
      <c r="T45" s="364"/>
      <c r="U45" s="364"/>
      <c r="V45" s="365"/>
      <c r="W45" s="345">
        <v>9.7702000000000009</v>
      </c>
      <c r="X45" s="346"/>
      <c r="Y45" s="346"/>
      <c r="Z45" s="346"/>
      <c r="AA45" s="346"/>
      <c r="AB45" s="347"/>
      <c r="AC45" s="366">
        <v>9799.51</v>
      </c>
      <c r="AD45" s="367"/>
      <c r="AE45" s="368"/>
      <c r="AF45" s="289"/>
    </row>
    <row r="46" spans="1:32" ht="14.45" customHeight="1" x14ac:dyDescent="0.25">
      <c r="A46" s="331" t="s">
        <v>163</v>
      </c>
      <c r="B46" s="342" t="s">
        <v>164</v>
      </c>
      <c r="C46" s="343"/>
      <c r="D46" s="343"/>
      <c r="E46" s="343"/>
      <c r="F46" s="343"/>
      <c r="G46" s="343"/>
      <c r="H46" s="343"/>
      <c r="I46" s="343"/>
      <c r="J46" s="343"/>
      <c r="K46" s="343"/>
      <c r="L46" s="343"/>
      <c r="M46" s="344"/>
      <c r="N46" s="342" t="s">
        <v>100</v>
      </c>
      <c r="O46" s="343"/>
      <c r="P46" s="344"/>
      <c r="Q46" s="363">
        <v>1422</v>
      </c>
      <c r="R46" s="364"/>
      <c r="S46" s="364"/>
      <c r="T46" s="364"/>
      <c r="U46" s="364"/>
      <c r="V46" s="365"/>
      <c r="W46" s="345">
        <v>9.1761999999999997</v>
      </c>
      <c r="X46" s="346"/>
      <c r="Y46" s="346"/>
      <c r="Z46" s="346"/>
      <c r="AA46" s="346"/>
      <c r="AB46" s="347"/>
      <c r="AC46" s="336">
        <v>13048.56</v>
      </c>
      <c r="AD46" s="337"/>
      <c r="AE46" s="338"/>
      <c r="AF46" s="289"/>
    </row>
    <row r="47" spans="1:32" ht="14.45" customHeight="1" x14ac:dyDescent="0.25">
      <c r="A47" s="331" t="s">
        <v>165</v>
      </c>
      <c r="B47" s="342" t="s">
        <v>166</v>
      </c>
      <c r="C47" s="343"/>
      <c r="D47" s="343"/>
      <c r="E47" s="343"/>
      <c r="F47" s="343"/>
      <c r="G47" s="343"/>
      <c r="H47" s="343"/>
      <c r="I47" s="343"/>
      <c r="J47" s="343"/>
      <c r="K47" s="343"/>
      <c r="L47" s="343"/>
      <c r="M47" s="344"/>
      <c r="N47" s="342" t="s">
        <v>100</v>
      </c>
      <c r="O47" s="343"/>
      <c r="P47" s="344"/>
      <c r="Q47" s="363">
        <v>5254</v>
      </c>
      <c r="R47" s="364"/>
      <c r="S47" s="364"/>
      <c r="T47" s="364"/>
      <c r="U47" s="364"/>
      <c r="V47" s="365"/>
      <c r="W47" s="345">
        <v>9.1761999999999997</v>
      </c>
      <c r="X47" s="346"/>
      <c r="Y47" s="346"/>
      <c r="Z47" s="346"/>
      <c r="AA47" s="346"/>
      <c r="AB47" s="347"/>
      <c r="AC47" s="336">
        <v>48211.75</v>
      </c>
      <c r="AD47" s="337"/>
      <c r="AE47" s="338"/>
      <c r="AF47" s="289"/>
    </row>
    <row r="48" spans="1:32" ht="14.45" customHeight="1" x14ac:dyDescent="0.25">
      <c r="A48" s="330" t="s">
        <v>167</v>
      </c>
      <c r="B48" s="357" t="s">
        <v>141</v>
      </c>
      <c r="C48" s="358"/>
      <c r="D48" s="358"/>
      <c r="E48" s="358"/>
      <c r="F48" s="358"/>
      <c r="G48" s="358"/>
      <c r="H48" s="358"/>
      <c r="I48" s="358"/>
      <c r="J48" s="358"/>
      <c r="K48" s="358"/>
      <c r="L48" s="358"/>
      <c r="M48" s="359"/>
      <c r="N48" s="357"/>
      <c r="O48" s="358"/>
      <c r="P48" s="359"/>
      <c r="Q48" s="360"/>
      <c r="R48" s="361"/>
      <c r="S48" s="361"/>
      <c r="T48" s="361"/>
      <c r="U48" s="361"/>
      <c r="V48" s="362"/>
      <c r="W48" s="360"/>
      <c r="X48" s="361"/>
      <c r="Y48" s="361"/>
      <c r="Z48" s="361"/>
      <c r="AA48" s="361"/>
      <c r="AB48" s="362"/>
      <c r="AC48" s="384">
        <v>250992.23</v>
      </c>
      <c r="AD48" s="385"/>
      <c r="AE48" s="386"/>
      <c r="AF48" s="289"/>
    </row>
    <row r="49" spans="1:32" ht="14.45" customHeight="1" x14ac:dyDescent="0.25">
      <c r="A49" s="331" t="s">
        <v>168</v>
      </c>
      <c r="B49" s="342" t="s">
        <v>169</v>
      </c>
      <c r="C49" s="343"/>
      <c r="D49" s="343"/>
      <c r="E49" s="343"/>
      <c r="F49" s="343"/>
      <c r="G49" s="343"/>
      <c r="H49" s="343"/>
      <c r="I49" s="343"/>
      <c r="J49" s="343"/>
      <c r="K49" s="343"/>
      <c r="L49" s="343"/>
      <c r="M49" s="344"/>
      <c r="N49" s="342" t="s">
        <v>101</v>
      </c>
      <c r="O49" s="343"/>
      <c r="P49" s="344"/>
      <c r="Q49" s="372">
        <v>328.48</v>
      </c>
      <c r="R49" s="373"/>
      <c r="S49" s="373"/>
      <c r="T49" s="373"/>
      <c r="U49" s="373"/>
      <c r="V49" s="374"/>
      <c r="W49" s="372">
        <v>764.10199999999998</v>
      </c>
      <c r="X49" s="373"/>
      <c r="Y49" s="373"/>
      <c r="Z49" s="373"/>
      <c r="AA49" s="373"/>
      <c r="AB49" s="374"/>
      <c r="AC49" s="393">
        <v>250992.23</v>
      </c>
      <c r="AD49" s="394"/>
      <c r="AE49" s="395"/>
      <c r="AF49" s="289"/>
    </row>
    <row r="50" spans="1:32" ht="14.45" customHeight="1" x14ac:dyDescent="0.25">
      <c r="A50" s="330" t="s">
        <v>872</v>
      </c>
      <c r="B50" s="357" t="s">
        <v>145</v>
      </c>
      <c r="C50" s="358"/>
      <c r="D50" s="358"/>
      <c r="E50" s="358"/>
      <c r="F50" s="358"/>
      <c r="G50" s="358"/>
      <c r="H50" s="358"/>
      <c r="I50" s="358"/>
      <c r="J50" s="358"/>
      <c r="K50" s="358"/>
      <c r="L50" s="358"/>
      <c r="M50" s="359"/>
      <c r="N50" s="357"/>
      <c r="O50" s="358"/>
      <c r="P50" s="359"/>
      <c r="Q50" s="360"/>
      <c r="R50" s="361"/>
      <c r="S50" s="361"/>
      <c r="T50" s="361"/>
      <c r="U50" s="361"/>
      <c r="V50" s="362"/>
      <c r="W50" s="360"/>
      <c r="X50" s="361"/>
      <c r="Y50" s="361"/>
      <c r="Z50" s="361"/>
      <c r="AA50" s="361"/>
      <c r="AB50" s="362"/>
      <c r="AC50" s="354">
        <v>12450</v>
      </c>
      <c r="AD50" s="355"/>
      <c r="AE50" s="356"/>
      <c r="AF50" s="289"/>
    </row>
    <row r="51" spans="1:32" ht="14.45" customHeight="1" x14ac:dyDescent="0.25">
      <c r="A51" s="331" t="s">
        <v>873</v>
      </c>
      <c r="B51" s="342" t="s">
        <v>874</v>
      </c>
      <c r="C51" s="343"/>
      <c r="D51" s="343"/>
      <c r="E51" s="343"/>
      <c r="F51" s="343"/>
      <c r="G51" s="343"/>
      <c r="H51" s="343"/>
      <c r="I51" s="343"/>
      <c r="J51" s="343"/>
      <c r="K51" s="343"/>
      <c r="L51" s="343"/>
      <c r="M51" s="344"/>
      <c r="N51" s="342" t="s">
        <v>98</v>
      </c>
      <c r="O51" s="343"/>
      <c r="P51" s="344"/>
      <c r="Q51" s="381">
        <v>83</v>
      </c>
      <c r="R51" s="382"/>
      <c r="S51" s="382"/>
      <c r="T51" s="382"/>
      <c r="U51" s="382"/>
      <c r="V51" s="383"/>
      <c r="W51" s="372">
        <v>150</v>
      </c>
      <c r="X51" s="373"/>
      <c r="Y51" s="373"/>
      <c r="Z51" s="373"/>
      <c r="AA51" s="373"/>
      <c r="AB51" s="374"/>
      <c r="AC51" s="336">
        <v>12450</v>
      </c>
      <c r="AD51" s="337"/>
      <c r="AE51" s="338"/>
      <c r="AF51" s="289"/>
    </row>
    <row r="52" spans="1:32" ht="14.45" customHeight="1" x14ac:dyDescent="0.25">
      <c r="A52" s="330" t="s">
        <v>170</v>
      </c>
      <c r="B52" s="357" t="s">
        <v>171</v>
      </c>
      <c r="C52" s="358"/>
      <c r="D52" s="358"/>
      <c r="E52" s="358"/>
      <c r="F52" s="358"/>
      <c r="G52" s="358"/>
      <c r="H52" s="358"/>
      <c r="I52" s="358"/>
      <c r="J52" s="358"/>
      <c r="K52" s="358"/>
      <c r="L52" s="358"/>
      <c r="M52" s="359"/>
      <c r="N52" s="357"/>
      <c r="O52" s="358"/>
      <c r="P52" s="359"/>
      <c r="Q52" s="360"/>
      <c r="R52" s="361"/>
      <c r="S52" s="361"/>
      <c r="T52" s="361"/>
      <c r="U52" s="361"/>
      <c r="V52" s="362"/>
      <c r="W52" s="360"/>
      <c r="X52" s="361"/>
      <c r="Y52" s="361"/>
      <c r="Z52" s="361"/>
      <c r="AA52" s="361"/>
      <c r="AB52" s="362"/>
      <c r="AC52" s="384">
        <v>755564.24</v>
      </c>
      <c r="AD52" s="385"/>
      <c r="AE52" s="386"/>
      <c r="AF52" s="289">
        <f>AC52/ORÇAMENTO_EXECUTIVO!$N$3</f>
        <v>102.46078072409406</v>
      </c>
    </row>
    <row r="53" spans="1:32" ht="14.45" customHeight="1" x14ac:dyDescent="0.25">
      <c r="A53" s="330" t="s">
        <v>172</v>
      </c>
      <c r="B53" s="357" t="s">
        <v>123</v>
      </c>
      <c r="C53" s="358"/>
      <c r="D53" s="358"/>
      <c r="E53" s="358"/>
      <c r="F53" s="358"/>
      <c r="G53" s="358"/>
      <c r="H53" s="358"/>
      <c r="I53" s="358"/>
      <c r="J53" s="358"/>
      <c r="K53" s="358"/>
      <c r="L53" s="358"/>
      <c r="M53" s="359"/>
      <c r="N53" s="357"/>
      <c r="O53" s="358"/>
      <c r="P53" s="359"/>
      <c r="Q53" s="360"/>
      <c r="R53" s="361"/>
      <c r="S53" s="361"/>
      <c r="T53" s="361"/>
      <c r="U53" s="361"/>
      <c r="V53" s="362"/>
      <c r="W53" s="360"/>
      <c r="X53" s="361"/>
      <c r="Y53" s="361"/>
      <c r="Z53" s="361"/>
      <c r="AA53" s="361"/>
      <c r="AB53" s="362"/>
      <c r="AC53" s="384">
        <v>143595.69</v>
      </c>
      <c r="AD53" s="385"/>
      <c r="AE53" s="386"/>
      <c r="AF53" s="289"/>
    </row>
    <row r="54" spans="1:32" ht="14.45" customHeight="1" x14ac:dyDescent="0.25">
      <c r="A54" s="331" t="s">
        <v>173</v>
      </c>
      <c r="B54" s="342" t="s">
        <v>174</v>
      </c>
      <c r="C54" s="343"/>
      <c r="D54" s="343"/>
      <c r="E54" s="343"/>
      <c r="F54" s="343"/>
      <c r="G54" s="343"/>
      <c r="H54" s="343"/>
      <c r="I54" s="343"/>
      <c r="J54" s="343"/>
      <c r="K54" s="343"/>
      <c r="L54" s="343"/>
      <c r="M54" s="344"/>
      <c r="N54" s="342" t="s">
        <v>97</v>
      </c>
      <c r="O54" s="343"/>
      <c r="P54" s="344"/>
      <c r="Q54" s="363">
        <v>1059.8</v>
      </c>
      <c r="R54" s="364"/>
      <c r="S54" s="364"/>
      <c r="T54" s="364"/>
      <c r="U54" s="364"/>
      <c r="V54" s="365"/>
      <c r="W54" s="372">
        <v>135.4932</v>
      </c>
      <c r="X54" s="373"/>
      <c r="Y54" s="373"/>
      <c r="Z54" s="373"/>
      <c r="AA54" s="373"/>
      <c r="AB54" s="374"/>
      <c r="AC54" s="393">
        <v>143595.69</v>
      </c>
      <c r="AD54" s="394"/>
      <c r="AE54" s="395"/>
      <c r="AF54" s="289"/>
    </row>
    <row r="55" spans="1:32" ht="14.45" customHeight="1" x14ac:dyDescent="0.25">
      <c r="A55" s="330" t="s">
        <v>175</v>
      </c>
      <c r="B55" s="357" t="s">
        <v>127</v>
      </c>
      <c r="C55" s="358"/>
      <c r="D55" s="358"/>
      <c r="E55" s="358"/>
      <c r="F55" s="358"/>
      <c r="G55" s="358"/>
      <c r="H55" s="358"/>
      <c r="I55" s="358"/>
      <c r="J55" s="358"/>
      <c r="K55" s="358"/>
      <c r="L55" s="358"/>
      <c r="M55" s="359"/>
      <c r="N55" s="357"/>
      <c r="O55" s="358"/>
      <c r="P55" s="359"/>
      <c r="Q55" s="360"/>
      <c r="R55" s="361"/>
      <c r="S55" s="361"/>
      <c r="T55" s="361"/>
      <c r="U55" s="361"/>
      <c r="V55" s="362"/>
      <c r="W55" s="360"/>
      <c r="X55" s="361"/>
      <c r="Y55" s="361"/>
      <c r="Z55" s="361"/>
      <c r="AA55" s="361"/>
      <c r="AB55" s="362"/>
      <c r="AC55" s="384">
        <v>321313.07</v>
      </c>
      <c r="AD55" s="385"/>
      <c r="AE55" s="386"/>
    </row>
    <row r="56" spans="1:32" ht="14.45" customHeight="1" x14ac:dyDescent="0.25">
      <c r="A56" s="331" t="s">
        <v>176</v>
      </c>
      <c r="B56" s="342" t="s">
        <v>177</v>
      </c>
      <c r="C56" s="343"/>
      <c r="D56" s="343"/>
      <c r="E56" s="343"/>
      <c r="F56" s="343"/>
      <c r="G56" s="343"/>
      <c r="H56" s="343"/>
      <c r="I56" s="343"/>
      <c r="J56" s="343"/>
      <c r="K56" s="343"/>
      <c r="L56" s="343"/>
      <c r="M56" s="344"/>
      <c r="N56" s="342" t="s">
        <v>101</v>
      </c>
      <c r="O56" s="343"/>
      <c r="P56" s="344"/>
      <c r="Q56" s="372">
        <v>307.23</v>
      </c>
      <c r="R56" s="373"/>
      <c r="S56" s="373"/>
      <c r="T56" s="373"/>
      <c r="U56" s="373"/>
      <c r="V56" s="374"/>
      <c r="W56" s="381">
        <v>11.027799999999999</v>
      </c>
      <c r="X56" s="382"/>
      <c r="Y56" s="382"/>
      <c r="Z56" s="382"/>
      <c r="AA56" s="382"/>
      <c r="AB56" s="383"/>
      <c r="AC56" s="366">
        <v>3388.07</v>
      </c>
      <c r="AD56" s="367"/>
      <c r="AE56" s="368"/>
    </row>
    <row r="57" spans="1:32" ht="14.45" customHeight="1" x14ac:dyDescent="0.25">
      <c r="A57" s="331" t="s">
        <v>178</v>
      </c>
      <c r="B57" s="342" t="s">
        <v>179</v>
      </c>
      <c r="C57" s="343"/>
      <c r="D57" s="343"/>
      <c r="E57" s="343"/>
      <c r="F57" s="343"/>
      <c r="G57" s="343"/>
      <c r="H57" s="343"/>
      <c r="I57" s="343"/>
      <c r="J57" s="343"/>
      <c r="K57" s="343"/>
      <c r="L57" s="343"/>
      <c r="M57" s="344"/>
      <c r="N57" s="342" t="s">
        <v>100</v>
      </c>
      <c r="O57" s="343"/>
      <c r="P57" s="344"/>
      <c r="Q57" s="363">
        <v>1243.8499999999999</v>
      </c>
      <c r="R57" s="364"/>
      <c r="S57" s="364"/>
      <c r="T57" s="364"/>
      <c r="U57" s="364"/>
      <c r="V57" s="365"/>
      <c r="W57" s="381">
        <v>10.081799999999999</v>
      </c>
      <c r="X57" s="382"/>
      <c r="Y57" s="382"/>
      <c r="Z57" s="382"/>
      <c r="AA57" s="382"/>
      <c r="AB57" s="383"/>
      <c r="AC57" s="336">
        <v>12540.25</v>
      </c>
      <c r="AD57" s="337"/>
      <c r="AE57" s="338"/>
    </row>
    <row r="58" spans="1:32" ht="14.45" customHeight="1" x14ac:dyDescent="0.25">
      <c r="A58" s="331" t="s">
        <v>180</v>
      </c>
      <c r="B58" s="342" t="s">
        <v>181</v>
      </c>
      <c r="C58" s="343"/>
      <c r="D58" s="343"/>
      <c r="E58" s="343"/>
      <c r="F58" s="343"/>
      <c r="G58" s="343"/>
      <c r="H58" s="343"/>
      <c r="I58" s="343"/>
      <c r="J58" s="343"/>
      <c r="K58" s="343"/>
      <c r="L58" s="343"/>
      <c r="M58" s="344"/>
      <c r="N58" s="342" t="s">
        <v>100</v>
      </c>
      <c r="O58" s="343"/>
      <c r="P58" s="344"/>
      <c r="Q58" s="363">
        <v>4000.91</v>
      </c>
      <c r="R58" s="364"/>
      <c r="S58" s="364"/>
      <c r="T58" s="364"/>
      <c r="U58" s="364"/>
      <c r="V58" s="365"/>
      <c r="W58" s="381">
        <v>10.081799999999999</v>
      </c>
      <c r="X58" s="382"/>
      <c r="Y58" s="382"/>
      <c r="Z58" s="382"/>
      <c r="AA58" s="382"/>
      <c r="AB58" s="383"/>
      <c r="AC58" s="336">
        <v>40336.370000000003</v>
      </c>
      <c r="AD58" s="337"/>
      <c r="AE58" s="338"/>
    </row>
    <row r="59" spans="1:32" ht="14.45" customHeight="1" x14ac:dyDescent="0.25">
      <c r="A59" s="331" t="s">
        <v>182</v>
      </c>
      <c r="B59" s="342" t="s">
        <v>183</v>
      </c>
      <c r="C59" s="343"/>
      <c r="D59" s="343"/>
      <c r="E59" s="343"/>
      <c r="F59" s="343"/>
      <c r="G59" s="343"/>
      <c r="H59" s="343"/>
      <c r="I59" s="343"/>
      <c r="J59" s="343"/>
      <c r="K59" s="343"/>
      <c r="L59" s="343"/>
      <c r="M59" s="344"/>
      <c r="N59" s="342" t="s">
        <v>100</v>
      </c>
      <c r="O59" s="343"/>
      <c r="P59" s="344"/>
      <c r="Q59" s="363">
        <v>5140.1899999999996</v>
      </c>
      <c r="R59" s="364"/>
      <c r="S59" s="364"/>
      <c r="T59" s="364"/>
      <c r="U59" s="364"/>
      <c r="V59" s="365"/>
      <c r="W59" s="345">
        <v>9.7848000000000006</v>
      </c>
      <c r="X59" s="346"/>
      <c r="Y59" s="346"/>
      <c r="Z59" s="346"/>
      <c r="AA59" s="346"/>
      <c r="AB59" s="347"/>
      <c r="AC59" s="336">
        <v>50295.73</v>
      </c>
      <c r="AD59" s="337"/>
      <c r="AE59" s="338"/>
    </row>
    <row r="60" spans="1:32" ht="14.45" customHeight="1" x14ac:dyDescent="0.25">
      <c r="A60" s="331" t="s">
        <v>184</v>
      </c>
      <c r="B60" s="342" t="s">
        <v>185</v>
      </c>
      <c r="C60" s="343"/>
      <c r="D60" s="343"/>
      <c r="E60" s="343"/>
      <c r="F60" s="343"/>
      <c r="G60" s="343"/>
      <c r="H60" s="343"/>
      <c r="I60" s="343"/>
      <c r="J60" s="343"/>
      <c r="K60" s="343"/>
      <c r="L60" s="343"/>
      <c r="M60" s="344"/>
      <c r="N60" s="342" t="s">
        <v>100</v>
      </c>
      <c r="O60" s="343"/>
      <c r="P60" s="344"/>
      <c r="Q60" s="363">
        <v>1631.15</v>
      </c>
      <c r="R60" s="364"/>
      <c r="S60" s="364"/>
      <c r="T60" s="364"/>
      <c r="U60" s="364"/>
      <c r="V60" s="365"/>
      <c r="W60" s="345">
        <v>9.4878</v>
      </c>
      <c r="X60" s="346"/>
      <c r="Y60" s="346"/>
      <c r="Z60" s="346"/>
      <c r="AA60" s="346"/>
      <c r="AB60" s="347"/>
      <c r="AC60" s="336">
        <v>15476.02</v>
      </c>
      <c r="AD60" s="337"/>
      <c r="AE60" s="338"/>
    </row>
    <row r="61" spans="1:32" ht="14.45" customHeight="1" x14ac:dyDescent="0.25">
      <c r="A61" s="331" t="s">
        <v>186</v>
      </c>
      <c r="B61" s="342" t="s">
        <v>187</v>
      </c>
      <c r="C61" s="343"/>
      <c r="D61" s="343"/>
      <c r="E61" s="343"/>
      <c r="F61" s="343"/>
      <c r="G61" s="343"/>
      <c r="H61" s="343"/>
      <c r="I61" s="343"/>
      <c r="J61" s="343"/>
      <c r="K61" s="343"/>
      <c r="L61" s="343"/>
      <c r="M61" s="344"/>
      <c r="N61" s="342" t="s">
        <v>100</v>
      </c>
      <c r="O61" s="343"/>
      <c r="P61" s="344"/>
      <c r="Q61" s="363">
        <v>1988</v>
      </c>
      <c r="R61" s="364"/>
      <c r="S61" s="364"/>
      <c r="T61" s="364"/>
      <c r="U61" s="364"/>
      <c r="V61" s="365"/>
      <c r="W61" s="345">
        <v>9.4878</v>
      </c>
      <c r="X61" s="346"/>
      <c r="Y61" s="346"/>
      <c r="Z61" s="346"/>
      <c r="AA61" s="346"/>
      <c r="AB61" s="347"/>
      <c r="AC61" s="336">
        <v>18861.75</v>
      </c>
      <c r="AD61" s="337"/>
      <c r="AE61" s="338"/>
    </row>
    <row r="62" spans="1:32" ht="14.45" customHeight="1" x14ac:dyDescent="0.25">
      <c r="A62" s="331" t="s">
        <v>188</v>
      </c>
      <c r="B62" s="342" t="s">
        <v>189</v>
      </c>
      <c r="C62" s="343"/>
      <c r="D62" s="343"/>
      <c r="E62" s="343"/>
      <c r="F62" s="343"/>
      <c r="G62" s="343"/>
      <c r="H62" s="343"/>
      <c r="I62" s="343"/>
      <c r="J62" s="343"/>
      <c r="K62" s="343"/>
      <c r="L62" s="343"/>
      <c r="M62" s="344"/>
      <c r="N62" s="342" t="s">
        <v>100</v>
      </c>
      <c r="O62" s="343"/>
      <c r="P62" s="344"/>
      <c r="Q62" s="348">
        <v>19015.46</v>
      </c>
      <c r="R62" s="349"/>
      <c r="S62" s="349"/>
      <c r="T62" s="349"/>
      <c r="U62" s="349"/>
      <c r="V62" s="350"/>
      <c r="W62" s="345">
        <v>9.4878</v>
      </c>
      <c r="X62" s="346"/>
      <c r="Y62" s="346"/>
      <c r="Z62" s="346"/>
      <c r="AA62" s="346"/>
      <c r="AB62" s="347"/>
      <c r="AC62" s="393">
        <v>180414.88</v>
      </c>
      <c r="AD62" s="394"/>
      <c r="AE62" s="395"/>
    </row>
    <row r="63" spans="1:32" ht="14.45" customHeight="1" x14ac:dyDescent="0.25">
      <c r="A63" s="330" t="s">
        <v>190</v>
      </c>
      <c r="B63" s="357" t="s">
        <v>141</v>
      </c>
      <c r="C63" s="358"/>
      <c r="D63" s="358"/>
      <c r="E63" s="358"/>
      <c r="F63" s="358"/>
      <c r="G63" s="358"/>
      <c r="H63" s="358"/>
      <c r="I63" s="358"/>
      <c r="J63" s="358"/>
      <c r="K63" s="358"/>
      <c r="L63" s="358"/>
      <c r="M63" s="359"/>
      <c r="N63" s="357"/>
      <c r="O63" s="358"/>
      <c r="P63" s="359"/>
      <c r="Q63" s="360"/>
      <c r="R63" s="361"/>
      <c r="S63" s="361"/>
      <c r="T63" s="361"/>
      <c r="U63" s="361"/>
      <c r="V63" s="362"/>
      <c r="W63" s="360"/>
      <c r="X63" s="361"/>
      <c r="Y63" s="361"/>
      <c r="Z63" s="361"/>
      <c r="AA63" s="361"/>
      <c r="AB63" s="362"/>
      <c r="AC63" s="384">
        <v>171871.68</v>
      </c>
      <c r="AD63" s="385"/>
      <c r="AE63" s="386"/>
    </row>
    <row r="64" spans="1:32" ht="14.45" customHeight="1" x14ac:dyDescent="0.25">
      <c r="A64" s="331" t="s">
        <v>191</v>
      </c>
      <c r="B64" s="342" t="s">
        <v>192</v>
      </c>
      <c r="C64" s="343"/>
      <c r="D64" s="343"/>
      <c r="E64" s="343"/>
      <c r="F64" s="343"/>
      <c r="G64" s="343"/>
      <c r="H64" s="343"/>
      <c r="I64" s="343"/>
      <c r="J64" s="343"/>
      <c r="K64" s="343"/>
      <c r="L64" s="343"/>
      <c r="M64" s="344"/>
      <c r="N64" s="342" t="s">
        <v>101</v>
      </c>
      <c r="O64" s="343"/>
      <c r="P64" s="344"/>
      <c r="Q64" s="372">
        <v>270.51</v>
      </c>
      <c r="R64" s="373"/>
      <c r="S64" s="373"/>
      <c r="T64" s="373"/>
      <c r="U64" s="373"/>
      <c r="V64" s="374"/>
      <c r="W64" s="372">
        <v>596.35199999999998</v>
      </c>
      <c r="X64" s="373"/>
      <c r="Y64" s="373"/>
      <c r="Z64" s="373"/>
      <c r="AA64" s="373"/>
      <c r="AB64" s="374"/>
      <c r="AC64" s="393">
        <v>161319.18</v>
      </c>
      <c r="AD64" s="394"/>
      <c r="AE64" s="395"/>
    </row>
    <row r="65" spans="1:31" ht="14.45" customHeight="1" x14ac:dyDescent="0.25">
      <c r="A65" s="331" t="s">
        <v>193</v>
      </c>
      <c r="B65" s="342" t="s">
        <v>194</v>
      </c>
      <c r="C65" s="343"/>
      <c r="D65" s="343"/>
      <c r="E65" s="343"/>
      <c r="F65" s="343"/>
      <c r="G65" s="343"/>
      <c r="H65" s="343"/>
      <c r="I65" s="343"/>
      <c r="J65" s="343"/>
      <c r="K65" s="343"/>
      <c r="L65" s="343"/>
      <c r="M65" s="344"/>
      <c r="N65" s="342" t="s">
        <v>101</v>
      </c>
      <c r="O65" s="343"/>
      <c r="P65" s="344"/>
      <c r="Q65" s="381">
        <v>20.100000000000001</v>
      </c>
      <c r="R65" s="382"/>
      <c r="S65" s="382"/>
      <c r="T65" s="382"/>
      <c r="U65" s="382"/>
      <c r="V65" s="383"/>
      <c r="W65" s="372">
        <v>525</v>
      </c>
      <c r="X65" s="373"/>
      <c r="Y65" s="373"/>
      <c r="Z65" s="373"/>
      <c r="AA65" s="373"/>
      <c r="AB65" s="374"/>
      <c r="AC65" s="336">
        <v>10552.5</v>
      </c>
      <c r="AD65" s="337"/>
      <c r="AE65" s="338"/>
    </row>
    <row r="66" spans="1:31" ht="14.45" customHeight="1" x14ac:dyDescent="0.25">
      <c r="A66" s="330" t="s">
        <v>195</v>
      </c>
      <c r="B66" s="357" t="s">
        <v>145</v>
      </c>
      <c r="C66" s="358"/>
      <c r="D66" s="358"/>
      <c r="E66" s="358"/>
      <c r="F66" s="358"/>
      <c r="G66" s="358"/>
      <c r="H66" s="358"/>
      <c r="I66" s="358"/>
      <c r="J66" s="358"/>
      <c r="K66" s="358"/>
      <c r="L66" s="358"/>
      <c r="M66" s="359"/>
      <c r="N66" s="357"/>
      <c r="O66" s="358"/>
      <c r="P66" s="359"/>
      <c r="Q66" s="360"/>
      <c r="R66" s="361"/>
      <c r="S66" s="361"/>
      <c r="T66" s="361"/>
      <c r="U66" s="361"/>
      <c r="V66" s="362"/>
      <c r="W66" s="360"/>
      <c r="X66" s="361"/>
      <c r="Y66" s="361"/>
      <c r="Z66" s="361"/>
      <c r="AA66" s="361"/>
      <c r="AB66" s="362"/>
      <c r="AC66" s="384">
        <v>118783.8</v>
      </c>
      <c r="AD66" s="385"/>
      <c r="AE66" s="386"/>
    </row>
    <row r="67" spans="1:31" ht="14.45" customHeight="1" x14ac:dyDescent="0.25">
      <c r="A67" s="331" t="s">
        <v>196</v>
      </c>
      <c r="B67" s="342" t="s">
        <v>197</v>
      </c>
      <c r="C67" s="343"/>
      <c r="D67" s="343"/>
      <c r="E67" s="343"/>
      <c r="F67" s="343"/>
      <c r="G67" s="343"/>
      <c r="H67" s="343"/>
      <c r="I67" s="343"/>
      <c r="J67" s="343"/>
      <c r="K67" s="343"/>
      <c r="L67" s="343"/>
      <c r="M67" s="344"/>
      <c r="N67" s="342" t="s">
        <v>97</v>
      </c>
      <c r="O67" s="343"/>
      <c r="P67" s="344"/>
      <c r="Q67" s="372">
        <v>659.91</v>
      </c>
      <c r="R67" s="373"/>
      <c r="S67" s="373"/>
      <c r="T67" s="373"/>
      <c r="U67" s="373"/>
      <c r="V67" s="374"/>
      <c r="W67" s="372">
        <v>180</v>
      </c>
      <c r="X67" s="373"/>
      <c r="Y67" s="373"/>
      <c r="Z67" s="373"/>
      <c r="AA67" s="373"/>
      <c r="AB67" s="374"/>
      <c r="AC67" s="393">
        <v>118783.8</v>
      </c>
      <c r="AD67" s="394"/>
      <c r="AE67" s="395"/>
    </row>
    <row r="68" spans="1:31" ht="14.45" customHeight="1" x14ac:dyDescent="0.25">
      <c r="A68" s="330" t="s">
        <v>198</v>
      </c>
      <c r="B68" s="357" t="s">
        <v>6</v>
      </c>
      <c r="C68" s="358"/>
      <c r="D68" s="358"/>
      <c r="E68" s="358"/>
      <c r="F68" s="358"/>
      <c r="G68" s="358"/>
      <c r="H68" s="358"/>
      <c r="I68" s="358"/>
      <c r="J68" s="358"/>
      <c r="K68" s="358"/>
      <c r="L68" s="358"/>
      <c r="M68" s="359"/>
      <c r="N68" s="357"/>
      <c r="O68" s="358"/>
      <c r="P68" s="359"/>
      <c r="Q68" s="360"/>
      <c r="R68" s="361"/>
      <c r="S68" s="361"/>
      <c r="T68" s="361"/>
      <c r="U68" s="361"/>
      <c r="V68" s="362"/>
      <c r="W68" s="360"/>
      <c r="X68" s="361"/>
      <c r="Y68" s="361"/>
      <c r="Z68" s="361"/>
      <c r="AA68" s="361"/>
      <c r="AB68" s="362"/>
      <c r="AC68" s="396">
        <v>4767977.6500000004</v>
      </c>
      <c r="AD68" s="397"/>
      <c r="AE68" s="398"/>
    </row>
    <row r="69" spans="1:31" ht="14.45" customHeight="1" x14ac:dyDescent="0.25">
      <c r="A69" s="330" t="s">
        <v>199</v>
      </c>
      <c r="B69" s="357" t="s">
        <v>6</v>
      </c>
      <c r="C69" s="358"/>
      <c r="D69" s="358"/>
      <c r="E69" s="358"/>
      <c r="F69" s="358"/>
      <c r="G69" s="358"/>
      <c r="H69" s="358"/>
      <c r="I69" s="358"/>
      <c r="J69" s="358"/>
      <c r="K69" s="358"/>
      <c r="L69" s="358"/>
      <c r="M69" s="359"/>
      <c r="N69" s="357"/>
      <c r="O69" s="358"/>
      <c r="P69" s="359"/>
      <c r="Q69" s="360"/>
      <c r="R69" s="361"/>
      <c r="S69" s="361"/>
      <c r="T69" s="361"/>
      <c r="U69" s="361"/>
      <c r="V69" s="362"/>
      <c r="W69" s="360"/>
      <c r="X69" s="361"/>
      <c r="Y69" s="361"/>
      <c r="Z69" s="361"/>
      <c r="AA69" s="361"/>
      <c r="AB69" s="362"/>
      <c r="AC69" s="396">
        <v>4767977.6500000004</v>
      </c>
      <c r="AD69" s="397"/>
      <c r="AE69" s="398"/>
    </row>
    <row r="70" spans="1:31" ht="14.45" customHeight="1" x14ac:dyDescent="0.25">
      <c r="A70" s="330" t="s">
        <v>200</v>
      </c>
      <c r="B70" s="357" t="s">
        <v>123</v>
      </c>
      <c r="C70" s="358"/>
      <c r="D70" s="358"/>
      <c r="E70" s="358"/>
      <c r="F70" s="358"/>
      <c r="G70" s="358"/>
      <c r="H70" s="358"/>
      <c r="I70" s="358"/>
      <c r="J70" s="358"/>
      <c r="K70" s="358"/>
      <c r="L70" s="358"/>
      <c r="M70" s="359"/>
      <c r="N70" s="357"/>
      <c r="O70" s="358"/>
      <c r="P70" s="359"/>
      <c r="Q70" s="360"/>
      <c r="R70" s="361"/>
      <c r="S70" s="361"/>
      <c r="T70" s="361"/>
      <c r="U70" s="361"/>
      <c r="V70" s="362"/>
      <c r="W70" s="360"/>
      <c r="X70" s="361"/>
      <c r="Y70" s="361"/>
      <c r="Z70" s="361"/>
      <c r="AA70" s="361"/>
      <c r="AB70" s="362"/>
      <c r="AC70" s="384">
        <v>297506.69</v>
      </c>
      <c r="AD70" s="385"/>
      <c r="AE70" s="386"/>
    </row>
    <row r="71" spans="1:31" ht="14.45" customHeight="1" x14ac:dyDescent="0.25">
      <c r="A71" s="331" t="s">
        <v>201</v>
      </c>
      <c r="B71" s="342" t="s">
        <v>202</v>
      </c>
      <c r="C71" s="343"/>
      <c r="D71" s="343"/>
      <c r="E71" s="343"/>
      <c r="F71" s="343"/>
      <c r="G71" s="343"/>
      <c r="H71" s="343"/>
      <c r="I71" s="343"/>
      <c r="J71" s="343"/>
      <c r="K71" s="343"/>
      <c r="L71" s="343"/>
      <c r="M71" s="344"/>
      <c r="N71" s="342" t="s">
        <v>97</v>
      </c>
      <c r="O71" s="343"/>
      <c r="P71" s="344"/>
      <c r="Q71" s="372">
        <v>619.63</v>
      </c>
      <c r="R71" s="373"/>
      <c r="S71" s="373"/>
      <c r="T71" s="373"/>
      <c r="U71" s="373"/>
      <c r="V71" s="374"/>
      <c r="W71" s="372">
        <v>127.35550000000001</v>
      </c>
      <c r="X71" s="373"/>
      <c r="Y71" s="373"/>
      <c r="Z71" s="373"/>
      <c r="AA71" s="373"/>
      <c r="AB71" s="374"/>
      <c r="AC71" s="336">
        <v>78913.289999999994</v>
      </c>
      <c r="AD71" s="337"/>
      <c r="AE71" s="338"/>
    </row>
    <row r="72" spans="1:31" ht="14.45" customHeight="1" x14ac:dyDescent="0.25">
      <c r="A72" s="331" t="s">
        <v>203</v>
      </c>
      <c r="B72" s="342" t="s">
        <v>204</v>
      </c>
      <c r="C72" s="343"/>
      <c r="D72" s="343"/>
      <c r="E72" s="343"/>
      <c r="F72" s="343"/>
      <c r="G72" s="343"/>
      <c r="H72" s="343"/>
      <c r="I72" s="343"/>
      <c r="J72" s="343"/>
      <c r="K72" s="343"/>
      <c r="L72" s="343"/>
      <c r="M72" s="344"/>
      <c r="N72" s="342" t="s">
        <v>97</v>
      </c>
      <c r="O72" s="343"/>
      <c r="P72" s="344"/>
      <c r="Q72" s="372">
        <v>548.17999999999995</v>
      </c>
      <c r="R72" s="373"/>
      <c r="S72" s="373"/>
      <c r="T72" s="373"/>
      <c r="U72" s="373"/>
      <c r="V72" s="374"/>
      <c r="W72" s="372">
        <v>170.39449999999999</v>
      </c>
      <c r="X72" s="373"/>
      <c r="Y72" s="373"/>
      <c r="Z72" s="373"/>
      <c r="AA72" s="373"/>
      <c r="AB72" s="374"/>
      <c r="AC72" s="336">
        <v>93406.86</v>
      </c>
      <c r="AD72" s="337"/>
      <c r="AE72" s="338"/>
    </row>
    <row r="73" spans="1:31" ht="14.45" customHeight="1" x14ac:dyDescent="0.25">
      <c r="A73" s="331" t="s">
        <v>205</v>
      </c>
      <c r="B73" s="342" t="s">
        <v>206</v>
      </c>
      <c r="C73" s="343"/>
      <c r="D73" s="343"/>
      <c r="E73" s="343"/>
      <c r="F73" s="343"/>
      <c r="G73" s="343"/>
      <c r="H73" s="343"/>
      <c r="I73" s="343"/>
      <c r="J73" s="343"/>
      <c r="K73" s="343"/>
      <c r="L73" s="343"/>
      <c r="M73" s="344"/>
      <c r="N73" s="342" t="s">
        <v>97</v>
      </c>
      <c r="O73" s="343"/>
      <c r="P73" s="344"/>
      <c r="Q73" s="363">
        <v>1190.76</v>
      </c>
      <c r="R73" s="364"/>
      <c r="S73" s="364"/>
      <c r="T73" s="364"/>
      <c r="U73" s="364"/>
      <c r="V73" s="365"/>
      <c r="W73" s="381">
        <v>93.796499999999995</v>
      </c>
      <c r="X73" s="382"/>
      <c r="Y73" s="382"/>
      <c r="Z73" s="382"/>
      <c r="AA73" s="382"/>
      <c r="AB73" s="383"/>
      <c r="AC73" s="393">
        <v>111689.12</v>
      </c>
      <c r="AD73" s="394"/>
      <c r="AE73" s="395"/>
    </row>
    <row r="74" spans="1:31" ht="14.45" customHeight="1" x14ac:dyDescent="0.25">
      <c r="A74" s="331" t="s">
        <v>207</v>
      </c>
      <c r="B74" s="342" t="s">
        <v>208</v>
      </c>
      <c r="C74" s="343"/>
      <c r="D74" s="343"/>
      <c r="E74" s="343"/>
      <c r="F74" s="343"/>
      <c r="G74" s="343"/>
      <c r="H74" s="343"/>
      <c r="I74" s="343"/>
      <c r="J74" s="343"/>
      <c r="K74" s="343"/>
      <c r="L74" s="343"/>
      <c r="M74" s="344"/>
      <c r="N74" s="342" t="s">
        <v>97</v>
      </c>
      <c r="O74" s="343"/>
      <c r="P74" s="344"/>
      <c r="Q74" s="381">
        <v>40.9</v>
      </c>
      <c r="R74" s="382"/>
      <c r="S74" s="382"/>
      <c r="T74" s="382"/>
      <c r="U74" s="382"/>
      <c r="V74" s="383"/>
      <c r="W74" s="372">
        <v>169.83279999999999</v>
      </c>
      <c r="X74" s="373"/>
      <c r="Y74" s="373"/>
      <c r="Z74" s="373"/>
      <c r="AA74" s="373"/>
      <c r="AB74" s="374"/>
      <c r="AC74" s="366">
        <v>6946.16</v>
      </c>
      <c r="AD74" s="367"/>
      <c r="AE74" s="368"/>
    </row>
    <row r="75" spans="1:31" ht="14.45" customHeight="1" x14ac:dyDescent="0.25">
      <c r="A75" s="331" t="s">
        <v>209</v>
      </c>
      <c r="B75" s="342" t="s">
        <v>210</v>
      </c>
      <c r="C75" s="343"/>
      <c r="D75" s="343"/>
      <c r="E75" s="343"/>
      <c r="F75" s="343"/>
      <c r="G75" s="343"/>
      <c r="H75" s="343"/>
      <c r="I75" s="343"/>
      <c r="J75" s="343"/>
      <c r="K75" s="343"/>
      <c r="L75" s="343"/>
      <c r="M75" s="344"/>
      <c r="N75" s="342" t="s">
        <v>97</v>
      </c>
      <c r="O75" s="343"/>
      <c r="P75" s="344"/>
      <c r="Q75" s="363">
        <v>4349.67</v>
      </c>
      <c r="R75" s="364"/>
      <c r="S75" s="364"/>
      <c r="T75" s="364"/>
      <c r="U75" s="364"/>
      <c r="V75" s="365"/>
      <c r="W75" s="345">
        <v>1.0664</v>
      </c>
      <c r="X75" s="346"/>
      <c r="Y75" s="346"/>
      <c r="Z75" s="346"/>
      <c r="AA75" s="346"/>
      <c r="AB75" s="347"/>
      <c r="AC75" s="366">
        <v>4638.49</v>
      </c>
      <c r="AD75" s="367"/>
      <c r="AE75" s="368"/>
    </row>
    <row r="76" spans="1:31" ht="14.45" customHeight="1" x14ac:dyDescent="0.25">
      <c r="A76" s="331" t="s">
        <v>211</v>
      </c>
      <c r="B76" s="342" t="s">
        <v>212</v>
      </c>
      <c r="C76" s="343"/>
      <c r="D76" s="343"/>
      <c r="E76" s="343"/>
      <c r="F76" s="343"/>
      <c r="G76" s="343"/>
      <c r="H76" s="343"/>
      <c r="I76" s="343"/>
      <c r="J76" s="343"/>
      <c r="K76" s="343"/>
      <c r="L76" s="343"/>
      <c r="M76" s="344"/>
      <c r="N76" s="342" t="s">
        <v>97</v>
      </c>
      <c r="O76" s="343"/>
      <c r="P76" s="344"/>
      <c r="Q76" s="363">
        <v>2774.31</v>
      </c>
      <c r="R76" s="364"/>
      <c r="S76" s="364"/>
      <c r="T76" s="364"/>
      <c r="U76" s="364"/>
      <c r="V76" s="365"/>
      <c r="W76" s="345">
        <v>0.42980000000000002</v>
      </c>
      <c r="X76" s="346"/>
      <c r="Y76" s="346"/>
      <c r="Z76" s="346"/>
      <c r="AA76" s="346"/>
      <c r="AB76" s="347"/>
      <c r="AC76" s="366">
        <v>1192.4000000000001</v>
      </c>
      <c r="AD76" s="367"/>
      <c r="AE76" s="368"/>
    </row>
    <row r="77" spans="1:31" ht="14.45" customHeight="1" x14ac:dyDescent="0.25">
      <c r="A77" s="331" t="s">
        <v>213</v>
      </c>
      <c r="B77" s="342" t="s">
        <v>214</v>
      </c>
      <c r="C77" s="343"/>
      <c r="D77" s="343"/>
      <c r="E77" s="343"/>
      <c r="F77" s="343"/>
      <c r="G77" s="343"/>
      <c r="H77" s="343"/>
      <c r="I77" s="343"/>
      <c r="J77" s="343"/>
      <c r="K77" s="343"/>
      <c r="L77" s="343"/>
      <c r="M77" s="344"/>
      <c r="N77" s="342" t="s">
        <v>97</v>
      </c>
      <c r="O77" s="343"/>
      <c r="P77" s="344"/>
      <c r="Q77" s="363">
        <v>6155.46</v>
      </c>
      <c r="R77" s="364"/>
      <c r="S77" s="364"/>
      <c r="T77" s="364"/>
      <c r="U77" s="364"/>
      <c r="V77" s="365"/>
      <c r="W77" s="345">
        <v>2.6599999999999999E-2</v>
      </c>
      <c r="X77" s="346"/>
      <c r="Y77" s="346"/>
      <c r="Z77" s="346"/>
      <c r="AA77" s="346"/>
      <c r="AB77" s="347"/>
      <c r="AC77" s="375">
        <v>163.74</v>
      </c>
      <c r="AD77" s="376"/>
      <c r="AE77" s="377"/>
    </row>
    <row r="78" spans="1:31" ht="14.45" customHeight="1" x14ac:dyDescent="0.25">
      <c r="A78" s="331" t="s">
        <v>215</v>
      </c>
      <c r="B78" s="342" t="s">
        <v>216</v>
      </c>
      <c r="C78" s="343"/>
      <c r="D78" s="343"/>
      <c r="E78" s="343"/>
      <c r="F78" s="343"/>
      <c r="G78" s="343"/>
      <c r="H78" s="343"/>
      <c r="I78" s="343"/>
      <c r="J78" s="343"/>
      <c r="K78" s="343"/>
      <c r="L78" s="343"/>
      <c r="M78" s="344"/>
      <c r="N78" s="342" t="s">
        <v>97</v>
      </c>
      <c r="O78" s="343"/>
      <c r="P78" s="344"/>
      <c r="Q78" s="372">
        <v>368.14</v>
      </c>
      <c r="R78" s="373"/>
      <c r="S78" s="373"/>
      <c r="T78" s="373"/>
      <c r="U78" s="373"/>
      <c r="V78" s="374"/>
      <c r="W78" s="345">
        <v>1.512</v>
      </c>
      <c r="X78" s="346"/>
      <c r="Y78" s="346"/>
      <c r="Z78" s="346"/>
      <c r="AA78" s="346"/>
      <c r="AB78" s="347"/>
      <c r="AC78" s="375">
        <v>556.63</v>
      </c>
      <c r="AD78" s="376"/>
      <c r="AE78" s="377"/>
    </row>
    <row r="79" spans="1:31" ht="14.45" customHeight="1" x14ac:dyDescent="0.25">
      <c r="A79" s="330" t="s">
        <v>217</v>
      </c>
      <c r="B79" s="357" t="s">
        <v>127</v>
      </c>
      <c r="C79" s="358"/>
      <c r="D79" s="358"/>
      <c r="E79" s="358"/>
      <c r="F79" s="358"/>
      <c r="G79" s="358"/>
      <c r="H79" s="358"/>
      <c r="I79" s="358"/>
      <c r="J79" s="358"/>
      <c r="K79" s="358"/>
      <c r="L79" s="358"/>
      <c r="M79" s="359"/>
      <c r="N79" s="357"/>
      <c r="O79" s="358"/>
      <c r="P79" s="359"/>
      <c r="Q79" s="360"/>
      <c r="R79" s="361"/>
      <c r="S79" s="361"/>
      <c r="T79" s="361"/>
      <c r="U79" s="361"/>
      <c r="V79" s="362"/>
      <c r="W79" s="360"/>
      <c r="X79" s="361"/>
      <c r="Y79" s="361"/>
      <c r="Z79" s="361"/>
      <c r="AA79" s="361"/>
      <c r="AB79" s="362"/>
      <c r="AC79" s="396">
        <v>1358334.33</v>
      </c>
      <c r="AD79" s="397"/>
      <c r="AE79" s="398"/>
    </row>
    <row r="80" spans="1:31" ht="14.45" customHeight="1" x14ac:dyDescent="0.25">
      <c r="A80" s="331" t="s">
        <v>218</v>
      </c>
      <c r="B80" s="342" t="s">
        <v>219</v>
      </c>
      <c r="C80" s="343"/>
      <c r="D80" s="343"/>
      <c r="E80" s="343"/>
      <c r="F80" s="343"/>
      <c r="G80" s="343"/>
      <c r="H80" s="343"/>
      <c r="I80" s="343"/>
      <c r="J80" s="343"/>
      <c r="K80" s="343"/>
      <c r="L80" s="343"/>
      <c r="M80" s="344"/>
      <c r="N80" s="342" t="s">
        <v>100</v>
      </c>
      <c r="O80" s="343"/>
      <c r="P80" s="344"/>
      <c r="Q80" s="348">
        <v>13870.82</v>
      </c>
      <c r="R80" s="349"/>
      <c r="S80" s="349"/>
      <c r="T80" s="349"/>
      <c r="U80" s="349"/>
      <c r="V80" s="350"/>
      <c r="W80" s="345">
        <v>9.4856999999999996</v>
      </c>
      <c r="X80" s="346"/>
      <c r="Y80" s="346"/>
      <c r="Z80" s="346"/>
      <c r="AA80" s="346"/>
      <c r="AB80" s="347"/>
      <c r="AC80" s="393">
        <v>131574.44</v>
      </c>
      <c r="AD80" s="394"/>
      <c r="AE80" s="395"/>
    </row>
    <row r="81" spans="1:31" ht="14.45" customHeight="1" x14ac:dyDescent="0.25">
      <c r="A81" s="331" t="s">
        <v>220</v>
      </c>
      <c r="B81" s="342" t="s">
        <v>221</v>
      </c>
      <c r="C81" s="343"/>
      <c r="D81" s="343"/>
      <c r="E81" s="343"/>
      <c r="F81" s="343"/>
      <c r="G81" s="343"/>
      <c r="H81" s="343"/>
      <c r="I81" s="343"/>
      <c r="J81" s="343"/>
      <c r="K81" s="343"/>
      <c r="L81" s="343"/>
      <c r="M81" s="344"/>
      <c r="N81" s="342" t="s">
        <v>100</v>
      </c>
      <c r="O81" s="343"/>
      <c r="P81" s="344"/>
      <c r="Q81" s="363">
        <v>8078.18</v>
      </c>
      <c r="R81" s="364"/>
      <c r="S81" s="364"/>
      <c r="T81" s="364"/>
      <c r="U81" s="364"/>
      <c r="V81" s="365"/>
      <c r="W81" s="345">
        <v>7.7089999999999996</v>
      </c>
      <c r="X81" s="346"/>
      <c r="Y81" s="346"/>
      <c r="Z81" s="346"/>
      <c r="AA81" s="346"/>
      <c r="AB81" s="347"/>
      <c r="AC81" s="336">
        <v>62274.69</v>
      </c>
      <c r="AD81" s="337"/>
      <c r="AE81" s="338"/>
    </row>
    <row r="82" spans="1:31" ht="14.45" customHeight="1" x14ac:dyDescent="0.25">
      <c r="A82" s="331" t="s">
        <v>222</v>
      </c>
      <c r="B82" s="342" t="s">
        <v>223</v>
      </c>
      <c r="C82" s="343"/>
      <c r="D82" s="343"/>
      <c r="E82" s="343"/>
      <c r="F82" s="343"/>
      <c r="G82" s="343"/>
      <c r="H82" s="343"/>
      <c r="I82" s="343"/>
      <c r="J82" s="343"/>
      <c r="K82" s="343"/>
      <c r="L82" s="343"/>
      <c r="M82" s="344"/>
      <c r="N82" s="342" t="s">
        <v>100</v>
      </c>
      <c r="O82" s="343"/>
      <c r="P82" s="344"/>
      <c r="Q82" s="348">
        <v>28474.36</v>
      </c>
      <c r="R82" s="349"/>
      <c r="S82" s="349"/>
      <c r="T82" s="349"/>
      <c r="U82" s="349"/>
      <c r="V82" s="350"/>
      <c r="W82" s="345">
        <v>8.1999999999999993</v>
      </c>
      <c r="X82" s="346"/>
      <c r="Y82" s="346"/>
      <c r="Z82" s="346"/>
      <c r="AA82" s="346"/>
      <c r="AB82" s="347"/>
      <c r="AC82" s="393">
        <v>233489.75</v>
      </c>
      <c r="AD82" s="394"/>
      <c r="AE82" s="395"/>
    </row>
    <row r="83" spans="1:31" ht="14.45" customHeight="1" x14ac:dyDescent="0.25">
      <c r="A83" s="331" t="s">
        <v>224</v>
      </c>
      <c r="B83" s="342" t="s">
        <v>225</v>
      </c>
      <c r="C83" s="343"/>
      <c r="D83" s="343"/>
      <c r="E83" s="343"/>
      <c r="F83" s="343"/>
      <c r="G83" s="343"/>
      <c r="H83" s="343"/>
      <c r="I83" s="343"/>
      <c r="J83" s="343"/>
      <c r="K83" s="343"/>
      <c r="L83" s="343"/>
      <c r="M83" s="344"/>
      <c r="N83" s="342" t="s">
        <v>100</v>
      </c>
      <c r="O83" s="343"/>
      <c r="P83" s="344"/>
      <c r="Q83" s="348">
        <v>41559.64</v>
      </c>
      <c r="R83" s="349"/>
      <c r="S83" s="349"/>
      <c r="T83" s="349"/>
      <c r="U83" s="349"/>
      <c r="V83" s="350"/>
      <c r="W83" s="345">
        <v>7.7510000000000003</v>
      </c>
      <c r="X83" s="346"/>
      <c r="Y83" s="346"/>
      <c r="Z83" s="346"/>
      <c r="AA83" s="346"/>
      <c r="AB83" s="347"/>
      <c r="AC83" s="393">
        <v>322128.77</v>
      </c>
      <c r="AD83" s="394"/>
      <c r="AE83" s="395"/>
    </row>
    <row r="84" spans="1:31" ht="14.45" customHeight="1" x14ac:dyDescent="0.25">
      <c r="A84" s="331" t="s">
        <v>226</v>
      </c>
      <c r="B84" s="342" t="s">
        <v>227</v>
      </c>
      <c r="C84" s="343"/>
      <c r="D84" s="343"/>
      <c r="E84" s="343"/>
      <c r="F84" s="343"/>
      <c r="G84" s="343"/>
      <c r="H84" s="343"/>
      <c r="I84" s="343"/>
      <c r="J84" s="343"/>
      <c r="K84" s="343"/>
      <c r="L84" s="343"/>
      <c r="M84" s="344"/>
      <c r="N84" s="342" t="s">
        <v>100</v>
      </c>
      <c r="O84" s="343"/>
      <c r="P84" s="344"/>
      <c r="Q84" s="348">
        <v>28329.18</v>
      </c>
      <c r="R84" s="349"/>
      <c r="S84" s="349"/>
      <c r="T84" s="349"/>
      <c r="U84" s="349"/>
      <c r="V84" s="350"/>
      <c r="W84" s="345">
        <v>7.3201999999999998</v>
      </c>
      <c r="X84" s="346"/>
      <c r="Y84" s="346"/>
      <c r="Z84" s="346"/>
      <c r="AA84" s="346"/>
      <c r="AB84" s="347"/>
      <c r="AC84" s="393">
        <v>207375.26</v>
      </c>
      <c r="AD84" s="394"/>
      <c r="AE84" s="395"/>
    </row>
    <row r="85" spans="1:31" ht="14.45" customHeight="1" x14ac:dyDescent="0.25">
      <c r="A85" s="331" t="s">
        <v>228</v>
      </c>
      <c r="B85" s="342" t="s">
        <v>229</v>
      </c>
      <c r="C85" s="343"/>
      <c r="D85" s="343"/>
      <c r="E85" s="343"/>
      <c r="F85" s="343"/>
      <c r="G85" s="343"/>
      <c r="H85" s="343"/>
      <c r="I85" s="343"/>
      <c r="J85" s="343"/>
      <c r="K85" s="343"/>
      <c r="L85" s="343"/>
      <c r="M85" s="344"/>
      <c r="N85" s="342" t="s">
        <v>100</v>
      </c>
      <c r="O85" s="343"/>
      <c r="P85" s="344"/>
      <c r="Q85" s="348">
        <v>20938.55</v>
      </c>
      <c r="R85" s="349"/>
      <c r="S85" s="349"/>
      <c r="T85" s="349"/>
      <c r="U85" s="349"/>
      <c r="V85" s="350"/>
      <c r="W85" s="345">
        <v>7.2023999999999999</v>
      </c>
      <c r="X85" s="346"/>
      <c r="Y85" s="346"/>
      <c r="Z85" s="346"/>
      <c r="AA85" s="346"/>
      <c r="AB85" s="347"/>
      <c r="AC85" s="393">
        <v>150807.81</v>
      </c>
      <c r="AD85" s="394"/>
      <c r="AE85" s="395"/>
    </row>
    <row r="86" spans="1:31" ht="14.45" customHeight="1" x14ac:dyDescent="0.25">
      <c r="A86" s="331" t="s">
        <v>230</v>
      </c>
      <c r="B86" s="342" t="s">
        <v>231</v>
      </c>
      <c r="C86" s="343"/>
      <c r="D86" s="343"/>
      <c r="E86" s="343"/>
      <c r="F86" s="343"/>
      <c r="G86" s="343"/>
      <c r="H86" s="343"/>
      <c r="I86" s="343"/>
      <c r="J86" s="343"/>
      <c r="K86" s="343"/>
      <c r="L86" s="343"/>
      <c r="M86" s="344"/>
      <c r="N86" s="342" t="s">
        <v>100</v>
      </c>
      <c r="O86" s="343"/>
      <c r="P86" s="344"/>
      <c r="Q86" s="348">
        <v>28761.45</v>
      </c>
      <c r="R86" s="349"/>
      <c r="S86" s="349"/>
      <c r="T86" s="349"/>
      <c r="U86" s="349"/>
      <c r="V86" s="350"/>
      <c r="W86" s="345">
        <v>7.1272000000000002</v>
      </c>
      <c r="X86" s="346"/>
      <c r="Y86" s="346"/>
      <c r="Z86" s="346"/>
      <c r="AA86" s="346"/>
      <c r="AB86" s="347"/>
      <c r="AC86" s="393">
        <v>204988.61</v>
      </c>
      <c r="AD86" s="394"/>
      <c r="AE86" s="395"/>
    </row>
    <row r="87" spans="1:31" ht="14.45" customHeight="1" x14ac:dyDescent="0.25">
      <c r="A87" s="331" t="s">
        <v>232</v>
      </c>
      <c r="B87" s="342" t="s">
        <v>233</v>
      </c>
      <c r="C87" s="343"/>
      <c r="D87" s="343"/>
      <c r="E87" s="343"/>
      <c r="F87" s="343"/>
      <c r="G87" s="343"/>
      <c r="H87" s="343"/>
      <c r="I87" s="343"/>
      <c r="J87" s="343"/>
      <c r="K87" s="343"/>
      <c r="L87" s="343"/>
      <c r="M87" s="344"/>
      <c r="N87" s="342" t="s">
        <v>100</v>
      </c>
      <c r="O87" s="343"/>
      <c r="P87" s="344"/>
      <c r="Q87" s="363">
        <v>5585.64</v>
      </c>
      <c r="R87" s="364"/>
      <c r="S87" s="364"/>
      <c r="T87" s="364"/>
      <c r="U87" s="364"/>
      <c r="V87" s="365"/>
      <c r="W87" s="345">
        <v>8.1807999999999996</v>
      </c>
      <c r="X87" s="346"/>
      <c r="Y87" s="346"/>
      <c r="Z87" s="346"/>
      <c r="AA87" s="346"/>
      <c r="AB87" s="347"/>
      <c r="AC87" s="336">
        <v>45695</v>
      </c>
      <c r="AD87" s="337"/>
      <c r="AE87" s="338"/>
    </row>
    <row r="88" spans="1:31" ht="14.45" customHeight="1" x14ac:dyDescent="0.25">
      <c r="A88" s="330" t="s">
        <v>234</v>
      </c>
      <c r="B88" s="357" t="s">
        <v>235</v>
      </c>
      <c r="C88" s="358"/>
      <c r="D88" s="358"/>
      <c r="E88" s="358"/>
      <c r="F88" s="358"/>
      <c r="G88" s="358"/>
      <c r="H88" s="358"/>
      <c r="I88" s="358"/>
      <c r="J88" s="358"/>
      <c r="K88" s="358"/>
      <c r="L88" s="358"/>
      <c r="M88" s="359"/>
      <c r="N88" s="357"/>
      <c r="O88" s="358"/>
      <c r="P88" s="359"/>
      <c r="Q88" s="360"/>
      <c r="R88" s="361"/>
      <c r="S88" s="361"/>
      <c r="T88" s="361"/>
      <c r="U88" s="361"/>
      <c r="V88" s="362"/>
      <c r="W88" s="360"/>
      <c r="X88" s="361"/>
      <c r="Y88" s="361"/>
      <c r="Z88" s="361"/>
      <c r="AA88" s="361"/>
      <c r="AB88" s="362"/>
      <c r="AC88" s="396">
        <v>1148108.8</v>
      </c>
      <c r="AD88" s="397"/>
      <c r="AE88" s="398"/>
    </row>
    <row r="89" spans="1:31" ht="14.45" customHeight="1" x14ac:dyDescent="0.25">
      <c r="A89" s="331" t="s">
        <v>236</v>
      </c>
      <c r="B89" s="342" t="s">
        <v>237</v>
      </c>
      <c r="C89" s="343"/>
      <c r="D89" s="343"/>
      <c r="E89" s="343"/>
      <c r="F89" s="343"/>
      <c r="G89" s="343"/>
      <c r="H89" s="343"/>
      <c r="I89" s="343"/>
      <c r="J89" s="343"/>
      <c r="K89" s="343"/>
      <c r="L89" s="343"/>
      <c r="M89" s="344"/>
      <c r="N89" s="342" t="s">
        <v>101</v>
      </c>
      <c r="O89" s="343"/>
      <c r="P89" s="344"/>
      <c r="Q89" s="363">
        <v>1925.22</v>
      </c>
      <c r="R89" s="364"/>
      <c r="S89" s="364"/>
      <c r="T89" s="364"/>
      <c r="U89" s="364"/>
      <c r="V89" s="365"/>
      <c r="W89" s="372">
        <v>596.35199999999998</v>
      </c>
      <c r="X89" s="373"/>
      <c r="Y89" s="373"/>
      <c r="Z89" s="373"/>
      <c r="AA89" s="373"/>
      <c r="AB89" s="374"/>
      <c r="AC89" s="409">
        <v>1148108.8</v>
      </c>
      <c r="AD89" s="410"/>
      <c r="AE89" s="411"/>
    </row>
    <row r="90" spans="1:31" ht="14.45" customHeight="1" x14ac:dyDescent="0.25">
      <c r="A90" s="330" t="s">
        <v>238</v>
      </c>
      <c r="B90" s="357" t="s">
        <v>239</v>
      </c>
      <c r="C90" s="358"/>
      <c r="D90" s="358"/>
      <c r="E90" s="358"/>
      <c r="F90" s="358"/>
      <c r="G90" s="358"/>
      <c r="H90" s="358"/>
      <c r="I90" s="358"/>
      <c r="J90" s="358"/>
      <c r="K90" s="358"/>
      <c r="L90" s="358"/>
      <c r="M90" s="359"/>
      <c r="N90" s="357"/>
      <c r="O90" s="358"/>
      <c r="P90" s="359"/>
      <c r="Q90" s="360"/>
      <c r="R90" s="361"/>
      <c r="S90" s="361"/>
      <c r="T90" s="361"/>
      <c r="U90" s="361"/>
      <c r="V90" s="362"/>
      <c r="W90" s="360"/>
      <c r="X90" s="361"/>
      <c r="Y90" s="361"/>
      <c r="Z90" s="361"/>
      <c r="AA90" s="361"/>
      <c r="AB90" s="362"/>
      <c r="AC90" s="384">
        <v>582392.68999999994</v>
      </c>
      <c r="AD90" s="385"/>
      <c r="AE90" s="386"/>
    </row>
    <row r="91" spans="1:31" ht="14.45" customHeight="1" x14ac:dyDescent="0.25">
      <c r="A91" s="331" t="s">
        <v>240</v>
      </c>
      <c r="B91" s="342" t="s">
        <v>241</v>
      </c>
      <c r="C91" s="343"/>
      <c r="D91" s="343"/>
      <c r="E91" s="343"/>
      <c r="F91" s="343"/>
      <c r="G91" s="343"/>
      <c r="H91" s="343"/>
      <c r="I91" s="343"/>
      <c r="J91" s="343"/>
      <c r="K91" s="343"/>
      <c r="L91" s="343"/>
      <c r="M91" s="344"/>
      <c r="N91" s="342" t="s">
        <v>97</v>
      </c>
      <c r="O91" s="343"/>
      <c r="P91" s="344"/>
      <c r="Q91" s="363">
        <v>6730</v>
      </c>
      <c r="R91" s="364"/>
      <c r="S91" s="364"/>
      <c r="T91" s="364"/>
      <c r="U91" s="364"/>
      <c r="V91" s="365"/>
      <c r="W91" s="381">
        <v>85.68</v>
      </c>
      <c r="X91" s="382"/>
      <c r="Y91" s="382"/>
      <c r="Z91" s="382"/>
      <c r="AA91" s="382"/>
      <c r="AB91" s="383"/>
      <c r="AC91" s="393">
        <v>576626.4</v>
      </c>
      <c r="AD91" s="394"/>
      <c r="AE91" s="395"/>
    </row>
    <row r="92" spans="1:31" ht="14.45" customHeight="1" x14ac:dyDescent="0.25">
      <c r="A92" s="331" t="s">
        <v>242</v>
      </c>
      <c r="B92" s="342" t="s">
        <v>243</v>
      </c>
      <c r="C92" s="343"/>
      <c r="D92" s="343"/>
      <c r="E92" s="343"/>
      <c r="F92" s="343"/>
      <c r="G92" s="343"/>
      <c r="H92" s="343"/>
      <c r="I92" s="343"/>
      <c r="J92" s="343"/>
      <c r="K92" s="343"/>
      <c r="L92" s="343"/>
      <c r="M92" s="344"/>
      <c r="N92" s="342" t="s">
        <v>97</v>
      </c>
      <c r="O92" s="343"/>
      <c r="P92" s="344"/>
      <c r="Q92" s="372">
        <v>659.91</v>
      </c>
      <c r="R92" s="373"/>
      <c r="S92" s="373"/>
      <c r="T92" s="373"/>
      <c r="U92" s="373"/>
      <c r="V92" s="374"/>
      <c r="W92" s="345">
        <v>8.7379999999999995</v>
      </c>
      <c r="X92" s="346"/>
      <c r="Y92" s="346"/>
      <c r="Z92" s="346"/>
      <c r="AA92" s="346"/>
      <c r="AB92" s="347"/>
      <c r="AC92" s="366">
        <v>5766.29</v>
      </c>
      <c r="AD92" s="367"/>
      <c r="AE92" s="368"/>
    </row>
    <row r="93" spans="1:31" ht="14.45" customHeight="1" x14ac:dyDescent="0.25">
      <c r="A93" s="330" t="s">
        <v>244</v>
      </c>
      <c r="B93" s="357" t="s">
        <v>145</v>
      </c>
      <c r="C93" s="358"/>
      <c r="D93" s="358"/>
      <c r="E93" s="358"/>
      <c r="F93" s="358"/>
      <c r="G93" s="358"/>
      <c r="H93" s="358"/>
      <c r="I93" s="358"/>
      <c r="J93" s="358"/>
      <c r="K93" s="358"/>
      <c r="L93" s="358"/>
      <c r="M93" s="359"/>
      <c r="N93" s="357"/>
      <c r="O93" s="358"/>
      <c r="P93" s="359"/>
      <c r="Q93" s="360"/>
      <c r="R93" s="361"/>
      <c r="S93" s="361"/>
      <c r="T93" s="361"/>
      <c r="U93" s="361"/>
      <c r="V93" s="362"/>
      <c r="W93" s="360"/>
      <c r="X93" s="361"/>
      <c r="Y93" s="361"/>
      <c r="Z93" s="361"/>
      <c r="AA93" s="361"/>
      <c r="AB93" s="362"/>
      <c r="AC93" s="396">
        <v>1381635.14</v>
      </c>
      <c r="AD93" s="397"/>
      <c r="AE93" s="398"/>
    </row>
    <row r="94" spans="1:31" ht="14.45" customHeight="1" x14ac:dyDescent="0.25">
      <c r="A94" s="331" t="s">
        <v>245</v>
      </c>
      <c r="B94" s="342" t="s">
        <v>246</v>
      </c>
      <c r="C94" s="343"/>
      <c r="D94" s="343"/>
      <c r="E94" s="343"/>
      <c r="F94" s="343"/>
      <c r="G94" s="343"/>
      <c r="H94" s="343"/>
      <c r="I94" s="343"/>
      <c r="J94" s="343"/>
      <c r="K94" s="343"/>
      <c r="L94" s="343"/>
      <c r="M94" s="344"/>
      <c r="N94" s="342" t="s">
        <v>97</v>
      </c>
      <c r="O94" s="343"/>
      <c r="P94" s="344"/>
      <c r="Q94" s="363">
        <v>6730</v>
      </c>
      <c r="R94" s="364"/>
      <c r="S94" s="364"/>
      <c r="T94" s="364"/>
      <c r="U94" s="364"/>
      <c r="V94" s="365"/>
      <c r="W94" s="372">
        <v>200</v>
      </c>
      <c r="X94" s="373"/>
      <c r="Y94" s="373"/>
      <c r="Z94" s="373"/>
      <c r="AA94" s="373"/>
      <c r="AB94" s="374"/>
      <c r="AC94" s="409">
        <v>1346000</v>
      </c>
      <c r="AD94" s="410"/>
      <c r="AE94" s="411"/>
    </row>
    <row r="95" spans="1:31" ht="14.45" customHeight="1" x14ac:dyDescent="0.25">
      <c r="A95" s="331" t="s">
        <v>247</v>
      </c>
      <c r="B95" s="342" t="s">
        <v>248</v>
      </c>
      <c r="C95" s="343"/>
      <c r="D95" s="343"/>
      <c r="E95" s="343"/>
      <c r="F95" s="343"/>
      <c r="G95" s="343"/>
      <c r="H95" s="343"/>
      <c r="I95" s="343"/>
      <c r="J95" s="343"/>
      <c r="K95" s="343"/>
      <c r="L95" s="343"/>
      <c r="M95" s="344"/>
      <c r="N95" s="342" t="s">
        <v>97</v>
      </c>
      <c r="O95" s="343"/>
      <c r="P95" s="344"/>
      <c r="Q95" s="372">
        <v>659.91</v>
      </c>
      <c r="R95" s="373"/>
      <c r="S95" s="373"/>
      <c r="T95" s="373"/>
      <c r="U95" s="373"/>
      <c r="V95" s="374"/>
      <c r="W95" s="381">
        <v>54</v>
      </c>
      <c r="X95" s="382"/>
      <c r="Y95" s="382"/>
      <c r="Z95" s="382"/>
      <c r="AA95" s="382"/>
      <c r="AB95" s="383"/>
      <c r="AC95" s="336">
        <v>35635.14</v>
      </c>
      <c r="AD95" s="337"/>
      <c r="AE95" s="338"/>
    </row>
    <row r="96" spans="1:31" ht="14.45" customHeight="1" x14ac:dyDescent="0.25">
      <c r="A96" s="330" t="s">
        <v>249</v>
      </c>
      <c r="B96" s="357" t="s">
        <v>250</v>
      </c>
      <c r="C96" s="358"/>
      <c r="D96" s="358"/>
      <c r="E96" s="358"/>
      <c r="F96" s="358"/>
      <c r="G96" s="358"/>
      <c r="H96" s="358"/>
      <c r="I96" s="358"/>
      <c r="J96" s="358"/>
      <c r="K96" s="358"/>
      <c r="L96" s="358"/>
      <c r="M96" s="359"/>
      <c r="N96" s="357"/>
      <c r="O96" s="358"/>
      <c r="P96" s="359"/>
      <c r="Q96" s="360"/>
      <c r="R96" s="361"/>
      <c r="S96" s="361"/>
      <c r="T96" s="361"/>
      <c r="U96" s="361"/>
      <c r="V96" s="362"/>
      <c r="W96" s="360"/>
      <c r="X96" s="361"/>
      <c r="Y96" s="361"/>
      <c r="Z96" s="361"/>
      <c r="AA96" s="361"/>
      <c r="AB96" s="362"/>
      <c r="AC96" s="384">
        <v>910813.58</v>
      </c>
      <c r="AD96" s="385"/>
      <c r="AE96" s="386"/>
    </row>
    <row r="97" spans="1:31" ht="14.45" customHeight="1" x14ac:dyDescent="0.25">
      <c r="A97" s="330" t="s">
        <v>251</v>
      </c>
      <c r="B97" s="357" t="s">
        <v>250</v>
      </c>
      <c r="C97" s="358"/>
      <c r="D97" s="358"/>
      <c r="E97" s="358"/>
      <c r="F97" s="358"/>
      <c r="G97" s="358"/>
      <c r="H97" s="358"/>
      <c r="I97" s="358"/>
      <c r="J97" s="358"/>
      <c r="K97" s="358"/>
      <c r="L97" s="358"/>
      <c r="M97" s="359"/>
      <c r="N97" s="357"/>
      <c r="O97" s="358"/>
      <c r="P97" s="359"/>
      <c r="Q97" s="360"/>
      <c r="R97" s="361"/>
      <c r="S97" s="361"/>
      <c r="T97" s="361"/>
      <c r="U97" s="361"/>
      <c r="V97" s="362"/>
      <c r="W97" s="360"/>
      <c r="X97" s="361"/>
      <c r="Y97" s="361"/>
      <c r="Z97" s="361"/>
      <c r="AA97" s="361"/>
      <c r="AB97" s="362"/>
      <c r="AC97" s="384">
        <v>910813.58</v>
      </c>
      <c r="AD97" s="385"/>
      <c r="AE97" s="386"/>
    </row>
    <row r="98" spans="1:31" ht="14.45" customHeight="1" x14ac:dyDescent="0.25">
      <c r="A98" s="330" t="s">
        <v>252</v>
      </c>
      <c r="B98" s="357" t="s">
        <v>253</v>
      </c>
      <c r="C98" s="358"/>
      <c r="D98" s="358"/>
      <c r="E98" s="358"/>
      <c r="F98" s="358"/>
      <c r="G98" s="358"/>
      <c r="H98" s="358"/>
      <c r="I98" s="358"/>
      <c r="J98" s="358"/>
      <c r="K98" s="358"/>
      <c r="L98" s="358"/>
      <c r="M98" s="359"/>
      <c r="N98" s="357"/>
      <c r="O98" s="358"/>
      <c r="P98" s="359"/>
      <c r="Q98" s="360"/>
      <c r="R98" s="361"/>
      <c r="S98" s="361"/>
      <c r="T98" s="361"/>
      <c r="U98" s="361"/>
      <c r="V98" s="362"/>
      <c r="W98" s="360"/>
      <c r="X98" s="361"/>
      <c r="Y98" s="361"/>
      <c r="Z98" s="361"/>
      <c r="AA98" s="361"/>
      <c r="AB98" s="362"/>
      <c r="AC98" s="384">
        <v>320755.87</v>
      </c>
      <c r="AD98" s="385"/>
      <c r="AE98" s="386"/>
    </row>
    <row r="99" spans="1:31" ht="14.45" customHeight="1" x14ac:dyDescent="0.25">
      <c r="A99" s="331" t="s">
        <v>254</v>
      </c>
      <c r="B99" s="342" t="s">
        <v>255</v>
      </c>
      <c r="C99" s="343"/>
      <c r="D99" s="343"/>
      <c r="E99" s="343"/>
      <c r="F99" s="343"/>
      <c r="G99" s="343"/>
      <c r="H99" s="343"/>
      <c r="I99" s="343"/>
      <c r="J99" s="343"/>
      <c r="K99" s="343"/>
      <c r="L99" s="343"/>
      <c r="M99" s="344"/>
      <c r="N99" s="342" t="s">
        <v>97</v>
      </c>
      <c r="O99" s="343"/>
      <c r="P99" s="344"/>
      <c r="Q99" s="363">
        <v>3465.59</v>
      </c>
      <c r="R99" s="364"/>
      <c r="S99" s="364"/>
      <c r="T99" s="364"/>
      <c r="U99" s="364"/>
      <c r="V99" s="365"/>
      <c r="W99" s="381">
        <v>44.6</v>
      </c>
      <c r="X99" s="382"/>
      <c r="Y99" s="382"/>
      <c r="Z99" s="382"/>
      <c r="AA99" s="382"/>
      <c r="AB99" s="383"/>
      <c r="AC99" s="393">
        <v>154565.31</v>
      </c>
      <c r="AD99" s="394"/>
      <c r="AE99" s="395"/>
    </row>
    <row r="100" spans="1:31" ht="14.45" customHeight="1" x14ac:dyDescent="0.25">
      <c r="A100" s="331" t="s">
        <v>256</v>
      </c>
      <c r="B100" s="342" t="s">
        <v>257</v>
      </c>
      <c r="C100" s="343"/>
      <c r="D100" s="343"/>
      <c r="E100" s="343"/>
      <c r="F100" s="343"/>
      <c r="G100" s="343"/>
      <c r="H100" s="343"/>
      <c r="I100" s="343"/>
      <c r="J100" s="343"/>
      <c r="K100" s="343"/>
      <c r="L100" s="343"/>
      <c r="M100" s="344"/>
      <c r="N100" s="342" t="s">
        <v>97</v>
      </c>
      <c r="O100" s="343"/>
      <c r="P100" s="344"/>
      <c r="Q100" s="381">
        <v>22.9</v>
      </c>
      <c r="R100" s="382"/>
      <c r="S100" s="382"/>
      <c r="T100" s="382"/>
      <c r="U100" s="382"/>
      <c r="V100" s="383"/>
      <c r="W100" s="381">
        <v>47.038400000000003</v>
      </c>
      <c r="X100" s="382"/>
      <c r="Y100" s="382"/>
      <c r="Z100" s="382"/>
      <c r="AA100" s="382"/>
      <c r="AB100" s="383"/>
      <c r="AC100" s="366">
        <v>1077.18</v>
      </c>
      <c r="AD100" s="367"/>
      <c r="AE100" s="368"/>
    </row>
    <row r="101" spans="1:31" ht="14.45" customHeight="1" x14ac:dyDescent="0.25">
      <c r="A101" s="331" t="s">
        <v>258</v>
      </c>
      <c r="B101" s="342" t="s">
        <v>259</v>
      </c>
      <c r="C101" s="343"/>
      <c r="D101" s="343"/>
      <c r="E101" s="343"/>
      <c r="F101" s="343"/>
      <c r="G101" s="343"/>
      <c r="H101" s="343"/>
      <c r="I101" s="343"/>
      <c r="J101" s="343"/>
      <c r="K101" s="343"/>
      <c r="L101" s="343"/>
      <c r="M101" s="344"/>
      <c r="N101" s="342" t="s">
        <v>98</v>
      </c>
      <c r="O101" s="343"/>
      <c r="P101" s="344"/>
      <c r="Q101" s="372">
        <v>489.69</v>
      </c>
      <c r="R101" s="373"/>
      <c r="S101" s="373"/>
      <c r="T101" s="373"/>
      <c r="U101" s="373"/>
      <c r="V101" s="374"/>
      <c r="W101" s="372">
        <v>123.8</v>
      </c>
      <c r="X101" s="373"/>
      <c r="Y101" s="373"/>
      <c r="Z101" s="373"/>
      <c r="AA101" s="373"/>
      <c r="AB101" s="374"/>
      <c r="AC101" s="336">
        <v>60623.62</v>
      </c>
      <c r="AD101" s="337"/>
      <c r="AE101" s="338"/>
    </row>
    <row r="102" spans="1:31" ht="14.45" customHeight="1" x14ac:dyDescent="0.25">
      <c r="A102" s="331" t="s">
        <v>260</v>
      </c>
      <c r="B102" s="342" t="s">
        <v>261</v>
      </c>
      <c r="C102" s="343"/>
      <c r="D102" s="343"/>
      <c r="E102" s="343"/>
      <c r="F102" s="343"/>
      <c r="G102" s="343"/>
      <c r="H102" s="343"/>
      <c r="I102" s="343"/>
      <c r="J102" s="343"/>
      <c r="K102" s="343"/>
      <c r="L102" s="343"/>
      <c r="M102" s="344"/>
      <c r="N102" s="342" t="s">
        <v>98</v>
      </c>
      <c r="O102" s="343"/>
      <c r="P102" s="344"/>
      <c r="Q102" s="363">
        <v>1518.57</v>
      </c>
      <c r="R102" s="364"/>
      <c r="S102" s="364"/>
      <c r="T102" s="364"/>
      <c r="U102" s="364"/>
      <c r="V102" s="365"/>
      <c r="W102" s="381">
        <v>68.808000000000007</v>
      </c>
      <c r="X102" s="382"/>
      <c r="Y102" s="382"/>
      <c r="Z102" s="382"/>
      <c r="AA102" s="382"/>
      <c r="AB102" s="383"/>
      <c r="AC102" s="393">
        <v>104489.76</v>
      </c>
      <c r="AD102" s="394"/>
      <c r="AE102" s="395"/>
    </row>
    <row r="103" spans="1:31" ht="14.45" customHeight="1" x14ac:dyDescent="0.25">
      <c r="A103" s="330" t="s">
        <v>262</v>
      </c>
      <c r="B103" s="357" t="s">
        <v>263</v>
      </c>
      <c r="C103" s="358"/>
      <c r="D103" s="358"/>
      <c r="E103" s="358"/>
      <c r="F103" s="358"/>
      <c r="G103" s="358"/>
      <c r="H103" s="358"/>
      <c r="I103" s="358"/>
      <c r="J103" s="358"/>
      <c r="K103" s="358"/>
      <c r="L103" s="358"/>
      <c r="M103" s="359"/>
      <c r="N103" s="357"/>
      <c r="O103" s="358"/>
      <c r="P103" s="359"/>
      <c r="Q103" s="360"/>
      <c r="R103" s="361"/>
      <c r="S103" s="361"/>
      <c r="T103" s="361"/>
      <c r="U103" s="361"/>
      <c r="V103" s="362"/>
      <c r="W103" s="360"/>
      <c r="X103" s="361"/>
      <c r="Y103" s="361"/>
      <c r="Z103" s="361"/>
      <c r="AA103" s="361"/>
      <c r="AB103" s="362"/>
      <c r="AC103" s="384">
        <v>215405.71</v>
      </c>
      <c r="AD103" s="385"/>
      <c r="AE103" s="386"/>
    </row>
    <row r="104" spans="1:31" ht="14.45" customHeight="1" x14ac:dyDescent="0.25">
      <c r="A104" s="331" t="s">
        <v>264</v>
      </c>
      <c r="B104" s="342" t="s">
        <v>265</v>
      </c>
      <c r="C104" s="343"/>
      <c r="D104" s="343"/>
      <c r="E104" s="343"/>
      <c r="F104" s="343"/>
      <c r="G104" s="343"/>
      <c r="H104" s="343"/>
      <c r="I104" s="343"/>
      <c r="J104" s="343"/>
      <c r="K104" s="343"/>
      <c r="L104" s="343"/>
      <c r="M104" s="344"/>
      <c r="N104" s="342" t="s">
        <v>97</v>
      </c>
      <c r="O104" s="343"/>
      <c r="P104" s="344"/>
      <c r="Q104" s="372">
        <v>173.28</v>
      </c>
      <c r="R104" s="373"/>
      <c r="S104" s="373"/>
      <c r="T104" s="373"/>
      <c r="U104" s="373"/>
      <c r="V104" s="374"/>
      <c r="W104" s="381">
        <v>91.323300000000003</v>
      </c>
      <c r="X104" s="382"/>
      <c r="Y104" s="382"/>
      <c r="Z104" s="382"/>
      <c r="AA104" s="382"/>
      <c r="AB104" s="383"/>
      <c r="AC104" s="336">
        <v>15824.5</v>
      </c>
      <c r="AD104" s="337"/>
      <c r="AE104" s="338"/>
    </row>
    <row r="105" spans="1:31" ht="14.45" customHeight="1" x14ac:dyDescent="0.25">
      <c r="A105" s="331" t="s">
        <v>266</v>
      </c>
      <c r="B105" s="342" t="s">
        <v>267</v>
      </c>
      <c r="C105" s="343"/>
      <c r="D105" s="343"/>
      <c r="E105" s="343"/>
      <c r="F105" s="343"/>
      <c r="G105" s="343"/>
      <c r="H105" s="343"/>
      <c r="I105" s="343"/>
      <c r="J105" s="343"/>
      <c r="K105" s="343"/>
      <c r="L105" s="343"/>
      <c r="M105" s="344"/>
      <c r="N105" s="342" t="s">
        <v>97</v>
      </c>
      <c r="O105" s="343"/>
      <c r="P105" s="344"/>
      <c r="Q105" s="372">
        <v>886.05</v>
      </c>
      <c r="R105" s="373"/>
      <c r="S105" s="373"/>
      <c r="T105" s="373"/>
      <c r="U105" s="373"/>
      <c r="V105" s="374"/>
      <c r="W105" s="372">
        <v>118.1567</v>
      </c>
      <c r="X105" s="373"/>
      <c r="Y105" s="373"/>
      <c r="Z105" s="373"/>
      <c r="AA105" s="373"/>
      <c r="AB105" s="374"/>
      <c r="AC105" s="393">
        <v>104692.74</v>
      </c>
      <c r="AD105" s="394"/>
      <c r="AE105" s="395"/>
    </row>
    <row r="106" spans="1:31" ht="14.45" customHeight="1" x14ac:dyDescent="0.25">
      <c r="A106" s="331" t="s">
        <v>268</v>
      </c>
      <c r="B106" s="342" t="s">
        <v>269</v>
      </c>
      <c r="C106" s="343"/>
      <c r="D106" s="343"/>
      <c r="E106" s="343"/>
      <c r="F106" s="343"/>
      <c r="G106" s="343"/>
      <c r="H106" s="343"/>
      <c r="I106" s="343"/>
      <c r="J106" s="343"/>
      <c r="K106" s="343"/>
      <c r="L106" s="343"/>
      <c r="M106" s="344"/>
      <c r="N106" s="342" t="s">
        <v>98</v>
      </c>
      <c r="O106" s="343"/>
      <c r="P106" s="344"/>
      <c r="Q106" s="372">
        <v>548.52</v>
      </c>
      <c r="R106" s="373"/>
      <c r="S106" s="373"/>
      <c r="T106" s="373"/>
      <c r="U106" s="373"/>
      <c r="V106" s="374"/>
      <c r="W106" s="372">
        <v>172.99</v>
      </c>
      <c r="X106" s="373"/>
      <c r="Y106" s="373"/>
      <c r="Z106" s="373"/>
      <c r="AA106" s="373"/>
      <c r="AB106" s="374"/>
      <c r="AC106" s="336">
        <v>94888.47</v>
      </c>
      <c r="AD106" s="337"/>
      <c r="AE106" s="338"/>
    </row>
    <row r="107" spans="1:31" ht="14.45" customHeight="1" x14ac:dyDescent="0.25">
      <c r="A107" s="330" t="s">
        <v>270</v>
      </c>
      <c r="B107" s="357" t="s">
        <v>271</v>
      </c>
      <c r="C107" s="358"/>
      <c r="D107" s="358"/>
      <c r="E107" s="358"/>
      <c r="F107" s="358"/>
      <c r="G107" s="358"/>
      <c r="H107" s="358"/>
      <c r="I107" s="358"/>
      <c r="J107" s="358"/>
      <c r="K107" s="358"/>
      <c r="L107" s="358"/>
      <c r="M107" s="359"/>
      <c r="N107" s="357"/>
      <c r="O107" s="358"/>
      <c r="P107" s="359"/>
      <c r="Q107" s="360"/>
      <c r="R107" s="361"/>
      <c r="S107" s="361"/>
      <c r="T107" s="361"/>
      <c r="U107" s="361"/>
      <c r="V107" s="362"/>
      <c r="W107" s="360"/>
      <c r="X107" s="361"/>
      <c r="Y107" s="361"/>
      <c r="Z107" s="361"/>
      <c r="AA107" s="361"/>
      <c r="AB107" s="362"/>
      <c r="AC107" s="384">
        <v>107370</v>
      </c>
      <c r="AD107" s="385"/>
      <c r="AE107" s="386"/>
    </row>
    <row r="108" spans="1:31" ht="14.45" customHeight="1" x14ac:dyDescent="0.25">
      <c r="A108" s="331" t="s">
        <v>272</v>
      </c>
      <c r="B108" s="342" t="s">
        <v>273</v>
      </c>
      <c r="C108" s="343"/>
      <c r="D108" s="343"/>
      <c r="E108" s="343"/>
      <c r="F108" s="343"/>
      <c r="G108" s="343"/>
      <c r="H108" s="343"/>
      <c r="I108" s="343"/>
      <c r="J108" s="343"/>
      <c r="K108" s="343"/>
      <c r="L108" s="343"/>
      <c r="M108" s="344"/>
      <c r="N108" s="342" t="s">
        <v>157</v>
      </c>
      <c r="O108" s="343"/>
      <c r="P108" s="344"/>
      <c r="Q108" s="363">
        <v>3778.82</v>
      </c>
      <c r="R108" s="364"/>
      <c r="S108" s="364"/>
      <c r="T108" s="364"/>
      <c r="U108" s="364"/>
      <c r="V108" s="365"/>
      <c r="W108" s="345">
        <v>4.3434999999999997</v>
      </c>
      <c r="X108" s="346"/>
      <c r="Y108" s="346"/>
      <c r="Z108" s="346"/>
      <c r="AA108" s="346"/>
      <c r="AB108" s="347"/>
      <c r="AC108" s="336">
        <v>16413.3</v>
      </c>
      <c r="AD108" s="337"/>
      <c r="AE108" s="338"/>
    </row>
    <row r="109" spans="1:31" ht="14.45" customHeight="1" x14ac:dyDescent="0.25">
      <c r="A109" s="331" t="s">
        <v>274</v>
      </c>
      <c r="B109" s="342" t="s">
        <v>275</v>
      </c>
      <c r="C109" s="343"/>
      <c r="D109" s="343"/>
      <c r="E109" s="343"/>
      <c r="F109" s="343"/>
      <c r="G109" s="343"/>
      <c r="H109" s="343"/>
      <c r="I109" s="343"/>
      <c r="J109" s="343"/>
      <c r="K109" s="343"/>
      <c r="L109" s="343"/>
      <c r="M109" s="344"/>
      <c r="N109" s="342" t="s">
        <v>98</v>
      </c>
      <c r="O109" s="343"/>
      <c r="P109" s="344"/>
      <c r="Q109" s="363">
        <v>3553</v>
      </c>
      <c r="R109" s="364"/>
      <c r="S109" s="364"/>
      <c r="T109" s="364"/>
      <c r="U109" s="364"/>
      <c r="V109" s="365"/>
      <c r="W109" s="345">
        <v>3.3340000000000001</v>
      </c>
      <c r="X109" s="346"/>
      <c r="Y109" s="346"/>
      <c r="Z109" s="346"/>
      <c r="AA109" s="346"/>
      <c r="AB109" s="347"/>
      <c r="AC109" s="336">
        <v>11845.7</v>
      </c>
      <c r="AD109" s="337"/>
      <c r="AE109" s="338"/>
    </row>
    <row r="110" spans="1:31" ht="14.45" customHeight="1" x14ac:dyDescent="0.25">
      <c r="A110" s="331" t="s">
        <v>276</v>
      </c>
      <c r="B110" s="342" t="s">
        <v>277</v>
      </c>
      <c r="C110" s="343"/>
      <c r="D110" s="343"/>
      <c r="E110" s="343"/>
      <c r="F110" s="343"/>
      <c r="G110" s="343"/>
      <c r="H110" s="343"/>
      <c r="I110" s="343"/>
      <c r="J110" s="343"/>
      <c r="K110" s="343"/>
      <c r="L110" s="343"/>
      <c r="M110" s="344"/>
      <c r="N110" s="342" t="s">
        <v>157</v>
      </c>
      <c r="O110" s="343"/>
      <c r="P110" s="344"/>
      <c r="Q110" s="363">
        <v>1154</v>
      </c>
      <c r="R110" s="364"/>
      <c r="S110" s="364"/>
      <c r="T110" s="364"/>
      <c r="U110" s="364"/>
      <c r="V110" s="365"/>
      <c r="W110" s="381">
        <v>59.5732</v>
      </c>
      <c r="X110" s="382"/>
      <c r="Y110" s="382"/>
      <c r="Z110" s="382"/>
      <c r="AA110" s="382"/>
      <c r="AB110" s="383"/>
      <c r="AC110" s="336">
        <v>68747.47</v>
      </c>
      <c r="AD110" s="337"/>
      <c r="AE110" s="338"/>
    </row>
    <row r="111" spans="1:31" ht="14.45" customHeight="1" x14ac:dyDescent="0.25">
      <c r="A111" s="331" t="s">
        <v>278</v>
      </c>
      <c r="B111" s="342" t="s">
        <v>279</v>
      </c>
      <c r="C111" s="343"/>
      <c r="D111" s="343"/>
      <c r="E111" s="343"/>
      <c r="F111" s="343"/>
      <c r="G111" s="343"/>
      <c r="H111" s="343"/>
      <c r="I111" s="343"/>
      <c r="J111" s="343"/>
      <c r="K111" s="343"/>
      <c r="L111" s="343"/>
      <c r="M111" s="344"/>
      <c r="N111" s="342" t="s">
        <v>97</v>
      </c>
      <c r="O111" s="343"/>
      <c r="P111" s="344"/>
      <c r="Q111" s="372">
        <v>604.64</v>
      </c>
      <c r="R111" s="373"/>
      <c r="S111" s="373"/>
      <c r="T111" s="373"/>
      <c r="U111" s="373"/>
      <c r="V111" s="374"/>
      <c r="W111" s="381">
        <v>17.14</v>
      </c>
      <c r="X111" s="382"/>
      <c r="Y111" s="382"/>
      <c r="Z111" s="382"/>
      <c r="AA111" s="382"/>
      <c r="AB111" s="383"/>
      <c r="AC111" s="336">
        <v>10363.530000000001</v>
      </c>
      <c r="AD111" s="337"/>
      <c r="AE111" s="338"/>
    </row>
    <row r="112" spans="1:31" ht="14.45" customHeight="1" x14ac:dyDescent="0.25">
      <c r="A112" s="330" t="s">
        <v>280</v>
      </c>
      <c r="B112" s="357" t="s">
        <v>281</v>
      </c>
      <c r="C112" s="358"/>
      <c r="D112" s="358"/>
      <c r="E112" s="358"/>
      <c r="F112" s="358"/>
      <c r="G112" s="358"/>
      <c r="H112" s="358"/>
      <c r="I112" s="358"/>
      <c r="J112" s="358"/>
      <c r="K112" s="358"/>
      <c r="L112" s="358"/>
      <c r="M112" s="359"/>
      <c r="N112" s="357"/>
      <c r="O112" s="358"/>
      <c r="P112" s="359"/>
      <c r="Q112" s="360"/>
      <c r="R112" s="361"/>
      <c r="S112" s="361"/>
      <c r="T112" s="361"/>
      <c r="U112" s="361"/>
      <c r="V112" s="362"/>
      <c r="W112" s="360"/>
      <c r="X112" s="361"/>
      <c r="Y112" s="361"/>
      <c r="Z112" s="361"/>
      <c r="AA112" s="361"/>
      <c r="AB112" s="362"/>
      <c r="AC112" s="415">
        <v>0</v>
      </c>
      <c r="AD112" s="416"/>
      <c r="AE112" s="417"/>
    </row>
    <row r="113" spans="1:31" ht="14.45" customHeight="1" x14ac:dyDescent="0.25">
      <c r="A113" s="330" t="s">
        <v>282</v>
      </c>
      <c r="B113" s="357" t="s">
        <v>145</v>
      </c>
      <c r="C113" s="358"/>
      <c r="D113" s="358"/>
      <c r="E113" s="358"/>
      <c r="F113" s="358"/>
      <c r="G113" s="358"/>
      <c r="H113" s="358"/>
      <c r="I113" s="358"/>
      <c r="J113" s="358"/>
      <c r="K113" s="358"/>
      <c r="L113" s="358"/>
      <c r="M113" s="359"/>
      <c r="N113" s="357"/>
      <c r="O113" s="358"/>
      <c r="P113" s="359"/>
      <c r="Q113" s="360"/>
      <c r="R113" s="361"/>
      <c r="S113" s="361"/>
      <c r="T113" s="361"/>
      <c r="U113" s="361"/>
      <c r="V113" s="362"/>
      <c r="W113" s="360"/>
      <c r="X113" s="361"/>
      <c r="Y113" s="361"/>
      <c r="Z113" s="361"/>
      <c r="AA113" s="361"/>
      <c r="AB113" s="362"/>
      <c r="AC113" s="384">
        <v>267282</v>
      </c>
      <c r="AD113" s="385"/>
      <c r="AE113" s="386"/>
    </row>
    <row r="114" spans="1:31" ht="14.45" customHeight="1" x14ac:dyDescent="0.25">
      <c r="A114" s="331" t="s">
        <v>283</v>
      </c>
      <c r="B114" s="342" t="s">
        <v>284</v>
      </c>
      <c r="C114" s="343"/>
      <c r="D114" s="343"/>
      <c r="E114" s="343"/>
      <c r="F114" s="343"/>
      <c r="G114" s="343"/>
      <c r="H114" s="343"/>
      <c r="I114" s="343"/>
      <c r="J114" s="343"/>
      <c r="K114" s="343"/>
      <c r="L114" s="343"/>
      <c r="M114" s="344"/>
      <c r="N114" s="342" t="s">
        <v>97</v>
      </c>
      <c r="O114" s="343"/>
      <c r="P114" s="344"/>
      <c r="Q114" s="363">
        <v>5496.75</v>
      </c>
      <c r="R114" s="364"/>
      <c r="S114" s="364"/>
      <c r="T114" s="364"/>
      <c r="U114" s="364"/>
      <c r="V114" s="365"/>
      <c r="W114" s="381">
        <v>34</v>
      </c>
      <c r="X114" s="382"/>
      <c r="Y114" s="382"/>
      <c r="Z114" s="382"/>
      <c r="AA114" s="382"/>
      <c r="AB114" s="383"/>
      <c r="AC114" s="393">
        <v>186889.5</v>
      </c>
      <c r="AD114" s="394"/>
      <c r="AE114" s="395"/>
    </row>
    <row r="115" spans="1:31" ht="14.45" customHeight="1" x14ac:dyDescent="0.25">
      <c r="A115" s="331" t="s">
        <v>285</v>
      </c>
      <c r="B115" s="342" t="s">
        <v>286</v>
      </c>
      <c r="C115" s="343"/>
      <c r="D115" s="343"/>
      <c r="E115" s="343"/>
      <c r="F115" s="343"/>
      <c r="G115" s="343"/>
      <c r="H115" s="343"/>
      <c r="I115" s="343"/>
      <c r="J115" s="343"/>
      <c r="K115" s="343"/>
      <c r="L115" s="343"/>
      <c r="M115" s="344"/>
      <c r="N115" s="342" t="s">
        <v>97</v>
      </c>
      <c r="O115" s="343"/>
      <c r="P115" s="344"/>
      <c r="Q115" s="363">
        <v>1607.85</v>
      </c>
      <c r="R115" s="364"/>
      <c r="S115" s="364"/>
      <c r="T115" s="364"/>
      <c r="U115" s="364"/>
      <c r="V115" s="365"/>
      <c r="W115" s="381">
        <v>50</v>
      </c>
      <c r="X115" s="382"/>
      <c r="Y115" s="382"/>
      <c r="Z115" s="382"/>
      <c r="AA115" s="382"/>
      <c r="AB115" s="383"/>
      <c r="AC115" s="336">
        <v>80392.5</v>
      </c>
      <c r="AD115" s="337"/>
      <c r="AE115" s="338"/>
    </row>
    <row r="116" spans="1:31" ht="14.45" customHeight="1" x14ac:dyDescent="0.25">
      <c r="A116" s="330" t="s">
        <v>287</v>
      </c>
      <c r="B116" s="357" t="s">
        <v>288</v>
      </c>
      <c r="C116" s="358"/>
      <c r="D116" s="358"/>
      <c r="E116" s="358"/>
      <c r="F116" s="358"/>
      <c r="G116" s="358"/>
      <c r="H116" s="358"/>
      <c r="I116" s="358"/>
      <c r="J116" s="358"/>
      <c r="K116" s="358"/>
      <c r="L116" s="358"/>
      <c r="M116" s="359"/>
      <c r="N116" s="357"/>
      <c r="O116" s="358"/>
      <c r="P116" s="359"/>
      <c r="Q116" s="360"/>
      <c r="R116" s="361"/>
      <c r="S116" s="361"/>
      <c r="T116" s="361"/>
      <c r="U116" s="361"/>
      <c r="V116" s="362"/>
      <c r="W116" s="360"/>
      <c r="X116" s="361"/>
      <c r="Y116" s="361"/>
      <c r="Z116" s="361"/>
      <c r="AA116" s="361"/>
      <c r="AB116" s="362"/>
      <c r="AC116" s="384">
        <v>482376.84</v>
      </c>
      <c r="AD116" s="385"/>
      <c r="AE116" s="386"/>
    </row>
    <row r="117" spans="1:31" ht="14.45" customHeight="1" x14ac:dyDescent="0.25">
      <c r="A117" s="330" t="s">
        <v>289</v>
      </c>
      <c r="B117" s="357" t="s">
        <v>288</v>
      </c>
      <c r="C117" s="358"/>
      <c r="D117" s="358"/>
      <c r="E117" s="358"/>
      <c r="F117" s="358"/>
      <c r="G117" s="358"/>
      <c r="H117" s="358"/>
      <c r="I117" s="358"/>
      <c r="J117" s="358"/>
      <c r="K117" s="358"/>
      <c r="L117" s="358"/>
      <c r="M117" s="359"/>
      <c r="N117" s="357"/>
      <c r="O117" s="358"/>
      <c r="P117" s="359"/>
      <c r="Q117" s="360"/>
      <c r="R117" s="361"/>
      <c r="S117" s="361"/>
      <c r="T117" s="361"/>
      <c r="U117" s="361"/>
      <c r="V117" s="362"/>
      <c r="W117" s="360"/>
      <c r="X117" s="361"/>
      <c r="Y117" s="361"/>
      <c r="Z117" s="361"/>
      <c r="AA117" s="361"/>
      <c r="AB117" s="362"/>
      <c r="AC117" s="384">
        <v>482376.84</v>
      </c>
      <c r="AD117" s="385"/>
      <c r="AE117" s="386"/>
    </row>
    <row r="118" spans="1:31" ht="14.45" customHeight="1" x14ac:dyDescent="0.25">
      <c r="A118" s="330" t="s">
        <v>290</v>
      </c>
      <c r="B118" s="357" t="s">
        <v>291</v>
      </c>
      <c r="C118" s="358"/>
      <c r="D118" s="358"/>
      <c r="E118" s="358"/>
      <c r="F118" s="358"/>
      <c r="G118" s="358"/>
      <c r="H118" s="358"/>
      <c r="I118" s="358"/>
      <c r="J118" s="358"/>
      <c r="K118" s="358"/>
      <c r="L118" s="358"/>
      <c r="M118" s="359"/>
      <c r="N118" s="357"/>
      <c r="O118" s="358"/>
      <c r="P118" s="359"/>
      <c r="Q118" s="360"/>
      <c r="R118" s="361"/>
      <c r="S118" s="361"/>
      <c r="T118" s="361"/>
      <c r="U118" s="361"/>
      <c r="V118" s="362"/>
      <c r="W118" s="360"/>
      <c r="X118" s="361"/>
      <c r="Y118" s="361"/>
      <c r="Z118" s="361"/>
      <c r="AA118" s="361"/>
      <c r="AB118" s="362"/>
      <c r="AC118" s="354">
        <v>23938.46</v>
      </c>
      <c r="AD118" s="355"/>
      <c r="AE118" s="356"/>
    </row>
    <row r="119" spans="1:31" ht="14.45" customHeight="1" x14ac:dyDescent="0.25">
      <c r="A119" s="331" t="s">
        <v>292</v>
      </c>
      <c r="B119" s="342" t="s">
        <v>293</v>
      </c>
      <c r="C119" s="343"/>
      <c r="D119" s="343"/>
      <c r="E119" s="343"/>
      <c r="F119" s="343"/>
      <c r="G119" s="343"/>
      <c r="H119" s="343"/>
      <c r="I119" s="343"/>
      <c r="J119" s="343"/>
      <c r="K119" s="343"/>
      <c r="L119" s="343"/>
      <c r="M119" s="344"/>
      <c r="N119" s="342" t="s">
        <v>97</v>
      </c>
      <c r="O119" s="343"/>
      <c r="P119" s="344"/>
      <c r="Q119" s="363">
        <v>3261.62</v>
      </c>
      <c r="R119" s="364"/>
      <c r="S119" s="364"/>
      <c r="T119" s="364"/>
      <c r="U119" s="364"/>
      <c r="V119" s="365"/>
      <c r="W119" s="345">
        <v>6.8319999999999999</v>
      </c>
      <c r="X119" s="346"/>
      <c r="Y119" s="346"/>
      <c r="Z119" s="346"/>
      <c r="AA119" s="346"/>
      <c r="AB119" s="347"/>
      <c r="AC119" s="336">
        <v>22283.39</v>
      </c>
      <c r="AD119" s="337"/>
      <c r="AE119" s="338"/>
    </row>
    <row r="120" spans="1:31" ht="14.45" customHeight="1" x14ac:dyDescent="0.25">
      <c r="A120" s="331" t="s">
        <v>294</v>
      </c>
      <c r="B120" s="342" t="s">
        <v>295</v>
      </c>
      <c r="C120" s="343"/>
      <c r="D120" s="343"/>
      <c r="E120" s="343"/>
      <c r="F120" s="343"/>
      <c r="G120" s="343"/>
      <c r="H120" s="343"/>
      <c r="I120" s="343"/>
      <c r="J120" s="343"/>
      <c r="K120" s="343"/>
      <c r="L120" s="343"/>
      <c r="M120" s="344"/>
      <c r="N120" s="342" t="s">
        <v>97</v>
      </c>
      <c r="O120" s="343"/>
      <c r="P120" s="344"/>
      <c r="Q120" s="381">
        <v>58.21</v>
      </c>
      <c r="R120" s="382"/>
      <c r="S120" s="382"/>
      <c r="T120" s="382"/>
      <c r="U120" s="382"/>
      <c r="V120" s="383"/>
      <c r="W120" s="381">
        <v>28.432700000000001</v>
      </c>
      <c r="X120" s="382"/>
      <c r="Y120" s="382"/>
      <c r="Z120" s="382"/>
      <c r="AA120" s="382"/>
      <c r="AB120" s="383"/>
      <c r="AC120" s="366">
        <v>1655.07</v>
      </c>
      <c r="AD120" s="367"/>
      <c r="AE120" s="368"/>
    </row>
    <row r="121" spans="1:31" ht="14.45" customHeight="1" x14ac:dyDescent="0.25">
      <c r="A121" s="330" t="s">
        <v>296</v>
      </c>
      <c r="B121" s="357" t="s">
        <v>297</v>
      </c>
      <c r="C121" s="358"/>
      <c r="D121" s="358"/>
      <c r="E121" s="358"/>
      <c r="F121" s="358"/>
      <c r="G121" s="358"/>
      <c r="H121" s="358"/>
      <c r="I121" s="358"/>
      <c r="J121" s="358"/>
      <c r="K121" s="358"/>
      <c r="L121" s="358"/>
      <c r="M121" s="359"/>
      <c r="N121" s="357"/>
      <c r="O121" s="358"/>
      <c r="P121" s="359"/>
      <c r="Q121" s="360"/>
      <c r="R121" s="361"/>
      <c r="S121" s="361"/>
      <c r="T121" s="361"/>
      <c r="U121" s="361"/>
      <c r="V121" s="362"/>
      <c r="W121" s="360"/>
      <c r="X121" s="361"/>
      <c r="Y121" s="361"/>
      <c r="Z121" s="361"/>
      <c r="AA121" s="361"/>
      <c r="AB121" s="362"/>
      <c r="AC121" s="390">
        <v>6020.64</v>
      </c>
      <c r="AD121" s="391"/>
      <c r="AE121" s="392"/>
    </row>
    <row r="122" spans="1:31" ht="14.45" customHeight="1" x14ac:dyDescent="0.25">
      <c r="A122" s="331" t="s">
        <v>298</v>
      </c>
      <c r="B122" s="342" t="s">
        <v>299</v>
      </c>
      <c r="C122" s="343"/>
      <c r="D122" s="343"/>
      <c r="E122" s="343"/>
      <c r="F122" s="343"/>
      <c r="G122" s="343"/>
      <c r="H122" s="343"/>
      <c r="I122" s="343"/>
      <c r="J122" s="343"/>
      <c r="K122" s="343"/>
      <c r="L122" s="343"/>
      <c r="M122" s="344"/>
      <c r="N122" s="342" t="s">
        <v>97</v>
      </c>
      <c r="O122" s="343"/>
      <c r="P122" s="344"/>
      <c r="Q122" s="372">
        <v>866.69</v>
      </c>
      <c r="R122" s="373"/>
      <c r="S122" s="373"/>
      <c r="T122" s="373"/>
      <c r="U122" s="373"/>
      <c r="V122" s="374"/>
      <c r="W122" s="345">
        <v>6.9466999999999999</v>
      </c>
      <c r="X122" s="346"/>
      <c r="Y122" s="346"/>
      <c r="Z122" s="346"/>
      <c r="AA122" s="346"/>
      <c r="AB122" s="347"/>
      <c r="AC122" s="366">
        <v>6020.64</v>
      </c>
      <c r="AD122" s="367"/>
      <c r="AE122" s="368"/>
    </row>
    <row r="123" spans="1:31" ht="14.45" customHeight="1" x14ac:dyDescent="0.25">
      <c r="A123" s="330" t="s">
        <v>300</v>
      </c>
      <c r="B123" s="357" t="s">
        <v>301</v>
      </c>
      <c r="C123" s="358"/>
      <c r="D123" s="358"/>
      <c r="E123" s="358"/>
      <c r="F123" s="358"/>
      <c r="G123" s="358"/>
      <c r="H123" s="358"/>
      <c r="I123" s="358"/>
      <c r="J123" s="358"/>
      <c r="K123" s="358"/>
      <c r="L123" s="358"/>
      <c r="M123" s="359"/>
      <c r="N123" s="357"/>
      <c r="O123" s="358"/>
      <c r="P123" s="359"/>
      <c r="Q123" s="360"/>
      <c r="R123" s="361"/>
      <c r="S123" s="361"/>
      <c r="T123" s="361"/>
      <c r="U123" s="361"/>
      <c r="V123" s="362"/>
      <c r="W123" s="360"/>
      <c r="X123" s="361"/>
      <c r="Y123" s="361"/>
      <c r="Z123" s="361"/>
      <c r="AA123" s="361"/>
      <c r="AB123" s="362"/>
      <c r="AC123" s="390">
        <v>1882.25</v>
      </c>
      <c r="AD123" s="391"/>
      <c r="AE123" s="392"/>
    </row>
    <row r="124" spans="1:31" ht="14.45" customHeight="1" x14ac:dyDescent="0.25">
      <c r="A124" s="331" t="s">
        <v>302</v>
      </c>
      <c r="B124" s="342" t="s">
        <v>303</v>
      </c>
      <c r="C124" s="343"/>
      <c r="D124" s="343"/>
      <c r="E124" s="343"/>
      <c r="F124" s="343"/>
      <c r="G124" s="343"/>
      <c r="H124" s="343"/>
      <c r="I124" s="343"/>
      <c r="J124" s="343"/>
      <c r="K124" s="343"/>
      <c r="L124" s="343"/>
      <c r="M124" s="344"/>
      <c r="N124" s="342" t="s">
        <v>97</v>
      </c>
      <c r="O124" s="343"/>
      <c r="P124" s="344"/>
      <c r="Q124" s="381">
        <v>51.96</v>
      </c>
      <c r="R124" s="382"/>
      <c r="S124" s="382"/>
      <c r="T124" s="382"/>
      <c r="U124" s="382"/>
      <c r="V124" s="383"/>
      <c r="W124" s="381">
        <v>36.225000000000001</v>
      </c>
      <c r="X124" s="382"/>
      <c r="Y124" s="382"/>
      <c r="Z124" s="382"/>
      <c r="AA124" s="382"/>
      <c r="AB124" s="383"/>
      <c r="AC124" s="366">
        <v>1882.25</v>
      </c>
      <c r="AD124" s="367"/>
      <c r="AE124" s="368"/>
    </row>
    <row r="125" spans="1:31" ht="14.45" customHeight="1" x14ac:dyDescent="0.25">
      <c r="A125" s="330" t="s">
        <v>304</v>
      </c>
      <c r="B125" s="357" t="s">
        <v>305</v>
      </c>
      <c r="C125" s="358"/>
      <c r="D125" s="358"/>
      <c r="E125" s="358"/>
      <c r="F125" s="358"/>
      <c r="G125" s="358"/>
      <c r="H125" s="358"/>
      <c r="I125" s="358"/>
      <c r="J125" s="358"/>
      <c r="K125" s="358"/>
      <c r="L125" s="358"/>
      <c r="M125" s="359"/>
      <c r="N125" s="357"/>
      <c r="O125" s="358"/>
      <c r="P125" s="359"/>
      <c r="Q125" s="360"/>
      <c r="R125" s="361"/>
      <c r="S125" s="361"/>
      <c r="T125" s="361"/>
      <c r="U125" s="361"/>
      <c r="V125" s="362"/>
      <c r="W125" s="360"/>
      <c r="X125" s="361"/>
      <c r="Y125" s="361"/>
      <c r="Z125" s="361"/>
      <c r="AA125" s="361"/>
      <c r="AB125" s="362"/>
      <c r="AC125" s="354">
        <v>77637.19</v>
      </c>
      <c r="AD125" s="355"/>
      <c r="AE125" s="356"/>
    </row>
    <row r="126" spans="1:31" ht="14.45" customHeight="1" x14ac:dyDescent="0.25">
      <c r="A126" s="331" t="s">
        <v>306</v>
      </c>
      <c r="B126" s="342" t="s">
        <v>307</v>
      </c>
      <c r="C126" s="343"/>
      <c r="D126" s="343"/>
      <c r="E126" s="343"/>
      <c r="F126" s="343"/>
      <c r="G126" s="343"/>
      <c r="H126" s="343"/>
      <c r="I126" s="343"/>
      <c r="J126" s="343"/>
      <c r="K126" s="343"/>
      <c r="L126" s="343"/>
      <c r="M126" s="344"/>
      <c r="N126" s="342" t="s">
        <v>97</v>
      </c>
      <c r="O126" s="343"/>
      <c r="P126" s="344"/>
      <c r="Q126" s="372">
        <v>857.68</v>
      </c>
      <c r="R126" s="373"/>
      <c r="S126" s="373"/>
      <c r="T126" s="373"/>
      <c r="U126" s="373"/>
      <c r="V126" s="374"/>
      <c r="W126" s="381">
        <v>90.52</v>
      </c>
      <c r="X126" s="382"/>
      <c r="Y126" s="382"/>
      <c r="Z126" s="382"/>
      <c r="AA126" s="382"/>
      <c r="AB126" s="383"/>
      <c r="AC126" s="336">
        <v>77637.19</v>
      </c>
      <c r="AD126" s="337"/>
      <c r="AE126" s="338"/>
    </row>
    <row r="127" spans="1:31" ht="14.45" customHeight="1" x14ac:dyDescent="0.25">
      <c r="A127" s="330" t="s">
        <v>308</v>
      </c>
      <c r="B127" s="357" t="s">
        <v>309</v>
      </c>
      <c r="C127" s="358"/>
      <c r="D127" s="358"/>
      <c r="E127" s="358"/>
      <c r="F127" s="358"/>
      <c r="G127" s="358"/>
      <c r="H127" s="358"/>
      <c r="I127" s="358"/>
      <c r="J127" s="358"/>
      <c r="K127" s="358"/>
      <c r="L127" s="358"/>
      <c r="M127" s="359"/>
      <c r="N127" s="357"/>
      <c r="O127" s="358"/>
      <c r="P127" s="359"/>
      <c r="Q127" s="360"/>
      <c r="R127" s="361"/>
      <c r="S127" s="361"/>
      <c r="T127" s="361"/>
      <c r="U127" s="361"/>
      <c r="V127" s="362"/>
      <c r="W127" s="360"/>
      <c r="X127" s="361"/>
      <c r="Y127" s="361"/>
      <c r="Z127" s="361"/>
      <c r="AA127" s="361"/>
      <c r="AB127" s="362"/>
      <c r="AC127" s="390">
        <v>2351.8200000000002</v>
      </c>
      <c r="AD127" s="391"/>
      <c r="AE127" s="392"/>
    </row>
    <row r="128" spans="1:31" ht="14.45" customHeight="1" x14ac:dyDescent="0.25">
      <c r="A128" s="331" t="s">
        <v>310</v>
      </c>
      <c r="B128" s="342" t="s">
        <v>311</v>
      </c>
      <c r="C128" s="343"/>
      <c r="D128" s="343"/>
      <c r="E128" s="343"/>
      <c r="F128" s="343"/>
      <c r="G128" s="343"/>
      <c r="H128" s="343"/>
      <c r="I128" s="343"/>
      <c r="J128" s="343"/>
      <c r="K128" s="343"/>
      <c r="L128" s="343"/>
      <c r="M128" s="344"/>
      <c r="N128" s="342" t="s">
        <v>97</v>
      </c>
      <c r="O128" s="343"/>
      <c r="P128" s="344"/>
      <c r="Q128" s="381">
        <v>59.08</v>
      </c>
      <c r="R128" s="382"/>
      <c r="S128" s="382"/>
      <c r="T128" s="382"/>
      <c r="U128" s="382"/>
      <c r="V128" s="383"/>
      <c r="W128" s="381">
        <v>39.807299999999998</v>
      </c>
      <c r="X128" s="382"/>
      <c r="Y128" s="382"/>
      <c r="Z128" s="382"/>
      <c r="AA128" s="382"/>
      <c r="AB128" s="383"/>
      <c r="AC128" s="366">
        <v>2351.8200000000002</v>
      </c>
      <c r="AD128" s="367"/>
      <c r="AE128" s="368"/>
    </row>
    <row r="129" spans="1:31" ht="14.45" customHeight="1" x14ac:dyDescent="0.25">
      <c r="A129" s="330" t="s">
        <v>312</v>
      </c>
      <c r="B129" s="357" t="s">
        <v>313</v>
      </c>
      <c r="C129" s="358"/>
      <c r="D129" s="358"/>
      <c r="E129" s="358"/>
      <c r="F129" s="358"/>
      <c r="G129" s="358"/>
      <c r="H129" s="358"/>
      <c r="I129" s="358"/>
      <c r="J129" s="358"/>
      <c r="K129" s="358"/>
      <c r="L129" s="358"/>
      <c r="M129" s="359"/>
      <c r="N129" s="357"/>
      <c r="O129" s="358"/>
      <c r="P129" s="359"/>
      <c r="Q129" s="360"/>
      <c r="R129" s="361"/>
      <c r="S129" s="361"/>
      <c r="T129" s="361"/>
      <c r="U129" s="361"/>
      <c r="V129" s="362"/>
      <c r="W129" s="360"/>
      <c r="X129" s="361"/>
      <c r="Y129" s="361"/>
      <c r="Z129" s="361"/>
      <c r="AA129" s="361"/>
      <c r="AB129" s="362"/>
      <c r="AC129" s="390">
        <v>8114.21</v>
      </c>
      <c r="AD129" s="391"/>
      <c r="AE129" s="392"/>
    </row>
    <row r="130" spans="1:31" ht="14.45" customHeight="1" x14ac:dyDescent="0.25">
      <c r="A130" s="331" t="s">
        <v>314</v>
      </c>
      <c r="B130" s="342" t="s">
        <v>307</v>
      </c>
      <c r="C130" s="343"/>
      <c r="D130" s="343"/>
      <c r="E130" s="343"/>
      <c r="F130" s="343"/>
      <c r="G130" s="343"/>
      <c r="H130" s="343"/>
      <c r="I130" s="343"/>
      <c r="J130" s="343"/>
      <c r="K130" s="343"/>
      <c r="L130" s="343"/>
      <c r="M130" s="344"/>
      <c r="N130" s="342" t="s">
        <v>97</v>
      </c>
      <c r="O130" s="343"/>
      <c r="P130" s="344"/>
      <c r="Q130" s="381">
        <v>89.64</v>
      </c>
      <c r="R130" s="382"/>
      <c r="S130" s="382"/>
      <c r="T130" s="382"/>
      <c r="U130" s="382"/>
      <c r="V130" s="383"/>
      <c r="W130" s="381">
        <v>90.52</v>
      </c>
      <c r="X130" s="382"/>
      <c r="Y130" s="382"/>
      <c r="Z130" s="382"/>
      <c r="AA130" s="382"/>
      <c r="AB130" s="383"/>
      <c r="AC130" s="366">
        <v>8114.21</v>
      </c>
      <c r="AD130" s="367"/>
      <c r="AE130" s="368"/>
    </row>
    <row r="131" spans="1:31" ht="14.45" customHeight="1" x14ac:dyDescent="0.25">
      <c r="A131" s="330" t="s">
        <v>315</v>
      </c>
      <c r="B131" s="357" t="s">
        <v>316</v>
      </c>
      <c r="C131" s="358"/>
      <c r="D131" s="358"/>
      <c r="E131" s="358"/>
      <c r="F131" s="358"/>
      <c r="G131" s="358"/>
      <c r="H131" s="358"/>
      <c r="I131" s="358"/>
      <c r="J131" s="358"/>
      <c r="K131" s="358"/>
      <c r="L131" s="358"/>
      <c r="M131" s="359"/>
      <c r="N131" s="357"/>
      <c r="O131" s="358"/>
      <c r="P131" s="359"/>
      <c r="Q131" s="360"/>
      <c r="R131" s="361"/>
      <c r="S131" s="361"/>
      <c r="T131" s="361"/>
      <c r="U131" s="361"/>
      <c r="V131" s="362"/>
      <c r="W131" s="360"/>
      <c r="X131" s="361"/>
      <c r="Y131" s="361"/>
      <c r="Z131" s="361"/>
      <c r="AA131" s="361"/>
      <c r="AB131" s="362"/>
      <c r="AC131" s="354">
        <v>89249.96</v>
      </c>
      <c r="AD131" s="355"/>
      <c r="AE131" s="356"/>
    </row>
    <row r="132" spans="1:31" ht="14.45" customHeight="1" x14ac:dyDescent="0.25">
      <c r="A132" s="331" t="s">
        <v>317</v>
      </c>
      <c r="B132" s="342" t="s">
        <v>311</v>
      </c>
      <c r="C132" s="343"/>
      <c r="D132" s="343"/>
      <c r="E132" s="343"/>
      <c r="F132" s="343"/>
      <c r="G132" s="343"/>
      <c r="H132" s="343"/>
      <c r="I132" s="343"/>
      <c r="J132" s="343"/>
      <c r="K132" s="343"/>
      <c r="L132" s="343"/>
      <c r="M132" s="344"/>
      <c r="N132" s="342" t="s">
        <v>97</v>
      </c>
      <c r="O132" s="343"/>
      <c r="P132" s="344"/>
      <c r="Q132" s="363">
        <v>2242.0500000000002</v>
      </c>
      <c r="R132" s="364"/>
      <c r="S132" s="364"/>
      <c r="T132" s="364"/>
      <c r="U132" s="364"/>
      <c r="V132" s="365"/>
      <c r="W132" s="381">
        <v>39.807299999999998</v>
      </c>
      <c r="X132" s="382"/>
      <c r="Y132" s="382"/>
      <c r="Z132" s="382"/>
      <c r="AA132" s="382"/>
      <c r="AB132" s="383"/>
      <c r="AC132" s="336">
        <v>89249.96</v>
      </c>
      <c r="AD132" s="337"/>
      <c r="AE132" s="338"/>
    </row>
    <row r="133" spans="1:31" ht="14.45" customHeight="1" x14ac:dyDescent="0.25">
      <c r="A133" s="330" t="s">
        <v>318</v>
      </c>
      <c r="B133" s="357" t="s">
        <v>319</v>
      </c>
      <c r="C133" s="358"/>
      <c r="D133" s="358"/>
      <c r="E133" s="358"/>
      <c r="F133" s="358"/>
      <c r="G133" s="358"/>
      <c r="H133" s="358"/>
      <c r="I133" s="358"/>
      <c r="J133" s="358"/>
      <c r="K133" s="358"/>
      <c r="L133" s="358"/>
      <c r="M133" s="359"/>
      <c r="N133" s="357"/>
      <c r="O133" s="358"/>
      <c r="P133" s="359"/>
      <c r="Q133" s="360"/>
      <c r="R133" s="361"/>
      <c r="S133" s="361"/>
      <c r="T133" s="361"/>
      <c r="U133" s="361"/>
      <c r="V133" s="362"/>
      <c r="W133" s="360"/>
      <c r="X133" s="361"/>
      <c r="Y133" s="361"/>
      <c r="Z133" s="361"/>
      <c r="AA133" s="361"/>
      <c r="AB133" s="362"/>
      <c r="AC133" s="390">
        <v>5181.07</v>
      </c>
      <c r="AD133" s="391"/>
      <c r="AE133" s="392"/>
    </row>
    <row r="134" spans="1:31" ht="14.45" customHeight="1" x14ac:dyDescent="0.25">
      <c r="A134" s="331" t="s">
        <v>320</v>
      </c>
      <c r="B134" s="342" t="s">
        <v>321</v>
      </c>
      <c r="C134" s="343"/>
      <c r="D134" s="343"/>
      <c r="E134" s="343"/>
      <c r="F134" s="343"/>
      <c r="G134" s="343"/>
      <c r="H134" s="343"/>
      <c r="I134" s="343"/>
      <c r="J134" s="343"/>
      <c r="K134" s="343"/>
      <c r="L134" s="343"/>
      <c r="M134" s="344"/>
      <c r="N134" s="342" t="s">
        <v>97</v>
      </c>
      <c r="O134" s="343"/>
      <c r="P134" s="344"/>
      <c r="Q134" s="372">
        <v>170.43</v>
      </c>
      <c r="R134" s="373"/>
      <c r="S134" s="373"/>
      <c r="T134" s="373"/>
      <c r="U134" s="373"/>
      <c r="V134" s="374"/>
      <c r="W134" s="381">
        <v>30.4</v>
      </c>
      <c r="X134" s="382"/>
      <c r="Y134" s="382"/>
      <c r="Z134" s="382"/>
      <c r="AA134" s="382"/>
      <c r="AB134" s="383"/>
      <c r="AC134" s="366">
        <v>5181.07</v>
      </c>
      <c r="AD134" s="367"/>
      <c r="AE134" s="368"/>
    </row>
    <row r="135" spans="1:31" ht="14.45" customHeight="1" x14ac:dyDescent="0.25">
      <c r="A135" s="330" t="s">
        <v>322</v>
      </c>
      <c r="B135" s="357" t="s">
        <v>323</v>
      </c>
      <c r="C135" s="358"/>
      <c r="D135" s="358"/>
      <c r="E135" s="358"/>
      <c r="F135" s="358"/>
      <c r="G135" s="358"/>
      <c r="H135" s="358"/>
      <c r="I135" s="358"/>
      <c r="J135" s="358"/>
      <c r="K135" s="358"/>
      <c r="L135" s="358"/>
      <c r="M135" s="359"/>
      <c r="N135" s="357"/>
      <c r="O135" s="358"/>
      <c r="P135" s="359"/>
      <c r="Q135" s="360"/>
      <c r="R135" s="361"/>
      <c r="S135" s="361"/>
      <c r="T135" s="361"/>
      <c r="U135" s="361"/>
      <c r="V135" s="362"/>
      <c r="W135" s="360"/>
      <c r="X135" s="361"/>
      <c r="Y135" s="361"/>
      <c r="Z135" s="361"/>
      <c r="AA135" s="361"/>
      <c r="AB135" s="362"/>
      <c r="AC135" s="399">
        <v>965.94</v>
      </c>
      <c r="AD135" s="400"/>
      <c r="AE135" s="401"/>
    </row>
    <row r="136" spans="1:31" ht="14.45" customHeight="1" x14ac:dyDescent="0.25">
      <c r="A136" s="331" t="s">
        <v>324</v>
      </c>
      <c r="B136" s="342" t="s">
        <v>325</v>
      </c>
      <c r="C136" s="343"/>
      <c r="D136" s="343"/>
      <c r="E136" s="343"/>
      <c r="F136" s="343"/>
      <c r="G136" s="343"/>
      <c r="H136" s="343"/>
      <c r="I136" s="343"/>
      <c r="J136" s="343"/>
      <c r="K136" s="343"/>
      <c r="L136" s="343"/>
      <c r="M136" s="344"/>
      <c r="N136" s="342" t="s">
        <v>98</v>
      </c>
      <c r="O136" s="343"/>
      <c r="P136" s="344"/>
      <c r="Q136" s="372">
        <v>103</v>
      </c>
      <c r="R136" s="373"/>
      <c r="S136" s="373"/>
      <c r="T136" s="373"/>
      <c r="U136" s="373"/>
      <c r="V136" s="374"/>
      <c r="W136" s="345">
        <v>9.3780999999999999</v>
      </c>
      <c r="X136" s="346"/>
      <c r="Y136" s="346"/>
      <c r="Z136" s="346"/>
      <c r="AA136" s="346"/>
      <c r="AB136" s="347"/>
      <c r="AC136" s="375">
        <v>965.94</v>
      </c>
      <c r="AD136" s="376"/>
      <c r="AE136" s="377"/>
    </row>
    <row r="137" spans="1:31" ht="14.45" customHeight="1" x14ac:dyDescent="0.25">
      <c r="A137" s="330" t="s">
        <v>326</v>
      </c>
      <c r="B137" s="357" t="s">
        <v>329</v>
      </c>
      <c r="C137" s="358"/>
      <c r="D137" s="358"/>
      <c r="E137" s="358"/>
      <c r="F137" s="358"/>
      <c r="G137" s="358"/>
      <c r="H137" s="358"/>
      <c r="I137" s="358"/>
      <c r="J137" s="358"/>
      <c r="K137" s="358"/>
      <c r="L137" s="358"/>
      <c r="M137" s="359"/>
      <c r="N137" s="357"/>
      <c r="O137" s="358"/>
      <c r="P137" s="359"/>
      <c r="Q137" s="360"/>
      <c r="R137" s="361"/>
      <c r="S137" s="361"/>
      <c r="T137" s="361"/>
      <c r="U137" s="361"/>
      <c r="V137" s="362"/>
      <c r="W137" s="360"/>
      <c r="X137" s="361"/>
      <c r="Y137" s="361"/>
      <c r="Z137" s="361"/>
      <c r="AA137" s="361"/>
      <c r="AB137" s="362"/>
      <c r="AC137" s="399">
        <v>761.91</v>
      </c>
      <c r="AD137" s="400"/>
      <c r="AE137" s="401"/>
    </row>
    <row r="138" spans="1:31" ht="14.45" customHeight="1" x14ac:dyDescent="0.25">
      <c r="A138" s="331" t="s">
        <v>327</v>
      </c>
      <c r="B138" s="342" t="s">
        <v>311</v>
      </c>
      <c r="C138" s="343"/>
      <c r="D138" s="343"/>
      <c r="E138" s="343"/>
      <c r="F138" s="343"/>
      <c r="G138" s="343"/>
      <c r="H138" s="343"/>
      <c r="I138" s="343"/>
      <c r="J138" s="343"/>
      <c r="K138" s="343"/>
      <c r="L138" s="343"/>
      <c r="M138" s="344"/>
      <c r="N138" s="342" t="s">
        <v>97</v>
      </c>
      <c r="O138" s="343"/>
      <c r="P138" s="344"/>
      <c r="Q138" s="381">
        <v>19.14</v>
      </c>
      <c r="R138" s="382"/>
      <c r="S138" s="382"/>
      <c r="T138" s="382"/>
      <c r="U138" s="382"/>
      <c r="V138" s="383"/>
      <c r="W138" s="381">
        <v>39.807299999999998</v>
      </c>
      <c r="X138" s="382"/>
      <c r="Y138" s="382"/>
      <c r="Z138" s="382"/>
      <c r="AA138" s="382"/>
      <c r="AB138" s="383"/>
      <c r="AC138" s="375">
        <v>761.91</v>
      </c>
      <c r="AD138" s="376"/>
      <c r="AE138" s="377"/>
    </row>
    <row r="139" spans="1:31" ht="14.45" customHeight="1" x14ac:dyDescent="0.25">
      <c r="A139" s="330" t="s">
        <v>328</v>
      </c>
      <c r="B139" s="357" t="s">
        <v>875</v>
      </c>
      <c r="C139" s="358"/>
      <c r="D139" s="358"/>
      <c r="E139" s="358"/>
      <c r="F139" s="358"/>
      <c r="G139" s="358"/>
      <c r="H139" s="358"/>
      <c r="I139" s="358"/>
      <c r="J139" s="358"/>
      <c r="K139" s="358"/>
      <c r="L139" s="358"/>
      <c r="M139" s="359"/>
      <c r="N139" s="357"/>
      <c r="O139" s="358"/>
      <c r="P139" s="359"/>
      <c r="Q139" s="360"/>
      <c r="R139" s="361"/>
      <c r="S139" s="361"/>
      <c r="T139" s="361"/>
      <c r="U139" s="361"/>
      <c r="V139" s="362"/>
      <c r="W139" s="360"/>
      <c r="X139" s="361"/>
      <c r="Y139" s="361"/>
      <c r="Z139" s="361"/>
      <c r="AA139" s="361"/>
      <c r="AB139" s="362"/>
      <c r="AC139" s="390">
        <v>1367.78</v>
      </c>
      <c r="AD139" s="391"/>
      <c r="AE139" s="392"/>
    </row>
    <row r="140" spans="1:31" ht="14.45" customHeight="1" x14ac:dyDescent="0.25">
      <c r="A140" s="331" t="s">
        <v>330</v>
      </c>
      <c r="B140" s="342" t="s">
        <v>311</v>
      </c>
      <c r="C140" s="343"/>
      <c r="D140" s="343"/>
      <c r="E140" s="343"/>
      <c r="F140" s="343"/>
      <c r="G140" s="343"/>
      <c r="H140" s="343"/>
      <c r="I140" s="343"/>
      <c r="J140" s="343"/>
      <c r="K140" s="343"/>
      <c r="L140" s="343"/>
      <c r="M140" s="344"/>
      <c r="N140" s="342" t="s">
        <v>97</v>
      </c>
      <c r="O140" s="343"/>
      <c r="P140" s="344"/>
      <c r="Q140" s="381">
        <v>34.36</v>
      </c>
      <c r="R140" s="382"/>
      <c r="S140" s="382"/>
      <c r="T140" s="382"/>
      <c r="U140" s="382"/>
      <c r="V140" s="383"/>
      <c r="W140" s="381">
        <v>39.807299999999998</v>
      </c>
      <c r="X140" s="382"/>
      <c r="Y140" s="382"/>
      <c r="Z140" s="382"/>
      <c r="AA140" s="382"/>
      <c r="AB140" s="383"/>
      <c r="AC140" s="366">
        <v>1367.78</v>
      </c>
      <c r="AD140" s="367"/>
      <c r="AE140" s="368"/>
    </row>
    <row r="141" spans="1:31" ht="14.45" customHeight="1" x14ac:dyDescent="0.25">
      <c r="A141" s="330" t="s">
        <v>331</v>
      </c>
      <c r="B141" s="357" t="s">
        <v>332</v>
      </c>
      <c r="C141" s="358"/>
      <c r="D141" s="358"/>
      <c r="E141" s="358"/>
      <c r="F141" s="358"/>
      <c r="G141" s="358"/>
      <c r="H141" s="358"/>
      <c r="I141" s="358"/>
      <c r="J141" s="358"/>
      <c r="K141" s="358"/>
      <c r="L141" s="358"/>
      <c r="M141" s="359"/>
      <c r="N141" s="357"/>
      <c r="O141" s="358"/>
      <c r="P141" s="359"/>
      <c r="Q141" s="360"/>
      <c r="R141" s="361"/>
      <c r="S141" s="361"/>
      <c r="T141" s="361"/>
      <c r="U141" s="361"/>
      <c r="V141" s="362"/>
      <c r="W141" s="360"/>
      <c r="X141" s="361"/>
      <c r="Y141" s="361"/>
      <c r="Z141" s="361"/>
      <c r="AA141" s="361"/>
      <c r="AB141" s="362"/>
      <c r="AC141" s="384">
        <v>264905.61</v>
      </c>
      <c r="AD141" s="385"/>
      <c r="AE141" s="386"/>
    </row>
    <row r="142" spans="1:31" ht="14.45" customHeight="1" x14ac:dyDescent="0.25">
      <c r="A142" s="331" t="s">
        <v>333</v>
      </c>
      <c r="B142" s="342" t="s">
        <v>334</v>
      </c>
      <c r="C142" s="343"/>
      <c r="D142" s="343"/>
      <c r="E142" s="343"/>
      <c r="F142" s="343"/>
      <c r="G142" s="343"/>
      <c r="H142" s="343"/>
      <c r="I142" s="343"/>
      <c r="J142" s="343"/>
      <c r="K142" s="343"/>
      <c r="L142" s="343"/>
      <c r="M142" s="344"/>
      <c r="N142" s="342" t="s">
        <v>97</v>
      </c>
      <c r="O142" s="343"/>
      <c r="P142" s="344"/>
      <c r="Q142" s="363">
        <v>3261.62</v>
      </c>
      <c r="R142" s="364"/>
      <c r="S142" s="364"/>
      <c r="T142" s="364"/>
      <c r="U142" s="364"/>
      <c r="V142" s="365"/>
      <c r="W142" s="381">
        <v>18</v>
      </c>
      <c r="X142" s="382"/>
      <c r="Y142" s="382"/>
      <c r="Z142" s="382"/>
      <c r="AA142" s="382"/>
      <c r="AB142" s="383"/>
      <c r="AC142" s="336">
        <v>58709.16</v>
      </c>
      <c r="AD142" s="337"/>
      <c r="AE142" s="338"/>
    </row>
    <row r="143" spans="1:31" ht="14.45" customHeight="1" x14ac:dyDescent="0.25">
      <c r="A143" s="331" t="s">
        <v>335</v>
      </c>
      <c r="B143" s="342" t="s">
        <v>336</v>
      </c>
      <c r="C143" s="343"/>
      <c r="D143" s="343"/>
      <c r="E143" s="343"/>
      <c r="F143" s="343"/>
      <c r="G143" s="343"/>
      <c r="H143" s="343"/>
      <c r="I143" s="343"/>
      <c r="J143" s="343"/>
      <c r="K143" s="343"/>
      <c r="L143" s="343"/>
      <c r="M143" s="344"/>
      <c r="N143" s="342" t="s">
        <v>97</v>
      </c>
      <c r="O143" s="343"/>
      <c r="P143" s="344"/>
      <c r="Q143" s="381">
        <v>58.21</v>
      </c>
      <c r="R143" s="382"/>
      <c r="S143" s="382"/>
      <c r="T143" s="382"/>
      <c r="U143" s="382"/>
      <c r="V143" s="383"/>
      <c r="W143" s="381">
        <v>45</v>
      </c>
      <c r="X143" s="382"/>
      <c r="Y143" s="382"/>
      <c r="Z143" s="382"/>
      <c r="AA143" s="382"/>
      <c r="AB143" s="383"/>
      <c r="AC143" s="366">
        <v>2619.4499999999998</v>
      </c>
      <c r="AD143" s="367"/>
      <c r="AE143" s="368"/>
    </row>
    <row r="144" spans="1:31" ht="14.45" customHeight="1" x14ac:dyDescent="0.25">
      <c r="A144" s="331" t="s">
        <v>337</v>
      </c>
      <c r="B144" s="342" t="s">
        <v>338</v>
      </c>
      <c r="C144" s="343"/>
      <c r="D144" s="343"/>
      <c r="E144" s="343"/>
      <c r="F144" s="343"/>
      <c r="G144" s="343"/>
      <c r="H144" s="343"/>
      <c r="I144" s="343"/>
      <c r="J144" s="343"/>
      <c r="K144" s="343"/>
      <c r="L144" s="343"/>
      <c r="M144" s="344"/>
      <c r="N144" s="342" t="s">
        <v>97</v>
      </c>
      <c r="O144" s="343"/>
      <c r="P144" s="344"/>
      <c r="Q144" s="363">
        <v>1006.4</v>
      </c>
      <c r="R144" s="364"/>
      <c r="S144" s="364"/>
      <c r="T144" s="364"/>
      <c r="U144" s="364"/>
      <c r="V144" s="365"/>
      <c r="W144" s="381">
        <v>89</v>
      </c>
      <c r="X144" s="382"/>
      <c r="Y144" s="382"/>
      <c r="Z144" s="382"/>
      <c r="AA144" s="382"/>
      <c r="AB144" s="383"/>
      <c r="AC144" s="336">
        <v>89569.600000000006</v>
      </c>
      <c r="AD144" s="337"/>
      <c r="AE144" s="338"/>
    </row>
    <row r="145" spans="1:31" ht="14.45" customHeight="1" x14ac:dyDescent="0.25">
      <c r="A145" s="331" t="s">
        <v>339</v>
      </c>
      <c r="B145" s="342" t="s">
        <v>340</v>
      </c>
      <c r="C145" s="343"/>
      <c r="D145" s="343"/>
      <c r="E145" s="343"/>
      <c r="F145" s="343"/>
      <c r="G145" s="343"/>
      <c r="H145" s="343"/>
      <c r="I145" s="343"/>
      <c r="J145" s="343"/>
      <c r="K145" s="343"/>
      <c r="L145" s="343"/>
      <c r="M145" s="344"/>
      <c r="N145" s="342" t="s">
        <v>97</v>
      </c>
      <c r="O145" s="343"/>
      <c r="P145" s="344"/>
      <c r="Q145" s="363">
        <v>2388.42</v>
      </c>
      <c r="R145" s="364"/>
      <c r="S145" s="364"/>
      <c r="T145" s="364"/>
      <c r="U145" s="364"/>
      <c r="V145" s="365"/>
      <c r="W145" s="381">
        <v>42</v>
      </c>
      <c r="X145" s="382"/>
      <c r="Y145" s="382"/>
      <c r="Z145" s="382"/>
      <c r="AA145" s="382"/>
      <c r="AB145" s="383"/>
      <c r="AC145" s="393">
        <v>100313.64</v>
      </c>
      <c r="AD145" s="394"/>
      <c r="AE145" s="395"/>
    </row>
    <row r="146" spans="1:31" ht="14.45" customHeight="1" x14ac:dyDescent="0.25">
      <c r="A146" s="331" t="s">
        <v>341</v>
      </c>
      <c r="B146" s="342" t="s">
        <v>342</v>
      </c>
      <c r="C146" s="343"/>
      <c r="D146" s="343"/>
      <c r="E146" s="343"/>
      <c r="F146" s="343"/>
      <c r="G146" s="343"/>
      <c r="H146" s="343"/>
      <c r="I146" s="343"/>
      <c r="J146" s="343"/>
      <c r="K146" s="343"/>
      <c r="L146" s="343"/>
      <c r="M146" s="344"/>
      <c r="N146" s="342" t="s">
        <v>97</v>
      </c>
      <c r="O146" s="343"/>
      <c r="P146" s="344"/>
      <c r="Q146" s="372">
        <v>170.43</v>
      </c>
      <c r="R146" s="373"/>
      <c r="S146" s="373"/>
      <c r="T146" s="373"/>
      <c r="U146" s="373"/>
      <c r="V146" s="374"/>
      <c r="W146" s="381">
        <v>32</v>
      </c>
      <c r="X146" s="382"/>
      <c r="Y146" s="382"/>
      <c r="Z146" s="382"/>
      <c r="AA146" s="382"/>
      <c r="AB146" s="383"/>
      <c r="AC146" s="366">
        <v>5453.76</v>
      </c>
      <c r="AD146" s="367"/>
      <c r="AE146" s="368"/>
    </row>
    <row r="147" spans="1:31" ht="14.45" customHeight="1" x14ac:dyDescent="0.25">
      <c r="A147" s="331" t="s">
        <v>343</v>
      </c>
      <c r="B147" s="342" t="s">
        <v>344</v>
      </c>
      <c r="C147" s="343"/>
      <c r="D147" s="343"/>
      <c r="E147" s="343"/>
      <c r="F147" s="343"/>
      <c r="G147" s="343"/>
      <c r="H147" s="343"/>
      <c r="I147" s="343"/>
      <c r="J147" s="343"/>
      <c r="K147" s="343"/>
      <c r="L147" s="343"/>
      <c r="M147" s="344"/>
      <c r="N147" s="342" t="s">
        <v>98</v>
      </c>
      <c r="O147" s="343"/>
      <c r="P147" s="344"/>
      <c r="Q147" s="372">
        <v>103</v>
      </c>
      <c r="R147" s="373"/>
      <c r="S147" s="373"/>
      <c r="T147" s="373"/>
      <c r="U147" s="373"/>
      <c r="V147" s="374"/>
      <c r="W147" s="381">
        <v>80</v>
      </c>
      <c r="X147" s="382"/>
      <c r="Y147" s="382"/>
      <c r="Z147" s="382"/>
      <c r="AA147" s="382"/>
      <c r="AB147" s="383"/>
      <c r="AC147" s="366">
        <v>8240</v>
      </c>
      <c r="AD147" s="367"/>
      <c r="AE147" s="368"/>
    </row>
    <row r="148" spans="1:31" ht="14.45" customHeight="1" x14ac:dyDescent="0.25">
      <c r="A148" s="330" t="s">
        <v>345</v>
      </c>
      <c r="B148" s="357" t="s">
        <v>346</v>
      </c>
      <c r="C148" s="358"/>
      <c r="D148" s="358"/>
      <c r="E148" s="358"/>
      <c r="F148" s="358"/>
      <c r="G148" s="358"/>
      <c r="H148" s="358"/>
      <c r="I148" s="358"/>
      <c r="J148" s="358"/>
      <c r="K148" s="358"/>
      <c r="L148" s="358"/>
      <c r="M148" s="359"/>
      <c r="N148" s="357"/>
      <c r="O148" s="358"/>
      <c r="P148" s="359"/>
      <c r="Q148" s="360"/>
      <c r="R148" s="361"/>
      <c r="S148" s="361"/>
      <c r="T148" s="361"/>
      <c r="U148" s="361"/>
      <c r="V148" s="362"/>
      <c r="W148" s="360"/>
      <c r="X148" s="361"/>
      <c r="Y148" s="361"/>
      <c r="Z148" s="361"/>
      <c r="AA148" s="361"/>
      <c r="AB148" s="362"/>
      <c r="AC148" s="384">
        <v>932074.24</v>
      </c>
      <c r="AD148" s="385"/>
      <c r="AE148" s="386"/>
    </row>
    <row r="149" spans="1:31" ht="14.45" customHeight="1" x14ac:dyDescent="0.25">
      <c r="A149" s="330" t="s">
        <v>347</v>
      </c>
      <c r="B149" s="357" t="s">
        <v>346</v>
      </c>
      <c r="C149" s="358"/>
      <c r="D149" s="358"/>
      <c r="E149" s="358"/>
      <c r="F149" s="358"/>
      <c r="G149" s="358"/>
      <c r="H149" s="358"/>
      <c r="I149" s="358"/>
      <c r="J149" s="358"/>
      <c r="K149" s="358"/>
      <c r="L149" s="358"/>
      <c r="M149" s="359"/>
      <c r="N149" s="357"/>
      <c r="O149" s="358"/>
      <c r="P149" s="359"/>
      <c r="Q149" s="360"/>
      <c r="R149" s="361"/>
      <c r="S149" s="361"/>
      <c r="T149" s="361"/>
      <c r="U149" s="361"/>
      <c r="V149" s="362"/>
      <c r="W149" s="360"/>
      <c r="X149" s="361"/>
      <c r="Y149" s="361"/>
      <c r="Z149" s="361"/>
      <c r="AA149" s="361"/>
      <c r="AB149" s="362"/>
      <c r="AC149" s="384">
        <v>932074.24</v>
      </c>
      <c r="AD149" s="385"/>
      <c r="AE149" s="386"/>
    </row>
    <row r="150" spans="1:31" ht="14.45" customHeight="1" x14ac:dyDescent="0.25">
      <c r="A150" s="330" t="s">
        <v>348</v>
      </c>
      <c r="B150" s="357" t="s">
        <v>349</v>
      </c>
      <c r="C150" s="358"/>
      <c r="D150" s="358"/>
      <c r="E150" s="358"/>
      <c r="F150" s="358"/>
      <c r="G150" s="358"/>
      <c r="H150" s="358"/>
      <c r="I150" s="358"/>
      <c r="J150" s="358"/>
      <c r="K150" s="358"/>
      <c r="L150" s="358"/>
      <c r="M150" s="359"/>
      <c r="N150" s="357"/>
      <c r="O150" s="358"/>
      <c r="P150" s="359"/>
      <c r="Q150" s="360"/>
      <c r="R150" s="361"/>
      <c r="S150" s="361"/>
      <c r="T150" s="361"/>
      <c r="U150" s="361"/>
      <c r="V150" s="362"/>
      <c r="W150" s="360"/>
      <c r="X150" s="361"/>
      <c r="Y150" s="361"/>
      <c r="Z150" s="361"/>
      <c r="AA150" s="361"/>
      <c r="AB150" s="362"/>
      <c r="AC150" s="384">
        <v>157785.34</v>
      </c>
      <c r="AD150" s="385"/>
      <c r="AE150" s="386"/>
    </row>
    <row r="151" spans="1:31" ht="14.45" customHeight="1" x14ac:dyDescent="0.25">
      <c r="A151" s="331" t="s">
        <v>350</v>
      </c>
      <c r="B151" s="342" t="s">
        <v>349</v>
      </c>
      <c r="C151" s="343"/>
      <c r="D151" s="343"/>
      <c r="E151" s="343"/>
      <c r="F151" s="343"/>
      <c r="G151" s="343"/>
      <c r="H151" s="343"/>
      <c r="I151" s="343"/>
      <c r="J151" s="343"/>
      <c r="K151" s="343"/>
      <c r="L151" s="343"/>
      <c r="M151" s="344"/>
      <c r="N151" s="342" t="s">
        <v>154</v>
      </c>
      <c r="O151" s="343"/>
      <c r="P151" s="344"/>
      <c r="Q151" s="345">
        <v>1</v>
      </c>
      <c r="R151" s="346"/>
      <c r="S151" s="346"/>
      <c r="T151" s="346"/>
      <c r="U151" s="346"/>
      <c r="V151" s="347"/>
      <c r="W151" s="402">
        <v>157785.34</v>
      </c>
      <c r="X151" s="403"/>
      <c r="Y151" s="403"/>
      <c r="Z151" s="403"/>
      <c r="AA151" s="403"/>
      <c r="AB151" s="404"/>
      <c r="AC151" s="393">
        <v>157785.34</v>
      </c>
      <c r="AD151" s="394"/>
      <c r="AE151" s="395"/>
    </row>
    <row r="152" spans="1:31" ht="14.45" customHeight="1" x14ac:dyDescent="0.25">
      <c r="A152" s="330" t="s">
        <v>351</v>
      </c>
      <c r="B152" s="357" t="s">
        <v>352</v>
      </c>
      <c r="C152" s="358"/>
      <c r="D152" s="358"/>
      <c r="E152" s="358"/>
      <c r="F152" s="358"/>
      <c r="G152" s="358"/>
      <c r="H152" s="358"/>
      <c r="I152" s="358"/>
      <c r="J152" s="358"/>
      <c r="K152" s="358"/>
      <c r="L152" s="358"/>
      <c r="M152" s="359"/>
      <c r="N152" s="357"/>
      <c r="O152" s="358"/>
      <c r="P152" s="359"/>
      <c r="Q152" s="360"/>
      <c r="R152" s="361"/>
      <c r="S152" s="361"/>
      <c r="T152" s="361"/>
      <c r="U152" s="361"/>
      <c r="V152" s="362"/>
      <c r="W152" s="360"/>
      <c r="X152" s="361"/>
      <c r="Y152" s="361"/>
      <c r="Z152" s="361"/>
      <c r="AA152" s="361"/>
      <c r="AB152" s="362"/>
      <c r="AC152" s="354">
        <v>73741.8</v>
      </c>
      <c r="AD152" s="355"/>
      <c r="AE152" s="356"/>
    </row>
    <row r="153" spans="1:31" ht="14.45" customHeight="1" x14ac:dyDescent="0.25">
      <c r="A153" s="331" t="s">
        <v>353</v>
      </c>
      <c r="B153" s="342" t="s">
        <v>352</v>
      </c>
      <c r="C153" s="343"/>
      <c r="D153" s="343"/>
      <c r="E153" s="343"/>
      <c r="F153" s="343"/>
      <c r="G153" s="343"/>
      <c r="H153" s="343"/>
      <c r="I153" s="343"/>
      <c r="J153" s="343"/>
      <c r="K153" s="343"/>
      <c r="L153" s="343"/>
      <c r="M153" s="344"/>
      <c r="N153" s="342" t="s">
        <v>154</v>
      </c>
      <c r="O153" s="343"/>
      <c r="P153" s="344"/>
      <c r="Q153" s="345">
        <v>1</v>
      </c>
      <c r="R153" s="346"/>
      <c r="S153" s="346"/>
      <c r="T153" s="346"/>
      <c r="U153" s="346"/>
      <c r="V153" s="347"/>
      <c r="W153" s="348">
        <v>73741.8</v>
      </c>
      <c r="X153" s="349"/>
      <c r="Y153" s="349"/>
      <c r="Z153" s="349"/>
      <c r="AA153" s="349"/>
      <c r="AB153" s="350"/>
      <c r="AC153" s="336">
        <v>73741.8</v>
      </c>
      <c r="AD153" s="337"/>
      <c r="AE153" s="338"/>
    </row>
    <row r="154" spans="1:31" ht="14.45" customHeight="1" x14ac:dyDescent="0.25">
      <c r="A154" s="330" t="s">
        <v>354</v>
      </c>
      <c r="B154" s="357" t="s">
        <v>876</v>
      </c>
      <c r="C154" s="358"/>
      <c r="D154" s="358"/>
      <c r="E154" s="358"/>
      <c r="F154" s="358"/>
      <c r="G154" s="358"/>
      <c r="H154" s="358"/>
      <c r="I154" s="358"/>
      <c r="J154" s="358"/>
      <c r="K154" s="358"/>
      <c r="L154" s="358"/>
      <c r="M154" s="359"/>
      <c r="N154" s="357"/>
      <c r="O154" s="358"/>
      <c r="P154" s="359"/>
      <c r="Q154" s="360"/>
      <c r="R154" s="361"/>
      <c r="S154" s="361"/>
      <c r="T154" s="361"/>
      <c r="U154" s="361"/>
      <c r="V154" s="362"/>
      <c r="W154" s="360"/>
      <c r="X154" s="361"/>
      <c r="Y154" s="361"/>
      <c r="Z154" s="361"/>
      <c r="AA154" s="361"/>
      <c r="AB154" s="362"/>
      <c r="AC154" s="354">
        <v>73741.8</v>
      </c>
      <c r="AD154" s="355"/>
      <c r="AE154" s="356"/>
    </row>
    <row r="155" spans="1:31" ht="14.45" customHeight="1" x14ac:dyDescent="0.25">
      <c r="A155" s="331" t="s">
        <v>355</v>
      </c>
      <c r="B155" s="342" t="s">
        <v>876</v>
      </c>
      <c r="C155" s="343"/>
      <c r="D155" s="343"/>
      <c r="E155" s="343"/>
      <c r="F155" s="343"/>
      <c r="G155" s="343"/>
      <c r="H155" s="343"/>
      <c r="I155" s="343"/>
      <c r="J155" s="343"/>
      <c r="K155" s="343"/>
      <c r="L155" s="343"/>
      <c r="M155" s="344"/>
      <c r="N155" s="342" t="s">
        <v>154</v>
      </c>
      <c r="O155" s="343"/>
      <c r="P155" s="344"/>
      <c r="Q155" s="345">
        <v>1</v>
      </c>
      <c r="R155" s="346"/>
      <c r="S155" s="346"/>
      <c r="T155" s="346"/>
      <c r="U155" s="346"/>
      <c r="V155" s="347"/>
      <c r="W155" s="348">
        <v>73741.8</v>
      </c>
      <c r="X155" s="349"/>
      <c r="Y155" s="349"/>
      <c r="Z155" s="349"/>
      <c r="AA155" s="349"/>
      <c r="AB155" s="350"/>
      <c r="AC155" s="336">
        <v>73741.8</v>
      </c>
      <c r="AD155" s="337"/>
      <c r="AE155" s="338"/>
    </row>
    <row r="156" spans="1:31" ht="14.45" customHeight="1" x14ac:dyDescent="0.25">
      <c r="A156" s="330" t="s">
        <v>356</v>
      </c>
      <c r="B156" s="357" t="s">
        <v>877</v>
      </c>
      <c r="C156" s="358"/>
      <c r="D156" s="358"/>
      <c r="E156" s="358"/>
      <c r="F156" s="358"/>
      <c r="G156" s="358"/>
      <c r="H156" s="358"/>
      <c r="I156" s="358"/>
      <c r="J156" s="358"/>
      <c r="K156" s="358"/>
      <c r="L156" s="358"/>
      <c r="M156" s="359"/>
      <c r="N156" s="357"/>
      <c r="O156" s="358"/>
      <c r="P156" s="359"/>
      <c r="Q156" s="360"/>
      <c r="R156" s="361"/>
      <c r="S156" s="361"/>
      <c r="T156" s="361"/>
      <c r="U156" s="361"/>
      <c r="V156" s="362"/>
      <c r="W156" s="360"/>
      <c r="X156" s="361"/>
      <c r="Y156" s="361"/>
      <c r="Z156" s="361"/>
      <c r="AA156" s="361"/>
      <c r="AB156" s="362"/>
      <c r="AC156" s="384">
        <v>147483.6</v>
      </c>
      <c r="AD156" s="385"/>
      <c r="AE156" s="386"/>
    </row>
    <row r="157" spans="1:31" ht="14.45" customHeight="1" x14ac:dyDescent="0.25">
      <c r="A157" s="331" t="s">
        <v>878</v>
      </c>
      <c r="B157" s="342" t="s">
        <v>877</v>
      </c>
      <c r="C157" s="343"/>
      <c r="D157" s="343"/>
      <c r="E157" s="343"/>
      <c r="F157" s="343"/>
      <c r="G157" s="343"/>
      <c r="H157" s="343"/>
      <c r="I157" s="343"/>
      <c r="J157" s="343"/>
      <c r="K157" s="343"/>
      <c r="L157" s="343"/>
      <c r="M157" s="344"/>
      <c r="N157" s="342" t="s">
        <v>154</v>
      </c>
      <c r="O157" s="343"/>
      <c r="P157" s="344"/>
      <c r="Q157" s="345">
        <v>1</v>
      </c>
      <c r="R157" s="346"/>
      <c r="S157" s="346"/>
      <c r="T157" s="346"/>
      <c r="U157" s="346"/>
      <c r="V157" s="347"/>
      <c r="W157" s="402">
        <v>147483.6</v>
      </c>
      <c r="X157" s="403"/>
      <c r="Y157" s="403"/>
      <c r="Z157" s="403"/>
      <c r="AA157" s="403"/>
      <c r="AB157" s="404"/>
      <c r="AC157" s="393">
        <v>147483.6</v>
      </c>
      <c r="AD157" s="394"/>
      <c r="AE157" s="395"/>
    </row>
    <row r="158" spans="1:31" ht="14.45" customHeight="1" x14ac:dyDescent="0.25">
      <c r="A158" s="330" t="s">
        <v>357</v>
      </c>
      <c r="B158" s="357" t="s">
        <v>145</v>
      </c>
      <c r="C158" s="358"/>
      <c r="D158" s="358"/>
      <c r="E158" s="358"/>
      <c r="F158" s="358"/>
      <c r="G158" s="358"/>
      <c r="H158" s="358"/>
      <c r="I158" s="358"/>
      <c r="J158" s="358"/>
      <c r="K158" s="358"/>
      <c r="L158" s="358"/>
      <c r="M158" s="359"/>
      <c r="N158" s="357"/>
      <c r="O158" s="358"/>
      <c r="P158" s="359"/>
      <c r="Q158" s="360"/>
      <c r="R158" s="361"/>
      <c r="S158" s="361"/>
      <c r="T158" s="361"/>
      <c r="U158" s="361"/>
      <c r="V158" s="362"/>
      <c r="W158" s="360"/>
      <c r="X158" s="361"/>
      <c r="Y158" s="361"/>
      <c r="Z158" s="361"/>
      <c r="AA158" s="361"/>
      <c r="AB158" s="362"/>
      <c r="AC158" s="384">
        <v>479321.7</v>
      </c>
      <c r="AD158" s="385"/>
      <c r="AE158" s="386"/>
    </row>
    <row r="159" spans="1:31" ht="14.45" customHeight="1" x14ac:dyDescent="0.25">
      <c r="A159" s="331" t="s">
        <v>358</v>
      </c>
      <c r="B159" s="342" t="s">
        <v>359</v>
      </c>
      <c r="C159" s="343"/>
      <c r="D159" s="343"/>
      <c r="E159" s="343"/>
      <c r="F159" s="343"/>
      <c r="G159" s="343"/>
      <c r="H159" s="343"/>
      <c r="I159" s="343"/>
      <c r="J159" s="343"/>
      <c r="K159" s="343"/>
      <c r="L159" s="343"/>
      <c r="M159" s="344"/>
      <c r="N159" s="342" t="s">
        <v>154</v>
      </c>
      <c r="O159" s="343"/>
      <c r="P159" s="344"/>
      <c r="Q159" s="345">
        <v>1</v>
      </c>
      <c r="R159" s="346"/>
      <c r="S159" s="346"/>
      <c r="T159" s="346"/>
      <c r="U159" s="346"/>
      <c r="V159" s="347"/>
      <c r="W159" s="402">
        <v>479321.7</v>
      </c>
      <c r="X159" s="403"/>
      <c r="Y159" s="403"/>
      <c r="Z159" s="403"/>
      <c r="AA159" s="403"/>
      <c r="AB159" s="404"/>
      <c r="AC159" s="393">
        <v>479321.7</v>
      </c>
      <c r="AD159" s="394"/>
      <c r="AE159" s="395"/>
    </row>
    <row r="160" spans="1:31" ht="14.45" customHeight="1" x14ac:dyDescent="0.25">
      <c r="A160" s="330" t="s">
        <v>360</v>
      </c>
      <c r="B160" s="357" t="s">
        <v>361</v>
      </c>
      <c r="C160" s="358"/>
      <c r="D160" s="358"/>
      <c r="E160" s="358"/>
      <c r="F160" s="358"/>
      <c r="G160" s="358"/>
      <c r="H160" s="358"/>
      <c r="I160" s="358"/>
      <c r="J160" s="358"/>
      <c r="K160" s="358"/>
      <c r="L160" s="358"/>
      <c r="M160" s="359"/>
      <c r="N160" s="357"/>
      <c r="O160" s="358"/>
      <c r="P160" s="359"/>
      <c r="Q160" s="360"/>
      <c r="R160" s="361"/>
      <c r="S160" s="361"/>
      <c r="T160" s="361"/>
      <c r="U160" s="361"/>
      <c r="V160" s="362"/>
      <c r="W160" s="360"/>
      <c r="X160" s="361"/>
      <c r="Y160" s="361"/>
      <c r="Z160" s="361"/>
      <c r="AA160" s="361"/>
      <c r="AB160" s="362"/>
      <c r="AC160" s="396">
        <v>1046810.21</v>
      </c>
      <c r="AD160" s="397"/>
      <c r="AE160" s="398"/>
    </row>
    <row r="161" spans="1:31" ht="14.45" customHeight="1" x14ac:dyDescent="0.25">
      <c r="A161" s="330" t="s">
        <v>362</v>
      </c>
      <c r="B161" s="357" t="s">
        <v>361</v>
      </c>
      <c r="C161" s="358"/>
      <c r="D161" s="358"/>
      <c r="E161" s="358"/>
      <c r="F161" s="358"/>
      <c r="G161" s="358"/>
      <c r="H161" s="358"/>
      <c r="I161" s="358"/>
      <c r="J161" s="358"/>
      <c r="K161" s="358"/>
      <c r="L161" s="358"/>
      <c r="M161" s="359"/>
      <c r="N161" s="357"/>
      <c r="O161" s="358"/>
      <c r="P161" s="359"/>
      <c r="Q161" s="360"/>
      <c r="R161" s="361"/>
      <c r="S161" s="361"/>
      <c r="T161" s="361"/>
      <c r="U161" s="361"/>
      <c r="V161" s="362"/>
      <c r="W161" s="360"/>
      <c r="X161" s="361"/>
      <c r="Y161" s="361"/>
      <c r="Z161" s="361"/>
      <c r="AA161" s="361"/>
      <c r="AB161" s="362"/>
      <c r="AC161" s="396">
        <v>1046810.21</v>
      </c>
      <c r="AD161" s="397"/>
      <c r="AE161" s="398"/>
    </row>
    <row r="162" spans="1:31" ht="14.45" customHeight="1" x14ac:dyDescent="0.25">
      <c r="A162" s="330" t="s">
        <v>363</v>
      </c>
      <c r="B162" s="357" t="s">
        <v>364</v>
      </c>
      <c r="C162" s="358"/>
      <c r="D162" s="358"/>
      <c r="E162" s="358"/>
      <c r="F162" s="358"/>
      <c r="G162" s="358"/>
      <c r="H162" s="358"/>
      <c r="I162" s="358"/>
      <c r="J162" s="358"/>
      <c r="K162" s="358"/>
      <c r="L162" s="358"/>
      <c r="M162" s="359"/>
      <c r="N162" s="357"/>
      <c r="O162" s="358"/>
      <c r="P162" s="359"/>
      <c r="Q162" s="360"/>
      <c r="R162" s="361"/>
      <c r="S162" s="361"/>
      <c r="T162" s="361"/>
      <c r="U162" s="361"/>
      <c r="V162" s="362"/>
      <c r="W162" s="360"/>
      <c r="X162" s="361"/>
      <c r="Y162" s="361"/>
      <c r="Z162" s="361"/>
      <c r="AA162" s="361"/>
      <c r="AB162" s="362"/>
      <c r="AC162" s="354">
        <v>23816.63</v>
      </c>
      <c r="AD162" s="355"/>
      <c r="AE162" s="356"/>
    </row>
    <row r="163" spans="1:31" ht="14.45" customHeight="1" x14ac:dyDescent="0.25">
      <c r="A163" s="331" t="s">
        <v>365</v>
      </c>
      <c r="B163" s="342" t="s">
        <v>366</v>
      </c>
      <c r="C163" s="343"/>
      <c r="D163" s="343"/>
      <c r="E163" s="343"/>
      <c r="F163" s="343"/>
      <c r="G163" s="343"/>
      <c r="H163" s="343"/>
      <c r="I163" s="343"/>
      <c r="J163" s="343"/>
      <c r="K163" s="343"/>
      <c r="L163" s="343"/>
      <c r="M163" s="344"/>
      <c r="N163" s="342" t="s">
        <v>154</v>
      </c>
      <c r="O163" s="343"/>
      <c r="P163" s="344"/>
      <c r="Q163" s="345">
        <v>1</v>
      </c>
      <c r="R163" s="346"/>
      <c r="S163" s="346"/>
      <c r="T163" s="346"/>
      <c r="U163" s="346"/>
      <c r="V163" s="347"/>
      <c r="W163" s="348">
        <v>23816.63</v>
      </c>
      <c r="X163" s="349"/>
      <c r="Y163" s="349"/>
      <c r="Z163" s="349"/>
      <c r="AA163" s="349"/>
      <c r="AB163" s="350"/>
      <c r="AC163" s="336">
        <v>23816.63</v>
      </c>
      <c r="AD163" s="337"/>
      <c r="AE163" s="338"/>
    </row>
    <row r="164" spans="1:31" ht="14.45" customHeight="1" x14ac:dyDescent="0.25">
      <c r="A164" s="330" t="s">
        <v>367</v>
      </c>
      <c r="B164" s="357" t="s">
        <v>369</v>
      </c>
      <c r="C164" s="358"/>
      <c r="D164" s="358"/>
      <c r="E164" s="358"/>
      <c r="F164" s="358"/>
      <c r="G164" s="358"/>
      <c r="H164" s="358"/>
      <c r="I164" s="358"/>
      <c r="J164" s="358"/>
      <c r="K164" s="358"/>
      <c r="L164" s="358"/>
      <c r="M164" s="359"/>
      <c r="N164" s="357"/>
      <c r="O164" s="358"/>
      <c r="P164" s="359"/>
      <c r="Q164" s="360"/>
      <c r="R164" s="361"/>
      <c r="S164" s="361"/>
      <c r="T164" s="361"/>
      <c r="U164" s="361"/>
      <c r="V164" s="362"/>
      <c r="W164" s="360"/>
      <c r="X164" s="361"/>
      <c r="Y164" s="361"/>
      <c r="Z164" s="361"/>
      <c r="AA164" s="361"/>
      <c r="AB164" s="362"/>
      <c r="AC164" s="354">
        <v>64781.71</v>
      </c>
      <c r="AD164" s="355"/>
      <c r="AE164" s="356"/>
    </row>
    <row r="165" spans="1:31" ht="14.45" customHeight="1" x14ac:dyDescent="0.25">
      <c r="A165" s="331" t="s">
        <v>879</v>
      </c>
      <c r="B165" s="342" t="s">
        <v>369</v>
      </c>
      <c r="C165" s="343"/>
      <c r="D165" s="343"/>
      <c r="E165" s="343"/>
      <c r="F165" s="343"/>
      <c r="G165" s="343"/>
      <c r="H165" s="343"/>
      <c r="I165" s="343"/>
      <c r="J165" s="343"/>
      <c r="K165" s="343"/>
      <c r="L165" s="343"/>
      <c r="M165" s="344"/>
      <c r="N165" s="342" t="s">
        <v>154</v>
      </c>
      <c r="O165" s="343"/>
      <c r="P165" s="344"/>
      <c r="Q165" s="345">
        <v>1</v>
      </c>
      <c r="R165" s="346"/>
      <c r="S165" s="346"/>
      <c r="T165" s="346"/>
      <c r="U165" s="346"/>
      <c r="V165" s="347"/>
      <c r="W165" s="348">
        <v>64781.71</v>
      </c>
      <c r="X165" s="349"/>
      <c r="Y165" s="349"/>
      <c r="Z165" s="349"/>
      <c r="AA165" s="349"/>
      <c r="AB165" s="350"/>
      <c r="AC165" s="336">
        <v>64781.71</v>
      </c>
      <c r="AD165" s="337"/>
      <c r="AE165" s="338"/>
    </row>
    <row r="166" spans="1:31" ht="14.45" customHeight="1" x14ac:dyDescent="0.25">
      <c r="A166" s="330" t="s">
        <v>368</v>
      </c>
      <c r="B166" s="357" t="s">
        <v>371</v>
      </c>
      <c r="C166" s="358"/>
      <c r="D166" s="358"/>
      <c r="E166" s="358"/>
      <c r="F166" s="358"/>
      <c r="G166" s="358"/>
      <c r="H166" s="358"/>
      <c r="I166" s="358"/>
      <c r="J166" s="358"/>
      <c r="K166" s="358"/>
      <c r="L166" s="358"/>
      <c r="M166" s="359"/>
      <c r="N166" s="357"/>
      <c r="O166" s="358"/>
      <c r="P166" s="359"/>
      <c r="Q166" s="360"/>
      <c r="R166" s="361"/>
      <c r="S166" s="361"/>
      <c r="T166" s="361"/>
      <c r="U166" s="361"/>
      <c r="V166" s="362"/>
      <c r="W166" s="360"/>
      <c r="X166" s="361"/>
      <c r="Y166" s="361"/>
      <c r="Z166" s="361"/>
      <c r="AA166" s="361"/>
      <c r="AB166" s="362"/>
      <c r="AC166" s="384">
        <v>147483.6</v>
      </c>
      <c r="AD166" s="385"/>
      <c r="AE166" s="386"/>
    </row>
    <row r="167" spans="1:31" ht="14.45" customHeight="1" x14ac:dyDescent="0.25">
      <c r="A167" s="331" t="s">
        <v>837</v>
      </c>
      <c r="B167" s="342" t="s">
        <v>371</v>
      </c>
      <c r="C167" s="343"/>
      <c r="D167" s="343"/>
      <c r="E167" s="343"/>
      <c r="F167" s="343"/>
      <c r="G167" s="343"/>
      <c r="H167" s="343"/>
      <c r="I167" s="343"/>
      <c r="J167" s="343"/>
      <c r="K167" s="343"/>
      <c r="L167" s="343"/>
      <c r="M167" s="344"/>
      <c r="N167" s="342" t="s">
        <v>154</v>
      </c>
      <c r="O167" s="343"/>
      <c r="P167" s="344"/>
      <c r="Q167" s="345">
        <v>1</v>
      </c>
      <c r="R167" s="346"/>
      <c r="S167" s="346"/>
      <c r="T167" s="346"/>
      <c r="U167" s="346"/>
      <c r="V167" s="347"/>
      <c r="W167" s="402">
        <v>147483.6</v>
      </c>
      <c r="X167" s="403"/>
      <c r="Y167" s="403"/>
      <c r="Z167" s="403"/>
      <c r="AA167" s="403"/>
      <c r="AB167" s="404"/>
      <c r="AC167" s="393">
        <v>147483.6</v>
      </c>
      <c r="AD167" s="394"/>
      <c r="AE167" s="395"/>
    </row>
    <row r="168" spans="1:31" ht="14.45" customHeight="1" x14ac:dyDescent="0.25">
      <c r="A168" s="330" t="s">
        <v>370</v>
      </c>
      <c r="B168" s="357" t="s">
        <v>374</v>
      </c>
      <c r="C168" s="358"/>
      <c r="D168" s="358"/>
      <c r="E168" s="358"/>
      <c r="F168" s="358"/>
      <c r="G168" s="358"/>
      <c r="H168" s="358"/>
      <c r="I168" s="358"/>
      <c r="J168" s="358"/>
      <c r="K168" s="358"/>
      <c r="L168" s="358"/>
      <c r="M168" s="359"/>
      <c r="N168" s="357"/>
      <c r="O168" s="358"/>
      <c r="P168" s="359"/>
      <c r="Q168" s="360"/>
      <c r="R168" s="361"/>
      <c r="S168" s="361"/>
      <c r="T168" s="361"/>
      <c r="U168" s="361"/>
      <c r="V168" s="362"/>
      <c r="W168" s="360"/>
      <c r="X168" s="361"/>
      <c r="Y168" s="361"/>
      <c r="Z168" s="361"/>
      <c r="AA168" s="361"/>
      <c r="AB168" s="362"/>
      <c r="AC168" s="354">
        <v>73741.8</v>
      </c>
      <c r="AD168" s="355"/>
      <c r="AE168" s="356"/>
    </row>
    <row r="169" spans="1:31" ht="14.45" customHeight="1" x14ac:dyDescent="0.25">
      <c r="A169" s="331" t="s">
        <v>372</v>
      </c>
      <c r="B169" s="342" t="s">
        <v>374</v>
      </c>
      <c r="C169" s="343"/>
      <c r="D169" s="343"/>
      <c r="E169" s="343"/>
      <c r="F169" s="343"/>
      <c r="G169" s="343"/>
      <c r="H169" s="343"/>
      <c r="I169" s="343"/>
      <c r="J169" s="343"/>
      <c r="K169" s="343"/>
      <c r="L169" s="343"/>
      <c r="M169" s="344"/>
      <c r="N169" s="342" t="s">
        <v>154</v>
      </c>
      <c r="O169" s="343"/>
      <c r="P169" s="344"/>
      <c r="Q169" s="345">
        <v>1</v>
      </c>
      <c r="R169" s="346"/>
      <c r="S169" s="346"/>
      <c r="T169" s="346"/>
      <c r="U169" s="346"/>
      <c r="V169" s="347"/>
      <c r="W169" s="348">
        <v>73741.8</v>
      </c>
      <c r="X169" s="349"/>
      <c r="Y169" s="349"/>
      <c r="Z169" s="349"/>
      <c r="AA169" s="349"/>
      <c r="AB169" s="350"/>
      <c r="AC169" s="336">
        <v>73741.8</v>
      </c>
      <c r="AD169" s="337"/>
      <c r="AE169" s="338"/>
    </row>
    <row r="170" spans="1:31" ht="14.45" customHeight="1" x14ac:dyDescent="0.25">
      <c r="A170" s="330" t="s">
        <v>373</v>
      </c>
      <c r="B170" s="357" t="s">
        <v>377</v>
      </c>
      <c r="C170" s="358"/>
      <c r="D170" s="358"/>
      <c r="E170" s="358"/>
      <c r="F170" s="358"/>
      <c r="G170" s="358"/>
      <c r="H170" s="358"/>
      <c r="I170" s="358"/>
      <c r="J170" s="358"/>
      <c r="K170" s="358"/>
      <c r="L170" s="358"/>
      <c r="M170" s="359"/>
      <c r="N170" s="357"/>
      <c r="O170" s="358"/>
      <c r="P170" s="359"/>
      <c r="Q170" s="360"/>
      <c r="R170" s="361"/>
      <c r="S170" s="361"/>
      <c r="T170" s="361"/>
      <c r="U170" s="361"/>
      <c r="V170" s="362"/>
      <c r="W170" s="360"/>
      <c r="X170" s="361"/>
      <c r="Y170" s="361"/>
      <c r="Z170" s="361"/>
      <c r="AA170" s="361"/>
      <c r="AB170" s="362"/>
      <c r="AC170" s="384">
        <v>145845.39000000001</v>
      </c>
      <c r="AD170" s="385"/>
      <c r="AE170" s="386"/>
    </row>
    <row r="171" spans="1:31" ht="14.45" customHeight="1" x14ac:dyDescent="0.25">
      <c r="A171" s="331" t="s">
        <v>375</v>
      </c>
      <c r="B171" s="342" t="s">
        <v>377</v>
      </c>
      <c r="C171" s="343"/>
      <c r="D171" s="343"/>
      <c r="E171" s="343"/>
      <c r="F171" s="343"/>
      <c r="G171" s="343"/>
      <c r="H171" s="343"/>
      <c r="I171" s="343"/>
      <c r="J171" s="343"/>
      <c r="K171" s="343"/>
      <c r="L171" s="343"/>
      <c r="M171" s="344"/>
      <c r="N171" s="342" t="s">
        <v>154</v>
      </c>
      <c r="O171" s="343"/>
      <c r="P171" s="344"/>
      <c r="Q171" s="345">
        <v>1</v>
      </c>
      <c r="R171" s="346"/>
      <c r="S171" s="346"/>
      <c r="T171" s="346"/>
      <c r="U171" s="346"/>
      <c r="V171" s="347"/>
      <c r="W171" s="402">
        <v>145845.39000000001</v>
      </c>
      <c r="X171" s="403"/>
      <c r="Y171" s="403"/>
      <c r="Z171" s="403"/>
      <c r="AA171" s="403"/>
      <c r="AB171" s="404"/>
      <c r="AC171" s="393">
        <v>145845.39000000001</v>
      </c>
      <c r="AD171" s="394"/>
      <c r="AE171" s="395"/>
    </row>
    <row r="172" spans="1:31" ht="14.45" customHeight="1" x14ac:dyDescent="0.25">
      <c r="A172" s="330" t="s">
        <v>376</v>
      </c>
      <c r="B172" s="357" t="s">
        <v>380</v>
      </c>
      <c r="C172" s="358"/>
      <c r="D172" s="358"/>
      <c r="E172" s="358"/>
      <c r="F172" s="358"/>
      <c r="G172" s="358"/>
      <c r="H172" s="358"/>
      <c r="I172" s="358"/>
      <c r="J172" s="358"/>
      <c r="K172" s="358"/>
      <c r="L172" s="358"/>
      <c r="M172" s="359"/>
      <c r="N172" s="357"/>
      <c r="O172" s="358"/>
      <c r="P172" s="359"/>
      <c r="Q172" s="360"/>
      <c r="R172" s="361"/>
      <c r="S172" s="361"/>
      <c r="T172" s="361"/>
      <c r="U172" s="361"/>
      <c r="V172" s="362"/>
      <c r="W172" s="360"/>
      <c r="X172" s="361"/>
      <c r="Y172" s="361"/>
      <c r="Z172" s="361"/>
      <c r="AA172" s="361"/>
      <c r="AB172" s="362"/>
      <c r="AC172" s="384">
        <v>135488.71</v>
      </c>
      <c r="AD172" s="385"/>
      <c r="AE172" s="386"/>
    </row>
    <row r="173" spans="1:31" ht="14.45" customHeight="1" x14ac:dyDescent="0.25">
      <c r="A173" s="331" t="s">
        <v>378</v>
      </c>
      <c r="B173" s="342" t="s">
        <v>380</v>
      </c>
      <c r="C173" s="343"/>
      <c r="D173" s="343"/>
      <c r="E173" s="343"/>
      <c r="F173" s="343"/>
      <c r="G173" s="343"/>
      <c r="H173" s="343"/>
      <c r="I173" s="343"/>
      <c r="J173" s="343"/>
      <c r="K173" s="343"/>
      <c r="L173" s="343"/>
      <c r="M173" s="344"/>
      <c r="N173" s="342" t="s">
        <v>154</v>
      </c>
      <c r="O173" s="343"/>
      <c r="P173" s="344"/>
      <c r="Q173" s="345">
        <v>1</v>
      </c>
      <c r="R173" s="346"/>
      <c r="S173" s="346"/>
      <c r="T173" s="346"/>
      <c r="U173" s="346"/>
      <c r="V173" s="347"/>
      <c r="W173" s="402">
        <v>135488.71</v>
      </c>
      <c r="X173" s="403"/>
      <c r="Y173" s="403"/>
      <c r="Z173" s="403"/>
      <c r="AA173" s="403"/>
      <c r="AB173" s="404"/>
      <c r="AC173" s="393">
        <v>135488.71</v>
      </c>
      <c r="AD173" s="394"/>
      <c r="AE173" s="395"/>
    </row>
    <row r="174" spans="1:31" ht="14.45" customHeight="1" x14ac:dyDescent="0.25">
      <c r="A174" s="330" t="s">
        <v>379</v>
      </c>
      <c r="B174" s="357" t="s">
        <v>383</v>
      </c>
      <c r="C174" s="358"/>
      <c r="D174" s="358"/>
      <c r="E174" s="358"/>
      <c r="F174" s="358"/>
      <c r="G174" s="358"/>
      <c r="H174" s="358"/>
      <c r="I174" s="358"/>
      <c r="J174" s="358"/>
      <c r="K174" s="358"/>
      <c r="L174" s="358"/>
      <c r="M174" s="359"/>
      <c r="N174" s="357"/>
      <c r="O174" s="358"/>
      <c r="P174" s="359"/>
      <c r="Q174" s="360"/>
      <c r="R174" s="361"/>
      <c r="S174" s="361"/>
      <c r="T174" s="361"/>
      <c r="U174" s="361"/>
      <c r="V174" s="362"/>
      <c r="W174" s="360"/>
      <c r="X174" s="361"/>
      <c r="Y174" s="361"/>
      <c r="Z174" s="361"/>
      <c r="AA174" s="361"/>
      <c r="AB174" s="362"/>
      <c r="AC174" s="354">
        <v>13201.57</v>
      </c>
      <c r="AD174" s="355"/>
      <c r="AE174" s="356"/>
    </row>
    <row r="175" spans="1:31" ht="14.45" customHeight="1" x14ac:dyDescent="0.25">
      <c r="A175" s="331" t="s">
        <v>381</v>
      </c>
      <c r="B175" s="342" t="s">
        <v>385</v>
      </c>
      <c r="C175" s="343"/>
      <c r="D175" s="343"/>
      <c r="E175" s="343"/>
      <c r="F175" s="343"/>
      <c r="G175" s="343"/>
      <c r="H175" s="343"/>
      <c r="I175" s="343"/>
      <c r="J175" s="343"/>
      <c r="K175" s="343"/>
      <c r="L175" s="343"/>
      <c r="M175" s="344"/>
      <c r="N175" s="342" t="s">
        <v>154</v>
      </c>
      <c r="O175" s="343"/>
      <c r="P175" s="344"/>
      <c r="Q175" s="345">
        <v>1</v>
      </c>
      <c r="R175" s="346"/>
      <c r="S175" s="346"/>
      <c r="T175" s="346"/>
      <c r="U175" s="346"/>
      <c r="V175" s="347"/>
      <c r="W175" s="348">
        <v>13201.57</v>
      </c>
      <c r="X175" s="349"/>
      <c r="Y175" s="349"/>
      <c r="Z175" s="349"/>
      <c r="AA175" s="349"/>
      <c r="AB175" s="350"/>
      <c r="AC175" s="336">
        <v>13201.57</v>
      </c>
      <c r="AD175" s="337"/>
      <c r="AE175" s="338"/>
    </row>
    <row r="176" spans="1:31" ht="14.45" customHeight="1" x14ac:dyDescent="0.25">
      <c r="A176" s="330" t="s">
        <v>382</v>
      </c>
      <c r="B176" s="357" t="s">
        <v>145</v>
      </c>
      <c r="C176" s="358"/>
      <c r="D176" s="358"/>
      <c r="E176" s="358"/>
      <c r="F176" s="358"/>
      <c r="G176" s="358"/>
      <c r="H176" s="358"/>
      <c r="I176" s="358"/>
      <c r="J176" s="358"/>
      <c r="K176" s="358"/>
      <c r="L176" s="358"/>
      <c r="M176" s="359"/>
      <c r="N176" s="357"/>
      <c r="O176" s="358"/>
      <c r="P176" s="359"/>
      <c r="Q176" s="360"/>
      <c r="R176" s="361"/>
      <c r="S176" s="361"/>
      <c r="T176" s="361"/>
      <c r="U176" s="361"/>
      <c r="V176" s="362"/>
      <c r="W176" s="360"/>
      <c r="X176" s="361"/>
      <c r="Y176" s="361"/>
      <c r="Z176" s="361"/>
      <c r="AA176" s="361"/>
      <c r="AB176" s="362"/>
      <c r="AC176" s="384">
        <v>442450.8</v>
      </c>
      <c r="AD176" s="385"/>
      <c r="AE176" s="386"/>
    </row>
    <row r="177" spans="1:31" ht="14.45" customHeight="1" x14ac:dyDescent="0.25">
      <c r="A177" s="331" t="s">
        <v>384</v>
      </c>
      <c r="B177" s="342" t="s">
        <v>386</v>
      </c>
      <c r="C177" s="343"/>
      <c r="D177" s="343"/>
      <c r="E177" s="343"/>
      <c r="F177" s="343"/>
      <c r="G177" s="343"/>
      <c r="H177" s="343"/>
      <c r="I177" s="343"/>
      <c r="J177" s="343"/>
      <c r="K177" s="343"/>
      <c r="L177" s="343"/>
      <c r="M177" s="344"/>
      <c r="N177" s="342" t="s">
        <v>154</v>
      </c>
      <c r="O177" s="343"/>
      <c r="P177" s="344"/>
      <c r="Q177" s="345">
        <v>1</v>
      </c>
      <c r="R177" s="346"/>
      <c r="S177" s="346"/>
      <c r="T177" s="346"/>
      <c r="U177" s="346"/>
      <c r="V177" s="347"/>
      <c r="W177" s="402">
        <v>442450.8</v>
      </c>
      <c r="X177" s="403"/>
      <c r="Y177" s="403"/>
      <c r="Z177" s="403"/>
      <c r="AA177" s="403"/>
      <c r="AB177" s="404"/>
      <c r="AC177" s="393">
        <v>442450.8</v>
      </c>
      <c r="AD177" s="394"/>
      <c r="AE177" s="395"/>
    </row>
    <row r="178" spans="1:31" ht="14.45" customHeight="1" x14ac:dyDescent="0.25">
      <c r="A178" s="330" t="s">
        <v>387</v>
      </c>
      <c r="B178" s="357" t="s">
        <v>880</v>
      </c>
      <c r="C178" s="358"/>
      <c r="D178" s="358"/>
      <c r="E178" s="358"/>
      <c r="F178" s="358"/>
      <c r="G178" s="358"/>
      <c r="H178" s="358"/>
      <c r="I178" s="358"/>
      <c r="J178" s="358"/>
      <c r="K178" s="358"/>
      <c r="L178" s="358"/>
      <c r="M178" s="359"/>
      <c r="N178" s="357"/>
      <c r="O178" s="358"/>
      <c r="P178" s="359"/>
      <c r="Q178" s="360"/>
      <c r="R178" s="361"/>
      <c r="S178" s="361"/>
      <c r="T178" s="361"/>
      <c r="U178" s="361"/>
      <c r="V178" s="362"/>
      <c r="W178" s="360"/>
      <c r="X178" s="361"/>
      <c r="Y178" s="361"/>
      <c r="Z178" s="361"/>
      <c r="AA178" s="361"/>
      <c r="AB178" s="362"/>
      <c r="AC178" s="384">
        <v>350445.22</v>
      </c>
      <c r="AD178" s="385"/>
      <c r="AE178" s="386"/>
    </row>
    <row r="179" spans="1:31" ht="14.45" customHeight="1" x14ac:dyDescent="0.25">
      <c r="A179" s="330" t="s">
        <v>388</v>
      </c>
      <c r="B179" s="357" t="s">
        <v>880</v>
      </c>
      <c r="C179" s="358"/>
      <c r="D179" s="358"/>
      <c r="E179" s="358"/>
      <c r="F179" s="358"/>
      <c r="G179" s="358"/>
      <c r="H179" s="358"/>
      <c r="I179" s="358"/>
      <c r="J179" s="358"/>
      <c r="K179" s="358"/>
      <c r="L179" s="358"/>
      <c r="M179" s="359"/>
      <c r="N179" s="357"/>
      <c r="O179" s="358"/>
      <c r="P179" s="359"/>
      <c r="Q179" s="360"/>
      <c r="R179" s="361"/>
      <c r="S179" s="361"/>
      <c r="T179" s="361"/>
      <c r="U179" s="361"/>
      <c r="V179" s="362"/>
      <c r="W179" s="360"/>
      <c r="X179" s="361"/>
      <c r="Y179" s="361"/>
      <c r="Z179" s="361"/>
      <c r="AA179" s="361"/>
      <c r="AB179" s="362"/>
      <c r="AC179" s="384">
        <v>350445.22</v>
      </c>
      <c r="AD179" s="385"/>
      <c r="AE179" s="386"/>
    </row>
    <row r="180" spans="1:31" ht="14.45" customHeight="1" x14ac:dyDescent="0.25">
      <c r="A180" s="330" t="s">
        <v>389</v>
      </c>
      <c r="B180" s="357" t="s">
        <v>881</v>
      </c>
      <c r="C180" s="358"/>
      <c r="D180" s="358"/>
      <c r="E180" s="358"/>
      <c r="F180" s="358"/>
      <c r="G180" s="358"/>
      <c r="H180" s="358"/>
      <c r="I180" s="358"/>
      <c r="J180" s="358"/>
      <c r="K180" s="358"/>
      <c r="L180" s="358"/>
      <c r="M180" s="359"/>
      <c r="N180" s="357"/>
      <c r="O180" s="358"/>
      <c r="P180" s="359"/>
      <c r="Q180" s="360"/>
      <c r="R180" s="361"/>
      <c r="S180" s="361"/>
      <c r="T180" s="361"/>
      <c r="U180" s="361"/>
      <c r="V180" s="362"/>
      <c r="W180" s="360"/>
      <c r="X180" s="361"/>
      <c r="Y180" s="361"/>
      <c r="Z180" s="361"/>
      <c r="AA180" s="361"/>
      <c r="AB180" s="362"/>
      <c r="AC180" s="354">
        <v>73741.8</v>
      </c>
      <c r="AD180" s="355"/>
      <c r="AE180" s="356"/>
    </row>
    <row r="181" spans="1:31" ht="14.45" customHeight="1" x14ac:dyDescent="0.25">
      <c r="A181" s="331" t="s">
        <v>390</v>
      </c>
      <c r="B181" s="342" t="s">
        <v>882</v>
      </c>
      <c r="C181" s="343"/>
      <c r="D181" s="343"/>
      <c r="E181" s="343"/>
      <c r="F181" s="343"/>
      <c r="G181" s="343"/>
      <c r="H181" s="343"/>
      <c r="I181" s="343"/>
      <c r="J181" s="343"/>
      <c r="K181" s="343"/>
      <c r="L181" s="343"/>
      <c r="M181" s="344"/>
      <c r="N181" s="342" t="s">
        <v>154</v>
      </c>
      <c r="O181" s="343"/>
      <c r="P181" s="344"/>
      <c r="Q181" s="345">
        <v>1</v>
      </c>
      <c r="R181" s="346"/>
      <c r="S181" s="346"/>
      <c r="T181" s="346"/>
      <c r="U181" s="346"/>
      <c r="V181" s="347"/>
      <c r="W181" s="348">
        <v>73741.8</v>
      </c>
      <c r="X181" s="349"/>
      <c r="Y181" s="349"/>
      <c r="Z181" s="349"/>
      <c r="AA181" s="349"/>
      <c r="AB181" s="350"/>
      <c r="AC181" s="336">
        <v>73741.8</v>
      </c>
      <c r="AD181" s="337"/>
      <c r="AE181" s="338"/>
    </row>
    <row r="182" spans="1:31" ht="14.45" customHeight="1" x14ac:dyDescent="0.25">
      <c r="A182" s="330" t="s">
        <v>391</v>
      </c>
      <c r="B182" s="357" t="s">
        <v>394</v>
      </c>
      <c r="C182" s="358"/>
      <c r="D182" s="358"/>
      <c r="E182" s="358"/>
      <c r="F182" s="358"/>
      <c r="G182" s="358"/>
      <c r="H182" s="358"/>
      <c r="I182" s="358"/>
      <c r="J182" s="358"/>
      <c r="K182" s="358"/>
      <c r="L182" s="358"/>
      <c r="M182" s="359"/>
      <c r="N182" s="357"/>
      <c r="O182" s="358"/>
      <c r="P182" s="359"/>
      <c r="Q182" s="360"/>
      <c r="R182" s="361"/>
      <c r="S182" s="361"/>
      <c r="T182" s="361"/>
      <c r="U182" s="361"/>
      <c r="V182" s="362"/>
      <c r="W182" s="360"/>
      <c r="X182" s="361"/>
      <c r="Y182" s="361"/>
      <c r="Z182" s="361"/>
      <c r="AA182" s="361"/>
      <c r="AB182" s="362"/>
      <c r="AC182" s="354">
        <v>73741.8</v>
      </c>
      <c r="AD182" s="355"/>
      <c r="AE182" s="356"/>
    </row>
    <row r="183" spans="1:31" ht="14.45" customHeight="1" x14ac:dyDescent="0.25">
      <c r="A183" s="331" t="s">
        <v>392</v>
      </c>
      <c r="B183" s="342" t="s">
        <v>394</v>
      </c>
      <c r="C183" s="343"/>
      <c r="D183" s="343"/>
      <c r="E183" s="343"/>
      <c r="F183" s="343"/>
      <c r="G183" s="343"/>
      <c r="H183" s="343"/>
      <c r="I183" s="343"/>
      <c r="J183" s="343"/>
      <c r="K183" s="343"/>
      <c r="L183" s="343"/>
      <c r="M183" s="344"/>
      <c r="N183" s="342" t="s">
        <v>154</v>
      </c>
      <c r="O183" s="343"/>
      <c r="P183" s="344"/>
      <c r="Q183" s="345">
        <v>1</v>
      </c>
      <c r="R183" s="346"/>
      <c r="S183" s="346"/>
      <c r="T183" s="346"/>
      <c r="U183" s="346"/>
      <c r="V183" s="347"/>
      <c r="W183" s="348">
        <v>73741.8</v>
      </c>
      <c r="X183" s="349"/>
      <c r="Y183" s="349"/>
      <c r="Z183" s="349"/>
      <c r="AA183" s="349"/>
      <c r="AB183" s="350"/>
      <c r="AC183" s="336">
        <v>73741.8</v>
      </c>
      <c r="AD183" s="337"/>
      <c r="AE183" s="338"/>
    </row>
    <row r="184" spans="1:31" ht="14.45" customHeight="1" x14ac:dyDescent="0.25">
      <c r="A184" s="330" t="s">
        <v>393</v>
      </c>
      <c r="B184" s="357" t="s">
        <v>883</v>
      </c>
      <c r="C184" s="358"/>
      <c r="D184" s="358"/>
      <c r="E184" s="358"/>
      <c r="F184" s="358"/>
      <c r="G184" s="358"/>
      <c r="H184" s="358"/>
      <c r="I184" s="358"/>
      <c r="J184" s="358"/>
      <c r="K184" s="358"/>
      <c r="L184" s="358"/>
      <c r="M184" s="359"/>
      <c r="N184" s="357"/>
      <c r="O184" s="358"/>
      <c r="P184" s="359"/>
      <c r="Q184" s="360"/>
      <c r="R184" s="361"/>
      <c r="S184" s="361"/>
      <c r="T184" s="361"/>
      <c r="U184" s="361"/>
      <c r="V184" s="362"/>
      <c r="W184" s="360"/>
      <c r="X184" s="361"/>
      <c r="Y184" s="361"/>
      <c r="Z184" s="361"/>
      <c r="AA184" s="361"/>
      <c r="AB184" s="362"/>
      <c r="AC184" s="354">
        <v>84974.74</v>
      </c>
      <c r="AD184" s="355"/>
      <c r="AE184" s="356"/>
    </row>
    <row r="185" spans="1:31" ht="14.45" customHeight="1" x14ac:dyDescent="0.25">
      <c r="A185" s="331" t="s">
        <v>395</v>
      </c>
      <c r="B185" s="342" t="s">
        <v>883</v>
      </c>
      <c r="C185" s="343"/>
      <c r="D185" s="343"/>
      <c r="E185" s="343"/>
      <c r="F185" s="343"/>
      <c r="G185" s="343"/>
      <c r="H185" s="343"/>
      <c r="I185" s="343"/>
      <c r="J185" s="343"/>
      <c r="K185" s="343"/>
      <c r="L185" s="343"/>
      <c r="M185" s="344"/>
      <c r="N185" s="342" t="s">
        <v>154</v>
      </c>
      <c r="O185" s="343"/>
      <c r="P185" s="344"/>
      <c r="Q185" s="345">
        <v>1</v>
      </c>
      <c r="R185" s="346"/>
      <c r="S185" s="346"/>
      <c r="T185" s="346"/>
      <c r="U185" s="346"/>
      <c r="V185" s="347"/>
      <c r="W185" s="348">
        <v>84974.74</v>
      </c>
      <c r="X185" s="349"/>
      <c r="Y185" s="349"/>
      <c r="Z185" s="349"/>
      <c r="AA185" s="349"/>
      <c r="AB185" s="350"/>
      <c r="AC185" s="336">
        <v>84974.74</v>
      </c>
      <c r="AD185" s="337"/>
      <c r="AE185" s="338"/>
    </row>
    <row r="186" spans="1:31" ht="14.45" customHeight="1" x14ac:dyDescent="0.25">
      <c r="A186" s="330" t="s">
        <v>396</v>
      </c>
      <c r="B186" s="357" t="s">
        <v>145</v>
      </c>
      <c r="C186" s="358"/>
      <c r="D186" s="358"/>
      <c r="E186" s="358"/>
      <c r="F186" s="358"/>
      <c r="G186" s="358"/>
      <c r="H186" s="358"/>
      <c r="I186" s="358"/>
      <c r="J186" s="358"/>
      <c r="K186" s="358"/>
      <c r="L186" s="358"/>
      <c r="M186" s="359"/>
      <c r="N186" s="357"/>
      <c r="O186" s="358"/>
      <c r="P186" s="359"/>
      <c r="Q186" s="360"/>
      <c r="R186" s="361"/>
      <c r="S186" s="361"/>
      <c r="T186" s="361"/>
      <c r="U186" s="361"/>
      <c r="V186" s="362"/>
      <c r="W186" s="360"/>
      <c r="X186" s="361"/>
      <c r="Y186" s="361"/>
      <c r="Z186" s="361"/>
      <c r="AA186" s="361"/>
      <c r="AB186" s="362"/>
      <c r="AC186" s="384">
        <v>117986.88</v>
      </c>
      <c r="AD186" s="385"/>
      <c r="AE186" s="386"/>
    </row>
    <row r="187" spans="1:31" ht="14.45" customHeight="1" x14ac:dyDescent="0.25">
      <c r="A187" s="331" t="s">
        <v>397</v>
      </c>
      <c r="B187" s="342" t="s">
        <v>884</v>
      </c>
      <c r="C187" s="343"/>
      <c r="D187" s="343"/>
      <c r="E187" s="343"/>
      <c r="F187" s="343"/>
      <c r="G187" s="343"/>
      <c r="H187" s="343"/>
      <c r="I187" s="343"/>
      <c r="J187" s="343"/>
      <c r="K187" s="343"/>
      <c r="L187" s="343"/>
      <c r="M187" s="344"/>
      <c r="N187" s="342" t="s">
        <v>154</v>
      </c>
      <c r="O187" s="343"/>
      <c r="P187" s="344"/>
      <c r="Q187" s="345">
        <v>1</v>
      </c>
      <c r="R187" s="346"/>
      <c r="S187" s="346"/>
      <c r="T187" s="346"/>
      <c r="U187" s="346"/>
      <c r="V187" s="347"/>
      <c r="W187" s="402">
        <v>117986.88</v>
      </c>
      <c r="X187" s="403"/>
      <c r="Y187" s="403"/>
      <c r="Z187" s="403"/>
      <c r="AA187" s="403"/>
      <c r="AB187" s="404"/>
      <c r="AC187" s="393">
        <v>117986.88</v>
      </c>
      <c r="AD187" s="394"/>
      <c r="AE187" s="395"/>
    </row>
    <row r="188" spans="1:31" ht="14.45" customHeight="1" x14ac:dyDescent="0.25">
      <c r="A188" s="330" t="s">
        <v>398</v>
      </c>
      <c r="B188" s="357" t="s">
        <v>403</v>
      </c>
      <c r="C188" s="358"/>
      <c r="D188" s="358"/>
      <c r="E188" s="358"/>
      <c r="F188" s="358"/>
      <c r="G188" s="358"/>
      <c r="H188" s="358"/>
      <c r="I188" s="358"/>
      <c r="J188" s="358"/>
      <c r="K188" s="358"/>
      <c r="L188" s="358"/>
      <c r="M188" s="359"/>
      <c r="N188" s="357"/>
      <c r="O188" s="358"/>
      <c r="P188" s="359"/>
      <c r="Q188" s="360"/>
      <c r="R188" s="361"/>
      <c r="S188" s="361"/>
      <c r="T188" s="361"/>
      <c r="U188" s="361"/>
      <c r="V188" s="362"/>
      <c r="W188" s="360"/>
      <c r="X188" s="361"/>
      <c r="Y188" s="361"/>
      <c r="Z188" s="361"/>
      <c r="AA188" s="361"/>
      <c r="AB188" s="362"/>
      <c r="AC188" s="384">
        <v>145376.22</v>
      </c>
      <c r="AD188" s="385"/>
      <c r="AE188" s="386"/>
    </row>
    <row r="189" spans="1:31" ht="14.45" customHeight="1" x14ac:dyDescent="0.25">
      <c r="A189" s="330" t="s">
        <v>399</v>
      </c>
      <c r="B189" s="357" t="s">
        <v>403</v>
      </c>
      <c r="C189" s="358"/>
      <c r="D189" s="358"/>
      <c r="E189" s="358"/>
      <c r="F189" s="358"/>
      <c r="G189" s="358"/>
      <c r="H189" s="358"/>
      <c r="I189" s="358"/>
      <c r="J189" s="358"/>
      <c r="K189" s="358"/>
      <c r="L189" s="358"/>
      <c r="M189" s="359"/>
      <c r="N189" s="357"/>
      <c r="O189" s="358"/>
      <c r="P189" s="359"/>
      <c r="Q189" s="360"/>
      <c r="R189" s="361"/>
      <c r="S189" s="361"/>
      <c r="T189" s="361"/>
      <c r="U189" s="361"/>
      <c r="V189" s="362"/>
      <c r="W189" s="360"/>
      <c r="X189" s="361"/>
      <c r="Y189" s="361"/>
      <c r="Z189" s="361"/>
      <c r="AA189" s="361"/>
      <c r="AB189" s="362"/>
      <c r="AC189" s="384">
        <v>145376.22</v>
      </c>
      <c r="AD189" s="385"/>
      <c r="AE189" s="386"/>
    </row>
    <row r="190" spans="1:31" ht="14.45" customHeight="1" x14ac:dyDescent="0.25">
      <c r="A190" s="330" t="s">
        <v>400</v>
      </c>
      <c r="B190" s="357" t="s">
        <v>406</v>
      </c>
      <c r="C190" s="358"/>
      <c r="D190" s="358"/>
      <c r="E190" s="358"/>
      <c r="F190" s="358"/>
      <c r="G190" s="358"/>
      <c r="H190" s="358"/>
      <c r="I190" s="358"/>
      <c r="J190" s="358"/>
      <c r="K190" s="358"/>
      <c r="L190" s="358"/>
      <c r="M190" s="359"/>
      <c r="N190" s="357"/>
      <c r="O190" s="358"/>
      <c r="P190" s="359"/>
      <c r="Q190" s="360"/>
      <c r="R190" s="361"/>
      <c r="S190" s="361"/>
      <c r="T190" s="361"/>
      <c r="U190" s="361"/>
      <c r="V190" s="362"/>
      <c r="W190" s="360"/>
      <c r="X190" s="361"/>
      <c r="Y190" s="361"/>
      <c r="Z190" s="361"/>
      <c r="AA190" s="361"/>
      <c r="AB190" s="362"/>
      <c r="AC190" s="354">
        <v>62740.68</v>
      </c>
      <c r="AD190" s="355"/>
      <c r="AE190" s="356"/>
    </row>
    <row r="191" spans="1:31" ht="14.45" customHeight="1" x14ac:dyDescent="0.25">
      <c r="A191" s="331" t="s">
        <v>885</v>
      </c>
      <c r="B191" s="342" t="s">
        <v>886</v>
      </c>
      <c r="C191" s="343"/>
      <c r="D191" s="343"/>
      <c r="E191" s="343"/>
      <c r="F191" s="343"/>
      <c r="G191" s="343"/>
      <c r="H191" s="343"/>
      <c r="I191" s="343"/>
      <c r="J191" s="343"/>
      <c r="K191" s="343"/>
      <c r="L191" s="343"/>
      <c r="M191" s="344"/>
      <c r="N191" s="342" t="s">
        <v>154</v>
      </c>
      <c r="O191" s="343"/>
      <c r="P191" s="344"/>
      <c r="Q191" s="345">
        <v>1</v>
      </c>
      <c r="R191" s="346"/>
      <c r="S191" s="346"/>
      <c r="T191" s="346"/>
      <c r="U191" s="346"/>
      <c r="V191" s="347"/>
      <c r="W191" s="348">
        <v>62740.68</v>
      </c>
      <c r="X191" s="349"/>
      <c r="Y191" s="349"/>
      <c r="Z191" s="349"/>
      <c r="AA191" s="349"/>
      <c r="AB191" s="350"/>
      <c r="AC191" s="336">
        <v>62740.68</v>
      </c>
      <c r="AD191" s="337"/>
      <c r="AE191" s="338"/>
    </row>
    <row r="192" spans="1:31" ht="14.45" customHeight="1" x14ac:dyDescent="0.25">
      <c r="A192" s="330" t="s">
        <v>401</v>
      </c>
      <c r="B192" s="357" t="s">
        <v>410</v>
      </c>
      <c r="C192" s="358"/>
      <c r="D192" s="358"/>
      <c r="E192" s="358"/>
      <c r="F192" s="358"/>
      <c r="G192" s="358"/>
      <c r="H192" s="358"/>
      <c r="I192" s="358"/>
      <c r="J192" s="358"/>
      <c r="K192" s="358"/>
      <c r="L192" s="358"/>
      <c r="M192" s="359"/>
      <c r="N192" s="357"/>
      <c r="O192" s="358"/>
      <c r="P192" s="359"/>
      <c r="Q192" s="360"/>
      <c r="R192" s="361"/>
      <c r="S192" s="361"/>
      <c r="T192" s="361"/>
      <c r="U192" s="361"/>
      <c r="V192" s="362"/>
      <c r="W192" s="360"/>
      <c r="X192" s="361"/>
      <c r="Y192" s="361"/>
      <c r="Z192" s="361"/>
      <c r="AA192" s="361"/>
      <c r="AB192" s="362"/>
      <c r="AC192" s="354">
        <v>82635.539999999994</v>
      </c>
      <c r="AD192" s="355"/>
      <c r="AE192" s="356"/>
    </row>
    <row r="193" spans="1:31" ht="14.45" customHeight="1" x14ac:dyDescent="0.25">
      <c r="A193" s="331" t="s">
        <v>887</v>
      </c>
      <c r="B193" s="342" t="s">
        <v>410</v>
      </c>
      <c r="C193" s="343"/>
      <c r="D193" s="343"/>
      <c r="E193" s="343"/>
      <c r="F193" s="343"/>
      <c r="G193" s="343"/>
      <c r="H193" s="343"/>
      <c r="I193" s="343"/>
      <c r="J193" s="343"/>
      <c r="K193" s="343"/>
      <c r="L193" s="343"/>
      <c r="M193" s="344"/>
      <c r="N193" s="342" t="s">
        <v>154</v>
      </c>
      <c r="O193" s="343"/>
      <c r="P193" s="344"/>
      <c r="Q193" s="345">
        <v>1</v>
      </c>
      <c r="R193" s="346"/>
      <c r="S193" s="346"/>
      <c r="T193" s="346"/>
      <c r="U193" s="346"/>
      <c r="V193" s="347"/>
      <c r="W193" s="348">
        <v>82635.539999999994</v>
      </c>
      <c r="X193" s="349"/>
      <c r="Y193" s="349"/>
      <c r="Z193" s="349"/>
      <c r="AA193" s="349"/>
      <c r="AB193" s="350"/>
      <c r="AC193" s="336">
        <v>82635.539999999994</v>
      </c>
      <c r="AD193" s="337"/>
      <c r="AE193" s="338"/>
    </row>
    <row r="194" spans="1:31" ht="14.45" customHeight="1" x14ac:dyDescent="0.25">
      <c r="A194" s="330" t="s">
        <v>402</v>
      </c>
      <c r="B194" s="357" t="s">
        <v>23</v>
      </c>
      <c r="C194" s="358"/>
      <c r="D194" s="358"/>
      <c r="E194" s="358"/>
      <c r="F194" s="358"/>
      <c r="G194" s="358"/>
      <c r="H194" s="358"/>
      <c r="I194" s="358"/>
      <c r="J194" s="358"/>
      <c r="K194" s="358"/>
      <c r="L194" s="358"/>
      <c r="M194" s="359"/>
      <c r="N194" s="357"/>
      <c r="O194" s="358"/>
      <c r="P194" s="359"/>
      <c r="Q194" s="360"/>
      <c r="R194" s="361"/>
      <c r="S194" s="361"/>
      <c r="T194" s="361"/>
      <c r="U194" s="361"/>
      <c r="V194" s="362"/>
      <c r="W194" s="360"/>
      <c r="X194" s="361"/>
      <c r="Y194" s="361"/>
      <c r="Z194" s="361"/>
      <c r="AA194" s="361"/>
      <c r="AB194" s="362"/>
      <c r="AC194" s="384">
        <v>817781.32</v>
      </c>
      <c r="AD194" s="385"/>
      <c r="AE194" s="386"/>
    </row>
    <row r="195" spans="1:31" ht="14.45" customHeight="1" x14ac:dyDescent="0.25">
      <c r="A195" s="330" t="s">
        <v>404</v>
      </c>
      <c r="B195" s="357" t="s">
        <v>805</v>
      </c>
      <c r="C195" s="358"/>
      <c r="D195" s="358"/>
      <c r="E195" s="358"/>
      <c r="F195" s="358"/>
      <c r="G195" s="358"/>
      <c r="H195" s="358"/>
      <c r="I195" s="358"/>
      <c r="J195" s="358"/>
      <c r="K195" s="358"/>
      <c r="L195" s="358"/>
      <c r="M195" s="359"/>
      <c r="N195" s="357"/>
      <c r="O195" s="358"/>
      <c r="P195" s="359"/>
      <c r="Q195" s="360"/>
      <c r="R195" s="361"/>
      <c r="S195" s="361"/>
      <c r="T195" s="361"/>
      <c r="U195" s="361"/>
      <c r="V195" s="362"/>
      <c r="W195" s="360"/>
      <c r="X195" s="361"/>
      <c r="Y195" s="361"/>
      <c r="Z195" s="361"/>
      <c r="AA195" s="361"/>
      <c r="AB195" s="362"/>
      <c r="AC195" s="384">
        <v>789131.45</v>
      </c>
      <c r="AD195" s="385"/>
      <c r="AE195" s="386"/>
    </row>
    <row r="196" spans="1:31" ht="14.45" customHeight="1" x14ac:dyDescent="0.25">
      <c r="A196" s="330" t="s">
        <v>405</v>
      </c>
      <c r="B196" s="357" t="s">
        <v>417</v>
      </c>
      <c r="C196" s="358"/>
      <c r="D196" s="358"/>
      <c r="E196" s="358"/>
      <c r="F196" s="358"/>
      <c r="G196" s="358"/>
      <c r="H196" s="358"/>
      <c r="I196" s="358"/>
      <c r="J196" s="358"/>
      <c r="K196" s="358"/>
      <c r="L196" s="358"/>
      <c r="M196" s="359"/>
      <c r="N196" s="357"/>
      <c r="O196" s="358"/>
      <c r="P196" s="359"/>
      <c r="Q196" s="360"/>
      <c r="R196" s="361"/>
      <c r="S196" s="361"/>
      <c r="T196" s="361"/>
      <c r="U196" s="361"/>
      <c r="V196" s="362"/>
      <c r="W196" s="360"/>
      <c r="X196" s="361"/>
      <c r="Y196" s="361"/>
      <c r="Z196" s="361"/>
      <c r="AA196" s="361"/>
      <c r="AB196" s="362"/>
      <c r="AC196" s="384">
        <v>131732</v>
      </c>
      <c r="AD196" s="385"/>
      <c r="AE196" s="386"/>
    </row>
    <row r="197" spans="1:31" ht="14.45" customHeight="1" x14ac:dyDescent="0.25">
      <c r="A197" s="331" t="s">
        <v>407</v>
      </c>
      <c r="B197" s="342" t="s">
        <v>417</v>
      </c>
      <c r="C197" s="343"/>
      <c r="D197" s="343"/>
      <c r="E197" s="343"/>
      <c r="F197" s="343"/>
      <c r="G197" s="343"/>
      <c r="H197" s="343"/>
      <c r="I197" s="343"/>
      <c r="J197" s="343"/>
      <c r="K197" s="343"/>
      <c r="L197" s="343"/>
      <c r="M197" s="344"/>
      <c r="N197" s="342" t="s">
        <v>154</v>
      </c>
      <c r="O197" s="343"/>
      <c r="P197" s="344"/>
      <c r="Q197" s="345">
        <v>1</v>
      </c>
      <c r="R197" s="346"/>
      <c r="S197" s="346"/>
      <c r="T197" s="346"/>
      <c r="U197" s="346"/>
      <c r="V197" s="347"/>
      <c r="W197" s="402">
        <v>131732</v>
      </c>
      <c r="X197" s="403"/>
      <c r="Y197" s="403"/>
      <c r="Z197" s="403"/>
      <c r="AA197" s="403"/>
      <c r="AB197" s="404"/>
      <c r="AC197" s="393">
        <v>131732</v>
      </c>
      <c r="AD197" s="394"/>
      <c r="AE197" s="395"/>
    </row>
    <row r="198" spans="1:31" ht="14.45" customHeight="1" x14ac:dyDescent="0.25">
      <c r="A198" s="330" t="s">
        <v>408</v>
      </c>
      <c r="B198" s="357" t="s">
        <v>419</v>
      </c>
      <c r="C198" s="358"/>
      <c r="D198" s="358"/>
      <c r="E198" s="358"/>
      <c r="F198" s="358"/>
      <c r="G198" s="358"/>
      <c r="H198" s="358"/>
      <c r="I198" s="358"/>
      <c r="J198" s="358"/>
      <c r="K198" s="358"/>
      <c r="L198" s="358"/>
      <c r="M198" s="359"/>
      <c r="N198" s="357"/>
      <c r="O198" s="358"/>
      <c r="P198" s="359"/>
      <c r="Q198" s="360"/>
      <c r="R198" s="361"/>
      <c r="S198" s="361"/>
      <c r="T198" s="361"/>
      <c r="U198" s="361"/>
      <c r="V198" s="362"/>
      <c r="W198" s="360"/>
      <c r="X198" s="361"/>
      <c r="Y198" s="361"/>
      <c r="Z198" s="361"/>
      <c r="AA198" s="361"/>
      <c r="AB198" s="362"/>
      <c r="AC198" s="384">
        <v>657399.44999999995</v>
      </c>
      <c r="AD198" s="385"/>
      <c r="AE198" s="386"/>
    </row>
    <row r="199" spans="1:31" ht="14.45" customHeight="1" x14ac:dyDescent="0.25">
      <c r="A199" s="331" t="s">
        <v>409</v>
      </c>
      <c r="B199" s="342" t="s">
        <v>420</v>
      </c>
      <c r="C199" s="343"/>
      <c r="D199" s="343"/>
      <c r="E199" s="343"/>
      <c r="F199" s="343"/>
      <c r="G199" s="343"/>
      <c r="H199" s="343"/>
      <c r="I199" s="343"/>
      <c r="J199" s="343"/>
      <c r="K199" s="343"/>
      <c r="L199" s="343"/>
      <c r="M199" s="344"/>
      <c r="N199" s="342" t="s">
        <v>154</v>
      </c>
      <c r="O199" s="343"/>
      <c r="P199" s="344"/>
      <c r="Q199" s="345">
        <v>1</v>
      </c>
      <c r="R199" s="346"/>
      <c r="S199" s="346"/>
      <c r="T199" s="346"/>
      <c r="U199" s="346"/>
      <c r="V199" s="347"/>
      <c r="W199" s="402">
        <v>657399.44999999995</v>
      </c>
      <c r="X199" s="403"/>
      <c r="Y199" s="403"/>
      <c r="Z199" s="403"/>
      <c r="AA199" s="403"/>
      <c r="AB199" s="404"/>
      <c r="AC199" s="393">
        <v>657399.44999999995</v>
      </c>
      <c r="AD199" s="394"/>
      <c r="AE199" s="395"/>
    </row>
    <row r="200" spans="1:31" ht="14.45" customHeight="1" x14ac:dyDescent="0.25">
      <c r="A200" s="330" t="s">
        <v>411</v>
      </c>
      <c r="B200" s="357" t="s">
        <v>888</v>
      </c>
      <c r="C200" s="358"/>
      <c r="D200" s="358"/>
      <c r="E200" s="358"/>
      <c r="F200" s="358"/>
      <c r="G200" s="358"/>
      <c r="H200" s="358"/>
      <c r="I200" s="358"/>
      <c r="J200" s="358"/>
      <c r="K200" s="358"/>
      <c r="L200" s="358"/>
      <c r="M200" s="359"/>
      <c r="N200" s="357"/>
      <c r="O200" s="358"/>
      <c r="P200" s="359"/>
      <c r="Q200" s="360"/>
      <c r="R200" s="361"/>
      <c r="S200" s="361"/>
      <c r="T200" s="361"/>
      <c r="U200" s="361"/>
      <c r="V200" s="362"/>
      <c r="W200" s="360"/>
      <c r="X200" s="361"/>
      <c r="Y200" s="361"/>
      <c r="Z200" s="361"/>
      <c r="AA200" s="361"/>
      <c r="AB200" s="362"/>
      <c r="AC200" s="354">
        <v>28649.87</v>
      </c>
      <c r="AD200" s="355"/>
      <c r="AE200" s="356"/>
    </row>
    <row r="201" spans="1:31" ht="14.45" customHeight="1" x14ac:dyDescent="0.25">
      <c r="A201" s="330" t="s">
        <v>412</v>
      </c>
      <c r="B201" s="357" t="s">
        <v>889</v>
      </c>
      <c r="C201" s="358"/>
      <c r="D201" s="358"/>
      <c r="E201" s="358"/>
      <c r="F201" s="358"/>
      <c r="G201" s="358"/>
      <c r="H201" s="358"/>
      <c r="I201" s="358"/>
      <c r="J201" s="358"/>
      <c r="K201" s="358"/>
      <c r="L201" s="358"/>
      <c r="M201" s="359"/>
      <c r="N201" s="357"/>
      <c r="O201" s="358"/>
      <c r="P201" s="359"/>
      <c r="Q201" s="360"/>
      <c r="R201" s="361"/>
      <c r="S201" s="361"/>
      <c r="T201" s="361"/>
      <c r="U201" s="361"/>
      <c r="V201" s="362"/>
      <c r="W201" s="360"/>
      <c r="X201" s="361"/>
      <c r="Y201" s="361"/>
      <c r="Z201" s="361"/>
      <c r="AA201" s="361"/>
      <c r="AB201" s="362"/>
      <c r="AC201" s="354">
        <v>28649.87</v>
      </c>
      <c r="AD201" s="355"/>
      <c r="AE201" s="356"/>
    </row>
    <row r="202" spans="1:31" ht="14.45" customHeight="1" x14ac:dyDescent="0.25">
      <c r="A202" s="331" t="s">
        <v>413</v>
      </c>
      <c r="B202" s="342" t="s">
        <v>889</v>
      </c>
      <c r="C202" s="343"/>
      <c r="D202" s="343"/>
      <c r="E202" s="343"/>
      <c r="F202" s="343"/>
      <c r="G202" s="343"/>
      <c r="H202" s="343"/>
      <c r="I202" s="343"/>
      <c r="J202" s="343"/>
      <c r="K202" s="343"/>
      <c r="L202" s="343"/>
      <c r="M202" s="344"/>
      <c r="N202" s="342" t="s">
        <v>154</v>
      </c>
      <c r="O202" s="343"/>
      <c r="P202" s="344"/>
      <c r="Q202" s="345">
        <v>1</v>
      </c>
      <c r="R202" s="346"/>
      <c r="S202" s="346"/>
      <c r="T202" s="346"/>
      <c r="U202" s="346"/>
      <c r="V202" s="347"/>
      <c r="W202" s="348">
        <v>28649.87</v>
      </c>
      <c r="X202" s="349"/>
      <c r="Y202" s="349"/>
      <c r="Z202" s="349"/>
      <c r="AA202" s="349"/>
      <c r="AB202" s="350"/>
      <c r="AC202" s="336">
        <v>28649.87</v>
      </c>
      <c r="AD202" s="337"/>
      <c r="AE202" s="338"/>
    </row>
    <row r="203" spans="1:31" ht="14.45" customHeight="1" x14ac:dyDescent="0.25">
      <c r="A203" s="330" t="s">
        <v>414</v>
      </c>
      <c r="B203" s="357" t="s">
        <v>422</v>
      </c>
      <c r="C203" s="358"/>
      <c r="D203" s="358"/>
      <c r="E203" s="358"/>
      <c r="F203" s="358"/>
      <c r="G203" s="358"/>
      <c r="H203" s="358"/>
      <c r="I203" s="358"/>
      <c r="J203" s="358"/>
      <c r="K203" s="358"/>
      <c r="L203" s="358"/>
      <c r="M203" s="359"/>
      <c r="N203" s="357"/>
      <c r="O203" s="358"/>
      <c r="P203" s="359"/>
      <c r="Q203" s="360"/>
      <c r="R203" s="361"/>
      <c r="S203" s="361"/>
      <c r="T203" s="361"/>
      <c r="U203" s="361"/>
      <c r="V203" s="362"/>
      <c r="W203" s="360"/>
      <c r="X203" s="361"/>
      <c r="Y203" s="361"/>
      <c r="Z203" s="361"/>
      <c r="AA203" s="361"/>
      <c r="AB203" s="362"/>
      <c r="AC203" s="384">
        <v>216600</v>
      </c>
      <c r="AD203" s="385"/>
      <c r="AE203" s="386"/>
    </row>
    <row r="204" spans="1:31" ht="14.45" customHeight="1" x14ac:dyDescent="0.25">
      <c r="A204" s="330" t="s">
        <v>415</v>
      </c>
      <c r="B204" s="357" t="s">
        <v>422</v>
      </c>
      <c r="C204" s="358"/>
      <c r="D204" s="358"/>
      <c r="E204" s="358"/>
      <c r="F204" s="358"/>
      <c r="G204" s="358"/>
      <c r="H204" s="358"/>
      <c r="I204" s="358"/>
      <c r="J204" s="358"/>
      <c r="K204" s="358"/>
      <c r="L204" s="358"/>
      <c r="M204" s="359"/>
      <c r="N204" s="357"/>
      <c r="O204" s="358"/>
      <c r="P204" s="359"/>
      <c r="Q204" s="360"/>
      <c r="R204" s="361"/>
      <c r="S204" s="361"/>
      <c r="T204" s="361"/>
      <c r="U204" s="361"/>
      <c r="V204" s="362"/>
      <c r="W204" s="360"/>
      <c r="X204" s="361"/>
      <c r="Y204" s="361"/>
      <c r="Z204" s="361"/>
      <c r="AA204" s="361"/>
      <c r="AB204" s="362"/>
      <c r="AC204" s="384">
        <v>216600</v>
      </c>
      <c r="AD204" s="385"/>
      <c r="AE204" s="386"/>
    </row>
    <row r="205" spans="1:31" ht="14.45" customHeight="1" x14ac:dyDescent="0.25">
      <c r="A205" s="330" t="s">
        <v>416</v>
      </c>
      <c r="B205" s="357" t="s">
        <v>425</v>
      </c>
      <c r="C205" s="358"/>
      <c r="D205" s="358"/>
      <c r="E205" s="358"/>
      <c r="F205" s="358"/>
      <c r="G205" s="358"/>
      <c r="H205" s="358"/>
      <c r="I205" s="358"/>
      <c r="J205" s="358"/>
      <c r="K205" s="358"/>
      <c r="L205" s="358"/>
      <c r="M205" s="359"/>
      <c r="N205" s="357"/>
      <c r="O205" s="358"/>
      <c r="P205" s="359"/>
      <c r="Q205" s="360"/>
      <c r="R205" s="361"/>
      <c r="S205" s="361"/>
      <c r="T205" s="361"/>
      <c r="U205" s="361"/>
      <c r="V205" s="362"/>
      <c r="W205" s="360"/>
      <c r="X205" s="361"/>
      <c r="Y205" s="361"/>
      <c r="Z205" s="361"/>
      <c r="AA205" s="361"/>
      <c r="AB205" s="362"/>
      <c r="AC205" s="384">
        <v>102000</v>
      </c>
      <c r="AD205" s="385"/>
      <c r="AE205" s="386"/>
    </row>
    <row r="206" spans="1:31" ht="14.45" customHeight="1" x14ac:dyDescent="0.25">
      <c r="A206" s="331" t="s">
        <v>418</v>
      </c>
      <c r="B206" s="342" t="s">
        <v>427</v>
      </c>
      <c r="C206" s="343"/>
      <c r="D206" s="343"/>
      <c r="E206" s="343"/>
      <c r="F206" s="343"/>
      <c r="G206" s="343"/>
      <c r="H206" s="343"/>
      <c r="I206" s="343"/>
      <c r="J206" s="343"/>
      <c r="K206" s="343"/>
      <c r="L206" s="343"/>
      <c r="M206" s="344"/>
      <c r="N206" s="342" t="s">
        <v>154</v>
      </c>
      <c r="O206" s="343"/>
      <c r="P206" s="344"/>
      <c r="Q206" s="345">
        <v>1</v>
      </c>
      <c r="R206" s="346"/>
      <c r="S206" s="346"/>
      <c r="T206" s="346"/>
      <c r="U206" s="346"/>
      <c r="V206" s="347"/>
      <c r="W206" s="348">
        <v>65000</v>
      </c>
      <c r="X206" s="349"/>
      <c r="Y206" s="349"/>
      <c r="Z206" s="349"/>
      <c r="AA206" s="349"/>
      <c r="AB206" s="350"/>
      <c r="AC206" s="336">
        <v>65000</v>
      </c>
      <c r="AD206" s="337"/>
      <c r="AE206" s="338"/>
    </row>
    <row r="207" spans="1:31" ht="14.45" customHeight="1" x14ac:dyDescent="0.25">
      <c r="A207" s="331" t="s">
        <v>890</v>
      </c>
      <c r="B207" s="342" t="s">
        <v>839</v>
      </c>
      <c r="C207" s="343"/>
      <c r="D207" s="343"/>
      <c r="E207" s="343"/>
      <c r="F207" s="343"/>
      <c r="G207" s="343"/>
      <c r="H207" s="343"/>
      <c r="I207" s="343"/>
      <c r="J207" s="343"/>
      <c r="K207" s="343"/>
      <c r="L207" s="343"/>
      <c r="M207" s="344"/>
      <c r="N207" s="342" t="s">
        <v>154</v>
      </c>
      <c r="O207" s="343"/>
      <c r="P207" s="344"/>
      <c r="Q207" s="345">
        <v>1</v>
      </c>
      <c r="R207" s="346"/>
      <c r="S207" s="346"/>
      <c r="T207" s="346"/>
      <c r="U207" s="346"/>
      <c r="V207" s="347"/>
      <c r="W207" s="348">
        <v>37000</v>
      </c>
      <c r="X207" s="349"/>
      <c r="Y207" s="349"/>
      <c r="Z207" s="349"/>
      <c r="AA207" s="349"/>
      <c r="AB207" s="350"/>
      <c r="AC207" s="336">
        <v>37000</v>
      </c>
      <c r="AD207" s="337"/>
      <c r="AE207" s="338"/>
    </row>
    <row r="208" spans="1:31" ht="14.45" customHeight="1" x14ac:dyDescent="0.25">
      <c r="A208" s="330" t="s">
        <v>891</v>
      </c>
      <c r="B208" s="357" t="s">
        <v>429</v>
      </c>
      <c r="C208" s="358"/>
      <c r="D208" s="358"/>
      <c r="E208" s="358"/>
      <c r="F208" s="358"/>
      <c r="G208" s="358"/>
      <c r="H208" s="358"/>
      <c r="I208" s="358"/>
      <c r="J208" s="358"/>
      <c r="K208" s="358"/>
      <c r="L208" s="358"/>
      <c r="M208" s="359"/>
      <c r="N208" s="357"/>
      <c r="O208" s="358"/>
      <c r="P208" s="359"/>
      <c r="Q208" s="360"/>
      <c r="R208" s="361"/>
      <c r="S208" s="361"/>
      <c r="T208" s="361"/>
      <c r="U208" s="361"/>
      <c r="V208" s="362"/>
      <c r="W208" s="360"/>
      <c r="X208" s="361"/>
      <c r="Y208" s="361"/>
      <c r="Z208" s="361"/>
      <c r="AA208" s="361"/>
      <c r="AB208" s="362"/>
      <c r="AC208" s="384">
        <v>114600</v>
      </c>
      <c r="AD208" s="385"/>
      <c r="AE208" s="386"/>
    </row>
    <row r="209" spans="1:33" ht="14.45" customHeight="1" x14ac:dyDescent="0.25">
      <c r="A209" s="331" t="s">
        <v>892</v>
      </c>
      <c r="B209" s="342" t="s">
        <v>841</v>
      </c>
      <c r="C209" s="343"/>
      <c r="D209" s="343"/>
      <c r="E209" s="343"/>
      <c r="F209" s="343"/>
      <c r="G209" s="343"/>
      <c r="H209" s="343"/>
      <c r="I209" s="343"/>
      <c r="J209" s="343"/>
      <c r="K209" s="343"/>
      <c r="L209" s="343"/>
      <c r="M209" s="344"/>
      <c r="N209" s="342" t="s">
        <v>98</v>
      </c>
      <c r="O209" s="343"/>
      <c r="P209" s="344"/>
      <c r="Q209" s="381">
        <v>54</v>
      </c>
      <c r="R209" s="382"/>
      <c r="S209" s="382"/>
      <c r="T209" s="382"/>
      <c r="U209" s="382"/>
      <c r="V209" s="383"/>
      <c r="W209" s="372">
        <v>900</v>
      </c>
      <c r="X209" s="373"/>
      <c r="Y209" s="373"/>
      <c r="Z209" s="373"/>
      <c r="AA209" s="373"/>
      <c r="AB209" s="374"/>
      <c r="AC209" s="336">
        <v>48600</v>
      </c>
      <c r="AD209" s="337"/>
      <c r="AE209" s="338"/>
    </row>
    <row r="210" spans="1:33" ht="14.45" customHeight="1" x14ac:dyDescent="0.25">
      <c r="A210" s="331" t="s">
        <v>893</v>
      </c>
      <c r="B210" s="342" t="s">
        <v>432</v>
      </c>
      <c r="C210" s="343"/>
      <c r="D210" s="343"/>
      <c r="E210" s="343"/>
      <c r="F210" s="343"/>
      <c r="G210" s="343"/>
      <c r="H210" s="343"/>
      <c r="I210" s="343"/>
      <c r="J210" s="343"/>
      <c r="K210" s="343"/>
      <c r="L210" s="343"/>
      <c r="M210" s="344"/>
      <c r="N210" s="342" t="s">
        <v>154</v>
      </c>
      <c r="O210" s="343"/>
      <c r="P210" s="344"/>
      <c r="Q210" s="345">
        <v>1</v>
      </c>
      <c r="R210" s="346"/>
      <c r="S210" s="346"/>
      <c r="T210" s="346"/>
      <c r="U210" s="346"/>
      <c r="V210" s="347"/>
      <c r="W210" s="348">
        <v>66000</v>
      </c>
      <c r="X210" s="349"/>
      <c r="Y210" s="349"/>
      <c r="Z210" s="349"/>
      <c r="AA210" s="349"/>
      <c r="AB210" s="350"/>
      <c r="AC210" s="336">
        <v>66000</v>
      </c>
      <c r="AD210" s="337"/>
      <c r="AE210" s="338"/>
    </row>
    <row r="211" spans="1:33" ht="14.45" customHeight="1" x14ac:dyDescent="0.25">
      <c r="A211" s="330" t="s">
        <v>421</v>
      </c>
      <c r="B211" s="357" t="s">
        <v>436</v>
      </c>
      <c r="C211" s="358"/>
      <c r="D211" s="358"/>
      <c r="E211" s="358"/>
      <c r="F211" s="358"/>
      <c r="G211" s="358"/>
      <c r="H211" s="358"/>
      <c r="I211" s="358"/>
      <c r="J211" s="358"/>
      <c r="K211" s="358"/>
      <c r="L211" s="358"/>
      <c r="M211" s="359"/>
      <c r="N211" s="357"/>
      <c r="O211" s="358"/>
      <c r="P211" s="359"/>
      <c r="Q211" s="360"/>
      <c r="R211" s="361"/>
      <c r="S211" s="361"/>
      <c r="T211" s="361"/>
      <c r="U211" s="361"/>
      <c r="V211" s="362"/>
      <c r="W211" s="360"/>
      <c r="X211" s="361"/>
      <c r="Y211" s="361"/>
      <c r="Z211" s="361"/>
      <c r="AA211" s="361"/>
      <c r="AB211" s="362"/>
      <c r="AC211" s="396">
        <v>1159047.73</v>
      </c>
      <c r="AD211" s="397"/>
      <c r="AE211" s="398"/>
    </row>
    <row r="212" spans="1:33" ht="14.45" customHeight="1" x14ac:dyDescent="0.25">
      <c r="A212" s="330" t="s">
        <v>423</v>
      </c>
      <c r="B212" s="357" t="s">
        <v>436</v>
      </c>
      <c r="C212" s="358"/>
      <c r="D212" s="358"/>
      <c r="E212" s="358"/>
      <c r="F212" s="358"/>
      <c r="G212" s="358"/>
      <c r="H212" s="358"/>
      <c r="I212" s="358"/>
      <c r="J212" s="358"/>
      <c r="K212" s="358"/>
      <c r="L212" s="358"/>
      <c r="M212" s="359"/>
      <c r="N212" s="357"/>
      <c r="O212" s="358"/>
      <c r="P212" s="359"/>
      <c r="Q212" s="360"/>
      <c r="R212" s="361"/>
      <c r="S212" s="361"/>
      <c r="T212" s="361"/>
      <c r="U212" s="361"/>
      <c r="V212" s="362"/>
      <c r="W212" s="360"/>
      <c r="X212" s="361"/>
      <c r="Y212" s="361"/>
      <c r="Z212" s="361"/>
      <c r="AA212" s="361"/>
      <c r="AB212" s="362"/>
      <c r="AC212" s="396">
        <v>1159047.73</v>
      </c>
      <c r="AD212" s="397"/>
      <c r="AE212" s="398"/>
    </row>
    <row r="213" spans="1:33" ht="14.45" customHeight="1" x14ac:dyDescent="0.25">
      <c r="A213" s="330" t="s">
        <v>424</v>
      </c>
      <c r="B213" s="357" t="s">
        <v>439</v>
      </c>
      <c r="C213" s="358"/>
      <c r="D213" s="358"/>
      <c r="E213" s="358"/>
      <c r="F213" s="358"/>
      <c r="G213" s="358"/>
      <c r="H213" s="358"/>
      <c r="I213" s="358"/>
      <c r="J213" s="358"/>
      <c r="K213" s="358"/>
      <c r="L213" s="358"/>
      <c r="M213" s="359"/>
      <c r="N213" s="357"/>
      <c r="O213" s="358"/>
      <c r="P213" s="359"/>
      <c r="Q213" s="360"/>
      <c r="R213" s="361"/>
      <c r="S213" s="361"/>
      <c r="T213" s="361"/>
      <c r="U213" s="361"/>
      <c r="V213" s="362"/>
      <c r="W213" s="360"/>
      <c r="X213" s="361"/>
      <c r="Y213" s="361"/>
      <c r="Z213" s="361"/>
      <c r="AA213" s="361"/>
      <c r="AB213" s="362"/>
      <c r="AC213" s="384">
        <v>254788.22</v>
      </c>
      <c r="AD213" s="385"/>
      <c r="AE213" s="386"/>
    </row>
    <row r="214" spans="1:33" ht="14.45" customHeight="1" x14ac:dyDescent="0.25">
      <c r="A214" s="331" t="s">
        <v>426</v>
      </c>
      <c r="B214" s="342" t="s">
        <v>441</v>
      </c>
      <c r="C214" s="343"/>
      <c r="D214" s="343"/>
      <c r="E214" s="343"/>
      <c r="F214" s="343"/>
      <c r="G214" s="343"/>
      <c r="H214" s="343"/>
      <c r="I214" s="343"/>
      <c r="J214" s="343"/>
      <c r="K214" s="343"/>
      <c r="L214" s="343"/>
      <c r="M214" s="344"/>
      <c r="N214" s="342" t="s">
        <v>97</v>
      </c>
      <c r="O214" s="343"/>
      <c r="P214" s="344"/>
      <c r="Q214" s="363">
        <v>8951.68</v>
      </c>
      <c r="R214" s="364"/>
      <c r="S214" s="364"/>
      <c r="T214" s="364"/>
      <c r="U214" s="364"/>
      <c r="V214" s="365"/>
      <c r="W214" s="345">
        <v>2.54</v>
      </c>
      <c r="X214" s="346"/>
      <c r="Y214" s="346"/>
      <c r="Z214" s="346"/>
      <c r="AA214" s="346"/>
      <c r="AB214" s="347"/>
      <c r="AC214" s="336">
        <v>22737.27</v>
      </c>
      <c r="AD214" s="337"/>
      <c r="AE214" s="338"/>
      <c r="AF214" s="236">
        <v>1</v>
      </c>
    </row>
    <row r="215" spans="1:33" ht="14.45" customHeight="1" x14ac:dyDescent="0.25">
      <c r="A215" s="331" t="s">
        <v>838</v>
      </c>
      <c r="B215" s="342" t="s">
        <v>443</v>
      </c>
      <c r="C215" s="343"/>
      <c r="D215" s="343"/>
      <c r="E215" s="343"/>
      <c r="F215" s="343"/>
      <c r="G215" s="343"/>
      <c r="H215" s="343"/>
      <c r="I215" s="343"/>
      <c r="J215" s="343"/>
      <c r="K215" s="343"/>
      <c r="L215" s="343"/>
      <c r="M215" s="344"/>
      <c r="N215" s="342" t="s">
        <v>97</v>
      </c>
      <c r="O215" s="343"/>
      <c r="P215" s="344"/>
      <c r="Q215" s="363">
        <v>2617.23</v>
      </c>
      <c r="R215" s="364"/>
      <c r="S215" s="364"/>
      <c r="T215" s="364"/>
      <c r="U215" s="364"/>
      <c r="V215" s="365"/>
      <c r="W215" s="345">
        <v>5.46</v>
      </c>
      <c r="X215" s="346"/>
      <c r="Y215" s="346"/>
      <c r="Z215" s="346"/>
      <c r="AA215" s="346"/>
      <c r="AB215" s="347"/>
      <c r="AC215" s="336">
        <v>14290.08</v>
      </c>
      <c r="AD215" s="337"/>
      <c r="AE215" s="338"/>
      <c r="AF215" s="236">
        <v>1</v>
      </c>
      <c r="AG215" s="320"/>
    </row>
    <row r="216" spans="1:33" ht="14.45" customHeight="1" x14ac:dyDescent="0.25">
      <c r="A216" s="331" t="s">
        <v>894</v>
      </c>
      <c r="B216" s="342" t="s">
        <v>445</v>
      </c>
      <c r="C216" s="343"/>
      <c r="D216" s="343"/>
      <c r="E216" s="343"/>
      <c r="F216" s="343"/>
      <c r="G216" s="343"/>
      <c r="H216" s="343"/>
      <c r="I216" s="343"/>
      <c r="J216" s="343"/>
      <c r="K216" s="343"/>
      <c r="L216" s="343"/>
      <c r="M216" s="344"/>
      <c r="N216" s="342" t="s">
        <v>97</v>
      </c>
      <c r="O216" s="343"/>
      <c r="P216" s="344"/>
      <c r="Q216" s="348">
        <v>11568.92</v>
      </c>
      <c r="R216" s="349"/>
      <c r="S216" s="349"/>
      <c r="T216" s="349"/>
      <c r="U216" s="349"/>
      <c r="V216" s="350"/>
      <c r="W216" s="381">
        <v>17.86</v>
      </c>
      <c r="X216" s="382"/>
      <c r="Y216" s="382"/>
      <c r="Z216" s="382"/>
      <c r="AA216" s="382"/>
      <c r="AB216" s="383"/>
      <c r="AC216" s="393">
        <v>206620.91</v>
      </c>
      <c r="AD216" s="394"/>
      <c r="AE216" s="395"/>
      <c r="AF216" s="236">
        <v>1</v>
      </c>
    </row>
    <row r="217" spans="1:33" ht="14.45" customHeight="1" x14ac:dyDescent="0.25">
      <c r="A217" s="331" t="s">
        <v>895</v>
      </c>
      <c r="B217" s="342" t="s">
        <v>446</v>
      </c>
      <c r="C217" s="343"/>
      <c r="D217" s="343"/>
      <c r="E217" s="343"/>
      <c r="F217" s="343"/>
      <c r="G217" s="343"/>
      <c r="H217" s="343"/>
      <c r="I217" s="343"/>
      <c r="J217" s="343"/>
      <c r="K217" s="343"/>
      <c r="L217" s="343"/>
      <c r="M217" s="344"/>
      <c r="N217" s="342" t="s">
        <v>97</v>
      </c>
      <c r="O217" s="343"/>
      <c r="P217" s="344"/>
      <c r="Q217" s="363">
        <v>2110.2399999999998</v>
      </c>
      <c r="R217" s="364"/>
      <c r="S217" s="364"/>
      <c r="T217" s="364"/>
      <c r="U217" s="364"/>
      <c r="V217" s="365"/>
      <c r="W217" s="345">
        <v>5.2789999999999999</v>
      </c>
      <c r="X217" s="346"/>
      <c r="Y217" s="346"/>
      <c r="Z217" s="346"/>
      <c r="AA217" s="346"/>
      <c r="AB217" s="347"/>
      <c r="AC217" s="336">
        <v>11139.96</v>
      </c>
      <c r="AD217" s="337"/>
      <c r="AE217" s="338"/>
      <c r="AF217" s="236">
        <v>1</v>
      </c>
    </row>
    <row r="218" spans="1:33" ht="14.45" customHeight="1" x14ac:dyDescent="0.25">
      <c r="A218" s="330" t="s">
        <v>428</v>
      </c>
      <c r="B218" s="357" t="s">
        <v>448</v>
      </c>
      <c r="C218" s="358"/>
      <c r="D218" s="358"/>
      <c r="E218" s="358"/>
      <c r="F218" s="358"/>
      <c r="G218" s="358"/>
      <c r="H218" s="358"/>
      <c r="I218" s="358"/>
      <c r="J218" s="358"/>
      <c r="K218" s="358"/>
      <c r="L218" s="358"/>
      <c r="M218" s="359"/>
      <c r="N218" s="357"/>
      <c r="O218" s="358"/>
      <c r="P218" s="359"/>
      <c r="Q218" s="360"/>
      <c r="R218" s="361"/>
      <c r="S218" s="361"/>
      <c r="T218" s="361"/>
      <c r="U218" s="361"/>
      <c r="V218" s="362"/>
      <c r="W218" s="360"/>
      <c r="X218" s="361"/>
      <c r="Y218" s="361"/>
      <c r="Z218" s="361"/>
      <c r="AA218" s="361"/>
      <c r="AB218" s="362"/>
      <c r="AC218" s="384">
        <v>284447.09000000003</v>
      </c>
      <c r="AD218" s="385"/>
      <c r="AE218" s="386"/>
    </row>
    <row r="219" spans="1:33" ht="14.45" customHeight="1" x14ac:dyDescent="0.25">
      <c r="A219" s="331" t="s">
        <v>430</v>
      </c>
      <c r="B219" s="342" t="s">
        <v>450</v>
      </c>
      <c r="C219" s="343"/>
      <c r="D219" s="343"/>
      <c r="E219" s="343"/>
      <c r="F219" s="343"/>
      <c r="G219" s="343"/>
      <c r="H219" s="343"/>
      <c r="I219" s="343"/>
      <c r="J219" s="343"/>
      <c r="K219" s="343"/>
      <c r="L219" s="343"/>
      <c r="M219" s="344"/>
      <c r="N219" s="342" t="s">
        <v>97</v>
      </c>
      <c r="O219" s="343"/>
      <c r="P219" s="344"/>
      <c r="Q219" s="363">
        <v>1992.48</v>
      </c>
      <c r="R219" s="364"/>
      <c r="S219" s="364"/>
      <c r="T219" s="364"/>
      <c r="U219" s="364"/>
      <c r="V219" s="365"/>
      <c r="W219" s="372">
        <v>137.45259999999999</v>
      </c>
      <c r="X219" s="373"/>
      <c r="Y219" s="373"/>
      <c r="Z219" s="373"/>
      <c r="AA219" s="373"/>
      <c r="AB219" s="374"/>
      <c r="AC219" s="393">
        <v>273871.56</v>
      </c>
      <c r="AD219" s="394"/>
      <c r="AE219" s="395"/>
      <c r="AF219" s="236">
        <v>2</v>
      </c>
    </row>
    <row r="220" spans="1:33" ht="14.45" customHeight="1" x14ac:dyDescent="0.25">
      <c r="A220" s="331" t="s">
        <v>840</v>
      </c>
      <c r="B220" s="342" t="s">
        <v>452</v>
      </c>
      <c r="C220" s="343"/>
      <c r="D220" s="343"/>
      <c r="E220" s="343"/>
      <c r="F220" s="343"/>
      <c r="G220" s="343"/>
      <c r="H220" s="343"/>
      <c r="I220" s="343"/>
      <c r="J220" s="343"/>
      <c r="K220" s="343"/>
      <c r="L220" s="343"/>
      <c r="M220" s="344"/>
      <c r="N220" s="342" t="s">
        <v>97</v>
      </c>
      <c r="O220" s="343"/>
      <c r="P220" s="344"/>
      <c r="Q220" s="381">
        <v>54.79</v>
      </c>
      <c r="R220" s="382"/>
      <c r="S220" s="382"/>
      <c r="T220" s="382"/>
      <c r="U220" s="382"/>
      <c r="V220" s="383"/>
      <c r="W220" s="372">
        <v>193.01939999999999</v>
      </c>
      <c r="X220" s="373"/>
      <c r="Y220" s="373"/>
      <c r="Z220" s="373"/>
      <c r="AA220" s="373"/>
      <c r="AB220" s="374"/>
      <c r="AC220" s="336">
        <v>10575.53</v>
      </c>
      <c r="AD220" s="337"/>
      <c r="AE220" s="338"/>
      <c r="AF220" s="236">
        <v>2</v>
      </c>
    </row>
    <row r="221" spans="1:33" ht="14.45" customHeight="1" x14ac:dyDescent="0.25">
      <c r="A221" s="330" t="s">
        <v>431</v>
      </c>
      <c r="B221" s="357" t="s">
        <v>454</v>
      </c>
      <c r="C221" s="358"/>
      <c r="D221" s="358"/>
      <c r="E221" s="358"/>
      <c r="F221" s="358"/>
      <c r="G221" s="358"/>
      <c r="H221" s="358"/>
      <c r="I221" s="358"/>
      <c r="J221" s="358"/>
      <c r="K221" s="358"/>
      <c r="L221" s="358"/>
      <c r="M221" s="359"/>
      <c r="N221" s="357"/>
      <c r="O221" s="358"/>
      <c r="P221" s="359"/>
      <c r="Q221" s="360"/>
      <c r="R221" s="361"/>
      <c r="S221" s="361"/>
      <c r="T221" s="361"/>
      <c r="U221" s="361"/>
      <c r="V221" s="362"/>
      <c r="W221" s="360"/>
      <c r="X221" s="361"/>
      <c r="Y221" s="361"/>
      <c r="Z221" s="361"/>
      <c r="AA221" s="361"/>
      <c r="AB221" s="362"/>
      <c r="AC221" s="354">
        <v>16430.46</v>
      </c>
      <c r="AD221" s="355"/>
      <c r="AE221" s="356"/>
    </row>
    <row r="222" spans="1:33" ht="14.45" customHeight="1" x14ac:dyDescent="0.25">
      <c r="A222" s="331" t="s">
        <v>433</v>
      </c>
      <c r="B222" s="342" t="s">
        <v>456</v>
      </c>
      <c r="C222" s="343"/>
      <c r="D222" s="343"/>
      <c r="E222" s="343"/>
      <c r="F222" s="343"/>
      <c r="G222" s="343"/>
      <c r="H222" s="343"/>
      <c r="I222" s="343"/>
      <c r="J222" s="343"/>
      <c r="K222" s="343"/>
      <c r="L222" s="343"/>
      <c r="M222" s="344"/>
      <c r="N222" s="342" t="s">
        <v>157</v>
      </c>
      <c r="O222" s="343"/>
      <c r="P222" s="344"/>
      <c r="Q222" s="372">
        <v>180.2</v>
      </c>
      <c r="R222" s="373"/>
      <c r="S222" s="373"/>
      <c r="T222" s="373"/>
      <c r="U222" s="373"/>
      <c r="V222" s="374"/>
      <c r="W222" s="381">
        <v>91.179000000000002</v>
      </c>
      <c r="X222" s="382"/>
      <c r="Y222" s="382"/>
      <c r="Z222" s="382"/>
      <c r="AA222" s="382"/>
      <c r="AB222" s="383"/>
      <c r="AC222" s="336">
        <v>16430.46</v>
      </c>
      <c r="AD222" s="337"/>
      <c r="AE222" s="338"/>
      <c r="AF222" s="236">
        <v>2</v>
      </c>
    </row>
    <row r="223" spans="1:33" ht="14.45" customHeight="1" x14ac:dyDescent="0.25">
      <c r="A223" s="330" t="s">
        <v>434</v>
      </c>
      <c r="B223" s="357" t="s">
        <v>458</v>
      </c>
      <c r="C223" s="358"/>
      <c r="D223" s="358"/>
      <c r="E223" s="358"/>
      <c r="F223" s="358"/>
      <c r="G223" s="358"/>
      <c r="H223" s="358"/>
      <c r="I223" s="358"/>
      <c r="J223" s="358"/>
      <c r="K223" s="358"/>
      <c r="L223" s="358"/>
      <c r="M223" s="359"/>
      <c r="N223" s="357"/>
      <c r="O223" s="358"/>
      <c r="P223" s="359"/>
      <c r="Q223" s="360"/>
      <c r="R223" s="361"/>
      <c r="S223" s="361"/>
      <c r="T223" s="361"/>
      <c r="U223" s="361"/>
      <c r="V223" s="362"/>
      <c r="W223" s="360"/>
      <c r="X223" s="361"/>
      <c r="Y223" s="361"/>
      <c r="Z223" s="361"/>
      <c r="AA223" s="361"/>
      <c r="AB223" s="362"/>
      <c r="AC223" s="354">
        <v>72090.460000000006</v>
      </c>
      <c r="AD223" s="355"/>
      <c r="AE223" s="356"/>
    </row>
    <row r="224" spans="1:33" ht="14.45" customHeight="1" x14ac:dyDescent="0.25">
      <c r="A224" s="331" t="s">
        <v>896</v>
      </c>
      <c r="B224" s="342" t="s">
        <v>460</v>
      </c>
      <c r="C224" s="343"/>
      <c r="D224" s="343"/>
      <c r="E224" s="343"/>
      <c r="F224" s="343"/>
      <c r="G224" s="343"/>
      <c r="H224" s="343"/>
      <c r="I224" s="343"/>
      <c r="J224" s="343"/>
      <c r="K224" s="343"/>
      <c r="L224" s="343"/>
      <c r="M224" s="344"/>
      <c r="N224" s="342" t="s">
        <v>157</v>
      </c>
      <c r="O224" s="343"/>
      <c r="P224" s="344"/>
      <c r="Q224" s="372">
        <v>754.25</v>
      </c>
      <c r="R224" s="373"/>
      <c r="S224" s="373"/>
      <c r="T224" s="373"/>
      <c r="U224" s="373"/>
      <c r="V224" s="374"/>
      <c r="W224" s="381">
        <v>95.578999999999994</v>
      </c>
      <c r="X224" s="382"/>
      <c r="Y224" s="382"/>
      <c r="Z224" s="382"/>
      <c r="AA224" s="382"/>
      <c r="AB224" s="383"/>
      <c r="AC224" s="336">
        <v>72090.460000000006</v>
      </c>
      <c r="AD224" s="337"/>
      <c r="AE224" s="338"/>
      <c r="AF224" s="236">
        <v>2</v>
      </c>
    </row>
    <row r="225" spans="1:32" ht="14.45" customHeight="1" x14ac:dyDescent="0.25">
      <c r="A225" s="330" t="s">
        <v>897</v>
      </c>
      <c r="B225" s="357" t="s">
        <v>145</v>
      </c>
      <c r="C225" s="358"/>
      <c r="D225" s="358"/>
      <c r="E225" s="358"/>
      <c r="F225" s="358"/>
      <c r="G225" s="358"/>
      <c r="H225" s="358"/>
      <c r="I225" s="358"/>
      <c r="J225" s="358"/>
      <c r="K225" s="358"/>
      <c r="L225" s="358"/>
      <c r="M225" s="359"/>
      <c r="N225" s="357"/>
      <c r="O225" s="358"/>
      <c r="P225" s="359"/>
      <c r="Q225" s="360"/>
      <c r="R225" s="361"/>
      <c r="S225" s="361"/>
      <c r="T225" s="361"/>
      <c r="U225" s="361"/>
      <c r="V225" s="362"/>
      <c r="W225" s="360"/>
      <c r="X225" s="361"/>
      <c r="Y225" s="361"/>
      <c r="Z225" s="361"/>
      <c r="AA225" s="361"/>
      <c r="AB225" s="362"/>
      <c r="AC225" s="384">
        <v>531291.5</v>
      </c>
      <c r="AD225" s="385"/>
      <c r="AE225" s="386"/>
    </row>
    <row r="226" spans="1:32" ht="14.45" customHeight="1" x14ac:dyDescent="0.25">
      <c r="A226" s="331" t="s">
        <v>898</v>
      </c>
      <c r="B226" s="342" t="s">
        <v>1068</v>
      </c>
      <c r="C226" s="343"/>
      <c r="D226" s="343"/>
      <c r="E226" s="343"/>
      <c r="F226" s="343"/>
      <c r="G226" s="343"/>
      <c r="H226" s="343"/>
      <c r="I226" s="343"/>
      <c r="J226" s="343"/>
      <c r="K226" s="343"/>
      <c r="L226" s="343"/>
      <c r="M226" s="344"/>
      <c r="N226" s="342" t="s">
        <v>97</v>
      </c>
      <c r="O226" s="343"/>
      <c r="P226" s="344"/>
      <c r="Q226" s="363">
        <v>2047.27</v>
      </c>
      <c r="R226" s="364"/>
      <c r="S226" s="364"/>
      <c r="T226" s="364"/>
      <c r="U226" s="364"/>
      <c r="V226" s="365"/>
      <c r="W226" s="381">
        <v>37</v>
      </c>
      <c r="X226" s="382"/>
      <c r="Y226" s="382"/>
      <c r="Z226" s="382"/>
      <c r="AA226" s="382"/>
      <c r="AB226" s="383"/>
      <c r="AC226" s="336">
        <v>75748.990000000005</v>
      </c>
      <c r="AD226" s="337"/>
      <c r="AE226" s="338"/>
      <c r="AF226" s="236">
        <v>2</v>
      </c>
    </row>
    <row r="227" spans="1:32" ht="14.45" customHeight="1" x14ac:dyDescent="0.25">
      <c r="A227" s="331" t="s">
        <v>899</v>
      </c>
      <c r="B227" s="342" t="s">
        <v>461</v>
      </c>
      <c r="C227" s="343"/>
      <c r="D227" s="343"/>
      <c r="E227" s="343"/>
      <c r="F227" s="343"/>
      <c r="G227" s="343"/>
      <c r="H227" s="343"/>
      <c r="I227" s="343"/>
      <c r="J227" s="343"/>
      <c r="K227" s="343"/>
      <c r="L227" s="343"/>
      <c r="M227" s="344"/>
      <c r="N227" s="342" t="s">
        <v>157</v>
      </c>
      <c r="O227" s="343"/>
      <c r="P227" s="344"/>
      <c r="Q227" s="372">
        <v>934.45</v>
      </c>
      <c r="R227" s="373"/>
      <c r="S227" s="373"/>
      <c r="T227" s="373"/>
      <c r="U227" s="373"/>
      <c r="V227" s="374"/>
      <c r="W227" s="345">
        <v>4.5</v>
      </c>
      <c r="X227" s="346"/>
      <c r="Y227" s="346"/>
      <c r="Z227" s="346"/>
      <c r="AA227" s="346"/>
      <c r="AB227" s="347"/>
      <c r="AC227" s="366">
        <v>4205.03</v>
      </c>
      <c r="AD227" s="367"/>
      <c r="AE227" s="368"/>
      <c r="AF227" s="236">
        <v>2</v>
      </c>
    </row>
    <row r="228" spans="1:32" ht="14.45" customHeight="1" x14ac:dyDescent="0.25">
      <c r="A228" s="331" t="s">
        <v>900</v>
      </c>
      <c r="B228" s="342" t="s">
        <v>462</v>
      </c>
      <c r="C228" s="343"/>
      <c r="D228" s="343"/>
      <c r="E228" s="343"/>
      <c r="F228" s="343"/>
      <c r="G228" s="343"/>
      <c r="H228" s="343"/>
      <c r="I228" s="343"/>
      <c r="J228" s="343"/>
      <c r="K228" s="343"/>
      <c r="L228" s="343"/>
      <c r="M228" s="344"/>
      <c r="N228" s="342" t="s">
        <v>97</v>
      </c>
      <c r="O228" s="343"/>
      <c r="P228" s="344"/>
      <c r="Q228" s="348">
        <v>11568.92</v>
      </c>
      <c r="R228" s="349"/>
      <c r="S228" s="349"/>
      <c r="T228" s="349"/>
      <c r="U228" s="349"/>
      <c r="V228" s="350"/>
      <c r="W228" s="381">
        <v>35</v>
      </c>
      <c r="X228" s="382"/>
      <c r="Y228" s="382"/>
      <c r="Z228" s="382"/>
      <c r="AA228" s="382"/>
      <c r="AB228" s="383"/>
      <c r="AC228" s="393">
        <v>404912.2</v>
      </c>
      <c r="AD228" s="394"/>
      <c r="AE228" s="395"/>
      <c r="AF228" s="236">
        <v>1</v>
      </c>
    </row>
    <row r="229" spans="1:32" ht="14.45" customHeight="1" x14ac:dyDescent="0.25">
      <c r="A229" s="331" t="s">
        <v>901</v>
      </c>
      <c r="B229" s="342" t="s">
        <v>484</v>
      </c>
      <c r="C229" s="343"/>
      <c r="D229" s="343"/>
      <c r="E229" s="343"/>
      <c r="F229" s="343"/>
      <c r="G229" s="343"/>
      <c r="H229" s="343"/>
      <c r="I229" s="343"/>
      <c r="J229" s="343"/>
      <c r="K229" s="343"/>
      <c r="L229" s="343"/>
      <c r="M229" s="344"/>
      <c r="N229" s="342" t="s">
        <v>97</v>
      </c>
      <c r="O229" s="343"/>
      <c r="P229" s="344"/>
      <c r="Q229" s="363">
        <v>2110.2399999999998</v>
      </c>
      <c r="R229" s="364"/>
      <c r="S229" s="364"/>
      <c r="T229" s="364"/>
      <c r="U229" s="364"/>
      <c r="V229" s="365"/>
      <c r="W229" s="381">
        <v>22</v>
      </c>
      <c r="X229" s="382"/>
      <c r="Y229" s="382"/>
      <c r="Z229" s="382"/>
      <c r="AA229" s="382"/>
      <c r="AB229" s="383"/>
      <c r="AC229" s="336">
        <v>46425.279999999999</v>
      </c>
      <c r="AD229" s="337"/>
      <c r="AE229" s="338"/>
      <c r="AF229" s="236">
        <v>1</v>
      </c>
    </row>
    <row r="230" spans="1:32" ht="14.45" customHeight="1" x14ac:dyDescent="0.25">
      <c r="A230" s="330" t="s">
        <v>435</v>
      </c>
      <c r="B230" s="357" t="s">
        <v>20</v>
      </c>
      <c r="C230" s="358"/>
      <c r="D230" s="358"/>
      <c r="E230" s="358"/>
      <c r="F230" s="358"/>
      <c r="G230" s="358"/>
      <c r="H230" s="358"/>
      <c r="I230" s="358"/>
      <c r="J230" s="358"/>
      <c r="K230" s="358"/>
      <c r="L230" s="358"/>
      <c r="M230" s="359"/>
      <c r="N230" s="357"/>
      <c r="O230" s="358"/>
      <c r="P230" s="359"/>
      <c r="Q230" s="360"/>
      <c r="R230" s="361"/>
      <c r="S230" s="361"/>
      <c r="T230" s="361"/>
      <c r="U230" s="361"/>
      <c r="V230" s="362"/>
      <c r="W230" s="360"/>
      <c r="X230" s="361"/>
      <c r="Y230" s="361"/>
      <c r="Z230" s="361"/>
      <c r="AA230" s="361"/>
      <c r="AB230" s="362"/>
      <c r="AC230" s="384">
        <v>405459.35</v>
      </c>
      <c r="AD230" s="385"/>
      <c r="AE230" s="386"/>
    </row>
    <row r="231" spans="1:32" ht="14.45" customHeight="1" x14ac:dyDescent="0.25">
      <c r="A231" s="330" t="s">
        <v>437</v>
      </c>
      <c r="B231" s="357" t="s">
        <v>20</v>
      </c>
      <c r="C231" s="358"/>
      <c r="D231" s="358"/>
      <c r="E231" s="358"/>
      <c r="F231" s="358"/>
      <c r="G231" s="358"/>
      <c r="H231" s="358"/>
      <c r="I231" s="358"/>
      <c r="J231" s="358"/>
      <c r="K231" s="358"/>
      <c r="L231" s="358"/>
      <c r="M231" s="359"/>
      <c r="N231" s="357"/>
      <c r="O231" s="358"/>
      <c r="P231" s="359"/>
      <c r="Q231" s="360"/>
      <c r="R231" s="361"/>
      <c r="S231" s="361"/>
      <c r="T231" s="361"/>
      <c r="U231" s="361"/>
      <c r="V231" s="362"/>
      <c r="W231" s="360"/>
      <c r="X231" s="361"/>
      <c r="Y231" s="361"/>
      <c r="Z231" s="361"/>
      <c r="AA231" s="361"/>
      <c r="AB231" s="362"/>
      <c r="AC231" s="384">
        <v>405459.35</v>
      </c>
      <c r="AD231" s="385"/>
      <c r="AE231" s="386"/>
    </row>
    <row r="232" spans="1:32" ht="14.45" customHeight="1" x14ac:dyDescent="0.25">
      <c r="A232" s="330" t="s">
        <v>438</v>
      </c>
      <c r="B232" s="357" t="s">
        <v>466</v>
      </c>
      <c r="C232" s="358"/>
      <c r="D232" s="358"/>
      <c r="E232" s="358"/>
      <c r="F232" s="358"/>
      <c r="G232" s="358"/>
      <c r="H232" s="358"/>
      <c r="I232" s="358"/>
      <c r="J232" s="358"/>
      <c r="K232" s="358"/>
      <c r="L232" s="358"/>
      <c r="M232" s="359"/>
      <c r="N232" s="357"/>
      <c r="O232" s="358"/>
      <c r="P232" s="359"/>
      <c r="Q232" s="360"/>
      <c r="R232" s="361"/>
      <c r="S232" s="361"/>
      <c r="T232" s="361"/>
      <c r="U232" s="361"/>
      <c r="V232" s="362"/>
      <c r="W232" s="360"/>
      <c r="X232" s="361"/>
      <c r="Y232" s="361"/>
      <c r="Z232" s="361"/>
      <c r="AA232" s="361"/>
      <c r="AB232" s="362"/>
      <c r="AC232" s="354">
        <v>14321.37</v>
      </c>
      <c r="AD232" s="355"/>
      <c r="AE232" s="356"/>
    </row>
    <row r="233" spans="1:32" ht="14.45" customHeight="1" x14ac:dyDescent="0.25">
      <c r="A233" s="331" t="s">
        <v>440</v>
      </c>
      <c r="B233" s="342" t="s">
        <v>468</v>
      </c>
      <c r="C233" s="343"/>
      <c r="D233" s="343"/>
      <c r="E233" s="343"/>
      <c r="F233" s="343"/>
      <c r="G233" s="343"/>
      <c r="H233" s="343"/>
      <c r="I233" s="343"/>
      <c r="J233" s="343"/>
      <c r="K233" s="343"/>
      <c r="L233" s="343"/>
      <c r="M233" s="344"/>
      <c r="N233" s="342" t="s">
        <v>97</v>
      </c>
      <c r="O233" s="343"/>
      <c r="P233" s="344"/>
      <c r="Q233" s="363">
        <v>2670.53</v>
      </c>
      <c r="R233" s="364"/>
      <c r="S233" s="364"/>
      <c r="T233" s="364"/>
      <c r="U233" s="364"/>
      <c r="V233" s="365"/>
      <c r="W233" s="345">
        <v>5.2789999999999999</v>
      </c>
      <c r="X233" s="346"/>
      <c r="Y233" s="346"/>
      <c r="Z233" s="346"/>
      <c r="AA233" s="346"/>
      <c r="AB233" s="347"/>
      <c r="AC233" s="336">
        <v>14097.73</v>
      </c>
      <c r="AD233" s="337"/>
      <c r="AE233" s="338"/>
    </row>
    <row r="234" spans="1:32" ht="14.45" customHeight="1" x14ac:dyDescent="0.25">
      <c r="A234" s="331" t="s">
        <v>442</v>
      </c>
      <c r="B234" s="342" t="s">
        <v>470</v>
      </c>
      <c r="C234" s="343"/>
      <c r="D234" s="343"/>
      <c r="E234" s="343"/>
      <c r="F234" s="343"/>
      <c r="G234" s="343"/>
      <c r="H234" s="343"/>
      <c r="I234" s="343"/>
      <c r="J234" s="343"/>
      <c r="K234" s="343"/>
      <c r="L234" s="343"/>
      <c r="M234" s="344"/>
      <c r="N234" s="342" t="s">
        <v>97</v>
      </c>
      <c r="O234" s="343"/>
      <c r="P234" s="344"/>
      <c r="Q234" s="345">
        <v>9.59</v>
      </c>
      <c r="R234" s="346"/>
      <c r="S234" s="346"/>
      <c r="T234" s="346"/>
      <c r="U234" s="346"/>
      <c r="V234" s="347"/>
      <c r="W234" s="345">
        <v>5.46</v>
      </c>
      <c r="X234" s="346"/>
      <c r="Y234" s="346"/>
      <c r="Z234" s="346"/>
      <c r="AA234" s="346"/>
      <c r="AB234" s="347"/>
      <c r="AC234" s="387">
        <v>52.36</v>
      </c>
      <c r="AD234" s="388"/>
      <c r="AE234" s="389"/>
    </row>
    <row r="235" spans="1:32" ht="14.45" customHeight="1" x14ac:dyDescent="0.25">
      <c r="A235" s="331" t="s">
        <v>444</v>
      </c>
      <c r="B235" s="342" t="s">
        <v>471</v>
      </c>
      <c r="C235" s="343"/>
      <c r="D235" s="343"/>
      <c r="E235" s="343"/>
      <c r="F235" s="343"/>
      <c r="G235" s="343"/>
      <c r="H235" s="343"/>
      <c r="I235" s="343"/>
      <c r="J235" s="343"/>
      <c r="K235" s="343"/>
      <c r="L235" s="343"/>
      <c r="M235" s="344"/>
      <c r="N235" s="342" t="s">
        <v>97</v>
      </c>
      <c r="O235" s="343"/>
      <c r="P235" s="344"/>
      <c r="Q235" s="345">
        <v>9.59</v>
      </c>
      <c r="R235" s="346"/>
      <c r="S235" s="346"/>
      <c r="T235" s="346"/>
      <c r="U235" s="346"/>
      <c r="V235" s="347"/>
      <c r="W235" s="381">
        <v>17.86</v>
      </c>
      <c r="X235" s="382"/>
      <c r="Y235" s="382"/>
      <c r="Z235" s="382"/>
      <c r="AA235" s="382"/>
      <c r="AB235" s="383"/>
      <c r="AC235" s="375">
        <v>171.28</v>
      </c>
      <c r="AD235" s="376"/>
      <c r="AE235" s="377"/>
    </row>
    <row r="236" spans="1:32" ht="14.45" customHeight="1" x14ac:dyDescent="0.25">
      <c r="A236" s="330" t="s">
        <v>447</v>
      </c>
      <c r="B236" s="357" t="s">
        <v>473</v>
      </c>
      <c r="C236" s="358"/>
      <c r="D236" s="358"/>
      <c r="E236" s="358"/>
      <c r="F236" s="358"/>
      <c r="G236" s="358"/>
      <c r="H236" s="358"/>
      <c r="I236" s="358"/>
      <c r="J236" s="358"/>
      <c r="K236" s="358"/>
      <c r="L236" s="358"/>
      <c r="M236" s="359"/>
      <c r="N236" s="357"/>
      <c r="O236" s="358"/>
      <c r="P236" s="359"/>
      <c r="Q236" s="360"/>
      <c r="R236" s="361"/>
      <c r="S236" s="361"/>
      <c r="T236" s="361"/>
      <c r="U236" s="361"/>
      <c r="V236" s="362"/>
      <c r="W236" s="360"/>
      <c r="X236" s="361"/>
      <c r="Y236" s="361"/>
      <c r="Z236" s="361"/>
      <c r="AA236" s="361"/>
      <c r="AB236" s="362"/>
      <c r="AC236" s="384">
        <v>281390.05</v>
      </c>
      <c r="AD236" s="385"/>
      <c r="AE236" s="386"/>
    </row>
    <row r="237" spans="1:32" ht="14.45" customHeight="1" x14ac:dyDescent="0.25">
      <c r="A237" s="331" t="s">
        <v>449</v>
      </c>
      <c r="B237" s="342" t="s">
        <v>475</v>
      </c>
      <c r="C237" s="343"/>
      <c r="D237" s="343"/>
      <c r="E237" s="343"/>
      <c r="F237" s="343"/>
      <c r="G237" s="343"/>
      <c r="H237" s="343"/>
      <c r="I237" s="343"/>
      <c r="J237" s="343"/>
      <c r="K237" s="343"/>
      <c r="L237" s="343"/>
      <c r="M237" s="344"/>
      <c r="N237" s="342" t="s">
        <v>97</v>
      </c>
      <c r="O237" s="343"/>
      <c r="P237" s="344"/>
      <c r="Q237" s="363">
        <v>2827.03</v>
      </c>
      <c r="R237" s="364"/>
      <c r="S237" s="364"/>
      <c r="T237" s="364"/>
      <c r="U237" s="364"/>
      <c r="V237" s="365"/>
      <c r="W237" s="381">
        <v>60</v>
      </c>
      <c r="X237" s="382"/>
      <c r="Y237" s="382"/>
      <c r="Z237" s="382"/>
      <c r="AA237" s="382"/>
      <c r="AB237" s="383"/>
      <c r="AC237" s="393">
        <v>169621.8</v>
      </c>
      <c r="AD237" s="394"/>
      <c r="AE237" s="395"/>
    </row>
    <row r="238" spans="1:32" ht="14.45" customHeight="1" x14ac:dyDescent="0.25">
      <c r="A238" s="331" t="s">
        <v>451</v>
      </c>
      <c r="B238" s="342" t="s">
        <v>902</v>
      </c>
      <c r="C238" s="343"/>
      <c r="D238" s="343"/>
      <c r="E238" s="343"/>
      <c r="F238" s="343"/>
      <c r="G238" s="343"/>
      <c r="H238" s="343"/>
      <c r="I238" s="343"/>
      <c r="J238" s="343"/>
      <c r="K238" s="343"/>
      <c r="L238" s="343"/>
      <c r="M238" s="344"/>
      <c r="N238" s="342" t="s">
        <v>157</v>
      </c>
      <c r="O238" s="343"/>
      <c r="P238" s="344"/>
      <c r="Q238" s="363">
        <v>4470.7299999999996</v>
      </c>
      <c r="R238" s="364"/>
      <c r="S238" s="364"/>
      <c r="T238" s="364"/>
      <c r="U238" s="364"/>
      <c r="V238" s="365"/>
      <c r="W238" s="381">
        <v>25</v>
      </c>
      <c r="X238" s="382"/>
      <c r="Y238" s="382"/>
      <c r="Z238" s="382"/>
      <c r="AA238" s="382"/>
      <c r="AB238" s="383"/>
      <c r="AC238" s="393">
        <v>111768.25</v>
      </c>
      <c r="AD238" s="394"/>
      <c r="AE238" s="395"/>
    </row>
    <row r="239" spans="1:32" ht="14.45" customHeight="1" x14ac:dyDescent="0.25">
      <c r="A239" s="330" t="s">
        <v>453</v>
      </c>
      <c r="B239" s="357" t="s">
        <v>454</v>
      </c>
      <c r="C239" s="358"/>
      <c r="D239" s="358"/>
      <c r="E239" s="358"/>
      <c r="F239" s="358"/>
      <c r="G239" s="358"/>
      <c r="H239" s="358"/>
      <c r="I239" s="358"/>
      <c r="J239" s="358"/>
      <c r="K239" s="358"/>
      <c r="L239" s="358"/>
      <c r="M239" s="359"/>
      <c r="N239" s="357"/>
      <c r="O239" s="358"/>
      <c r="P239" s="359"/>
      <c r="Q239" s="360"/>
      <c r="R239" s="361"/>
      <c r="S239" s="361"/>
      <c r="T239" s="361"/>
      <c r="U239" s="361"/>
      <c r="V239" s="362"/>
      <c r="W239" s="360"/>
      <c r="X239" s="361"/>
      <c r="Y239" s="361"/>
      <c r="Z239" s="361"/>
      <c r="AA239" s="361"/>
      <c r="AB239" s="362"/>
      <c r="AC239" s="354">
        <v>50497.59</v>
      </c>
      <c r="AD239" s="355"/>
      <c r="AE239" s="356"/>
    </row>
    <row r="240" spans="1:32" ht="14.45" customHeight="1" x14ac:dyDescent="0.25">
      <c r="A240" s="331" t="s">
        <v>455</v>
      </c>
      <c r="B240" s="342" t="s">
        <v>478</v>
      </c>
      <c r="C240" s="343"/>
      <c r="D240" s="343"/>
      <c r="E240" s="343"/>
      <c r="F240" s="343"/>
      <c r="G240" s="343"/>
      <c r="H240" s="343"/>
      <c r="I240" s="343"/>
      <c r="J240" s="343"/>
      <c r="K240" s="343"/>
      <c r="L240" s="343"/>
      <c r="M240" s="344"/>
      <c r="N240" s="342" t="s">
        <v>97</v>
      </c>
      <c r="O240" s="343"/>
      <c r="P240" s="344"/>
      <c r="Q240" s="372">
        <v>587.34</v>
      </c>
      <c r="R240" s="373"/>
      <c r="S240" s="373"/>
      <c r="T240" s="373"/>
      <c r="U240" s="373"/>
      <c r="V240" s="374"/>
      <c r="W240" s="381">
        <v>83.324799999999996</v>
      </c>
      <c r="X240" s="382"/>
      <c r="Y240" s="382"/>
      <c r="Z240" s="382"/>
      <c r="AA240" s="382"/>
      <c r="AB240" s="383"/>
      <c r="AC240" s="336">
        <v>48939.99</v>
      </c>
      <c r="AD240" s="337"/>
      <c r="AE240" s="338"/>
    </row>
    <row r="241" spans="1:32" ht="14.45" customHeight="1" x14ac:dyDescent="0.25">
      <c r="A241" s="331" t="s">
        <v>903</v>
      </c>
      <c r="B241" s="342" t="s">
        <v>479</v>
      </c>
      <c r="C241" s="343"/>
      <c r="D241" s="343"/>
      <c r="E241" s="343"/>
      <c r="F241" s="343"/>
      <c r="G241" s="343"/>
      <c r="H241" s="343"/>
      <c r="I241" s="343"/>
      <c r="J241" s="343"/>
      <c r="K241" s="343"/>
      <c r="L241" s="343"/>
      <c r="M241" s="344"/>
      <c r="N241" s="342" t="s">
        <v>97</v>
      </c>
      <c r="O241" s="343"/>
      <c r="P241" s="344"/>
      <c r="Q241" s="381">
        <v>28.32</v>
      </c>
      <c r="R241" s="382"/>
      <c r="S241" s="382"/>
      <c r="T241" s="382"/>
      <c r="U241" s="382"/>
      <c r="V241" s="383"/>
      <c r="W241" s="381">
        <v>55</v>
      </c>
      <c r="X241" s="382"/>
      <c r="Y241" s="382"/>
      <c r="Z241" s="382"/>
      <c r="AA241" s="382"/>
      <c r="AB241" s="383"/>
      <c r="AC241" s="366">
        <v>1557.6</v>
      </c>
      <c r="AD241" s="367"/>
      <c r="AE241" s="368"/>
    </row>
    <row r="242" spans="1:32" ht="14.45" customHeight="1" x14ac:dyDescent="0.25">
      <c r="A242" s="330" t="s">
        <v>457</v>
      </c>
      <c r="B242" s="357" t="s">
        <v>145</v>
      </c>
      <c r="C242" s="358"/>
      <c r="D242" s="358"/>
      <c r="E242" s="358"/>
      <c r="F242" s="358"/>
      <c r="G242" s="358"/>
      <c r="H242" s="358"/>
      <c r="I242" s="358"/>
      <c r="J242" s="358"/>
      <c r="K242" s="358"/>
      <c r="L242" s="358"/>
      <c r="M242" s="359"/>
      <c r="N242" s="357"/>
      <c r="O242" s="358"/>
      <c r="P242" s="359"/>
      <c r="Q242" s="360"/>
      <c r="R242" s="361"/>
      <c r="S242" s="361"/>
      <c r="T242" s="361"/>
      <c r="U242" s="361"/>
      <c r="V242" s="362"/>
      <c r="W242" s="360"/>
      <c r="X242" s="361"/>
      <c r="Y242" s="361"/>
      <c r="Z242" s="361"/>
      <c r="AA242" s="361"/>
      <c r="AB242" s="362"/>
      <c r="AC242" s="354">
        <v>59250.34</v>
      </c>
      <c r="AD242" s="355"/>
      <c r="AE242" s="356"/>
    </row>
    <row r="243" spans="1:32" ht="14.45" customHeight="1" x14ac:dyDescent="0.25">
      <c r="A243" s="331" t="s">
        <v>459</v>
      </c>
      <c r="B243" s="342" t="s">
        <v>482</v>
      </c>
      <c r="C243" s="343"/>
      <c r="D243" s="343"/>
      <c r="E243" s="343"/>
      <c r="F243" s="343"/>
      <c r="G243" s="343"/>
      <c r="H243" s="343"/>
      <c r="I243" s="343"/>
      <c r="J243" s="343"/>
      <c r="K243" s="343"/>
      <c r="L243" s="343"/>
      <c r="M243" s="344"/>
      <c r="N243" s="342" t="s">
        <v>97</v>
      </c>
      <c r="O243" s="343"/>
      <c r="P243" s="344"/>
      <c r="Q243" s="345">
        <v>9.59</v>
      </c>
      <c r="R243" s="346"/>
      <c r="S243" s="346"/>
      <c r="T243" s="346"/>
      <c r="U243" s="346"/>
      <c r="V243" s="347"/>
      <c r="W243" s="381">
        <v>52</v>
      </c>
      <c r="X243" s="382"/>
      <c r="Y243" s="382"/>
      <c r="Z243" s="382"/>
      <c r="AA243" s="382"/>
      <c r="AB243" s="383"/>
      <c r="AC243" s="375">
        <v>498.68</v>
      </c>
      <c r="AD243" s="376"/>
      <c r="AE243" s="377"/>
    </row>
    <row r="244" spans="1:32" ht="14.45" customHeight="1" x14ac:dyDescent="0.25">
      <c r="A244" s="331" t="s">
        <v>904</v>
      </c>
      <c r="B244" s="342" t="s">
        <v>484</v>
      </c>
      <c r="C244" s="343"/>
      <c r="D244" s="343"/>
      <c r="E244" s="343"/>
      <c r="F244" s="343"/>
      <c r="G244" s="343"/>
      <c r="H244" s="343"/>
      <c r="I244" s="343"/>
      <c r="J244" s="343"/>
      <c r="K244" s="343"/>
      <c r="L244" s="343"/>
      <c r="M244" s="344"/>
      <c r="N244" s="342" t="s">
        <v>97</v>
      </c>
      <c r="O244" s="343"/>
      <c r="P244" s="344"/>
      <c r="Q244" s="363">
        <v>2670.53</v>
      </c>
      <c r="R244" s="364"/>
      <c r="S244" s="364"/>
      <c r="T244" s="364"/>
      <c r="U244" s="364"/>
      <c r="V244" s="365"/>
      <c r="W244" s="381">
        <v>22</v>
      </c>
      <c r="X244" s="382"/>
      <c r="Y244" s="382"/>
      <c r="Z244" s="382"/>
      <c r="AA244" s="382"/>
      <c r="AB244" s="383"/>
      <c r="AC244" s="336">
        <v>58751.66</v>
      </c>
      <c r="AD244" s="337"/>
      <c r="AE244" s="338"/>
    </row>
    <row r="245" spans="1:32" ht="14.45" customHeight="1" x14ac:dyDescent="0.25">
      <c r="A245" s="330" t="s">
        <v>463</v>
      </c>
      <c r="B245" s="357" t="s">
        <v>486</v>
      </c>
      <c r="C245" s="358"/>
      <c r="D245" s="358"/>
      <c r="E245" s="358"/>
      <c r="F245" s="358"/>
      <c r="G245" s="358"/>
      <c r="H245" s="358"/>
      <c r="I245" s="358"/>
      <c r="J245" s="358"/>
      <c r="K245" s="358"/>
      <c r="L245" s="358"/>
      <c r="M245" s="359"/>
      <c r="N245" s="357"/>
      <c r="O245" s="358"/>
      <c r="P245" s="359"/>
      <c r="Q245" s="360"/>
      <c r="R245" s="361"/>
      <c r="S245" s="361"/>
      <c r="T245" s="361"/>
      <c r="U245" s="361"/>
      <c r="V245" s="362"/>
      <c r="W245" s="360"/>
      <c r="X245" s="361"/>
      <c r="Y245" s="361"/>
      <c r="Z245" s="361"/>
      <c r="AA245" s="361"/>
      <c r="AB245" s="362"/>
      <c r="AC245" s="396">
        <v>1762646.2</v>
      </c>
      <c r="AD245" s="397"/>
      <c r="AE245" s="398"/>
    </row>
    <row r="246" spans="1:32" ht="14.45" customHeight="1" x14ac:dyDescent="0.25">
      <c r="A246" s="330" t="s">
        <v>464</v>
      </c>
      <c r="B246" s="357" t="s">
        <v>486</v>
      </c>
      <c r="C246" s="358"/>
      <c r="D246" s="358"/>
      <c r="E246" s="358"/>
      <c r="F246" s="358"/>
      <c r="G246" s="358"/>
      <c r="H246" s="358"/>
      <c r="I246" s="358"/>
      <c r="J246" s="358"/>
      <c r="K246" s="358"/>
      <c r="L246" s="358"/>
      <c r="M246" s="359"/>
      <c r="N246" s="357"/>
      <c r="O246" s="358"/>
      <c r="P246" s="359"/>
      <c r="Q246" s="360"/>
      <c r="R246" s="361"/>
      <c r="S246" s="361"/>
      <c r="T246" s="361"/>
      <c r="U246" s="361"/>
      <c r="V246" s="362"/>
      <c r="W246" s="360"/>
      <c r="X246" s="361"/>
      <c r="Y246" s="361"/>
      <c r="Z246" s="361"/>
      <c r="AA246" s="361"/>
      <c r="AB246" s="362"/>
      <c r="AC246" s="396">
        <v>1762646.2</v>
      </c>
      <c r="AD246" s="397"/>
      <c r="AE246" s="398"/>
    </row>
    <row r="247" spans="1:32" ht="14.45" customHeight="1" x14ac:dyDescent="0.25">
      <c r="A247" s="330" t="s">
        <v>465</v>
      </c>
      <c r="B247" s="357" t="s">
        <v>489</v>
      </c>
      <c r="C247" s="358"/>
      <c r="D247" s="358"/>
      <c r="E247" s="358"/>
      <c r="F247" s="358"/>
      <c r="G247" s="358"/>
      <c r="H247" s="358"/>
      <c r="I247" s="358"/>
      <c r="J247" s="358"/>
      <c r="K247" s="358"/>
      <c r="L247" s="358"/>
      <c r="M247" s="359"/>
      <c r="N247" s="357"/>
      <c r="O247" s="358"/>
      <c r="P247" s="359"/>
      <c r="Q247" s="360"/>
      <c r="R247" s="361"/>
      <c r="S247" s="361"/>
      <c r="T247" s="361"/>
      <c r="U247" s="361"/>
      <c r="V247" s="362"/>
      <c r="W247" s="360"/>
      <c r="X247" s="361"/>
      <c r="Y247" s="361"/>
      <c r="Z247" s="361"/>
      <c r="AA247" s="361"/>
      <c r="AB247" s="362"/>
      <c r="AC247" s="384">
        <v>181759.05</v>
      </c>
      <c r="AD247" s="385"/>
      <c r="AE247" s="386"/>
    </row>
    <row r="248" spans="1:32" ht="14.45" customHeight="1" x14ac:dyDescent="0.25">
      <c r="A248" s="331" t="s">
        <v>467</v>
      </c>
      <c r="B248" s="342" t="s">
        <v>491</v>
      </c>
      <c r="C248" s="343"/>
      <c r="D248" s="343"/>
      <c r="E248" s="343"/>
      <c r="F248" s="343"/>
      <c r="G248" s="343"/>
      <c r="H248" s="343"/>
      <c r="I248" s="343"/>
      <c r="J248" s="343"/>
      <c r="K248" s="343"/>
      <c r="L248" s="343"/>
      <c r="M248" s="344"/>
      <c r="N248" s="342" t="s">
        <v>97</v>
      </c>
      <c r="O248" s="343"/>
      <c r="P248" s="344"/>
      <c r="Q248" s="363">
        <v>6896.37</v>
      </c>
      <c r="R248" s="364"/>
      <c r="S248" s="364"/>
      <c r="T248" s="364"/>
      <c r="U248" s="364"/>
      <c r="V248" s="365"/>
      <c r="W248" s="381">
        <v>26.125</v>
      </c>
      <c r="X248" s="382"/>
      <c r="Y248" s="382"/>
      <c r="Z248" s="382"/>
      <c r="AA248" s="382"/>
      <c r="AB248" s="383"/>
      <c r="AC248" s="393">
        <v>180167.67</v>
      </c>
      <c r="AD248" s="394"/>
      <c r="AE248" s="395"/>
      <c r="AF248" s="236">
        <v>1</v>
      </c>
    </row>
    <row r="249" spans="1:32" ht="14.45" customHeight="1" x14ac:dyDescent="0.25">
      <c r="A249" s="331" t="s">
        <v>469</v>
      </c>
      <c r="B249" s="342" t="s">
        <v>905</v>
      </c>
      <c r="C249" s="343"/>
      <c r="D249" s="343"/>
      <c r="E249" s="343"/>
      <c r="F249" s="343"/>
      <c r="G249" s="343"/>
      <c r="H249" s="343"/>
      <c r="I249" s="343"/>
      <c r="J249" s="343"/>
      <c r="K249" s="343"/>
      <c r="L249" s="343"/>
      <c r="M249" s="344"/>
      <c r="N249" s="342" t="s">
        <v>97</v>
      </c>
      <c r="O249" s="343"/>
      <c r="P249" s="344"/>
      <c r="Q249" s="381">
        <v>50.57</v>
      </c>
      <c r="R249" s="382"/>
      <c r="S249" s="382"/>
      <c r="T249" s="382"/>
      <c r="U249" s="382"/>
      <c r="V249" s="383"/>
      <c r="W249" s="381">
        <v>31.468800000000002</v>
      </c>
      <c r="X249" s="382"/>
      <c r="Y249" s="382"/>
      <c r="Z249" s="382"/>
      <c r="AA249" s="382"/>
      <c r="AB249" s="383"/>
      <c r="AC249" s="366">
        <v>1591.38</v>
      </c>
      <c r="AD249" s="367"/>
      <c r="AE249" s="368"/>
      <c r="AF249" s="236">
        <v>1</v>
      </c>
    </row>
    <row r="250" spans="1:32" ht="14.45" customHeight="1" x14ac:dyDescent="0.25">
      <c r="A250" s="330" t="s">
        <v>472</v>
      </c>
      <c r="B250" s="357" t="s">
        <v>493</v>
      </c>
      <c r="C250" s="358"/>
      <c r="D250" s="358"/>
      <c r="E250" s="358"/>
      <c r="F250" s="358"/>
      <c r="G250" s="358"/>
      <c r="H250" s="358"/>
      <c r="I250" s="358"/>
      <c r="J250" s="358"/>
      <c r="K250" s="358"/>
      <c r="L250" s="358"/>
      <c r="M250" s="359"/>
      <c r="N250" s="357"/>
      <c r="O250" s="358"/>
      <c r="P250" s="359"/>
      <c r="Q250" s="360"/>
      <c r="R250" s="361"/>
      <c r="S250" s="361"/>
      <c r="T250" s="361"/>
      <c r="U250" s="361"/>
      <c r="V250" s="362"/>
      <c r="W250" s="360"/>
      <c r="X250" s="361"/>
      <c r="Y250" s="361"/>
      <c r="Z250" s="361"/>
      <c r="AA250" s="361"/>
      <c r="AB250" s="362"/>
      <c r="AC250" s="354">
        <v>25530.79</v>
      </c>
      <c r="AD250" s="355"/>
      <c r="AE250" s="356"/>
    </row>
    <row r="251" spans="1:32" ht="14.45" customHeight="1" x14ac:dyDescent="0.25">
      <c r="A251" s="331" t="s">
        <v>474</v>
      </c>
      <c r="B251" s="342" t="s">
        <v>495</v>
      </c>
      <c r="C251" s="343"/>
      <c r="D251" s="343"/>
      <c r="E251" s="343"/>
      <c r="F251" s="343"/>
      <c r="G251" s="343"/>
      <c r="H251" s="343"/>
      <c r="I251" s="343"/>
      <c r="J251" s="343"/>
      <c r="K251" s="343"/>
      <c r="L251" s="343"/>
      <c r="M251" s="344"/>
      <c r="N251" s="342" t="s">
        <v>97</v>
      </c>
      <c r="O251" s="343"/>
      <c r="P251" s="344"/>
      <c r="Q251" s="363">
        <v>2395.5700000000002</v>
      </c>
      <c r="R251" s="364"/>
      <c r="S251" s="364"/>
      <c r="T251" s="364"/>
      <c r="U251" s="364"/>
      <c r="V251" s="365"/>
      <c r="W251" s="381">
        <v>10.657500000000001</v>
      </c>
      <c r="X251" s="382"/>
      <c r="Y251" s="382"/>
      <c r="Z251" s="382"/>
      <c r="AA251" s="382"/>
      <c r="AB251" s="383"/>
      <c r="AC251" s="336">
        <v>25530.79</v>
      </c>
      <c r="AD251" s="337"/>
      <c r="AE251" s="338"/>
      <c r="AF251" s="236">
        <v>1</v>
      </c>
    </row>
    <row r="252" spans="1:32" ht="14.45" customHeight="1" x14ac:dyDescent="0.25">
      <c r="A252" s="330" t="s">
        <v>476</v>
      </c>
      <c r="B252" s="357" t="s">
        <v>497</v>
      </c>
      <c r="C252" s="358"/>
      <c r="D252" s="358"/>
      <c r="E252" s="358"/>
      <c r="F252" s="358"/>
      <c r="G252" s="358"/>
      <c r="H252" s="358"/>
      <c r="I252" s="358"/>
      <c r="J252" s="358"/>
      <c r="K252" s="358"/>
      <c r="L252" s="358"/>
      <c r="M252" s="359"/>
      <c r="N252" s="357"/>
      <c r="O252" s="358"/>
      <c r="P252" s="359"/>
      <c r="Q252" s="360"/>
      <c r="R252" s="361"/>
      <c r="S252" s="361"/>
      <c r="T252" s="361"/>
      <c r="U252" s="361"/>
      <c r="V252" s="362"/>
      <c r="W252" s="360"/>
      <c r="X252" s="361"/>
      <c r="Y252" s="361"/>
      <c r="Z252" s="361"/>
      <c r="AA252" s="361"/>
      <c r="AB252" s="362"/>
      <c r="AC252" s="412">
        <v>90.34</v>
      </c>
      <c r="AD252" s="413"/>
      <c r="AE252" s="414"/>
    </row>
    <row r="253" spans="1:32" ht="14.45" customHeight="1" x14ac:dyDescent="0.25">
      <c r="A253" s="331" t="s">
        <v>477</v>
      </c>
      <c r="B253" s="342" t="s">
        <v>499</v>
      </c>
      <c r="C253" s="343"/>
      <c r="D253" s="343"/>
      <c r="E253" s="343"/>
      <c r="F253" s="343"/>
      <c r="G253" s="343"/>
      <c r="H253" s="343"/>
      <c r="I253" s="343"/>
      <c r="J253" s="343"/>
      <c r="K253" s="343"/>
      <c r="L253" s="343"/>
      <c r="M253" s="344"/>
      <c r="N253" s="342" t="s">
        <v>97</v>
      </c>
      <c r="O253" s="343"/>
      <c r="P253" s="344"/>
      <c r="Q253" s="381">
        <v>53.65</v>
      </c>
      <c r="R253" s="382"/>
      <c r="S253" s="382"/>
      <c r="T253" s="382"/>
      <c r="U253" s="382"/>
      <c r="V253" s="383"/>
      <c r="W253" s="345">
        <v>1.6838</v>
      </c>
      <c r="X253" s="346"/>
      <c r="Y253" s="346"/>
      <c r="Z253" s="346"/>
      <c r="AA253" s="346"/>
      <c r="AB253" s="347"/>
      <c r="AC253" s="387">
        <v>90.34</v>
      </c>
      <c r="AD253" s="388"/>
      <c r="AE253" s="389"/>
      <c r="AF253" s="236">
        <v>1</v>
      </c>
    </row>
    <row r="254" spans="1:32" ht="14.45" customHeight="1" x14ac:dyDescent="0.25">
      <c r="A254" s="330" t="s">
        <v>480</v>
      </c>
      <c r="B254" s="357" t="s">
        <v>501</v>
      </c>
      <c r="C254" s="358"/>
      <c r="D254" s="358"/>
      <c r="E254" s="358"/>
      <c r="F254" s="358"/>
      <c r="G254" s="358"/>
      <c r="H254" s="358"/>
      <c r="I254" s="358"/>
      <c r="J254" s="358"/>
      <c r="K254" s="358"/>
      <c r="L254" s="358"/>
      <c r="M254" s="359"/>
      <c r="N254" s="357"/>
      <c r="O254" s="358"/>
      <c r="P254" s="359"/>
      <c r="Q254" s="360"/>
      <c r="R254" s="361"/>
      <c r="S254" s="361"/>
      <c r="T254" s="361"/>
      <c r="U254" s="361"/>
      <c r="V254" s="362"/>
      <c r="W254" s="360"/>
      <c r="X254" s="361"/>
      <c r="Y254" s="361"/>
      <c r="Z254" s="361"/>
      <c r="AA254" s="361"/>
      <c r="AB254" s="362"/>
      <c r="AC254" s="384">
        <v>566010.91</v>
      </c>
      <c r="AD254" s="385"/>
      <c r="AE254" s="386"/>
    </row>
    <row r="255" spans="1:32" ht="14.45" customHeight="1" x14ac:dyDescent="0.25">
      <c r="A255" s="331" t="s">
        <v>481</v>
      </c>
      <c r="B255" s="342" t="s">
        <v>906</v>
      </c>
      <c r="C255" s="343"/>
      <c r="D255" s="343"/>
      <c r="E255" s="343"/>
      <c r="F255" s="343"/>
      <c r="G255" s="343"/>
      <c r="H255" s="343"/>
      <c r="I255" s="343"/>
      <c r="J255" s="343"/>
      <c r="K255" s="343"/>
      <c r="L255" s="343"/>
      <c r="M255" s="344"/>
      <c r="N255" s="342" t="s">
        <v>97</v>
      </c>
      <c r="O255" s="343"/>
      <c r="P255" s="344"/>
      <c r="Q255" s="363">
        <v>2310.65</v>
      </c>
      <c r="R255" s="364"/>
      <c r="S255" s="364"/>
      <c r="T255" s="364"/>
      <c r="U255" s="364"/>
      <c r="V255" s="365"/>
      <c r="W255" s="372">
        <v>137.45259999999999</v>
      </c>
      <c r="X255" s="373"/>
      <c r="Y255" s="373"/>
      <c r="Z255" s="373"/>
      <c r="AA255" s="373"/>
      <c r="AB255" s="374"/>
      <c r="AC255" s="393">
        <v>317604.84999999998</v>
      </c>
      <c r="AD255" s="394"/>
      <c r="AE255" s="395"/>
      <c r="AF255" s="236">
        <v>2</v>
      </c>
    </row>
    <row r="256" spans="1:32" ht="14.45" customHeight="1" x14ac:dyDescent="0.25">
      <c r="A256" s="331" t="s">
        <v>483</v>
      </c>
      <c r="B256" s="342" t="s">
        <v>907</v>
      </c>
      <c r="C256" s="343"/>
      <c r="D256" s="343"/>
      <c r="E256" s="343"/>
      <c r="F256" s="343"/>
      <c r="G256" s="343"/>
      <c r="H256" s="343"/>
      <c r="I256" s="343"/>
      <c r="J256" s="343"/>
      <c r="K256" s="343"/>
      <c r="L256" s="343"/>
      <c r="M256" s="344"/>
      <c r="N256" s="342" t="s">
        <v>97</v>
      </c>
      <c r="O256" s="343"/>
      <c r="P256" s="344"/>
      <c r="Q256" s="363">
        <v>2806.17</v>
      </c>
      <c r="R256" s="364"/>
      <c r="S256" s="364"/>
      <c r="T256" s="364"/>
      <c r="U256" s="364"/>
      <c r="V256" s="365"/>
      <c r="W256" s="381">
        <v>83.598100000000002</v>
      </c>
      <c r="X256" s="382"/>
      <c r="Y256" s="382"/>
      <c r="Z256" s="382"/>
      <c r="AA256" s="382"/>
      <c r="AB256" s="383"/>
      <c r="AC256" s="393">
        <v>234590.48</v>
      </c>
      <c r="AD256" s="394"/>
      <c r="AE256" s="395"/>
      <c r="AF256" s="236">
        <v>2</v>
      </c>
    </row>
    <row r="257" spans="1:32" ht="14.45" customHeight="1" x14ac:dyDescent="0.25">
      <c r="A257" s="331" t="s">
        <v>908</v>
      </c>
      <c r="B257" s="342" t="s">
        <v>504</v>
      </c>
      <c r="C257" s="343"/>
      <c r="D257" s="343"/>
      <c r="E257" s="343"/>
      <c r="F257" s="343"/>
      <c r="G257" s="343"/>
      <c r="H257" s="343"/>
      <c r="I257" s="343"/>
      <c r="J257" s="343"/>
      <c r="K257" s="343"/>
      <c r="L257" s="343"/>
      <c r="M257" s="344"/>
      <c r="N257" s="342" t="s">
        <v>97</v>
      </c>
      <c r="O257" s="343"/>
      <c r="P257" s="344"/>
      <c r="Q257" s="372">
        <v>101.57</v>
      </c>
      <c r="R257" s="373"/>
      <c r="S257" s="373"/>
      <c r="T257" s="373"/>
      <c r="U257" s="373"/>
      <c r="V257" s="374"/>
      <c r="W257" s="381">
        <v>55.064999999999998</v>
      </c>
      <c r="X257" s="382"/>
      <c r="Y257" s="382"/>
      <c r="Z257" s="382"/>
      <c r="AA257" s="382"/>
      <c r="AB257" s="383"/>
      <c r="AC257" s="366">
        <v>5592.95</v>
      </c>
      <c r="AD257" s="367"/>
      <c r="AE257" s="368"/>
      <c r="AF257" s="236">
        <v>2</v>
      </c>
    </row>
    <row r="258" spans="1:32" ht="14.45" customHeight="1" x14ac:dyDescent="0.25">
      <c r="A258" s="331" t="s">
        <v>909</v>
      </c>
      <c r="B258" s="342" t="s">
        <v>506</v>
      </c>
      <c r="C258" s="343"/>
      <c r="D258" s="343"/>
      <c r="E258" s="343"/>
      <c r="F258" s="343"/>
      <c r="G258" s="343"/>
      <c r="H258" s="343"/>
      <c r="I258" s="343"/>
      <c r="J258" s="343"/>
      <c r="K258" s="343"/>
      <c r="L258" s="343"/>
      <c r="M258" s="344"/>
      <c r="N258" s="342" t="s">
        <v>97</v>
      </c>
      <c r="O258" s="343"/>
      <c r="P258" s="344"/>
      <c r="Q258" s="381">
        <v>42.6</v>
      </c>
      <c r="R258" s="382"/>
      <c r="S258" s="382"/>
      <c r="T258" s="382"/>
      <c r="U258" s="382"/>
      <c r="V258" s="383"/>
      <c r="W258" s="372">
        <v>193.01939999999999</v>
      </c>
      <c r="X258" s="373"/>
      <c r="Y258" s="373"/>
      <c r="Z258" s="373"/>
      <c r="AA258" s="373"/>
      <c r="AB258" s="374"/>
      <c r="AC258" s="366">
        <v>8222.6299999999992</v>
      </c>
      <c r="AD258" s="367"/>
      <c r="AE258" s="368"/>
      <c r="AF258" s="236">
        <v>2</v>
      </c>
    </row>
    <row r="259" spans="1:32" ht="14.45" customHeight="1" x14ac:dyDescent="0.25">
      <c r="A259" s="330" t="s">
        <v>910</v>
      </c>
      <c r="B259" s="357" t="s">
        <v>507</v>
      </c>
      <c r="C259" s="358"/>
      <c r="D259" s="358"/>
      <c r="E259" s="358"/>
      <c r="F259" s="358"/>
      <c r="G259" s="358"/>
      <c r="H259" s="358"/>
      <c r="I259" s="358"/>
      <c r="J259" s="358"/>
      <c r="K259" s="358"/>
      <c r="L259" s="358"/>
      <c r="M259" s="359"/>
      <c r="N259" s="357"/>
      <c r="O259" s="358"/>
      <c r="P259" s="359"/>
      <c r="Q259" s="360"/>
      <c r="R259" s="361"/>
      <c r="S259" s="361"/>
      <c r="T259" s="361"/>
      <c r="U259" s="361"/>
      <c r="V259" s="362"/>
      <c r="W259" s="360"/>
      <c r="X259" s="361"/>
      <c r="Y259" s="361"/>
      <c r="Z259" s="361"/>
      <c r="AA259" s="361"/>
      <c r="AB259" s="362"/>
      <c r="AC259" s="390">
        <v>3501.52</v>
      </c>
      <c r="AD259" s="391"/>
      <c r="AE259" s="392"/>
    </row>
    <row r="260" spans="1:32" ht="14.45" customHeight="1" x14ac:dyDescent="0.25">
      <c r="A260" s="331" t="s">
        <v>911</v>
      </c>
      <c r="B260" s="342" t="s">
        <v>508</v>
      </c>
      <c r="C260" s="343"/>
      <c r="D260" s="343"/>
      <c r="E260" s="343"/>
      <c r="F260" s="343"/>
      <c r="G260" s="343"/>
      <c r="H260" s="343"/>
      <c r="I260" s="343"/>
      <c r="J260" s="343"/>
      <c r="K260" s="343"/>
      <c r="L260" s="343"/>
      <c r="M260" s="344"/>
      <c r="N260" s="342" t="s">
        <v>97</v>
      </c>
      <c r="O260" s="343"/>
      <c r="P260" s="344"/>
      <c r="Q260" s="345">
        <v>6.22</v>
      </c>
      <c r="R260" s="346"/>
      <c r="S260" s="346"/>
      <c r="T260" s="346"/>
      <c r="U260" s="346"/>
      <c r="V260" s="347"/>
      <c r="W260" s="372">
        <v>562.94579999999996</v>
      </c>
      <c r="X260" s="373"/>
      <c r="Y260" s="373"/>
      <c r="Z260" s="373"/>
      <c r="AA260" s="373"/>
      <c r="AB260" s="374"/>
      <c r="AC260" s="366">
        <v>3501.52</v>
      </c>
      <c r="AD260" s="367"/>
      <c r="AE260" s="368"/>
      <c r="AF260" s="236">
        <v>2</v>
      </c>
    </row>
    <row r="261" spans="1:32" ht="14.45" customHeight="1" x14ac:dyDescent="0.25">
      <c r="A261" s="330" t="s">
        <v>912</v>
      </c>
      <c r="B261" s="357" t="s">
        <v>454</v>
      </c>
      <c r="C261" s="358"/>
      <c r="D261" s="358"/>
      <c r="E261" s="358"/>
      <c r="F261" s="358"/>
      <c r="G261" s="358"/>
      <c r="H261" s="358"/>
      <c r="I261" s="358"/>
      <c r="J261" s="358"/>
      <c r="K261" s="358"/>
      <c r="L261" s="358"/>
      <c r="M261" s="359"/>
      <c r="N261" s="357"/>
      <c r="O261" s="358"/>
      <c r="P261" s="359"/>
      <c r="Q261" s="360"/>
      <c r="R261" s="361"/>
      <c r="S261" s="361"/>
      <c r="T261" s="361"/>
      <c r="U261" s="361"/>
      <c r="V261" s="362"/>
      <c r="W261" s="360"/>
      <c r="X261" s="361"/>
      <c r="Y261" s="361"/>
      <c r="Z261" s="361"/>
      <c r="AA261" s="361"/>
      <c r="AB261" s="362"/>
      <c r="AC261" s="384">
        <v>200848.49</v>
      </c>
      <c r="AD261" s="385"/>
      <c r="AE261" s="386"/>
    </row>
    <row r="262" spans="1:32" ht="14.45" customHeight="1" x14ac:dyDescent="0.25">
      <c r="A262" s="331" t="s">
        <v>913</v>
      </c>
      <c r="B262" s="342" t="s">
        <v>509</v>
      </c>
      <c r="C262" s="343"/>
      <c r="D262" s="343"/>
      <c r="E262" s="343"/>
      <c r="F262" s="343"/>
      <c r="G262" s="343"/>
      <c r="H262" s="343"/>
      <c r="I262" s="343"/>
      <c r="J262" s="343"/>
      <c r="K262" s="343"/>
      <c r="L262" s="343"/>
      <c r="M262" s="344"/>
      <c r="N262" s="342" t="s">
        <v>97</v>
      </c>
      <c r="O262" s="343"/>
      <c r="P262" s="344"/>
      <c r="Q262" s="372">
        <v>864.82</v>
      </c>
      <c r="R262" s="373"/>
      <c r="S262" s="373"/>
      <c r="T262" s="373"/>
      <c r="U262" s="373"/>
      <c r="V262" s="374"/>
      <c r="W262" s="372">
        <v>171.34639999999999</v>
      </c>
      <c r="X262" s="373"/>
      <c r="Y262" s="373"/>
      <c r="Z262" s="373"/>
      <c r="AA262" s="373"/>
      <c r="AB262" s="374"/>
      <c r="AC262" s="393">
        <v>148183.79</v>
      </c>
      <c r="AD262" s="394"/>
      <c r="AE262" s="395"/>
      <c r="AF262" s="236">
        <v>2</v>
      </c>
    </row>
    <row r="263" spans="1:32" ht="14.45" customHeight="1" x14ac:dyDescent="0.25">
      <c r="A263" s="331" t="s">
        <v>914</v>
      </c>
      <c r="B263" s="342" t="s">
        <v>510</v>
      </c>
      <c r="C263" s="343"/>
      <c r="D263" s="343"/>
      <c r="E263" s="343"/>
      <c r="F263" s="343"/>
      <c r="G263" s="343"/>
      <c r="H263" s="343"/>
      <c r="I263" s="343"/>
      <c r="J263" s="343"/>
      <c r="K263" s="343"/>
      <c r="L263" s="343"/>
      <c r="M263" s="344"/>
      <c r="N263" s="342" t="s">
        <v>97</v>
      </c>
      <c r="O263" s="343"/>
      <c r="P263" s="344"/>
      <c r="Q263" s="381">
        <v>76.92</v>
      </c>
      <c r="R263" s="382"/>
      <c r="S263" s="382"/>
      <c r="T263" s="382"/>
      <c r="U263" s="382"/>
      <c r="V263" s="383"/>
      <c r="W263" s="372">
        <v>430</v>
      </c>
      <c r="X263" s="373"/>
      <c r="Y263" s="373"/>
      <c r="Z263" s="373"/>
      <c r="AA263" s="373"/>
      <c r="AB263" s="374"/>
      <c r="AC263" s="336">
        <v>33075.599999999999</v>
      </c>
      <c r="AD263" s="337"/>
      <c r="AE263" s="338"/>
      <c r="AF263" s="236">
        <v>2</v>
      </c>
    </row>
    <row r="264" spans="1:32" ht="14.45" customHeight="1" x14ac:dyDescent="0.25">
      <c r="A264" s="331" t="s">
        <v>915</v>
      </c>
      <c r="B264" s="342" t="s">
        <v>511</v>
      </c>
      <c r="C264" s="343"/>
      <c r="D264" s="343"/>
      <c r="E264" s="343"/>
      <c r="F264" s="343"/>
      <c r="G264" s="343"/>
      <c r="H264" s="343"/>
      <c r="I264" s="343"/>
      <c r="J264" s="343"/>
      <c r="K264" s="343"/>
      <c r="L264" s="343"/>
      <c r="M264" s="344"/>
      <c r="N264" s="342" t="s">
        <v>97</v>
      </c>
      <c r="O264" s="343"/>
      <c r="P264" s="344"/>
      <c r="Q264" s="381">
        <v>85.17</v>
      </c>
      <c r="R264" s="382"/>
      <c r="S264" s="382"/>
      <c r="T264" s="382"/>
      <c r="U264" s="382"/>
      <c r="V264" s="383"/>
      <c r="W264" s="372">
        <v>230</v>
      </c>
      <c r="X264" s="373"/>
      <c r="Y264" s="373"/>
      <c r="Z264" s="373"/>
      <c r="AA264" s="373"/>
      <c r="AB264" s="374"/>
      <c r="AC264" s="336">
        <v>19589.099999999999</v>
      </c>
      <c r="AD264" s="337"/>
      <c r="AE264" s="338"/>
      <c r="AF264" s="236">
        <v>2</v>
      </c>
    </row>
    <row r="265" spans="1:32" ht="14.45" customHeight="1" x14ac:dyDescent="0.25">
      <c r="A265" s="330" t="s">
        <v>916</v>
      </c>
      <c r="B265" s="357" t="s">
        <v>512</v>
      </c>
      <c r="C265" s="358"/>
      <c r="D265" s="358"/>
      <c r="E265" s="358"/>
      <c r="F265" s="358"/>
      <c r="G265" s="358"/>
      <c r="H265" s="358"/>
      <c r="I265" s="358"/>
      <c r="J265" s="358"/>
      <c r="K265" s="358"/>
      <c r="L265" s="358"/>
      <c r="M265" s="359"/>
      <c r="N265" s="357"/>
      <c r="O265" s="358"/>
      <c r="P265" s="359"/>
      <c r="Q265" s="360"/>
      <c r="R265" s="361"/>
      <c r="S265" s="361"/>
      <c r="T265" s="361"/>
      <c r="U265" s="361"/>
      <c r="V265" s="362"/>
      <c r="W265" s="360"/>
      <c r="X265" s="361"/>
      <c r="Y265" s="361"/>
      <c r="Z265" s="361"/>
      <c r="AA265" s="361"/>
      <c r="AB265" s="362"/>
      <c r="AC265" s="384">
        <v>121594.93</v>
      </c>
      <c r="AD265" s="385"/>
      <c r="AE265" s="386"/>
    </row>
    <row r="266" spans="1:32" ht="14.45" customHeight="1" x14ac:dyDescent="0.25">
      <c r="A266" s="331" t="s">
        <v>917</v>
      </c>
      <c r="B266" s="342" t="s">
        <v>513</v>
      </c>
      <c r="C266" s="343"/>
      <c r="D266" s="343"/>
      <c r="E266" s="343"/>
      <c r="F266" s="343"/>
      <c r="G266" s="343"/>
      <c r="H266" s="343"/>
      <c r="I266" s="343"/>
      <c r="J266" s="343"/>
      <c r="K266" s="343"/>
      <c r="L266" s="343"/>
      <c r="M266" s="344"/>
      <c r="N266" s="342" t="s">
        <v>157</v>
      </c>
      <c r="O266" s="343"/>
      <c r="P266" s="344"/>
      <c r="Q266" s="345">
        <v>7.13</v>
      </c>
      <c r="R266" s="346"/>
      <c r="S266" s="346"/>
      <c r="T266" s="346"/>
      <c r="U266" s="346"/>
      <c r="V266" s="347"/>
      <c r="W266" s="345">
        <v>4.1345999999999998</v>
      </c>
      <c r="X266" s="346"/>
      <c r="Y266" s="346"/>
      <c r="Z266" s="346"/>
      <c r="AA266" s="346"/>
      <c r="AB266" s="347"/>
      <c r="AC266" s="387">
        <v>29.48</v>
      </c>
      <c r="AD266" s="388"/>
      <c r="AE266" s="389"/>
      <c r="AF266" s="236">
        <v>2</v>
      </c>
    </row>
    <row r="267" spans="1:32" ht="14.45" customHeight="1" x14ac:dyDescent="0.25">
      <c r="A267" s="331" t="s">
        <v>918</v>
      </c>
      <c r="B267" s="342" t="s">
        <v>514</v>
      </c>
      <c r="C267" s="343"/>
      <c r="D267" s="343"/>
      <c r="E267" s="343"/>
      <c r="F267" s="343"/>
      <c r="G267" s="343"/>
      <c r="H267" s="343"/>
      <c r="I267" s="343"/>
      <c r="J267" s="343"/>
      <c r="K267" s="343"/>
      <c r="L267" s="343"/>
      <c r="M267" s="344"/>
      <c r="N267" s="342" t="s">
        <v>157</v>
      </c>
      <c r="O267" s="343"/>
      <c r="P267" s="344"/>
      <c r="Q267" s="363">
        <v>1691.48</v>
      </c>
      <c r="R267" s="364"/>
      <c r="S267" s="364"/>
      <c r="T267" s="364"/>
      <c r="U267" s="364"/>
      <c r="V267" s="365"/>
      <c r="W267" s="345">
        <v>8.7896000000000001</v>
      </c>
      <c r="X267" s="346"/>
      <c r="Y267" s="346"/>
      <c r="Z267" s="346"/>
      <c r="AA267" s="346"/>
      <c r="AB267" s="347"/>
      <c r="AC267" s="336">
        <v>14867.43</v>
      </c>
      <c r="AD267" s="337"/>
      <c r="AE267" s="338"/>
      <c r="AF267" s="236">
        <v>2</v>
      </c>
    </row>
    <row r="268" spans="1:32" ht="14.45" customHeight="1" x14ac:dyDescent="0.25">
      <c r="A268" s="331" t="s">
        <v>919</v>
      </c>
      <c r="B268" s="342" t="s">
        <v>515</v>
      </c>
      <c r="C268" s="343"/>
      <c r="D268" s="343"/>
      <c r="E268" s="343"/>
      <c r="F268" s="343"/>
      <c r="G268" s="343"/>
      <c r="H268" s="343"/>
      <c r="I268" s="343"/>
      <c r="J268" s="343"/>
      <c r="K268" s="343"/>
      <c r="L268" s="343"/>
      <c r="M268" s="344"/>
      <c r="N268" s="342" t="s">
        <v>157</v>
      </c>
      <c r="O268" s="343"/>
      <c r="P268" s="344"/>
      <c r="Q268" s="363">
        <v>2395.34</v>
      </c>
      <c r="R268" s="364"/>
      <c r="S268" s="364"/>
      <c r="T268" s="364"/>
      <c r="U268" s="364"/>
      <c r="V268" s="365"/>
      <c r="W268" s="381">
        <v>44.543999999999997</v>
      </c>
      <c r="X268" s="382"/>
      <c r="Y268" s="382"/>
      <c r="Z268" s="382"/>
      <c r="AA268" s="382"/>
      <c r="AB268" s="383"/>
      <c r="AC268" s="393">
        <v>106698.02</v>
      </c>
      <c r="AD268" s="394"/>
      <c r="AE268" s="395"/>
      <c r="AF268" s="236">
        <v>2</v>
      </c>
    </row>
    <row r="269" spans="1:32" ht="14.45" customHeight="1" x14ac:dyDescent="0.25">
      <c r="A269" s="330" t="s">
        <v>920</v>
      </c>
      <c r="B269" s="357" t="s">
        <v>516</v>
      </c>
      <c r="C269" s="358"/>
      <c r="D269" s="358"/>
      <c r="E269" s="358"/>
      <c r="F269" s="358"/>
      <c r="G269" s="358"/>
      <c r="H269" s="358"/>
      <c r="I269" s="358"/>
      <c r="J269" s="358"/>
      <c r="K269" s="358"/>
      <c r="L269" s="358"/>
      <c r="M269" s="359"/>
      <c r="N269" s="357"/>
      <c r="O269" s="358"/>
      <c r="P269" s="359"/>
      <c r="Q269" s="360"/>
      <c r="R269" s="361"/>
      <c r="S269" s="361"/>
      <c r="T269" s="361"/>
      <c r="U269" s="361"/>
      <c r="V269" s="362"/>
      <c r="W269" s="360"/>
      <c r="X269" s="361"/>
      <c r="Y269" s="361"/>
      <c r="Z269" s="361"/>
      <c r="AA269" s="361"/>
      <c r="AB269" s="362"/>
      <c r="AC269" s="354">
        <v>36079.620000000003</v>
      </c>
      <c r="AD269" s="355"/>
      <c r="AE269" s="356"/>
    </row>
    <row r="270" spans="1:32" ht="14.45" customHeight="1" x14ac:dyDescent="0.25">
      <c r="A270" s="331" t="s">
        <v>921</v>
      </c>
      <c r="B270" s="342" t="s">
        <v>517</v>
      </c>
      <c r="C270" s="343"/>
      <c r="D270" s="343"/>
      <c r="E270" s="343"/>
      <c r="F270" s="343"/>
      <c r="G270" s="343"/>
      <c r="H270" s="343"/>
      <c r="I270" s="343"/>
      <c r="J270" s="343"/>
      <c r="K270" s="343"/>
      <c r="L270" s="343"/>
      <c r="M270" s="344"/>
      <c r="N270" s="342" t="s">
        <v>157</v>
      </c>
      <c r="O270" s="343"/>
      <c r="P270" s="344"/>
      <c r="Q270" s="372">
        <v>493.82</v>
      </c>
      <c r="R270" s="373"/>
      <c r="S270" s="373"/>
      <c r="T270" s="373"/>
      <c r="U270" s="373"/>
      <c r="V270" s="374"/>
      <c r="W270" s="381">
        <v>73.062299999999993</v>
      </c>
      <c r="X270" s="382"/>
      <c r="Y270" s="382"/>
      <c r="Z270" s="382"/>
      <c r="AA270" s="382"/>
      <c r="AB270" s="383"/>
      <c r="AC270" s="336">
        <v>36079.620000000003</v>
      </c>
      <c r="AD270" s="337"/>
      <c r="AE270" s="338"/>
      <c r="AF270" s="236">
        <v>2</v>
      </c>
    </row>
    <row r="271" spans="1:32" ht="14.45" customHeight="1" x14ac:dyDescent="0.25">
      <c r="A271" s="330" t="s">
        <v>922</v>
      </c>
      <c r="B271" s="357" t="s">
        <v>145</v>
      </c>
      <c r="C271" s="358"/>
      <c r="D271" s="358"/>
      <c r="E271" s="358"/>
      <c r="F271" s="358"/>
      <c r="G271" s="358"/>
      <c r="H271" s="358"/>
      <c r="I271" s="358"/>
      <c r="J271" s="358"/>
      <c r="K271" s="358"/>
      <c r="L271" s="358"/>
      <c r="M271" s="359"/>
      <c r="N271" s="357"/>
      <c r="O271" s="358"/>
      <c r="P271" s="359"/>
      <c r="Q271" s="360"/>
      <c r="R271" s="361"/>
      <c r="S271" s="361"/>
      <c r="T271" s="361"/>
      <c r="U271" s="361"/>
      <c r="V271" s="362"/>
      <c r="W271" s="360"/>
      <c r="X271" s="361"/>
      <c r="Y271" s="361"/>
      <c r="Z271" s="361"/>
      <c r="AA271" s="361"/>
      <c r="AB271" s="362"/>
      <c r="AC271" s="384">
        <v>627230.55000000005</v>
      </c>
      <c r="AD271" s="385"/>
      <c r="AE271" s="386"/>
    </row>
    <row r="272" spans="1:32" ht="14.45" customHeight="1" x14ac:dyDescent="0.25">
      <c r="A272" s="331" t="s">
        <v>923</v>
      </c>
      <c r="B272" s="342" t="s">
        <v>518</v>
      </c>
      <c r="C272" s="343"/>
      <c r="D272" s="343"/>
      <c r="E272" s="343"/>
      <c r="F272" s="343"/>
      <c r="G272" s="343"/>
      <c r="H272" s="343"/>
      <c r="I272" s="343"/>
      <c r="J272" s="343"/>
      <c r="K272" s="343"/>
      <c r="L272" s="343"/>
      <c r="M272" s="344"/>
      <c r="N272" s="342" t="s">
        <v>97</v>
      </c>
      <c r="O272" s="343"/>
      <c r="P272" s="344"/>
      <c r="Q272" s="363">
        <v>6952.94</v>
      </c>
      <c r="R272" s="364"/>
      <c r="S272" s="364"/>
      <c r="T272" s="364"/>
      <c r="U272" s="364"/>
      <c r="V272" s="365"/>
      <c r="W272" s="381">
        <v>32</v>
      </c>
      <c r="X272" s="382"/>
      <c r="Y272" s="382"/>
      <c r="Z272" s="382"/>
      <c r="AA272" s="382"/>
      <c r="AB272" s="383"/>
      <c r="AC272" s="393">
        <v>222494.07999999999</v>
      </c>
      <c r="AD272" s="394"/>
      <c r="AE272" s="395"/>
      <c r="AF272" s="236">
        <v>1</v>
      </c>
    </row>
    <row r="273" spans="1:32" ht="14.45" customHeight="1" x14ac:dyDescent="0.25">
      <c r="A273" s="331" t="s">
        <v>924</v>
      </c>
      <c r="B273" s="342" t="s">
        <v>484</v>
      </c>
      <c r="C273" s="343"/>
      <c r="D273" s="343"/>
      <c r="E273" s="343"/>
      <c r="F273" s="343"/>
      <c r="G273" s="343"/>
      <c r="H273" s="343"/>
      <c r="I273" s="343"/>
      <c r="J273" s="343"/>
      <c r="K273" s="343"/>
      <c r="L273" s="343"/>
      <c r="M273" s="344"/>
      <c r="N273" s="342" t="s">
        <v>97</v>
      </c>
      <c r="O273" s="343"/>
      <c r="P273" s="344"/>
      <c r="Q273" s="381">
        <v>53.65</v>
      </c>
      <c r="R273" s="382"/>
      <c r="S273" s="382"/>
      <c r="T273" s="382"/>
      <c r="U273" s="382"/>
      <c r="V273" s="383"/>
      <c r="W273" s="381">
        <v>22</v>
      </c>
      <c r="X273" s="382"/>
      <c r="Y273" s="382"/>
      <c r="Z273" s="382"/>
      <c r="AA273" s="382"/>
      <c r="AB273" s="383"/>
      <c r="AC273" s="366">
        <v>1180.3</v>
      </c>
      <c r="AD273" s="367"/>
      <c r="AE273" s="368"/>
      <c r="AF273" s="236">
        <v>1</v>
      </c>
    </row>
    <row r="274" spans="1:32" ht="14.45" customHeight="1" x14ac:dyDescent="0.25">
      <c r="A274" s="331" t="s">
        <v>925</v>
      </c>
      <c r="B274" s="342" t="s">
        <v>519</v>
      </c>
      <c r="C274" s="343"/>
      <c r="D274" s="343"/>
      <c r="E274" s="343"/>
      <c r="F274" s="343"/>
      <c r="G274" s="343"/>
      <c r="H274" s="343"/>
      <c r="I274" s="343"/>
      <c r="J274" s="343"/>
      <c r="K274" s="343"/>
      <c r="L274" s="343"/>
      <c r="M274" s="344"/>
      <c r="N274" s="342" t="s">
        <v>97</v>
      </c>
      <c r="O274" s="343"/>
      <c r="P274" s="344"/>
      <c r="Q274" s="363">
        <v>5218.3999999999996</v>
      </c>
      <c r="R274" s="364"/>
      <c r="S274" s="364"/>
      <c r="T274" s="364"/>
      <c r="U274" s="364"/>
      <c r="V274" s="365"/>
      <c r="W274" s="381">
        <v>48</v>
      </c>
      <c r="X274" s="382"/>
      <c r="Y274" s="382"/>
      <c r="Z274" s="382"/>
      <c r="AA274" s="382"/>
      <c r="AB274" s="383"/>
      <c r="AC274" s="393">
        <v>250483.20000000001</v>
      </c>
      <c r="AD274" s="394"/>
      <c r="AE274" s="395"/>
      <c r="AF274" s="236">
        <v>2</v>
      </c>
    </row>
    <row r="275" spans="1:32" ht="14.45" customHeight="1" x14ac:dyDescent="0.25">
      <c r="A275" s="331" t="s">
        <v>926</v>
      </c>
      <c r="B275" s="342" t="s">
        <v>520</v>
      </c>
      <c r="C275" s="343"/>
      <c r="D275" s="343"/>
      <c r="E275" s="343"/>
      <c r="F275" s="343"/>
      <c r="G275" s="343"/>
      <c r="H275" s="343"/>
      <c r="I275" s="343"/>
      <c r="J275" s="343"/>
      <c r="K275" s="343"/>
      <c r="L275" s="343"/>
      <c r="M275" s="344"/>
      <c r="N275" s="342" t="s">
        <v>157</v>
      </c>
      <c r="O275" s="343"/>
      <c r="P275" s="344"/>
      <c r="Q275" s="372">
        <v>679.41</v>
      </c>
      <c r="R275" s="373"/>
      <c r="S275" s="373"/>
      <c r="T275" s="373"/>
      <c r="U275" s="373"/>
      <c r="V275" s="374"/>
      <c r="W275" s="381">
        <v>18</v>
      </c>
      <c r="X275" s="382"/>
      <c r="Y275" s="382"/>
      <c r="Z275" s="382"/>
      <c r="AA275" s="382"/>
      <c r="AB275" s="383"/>
      <c r="AC275" s="336">
        <v>12229.38</v>
      </c>
      <c r="AD275" s="337"/>
      <c r="AE275" s="338"/>
      <c r="AF275" s="236">
        <v>2</v>
      </c>
    </row>
    <row r="276" spans="1:32" ht="14.45" customHeight="1" x14ac:dyDescent="0.25">
      <c r="A276" s="331" t="s">
        <v>927</v>
      </c>
      <c r="B276" s="342" t="s">
        <v>521</v>
      </c>
      <c r="C276" s="343"/>
      <c r="D276" s="343"/>
      <c r="E276" s="343"/>
      <c r="F276" s="343"/>
      <c r="G276" s="343"/>
      <c r="H276" s="343"/>
      <c r="I276" s="343"/>
      <c r="J276" s="343"/>
      <c r="K276" s="343"/>
      <c r="L276" s="343"/>
      <c r="M276" s="344"/>
      <c r="N276" s="342" t="s">
        <v>97</v>
      </c>
      <c r="O276" s="343"/>
      <c r="P276" s="344"/>
      <c r="Q276" s="381">
        <v>42.6</v>
      </c>
      <c r="R276" s="382"/>
      <c r="S276" s="382"/>
      <c r="T276" s="382"/>
      <c r="U276" s="382"/>
      <c r="V276" s="383"/>
      <c r="W276" s="381">
        <v>55</v>
      </c>
      <c r="X276" s="382"/>
      <c r="Y276" s="382"/>
      <c r="Z276" s="382"/>
      <c r="AA276" s="382"/>
      <c r="AB276" s="383"/>
      <c r="AC276" s="366">
        <v>2343</v>
      </c>
      <c r="AD276" s="367"/>
      <c r="AE276" s="368"/>
      <c r="AF276" s="236">
        <v>2</v>
      </c>
    </row>
    <row r="277" spans="1:32" ht="14.45" customHeight="1" x14ac:dyDescent="0.25">
      <c r="A277" s="331" t="s">
        <v>928</v>
      </c>
      <c r="B277" s="342" t="s">
        <v>522</v>
      </c>
      <c r="C277" s="343"/>
      <c r="D277" s="343"/>
      <c r="E277" s="343"/>
      <c r="F277" s="343"/>
      <c r="G277" s="343"/>
      <c r="H277" s="343"/>
      <c r="I277" s="343"/>
      <c r="J277" s="343"/>
      <c r="K277" s="343"/>
      <c r="L277" s="343"/>
      <c r="M277" s="344"/>
      <c r="N277" s="342" t="s">
        <v>97</v>
      </c>
      <c r="O277" s="343"/>
      <c r="P277" s="344"/>
      <c r="Q277" s="372">
        <v>864.82</v>
      </c>
      <c r="R277" s="373"/>
      <c r="S277" s="373"/>
      <c r="T277" s="373"/>
      <c r="U277" s="373"/>
      <c r="V277" s="374"/>
      <c r="W277" s="381">
        <v>40</v>
      </c>
      <c r="X277" s="382"/>
      <c r="Y277" s="382"/>
      <c r="Z277" s="382"/>
      <c r="AA277" s="382"/>
      <c r="AB277" s="383"/>
      <c r="AC277" s="336">
        <v>34592.800000000003</v>
      </c>
      <c r="AD277" s="337"/>
      <c r="AE277" s="338"/>
      <c r="AF277" s="236">
        <v>2</v>
      </c>
    </row>
    <row r="278" spans="1:32" ht="14.45" customHeight="1" x14ac:dyDescent="0.25">
      <c r="A278" s="331" t="s">
        <v>929</v>
      </c>
      <c r="B278" s="342" t="s">
        <v>523</v>
      </c>
      <c r="C278" s="343"/>
      <c r="D278" s="343"/>
      <c r="E278" s="343"/>
      <c r="F278" s="343"/>
      <c r="G278" s="343"/>
      <c r="H278" s="343"/>
      <c r="I278" s="343"/>
      <c r="J278" s="343"/>
      <c r="K278" s="343"/>
      <c r="L278" s="343"/>
      <c r="M278" s="344"/>
      <c r="N278" s="342" t="s">
        <v>97</v>
      </c>
      <c r="O278" s="343"/>
      <c r="P278" s="344"/>
      <c r="Q278" s="345">
        <v>6.22</v>
      </c>
      <c r="R278" s="346"/>
      <c r="S278" s="346"/>
      <c r="T278" s="346"/>
      <c r="U278" s="346"/>
      <c r="V278" s="347"/>
      <c r="W278" s="381">
        <v>48</v>
      </c>
      <c r="X278" s="382"/>
      <c r="Y278" s="382"/>
      <c r="Z278" s="382"/>
      <c r="AA278" s="382"/>
      <c r="AB278" s="383"/>
      <c r="AC278" s="375">
        <v>298.56</v>
      </c>
      <c r="AD278" s="376"/>
      <c r="AE278" s="377"/>
      <c r="AF278" s="236">
        <v>2</v>
      </c>
    </row>
    <row r="279" spans="1:32" ht="14.45" customHeight="1" x14ac:dyDescent="0.25">
      <c r="A279" s="331" t="s">
        <v>930</v>
      </c>
      <c r="B279" s="342" t="s">
        <v>524</v>
      </c>
      <c r="C279" s="343"/>
      <c r="D279" s="343"/>
      <c r="E279" s="343"/>
      <c r="F279" s="343"/>
      <c r="G279" s="343"/>
      <c r="H279" s="343"/>
      <c r="I279" s="343"/>
      <c r="J279" s="343"/>
      <c r="K279" s="343"/>
      <c r="L279" s="343"/>
      <c r="M279" s="344"/>
      <c r="N279" s="342" t="s">
        <v>97</v>
      </c>
      <c r="O279" s="343"/>
      <c r="P279" s="344"/>
      <c r="Q279" s="381">
        <v>76.92</v>
      </c>
      <c r="R279" s="382"/>
      <c r="S279" s="382"/>
      <c r="T279" s="382"/>
      <c r="U279" s="382"/>
      <c r="V279" s="383"/>
      <c r="W279" s="381">
        <v>65</v>
      </c>
      <c r="X279" s="382"/>
      <c r="Y279" s="382"/>
      <c r="Z279" s="382"/>
      <c r="AA279" s="382"/>
      <c r="AB279" s="383"/>
      <c r="AC279" s="366">
        <v>4999.8</v>
      </c>
      <c r="AD279" s="367"/>
      <c r="AE279" s="368"/>
      <c r="AF279" s="236">
        <v>2</v>
      </c>
    </row>
    <row r="280" spans="1:32" ht="14.45" customHeight="1" x14ac:dyDescent="0.25">
      <c r="A280" s="331" t="s">
        <v>931</v>
      </c>
      <c r="B280" s="342" t="s">
        <v>525</v>
      </c>
      <c r="C280" s="343"/>
      <c r="D280" s="343"/>
      <c r="E280" s="343"/>
      <c r="F280" s="343"/>
      <c r="G280" s="343"/>
      <c r="H280" s="343"/>
      <c r="I280" s="343"/>
      <c r="J280" s="343"/>
      <c r="K280" s="343"/>
      <c r="L280" s="343"/>
      <c r="M280" s="344"/>
      <c r="N280" s="342" t="s">
        <v>97</v>
      </c>
      <c r="O280" s="343"/>
      <c r="P280" s="344"/>
      <c r="Q280" s="381">
        <v>85.17</v>
      </c>
      <c r="R280" s="382"/>
      <c r="S280" s="382"/>
      <c r="T280" s="382"/>
      <c r="U280" s="382"/>
      <c r="V280" s="383"/>
      <c r="W280" s="381">
        <v>40</v>
      </c>
      <c r="X280" s="382"/>
      <c r="Y280" s="382"/>
      <c r="Z280" s="382"/>
      <c r="AA280" s="382"/>
      <c r="AB280" s="383"/>
      <c r="AC280" s="366">
        <v>3406.8</v>
      </c>
      <c r="AD280" s="367"/>
      <c r="AE280" s="368"/>
      <c r="AF280" s="236">
        <v>2</v>
      </c>
    </row>
    <row r="281" spans="1:32" ht="14.45" customHeight="1" x14ac:dyDescent="0.25">
      <c r="A281" s="331" t="s">
        <v>932</v>
      </c>
      <c r="B281" s="342" t="s">
        <v>526</v>
      </c>
      <c r="C281" s="343"/>
      <c r="D281" s="343"/>
      <c r="E281" s="343"/>
      <c r="F281" s="343"/>
      <c r="G281" s="343"/>
      <c r="H281" s="343"/>
      <c r="I281" s="343"/>
      <c r="J281" s="343"/>
      <c r="K281" s="343"/>
      <c r="L281" s="343"/>
      <c r="M281" s="344"/>
      <c r="N281" s="342" t="s">
        <v>157</v>
      </c>
      <c r="O281" s="343"/>
      <c r="P281" s="344"/>
      <c r="Q281" s="363">
        <v>1698.61</v>
      </c>
      <c r="R281" s="364"/>
      <c r="S281" s="364"/>
      <c r="T281" s="364"/>
      <c r="U281" s="364"/>
      <c r="V281" s="365"/>
      <c r="W281" s="381">
        <v>22</v>
      </c>
      <c r="X281" s="382"/>
      <c r="Y281" s="382"/>
      <c r="Z281" s="382"/>
      <c r="AA281" s="382"/>
      <c r="AB281" s="383"/>
      <c r="AC281" s="336">
        <v>37369.42</v>
      </c>
      <c r="AD281" s="337"/>
      <c r="AE281" s="338"/>
      <c r="AF281" s="236">
        <v>2</v>
      </c>
    </row>
    <row r="282" spans="1:32" ht="14.45" customHeight="1" x14ac:dyDescent="0.25">
      <c r="A282" s="331" t="s">
        <v>933</v>
      </c>
      <c r="B282" s="342" t="s">
        <v>527</v>
      </c>
      <c r="C282" s="343"/>
      <c r="D282" s="343"/>
      <c r="E282" s="343"/>
      <c r="F282" s="343"/>
      <c r="G282" s="343"/>
      <c r="H282" s="343"/>
      <c r="I282" s="343"/>
      <c r="J282" s="343"/>
      <c r="K282" s="343"/>
      <c r="L282" s="343"/>
      <c r="M282" s="344"/>
      <c r="N282" s="342" t="s">
        <v>157</v>
      </c>
      <c r="O282" s="343"/>
      <c r="P282" s="344"/>
      <c r="Q282" s="363">
        <v>2395.34</v>
      </c>
      <c r="R282" s="364"/>
      <c r="S282" s="364"/>
      <c r="T282" s="364"/>
      <c r="U282" s="364"/>
      <c r="V282" s="365"/>
      <c r="W282" s="381">
        <v>22</v>
      </c>
      <c r="X282" s="382"/>
      <c r="Y282" s="382"/>
      <c r="Z282" s="382"/>
      <c r="AA282" s="382"/>
      <c r="AB282" s="383"/>
      <c r="AC282" s="336">
        <v>52697.48</v>
      </c>
      <c r="AD282" s="337"/>
      <c r="AE282" s="338"/>
      <c r="AF282" s="236">
        <v>2</v>
      </c>
    </row>
    <row r="283" spans="1:32" ht="14.45" customHeight="1" x14ac:dyDescent="0.25">
      <c r="A283" s="331" t="s">
        <v>934</v>
      </c>
      <c r="B283" s="342" t="s">
        <v>528</v>
      </c>
      <c r="C283" s="343"/>
      <c r="D283" s="343"/>
      <c r="E283" s="343"/>
      <c r="F283" s="343"/>
      <c r="G283" s="343"/>
      <c r="H283" s="343"/>
      <c r="I283" s="343"/>
      <c r="J283" s="343"/>
      <c r="K283" s="343"/>
      <c r="L283" s="343"/>
      <c r="M283" s="344"/>
      <c r="N283" s="342" t="s">
        <v>157</v>
      </c>
      <c r="O283" s="343"/>
      <c r="P283" s="344"/>
      <c r="Q283" s="372">
        <v>493.82</v>
      </c>
      <c r="R283" s="373"/>
      <c r="S283" s="373"/>
      <c r="T283" s="373"/>
      <c r="U283" s="373"/>
      <c r="V283" s="374"/>
      <c r="W283" s="381">
        <v>10.4</v>
      </c>
      <c r="X283" s="382"/>
      <c r="Y283" s="382"/>
      <c r="Z283" s="382"/>
      <c r="AA283" s="382"/>
      <c r="AB283" s="383"/>
      <c r="AC283" s="366">
        <v>5135.7299999999996</v>
      </c>
      <c r="AD283" s="367"/>
      <c r="AE283" s="368"/>
      <c r="AF283" s="236">
        <v>2</v>
      </c>
    </row>
    <row r="284" spans="1:32" ht="14.45" customHeight="1" x14ac:dyDescent="0.25">
      <c r="A284" s="330" t="s">
        <v>485</v>
      </c>
      <c r="B284" s="357" t="s">
        <v>530</v>
      </c>
      <c r="C284" s="358"/>
      <c r="D284" s="358"/>
      <c r="E284" s="358"/>
      <c r="F284" s="358"/>
      <c r="G284" s="358"/>
      <c r="H284" s="358"/>
      <c r="I284" s="358"/>
      <c r="J284" s="358"/>
      <c r="K284" s="358"/>
      <c r="L284" s="358"/>
      <c r="M284" s="359"/>
      <c r="N284" s="357"/>
      <c r="O284" s="358"/>
      <c r="P284" s="359"/>
      <c r="Q284" s="360"/>
      <c r="R284" s="361"/>
      <c r="S284" s="361"/>
      <c r="T284" s="361"/>
      <c r="U284" s="361"/>
      <c r="V284" s="362"/>
      <c r="W284" s="360"/>
      <c r="X284" s="361"/>
      <c r="Y284" s="361"/>
      <c r="Z284" s="361"/>
      <c r="AA284" s="361"/>
      <c r="AB284" s="362"/>
      <c r="AC284" s="384">
        <v>995637.62</v>
      </c>
      <c r="AD284" s="385"/>
      <c r="AE284" s="386"/>
    </row>
    <row r="285" spans="1:32" ht="14.45" customHeight="1" x14ac:dyDescent="0.25">
      <c r="A285" s="330" t="s">
        <v>487</v>
      </c>
      <c r="B285" s="357" t="s">
        <v>11</v>
      </c>
      <c r="C285" s="358"/>
      <c r="D285" s="358"/>
      <c r="E285" s="358"/>
      <c r="F285" s="358"/>
      <c r="G285" s="358"/>
      <c r="H285" s="358"/>
      <c r="I285" s="358"/>
      <c r="J285" s="358"/>
      <c r="K285" s="358"/>
      <c r="L285" s="358"/>
      <c r="M285" s="359"/>
      <c r="N285" s="357"/>
      <c r="O285" s="358"/>
      <c r="P285" s="359"/>
      <c r="Q285" s="360"/>
      <c r="R285" s="361"/>
      <c r="S285" s="361"/>
      <c r="T285" s="361"/>
      <c r="U285" s="361"/>
      <c r="V285" s="362"/>
      <c r="W285" s="360"/>
      <c r="X285" s="361"/>
      <c r="Y285" s="361"/>
      <c r="Z285" s="361"/>
      <c r="AA285" s="361"/>
      <c r="AB285" s="362"/>
      <c r="AC285" s="384">
        <v>995637.62</v>
      </c>
      <c r="AD285" s="385"/>
      <c r="AE285" s="386"/>
    </row>
    <row r="286" spans="1:32" ht="14.45" customHeight="1" x14ac:dyDescent="0.25">
      <c r="A286" s="330" t="s">
        <v>488</v>
      </c>
      <c r="B286" s="357" t="s">
        <v>533</v>
      </c>
      <c r="C286" s="358"/>
      <c r="D286" s="358"/>
      <c r="E286" s="358"/>
      <c r="F286" s="358"/>
      <c r="G286" s="358"/>
      <c r="H286" s="358"/>
      <c r="I286" s="358"/>
      <c r="J286" s="358"/>
      <c r="K286" s="358"/>
      <c r="L286" s="358"/>
      <c r="M286" s="359"/>
      <c r="N286" s="357"/>
      <c r="O286" s="358"/>
      <c r="P286" s="359"/>
      <c r="Q286" s="360"/>
      <c r="R286" s="361"/>
      <c r="S286" s="361"/>
      <c r="T286" s="361"/>
      <c r="U286" s="361"/>
      <c r="V286" s="362"/>
      <c r="W286" s="360"/>
      <c r="X286" s="361"/>
      <c r="Y286" s="361"/>
      <c r="Z286" s="361"/>
      <c r="AA286" s="361"/>
      <c r="AB286" s="362"/>
      <c r="AC286" s="354">
        <v>66988.100000000006</v>
      </c>
      <c r="AD286" s="355"/>
      <c r="AE286" s="356"/>
    </row>
    <row r="287" spans="1:32" ht="14.45" customHeight="1" x14ac:dyDescent="0.25">
      <c r="A287" s="331" t="s">
        <v>490</v>
      </c>
      <c r="B287" s="342" t="s">
        <v>535</v>
      </c>
      <c r="C287" s="343"/>
      <c r="D287" s="343"/>
      <c r="E287" s="343"/>
      <c r="F287" s="343"/>
      <c r="G287" s="343"/>
      <c r="H287" s="343"/>
      <c r="I287" s="343"/>
      <c r="J287" s="343"/>
      <c r="K287" s="343"/>
      <c r="L287" s="343"/>
      <c r="M287" s="344"/>
      <c r="N287" s="342" t="s">
        <v>97</v>
      </c>
      <c r="O287" s="343"/>
      <c r="P287" s="344"/>
      <c r="Q287" s="372">
        <v>579.08000000000004</v>
      </c>
      <c r="R287" s="373"/>
      <c r="S287" s="373"/>
      <c r="T287" s="373"/>
      <c r="U287" s="373"/>
      <c r="V287" s="374"/>
      <c r="W287" s="372">
        <v>113.9188</v>
      </c>
      <c r="X287" s="373"/>
      <c r="Y287" s="373"/>
      <c r="Z287" s="373"/>
      <c r="AA287" s="373"/>
      <c r="AB287" s="374"/>
      <c r="AC287" s="336">
        <v>65968.100000000006</v>
      </c>
      <c r="AD287" s="337"/>
      <c r="AE287" s="338"/>
    </row>
    <row r="288" spans="1:32" ht="14.45" customHeight="1" x14ac:dyDescent="0.25">
      <c r="A288" s="331" t="s">
        <v>935</v>
      </c>
      <c r="B288" s="342" t="s">
        <v>936</v>
      </c>
      <c r="C288" s="343"/>
      <c r="D288" s="343"/>
      <c r="E288" s="343"/>
      <c r="F288" s="343"/>
      <c r="G288" s="343"/>
      <c r="H288" s="343"/>
      <c r="I288" s="343"/>
      <c r="J288" s="343"/>
      <c r="K288" s="343"/>
      <c r="L288" s="343"/>
      <c r="M288" s="344"/>
      <c r="N288" s="342" t="s">
        <v>98</v>
      </c>
      <c r="O288" s="343"/>
      <c r="P288" s="344"/>
      <c r="Q288" s="381">
        <v>17</v>
      </c>
      <c r="R288" s="382"/>
      <c r="S288" s="382"/>
      <c r="T288" s="382"/>
      <c r="U288" s="382"/>
      <c r="V288" s="383"/>
      <c r="W288" s="381">
        <v>60</v>
      </c>
      <c r="X288" s="382"/>
      <c r="Y288" s="382"/>
      <c r="Z288" s="382"/>
      <c r="AA288" s="382"/>
      <c r="AB288" s="383"/>
      <c r="AC288" s="366">
        <v>1020</v>
      </c>
      <c r="AD288" s="367"/>
      <c r="AE288" s="368"/>
    </row>
    <row r="289" spans="1:31" ht="14.45" customHeight="1" x14ac:dyDescent="0.25">
      <c r="A289" s="330" t="s">
        <v>492</v>
      </c>
      <c r="B289" s="357" t="s">
        <v>537</v>
      </c>
      <c r="C289" s="358"/>
      <c r="D289" s="358"/>
      <c r="E289" s="358"/>
      <c r="F289" s="358"/>
      <c r="G289" s="358"/>
      <c r="H289" s="358"/>
      <c r="I289" s="358"/>
      <c r="J289" s="358"/>
      <c r="K289" s="358"/>
      <c r="L289" s="358"/>
      <c r="M289" s="359"/>
      <c r="N289" s="357"/>
      <c r="O289" s="358"/>
      <c r="P289" s="359"/>
      <c r="Q289" s="360"/>
      <c r="R289" s="361"/>
      <c r="S289" s="361"/>
      <c r="T289" s="361"/>
      <c r="U289" s="361"/>
      <c r="V289" s="362"/>
      <c r="W289" s="360"/>
      <c r="X289" s="361"/>
      <c r="Y289" s="361"/>
      <c r="Z289" s="361"/>
      <c r="AA289" s="361"/>
      <c r="AB289" s="362"/>
      <c r="AC289" s="384">
        <v>235867.21</v>
      </c>
      <c r="AD289" s="385"/>
      <c r="AE289" s="386"/>
    </row>
    <row r="290" spans="1:31" ht="14.45" customHeight="1" x14ac:dyDescent="0.25">
      <c r="A290" s="331" t="s">
        <v>494</v>
      </c>
      <c r="B290" s="342" t="s">
        <v>539</v>
      </c>
      <c r="C290" s="343"/>
      <c r="D290" s="343"/>
      <c r="E290" s="343"/>
      <c r="F290" s="343"/>
      <c r="G290" s="343"/>
      <c r="H290" s="343"/>
      <c r="I290" s="343"/>
      <c r="J290" s="343"/>
      <c r="K290" s="343"/>
      <c r="L290" s="343"/>
      <c r="M290" s="344"/>
      <c r="N290" s="342" t="s">
        <v>97</v>
      </c>
      <c r="O290" s="343"/>
      <c r="P290" s="344"/>
      <c r="Q290" s="348">
        <v>10409.06</v>
      </c>
      <c r="R290" s="349"/>
      <c r="S290" s="349"/>
      <c r="T290" s="349"/>
      <c r="U290" s="349"/>
      <c r="V290" s="350"/>
      <c r="W290" s="345">
        <v>2.44</v>
      </c>
      <c r="X290" s="346"/>
      <c r="Y290" s="346"/>
      <c r="Z290" s="346"/>
      <c r="AA290" s="346"/>
      <c r="AB290" s="347"/>
      <c r="AC290" s="336">
        <v>25398.11</v>
      </c>
      <c r="AD290" s="337"/>
      <c r="AE290" s="338"/>
    </row>
    <row r="291" spans="1:31" ht="14.45" customHeight="1" x14ac:dyDescent="0.25">
      <c r="A291" s="331" t="s">
        <v>937</v>
      </c>
      <c r="B291" s="342" t="s">
        <v>1061</v>
      </c>
      <c r="C291" s="343"/>
      <c r="D291" s="343"/>
      <c r="E291" s="343"/>
      <c r="F291" s="343"/>
      <c r="G291" s="343"/>
      <c r="H291" s="343"/>
      <c r="I291" s="343"/>
      <c r="J291" s="343"/>
      <c r="K291" s="343"/>
      <c r="L291" s="343"/>
      <c r="M291" s="344"/>
      <c r="N291" s="342" t="s">
        <v>97</v>
      </c>
      <c r="O291" s="343"/>
      <c r="P291" s="344"/>
      <c r="Q291" s="348">
        <v>10409.06</v>
      </c>
      <c r="R291" s="349"/>
      <c r="S291" s="349"/>
      <c r="T291" s="349"/>
      <c r="U291" s="349"/>
      <c r="V291" s="350"/>
      <c r="W291" s="345">
        <v>3.7972999999999999</v>
      </c>
      <c r="X291" s="346"/>
      <c r="Y291" s="346"/>
      <c r="Z291" s="346"/>
      <c r="AA291" s="346"/>
      <c r="AB291" s="347"/>
      <c r="AC291" s="336">
        <v>39526.32</v>
      </c>
      <c r="AD291" s="337"/>
      <c r="AE291" s="338"/>
    </row>
    <row r="292" spans="1:31" ht="14.45" customHeight="1" x14ac:dyDescent="0.25">
      <c r="A292" s="331" t="s">
        <v>938</v>
      </c>
      <c r="B292" s="342" t="s">
        <v>541</v>
      </c>
      <c r="C292" s="343"/>
      <c r="D292" s="343"/>
      <c r="E292" s="343"/>
      <c r="F292" s="343"/>
      <c r="G292" s="343"/>
      <c r="H292" s="343"/>
      <c r="I292" s="343"/>
      <c r="J292" s="343"/>
      <c r="K292" s="343"/>
      <c r="L292" s="343"/>
      <c r="M292" s="344"/>
      <c r="N292" s="342" t="s">
        <v>97</v>
      </c>
      <c r="O292" s="343"/>
      <c r="P292" s="344"/>
      <c r="Q292" s="363">
        <v>9199.2199999999993</v>
      </c>
      <c r="R292" s="364"/>
      <c r="S292" s="364"/>
      <c r="T292" s="364"/>
      <c r="U292" s="364"/>
      <c r="V292" s="365"/>
      <c r="W292" s="381">
        <v>16.443899999999999</v>
      </c>
      <c r="X292" s="382"/>
      <c r="Y292" s="382"/>
      <c r="Z292" s="382"/>
      <c r="AA292" s="382"/>
      <c r="AB292" s="383"/>
      <c r="AC292" s="393">
        <v>151271.04999999999</v>
      </c>
      <c r="AD292" s="394"/>
      <c r="AE292" s="395"/>
    </row>
    <row r="293" spans="1:31" ht="14.45" customHeight="1" x14ac:dyDescent="0.25">
      <c r="A293" s="331" t="s">
        <v>939</v>
      </c>
      <c r="B293" s="342" t="s">
        <v>542</v>
      </c>
      <c r="C293" s="343"/>
      <c r="D293" s="343"/>
      <c r="E293" s="343"/>
      <c r="F293" s="343"/>
      <c r="G293" s="343"/>
      <c r="H293" s="343"/>
      <c r="I293" s="343"/>
      <c r="J293" s="343"/>
      <c r="K293" s="343"/>
      <c r="L293" s="343"/>
      <c r="M293" s="344"/>
      <c r="N293" s="342" t="s">
        <v>97</v>
      </c>
      <c r="O293" s="343"/>
      <c r="P293" s="344"/>
      <c r="Q293" s="363">
        <v>1209.8399999999999</v>
      </c>
      <c r="R293" s="364"/>
      <c r="S293" s="364"/>
      <c r="T293" s="364"/>
      <c r="U293" s="364"/>
      <c r="V293" s="365"/>
      <c r="W293" s="345">
        <v>5.6657999999999999</v>
      </c>
      <c r="X293" s="346"/>
      <c r="Y293" s="346"/>
      <c r="Z293" s="346"/>
      <c r="AA293" s="346"/>
      <c r="AB293" s="347"/>
      <c r="AC293" s="366">
        <v>6854.71</v>
      </c>
      <c r="AD293" s="367"/>
      <c r="AE293" s="368"/>
    </row>
    <row r="294" spans="1:31" ht="14.45" customHeight="1" x14ac:dyDescent="0.25">
      <c r="A294" s="331" t="s">
        <v>940</v>
      </c>
      <c r="B294" s="342" t="s">
        <v>543</v>
      </c>
      <c r="C294" s="343"/>
      <c r="D294" s="343"/>
      <c r="E294" s="343"/>
      <c r="F294" s="343"/>
      <c r="G294" s="343"/>
      <c r="H294" s="343"/>
      <c r="I294" s="343"/>
      <c r="J294" s="343"/>
      <c r="K294" s="343"/>
      <c r="L294" s="343"/>
      <c r="M294" s="344"/>
      <c r="N294" s="342" t="s">
        <v>97</v>
      </c>
      <c r="O294" s="343"/>
      <c r="P294" s="344"/>
      <c r="Q294" s="363">
        <v>1073.53</v>
      </c>
      <c r="R294" s="364"/>
      <c r="S294" s="364"/>
      <c r="T294" s="364"/>
      <c r="U294" s="364"/>
      <c r="V294" s="365"/>
      <c r="W294" s="345">
        <v>8.0358000000000001</v>
      </c>
      <c r="X294" s="346"/>
      <c r="Y294" s="346"/>
      <c r="Z294" s="346"/>
      <c r="AA294" s="346"/>
      <c r="AB294" s="347"/>
      <c r="AC294" s="366">
        <v>8626.67</v>
      </c>
      <c r="AD294" s="367"/>
      <c r="AE294" s="368"/>
    </row>
    <row r="295" spans="1:31" ht="14.45" customHeight="1" x14ac:dyDescent="0.25">
      <c r="A295" s="331" t="s">
        <v>941</v>
      </c>
      <c r="B295" s="342" t="s">
        <v>942</v>
      </c>
      <c r="C295" s="343"/>
      <c r="D295" s="343"/>
      <c r="E295" s="343"/>
      <c r="F295" s="343"/>
      <c r="G295" s="343"/>
      <c r="H295" s="343"/>
      <c r="I295" s="343"/>
      <c r="J295" s="343"/>
      <c r="K295" s="343"/>
      <c r="L295" s="343"/>
      <c r="M295" s="344"/>
      <c r="N295" s="342" t="s">
        <v>97</v>
      </c>
      <c r="O295" s="343"/>
      <c r="P295" s="344"/>
      <c r="Q295" s="372">
        <v>523.65</v>
      </c>
      <c r="R295" s="373"/>
      <c r="S295" s="373"/>
      <c r="T295" s="373"/>
      <c r="U295" s="373"/>
      <c r="V295" s="374"/>
      <c r="W295" s="345">
        <v>8.0022000000000002</v>
      </c>
      <c r="X295" s="346"/>
      <c r="Y295" s="346"/>
      <c r="Z295" s="346"/>
      <c r="AA295" s="346"/>
      <c r="AB295" s="347"/>
      <c r="AC295" s="366">
        <v>4190.3500000000004</v>
      </c>
      <c r="AD295" s="367"/>
      <c r="AE295" s="368"/>
    </row>
    <row r="296" spans="1:31" ht="14.45" customHeight="1" x14ac:dyDescent="0.25">
      <c r="A296" s="330" t="s">
        <v>496</v>
      </c>
      <c r="B296" s="357" t="s">
        <v>545</v>
      </c>
      <c r="C296" s="358"/>
      <c r="D296" s="358"/>
      <c r="E296" s="358"/>
      <c r="F296" s="358"/>
      <c r="G296" s="358"/>
      <c r="H296" s="358"/>
      <c r="I296" s="358"/>
      <c r="J296" s="358"/>
      <c r="K296" s="358"/>
      <c r="L296" s="358"/>
      <c r="M296" s="359"/>
      <c r="N296" s="357"/>
      <c r="O296" s="358"/>
      <c r="P296" s="359"/>
      <c r="Q296" s="360"/>
      <c r="R296" s="361"/>
      <c r="S296" s="361"/>
      <c r="T296" s="361"/>
      <c r="U296" s="361"/>
      <c r="V296" s="362"/>
      <c r="W296" s="360"/>
      <c r="X296" s="361"/>
      <c r="Y296" s="361"/>
      <c r="Z296" s="361"/>
      <c r="AA296" s="361"/>
      <c r="AB296" s="362"/>
      <c r="AC296" s="354">
        <v>71866.97</v>
      </c>
      <c r="AD296" s="355"/>
      <c r="AE296" s="356"/>
    </row>
    <row r="297" spans="1:31" ht="14.45" customHeight="1" x14ac:dyDescent="0.25">
      <c r="A297" s="331" t="s">
        <v>498</v>
      </c>
      <c r="B297" s="342" t="s">
        <v>547</v>
      </c>
      <c r="C297" s="343"/>
      <c r="D297" s="343"/>
      <c r="E297" s="343"/>
      <c r="F297" s="343"/>
      <c r="G297" s="343"/>
      <c r="H297" s="343"/>
      <c r="I297" s="343"/>
      <c r="J297" s="343"/>
      <c r="K297" s="343"/>
      <c r="L297" s="343"/>
      <c r="M297" s="344"/>
      <c r="N297" s="342" t="s">
        <v>97</v>
      </c>
      <c r="O297" s="343"/>
      <c r="P297" s="344"/>
      <c r="Q297" s="363">
        <v>3168.57</v>
      </c>
      <c r="R297" s="364"/>
      <c r="S297" s="364"/>
      <c r="T297" s="364"/>
      <c r="U297" s="364"/>
      <c r="V297" s="365"/>
      <c r="W297" s="345">
        <v>2.44</v>
      </c>
      <c r="X297" s="346"/>
      <c r="Y297" s="346"/>
      <c r="Z297" s="346"/>
      <c r="AA297" s="346"/>
      <c r="AB297" s="347"/>
      <c r="AC297" s="366">
        <v>7731.31</v>
      </c>
      <c r="AD297" s="367"/>
      <c r="AE297" s="368"/>
    </row>
    <row r="298" spans="1:31" ht="14.45" customHeight="1" x14ac:dyDescent="0.25">
      <c r="A298" s="331" t="s">
        <v>943</v>
      </c>
      <c r="B298" s="342" t="s">
        <v>548</v>
      </c>
      <c r="C298" s="343"/>
      <c r="D298" s="343"/>
      <c r="E298" s="343"/>
      <c r="F298" s="343"/>
      <c r="G298" s="343"/>
      <c r="H298" s="343"/>
      <c r="I298" s="343"/>
      <c r="J298" s="343"/>
      <c r="K298" s="343"/>
      <c r="L298" s="343"/>
      <c r="M298" s="344"/>
      <c r="N298" s="342" t="s">
        <v>97</v>
      </c>
      <c r="O298" s="343"/>
      <c r="P298" s="344"/>
      <c r="Q298" s="363">
        <v>3168.57</v>
      </c>
      <c r="R298" s="364"/>
      <c r="S298" s="364"/>
      <c r="T298" s="364"/>
      <c r="U298" s="364"/>
      <c r="V298" s="365"/>
      <c r="W298" s="345">
        <v>3.7972999999999999</v>
      </c>
      <c r="X298" s="346"/>
      <c r="Y298" s="346"/>
      <c r="Z298" s="346"/>
      <c r="AA298" s="346"/>
      <c r="AB298" s="347"/>
      <c r="AC298" s="336">
        <v>12032.01</v>
      </c>
      <c r="AD298" s="337"/>
      <c r="AE298" s="338"/>
    </row>
    <row r="299" spans="1:31" ht="14.45" customHeight="1" x14ac:dyDescent="0.25">
      <c r="A299" s="331" t="s">
        <v>944</v>
      </c>
      <c r="B299" s="342" t="s">
        <v>549</v>
      </c>
      <c r="C299" s="343"/>
      <c r="D299" s="343"/>
      <c r="E299" s="343"/>
      <c r="F299" s="343"/>
      <c r="G299" s="343"/>
      <c r="H299" s="343"/>
      <c r="I299" s="343"/>
      <c r="J299" s="343"/>
      <c r="K299" s="343"/>
      <c r="L299" s="343"/>
      <c r="M299" s="344"/>
      <c r="N299" s="342" t="s">
        <v>97</v>
      </c>
      <c r="O299" s="343"/>
      <c r="P299" s="344"/>
      <c r="Q299" s="363">
        <v>3168.57</v>
      </c>
      <c r="R299" s="364"/>
      <c r="S299" s="364"/>
      <c r="T299" s="364"/>
      <c r="U299" s="364"/>
      <c r="V299" s="365"/>
      <c r="W299" s="381">
        <v>16.443899999999999</v>
      </c>
      <c r="X299" s="382"/>
      <c r="Y299" s="382"/>
      <c r="Z299" s="382"/>
      <c r="AA299" s="382"/>
      <c r="AB299" s="383"/>
      <c r="AC299" s="336">
        <v>52103.65</v>
      </c>
      <c r="AD299" s="337"/>
      <c r="AE299" s="338"/>
    </row>
    <row r="300" spans="1:31" ht="14.45" customHeight="1" x14ac:dyDescent="0.25">
      <c r="A300" s="330" t="s">
        <v>500</v>
      </c>
      <c r="B300" s="357" t="s">
        <v>145</v>
      </c>
      <c r="C300" s="358"/>
      <c r="D300" s="358"/>
      <c r="E300" s="358"/>
      <c r="F300" s="358"/>
      <c r="G300" s="358"/>
      <c r="H300" s="358"/>
      <c r="I300" s="358"/>
      <c r="J300" s="358"/>
      <c r="K300" s="358"/>
      <c r="L300" s="358"/>
      <c r="M300" s="359"/>
      <c r="N300" s="357"/>
      <c r="O300" s="358"/>
      <c r="P300" s="359"/>
      <c r="Q300" s="360"/>
      <c r="R300" s="361"/>
      <c r="S300" s="361"/>
      <c r="T300" s="361"/>
      <c r="U300" s="361"/>
      <c r="V300" s="362"/>
      <c r="W300" s="360"/>
      <c r="X300" s="361"/>
      <c r="Y300" s="361"/>
      <c r="Z300" s="361"/>
      <c r="AA300" s="361"/>
      <c r="AB300" s="362"/>
      <c r="AC300" s="384">
        <v>620915.34</v>
      </c>
      <c r="AD300" s="385"/>
      <c r="AE300" s="386"/>
    </row>
    <row r="301" spans="1:31" ht="14.45" customHeight="1" x14ac:dyDescent="0.25">
      <c r="A301" s="331" t="s">
        <v>502</v>
      </c>
      <c r="B301" s="342" t="s">
        <v>556</v>
      </c>
      <c r="C301" s="343"/>
      <c r="D301" s="343"/>
      <c r="E301" s="343"/>
      <c r="F301" s="343"/>
      <c r="G301" s="343"/>
      <c r="H301" s="343"/>
      <c r="I301" s="343"/>
      <c r="J301" s="343"/>
      <c r="K301" s="343"/>
      <c r="L301" s="343"/>
      <c r="M301" s="344"/>
      <c r="N301" s="342" t="s">
        <v>97</v>
      </c>
      <c r="O301" s="343"/>
      <c r="P301" s="344"/>
      <c r="Q301" s="372">
        <v>597.08000000000004</v>
      </c>
      <c r="R301" s="373"/>
      <c r="S301" s="373"/>
      <c r="T301" s="373"/>
      <c r="U301" s="373"/>
      <c r="V301" s="374"/>
      <c r="W301" s="381">
        <v>40</v>
      </c>
      <c r="X301" s="382"/>
      <c r="Y301" s="382"/>
      <c r="Z301" s="382"/>
      <c r="AA301" s="382"/>
      <c r="AB301" s="383"/>
      <c r="AC301" s="336">
        <v>23883.200000000001</v>
      </c>
      <c r="AD301" s="337"/>
      <c r="AE301" s="338"/>
    </row>
    <row r="302" spans="1:31" ht="14.45" customHeight="1" x14ac:dyDescent="0.25">
      <c r="A302" s="331" t="s">
        <v>503</v>
      </c>
      <c r="B302" s="342" t="s">
        <v>553</v>
      </c>
      <c r="C302" s="343"/>
      <c r="D302" s="343"/>
      <c r="E302" s="343"/>
      <c r="F302" s="343"/>
      <c r="G302" s="343"/>
      <c r="H302" s="343"/>
      <c r="I302" s="343"/>
      <c r="J302" s="343"/>
      <c r="K302" s="343"/>
      <c r="L302" s="343"/>
      <c r="M302" s="344"/>
      <c r="N302" s="342" t="s">
        <v>97</v>
      </c>
      <c r="O302" s="343"/>
      <c r="P302" s="344"/>
      <c r="Q302" s="363">
        <v>9199.2199999999993</v>
      </c>
      <c r="R302" s="364"/>
      <c r="S302" s="364"/>
      <c r="T302" s="364"/>
      <c r="U302" s="364"/>
      <c r="V302" s="365"/>
      <c r="W302" s="381">
        <v>34</v>
      </c>
      <c r="X302" s="382"/>
      <c r="Y302" s="382"/>
      <c r="Z302" s="382"/>
      <c r="AA302" s="382"/>
      <c r="AB302" s="383"/>
      <c r="AC302" s="393">
        <v>312773.48</v>
      </c>
      <c r="AD302" s="394"/>
      <c r="AE302" s="395"/>
    </row>
    <row r="303" spans="1:31" ht="14.45" customHeight="1" x14ac:dyDescent="0.25">
      <c r="A303" s="331" t="s">
        <v>505</v>
      </c>
      <c r="B303" s="342" t="s">
        <v>554</v>
      </c>
      <c r="C303" s="343"/>
      <c r="D303" s="343"/>
      <c r="E303" s="343"/>
      <c r="F303" s="343"/>
      <c r="G303" s="343"/>
      <c r="H303" s="343"/>
      <c r="I303" s="343"/>
      <c r="J303" s="343"/>
      <c r="K303" s="343"/>
      <c r="L303" s="343"/>
      <c r="M303" s="344"/>
      <c r="N303" s="342" t="s">
        <v>97</v>
      </c>
      <c r="O303" s="343"/>
      <c r="P303" s="344"/>
      <c r="Q303" s="363">
        <v>1209.8399999999999</v>
      </c>
      <c r="R303" s="364"/>
      <c r="S303" s="364"/>
      <c r="T303" s="364"/>
      <c r="U303" s="364"/>
      <c r="V303" s="365"/>
      <c r="W303" s="381">
        <v>31</v>
      </c>
      <c r="X303" s="382"/>
      <c r="Y303" s="382"/>
      <c r="Z303" s="382"/>
      <c r="AA303" s="382"/>
      <c r="AB303" s="383"/>
      <c r="AC303" s="336">
        <v>37505.040000000001</v>
      </c>
      <c r="AD303" s="337"/>
      <c r="AE303" s="338"/>
    </row>
    <row r="304" spans="1:31" ht="14.45" customHeight="1" x14ac:dyDescent="0.25">
      <c r="A304" s="331" t="s">
        <v>1062</v>
      </c>
      <c r="B304" s="342" t="s">
        <v>1066</v>
      </c>
      <c r="C304" s="343"/>
      <c r="D304" s="343"/>
      <c r="E304" s="343"/>
      <c r="F304" s="343"/>
      <c r="G304" s="343"/>
      <c r="H304" s="343"/>
      <c r="I304" s="343"/>
      <c r="J304" s="343"/>
      <c r="K304" s="343"/>
      <c r="L304" s="343"/>
      <c r="M304" s="344"/>
      <c r="N304" s="342" t="s">
        <v>97</v>
      </c>
      <c r="O304" s="343"/>
      <c r="P304" s="344"/>
      <c r="Q304" s="348">
        <v>13577.63</v>
      </c>
      <c r="R304" s="349"/>
      <c r="S304" s="349"/>
      <c r="T304" s="349"/>
      <c r="U304" s="349"/>
      <c r="V304" s="350"/>
      <c r="W304" s="381">
        <v>10</v>
      </c>
      <c r="X304" s="382"/>
      <c r="Y304" s="382"/>
      <c r="Z304" s="382"/>
      <c r="AA304" s="382"/>
      <c r="AB304" s="383"/>
      <c r="AC304" s="393">
        <v>135776.29999999999</v>
      </c>
      <c r="AD304" s="394"/>
      <c r="AE304" s="395"/>
    </row>
    <row r="305" spans="1:31" ht="14.45" customHeight="1" x14ac:dyDescent="0.25">
      <c r="A305" s="331" t="s">
        <v>1063</v>
      </c>
      <c r="B305" s="342" t="s">
        <v>945</v>
      </c>
      <c r="C305" s="343"/>
      <c r="D305" s="343"/>
      <c r="E305" s="343"/>
      <c r="F305" s="343"/>
      <c r="G305" s="343"/>
      <c r="H305" s="343"/>
      <c r="I305" s="343"/>
      <c r="J305" s="343"/>
      <c r="K305" s="343"/>
      <c r="L305" s="343"/>
      <c r="M305" s="344"/>
      <c r="N305" s="342" t="s">
        <v>157</v>
      </c>
      <c r="O305" s="343"/>
      <c r="P305" s="344"/>
      <c r="Q305" s="372">
        <v>523.65</v>
      </c>
      <c r="R305" s="373"/>
      <c r="S305" s="373"/>
      <c r="T305" s="373"/>
      <c r="U305" s="373"/>
      <c r="V305" s="374"/>
      <c r="W305" s="345">
        <v>6</v>
      </c>
      <c r="X305" s="346"/>
      <c r="Y305" s="346"/>
      <c r="Z305" s="346"/>
      <c r="AA305" s="346"/>
      <c r="AB305" s="347"/>
      <c r="AC305" s="366">
        <v>3141.9</v>
      </c>
      <c r="AD305" s="367"/>
      <c r="AE305" s="368"/>
    </row>
    <row r="306" spans="1:31" ht="14.45" customHeight="1" x14ac:dyDescent="0.25">
      <c r="A306" s="331" t="s">
        <v>1064</v>
      </c>
      <c r="B306" s="342" t="s">
        <v>842</v>
      </c>
      <c r="C306" s="343"/>
      <c r="D306" s="343"/>
      <c r="E306" s="343"/>
      <c r="F306" s="343"/>
      <c r="G306" s="343"/>
      <c r="H306" s="343"/>
      <c r="I306" s="343"/>
      <c r="J306" s="343"/>
      <c r="K306" s="343"/>
      <c r="L306" s="343"/>
      <c r="M306" s="344"/>
      <c r="N306" s="342" t="s">
        <v>157</v>
      </c>
      <c r="O306" s="343"/>
      <c r="P306" s="344"/>
      <c r="Q306" s="363">
        <v>1073.53</v>
      </c>
      <c r="R306" s="364"/>
      <c r="S306" s="364"/>
      <c r="T306" s="364"/>
      <c r="U306" s="364"/>
      <c r="V306" s="365"/>
      <c r="W306" s="345">
        <v>6</v>
      </c>
      <c r="X306" s="346"/>
      <c r="Y306" s="346"/>
      <c r="Z306" s="346"/>
      <c r="AA306" s="346"/>
      <c r="AB306" s="347"/>
      <c r="AC306" s="366">
        <v>6441.18</v>
      </c>
      <c r="AD306" s="367"/>
      <c r="AE306" s="368"/>
    </row>
    <row r="307" spans="1:31" ht="14.45" customHeight="1" x14ac:dyDescent="0.25">
      <c r="A307" s="331" t="s">
        <v>1067</v>
      </c>
      <c r="B307" s="342" t="s">
        <v>555</v>
      </c>
      <c r="C307" s="343"/>
      <c r="D307" s="343"/>
      <c r="E307" s="343"/>
      <c r="F307" s="343"/>
      <c r="G307" s="343"/>
      <c r="H307" s="343"/>
      <c r="I307" s="343"/>
      <c r="J307" s="343"/>
      <c r="K307" s="343"/>
      <c r="L307" s="343"/>
      <c r="M307" s="344"/>
      <c r="N307" s="342" t="s">
        <v>97</v>
      </c>
      <c r="O307" s="343"/>
      <c r="P307" s="344"/>
      <c r="Q307" s="363">
        <v>3168.57</v>
      </c>
      <c r="R307" s="364"/>
      <c r="S307" s="364"/>
      <c r="T307" s="364"/>
      <c r="U307" s="364"/>
      <c r="V307" s="365"/>
      <c r="W307" s="381">
        <v>32</v>
      </c>
      <c r="X307" s="382"/>
      <c r="Y307" s="382"/>
      <c r="Z307" s="382"/>
      <c r="AA307" s="382"/>
      <c r="AB307" s="383"/>
      <c r="AC307" s="393">
        <v>101394.24000000001</v>
      </c>
      <c r="AD307" s="394"/>
      <c r="AE307" s="395"/>
    </row>
    <row r="308" spans="1:31" ht="14.45" customHeight="1" x14ac:dyDescent="0.25">
      <c r="A308" s="330" t="s">
        <v>529</v>
      </c>
      <c r="B308" s="357" t="s">
        <v>12</v>
      </c>
      <c r="C308" s="358"/>
      <c r="D308" s="358"/>
      <c r="E308" s="358"/>
      <c r="F308" s="358"/>
      <c r="G308" s="358"/>
      <c r="H308" s="358"/>
      <c r="I308" s="358"/>
      <c r="J308" s="358"/>
      <c r="K308" s="358"/>
      <c r="L308" s="358"/>
      <c r="M308" s="359"/>
      <c r="N308" s="357"/>
      <c r="O308" s="358"/>
      <c r="P308" s="359"/>
      <c r="Q308" s="360"/>
      <c r="R308" s="361"/>
      <c r="S308" s="361"/>
      <c r="T308" s="361"/>
      <c r="U308" s="361"/>
      <c r="V308" s="362"/>
      <c r="W308" s="360"/>
      <c r="X308" s="361"/>
      <c r="Y308" s="361"/>
      <c r="Z308" s="361"/>
      <c r="AA308" s="361"/>
      <c r="AB308" s="362"/>
      <c r="AC308" s="396">
        <v>2802213.22</v>
      </c>
      <c r="AD308" s="397"/>
      <c r="AE308" s="398"/>
    </row>
    <row r="309" spans="1:31" ht="14.45" customHeight="1" x14ac:dyDescent="0.25">
      <c r="A309" s="330" t="s">
        <v>531</v>
      </c>
      <c r="B309" s="357" t="s">
        <v>559</v>
      </c>
      <c r="C309" s="358"/>
      <c r="D309" s="358"/>
      <c r="E309" s="358"/>
      <c r="F309" s="358"/>
      <c r="G309" s="358"/>
      <c r="H309" s="358"/>
      <c r="I309" s="358"/>
      <c r="J309" s="358"/>
      <c r="K309" s="358"/>
      <c r="L309" s="358"/>
      <c r="M309" s="359"/>
      <c r="N309" s="357"/>
      <c r="O309" s="358"/>
      <c r="P309" s="359"/>
      <c r="Q309" s="360"/>
      <c r="R309" s="361"/>
      <c r="S309" s="361"/>
      <c r="T309" s="361"/>
      <c r="U309" s="361"/>
      <c r="V309" s="362"/>
      <c r="W309" s="360"/>
      <c r="X309" s="361"/>
      <c r="Y309" s="361"/>
      <c r="Z309" s="361"/>
      <c r="AA309" s="361"/>
      <c r="AB309" s="362"/>
      <c r="AC309" s="396">
        <v>2352338.86</v>
      </c>
      <c r="AD309" s="397"/>
      <c r="AE309" s="398"/>
    </row>
    <row r="310" spans="1:31" ht="14.45" customHeight="1" x14ac:dyDescent="0.25">
      <c r="A310" s="330" t="s">
        <v>532</v>
      </c>
      <c r="B310" s="357" t="s">
        <v>561</v>
      </c>
      <c r="C310" s="358"/>
      <c r="D310" s="358"/>
      <c r="E310" s="358"/>
      <c r="F310" s="358"/>
      <c r="G310" s="358"/>
      <c r="H310" s="358"/>
      <c r="I310" s="358"/>
      <c r="J310" s="358"/>
      <c r="K310" s="358"/>
      <c r="L310" s="358"/>
      <c r="M310" s="359"/>
      <c r="N310" s="357"/>
      <c r="O310" s="358"/>
      <c r="P310" s="359"/>
      <c r="Q310" s="360"/>
      <c r="R310" s="361"/>
      <c r="S310" s="361"/>
      <c r="T310" s="361"/>
      <c r="U310" s="361"/>
      <c r="V310" s="362"/>
      <c r="W310" s="360"/>
      <c r="X310" s="361"/>
      <c r="Y310" s="361"/>
      <c r="Z310" s="361"/>
      <c r="AA310" s="361"/>
      <c r="AB310" s="362"/>
      <c r="AC310" s="384">
        <v>160973.85</v>
      </c>
      <c r="AD310" s="385"/>
      <c r="AE310" s="386"/>
    </row>
    <row r="311" spans="1:31" ht="14.45" customHeight="1" x14ac:dyDescent="0.25">
      <c r="A311" s="331" t="s">
        <v>534</v>
      </c>
      <c r="B311" s="342" t="s">
        <v>843</v>
      </c>
      <c r="C311" s="343"/>
      <c r="D311" s="343"/>
      <c r="E311" s="343"/>
      <c r="F311" s="343"/>
      <c r="G311" s="343"/>
      <c r="H311" s="343"/>
      <c r="I311" s="343"/>
      <c r="J311" s="343"/>
      <c r="K311" s="343"/>
      <c r="L311" s="343"/>
      <c r="M311" s="344"/>
      <c r="N311" s="342" t="s">
        <v>157</v>
      </c>
      <c r="O311" s="343"/>
      <c r="P311" s="344"/>
      <c r="Q311" s="363">
        <v>2525.08</v>
      </c>
      <c r="R311" s="364"/>
      <c r="S311" s="364"/>
      <c r="T311" s="364"/>
      <c r="U311" s="364"/>
      <c r="V311" s="365"/>
      <c r="W311" s="381">
        <v>63.75</v>
      </c>
      <c r="X311" s="382"/>
      <c r="Y311" s="382"/>
      <c r="Z311" s="382"/>
      <c r="AA311" s="382"/>
      <c r="AB311" s="383"/>
      <c r="AC311" s="393">
        <v>160973.85</v>
      </c>
      <c r="AD311" s="394"/>
      <c r="AE311" s="395"/>
    </row>
    <row r="312" spans="1:31" ht="14.45" customHeight="1" x14ac:dyDescent="0.25">
      <c r="A312" s="330" t="s">
        <v>536</v>
      </c>
      <c r="B312" s="357" t="s">
        <v>564</v>
      </c>
      <c r="C312" s="358"/>
      <c r="D312" s="358"/>
      <c r="E312" s="358"/>
      <c r="F312" s="358"/>
      <c r="G312" s="358"/>
      <c r="H312" s="358"/>
      <c r="I312" s="358"/>
      <c r="J312" s="358"/>
      <c r="K312" s="358"/>
      <c r="L312" s="358"/>
      <c r="M312" s="359"/>
      <c r="N312" s="357"/>
      <c r="O312" s="358"/>
      <c r="P312" s="359"/>
      <c r="Q312" s="360"/>
      <c r="R312" s="361"/>
      <c r="S312" s="361"/>
      <c r="T312" s="361"/>
      <c r="U312" s="361"/>
      <c r="V312" s="362"/>
      <c r="W312" s="360"/>
      <c r="X312" s="361"/>
      <c r="Y312" s="361"/>
      <c r="Z312" s="361"/>
      <c r="AA312" s="361"/>
      <c r="AB312" s="362"/>
      <c r="AC312" s="396">
        <v>1568282.08</v>
      </c>
      <c r="AD312" s="397"/>
      <c r="AE312" s="398"/>
    </row>
    <row r="313" spans="1:31" ht="14.45" customHeight="1" x14ac:dyDescent="0.25">
      <c r="A313" s="331" t="s">
        <v>538</v>
      </c>
      <c r="B313" s="342" t="s">
        <v>566</v>
      </c>
      <c r="C313" s="343"/>
      <c r="D313" s="343"/>
      <c r="E313" s="343"/>
      <c r="F313" s="343"/>
      <c r="G313" s="343"/>
      <c r="H313" s="343"/>
      <c r="I313" s="343"/>
      <c r="J313" s="343"/>
      <c r="K313" s="343"/>
      <c r="L313" s="343"/>
      <c r="M313" s="344"/>
      <c r="N313" s="342" t="s">
        <v>97</v>
      </c>
      <c r="O313" s="343"/>
      <c r="P313" s="344"/>
      <c r="Q313" s="363">
        <v>1256.9000000000001</v>
      </c>
      <c r="R313" s="364"/>
      <c r="S313" s="364"/>
      <c r="T313" s="364"/>
      <c r="U313" s="364"/>
      <c r="V313" s="365"/>
      <c r="W313" s="363">
        <v>1237.49</v>
      </c>
      <c r="X313" s="364"/>
      <c r="Y313" s="364"/>
      <c r="Z313" s="364"/>
      <c r="AA313" s="364"/>
      <c r="AB313" s="365"/>
      <c r="AC313" s="409">
        <v>1555401.18</v>
      </c>
      <c r="AD313" s="410"/>
      <c r="AE313" s="411"/>
    </row>
    <row r="314" spans="1:31" ht="14.45" customHeight="1" x14ac:dyDescent="0.25">
      <c r="A314" s="331" t="s">
        <v>540</v>
      </c>
      <c r="B314" s="342" t="s">
        <v>567</v>
      </c>
      <c r="C314" s="343"/>
      <c r="D314" s="343"/>
      <c r="E314" s="343"/>
      <c r="F314" s="343"/>
      <c r="G314" s="343"/>
      <c r="H314" s="343"/>
      <c r="I314" s="343"/>
      <c r="J314" s="343"/>
      <c r="K314" s="343"/>
      <c r="L314" s="343"/>
      <c r="M314" s="344"/>
      <c r="N314" s="342" t="s">
        <v>98</v>
      </c>
      <c r="O314" s="343"/>
      <c r="P314" s="344"/>
      <c r="Q314" s="381">
        <v>34</v>
      </c>
      <c r="R314" s="382"/>
      <c r="S314" s="382"/>
      <c r="T314" s="382"/>
      <c r="U314" s="382"/>
      <c r="V314" s="383"/>
      <c r="W314" s="372">
        <v>378.85</v>
      </c>
      <c r="X314" s="373"/>
      <c r="Y314" s="373"/>
      <c r="Z314" s="373"/>
      <c r="AA314" s="373"/>
      <c r="AB314" s="374"/>
      <c r="AC314" s="336">
        <v>12880.9</v>
      </c>
      <c r="AD314" s="337"/>
      <c r="AE314" s="338"/>
    </row>
    <row r="315" spans="1:31" ht="14.45" customHeight="1" x14ac:dyDescent="0.25">
      <c r="A315" s="330" t="s">
        <v>544</v>
      </c>
      <c r="B315" s="357" t="s">
        <v>569</v>
      </c>
      <c r="C315" s="358"/>
      <c r="D315" s="358"/>
      <c r="E315" s="358"/>
      <c r="F315" s="358"/>
      <c r="G315" s="358"/>
      <c r="H315" s="358"/>
      <c r="I315" s="358"/>
      <c r="J315" s="358"/>
      <c r="K315" s="358"/>
      <c r="L315" s="358"/>
      <c r="M315" s="359"/>
      <c r="N315" s="357"/>
      <c r="O315" s="358"/>
      <c r="P315" s="359"/>
      <c r="Q315" s="360"/>
      <c r="R315" s="361"/>
      <c r="S315" s="361"/>
      <c r="T315" s="361"/>
      <c r="U315" s="361"/>
      <c r="V315" s="362"/>
      <c r="W315" s="360"/>
      <c r="X315" s="361"/>
      <c r="Y315" s="361"/>
      <c r="Z315" s="361"/>
      <c r="AA315" s="361"/>
      <c r="AB315" s="362"/>
      <c r="AC315" s="384">
        <v>350666.51</v>
      </c>
      <c r="AD315" s="385"/>
      <c r="AE315" s="386"/>
    </row>
    <row r="316" spans="1:31" ht="14.45" customHeight="1" x14ac:dyDescent="0.25">
      <c r="A316" s="331" t="s">
        <v>546</v>
      </c>
      <c r="B316" s="342" t="s">
        <v>571</v>
      </c>
      <c r="C316" s="343"/>
      <c r="D316" s="343"/>
      <c r="E316" s="343"/>
      <c r="F316" s="343"/>
      <c r="G316" s="343"/>
      <c r="H316" s="343"/>
      <c r="I316" s="343"/>
      <c r="J316" s="343"/>
      <c r="K316" s="343"/>
      <c r="L316" s="343"/>
      <c r="M316" s="344"/>
      <c r="N316" s="342" t="s">
        <v>157</v>
      </c>
      <c r="O316" s="343"/>
      <c r="P316" s="344"/>
      <c r="Q316" s="372">
        <v>807.78</v>
      </c>
      <c r="R316" s="373"/>
      <c r="S316" s="373"/>
      <c r="T316" s="373"/>
      <c r="U316" s="373"/>
      <c r="V316" s="374"/>
      <c r="W316" s="372">
        <v>434.1114</v>
      </c>
      <c r="X316" s="373"/>
      <c r="Y316" s="373"/>
      <c r="Z316" s="373"/>
      <c r="AA316" s="373"/>
      <c r="AB316" s="374"/>
      <c r="AC316" s="393">
        <v>350666.51</v>
      </c>
      <c r="AD316" s="394"/>
      <c r="AE316" s="395"/>
    </row>
    <row r="317" spans="1:31" ht="14.45" customHeight="1" x14ac:dyDescent="0.25">
      <c r="A317" s="330" t="s">
        <v>550</v>
      </c>
      <c r="B317" s="357" t="s">
        <v>573</v>
      </c>
      <c r="C317" s="358"/>
      <c r="D317" s="358"/>
      <c r="E317" s="358"/>
      <c r="F317" s="358"/>
      <c r="G317" s="358"/>
      <c r="H317" s="358"/>
      <c r="I317" s="358"/>
      <c r="J317" s="358"/>
      <c r="K317" s="358"/>
      <c r="L317" s="358"/>
      <c r="M317" s="359"/>
      <c r="N317" s="357"/>
      <c r="O317" s="358"/>
      <c r="P317" s="359"/>
      <c r="Q317" s="360"/>
      <c r="R317" s="361"/>
      <c r="S317" s="361"/>
      <c r="T317" s="361"/>
      <c r="U317" s="361"/>
      <c r="V317" s="362"/>
      <c r="W317" s="360"/>
      <c r="X317" s="361"/>
      <c r="Y317" s="361"/>
      <c r="Z317" s="361"/>
      <c r="AA317" s="361"/>
      <c r="AB317" s="362"/>
      <c r="AC317" s="354">
        <v>31794.92</v>
      </c>
      <c r="AD317" s="355"/>
      <c r="AE317" s="356"/>
    </row>
    <row r="318" spans="1:31" ht="14.45" customHeight="1" x14ac:dyDescent="0.25">
      <c r="A318" s="331" t="s">
        <v>946</v>
      </c>
      <c r="B318" s="342" t="s">
        <v>845</v>
      </c>
      <c r="C318" s="343"/>
      <c r="D318" s="343"/>
      <c r="E318" s="343"/>
      <c r="F318" s="343"/>
      <c r="G318" s="343"/>
      <c r="H318" s="343"/>
      <c r="I318" s="343"/>
      <c r="J318" s="343"/>
      <c r="K318" s="343"/>
      <c r="L318" s="343"/>
      <c r="M318" s="344"/>
      <c r="N318" s="342" t="s">
        <v>97</v>
      </c>
      <c r="O318" s="343"/>
      <c r="P318" s="344"/>
      <c r="Q318" s="381">
        <v>27.82</v>
      </c>
      <c r="R318" s="382"/>
      <c r="S318" s="382"/>
      <c r="T318" s="382"/>
      <c r="U318" s="382"/>
      <c r="V318" s="383"/>
      <c r="W318" s="363">
        <v>1142.8800000000001</v>
      </c>
      <c r="X318" s="364"/>
      <c r="Y318" s="364"/>
      <c r="Z318" s="364"/>
      <c r="AA318" s="364"/>
      <c r="AB318" s="365"/>
      <c r="AC318" s="336">
        <v>31794.92</v>
      </c>
      <c r="AD318" s="337"/>
      <c r="AE318" s="338"/>
    </row>
    <row r="319" spans="1:31" ht="14.45" customHeight="1" x14ac:dyDescent="0.25">
      <c r="A319" s="330" t="s">
        <v>551</v>
      </c>
      <c r="B319" s="357" t="s">
        <v>846</v>
      </c>
      <c r="C319" s="358"/>
      <c r="D319" s="358"/>
      <c r="E319" s="358"/>
      <c r="F319" s="358"/>
      <c r="G319" s="358"/>
      <c r="H319" s="358"/>
      <c r="I319" s="358"/>
      <c r="J319" s="358"/>
      <c r="K319" s="358"/>
      <c r="L319" s="358"/>
      <c r="M319" s="359"/>
      <c r="N319" s="357"/>
      <c r="O319" s="358"/>
      <c r="P319" s="359"/>
      <c r="Q319" s="360"/>
      <c r="R319" s="361"/>
      <c r="S319" s="361"/>
      <c r="T319" s="361"/>
      <c r="U319" s="361"/>
      <c r="V319" s="362"/>
      <c r="W319" s="360"/>
      <c r="X319" s="361"/>
      <c r="Y319" s="361"/>
      <c r="Z319" s="361"/>
      <c r="AA319" s="361"/>
      <c r="AB319" s="362"/>
      <c r="AC319" s="384">
        <v>193907.52</v>
      </c>
      <c r="AD319" s="385"/>
      <c r="AE319" s="386"/>
    </row>
    <row r="320" spans="1:31" ht="14.45" customHeight="1" x14ac:dyDescent="0.25">
      <c r="A320" s="331" t="s">
        <v>552</v>
      </c>
      <c r="B320" s="342" t="s">
        <v>846</v>
      </c>
      <c r="C320" s="343"/>
      <c r="D320" s="343"/>
      <c r="E320" s="343"/>
      <c r="F320" s="343"/>
      <c r="G320" s="343"/>
      <c r="H320" s="343"/>
      <c r="I320" s="343"/>
      <c r="J320" s="343"/>
      <c r="K320" s="343"/>
      <c r="L320" s="343"/>
      <c r="M320" s="344"/>
      <c r="N320" s="342" t="s">
        <v>97</v>
      </c>
      <c r="O320" s="343"/>
      <c r="P320" s="344"/>
      <c r="Q320" s="372">
        <v>287.33</v>
      </c>
      <c r="R320" s="373"/>
      <c r="S320" s="373"/>
      <c r="T320" s="373"/>
      <c r="U320" s="373"/>
      <c r="V320" s="374"/>
      <c r="W320" s="372">
        <v>674.86</v>
      </c>
      <c r="X320" s="373"/>
      <c r="Y320" s="373"/>
      <c r="Z320" s="373"/>
      <c r="AA320" s="373"/>
      <c r="AB320" s="374"/>
      <c r="AC320" s="393">
        <v>193907.52</v>
      </c>
      <c r="AD320" s="394"/>
      <c r="AE320" s="395"/>
    </row>
    <row r="321" spans="1:31" ht="14.45" customHeight="1" x14ac:dyDescent="0.25">
      <c r="A321" s="330" t="s">
        <v>947</v>
      </c>
      <c r="B321" s="357" t="s">
        <v>145</v>
      </c>
      <c r="C321" s="358"/>
      <c r="D321" s="358"/>
      <c r="E321" s="358"/>
      <c r="F321" s="358"/>
      <c r="G321" s="358"/>
      <c r="H321" s="358"/>
      <c r="I321" s="358"/>
      <c r="J321" s="358"/>
      <c r="K321" s="358"/>
      <c r="L321" s="358"/>
      <c r="M321" s="359"/>
      <c r="N321" s="357"/>
      <c r="O321" s="358"/>
      <c r="P321" s="359"/>
      <c r="Q321" s="360"/>
      <c r="R321" s="361"/>
      <c r="S321" s="361"/>
      <c r="T321" s="361"/>
      <c r="U321" s="361"/>
      <c r="V321" s="362"/>
      <c r="W321" s="360"/>
      <c r="X321" s="361"/>
      <c r="Y321" s="361"/>
      <c r="Z321" s="361"/>
      <c r="AA321" s="361"/>
      <c r="AB321" s="362"/>
      <c r="AC321" s="354">
        <v>46713.98</v>
      </c>
      <c r="AD321" s="355"/>
      <c r="AE321" s="356"/>
    </row>
    <row r="322" spans="1:31" ht="14.45" customHeight="1" x14ac:dyDescent="0.25">
      <c r="A322" s="331" t="s">
        <v>948</v>
      </c>
      <c r="B322" s="342" t="s">
        <v>574</v>
      </c>
      <c r="C322" s="343"/>
      <c r="D322" s="343"/>
      <c r="E322" s="343"/>
      <c r="F322" s="343"/>
      <c r="G322" s="343"/>
      <c r="H322" s="343"/>
      <c r="I322" s="343"/>
      <c r="J322" s="343"/>
      <c r="K322" s="343"/>
      <c r="L322" s="343"/>
      <c r="M322" s="344"/>
      <c r="N322" s="342" t="s">
        <v>157</v>
      </c>
      <c r="O322" s="343"/>
      <c r="P322" s="344"/>
      <c r="Q322" s="363">
        <v>2525.08</v>
      </c>
      <c r="R322" s="364"/>
      <c r="S322" s="364"/>
      <c r="T322" s="364"/>
      <c r="U322" s="364"/>
      <c r="V322" s="365"/>
      <c r="W322" s="381">
        <v>18.5</v>
      </c>
      <c r="X322" s="382"/>
      <c r="Y322" s="382"/>
      <c r="Z322" s="382"/>
      <c r="AA322" s="382"/>
      <c r="AB322" s="383"/>
      <c r="AC322" s="336">
        <v>46713.98</v>
      </c>
      <c r="AD322" s="337"/>
      <c r="AE322" s="338"/>
    </row>
    <row r="323" spans="1:31" ht="14.45" customHeight="1" x14ac:dyDescent="0.25">
      <c r="A323" s="330" t="s">
        <v>949</v>
      </c>
      <c r="B323" s="357" t="s">
        <v>575</v>
      </c>
      <c r="C323" s="358"/>
      <c r="D323" s="358"/>
      <c r="E323" s="358"/>
      <c r="F323" s="358"/>
      <c r="G323" s="358"/>
      <c r="H323" s="358"/>
      <c r="I323" s="358"/>
      <c r="J323" s="358"/>
      <c r="K323" s="358"/>
      <c r="L323" s="358"/>
      <c r="M323" s="359"/>
      <c r="N323" s="357"/>
      <c r="O323" s="358"/>
      <c r="P323" s="359"/>
      <c r="Q323" s="360"/>
      <c r="R323" s="361"/>
      <c r="S323" s="361"/>
      <c r="T323" s="361"/>
      <c r="U323" s="361"/>
      <c r="V323" s="362"/>
      <c r="W323" s="360"/>
      <c r="X323" s="361"/>
      <c r="Y323" s="361"/>
      <c r="Z323" s="361"/>
      <c r="AA323" s="361"/>
      <c r="AB323" s="362"/>
      <c r="AC323" s="384">
        <v>354653.03</v>
      </c>
      <c r="AD323" s="385"/>
      <c r="AE323" s="386"/>
    </row>
    <row r="324" spans="1:31" ht="14.45" customHeight="1" x14ac:dyDescent="0.25">
      <c r="A324" s="330" t="s">
        <v>950</v>
      </c>
      <c r="B324" s="357" t="s">
        <v>576</v>
      </c>
      <c r="C324" s="358"/>
      <c r="D324" s="358"/>
      <c r="E324" s="358"/>
      <c r="F324" s="358"/>
      <c r="G324" s="358"/>
      <c r="H324" s="358"/>
      <c r="I324" s="358"/>
      <c r="J324" s="358"/>
      <c r="K324" s="358"/>
      <c r="L324" s="358"/>
      <c r="M324" s="359"/>
      <c r="N324" s="357"/>
      <c r="O324" s="358"/>
      <c r="P324" s="359"/>
      <c r="Q324" s="360"/>
      <c r="R324" s="361"/>
      <c r="S324" s="361"/>
      <c r="T324" s="361"/>
      <c r="U324" s="361"/>
      <c r="V324" s="362"/>
      <c r="W324" s="360"/>
      <c r="X324" s="361"/>
      <c r="Y324" s="361"/>
      <c r="Z324" s="361"/>
      <c r="AA324" s="361"/>
      <c r="AB324" s="362"/>
      <c r="AC324" s="384">
        <v>309784.98</v>
      </c>
      <c r="AD324" s="385"/>
      <c r="AE324" s="386"/>
    </row>
    <row r="325" spans="1:31" ht="14.45" customHeight="1" x14ac:dyDescent="0.25">
      <c r="A325" s="331" t="s">
        <v>951</v>
      </c>
      <c r="B325" s="342" t="s">
        <v>847</v>
      </c>
      <c r="C325" s="343"/>
      <c r="D325" s="343"/>
      <c r="E325" s="343"/>
      <c r="F325" s="343"/>
      <c r="G325" s="343"/>
      <c r="H325" s="343"/>
      <c r="I325" s="343"/>
      <c r="J325" s="343"/>
      <c r="K325" s="343"/>
      <c r="L325" s="343"/>
      <c r="M325" s="344"/>
      <c r="N325" s="342" t="s">
        <v>98</v>
      </c>
      <c r="O325" s="343"/>
      <c r="P325" s="344"/>
      <c r="Q325" s="345">
        <v>2</v>
      </c>
      <c r="R325" s="346"/>
      <c r="S325" s="346"/>
      <c r="T325" s="346"/>
      <c r="U325" s="346"/>
      <c r="V325" s="347"/>
      <c r="W325" s="363">
        <v>1099.1176</v>
      </c>
      <c r="X325" s="364"/>
      <c r="Y325" s="364"/>
      <c r="Z325" s="364"/>
      <c r="AA325" s="364"/>
      <c r="AB325" s="365"/>
      <c r="AC325" s="366">
        <v>2198.2399999999998</v>
      </c>
      <c r="AD325" s="367"/>
      <c r="AE325" s="368"/>
    </row>
    <row r="326" spans="1:31" ht="14.45" customHeight="1" x14ac:dyDescent="0.25">
      <c r="A326" s="331" t="s">
        <v>952</v>
      </c>
      <c r="B326" s="342" t="s">
        <v>848</v>
      </c>
      <c r="C326" s="343"/>
      <c r="D326" s="343"/>
      <c r="E326" s="343"/>
      <c r="F326" s="343"/>
      <c r="G326" s="343"/>
      <c r="H326" s="343"/>
      <c r="I326" s="343"/>
      <c r="J326" s="343"/>
      <c r="K326" s="343"/>
      <c r="L326" s="343"/>
      <c r="M326" s="344"/>
      <c r="N326" s="342" t="s">
        <v>98</v>
      </c>
      <c r="O326" s="343"/>
      <c r="P326" s="344"/>
      <c r="Q326" s="381">
        <v>59</v>
      </c>
      <c r="R326" s="382"/>
      <c r="S326" s="382"/>
      <c r="T326" s="382"/>
      <c r="U326" s="382"/>
      <c r="V326" s="383"/>
      <c r="W326" s="363">
        <v>1122.0275999999999</v>
      </c>
      <c r="X326" s="364"/>
      <c r="Y326" s="364"/>
      <c r="Z326" s="364"/>
      <c r="AA326" s="364"/>
      <c r="AB326" s="365"/>
      <c r="AC326" s="336">
        <v>66199.63</v>
      </c>
      <c r="AD326" s="337"/>
      <c r="AE326" s="338"/>
    </row>
    <row r="327" spans="1:31" ht="14.45" customHeight="1" x14ac:dyDescent="0.25">
      <c r="A327" s="331" t="s">
        <v>953</v>
      </c>
      <c r="B327" s="342" t="s">
        <v>849</v>
      </c>
      <c r="C327" s="343"/>
      <c r="D327" s="343"/>
      <c r="E327" s="343"/>
      <c r="F327" s="343"/>
      <c r="G327" s="343"/>
      <c r="H327" s="343"/>
      <c r="I327" s="343"/>
      <c r="J327" s="343"/>
      <c r="K327" s="343"/>
      <c r="L327" s="343"/>
      <c r="M327" s="344"/>
      <c r="N327" s="342" t="s">
        <v>98</v>
      </c>
      <c r="O327" s="343"/>
      <c r="P327" s="344"/>
      <c r="Q327" s="381">
        <v>87</v>
      </c>
      <c r="R327" s="382"/>
      <c r="S327" s="382"/>
      <c r="T327" s="382"/>
      <c r="U327" s="382"/>
      <c r="V327" s="383"/>
      <c r="W327" s="363">
        <v>1204.2076</v>
      </c>
      <c r="X327" s="364"/>
      <c r="Y327" s="364"/>
      <c r="Z327" s="364"/>
      <c r="AA327" s="364"/>
      <c r="AB327" s="365"/>
      <c r="AC327" s="393">
        <v>104766.06</v>
      </c>
      <c r="AD327" s="394"/>
      <c r="AE327" s="395"/>
    </row>
    <row r="328" spans="1:31" ht="14.45" customHeight="1" x14ac:dyDescent="0.25">
      <c r="A328" s="331" t="s">
        <v>954</v>
      </c>
      <c r="B328" s="342" t="s">
        <v>850</v>
      </c>
      <c r="C328" s="343"/>
      <c r="D328" s="343"/>
      <c r="E328" s="343"/>
      <c r="F328" s="343"/>
      <c r="G328" s="343"/>
      <c r="H328" s="343"/>
      <c r="I328" s="343"/>
      <c r="J328" s="343"/>
      <c r="K328" s="343"/>
      <c r="L328" s="343"/>
      <c r="M328" s="344"/>
      <c r="N328" s="342" t="s">
        <v>98</v>
      </c>
      <c r="O328" s="343"/>
      <c r="P328" s="344"/>
      <c r="Q328" s="381">
        <v>45</v>
      </c>
      <c r="R328" s="382"/>
      <c r="S328" s="382"/>
      <c r="T328" s="382"/>
      <c r="U328" s="382"/>
      <c r="V328" s="383"/>
      <c r="W328" s="363">
        <v>1246.5976000000001</v>
      </c>
      <c r="X328" s="364"/>
      <c r="Y328" s="364"/>
      <c r="Z328" s="364"/>
      <c r="AA328" s="364"/>
      <c r="AB328" s="365"/>
      <c r="AC328" s="336">
        <v>56096.89</v>
      </c>
      <c r="AD328" s="337"/>
      <c r="AE328" s="338"/>
    </row>
    <row r="329" spans="1:31" ht="14.45" customHeight="1" x14ac:dyDescent="0.25">
      <c r="A329" s="331" t="s">
        <v>955</v>
      </c>
      <c r="B329" s="342" t="s">
        <v>851</v>
      </c>
      <c r="C329" s="343"/>
      <c r="D329" s="343"/>
      <c r="E329" s="343"/>
      <c r="F329" s="343"/>
      <c r="G329" s="343"/>
      <c r="H329" s="343"/>
      <c r="I329" s="343"/>
      <c r="J329" s="343"/>
      <c r="K329" s="343"/>
      <c r="L329" s="343"/>
      <c r="M329" s="344"/>
      <c r="N329" s="342" t="s">
        <v>98</v>
      </c>
      <c r="O329" s="343"/>
      <c r="P329" s="344"/>
      <c r="Q329" s="381">
        <v>64</v>
      </c>
      <c r="R329" s="382"/>
      <c r="S329" s="382"/>
      <c r="T329" s="382"/>
      <c r="U329" s="382"/>
      <c r="V329" s="383"/>
      <c r="W329" s="363">
        <v>1258.19</v>
      </c>
      <c r="X329" s="364"/>
      <c r="Y329" s="364"/>
      <c r="Z329" s="364"/>
      <c r="AA329" s="364"/>
      <c r="AB329" s="365"/>
      <c r="AC329" s="336">
        <v>80524.160000000003</v>
      </c>
      <c r="AD329" s="337"/>
      <c r="AE329" s="338"/>
    </row>
    <row r="330" spans="1:31" ht="14.45" customHeight="1" x14ac:dyDescent="0.25">
      <c r="A330" s="330" t="s">
        <v>956</v>
      </c>
      <c r="B330" s="357" t="s">
        <v>577</v>
      </c>
      <c r="C330" s="358"/>
      <c r="D330" s="358"/>
      <c r="E330" s="358"/>
      <c r="F330" s="358"/>
      <c r="G330" s="358"/>
      <c r="H330" s="358"/>
      <c r="I330" s="358"/>
      <c r="J330" s="358"/>
      <c r="K330" s="358"/>
      <c r="L330" s="358"/>
      <c r="M330" s="359"/>
      <c r="N330" s="357"/>
      <c r="O330" s="358"/>
      <c r="P330" s="359"/>
      <c r="Q330" s="360"/>
      <c r="R330" s="361"/>
      <c r="S330" s="361"/>
      <c r="T330" s="361"/>
      <c r="U330" s="361"/>
      <c r="V330" s="362"/>
      <c r="W330" s="360"/>
      <c r="X330" s="361"/>
      <c r="Y330" s="361"/>
      <c r="Z330" s="361"/>
      <c r="AA330" s="361"/>
      <c r="AB330" s="362"/>
      <c r="AC330" s="354">
        <v>16341.05</v>
      </c>
      <c r="AD330" s="355"/>
      <c r="AE330" s="356"/>
    </row>
    <row r="331" spans="1:31" ht="14.45" customHeight="1" x14ac:dyDescent="0.25">
      <c r="A331" s="331" t="s">
        <v>957</v>
      </c>
      <c r="B331" s="342" t="s">
        <v>578</v>
      </c>
      <c r="C331" s="343"/>
      <c r="D331" s="343"/>
      <c r="E331" s="343"/>
      <c r="F331" s="343"/>
      <c r="G331" s="343"/>
      <c r="H331" s="343"/>
      <c r="I331" s="343"/>
      <c r="J331" s="343"/>
      <c r="K331" s="343"/>
      <c r="L331" s="343"/>
      <c r="M331" s="344"/>
      <c r="N331" s="342" t="s">
        <v>157</v>
      </c>
      <c r="O331" s="343"/>
      <c r="P331" s="344"/>
      <c r="Q331" s="372">
        <v>270.10000000000002</v>
      </c>
      <c r="R331" s="373"/>
      <c r="S331" s="373"/>
      <c r="T331" s="373"/>
      <c r="U331" s="373"/>
      <c r="V331" s="374"/>
      <c r="W331" s="381">
        <v>60.5</v>
      </c>
      <c r="X331" s="382"/>
      <c r="Y331" s="382"/>
      <c r="Z331" s="382"/>
      <c r="AA331" s="382"/>
      <c r="AB331" s="383"/>
      <c r="AC331" s="336">
        <v>16341.05</v>
      </c>
      <c r="AD331" s="337"/>
      <c r="AE331" s="338"/>
    </row>
    <row r="332" spans="1:31" ht="14.45" customHeight="1" x14ac:dyDescent="0.25">
      <c r="A332" s="330" t="s">
        <v>958</v>
      </c>
      <c r="B332" s="357" t="s">
        <v>145</v>
      </c>
      <c r="C332" s="358"/>
      <c r="D332" s="358"/>
      <c r="E332" s="358"/>
      <c r="F332" s="358"/>
      <c r="G332" s="358"/>
      <c r="H332" s="358"/>
      <c r="I332" s="358"/>
      <c r="J332" s="358"/>
      <c r="K332" s="358"/>
      <c r="L332" s="358"/>
      <c r="M332" s="359"/>
      <c r="N332" s="357"/>
      <c r="O332" s="358"/>
      <c r="P332" s="359"/>
      <c r="Q332" s="360"/>
      <c r="R332" s="361"/>
      <c r="S332" s="361"/>
      <c r="T332" s="361"/>
      <c r="U332" s="361"/>
      <c r="V332" s="362"/>
      <c r="W332" s="360"/>
      <c r="X332" s="361"/>
      <c r="Y332" s="361"/>
      <c r="Z332" s="361"/>
      <c r="AA332" s="361"/>
      <c r="AB332" s="362"/>
      <c r="AC332" s="354">
        <v>28527</v>
      </c>
      <c r="AD332" s="355"/>
      <c r="AE332" s="356"/>
    </row>
    <row r="333" spans="1:31" ht="14.45" customHeight="1" x14ac:dyDescent="0.25">
      <c r="A333" s="331" t="s">
        <v>959</v>
      </c>
      <c r="B333" s="342" t="s">
        <v>579</v>
      </c>
      <c r="C333" s="343"/>
      <c r="D333" s="343"/>
      <c r="E333" s="343"/>
      <c r="F333" s="343"/>
      <c r="G333" s="343"/>
      <c r="H333" s="343"/>
      <c r="I333" s="343"/>
      <c r="J333" s="343"/>
      <c r="K333" s="343"/>
      <c r="L333" s="343"/>
      <c r="M333" s="344"/>
      <c r="N333" s="342" t="s">
        <v>98</v>
      </c>
      <c r="O333" s="343"/>
      <c r="P333" s="344"/>
      <c r="Q333" s="372">
        <v>257</v>
      </c>
      <c r="R333" s="373"/>
      <c r="S333" s="373"/>
      <c r="T333" s="373"/>
      <c r="U333" s="373"/>
      <c r="V333" s="374"/>
      <c r="W333" s="372">
        <v>111</v>
      </c>
      <c r="X333" s="373"/>
      <c r="Y333" s="373"/>
      <c r="Z333" s="373"/>
      <c r="AA333" s="373"/>
      <c r="AB333" s="374"/>
      <c r="AC333" s="336">
        <v>28527</v>
      </c>
      <c r="AD333" s="337"/>
      <c r="AE333" s="338"/>
    </row>
    <row r="334" spans="1:31" ht="14.45" customHeight="1" x14ac:dyDescent="0.25">
      <c r="A334" s="330" t="s">
        <v>960</v>
      </c>
      <c r="B334" s="357" t="s">
        <v>580</v>
      </c>
      <c r="C334" s="358"/>
      <c r="D334" s="358"/>
      <c r="E334" s="358"/>
      <c r="F334" s="358"/>
      <c r="G334" s="358"/>
      <c r="H334" s="358"/>
      <c r="I334" s="358"/>
      <c r="J334" s="358"/>
      <c r="K334" s="358"/>
      <c r="L334" s="358"/>
      <c r="M334" s="359"/>
      <c r="N334" s="357"/>
      <c r="O334" s="358"/>
      <c r="P334" s="359"/>
      <c r="Q334" s="360"/>
      <c r="R334" s="361"/>
      <c r="S334" s="361"/>
      <c r="T334" s="361"/>
      <c r="U334" s="361"/>
      <c r="V334" s="362"/>
      <c r="W334" s="360"/>
      <c r="X334" s="361"/>
      <c r="Y334" s="361"/>
      <c r="Z334" s="361"/>
      <c r="AA334" s="361"/>
      <c r="AB334" s="362"/>
      <c r="AC334" s="354">
        <v>95221.33</v>
      </c>
      <c r="AD334" s="355"/>
      <c r="AE334" s="356"/>
    </row>
    <row r="335" spans="1:31" ht="14.45" customHeight="1" x14ac:dyDescent="0.25">
      <c r="A335" s="330" t="s">
        <v>961</v>
      </c>
      <c r="B335" s="357" t="s">
        <v>561</v>
      </c>
      <c r="C335" s="358"/>
      <c r="D335" s="358"/>
      <c r="E335" s="358"/>
      <c r="F335" s="358"/>
      <c r="G335" s="358"/>
      <c r="H335" s="358"/>
      <c r="I335" s="358"/>
      <c r="J335" s="358"/>
      <c r="K335" s="358"/>
      <c r="L335" s="358"/>
      <c r="M335" s="359"/>
      <c r="N335" s="357"/>
      <c r="O335" s="358"/>
      <c r="P335" s="359"/>
      <c r="Q335" s="360"/>
      <c r="R335" s="361"/>
      <c r="S335" s="361"/>
      <c r="T335" s="361"/>
      <c r="U335" s="361"/>
      <c r="V335" s="362"/>
      <c r="W335" s="360"/>
      <c r="X335" s="361"/>
      <c r="Y335" s="361"/>
      <c r="Z335" s="361"/>
      <c r="AA335" s="361"/>
      <c r="AB335" s="362"/>
      <c r="AC335" s="390">
        <v>5850.35</v>
      </c>
      <c r="AD335" s="391"/>
      <c r="AE335" s="392"/>
    </row>
    <row r="336" spans="1:31" ht="14.45" customHeight="1" x14ac:dyDescent="0.25">
      <c r="A336" s="331" t="s">
        <v>962</v>
      </c>
      <c r="B336" s="342" t="s">
        <v>852</v>
      </c>
      <c r="C336" s="343"/>
      <c r="D336" s="343"/>
      <c r="E336" s="343"/>
      <c r="F336" s="343"/>
      <c r="G336" s="343"/>
      <c r="H336" s="343"/>
      <c r="I336" s="343"/>
      <c r="J336" s="343"/>
      <c r="K336" s="343"/>
      <c r="L336" s="343"/>
      <c r="M336" s="344"/>
      <c r="N336" s="342" t="s">
        <v>157</v>
      </c>
      <c r="O336" s="343"/>
      <c r="P336" s="344"/>
      <c r="Q336" s="372">
        <v>225.36</v>
      </c>
      <c r="R336" s="373"/>
      <c r="S336" s="373"/>
      <c r="T336" s="373"/>
      <c r="U336" s="373"/>
      <c r="V336" s="374"/>
      <c r="W336" s="381">
        <v>25.96</v>
      </c>
      <c r="X336" s="382"/>
      <c r="Y336" s="382"/>
      <c r="Z336" s="382"/>
      <c r="AA336" s="382"/>
      <c r="AB336" s="383"/>
      <c r="AC336" s="366">
        <v>5850.35</v>
      </c>
      <c r="AD336" s="367"/>
      <c r="AE336" s="368"/>
    </row>
    <row r="337" spans="1:31" ht="14.45" customHeight="1" x14ac:dyDescent="0.25">
      <c r="A337" s="330" t="s">
        <v>963</v>
      </c>
      <c r="B337" s="357" t="s">
        <v>581</v>
      </c>
      <c r="C337" s="358"/>
      <c r="D337" s="358"/>
      <c r="E337" s="358"/>
      <c r="F337" s="358"/>
      <c r="G337" s="358"/>
      <c r="H337" s="358"/>
      <c r="I337" s="358"/>
      <c r="J337" s="358"/>
      <c r="K337" s="358"/>
      <c r="L337" s="358"/>
      <c r="M337" s="359"/>
      <c r="N337" s="357"/>
      <c r="O337" s="358"/>
      <c r="P337" s="359"/>
      <c r="Q337" s="360"/>
      <c r="R337" s="361"/>
      <c r="S337" s="361"/>
      <c r="T337" s="361"/>
      <c r="U337" s="361"/>
      <c r="V337" s="362"/>
      <c r="W337" s="360"/>
      <c r="X337" s="361"/>
      <c r="Y337" s="361"/>
      <c r="Z337" s="361"/>
      <c r="AA337" s="361"/>
      <c r="AB337" s="362"/>
      <c r="AC337" s="354">
        <v>70814.31</v>
      </c>
      <c r="AD337" s="355"/>
      <c r="AE337" s="356"/>
    </row>
    <row r="338" spans="1:31" ht="14.45" customHeight="1" x14ac:dyDescent="0.25">
      <c r="A338" s="331" t="s">
        <v>964</v>
      </c>
      <c r="B338" s="342" t="s">
        <v>853</v>
      </c>
      <c r="C338" s="343"/>
      <c r="D338" s="343"/>
      <c r="E338" s="343"/>
      <c r="F338" s="343"/>
      <c r="G338" s="343"/>
      <c r="H338" s="343"/>
      <c r="I338" s="343"/>
      <c r="J338" s="343"/>
      <c r="K338" s="343"/>
      <c r="L338" s="343"/>
      <c r="M338" s="344"/>
      <c r="N338" s="342" t="s">
        <v>98</v>
      </c>
      <c r="O338" s="343"/>
      <c r="P338" s="344"/>
      <c r="Q338" s="381">
        <v>36</v>
      </c>
      <c r="R338" s="382"/>
      <c r="S338" s="382"/>
      <c r="T338" s="382"/>
      <c r="U338" s="382"/>
      <c r="V338" s="383"/>
      <c r="W338" s="363">
        <v>1700</v>
      </c>
      <c r="X338" s="364"/>
      <c r="Y338" s="364"/>
      <c r="Z338" s="364"/>
      <c r="AA338" s="364"/>
      <c r="AB338" s="365"/>
      <c r="AC338" s="336">
        <v>61200</v>
      </c>
      <c r="AD338" s="337"/>
      <c r="AE338" s="338"/>
    </row>
    <row r="339" spans="1:31" ht="14.45" customHeight="1" x14ac:dyDescent="0.25">
      <c r="A339" s="331" t="s">
        <v>965</v>
      </c>
      <c r="B339" s="342" t="s">
        <v>854</v>
      </c>
      <c r="C339" s="343"/>
      <c r="D339" s="343"/>
      <c r="E339" s="343"/>
      <c r="F339" s="343"/>
      <c r="G339" s="343"/>
      <c r="H339" s="343"/>
      <c r="I339" s="343"/>
      <c r="J339" s="343"/>
      <c r="K339" s="343"/>
      <c r="L339" s="343"/>
      <c r="M339" s="344"/>
      <c r="N339" s="342" t="s">
        <v>97</v>
      </c>
      <c r="O339" s="343"/>
      <c r="P339" s="344"/>
      <c r="Q339" s="381">
        <v>12.12</v>
      </c>
      <c r="R339" s="382"/>
      <c r="S339" s="382"/>
      <c r="T339" s="382"/>
      <c r="U339" s="382"/>
      <c r="V339" s="383"/>
      <c r="W339" s="372">
        <v>793.26</v>
      </c>
      <c r="X339" s="373"/>
      <c r="Y339" s="373"/>
      <c r="Z339" s="373"/>
      <c r="AA339" s="373"/>
      <c r="AB339" s="374"/>
      <c r="AC339" s="366">
        <v>9614.31</v>
      </c>
      <c r="AD339" s="367"/>
      <c r="AE339" s="368"/>
    </row>
    <row r="340" spans="1:31" ht="14.45" customHeight="1" x14ac:dyDescent="0.25">
      <c r="A340" s="330" t="s">
        <v>966</v>
      </c>
      <c r="B340" s="357" t="s">
        <v>582</v>
      </c>
      <c r="C340" s="358"/>
      <c r="D340" s="358"/>
      <c r="E340" s="358"/>
      <c r="F340" s="358"/>
      <c r="G340" s="358"/>
      <c r="H340" s="358"/>
      <c r="I340" s="358"/>
      <c r="J340" s="358"/>
      <c r="K340" s="358"/>
      <c r="L340" s="358"/>
      <c r="M340" s="359"/>
      <c r="N340" s="357"/>
      <c r="O340" s="358"/>
      <c r="P340" s="359"/>
      <c r="Q340" s="360"/>
      <c r="R340" s="361"/>
      <c r="S340" s="361"/>
      <c r="T340" s="361"/>
      <c r="U340" s="361"/>
      <c r="V340" s="362"/>
      <c r="W340" s="360"/>
      <c r="X340" s="361"/>
      <c r="Y340" s="361"/>
      <c r="Z340" s="361"/>
      <c r="AA340" s="361"/>
      <c r="AB340" s="362"/>
      <c r="AC340" s="354">
        <v>18556.669999999998</v>
      </c>
      <c r="AD340" s="355"/>
      <c r="AE340" s="356"/>
    </row>
    <row r="341" spans="1:31" ht="14.45" customHeight="1" x14ac:dyDescent="0.25">
      <c r="A341" s="331" t="s">
        <v>967</v>
      </c>
      <c r="B341" s="342" t="s">
        <v>583</v>
      </c>
      <c r="C341" s="343"/>
      <c r="D341" s="343"/>
      <c r="E341" s="343"/>
      <c r="F341" s="343"/>
      <c r="G341" s="343"/>
      <c r="H341" s="343"/>
      <c r="I341" s="343"/>
      <c r="J341" s="343"/>
      <c r="K341" s="343"/>
      <c r="L341" s="343"/>
      <c r="M341" s="344"/>
      <c r="N341" s="342" t="s">
        <v>98</v>
      </c>
      <c r="O341" s="343"/>
      <c r="P341" s="344"/>
      <c r="Q341" s="345">
        <v>2</v>
      </c>
      <c r="R341" s="346"/>
      <c r="S341" s="346"/>
      <c r="T341" s="346"/>
      <c r="U341" s="346"/>
      <c r="V341" s="347"/>
      <c r="W341" s="363">
        <v>5278.3334999999997</v>
      </c>
      <c r="X341" s="364"/>
      <c r="Y341" s="364"/>
      <c r="Z341" s="364"/>
      <c r="AA341" s="364"/>
      <c r="AB341" s="365"/>
      <c r="AC341" s="336">
        <v>10556.67</v>
      </c>
      <c r="AD341" s="337"/>
      <c r="AE341" s="338"/>
    </row>
    <row r="342" spans="1:31" ht="14.45" customHeight="1" x14ac:dyDescent="0.25">
      <c r="A342" s="331" t="s">
        <v>968</v>
      </c>
      <c r="B342" s="342" t="s">
        <v>584</v>
      </c>
      <c r="C342" s="343"/>
      <c r="D342" s="343"/>
      <c r="E342" s="343"/>
      <c r="F342" s="343"/>
      <c r="G342" s="343"/>
      <c r="H342" s="343"/>
      <c r="I342" s="343"/>
      <c r="J342" s="343"/>
      <c r="K342" s="343"/>
      <c r="L342" s="343"/>
      <c r="M342" s="344"/>
      <c r="N342" s="342" t="s">
        <v>98</v>
      </c>
      <c r="O342" s="343"/>
      <c r="P342" s="344"/>
      <c r="Q342" s="345">
        <v>1</v>
      </c>
      <c r="R342" s="346"/>
      <c r="S342" s="346"/>
      <c r="T342" s="346"/>
      <c r="U342" s="346"/>
      <c r="V342" s="347"/>
      <c r="W342" s="372">
        <v>800</v>
      </c>
      <c r="X342" s="373"/>
      <c r="Y342" s="373"/>
      <c r="Z342" s="373"/>
      <c r="AA342" s="373"/>
      <c r="AB342" s="374"/>
      <c r="AC342" s="375">
        <v>800</v>
      </c>
      <c r="AD342" s="376"/>
      <c r="AE342" s="377"/>
    </row>
    <row r="343" spans="1:31" ht="14.45" customHeight="1" x14ac:dyDescent="0.25">
      <c r="A343" s="331" t="s">
        <v>969</v>
      </c>
      <c r="B343" s="342" t="s">
        <v>855</v>
      </c>
      <c r="C343" s="343"/>
      <c r="D343" s="343"/>
      <c r="E343" s="343"/>
      <c r="F343" s="343"/>
      <c r="G343" s="343"/>
      <c r="H343" s="343"/>
      <c r="I343" s="343"/>
      <c r="J343" s="343"/>
      <c r="K343" s="343"/>
      <c r="L343" s="343"/>
      <c r="M343" s="344"/>
      <c r="N343" s="342" t="s">
        <v>154</v>
      </c>
      <c r="O343" s="343"/>
      <c r="P343" s="344"/>
      <c r="Q343" s="345">
        <v>1</v>
      </c>
      <c r="R343" s="346"/>
      <c r="S343" s="346"/>
      <c r="T343" s="346"/>
      <c r="U343" s="346"/>
      <c r="V343" s="347"/>
      <c r="W343" s="363">
        <v>7200</v>
      </c>
      <c r="X343" s="364"/>
      <c r="Y343" s="364"/>
      <c r="Z343" s="364"/>
      <c r="AA343" s="364"/>
      <c r="AB343" s="365"/>
      <c r="AC343" s="366">
        <v>7200</v>
      </c>
      <c r="AD343" s="367"/>
      <c r="AE343" s="368"/>
    </row>
    <row r="344" spans="1:31" ht="14.45" customHeight="1" x14ac:dyDescent="0.25">
      <c r="A344" s="330" t="s">
        <v>557</v>
      </c>
      <c r="B344" s="357" t="s">
        <v>586</v>
      </c>
      <c r="C344" s="358"/>
      <c r="D344" s="358"/>
      <c r="E344" s="358"/>
      <c r="F344" s="358"/>
      <c r="G344" s="358"/>
      <c r="H344" s="358"/>
      <c r="I344" s="358"/>
      <c r="J344" s="358"/>
      <c r="K344" s="358"/>
      <c r="L344" s="358"/>
      <c r="M344" s="359"/>
      <c r="N344" s="357"/>
      <c r="O344" s="358"/>
      <c r="P344" s="359"/>
      <c r="Q344" s="360"/>
      <c r="R344" s="361"/>
      <c r="S344" s="361"/>
      <c r="T344" s="361"/>
      <c r="U344" s="361"/>
      <c r="V344" s="362"/>
      <c r="W344" s="360"/>
      <c r="X344" s="361"/>
      <c r="Y344" s="361"/>
      <c r="Z344" s="361"/>
      <c r="AA344" s="361"/>
      <c r="AB344" s="362"/>
      <c r="AC344" s="384">
        <v>217852.24</v>
      </c>
      <c r="AD344" s="385"/>
      <c r="AE344" s="386"/>
    </row>
    <row r="345" spans="1:31" ht="14.45" customHeight="1" x14ac:dyDescent="0.25">
      <c r="A345" s="330" t="s">
        <v>558</v>
      </c>
      <c r="B345" s="357" t="s">
        <v>586</v>
      </c>
      <c r="C345" s="358"/>
      <c r="D345" s="358"/>
      <c r="E345" s="358"/>
      <c r="F345" s="358"/>
      <c r="G345" s="358"/>
      <c r="H345" s="358"/>
      <c r="I345" s="358"/>
      <c r="J345" s="358"/>
      <c r="K345" s="358"/>
      <c r="L345" s="358"/>
      <c r="M345" s="359"/>
      <c r="N345" s="357"/>
      <c r="O345" s="358"/>
      <c r="P345" s="359"/>
      <c r="Q345" s="360"/>
      <c r="R345" s="361"/>
      <c r="S345" s="361"/>
      <c r="T345" s="361"/>
      <c r="U345" s="361"/>
      <c r="V345" s="362"/>
      <c r="W345" s="360"/>
      <c r="X345" s="361"/>
      <c r="Y345" s="361"/>
      <c r="Z345" s="361"/>
      <c r="AA345" s="361"/>
      <c r="AB345" s="362"/>
      <c r="AC345" s="384">
        <v>217852.24</v>
      </c>
      <c r="AD345" s="385"/>
      <c r="AE345" s="386"/>
    </row>
    <row r="346" spans="1:31" ht="14.45" customHeight="1" x14ac:dyDescent="0.25">
      <c r="A346" s="330" t="s">
        <v>560</v>
      </c>
      <c r="B346" s="357" t="s">
        <v>589</v>
      </c>
      <c r="C346" s="358"/>
      <c r="D346" s="358"/>
      <c r="E346" s="358"/>
      <c r="F346" s="358"/>
      <c r="G346" s="358"/>
      <c r="H346" s="358"/>
      <c r="I346" s="358"/>
      <c r="J346" s="358"/>
      <c r="K346" s="358"/>
      <c r="L346" s="358"/>
      <c r="M346" s="359"/>
      <c r="N346" s="357"/>
      <c r="O346" s="358"/>
      <c r="P346" s="359"/>
      <c r="Q346" s="360"/>
      <c r="R346" s="361"/>
      <c r="S346" s="361"/>
      <c r="T346" s="361"/>
      <c r="U346" s="361"/>
      <c r="V346" s="362"/>
      <c r="W346" s="360"/>
      <c r="X346" s="361"/>
      <c r="Y346" s="361"/>
      <c r="Z346" s="361"/>
      <c r="AA346" s="361"/>
      <c r="AB346" s="362"/>
      <c r="AC346" s="384">
        <v>141747.6</v>
      </c>
      <c r="AD346" s="385"/>
      <c r="AE346" s="386"/>
    </row>
    <row r="347" spans="1:31" ht="14.45" customHeight="1" x14ac:dyDescent="0.25">
      <c r="A347" s="331" t="s">
        <v>562</v>
      </c>
      <c r="B347" s="342" t="s">
        <v>591</v>
      </c>
      <c r="C347" s="343"/>
      <c r="D347" s="343"/>
      <c r="E347" s="343"/>
      <c r="F347" s="343"/>
      <c r="G347" s="343"/>
      <c r="H347" s="343"/>
      <c r="I347" s="343"/>
      <c r="J347" s="343"/>
      <c r="K347" s="343"/>
      <c r="L347" s="343"/>
      <c r="M347" s="344"/>
      <c r="N347" s="342" t="s">
        <v>154</v>
      </c>
      <c r="O347" s="343"/>
      <c r="P347" s="344"/>
      <c r="Q347" s="345">
        <v>1</v>
      </c>
      <c r="R347" s="346"/>
      <c r="S347" s="346"/>
      <c r="T347" s="346"/>
      <c r="U347" s="346"/>
      <c r="V347" s="347"/>
      <c r="W347" s="402">
        <v>141747.6</v>
      </c>
      <c r="X347" s="403"/>
      <c r="Y347" s="403"/>
      <c r="Z347" s="403"/>
      <c r="AA347" s="403"/>
      <c r="AB347" s="404"/>
      <c r="AC347" s="393">
        <v>141747.6</v>
      </c>
      <c r="AD347" s="394"/>
      <c r="AE347" s="395"/>
    </row>
    <row r="348" spans="1:31" ht="14.45" customHeight="1" x14ac:dyDescent="0.25">
      <c r="A348" s="330" t="s">
        <v>563</v>
      </c>
      <c r="B348" s="357" t="s">
        <v>592</v>
      </c>
      <c r="C348" s="358"/>
      <c r="D348" s="358"/>
      <c r="E348" s="358"/>
      <c r="F348" s="358"/>
      <c r="G348" s="358"/>
      <c r="H348" s="358"/>
      <c r="I348" s="358"/>
      <c r="J348" s="358"/>
      <c r="K348" s="358"/>
      <c r="L348" s="358"/>
      <c r="M348" s="359"/>
      <c r="N348" s="357"/>
      <c r="O348" s="358"/>
      <c r="P348" s="359"/>
      <c r="Q348" s="360"/>
      <c r="R348" s="361"/>
      <c r="S348" s="361"/>
      <c r="T348" s="361"/>
      <c r="U348" s="361"/>
      <c r="V348" s="362"/>
      <c r="W348" s="360"/>
      <c r="X348" s="361"/>
      <c r="Y348" s="361"/>
      <c r="Z348" s="361"/>
      <c r="AA348" s="361"/>
      <c r="AB348" s="362"/>
      <c r="AC348" s="354">
        <v>24330.38</v>
      </c>
      <c r="AD348" s="355"/>
      <c r="AE348" s="356"/>
    </row>
    <row r="349" spans="1:31" ht="14.45" customHeight="1" x14ac:dyDescent="0.25">
      <c r="A349" s="331" t="s">
        <v>565</v>
      </c>
      <c r="B349" s="342" t="s">
        <v>593</v>
      </c>
      <c r="C349" s="343"/>
      <c r="D349" s="343"/>
      <c r="E349" s="343"/>
      <c r="F349" s="343"/>
      <c r="G349" s="343"/>
      <c r="H349" s="343"/>
      <c r="I349" s="343"/>
      <c r="J349" s="343"/>
      <c r="K349" s="343"/>
      <c r="L349" s="343"/>
      <c r="M349" s="344"/>
      <c r="N349" s="342" t="s">
        <v>154</v>
      </c>
      <c r="O349" s="343"/>
      <c r="P349" s="344"/>
      <c r="Q349" s="345">
        <v>1</v>
      </c>
      <c r="R349" s="346"/>
      <c r="S349" s="346"/>
      <c r="T349" s="346"/>
      <c r="U349" s="346"/>
      <c r="V349" s="347"/>
      <c r="W349" s="348">
        <v>24330.38</v>
      </c>
      <c r="X349" s="349"/>
      <c r="Y349" s="349"/>
      <c r="Z349" s="349"/>
      <c r="AA349" s="349"/>
      <c r="AB349" s="350"/>
      <c r="AC349" s="336">
        <v>24330.38</v>
      </c>
      <c r="AD349" s="337"/>
      <c r="AE349" s="338"/>
    </row>
    <row r="350" spans="1:31" ht="14.45" customHeight="1" x14ac:dyDescent="0.25">
      <c r="A350" s="330" t="s">
        <v>568</v>
      </c>
      <c r="B350" s="357" t="s">
        <v>594</v>
      </c>
      <c r="C350" s="358"/>
      <c r="D350" s="358"/>
      <c r="E350" s="358"/>
      <c r="F350" s="358"/>
      <c r="G350" s="358"/>
      <c r="H350" s="358"/>
      <c r="I350" s="358"/>
      <c r="J350" s="358"/>
      <c r="K350" s="358"/>
      <c r="L350" s="358"/>
      <c r="M350" s="359"/>
      <c r="N350" s="357"/>
      <c r="O350" s="358"/>
      <c r="P350" s="359"/>
      <c r="Q350" s="360"/>
      <c r="R350" s="361"/>
      <c r="S350" s="361"/>
      <c r="T350" s="361"/>
      <c r="U350" s="361"/>
      <c r="V350" s="362"/>
      <c r="W350" s="360"/>
      <c r="X350" s="361"/>
      <c r="Y350" s="361"/>
      <c r="Z350" s="361"/>
      <c r="AA350" s="361"/>
      <c r="AB350" s="362"/>
      <c r="AC350" s="390">
        <v>7529.18</v>
      </c>
      <c r="AD350" s="391"/>
      <c r="AE350" s="392"/>
    </row>
    <row r="351" spans="1:31" ht="14.45" customHeight="1" x14ac:dyDescent="0.25">
      <c r="A351" s="331" t="s">
        <v>570</v>
      </c>
      <c r="B351" s="342" t="s">
        <v>595</v>
      </c>
      <c r="C351" s="343"/>
      <c r="D351" s="343"/>
      <c r="E351" s="343"/>
      <c r="F351" s="343"/>
      <c r="G351" s="343"/>
      <c r="H351" s="343"/>
      <c r="I351" s="343"/>
      <c r="J351" s="343"/>
      <c r="K351" s="343"/>
      <c r="L351" s="343"/>
      <c r="M351" s="344"/>
      <c r="N351" s="342" t="s">
        <v>97</v>
      </c>
      <c r="O351" s="343"/>
      <c r="P351" s="344"/>
      <c r="Q351" s="381">
        <v>14.5425</v>
      </c>
      <c r="R351" s="382"/>
      <c r="S351" s="382"/>
      <c r="T351" s="382"/>
      <c r="U351" s="382"/>
      <c r="V351" s="383"/>
      <c r="W351" s="372">
        <v>517.73599999999999</v>
      </c>
      <c r="X351" s="373"/>
      <c r="Y351" s="373"/>
      <c r="Z351" s="373"/>
      <c r="AA351" s="373"/>
      <c r="AB351" s="374"/>
      <c r="AC351" s="366">
        <v>7529.18</v>
      </c>
      <c r="AD351" s="367"/>
      <c r="AE351" s="368"/>
    </row>
    <row r="352" spans="1:31" ht="14.45" customHeight="1" x14ac:dyDescent="0.25">
      <c r="A352" s="330" t="s">
        <v>572</v>
      </c>
      <c r="B352" s="357" t="s">
        <v>145</v>
      </c>
      <c r="C352" s="358"/>
      <c r="D352" s="358"/>
      <c r="E352" s="358"/>
      <c r="F352" s="358"/>
      <c r="G352" s="358"/>
      <c r="H352" s="358"/>
      <c r="I352" s="358"/>
      <c r="J352" s="358"/>
      <c r="K352" s="358"/>
      <c r="L352" s="358"/>
      <c r="M352" s="359"/>
      <c r="N352" s="357"/>
      <c r="O352" s="358"/>
      <c r="P352" s="359"/>
      <c r="Q352" s="360"/>
      <c r="R352" s="361"/>
      <c r="S352" s="361"/>
      <c r="T352" s="361"/>
      <c r="U352" s="361"/>
      <c r="V352" s="362"/>
      <c r="W352" s="360"/>
      <c r="X352" s="361"/>
      <c r="Y352" s="361"/>
      <c r="Z352" s="361"/>
      <c r="AA352" s="361"/>
      <c r="AB352" s="362"/>
      <c r="AC352" s="354">
        <v>44245.08</v>
      </c>
      <c r="AD352" s="355"/>
      <c r="AE352" s="356"/>
    </row>
    <row r="353" spans="1:31" ht="14.45" customHeight="1" x14ac:dyDescent="0.25">
      <c r="A353" s="331" t="s">
        <v>844</v>
      </c>
      <c r="B353" s="342" t="s">
        <v>596</v>
      </c>
      <c r="C353" s="343"/>
      <c r="D353" s="343"/>
      <c r="E353" s="343"/>
      <c r="F353" s="343"/>
      <c r="G353" s="343"/>
      <c r="H353" s="343"/>
      <c r="I353" s="343"/>
      <c r="J353" s="343"/>
      <c r="K353" s="343"/>
      <c r="L353" s="343"/>
      <c r="M353" s="344"/>
      <c r="N353" s="342" t="s">
        <v>154</v>
      </c>
      <c r="O353" s="343"/>
      <c r="P353" s="344"/>
      <c r="Q353" s="345">
        <v>1</v>
      </c>
      <c r="R353" s="346"/>
      <c r="S353" s="346"/>
      <c r="T353" s="346"/>
      <c r="U353" s="346"/>
      <c r="V353" s="347"/>
      <c r="W353" s="348">
        <v>44245.08</v>
      </c>
      <c r="X353" s="349"/>
      <c r="Y353" s="349"/>
      <c r="Z353" s="349"/>
      <c r="AA353" s="349"/>
      <c r="AB353" s="350"/>
      <c r="AC353" s="336">
        <v>44245.08</v>
      </c>
      <c r="AD353" s="337"/>
      <c r="AE353" s="338"/>
    </row>
    <row r="354" spans="1:31" ht="14.45" customHeight="1" x14ac:dyDescent="0.25">
      <c r="A354" s="330" t="s">
        <v>585</v>
      </c>
      <c r="B354" s="357" t="s">
        <v>22</v>
      </c>
      <c r="C354" s="358"/>
      <c r="D354" s="358"/>
      <c r="E354" s="358"/>
      <c r="F354" s="358"/>
      <c r="G354" s="358"/>
      <c r="H354" s="358"/>
      <c r="I354" s="358"/>
      <c r="J354" s="358"/>
      <c r="K354" s="358"/>
      <c r="L354" s="358"/>
      <c r="M354" s="359"/>
      <c r="N354" s="357"/>
      <c r="O354" s="358"/>
      <c r="P354" s="359"/>
      <c r="Q354" s="360"/>
      <c r="R354" s="361"/>
      <c r="S354" s="361"/>
      <c r="T354" s="361"/>
      <c r="U354" s="361"/>
      <c r="V354" s="362"/>
      <c r="W354" s="360"/>
      <c r="X354" s="361"/>
      <c r="Y354" s="361"/>
      <c r="Z354" s="361"/>
      <c r="AA354" s="361"/>
      <c r="AB354" s="362"/>
      <c r="AC354" s="354">
        <v>14404.72</v>
      </c>
      <c r="AD354" s="355"/>
      <c r="AE354" s="356"/>
    </row>
    <row r="355" spans="1:31" ht="14.45" customHeight="1" x14ac:dyDescent="0.25">
      <c r="A355" s="330" t="s">
        <v>587</v>
      </c>
      <c r="B355" s="357" t="s">
        <v>22</v>
      </c>
      <c r="C355" s="358"/>
      <c r="D355" s="358"/>
      <c r="E355" s="358"/>
      <c r="F355" s="358"/>
      <c r="G355" s="358"/>
      <c r="H355" s="358"/>
      <c r="I355" s="358"/>
      <c r="J355" s="358"/>
      <c r="K355" s="358"/>
      <c r="L355" s="358"/>
      <c r="M355" s="359"/>
      <c r="N355" s="357"/>
      <c r="O355" s="358"/>
      <c r="P355" s="359"/>
      <c r="Q355" s="360"/>
      <c r="R355" s="361"/>
      <c r="S355" s="361"/>
      <c r="T355" s="361"/>
      <c r="U355" s="361"/>
      <c r="V355" s="362"/>
      <c r="W355" s="360"/>
      <c r="X355" s="361"/>
      <c r="Y355" s="361"/>
      <c r="Z355" s="361"/>
      <c r="AA355" s="361"/>
      <c r="AB355" s="362"/>
      <c r="AC355" s="354">
        <v>14404.72</v>
      </c>
      <c r="AD355" s="355"/>
      <c r="AE355" s="356"/>
    </row>
    <row r="356" spans="1:31" ht="14.45" customHeight="1" x14ac:dyDescent="0.25">
      <c r="A356" s="330" t="s">
        <v>588</v>
      </c>
      <c r="B356" s="357" t="s">
        <v>864</v>
      </c>
      <c r="C356" s="358"/>
      <c r="D356" s="358"/>
      <c r="E356" s="358"/>
      <c r="F356" s="358"/>
      <c r="G356" s="358"/>
      <c r="H356" s="358"/>
      <c r="I356" s="358"/>
      <c r="J356" s="358"/>
      <c r="K356" s="358"/>
      <c r="L356" s="358"/>
      <c r="M356" s="359"/>
      <c r="N356" s="357"/>
      <c r="O356" s="358"/>
      <c r="P356" s="359"/>
      <c r="Q356" s="360"/>
      <c r="R356" s="361"/>
      <c r="S356" s="361"/>
      <c r="T356" s="361"/>
      <c r="U356" s="361"/>
      <c r="V356" s="362"/>
      <c r="W356" s="360"/>
      <c r="X356" s="361"/>
      <c r="Y356" s="361"/>
      <c r="Z356" s="361"/>
      <c r="AA356" s="361"/>
      <c r="AB356" s="362"/>
      <c r="AC356" s="354">
        <v>14404.72</v>
      </c>
      <c r="AD356" s="355"/>
      <c r="AE356" s="356"/>
    </row>
    <row r="357" spans="1:31" ht="14.45" customHeight="1" x14ac:dyDescent="0.25">
      <c r="A357" s="331" t="s">
        <v>590</v>
      </c>
      <c r="B357" s="342" t="s">
        <v>856</v>
      </c>
      <c r="C357" s="343"/>
      <c r="D357" s="343"/>
      <c r="E357" s="343"/>
      <c r="F357" s="343"/>
      <c r="G357" s="343"/>
      <c r="H357" s="343"/>
      <c r="I357" s="343"/>
      <c r="J357" s="343"/>
      <c r="K357" s="343"/>
      <c r="L357" s="343"/>
      <c r="M357" s="344"/>
      <c r="N357" s="342" t="s">
        <v>97</v>
      </c>
      <c r="O357" s="343"/>
      <c r="P357" s="344"/>
      <c r="Q357" s="345">
        <v>4.68</v>
      </c>
      <c r="R357" s="346"/>
      <c r="S357" s="346"/>
      <c r="T357" s="346"/>
      <c r="U357" s="346"/>
      <c r="V357" s="347"/>
      <c r="W357" s="372">
        <v>634.32000000000005</v>
      </c>
      <c r="X357" s="373"/>
      <c r="Y357" s="373"/>
      <c r="Z357" s="373"/>
      <c r="AA357" s="373"/>
      <c r="AB357" s="374"/>
      <c r="AC357" s="366">
        <v>2968.62</v>
      </c>
      <c r="AD357" s="367"/>
      <c r="AE357" s="368"/>
    </row>
    <row r="358" spans="1:31" ht="14.45" customHeight="1" x14ac:dyDescent="0.25">
      <c r="A358" s="331" t="s">
        <v>970</v>
      </c>
      <c r="B358" s="342" t="s">
        <v>867</v>
      </c>
      <c r="C358" s="343"/>
      <c r="D358" s="343"/>
      <c r="E358" s="343"/>
      <c r="F358" s="343"/>
      <c r="G358" s="343"/>
      <c r="H358" s="343"/>
      <c r="I358" s="343"/>
      <c r="J358" s="343"/>
      <c r="K358" s="343"/>
      <c r="L358" s="343"/>
      <c r="M358" s="344"/>
      <c r="N358" s="342" t="s">
        <v>157</v>
      </c>
      <c r="O358" s="343"/>
      <c r="P358" s="344"/>
      <c r="Q358" s="372">
        <v>168.178</v>
      </c>
      <c r="R358" s="373"/>
      <c r="S358" s="373"/>
      <c r="T358" s="373"/>
      <c r="U358" s="373"/>
      <c r="V358" s="374"/>
      <c r="W358" s="381">
        <v>68</v>
      </c>
      <c r="X358" s="382"/>
      <c r="Y358" s="382"/>
      <c r="Z358" s="382"/>
      <c r="AA358" s="382"/>
      <c r="AB358" s="383"/>
      <c r="AC358" s="336">
        <v>11436.1</v>
      </c>
      <c r="AD358" s="337"/>
      <c r="AE358" s="338"/>
    </row>
    <row r="359" spans="1:31" ht="14.45" customHeight="1" x14ac:dyDescent="0.25">
      <c r="A359" s="330" t="s">
        <v>597</v>
      </c>
      <c r="B359" s="357" t="s">
        <v>63</v>
      </c>
      <c r="C359" s="358"/>
      <c r="D359" s="358"/>
      <c r="E359" s="358"/>
      <c r="F359" s="358"/>
      <c r="G359" s="358"/>
      <c r="H359" s="358"/>
      <c r="I359" s="358"/>
      <c r="J359" s="358"/>
      <c r="K359" s="358"/>
      <c r="L359" s="358"/>
      <c r="M359" s="359"/>
      <c r="N359" s="357"/>
      <c r="O359" s="358"/>
      <c r="P359" s="359"/>
      <c r="Q359" s="360"/>
      <c r="R359" s="361"/>
      <c r="S359" s="361"/>
      <c r="T359" s="361"/>
      <c r="U359" s="361"/>
      <c r="V359" s="362"/>
      <c r="W359" s="360"/>
      <c r="X359" s="361"/>
      <c r="Y359" s="361"/>
      <c r="Z359" s="361"/>
      <c r="AA359" s="361"/>
      <c r="AB359" s="362"/>
      <c r="AC359" s="384">
        <v>420905.94</v>
      </c>
      <c r="AD359" s="385"/>
      <c r="AE359" s="386"/>
    </row>
    <row r="360" spans="1:31" ht="14.45" customHeight="1" x14ac:dyDescent="0.25">
      <c r="A360" s="330" t="s">
        <v>598</v>
      </c>
      <c r="B360" s="357" t="s">
        <v>602</v>
      </c>
      <c r="C360" s="358"/>
      <c r="D360" s="358"/>
      <c r="E360" s="358"/>
      <c r="F360" s="358"/>
      <c r="G360" s="358"/>
      <c r="H360" s="358"/>
      <c r="I360" s="358"/>
      <c r="J360" s="358"/>
      <c r="K360" s="358"/>
      <c r="L360" s="358"/>
      <c r="M360" s="359"/>
      <c r="N360" s="357"/>
      <c r="O360" s="358"/>
      <c r="P360" s="359"/>
      <c r="Q360" s="360"/>
      <c r="R360" s="361"/>
      <c r="S360" s="361"/>
      <c r="T360" s="361"/>
      <c r="U360" s="361"/>
      <c r="V360" s="362"/>
      <c r="W360" s="360"/>
      <c r="X360" s="361"/>
      <c r="Y360" s="361"/>
      <c r="Z360" s="361"/>
      <c r="AA360" s="361"/>
      <c r="AB360" s="362"/>
      <c r="AC360" s="384">
        <v>420905.94</v>
      </c>
      <c r="AD360" s="385"/>
      <c r="AE360" s="386"/>
    </row>
    <row r="361" spans="1:31" ht="14.45" customHeight="1" x14ac:dyDescent="0.25">
      <c r="A361" s="330" t="s">
        <v>599</v>
      </c>
      <c r="B361" s="357" t="s">
        <v>605</v>
      </c>
      <c r="C361" s="358"/>
      <c r="D361" s="358"/>
      <c r="E361" s="358"/>
      <c r="F361" s="358"/>
      <c r="G361" s="358"/>
      <c r="H361" s="358"/>
      <c r="I361" s="358"/>
      <c r="J361" s="358"/>
      <c r="K361" s="358"/>
      <c r="L361" s="358"/>
      <c r="M361" s="359"/>
      <c r="N361" s="357"/>
      <c r="O361" s="358"/>
      <c r="P361" s="359"/>
      <c r="Q361" s="360"/>
      <c r="R361" s="361"/>
      <c r="S361" s="361"/>
      <c r="T361" s="361"/>
      <c r="U361" s="361"/>
      <c r="V361" s="362"/>
      <c r="W361" s="360"/>
      <c r="X361" s="361"/>
      <c r="Y361" s="361"/>
      <c r="Z361" s="361"/>
      <c r="AA361" s="361"/>
      <c r="AB361" s="362"/>
      <c r="AC361" s="354">
        <v>80308.41</v>
      </c>
      <c r="AD361" s="355"/>
      <c r="AE361" s="356"/>
    </row>
    <row r="362" spans="1:31" ht="14.45" customHeight="1" x14ac:dyDescent="0.25">
      <c r="A362" s="331" t="s">
        <v>600</v>
      </c>
      <c r="B362" s="342" t="s">
        <v>971</v>
      </c>
      <c r="C362" s="343"/>
      <c r="D362" s="343"/>
      <c r="E362" s="343"/>
      <c r="F362" s="343"/>
      <c r="G362" s="343"/>
      <c r="H362" s="343"/>
      <c r="I362" s="343"/>
      <c r="J362" s="343"/>
      <c r="K362" s="343"/>
      <c r="L362" s="343"/>
      <c r="M362" s="344"/>
      <c r="N362" s="342" t="s">
        <v>97</v>
      </c>
      <c r="O362" s="343"/>
      <c r="P362" s="344"/>
      <c r="Q362" s="372">
        <v>965.44</v>
      </c>
      <c r="R362" s="373"/>
      <c r="S362" s="373"/>
      <c r="T362" s="373"/>
      <c r="U362" s="373"/>
      <c r="V362" s="374"/>
      <c r="W362" s="381">
        <v>13.099</v>
      </c>
      <c r="X362" s="382"/>
      <c r="Y362" s="382"/>
      <c r="Z362" s="382"/>
      <c r="AA362" s="382"/>
      <c r="AB362" s="383"/>
      <c r="AC362" s="336">
        <v>12646.3</v>
      </c>
      <c r="AD362" s="337"/>
      <c r="AE362" s="338"/>
    </row>
    <row r="363" spans="1:31" ht="14.45" customHeight="1" x14ac:dyDescent="0.25">
      <c r="A363" s="331" t="s">
        <v>865</v>
      </c>
      <c r="B363" s="342" t="s">
        <v>972</v>
      </c>
      <c r="C363" s="343"/>
      <c r="D363" s="343"/>
      <c r="E363" s="343"/>
      <c r="F363" s="343"/>
      <c r="G363" s="343"/>
      <c r="H363" s="343"/>
      <c r="I363" s="343"/>
      <c r="J363" s="343"/>
      <c r="K363" s="343"/>
      <c r="L363" s="343"/>
      <c r="M363" s="344"/>
      <c r="N363" s="342" t="s">
        <v>97</v>
      </c>
      <c r="O363" s="343"/>
      <c r="P363" s="344"/>
      <c r="Q363" s="363">
        <v>2050.85</v>
      </c>
      <c r="R363" s="364"/>
      <c r="S363" s="364"/>
      <c r="T363" s="364"/>
      <c r="U363" s="364"/>
      <c r="V363" s="365"/>
      <c r="W363" s="345">
        <v>2.54</v>
      </c>
      <c r="X363" s="346"/>
      <c r="Y363" s="346"/>
      <c r="Z363" s="346"/>
      <c r="AA363" s="346"/>
      <c r="AB363" s="347"/>
      <c r="AC363" s="366">
        <v>5209.16</v>
      </c>
      <c r="AD363" s="367"/>
      <c r="AE363" s="368"/>
    </row>
    <row r="364" spans="1:31" ht="14.45" customHeight="1" x14ac:dyDescent="0.25">
      <c r="A364" s="331" t="s">
        <v>866</v>
      </c>
      <c r="B364" s="342" t="s">
        <v>608</v>
      </c>
      <c r="C364" s="343"/>
      <c r="D364" s="343"/>
      <c r="E364" s="343"/>
      <c r="F364" s="343"/>
      <c r="G364" s="343"/>
      <c r="H364" s="343"/>
      <c r="I364" s="343"/>
      <c r="J364" s="343"/>
      <c r="K364" s="343"/>
      <c r="L364" s="343"/>
      <c r="M364" s="344"/>
      <c r="N364" s="342" t="s">
        <v>97</v>
      </c>
      <c r="O364" s="343"/>
      <c r="P364" s="344"/>
      <c r="Q364" s="372">
        <v>836.85</v>
      </c>
      <c r="R364" s="373"/>
      <c r="S364" s="373"/>
      <c r="T364" s="373"/>
      <c r="U364" s="373"/>
      <c r="V364" s="374"/>
      <c r="W364" s="345">
        <v>5.46</v>
      </c>
      <c r="X364" s="346"/>
      <c r="Y364" s="346"/>
      <c r="Z364" s="346"/>
      <c r="AA364" s="346"/>
      <c r="AB364" s="347"/>
      <c r="AC364" s="366">
        <v>4569.2</v>
      </c>
      <c r="AD364" s="367"/>
      <c r="AE364" s="368"/>
    </row>
    <row r="365" spans="1:31" ht="14.45" customHeight="1" x14ac:dyDescent="0.25">
      <c r="A365" s="331" t="s">
        <v>973</v>
      </c>
      <c r="B365" s="342" t="s">
        <v>610</v>
      </c>
      <c r="C365" s="343"/>
      <c r="D365" s="343"/>
      <c r="E365" s="343"/>
      <c r="F365" s="343"/>
      <c r="G365" s="343"/>
      <c r="H365" s="343"/>
      <c r="I365" s="343"/>
      <c r="J365" s="343"/>
      <c r="K365" s="343"/>
      <c r="L365" s="343"/>
      <c r="M365" s="344"/>
      <c r="N365" s="342" t="s">
        <v>97</v>
      </c>
      <c r="O365" s="343"/>
      <c r="P365" s="344"/>
      <c r="Q365" s="363">
        <v>2887.69</v>
      </c>
      <c r="R365" s="364"/>
      <c r="S365" s="364"/>
      <c r="T365" s="364"/>
      <c r="U365" s="364"/>
      <c r="V365" s="365"/>
      <c r="W365" s="381">
        <v>20.045000000000002</v>
      </c>
      <c r="X365" s="382"/>
      <c r="Y365" s="382"/>
      <c r="Z365" s="382"/>
      <c r="AA365" s="382"/>
      <c r="AB365" s="383"/>
      <c r="AC365" s="336">
        <v>57883.75</v>
      </c>
      <c r="AD365" s="337"/>
      <c r="AE365" s="338"/>
    </row>
    <row r="366" spans="1:31" ht="14.45" customHeight="1" x14ac:dyDescent="0.25">
      <c r="A366" s="330" t="s">
        <v>974</v>
      </c>
      <c r="B366" s="357" t="s">
        <v>612</v>
      </c>
      <c r="C366" s="358"/>
      <c r="D366" s="358"/>
      <c r="E366" s="358"/>
      <c r="F366" s="358"/>
      <c r="G366" s="358"/>
      <c r="H366" s="358"/>
      <c r="I366" s="358"/>
      <c r="J366" s="358"/>
      <c r="K366" s="358"/>
      <c r="L366" s="358"/>
      <c r="M366" s="359"/>
      <c r="N366" s="357"/>
      <c r="O366" s="358"/>
      <c r="P366" s="359"/>
      <c r="Q366" s="360"/>
      <c r="R366" s="361"/>
      <c r="S366" s="361"/>
      <c r="T366" s="361"/>
      <c r="U366" s="361"/>
      <c r="V366" s="362"/>
      <c r="W366" s="360"/>
      <c r="X366" s="361"/>
      <c r="Y366" s="361"/>
      <c r="Z366" s="361"/>
      <c r="AA366" s="361"/>
      <c r="AB366" s="362"/>
      <c r="AC366" s="354">
        <v>16453.919999999998</v>
      </c>
      <c r="AD366" s="355"/>
      <c r="AE366" s="356"/>
    </row>
    <row r="367" spans="1:31" ht="14.45" customHeight="1" x14ac:dyDescent="0.25">
      <c r="A367" s="331" t="s">
        <v>975</v>
      </c>
      <c r="B367" s="342" t="s">
        <v>614</v>
      </c>
      <c r="C367" s="343"/>
      <c r="D367" s="343"/>
      <c r="E367" s="343"/>
      <c r="F367" s="343"/>
      <c r="G367" s="343"/>
      <c r="H367" s="343"/>
      <c r="I367" s="343"/>
      <c r="J367" s="343"/>
      <c r="K367" s="343"/>
      <c r="L367" s="343"/>
      <c r="M367" s="344"/>
      <c r="N367" s="342" t="s">
        <v>97</v>
      </c>
      <c r="O367" s="343"/>
      <c r="P367" s="344"/>
      <c r="Q367" s="363">
        <v>2887.69</v>
      </c>
      <c r="R367" s="364"/>
      <c r="S367" s="364"/>
      <c r="T367" s="364"/>
      <c r="U367" s="364"/>
      <c r="V367" s="365"/>
      <c r="W367" s="345">
        <v>0.97760000000000002</v>
      </c>
      <c r="X367" s="346"/>
      <c r="Y367" s="346"/>
      <c r="Z367" s="346"/>
      <c r="AA367" s="346"/>
      <c r="AB367" s="347"/>
      <c r="AC367" s="366">
        <v>2823.01</v>
      </c>
      <c r="AD367" s="367"/>
      <c r="AE367" s="368"/>
    </row>
    <row r="368" spans="1:31" ht="14.45" customHeight="1" x14ac:dyDescent="0.25">
      <c r="A368" s="331" t="s">
        <v>976</v>
      </c>
      <c r="B368" s="342" t="s">
        <v>615</v>
      </c>
      <c r="C368" s="343"/>
      <c r="D368" s="343"/>
      <c r="E368" s="343"/>
      <c r="F368" s="343"/>
      <c r="G368" s="343"/>
      <c r="H368" s="343"/>
      <c r="I368" s="343"/>
      <c r="J368" s="343"/>
      <c r="K368" s="343"/>
      <c r="L368" s="343"/>
      <c r="M368" s="344"/>
      <c r="N368" s="342" t="s">
        <v>97</v>
      </c>
      <c r="O368" s="343"/>
      <c r="P368" s="344"/>
      <c r="Q368" s="363">
        <v>1226.0999999999999</v>
      </c>
      <c r="R368" s="364"/>
      <c r="S368" s="364"/>
      <c r="T368" s="364"/>
      <c r="U368" s="364"/>
      <c r="V368" s="365"/>
      <c r="W368" s="345">
        <v>3.798</v>
      </c>
      <c r="X368" s="346"/>
      <c r="Y368" s="346"/>
      <c r="Z368" s="346"/>
      <c r="AA368" s="346"/>
      <c r="AB368" s="347"/>
      <c r="AC368" s="366">
        <v>4656.7299999999996</v>
      </c>
      <c r="AD368" s="367"/>
      <c r="AE368" s="368"/>
    </row>
    <row r="369" spans="1:31" ht="14.45" customHeight="1" x14ac:dyDescent="0.25">
      <c r="A369" s="331" t="s">
        <v>977</v>
      </c>
      <c r="B369" s="342" t="s">
        <v>616</v>
      </c>
      <c r="C369" s="343"/>
      <c r="D369" s="343"/>
      <c r="E369" s="343"/>
      <c r="F369" s="343"/>
      <c r="G369" s="343"/>
      <c r="H369" s="343"/>
      <c r="I369" s="343"/>
      <c r="J369" s="343"/>
      <c r="K369" s="343"/>
      <c r="L369" s="343"/>
      <c r="M369" s="344"/>
      <c r="N369" s="342" t="s">
        <v>97</v>
      </c>
      <c r="O369" s="343"/>
      <c r="P369" s="344"/>
      <c r="Q369" s="372">
        <v>502.87</v>
      </c>
      <c r="R369" s="373"/>
      <c r="S369" s="373"/>
      <c r="T369" s="373"/>
      <c r="U369" s="373"/>
      <c r="V369" s="374"/>
      <c r="W369" s="345">
        <v>5.1639999999999997</v>
      </c>
      <c r="X369" s="346"/>
      <c r="Y369" s="346"/>
      <c r="Z369" s="346"/>
      <c r="AA369" s="346"/>
      <c r="AB369" s="347"/>
      <c r="AC369" s="366">
        <v>2596.8200000000002</v>
      </c>
      <c r="AD369" s="367"/>
      <c r="AE369" s="368"/>
    </row>
    <row r="370" spans="1:31" ht="14.45" customHeight="1" x14ac:dyDescent="0.25">
      <c r="A370" s="331" t="s">
        <v>978</v>
      </c>
      <c r="B370" s="342" t="s">
        <v>617</v>
      </c>
      <c r="C370" s="343"/>
      <c r="D370" s="343"/>
      <c r="E370" s="343"/>
      <c r="F370" s="343"/>
      <c r="G370" s="343"/>
      <c r="H370" s="343"/>
      <c r="I370" s="343"/>
      <c r="J370" s="343"/>
      <c r="K370" s="343"/>
      <c r="L370" s="343"/>
      <c r="M370" s="344"/>
      <c r="N370" s="342" t="s">
        <v>97</v>
      </c>
      <c r="O370" s="343"/>
      <c r="P370" s="344"/>
      <c r="Q370" s="363">
        <v>1158.72</v>
      </c>
      <c r="R370" s="364"/>
      <c r="S370" s="364"/>
      <c r="T370" s="364"/>
      <c r="U370" s="364"/>
      <c r="V370" s="365"/>
      <c r="W370" s="345">
        <v>5.5038</v>
      </c>
      <c r="X370" s="346"/>
      <c r="Y370" s="346"/>
      <c r="Z370" s="346"/>
      <c r="AA370" s="346"/>
      <c r="AB370" s="347"/>
      <c r="AC370" s="366">
        <v>6377.36</v>
      </c>
      <c r="AD370" s="367"/>
      <c r="AE370" s="368"/>
    </row>
    <row r="371" spans="1:31" ht="14.45" customHeight="1" x14ac:dyDescent="0.25">
      <c r="A371" s="330" t="s">
        <v>979</v>
      </c>
      <c r="B371" s="357" t="s">
        <v>619</v>
      </c>
      <c r="C371" s="358"/>
      <c r="D371" s="358"/>
      <c r="E371" s="358"/>
      <c r="F371" s="358"/>
      <c r="G371" s="358"/>
      <c r="H371" s="358"/>
      <c r="I371" s="358"/>
      <c r="J371" s="358"/>
      <c r="K371" s="358"/>
      <c r="L371" s="358"/>
      <c r="M371" s="359"/>
      <c r="N371" s="357"/>
      <c r="O371" s="358"/>
      <c r="P371" s="359"/>
      <c r="Q371" s="360"/>
      <c r="R371" s="361"/>
      <c r="S371" s="361"/>
      <c r="T371" s="361"/>
      <c r="U371" s="361"/>
      <c r="V371" s="362"/>
      <c r="W371" s="360"/>
      <c r="X371" s="361"/>
      <c r="Y371" s="361"/>
      <c r="Z371" s="361"/>
      <c r="AA371" s="361"/>
      <c r="AB371" s="362"/>
      <c r="AC371" s="390">
        <v>3017.64</v>
      </c>
      <c r="AD371" s="391"/>
      <c r="AE371" s="392"/>
    </row>
    <row r="372" spans="1:31" ht="14.45" customHeight="1" x14ac:dyDescent="0.25">
      <c r="A372" s="331" t="s">
        <v>980</v>
      </c>
      <c r="B372" s="342" t="s">
        <v>621</v>
      </c>
      <c r="C372" s="343"/>
      <c r="D372" s="343"/>
      <c r="E372" s="343"/>
      <c r="F372" s="343"/>
      <c r="G372" s="343"/>
      <c r="H372" s="343"/>
      <c r="I372" s="343"/>
      <c r="J372" s="343"/>
      <c r="K372" s="343"/>
      <c r="L372" s="343"/>
      <c r="M372" s="344"/>
      <c r="N372" s="342" t="s">
        <v>97</v>
      </c>
      <c r="O372" s="343"/>
      <c r="P372" s="344"/>
      <c r="Q372" s="372">
        <v>965.44</v>
      </c>
      <c r="R372" s="373"/>
      <c r="S372" s="373"/>
      <c r="T372" s="373"/>
      <c r="U372" s="373"/>
      <c r="V372" s="374"/>
      <c r="W372" s="345">
        <v>2.9438</v>
      </c>
      <c r="X372" s="346"/>
      <c r="Y372" s="346"/>
      <c r="Z372" s="346"/>
      <c r="AA372" s="346"/>
      <c r="AB372" s="347"/>
      <c r="AC372" s="366">
        <v>2842.06</v>
      </c>
      <c r="AD372" s="367"/>
      <c r="AE372" s="368"/>
    </row>
    <row r="373" spans="1:31" ht="14.45" customHeight="1" x14ac:dyDescent="0.25">
      <c r="A373" s="331" t="s">
        <v>981</v>
      </c>
      <c r="B373" s="342" t="s">
        <v>622</v>
      </c>
      <c r="C373" s="343"/>
      <c r="D373" s="343"/>
      <c r="E373" s="343"/>
      <c r="F373" s="343"/>
      <c r="G373" s="343"/>
      <c r="H373" s="343"/>
      <c r="I373" s="343"/>
      <c r="J373" s="343"/>
      <c r="K373" s="343"/>
      <c r="L373" s="343"/>
      <c r="M373" s="344"/>
      <c r="N373" s="342" t="s">
        <v>97</v>
      </c>
      <c r="O373" s="343"/>
      <c r="P373" s="344"/>
      <c r="Q373" s="345">
        <v>0.99</v>
      </c>
      <c r="R373" s="346"/>
      <c r="S373" s="346"/>
      <c r="T373" s="346"/>
      <c r="U373" s="346"/>
      <c r="V373" s="347"/>
      <c r="W373" s="372">
        <v>177.3545</v>
      </c>
      <c r="X373" s="373"/>
      <c r="Y373" s="373"/>
      <c r="Z373" s="373"/>
      <c r="AA373" s="373"/>
      <c r="AB373" s="374"/>
      <c r="AC373" s="375">
        <v>175.58</v>
      </c>
      <c r="AD373" s="376"/>
      <c r="AE373" s="377"/>
    </row>
    <row r="374" spans="1:31" ht="14.45" customHeight="1" x14ac:dyDescent="0.25">
      <c r="A374" s="330" t="s">
        <v>982</v>
      </c>
      <c r="B374" s="357" t="s">
        <v>624</v>
      </c>
      <c r="C374" s="358"/>
      <c r="D374" s="358"/>
      <c r="E374" s="358"/>
      <c r="F374" s="358"/>
      <c r="G374" s="358"/>
      <c r="H374" s="358"/>
      <c r="I374" s="358"/>
      <c r="J374" s="358"/>
      <c r="K374" s="358"/>
      <c r="L374" s="358"/>
      <c r="M374" s="359"/>
      <c r="N374" s="357"/>
      <c r="O374" s="358"/>
      <c r="P374" s="359"/>
      <c r="Q374" s="360"/>
      <c r="R374" s="361"/>
      <c r="S374" s="361"/>
      <c r="T374" s="361"/>
      <c r="U374" s="361"/>
      <c r="V374" s="362"/>
      <c r="W374" s="360"/>
      <c r="X374" s="361"/>
      <c r="Y374" s="361"/>
      <c r="Z374" s="361"/>
      <c r="AA374" s="361"/>
      <c r="AB374" s="362"/>
      <c r="AC374" s="390">
        <v>1804.81</v>
      </c>
      <c r="AD374" s="391"/>
      <c r="AE374" s="392"/>
    </row>
    <row r="375" spans="1:31" ht="14.45" customHeight="1" x14ac:dyDescent="0.25">
      <c r="A375" s="331" t="s">
        <v>983</v>
      </c>
      <c r="B375" s="342" t="s">
        <v>626</v>
      </c>
      <c r="C375" s="343"/>
      <c r="D375" s="343"/>
      <c r="E375" s="343"/>
      <c r="F375" s="343"/>
      <c r="G375" s="343"/>
      <c r="H375" s="343"/>
      <c r="I375" s="343"/>
      <c r="J375" s="343"/>
      <c r="K375" s="343"/>
      <c r="L375" s="343"/>
      <c r="M375" s="344"/>
      <c r="N375" s="342" t="s">
        <v>98</v>
      </c>
      <c r="O375" s="343"/>
      <c r="P375" s="344"/>
      <c r="Q375" s="372">
        <v>721.92250000000001</v>
      </c>
      <c r="R375" s="373"/>
      <c r="S375" s="373"/>
      <c r="T375" s="373"/>
      <c r="U375" s="373"/>
      <c r="V375" s="374"/>
      <c r="W375" s="345">
        <v>2.5</v>
      </c>
      <c r="X375" s="346"/>
      <c r="Y375" s="346"/>
      <c r="Z375" s="346"/>
      <c r="AA375" s="346"/>
      <c r="AB375" s="347"/>
      <c r="AC375" s="366">
        <v>1804.81</v>
      </c>
      <c r="AD375" s="367"/>
      <c r="AE375" s="368"/>
    </row>
    <row r="376" spans="1:31" ht="14.45" customHeight="1" x14ac:dyDescent="0.25">
      <c r="A376" s="330" t="s">
        <v>984</v>
      </c>
      <c r="B376" s="357" t="s">
        <v>145</v>
      </c>
      <c r="C376" s="358"/>
      <c r="D376" s="358"/>
      <c r="E376" s="358"/>
      <c r="F376" s="358"/>
      <c r="G376" s="358"/>
      <c r="H376" s="358"/>
      <c r="I376" s="358"/>
      <c r="J376" s="358"/>
      <c r="K376" s="358"/>
      <c r="L376" s="358"/>
      <c r="M376" s="359"/>
      <c r="N376" s="357"/>
      <c r="O376" s="358"/>
      <c r="P376" s="359"/>
      <c r="Q376" s="360"/>
      <c r="R376" s="361"/>
      <c r="S376" s="361"/>
      <c r="T376" s="361"/>
      <c r="U376" s="361"/>
      <c r="V376" s="362"/>
      <c r="W376" s="360"/>
      <c r="X376" s="361"/>
      <c r="Y376" s="361"/>
      <c r="Z376" s="361"/>
      <c r="AA376" s="361"/>
      <c r="AB376" s="362"/>
      <c r="AC376" s="384">
        <v>319321.15999999997</v>
      </c>
      <c r="AD376" s="385"/>
      <c r="AE376" s="386"/>
    </row>
    <row r="377" spans="1:31" ht="14.45" customHeight="1" x14ac:dyDescent="0.25">
      <c r="A377" s="331" t="s">
        <v>985</v>
      </c>
      <c r="B377" s="342" t="s">
        <v>629</v>
      </c>
      <c r="C377" s="343"/>
      <c r="D377" s="343"/>
      <c r="E377" s="343"/>
      <c r="F377" s="343"/>
      <c r="G377" s="343"/>
      <c r="H377" s="343"/>
      <c r="I377" s="343"/>
      <c r="J377" s="343"/>
      <c r="K377" s="343"/>
      <c r="L377" s="343"/>
      <c r="M377" s="344"/>
      <c r="N377" s="342" t="s">
        <v>97</v>
      </c>
      <c r="O377" s="343"/>
      <c r="P377" s="344"/>
      <c r="Q377" s="363">
        <v>2887.69</v>
      </c>
      <c r="R377" s="364"/>
      <c r="S377" s="364"/>
      <c r="T377" s="364"/>
      <c r="U377" s="364"/>
      <c r="V377" s="365"/>
      <c r="W377" s="381">
        <v>52</v>
      </c>
      <c r="X377" s="382"/>
      <c r="Y377" s="382"/>
      <c r="Z377" s="382"/>
      <c r="AA377" s="382"/>
      <c r="AB377" s="383"/>
      <c r="AC377" s="393">
        <v>150159.88</v>
      </c>
      <c r="AD377" s="394"/>
      <c r="AE377" s="395"/>
    </row>
    <row r="378" spans="1:31" ht="14.45" customHeight="1" x14ac:dyDescent="0.25">
      <c r="A378" s="331" t="s">
        <v>986</v>
      </c>
      <c r="B378" s="342" t="s">
        <v>1044</v>
      </c>
      <c r="C378" s="343"/>
      <c r="D378" s="343"/>
      <c r="E378" s="343"/>
      <c r="F378" s="343"/>
      <c r="G378" s="343"/>
      <c r="H378" s="343"/>
      <c r="I378" s="343"/>
      <c r="J378" s="343"/>
      <c r="K378" s="343"/>
      <c r="L378" s="343"/>
      <c r="M378" s="344"/>
      <c r="N378" s="342" t="s">
        <v>97</v>
      </c>
      <c r="O378" s="343"/>
      <c r="P378" s="344"/>
      <c r="Q378" s="372">
        <v>965.44</v>
      </c>
      <c r="R378" s="373"/>
      <c r="S378" s="373"/>
      <c r="T378" s="373"/>
      <c r="U378" s="373"/>
      <c r="V378" s="374"/>
      <c r="W378" s="381">
        <v>52</v>
      </c>
      <c r="X378" s="382"/>
      <c r="Y378" s="382"/>
      <c r="Z378" s="382"/>
      <c r="AA378" s="382"/>
      <c r="AB378" s="383"/>
      <c r="AC378" s="336">
        <v>50202.879999999997</v>
      </c>
      <c r="AD378" s="337"/>
      <c r="AE378" s="338"/>
    </row>
    <row r="379" spans="1:31" ht="14.45" customHeight="1" x14ac:dyDescent="0.25">
      <c r="A379" s="331" t="s">
        <v>987</v>
      </c>
      <c r="B379" s="342" t="s">
        <v>630</v>
      </c>
      <c r="C379" s="343"/>
      <c r="D379" s="343"/>
      <c r="E379" s="343"/>
      <c r="F379" s="343"/>
      <c r="G379" s="343"/>
      <c r="H379" s="343"/>
      <c r="I379" s="343"/>
      <c r="J379" s="343"/>
      <c r="K379" s="343"/>
      <c r="L379" s="343"/>
      <c r="M379" s="344"/>
      <c r="N379" s="342" t="s">
        <v>97</v>
      </c>
      <c r="O379" s="343"/>
      <c r="P379" s="344"/>
      <c r="Q379" s="363">
        <v>1728.97</v>
      </c>
      <c r="R379" s="364"/>
      <c r="S379" s="364"/>
      <c r="T379" s="364"/>
      <c r="U379" s="364"/>
      <c r="V379" s="365"/>
      <c r="W379" s="381">
        <v>48</v>
      </c>
      <c r="X379" s="382"/>
      <c r="Y379" s="382"/>
      <c r="Z379" s="382"/>
      <c r="AA379" s="382"/>
      <c r="AB379" s="383"/>
      <c r="AC379" s="336">
        <v>82990.559999999998</v>
      </c>
      <c r="AD379" s="337"/>
      <c r="AE379" s="338"/>
    </row>
    <row r="380" spans="1:31" ht="14.45" customHeight="1" x14ac:dyDescent="0.25">
      <c r="A380" s="331" t="s">
        <v>988</v>
      </c>
      <c r="B380" s="342" t="s">
        <v>631</v>
      </c>
      <c r="C380" s="343"/>
      <c r="D380" s="343"/>
      <c r="E380" s="343"/>
      <c r="F380" s="343"/>
      <c r="G380" s="343"/>
      <c r="H380" s="343"/>
      <c r="I380" s="343"/>
      <c r="J380" s="343"/>
      <c r="K380" s="343"/>
      <c r="L380" s="343"/>
      <c r="M380" s="344"/>
      <c r="N380" s="342" t="s">
        <v>97</v>
      </c>
      <c r="O380" s="343"/>
      <c r="P380" s="344"/>
      <c r="Q380" s="363">
        <v>1158.72</v>
      </c>
      <c r="R380" s="364"/>
      <c r="S380" s="364"/>
      <c r="T380" s="364"/>
      <c r="U380" s="364"/>
      <c r="V380" s="365"/>
      <c r="W380" s="381">
        <v>31</v>
      </c>
      <c r="X380" s="382"/>
      <c r="Y380" s="382"/>
      <c r="Z380" s="382"/>
      <c r="AA380" s="382"/>
      <c r="AB380" s="383"/>
      <c r="AC380" s="336">
        <v>35920.32</v>
      </c>
      <c r="AD380" s="337"/>
      <c r="AE380" s="338"/>
    </row>
    <row r="381" spans="1:31" ht="14.45" customHeight="1" x14ac:dyDescent="0.25">
      <c r="A381" s="331" t="s">
        <v>989</v>
      </c>
      <c r="B381" s="342" t="s">
        <v>857</v>
      </c>
      <c r="C381" s="343"/>
      <c r="D381" s="343"/>
      <c r="E381" s="343"/>
      <c r="F381" s="343"/>
      <c r="G381" s="343"/>
      <c r="H381" s="343"/>
      <c r="I381" s="343"/>
      <c r="J381" s="343"/>
      <c r="K381" s="343"/>
      <c r="L381" s="343"/>
      <c r="M381" s="344"/>
      <c r="N381" s="342" t="s">
        <v>97</v>
      </c>
      <c r="O381" s="343"/>
      <c r="P381" s="344"/>
      <c r="Q381" s="345">
        <v>0.99</v>
      </c>
      <c r="R381" s="346"/>
      <c r="S381" s="346"/>
      <c r="T381" s="346"/>
      <c r="U381" s="346"/>
      <c r="V381" s="347"/>
      <c r="W381" s="381">
        <v>48</v>
      </c>
      <c r="X381" s="382"/>
      <c r="Y381" s="382"/>
      <c r="Z381" s="382"/>
      <c r="AA381" s="382"/>
      <c r="AB381" s="383"/>
      <c r="AC381" s="387">
        <v>47.52</v>
      </c>
      <c r="AD381" s="388"/>
      <c r="AE381" s="389"/>
    </row>
    <row r="382" spans="1:31" ht="14.45" customHeight="1" x14ac:dyDescent="0.25">
      <c r="A382" s="330" t="s">
        <v>601</v>
      </c>
      <c r="B382" s="357" t="s">
        <v>633</v>
      </c>
      <c r="C382" s="358"/>
      <c r="D382" s="358"/>
      <c r="E382" s="358"/>
      <c r="F382" s="358"/>
      <c r="G382" s="358"/>
      <c r="H382" s="358"/>
      <c r="I382" s="358"/>
      <c r="J382" s="358"/>
      <c r="K382" s="358"/>
      <c r="L382" s="358"/>
      <c r="M382" s="359"/>
      <c r="N382" s="357"/>
      <c r="O382" s="358"/>
      <c r="P382" s="359"/>
      <c r="Q382" s="360"/>
      <c r="R382" s="361"/>
      <c r="S382" s="361"/>
      <c r="T382" s="361"/>
      <c r="U382" s="361"/>
      <c r="V382" s="362"/>
      <c r="W382" s="360"/>
      <c r="X382" s="361"/>
      <c r="Y382" s="361"/>
      <c r="Z382" s="361"/>
      <c r="AA382" s="361"/>
      <c r="AB382" s="362"/>
      <c r="AC382" s="396">
        <v>1488758.11</v>
      </c>
      <c r="AD382" s="397"/>
      <c r="AE382" s="398"/>
    </row>
    <row r="383" spans="1:31" ht="14.45" customHeight="1" x14ac:dyDescent="0.25">
      <c r="A383" s="330" t="s">
        <v>603</v>
      </c>
      <c r="B383" s="357" t="s">
        <v>635</v>
      </c>
      <c r="C383" s="358"/>
      <c r="D383" s="358"/>
      <c r="E383" s="358"/>
      <c r="F383" s="358"/>
      <c r="G383" s="358"/>
      <c r="H383" s="358"/>
      <c r="I383" s="358"/>
      <c r="J383" s="358"/>
      <c r="K383" s="358"/>
      <c r="L383" s="358"/>
      <c r="M383" s="359"/>
      <c r="N383" s="357"/>
      <c r="O383" s="358"/>
      <c r="P383" s="359"/>
      <c r="Q383" s="360"/>
      <c r="R383" s="361"/>
      <c r="S383" s="361"/>
      <c r="T383" s="361"/>
      <c r="U383" s="361"/>
      <c r="V383" s="362"/>
      <c r="W383" s="360"/>
      <c r="X383" s="361"/>
      <c r="Y383" s="361"/>
      <c r="Z383" s="361"/>
      <c r="AA383" s="361"/>
      <c r="AB383" s="362"/>
      <c r="AC383" s="396">
        <v>1488758.11</v>
      </c>
      <c r="AD383" s="397"/>
      <c r="AE383" s="398"/>
    </row>
    <row r="384" spans="1:31" ht="14.45" customHeight="1" x14ac:dyDescent="0.25">
      <c r="A384" s="330" t="s">
        <v>604</v>
      </c>
      <c r="B384" s="357" t="s">
        <v>637</v>
      </c>
      <c r="C384" s="358"/>
      <c r="D384" s="358"/>
      <c r="E384" s="358"/>
      <c r="F384" s="358"/>
      <c r="G384" s="358"/>
      <c r="H384" s="358"/>
      <c r="I384" s="358"/>
      <c r="J384" s="358"/>
      <c r="K384" s="358"/>
      <c r="L384" s="358"/>
      <c r="M384" s="359"/>
      <c r="N384" s="357"/>
      <c r="O384" s="358"/>
      <c r="P384" s="359"/>
      <c r="Q384" s="360"/>
      <c r="R384" s="361"/>
      <c r="S384" s="361"/>
      <c r="T384" s="361"/>
      <c r="U384" s="361"/>
      <c r="V384" s="362"/>
      <c r="W384" s="360"/>
      <c r="X384" s="361"/>
      <c r="Y384" s="361"/>
      <c r="Z384" s="361"/>
      <c r="AA384" s="361"/>
      <c r="AB384" s="362"/>
      <c r="AC384" s="354">
        <v>20634.18</v>
      </c>
      <c r="AD384" s="355"/>
      <c r="AE384" s="356"/>
    </row>
    <row r="385" spans="1:31" ht="14.45" customHeight="1" x14ac:dyDescent="0.25">
      <c r="A385" s="331" t="s">
        <v>606</v>
      </c>
      <c r="B385" s="342" t="s">
        <v>622</v>
      </c>
      <c r="C385" s="343"/>
      <c r="D385" s="343"/>
      <c r="E385" s="343"/>
      <c r="F385" s="343"/>
      <c r="G385" s="343"/>
      <c r="H385" s="343"/>
      <c r="I385" s="343"/>
      <c r="J385" s="343"/>
      <c r="K385" s="343"/>
      <c r="L385" s="343"/>
      <c r="M385" s="344"/>
      <c r="N385" s="342" t="s">
        <v>97</v>
      </c>
      <c r="O385" s="343"/>
      <c r="P385" s="344"/>
      <c r="Q385" s="381">
        <v>46.91</v>
      </c>
      <c r="R385" s="382"/>
      <c r="S385" s="382"/>
      <c r="T385" s="382"/>
      <c r="U385" s="382"/>
      <c r="V385" s="383"/>
      <c r="W385" s="372">
        <v>177.3545</v>
      </c>
      <c r="X385" s="373"/>
      <c r="Y385" s="373"/>
      <c r="Z385" s="373"/>
      <c r="AA385" s="373"/>
      <c r="AB385" s="374"/>
      <c r="AC385" s="366">
        <v>8319.7000000000007</v>
      </c>
      <c r="AD385" s="367"/>
      <c r="AE385" s="368"/>
    </row>
    <row r="386" spans="1:31" ht="14.45" customHeight="1" x14ac:dyDescent="0.25">
      <c r="A386" s="331" t="s">
        <v>607</v>
      </c>
      <c r="B386" s="342" t="s">
        <v>857</v>
      </c>
      <c r="C386" s="343"/>
      <c r="D386" s="343"/>
      <c r="E386" s="343"/>
      <c r="F386" s="343"/>
      <c r="G386" s="343"/>
      <c r="H386" s="343"/>
      <c r="I386" s="343"/>
      <c r="J386" s="343"/>
      <c r="K386" s="343"/>
      <c r="L386" s="343"/>
      <c r="M386" s="344"/>
      <c r="N386" s="342" t="s">
        <v>97</v>
      </c>
      <c r="O386" s="343"/>
      <c r="P386" s="344"/>
      <c r="Q386" s="381">
        <v>46.91</v>
      </c>
      <c r="R386" s="382"/>
      <c r="S386" s="382"/>
      <c r="T386" s="382"/>
      <c r="U386" s="382"/>
      <c r="V386" s="383"/>
      <c r="W386" s="381">
        <v>48</v>
      </c>
      <c r="X386" s="382"/>
      <c r="Y386" s="382"/>
      <c r="Z386" s="382"/>
      <c r="AA386" s="382"/>
      <c r="AB386" s="383"/>
      <c r="AC386" s="366">
        <v>2251.6799999999998</v>
      </c>
      <c r="AD386" s="367"/>
      <c r="AE386" s="368"/>
    </row>
    <row r="387" spans="1:31" ht="14.45" customHeight="1" x14ac:dyDescent="0.25">
      <c r="A387" s="331" t="s">
        <v>609</v>
      </c>
      <c r="B387" s="342" t="s">
        <v>868</v>
      </c>
      <c r="C387" s="343"/>
      <c r="D387" s="343"/>
      <c r="E387" s="343"/>
      <c r="F387" s="343"/>
      <c r="G387" s="343"/>
      <c r="H387" s="343"/>
      <c r="I387" s="343"/>
      <c r="J387" s="343"/>
      <c r="K387" s="343"/>
      <c r="L387" s="343"/>
      <c r="M387" s="344"/>
      <c r="N387" s="342" t="s">
        <v>97</v>
      </c>
      <c r="O387" s="343"/>
      <c r="P387" s="344"/>
      <c r="Q387" s="381">
        <v>45.74</v>
      </c>
      <c r="R387" s="382"/>
      <c r="S387" s="382"/>
      <c r="T387" s="382"/>
      <c r="U387" s="382"/>
      <c r="V387" s="383"/>
      <c r="W387" s="372">
        <v>220</v>
      </c>
      <c r="X387" s="373"/>
      <c r="Y387" s="373"/>
      <c r="Z387" s="373"/>
      <c r="AA387" s="373"/>
      <c r="AB387" s="374"/>
      <c r="AC387" s="336">
        <v>10062.799999999999</v>
      </c>
      <c r="AD387" s="337"/>
      <c r="AE387" s="338"/>
    </row>
    <row r="388" spans="1:31" ht="14.45" customHeight="1" x14ac:dyDescent="0.25">
      <c r="A388" s="330" t="s">
        <v>611</v>
      </c>
      <c r="B388" s="357" t="s">
        <v>639</v>
      </c>
      <c r="C388" s="358"/>
      <c r="D388" s="358"/>
      <c r="E388" s="358"/>
      <c r="F388" s="358"/>
      <c r="G388" s="358"/>
      <c r="H388" s="358"/>
      <c r="I388" s="358"/>
      <c r="J388" s="358"/>
      <c r="K388" s="358"/>
      <c r="L388" s="358"/>
      <c r="M388" s="359"/>
      <c r="N388" s="357"/>
      <c r="O388" s="358"/>
      <c r="P388" s="359"/>
      <c r="Q388" s="360"/>
      <c r="R388" s="361"/>
      <c r="S388" s="361"/>
      <c r="T388" s="361"/>
      <c r="U388" s="361"/>
      <c r="V388" s="362"/>
      <c r="W388" s="360"/>
      <c r="X388" s="361"/>
      <c r="Y388" s="361"/>
      <c r="Z388" s="361"/>
      <c r="AA388" s="361"/>
      <c r="AB388" s="362"/>
      <c r="AC388" s="354">
        <v>13568.49</v>
      </c>
      <c r="AD388" s="355"/>
      <c r="AE388" s="356"/>
    </row>
    <row r="389" spans="1:31" ht="14.45" customHeight="1" x14ac:dyDescent="0.25">
      <c r="A389" s="331" t="s">
        <v>613</v>
      </c>
      <c r="B389" s="342" t="s">
        <v>639</v>
      </c>
      <c r="C389" s="343"/>
      <c r="D389" s="343"/>
      <c r="E389" s="343"/>
      <c r="F389" s="343"/>
      <c r="G389" s="343"/>
      <c r="H389" s="343"/>
      <c r="I389" s="343"/>
      <c r="J389" s="343"/>
      <c r="K389" s="343"/>
      <c r="L389" s="343"/>
      <c r="M389" s="344"/>
      <c r="N389" s="342" t="s">
        <v>154</v>
      </c>
      <c r="O389" s="343"/>
      <c r="P389" s="344"/>
      <c r="Q389" s="345">
        <v>1</v>
      </c>
      <c r="R389" s="346"/>
      <c r="S389" s="346"/>
      <c r="T389" s="346"/>
      <c r="U389" s="346"/>
      <c r="V389" s="347"/>
      <c r="W389" s="348">
        <v>13568.49</v>
      </c>
      <c r="X389" s="349"/>
      <c r="Y389" s="349"/>
      <c r="Z389" s="349"/>
      <c r="AA389" s="349"/>
      <c r="AB389" s="350"/>
      <c r="AC389" s="336">
        <v>13568.49</v>
      </c>
      <c r="AD389" s="337"/>
      <c r="AE389" s="338"/>
    </row>
    <row r="390" spans="1:31" ht="14.45" customHeight="1" x14ac:dyDescent="0.25">
      <c r="A390" s="330" t="s">
        <v>618</v>
      </c>
      <c r="B390" s="357" t="s">
        <v>640</v>
      </c>
      <c r="C390" s="358"/>
      <c r="D390" s="358"/>
      <c r="E390" s="358"/>
      <c r="F390" s="358"/>
      <c r="G390" s="358"/>
      <c r="H390" s="358"/>
      <c r="I390" s="358"/>
      <c r="J390" s="358"/>
      <c r="K390" s="358"/>
      <c r="L390" s="358"/>
      <c r="M390" s="359"/>
      <c r="N390" s="357"/>
      <c r="O390" s="358"/>
      <c r="P390" s="359"/>
      <c r="Q390" s="360"/>
      <c r="R390" s="361"/>
      <c r="S390" s="361"/>
      <c r="T390" s="361"/>
      <c r="U390" s="361"/>
      <c r="V390" s="362"/>
      <c r="W390" s="360"/>
      <c r="X390" s="361"/>
      <c r="Y390" s="361"/>
      <c r="Z390" s="361"/>
      <c r="AA390" s="361"/>
      <c r="AB390" s="362"/>
      <c r="AC390" s="384">
        <v>935740.35</v>
      </c>
      <c r="AD390" s="385"/>
      <c r="AE390" s="386"/>
    </row>
    <row r="391" spans="1:31" ht="14.45" customHeight="1" x14ac:dyDescent="0.25">
      <c r="A391" s="331" t="s">
        <v>620</v>
      </c>
      <c r="B391" s="342" t="s">
        <v>641</v>
      </c>
      <c r="C391" s="343"/>
      <c r="D391" s="343"/>
      <c r="E391" s="343"/>
      <c r="F391" s="343"/>
      <c r="G391" s="343"/>
      <c r="H391" s="343"/>
      <c r="I391" s="343"/>
      <c r="J391" s="343"/>
      <c r="K391" s="343"/>
      <c r="L391" s="343"/>
      <c r="M391" s="344"/>
      <c r="N391" s="342" t="s">
        <v>154</v>
      </c>
      <c r="O391" s="343"/>
      <c r="P391" s="344"/>
      <c r="Q391" s="345">
        <v>1</v>
      </c>
      <c r="R391" s="346"/>
      <c r="S391" s="346"/>
      <c r="T391" s="346"/>
      <c r="U391" s="346"/>
      <c r="V391" s="347"/>
      <c r="W391" s="402">
        <v>935740.35</v>
      </c>
      <c r="X391" s="403"/>
      <c r="Y391" s="403"/>
      <c r="Z391" s="403"/>
      <c r="AA391" s="403"/>
      <c r="AB391" s="404"/>
      <c r="AC391" s="393">
        <v>935740.35</v>
      </c>
      <c r="AD391" s="394"/>
      <c r="AE391" s="395"/>
    </row>
    <row r="392" spans="1:31" ht="14.45" customHeight="1" x14ac:dyDescent="0.25">
      <c r="A392" s="330" t="s">
        <v>623</v>
      </c>
      <c r="B392" s="357" t="s">
        <v>642</v>
      </c>
      <c r="C392" s="358"/>
      <c r="D392" s="358"/>
      <c r="E392" s="358"/>
      <c r="F392" s="358"/>
      <c r="G392" s="358"/>
      <c r="H392" s="358"/>
      <c r="I392" s="358"/>
      <c r="J392" s="358"/>
      <c r="K392" s="358"/>
      <c r="L392" s="358"/>
      <c r="M392" s="359"/>
      <c r="N392" s="357"/>
      <c r="O392" s="358"/>
      <c r="P392" s="359"/>
      <c r="Q392" s="360"/>
      <c r="R392" s="361"/>
      <c r="S392" s="361"/>
      <c r="T392" s="361"/>
      <c r="U392" s="361"/>
      <c r="V392" s="362"/>
      <c r="W392" s="360"/>
      <c r="X392" s="361"/>
      <c r="Y392" s="361"/>
      <c r="Z392" s="361"/>
      <c r="AA392" s="361"/>
      <c r="AB392" s="362"/>
      <c r="AC392" s="384">
        <v>177335.87</v>
      </c>
      <c r="AD392" s="385"/>
      <c r="AE392" s="386"/>
    </row>
    <row r="393" spans="1:31" ht="14.45" customHeight="1" x14ac:dyDescent="0.25">
      <c r="A393" s="331" t="s">
        <v>625</v>
      </c>
      <c r="B393" s="342" t="s">
        <v>643</v>
      </c>
      <c r="C393" s="343"/>
      <c r="D393" s="343"/>
      <c r="E393" s="343"/>
      <c r="F393" s="343"/>
      <c r="G393" s="343"/>
      <c r="H393" s="343"/>
      <c r="I393" s="343"/>
      <c r="J393" s="343"/>
      <c r="K393" s="343"/>
      <c r="L393" s="343"/>
      <c r="M393" s="344"/>
      <c r="N393" s="342" t="s">
        <v>154</v>
      </c>
      <c r="O393" s="343"/>
      <c r="P393" s="344"/>
      <c r="Q393" s="345">
        <v>1</v>
      </c>
      <c r="R393" s="346"/>
      <c r="S393" s="346"/>
      <c r="T393" s="346"/>
      <c r="U393" s="346"/>
      <c r="V393" s="347"/>
      <c r="W393" s="402">
        <v>177335.87</v>
      </c>
      <c r="X393" s="403"/>
      <c r="Y393" s="403"/>
      <c r="Z393" s="403"/>
      <c r="AA393" s="403"/>
      <c r="AB393" s="404"/>
      <c r="AC393" s="393">
        <v>177335.87</v>
      </c>
      <c r="AD393" s="394"/>
      <c r="AE393" s="395"/>
    </row>
    <row r="394" spans="1:31" ht="14.45" customHeight="1" x14ac:dyDescent="0.25">
      <c r="A394" s="330" t="s">
        <v>627</v>
      </c>
      <c r="B394" s="357" t="s">
        <v>990</v>
      </c>
      <c r="C394" s="358"/>
      <c r="D394" s="358"/>
      <c r="E394" s="358"/>
      <c r="F394" s="358"/>
      <c r="G394" s="358"/>
      <c r="H394" s="358"/>
      <c r="I394" s="358"/>
      <c r="J394" s="358"/>
      <c r="K394" s="358"/>
      <c r="L394" s="358"/>
      <c r="M394" s="359"/>
      <c r="N394" s="357"/>
      <c r="O394" s="358"/>
      <c r="P394" s="359"/>
      <c r="Q394" s="360"/>
      <c r="R394" s="361"/>
      <c r="S394" s="361"/>
      <c r="T394" s="361"/>
      <c r="U394" s="361"/>
      <c r="V394" s="362"/>
      <c r="W394" s="360"/>
      <c r="X394" s="361"/>
      <c r="Y394" s="361"/>
      <c r="Z394" s="361"/>
      <c r="AA394" s="361"/>
      <c r="AB394" s="362"/>
      <c r="AC394" s="384">
        <v>111714.01</v>
      </c>
      <c r="AD394" s="385"/>
      <c r="AE394" s="386"/>
    </row>
    <row r="395" spans="1:31" ht="14.45" customHeight="1" x14ac:dyDescent="0.25">
      <c r="A395" s="331" t="s">
        <v>628</v>
      </c>
      <c r="B395" s="342" t="s">
        <v>990</v>
      </c>
      <c r="C395" s="343"/>
      <c r="D395" s="343"/>
      <c r="E395" s="343"/>
      <c r="F395" s="343"/>
      <c r="G395" s="343"/>
      <c r="H395" s="343"/>
      <c r="I395" s="343"/>
      <c r="J395" s="343"/>
      <c r="K395" s="343"/>
      <c r="L395" s="343"/>
      <c r="M395" s="344"/>
      <c r="N395" s="342" t="s">
        <v>154</v>
      </c>
      <c r="O395" s="343"/>
      <c r="P395" s="344"/>
      <c r="Q395" s="345">
        <v>1</v>
      </c>
      <c r="R395" s="346"/>
      <c r="S395" s="346"/>
      <c r="T395" s="346"/>
      <c r="U395" s="346"/>
      <c r="V395" s="347"/>
      <c r="W395" s="402">
        <v>111714.01</v>
      </c>
      <c r="X395" s="403"/>
      <c r="Y395" s="403"/>
      <c r="Z395" s="403"/>
      <c r="AA395" s="403"/>
      <c r="AB395" s="404"/>
      <c r="AC395" s="393">
        <v>111714.01</v>
      </c>
      <c r="AD395" s="394"/>
      <c r="AE395" s="395"/>
    </row>
    <row r="396" spans="1:31" ht="14.45" customHeight="1" x14ac:dyDescent="0.25">
      <c r="A396" s="330" t="s">
        <v>1045</v>
      </c>
      <c r="B396" s="357" t="s">
        <v>644</v>
      </c>
      <c r="C396" s="358"/>
      <c r="D396" s="358"/>
      <c r="E396" s="358"/>
      <c r="F396" s="358"/>
      <c r="G396" s="358"/>
      <c r="H396" s="358"/>
      <c r="I396" s="358"/>
      <c r="J396" s="358"/>
      <c r="K396" s="358"/>
      <c r="L396" s="358"/>
      <c r="M396" s="359"/>
      <c r="N396" s="357"/>
      <c r="O396" s="358"/>
      <c r="P396" s="359"/>
      <c r="Q396" s="360"/>
      <c r="R396" s="361"/>
      <c r="S396" s="361"/>
      <c r="T396" s="361"/>
      <c r="U396" s="361"/>
      <c r="V396" s="362"/>
      <c r="W396" s="360"/>
      <c r="X396" s="361"/>
      <c r="Y396" s="361"/>
      <c r="Z396" s="361"/>
      <c r="AA396" s="361"/>
      <c r="AB396" s="362"/>
      <c r="AC396" s="384">
        <v>156023.41</v>
      </c>
      <c r="AD396" s="385"/>
      <c r="AE396" s="386"/>
    </row>
    <row r="397" spans="1:31" ht="14.45" customHeight="1" x14ac:dyDescent="0.25">
      <c r="A397" s="331" t="s">
        <v>1046</v>
      </c>
      <c r="B397" s="342" t="s">
        <v>645</v>
      </c>
      <c r="C397" s="343"/>
      <c r="D397" s="343"/>
      <c r="E397" s="343"/>
      <c r="F397" s="343"/>
      <c r="G397" s="343"/>
      <c r="H397" s="343"/>
      <c r="I397" s="343"/>
      <c r="J397" s="343"/>
      <c r="K397" s="343"/>
      <c r="L397" s="343"/>
      <c r="M397" s="344"/>
      <c r="N397" s="342" t="s">
        <v>154</v>
      </c>
      <c r="O397" s="343"/>
      <c r="P397" s="344"/>
      <c r="Q397" s="345">
        <v>1</v>
      </c>
      <c r="R397" s="346"/>
      <c r="S397" s="346"/>
      <c r="T397" s="346"/>
      <c r="U397" s="346"/>
      <c r="V397" s="347"/>
      <c r="W397" s="402">
        <v>110684.6</v>
      </c>
      <c r="X397" s="403"/>
      <c r="Y397" s="403"/>
      <c r="Z397" s="403"/>
      <c r="AA397" s="403"/>
      <c r="AB397" s="404"/>
      <c r="AC397" s="393">
        <v>110684.6</v>
      </c>
      <c r="AD397" s="394"/>
      <c r="AE397" s="395"/>
    </row>
    <row r="398" spans="1:31" ht="14.45" customHeight="1" x14ac:dyDescent="0.25">
      <c r="A398" s="331" t="s">
        <v>1047</v>
      </c>
      <c r="B398" s="342" t="s">
        <v>646</v>
      </c>
      <c r="C398" s="343"/>
      <c r="D398" s="343"/>
      <c r="E398" s="343"/>
      <c r="F398" s="343"/>
      <c r="G398" s="343"/>
      <c r="H398" s="343"/>
      <c r="I398" s="343"/>
      <c r="J398" s="343"/>
      <c r="K398" s="343"/>
      <c r="L398" s="343"/>
      <c r="M398" s="344"/>
      <c r="N398" s="342" t="s">
        <v>154</v>
      </c>
      <c r="O398" s="343"/>
      <c r="P398" s="344"/>
      <c r="Q398" s="345">
        <v>1</v>
      </c>
      <c r="R398" s="346"/>
      <c r="S398" s="346"/>
      <c r="T398" s="346"/>
      <c r="U398" s="346"/>
      <c r="V398" s="347"/>
      <c r="W398" s="348">
        <v>45338.81</v>
      </c>
      <c r="X398" s="349"/>
      <c r="Y398" s="349"/>
      <c r="Z398" s="349"/>
      <c r="AA398" s="349"/>
      <c r="AB398" s="350"/>
      <c r="AC398" s="336">
        <v>45338.81</v>
      </c>
      <c r="AD398" s="337"/>
      <c r="AE398" s="338"/>
    </row>
    <row r="399" spans="1:31" ht="14.45" customHeight="1" x14ac:dyDescent="0.25">
      <c r="A399" s="330" t="s">
        <v>1048</v>
      </c>
      <c r="B399" s="357" t="s">
        <v>647</v>
      </c>
      <c r="C399" s="358"/>
      <c r="D399" s="358"/>
      <c r="E399" s="358"/>
      <c r="F399" s="358"/>
      <c r="G399" s="358"/>
      <c r="H399" s="358"/>
      <c r="I399" s="358"/>
      <c r="J399" s="358"/>
      <c r="K399" s="358"/>
      <c r="L399" s="358"/>
      <c r="M399" s="359"/>
      <c r="N399" s="357"/>
      <c r="O399" s="358"/>
      <c r="P399" s="359"/>
      <c r="Q399" s="360"/>
      <c r="R399" s="361"/>
      <c r="S399" s="361"/>
      <c r="T399" s="361"/>
      <c r="U399" s="361"/>
      <c r="V399" s="362"/>
      <c r="W399" s="360"/>
      <c r="X399" s="361"/>
      <c r="Y399" s="361"/>
      <c r="Z399" s="361"/>
      <c r="AA399" s="361"/>
      <c r="AB399" s="362"/>
      <c r="AC399" s="354">
        <v>73741.8</v>
      </c>
      <c r="AD399" s="355"/>
      <c r="AE399" s="356"/>
    </row>
    <row r="400" spans="1:31" ht="14.45" customHeight="1" x14ac:dyDescent="0.25">
      <c r="A400" s="331" t="s">
        <v>1049</v>
      </c>
      <c r="B400" s="342" t="s">
        <v>647</v>
      </c>
      <c r="C400" s="343"/>
      <c r="D400" s="343"/>
      <c r="E400" s="343"/>
      <c r="F400" s="343"/>
      <c r="G400" s="343"/>
      <c r="H400" s="343"/>
      <c r="I400" s="343"/>
      <c r="J400" s="343"/>
      <c r="K400" s="343"/>
      <c r="L400" s="343"/>
      <c r="M400" s="344"/>
      <c r="N400" s="342" t="s">
        <v>154</v>
      </c>
      <c r="O400" s="343"/>
      <c r="P400" s="344"/>
      <c r="Q400" s="345">
        <v>1</v>
      </c>
      <c r="R400" s="346"/>
      <c r="S400" s="346"/>
      <c r="T400" s="346"/>
      <c r="U400" s="346"/>
      <c r="V400" s="347"/>
      <c r="W400" s="348">
        <v>73741.8</v>
      </c>
      <c r="X400" s="349"/>
      <c r="Y400" s="349"/>
      <c r="Z400" s="349"/>
      <c r="AA400" s="349"/>
      <c r="AB400" s="350"/>
      <c r="AC400" s="336">
        <v>73741.8</v>
      </c>
      <c r="AD400" s="337"/>
      <c r="AE400" s="338"/>
    </row>
    <row r="401" spans="1:31" ht="14.45" customHeight="1" x14ac:dyDescent="0.25">
      <c r="A401" s="330" t="s">
        <v>632</v>
      </c>
      <c r="B401" s="357" t="s">
        <v>648</v>
      </c>
      <c r="C401" s="358"/>
      <c r="D401" s="358"/>
      <c r="E401" s="358"/>
      <c r="F401" s="358"/>
      <c r="G401" s="358"/>
      <c r="H401" s="358"/>
      <c r="I401" s="358"/>
      <c r="J401" s="358"/>
      <c r="K401" s="358"/>
      <c r="L401" s="358"/>
      <c r="M401" s="359"/>
      <c r="N401" s="357"/>
      <c r="O401" s="358"/>
      <c r="P401" s="359"/>
      <c r="Q401" s="360"/>
      <c r="R401" s="361"/>
      <c r="S401" s="361"/>
      <c r="T401" s="361"/>
      <c r="U401" s="361"/>
      <c r="V401" s="362"/>
      <c r="W401" s="360"/>
      <c r="X401" s="361"/>
      <c r="Y401" s="361"/>
      <c r="Z401" s="361"/>
      <c r="AA401" s="361"/>
      <c r="AB401" s="362"/>
      <c r="AC401" s="384">
        <v>676573.3</v>
      </c>
      <c r="AD401" s="385"/>
      <c r="AE401" s="386"/>
    </row>
    <row r="402" spans="1:31" ht="14.45" customHeight="1" x14ac:dyDescent="0.25">
      <c r="A402" s="330" t="s">
        <v>634</v>
      </c>
      <c r="B402" s="357" t="s">
        <v>648</v>
      </c>
      <c r="C402" s="358"/>
      <c r="D402" s="358"/>
      <c r="E402" s="358"/>
      <c r="F402" s="358"/>
      <c r="G402" s="358"/>
      <c r="H402" s="358"/>
      <c r="I402" s="358"/>
      <c r="J402" s="358"/>
      <c r="K402" s="358"/>
      <c r="L402" s="358"/>
      <c r="M402" s="359"/>
      <c r="N402" s="357"/>
      <c r="O402" s="358"/>
      <c r="P402" s="359"/>
      <c r="Q402" s="360"/>
      <c r="R402" s="361"/>
      <c r="S402" s="361"/>
      <c r="T402" s="361"/>
      <c r="U402" s="361"/>
      <c r="V402" s="362"/>
      <c r="W402" s="360"/>
      <c r="X402" s="361"/>
      <c r="Y402" s="361"/>
      <c r="Z402" s="361"/>
      <c r="AA402" s="361"/>
      <c r="AB402" s="362"/>
      <c r="AC402" s="384">
        <v>676573.3</v>
      </c>
      <c r="AD402" s="385"/>
      <c r="AE402" s="386"/>
    </row>
    <row r="403" spans="1:31" ht="14.45" customHeight="1" x14ac:dyDescent="0.25">
      <c r="A403" s="330" t="s">
        <v>636</v>
      </c>
      <c r="B403" s="357" t="s">
        <v>649</v>
      </c>
      <c r="C403" s="358"/>
      <c r="D403" s="358"/>
      <c r="E403" s="358"/>
      <c r="F403" s="358"/>
      <c r="G403" s="358"/>
      <c r="H403" s="358"/>
      <c r="I403" s="358"/>
      <c r="J403" s="358"/>
      <c r="K403" s="358"/>
      <c r="L403" s="358"/>
      <c r="M403" s="359"/>
      <c r="N403" s="357"/>
      <c r="O403" s="358"/>
      <c r="P403" s="359"/>
      <c r="Q403" s="360"/>
      <c r="R403" s="361"/>
      <c r="S403" s="361"/>
      <c r="T403" s="361"/>
      <c r="U403" s="361"/>
      <c r="V403" s="362"/>
      <c r="W403" s="360"/>
      <c r="X403" s="361"/>
      <c r="Y403" s="361"/>
      <c r="Z403" s="361"/>
      <c r="AA403" s="361"/>
      <c r="AB403" s="362"/>
      <c r="AC403" s="384">
        <v>676573.3</v>
      </c>
      <c r="AD403" s="385"/>
      <c r="AE403" s="386"/>
    </row>
    <row r="404" spans="1:31" ht="14.45" customHeight="1" x14ac:dyDescent="0.25">
      <c r="A404" s="331" t="s">
        <v>638</v>
      </c>
      <c r="B404" s="342" t="s">
        <v>649</v>
      </c>
      <c r="C404" s="343"/>
      <c r="D404" s="343"/>
      <c r="E404" s="343"/>
      <c r="F404" s="343"/>
      <c r="G404" s="343"/>
      <c r="H404" s="343"/>
      <c r="I404" s="343"/>
      <c r="J404" s="343"/>
      <c r="K404" s="343"/>
      <c r="L404" s="343"/>
      <c r="M404" s="344"/>
      <c r="N404" s="342" t="s">
        <v>154</v>
      </c>
      <c r="O404" s="343"/>
      <c r="P404" s="344"/>
      <c r="Q404" s="345">
        <v>1</v>
      </c>
      <c r="R404" s="346"/>
      <c r="S404" s="346"/>
      <c r="T404" s="346"/>
      <c r="U404" s="346"/>
      <c r="V404" s="347"/>
      <c r="W404" s="402">
        <v>676573.3</v>
      </c>
      <c r="X404" s="403"/>
      <c r="Y404" s="403"/>
      <c r="Z404" s="403"/>
      <c r="AA404" s="403"/>
      <c r="AB404" s="404"/>
      <c r="AC404" s="393">
        <v>676573.3</v>
      </c>
      <c r="AD404" s="394"/>
      <c r="AE404" s="395"/>
    </row>
    <row r="405" spans="1:31" ht="14.45" customHeight="1" x14ac:dyDescent="0.25">
      <c r="A405" s="339" t="s">
        <v>103</v>
      </c>
      <c r="B405" s="340"/>
      <c r="C405" s="340"/>
      <c r="D405" s="340"/>
      <c r="E405" s="340"/>
      <c r="F405" s="340"/>
      <c r="G405" s="340"/>
      <c r="H405" s="340"/>
      <c r="I405" s="340"/>
      <c r="J405" s="340"/>
      <c r="K405" s="340"/>
      <c r="L405" s="340"/>
      <c r="M405" s="340"/>
      <c r="N405" s="340"/>
      <c r="O405" s="340"/>
      <c r="P405" s="340"/>
      <c r="Q405" s="340"/>
      <c r="R405" s="340"/>
      <c r="S405" s="340"/>
      <c r="T405" s="340"/>
      <c r="U405" s="340"/>
      <c r="V405" s="340"/>
      <c r="W405" s="340"/>
      <c r="X405" s="340"/>
      <c r="Y405" s="340"/>
      <c r="Z405" s="340"/>
      <c r="AA405" s="340"/>
      <c r="AB405" s="341"/>
      <c r="AC405" s="369">
        <v>21358608.98</v>
      </c>
      <c r="AD405" s="370"/>
      <c r="AE405" s="371"/>
    </row>
    <row r="406" spans="1:31" ht="14.45" customHeight="1" x14ac:dyDescent="0.25">
      <c r="A406" s="408"/>
      <c r="B406" s="408"/>
      <c r="C406" s="408"/>
      <c r="D406" s="408"/>
      <c r="E406" s="408"/>
      <c r="F406" s="408"/>
      <c r="G406" s="408"/>
      <c r="H406" s="408"/>
      <c r="I406" s="408"/>
      <c r="J406" s="408"/>
      <c r="K406" s="408"/>
      <c r="L406" s="408"/>
      <c r="M406" s="408"/>
      <c r="N406" s="408"/>
      <c r="O406" s="408"/>
      <c r="P406" s="408"/>
      <c r="Q406" s="408"/>
      <c r="R406" s="408"/>
      <c r="S406" s="408"/>
      <c r="T406" s="408"/>
      <c r="U406" s="408"/>
      <c r="V406" s="408"/>
      <c r="W406" s="408"/>
      <c r="X406" s="408"/>
      <c r="Y406" s="408"/>
      <c r="Z406" s="408"/>
      <c r="AA406" s="408"/>
      <c r="AB406" s="408"/>
      <c r="AC406" s="408"/>
      <c r="AD406" s="408"/>
      <c r="AE406" s="408"/>
    </row>
    <row r="407" spans="1:31" ht="14.45" customHeight="1" x14ac:dyDescent="0.25">
      <c r="A407" s="339" t="s">
        <v>74</v>
      </c>
      <c r="B407" s="340"/>
      <c r="C407" s="341"/>
      <c r="D407" s="342" t="s">
        <v>75</v>
      </c>
      <c r="E407" s="343"/>
      <c r="F407" s="343"/>
      <c r="G407" s="343"/>
      <c r="H407" s="343"/>
      <c r="I407" s="343"/>
      <c r="J407" s="343"/>
      <c r="K407" s="343"/>
      <c r="L407" s="343"/>
      <c r="M407" s="343"/>
      <c r="N407" s="343"/>
      <c r="O407" s="343"/>
      <c r="P407" s="343"/>
      <c r="Q407" s="343"/>
      <c r="R407" s="343"/>
      <c r="S407" s="343"/>
      <c r="T407" s="343"/>
      <c r="U407" s="343"/>
      <c r="V407" s="343"/>
      <c r="W407" s="343"/>
      <c r="X407" s="343"/>
      <c r="Y407" s="343"/>
      <c r="Z407" s="343"/>
      <c r="AA407" s="343"/>
      <c r="AB407" s="343"/>
      <c r="AC407" s="343"/>
      <c r="AD407" s="343"/>
      <c r="AE407" s="344"/>
    </row>
    <row r="408" spans="1:31" ht="14.45" customHeight="1" x14ac:dyDescent="0.25">
      <c r="A408" s="339" t="s">
        <v>76</v>
      </c>
      <c r="B408" s="340"/>
      <c r="C408" s="341"/>
      <c r="D408" s="342" t="s">
        <v>650</v>
      </c>
      <c r="E408" s="343"/>
      <c r="F408" s="343"/>
      <c r="G408" s="343"/>
      <c r="H408" s="343"/>
      <c r="I408" s="343"/>
      <c r="J408" s="343"/>
      <c r="K408" s="343"/>
      <c r="L408" s="343"/>
      <c r="M408" s="343"/>
      <c r="N408" s="343"/>
      <c r="O408" s="343"/>
      <c r="P408" s="343"/>
      <c r="Q408" s="343"/>
      <c r="R408" s="343"/>
      <c r="S408" s="343"/>
      <c r="T408" s="343"/>
      <c r="U408" s="343"/>
      <c r="V408" s="343"/>
      <c r="W408" s="343"/>
      <c r="X408" s="343"/>
      <c r="Y408" s="343"/>
      <c r="Z408" s="343"/>
      <c r="AA408" s="343"/>
      <c r="AB408" s="343"/>
      <c r="AC408" s="343"/>
      <c r="AD408" s="343"/>
      <c r="AE408" s="344"/>
    </row>
    <row r="409" spans="1:31" ht="14.45" customHeight="1" x14ac:dyDescent="0.25">
      <c r="A409" s="339" t="s">
        <v>77</v>
      </c>
      <c r="B409" s="340"/>
      <c r="C409" s="341"/>
      <c r="D409" s="342" t="s">
        <v>78</v>
      </c>
      <c r="E409" s="343"/>
      <c r="F409" s="343"/>
      <c r="G409" s="343"/>
      <c r="H409" s="343"/>
      <c r="I409" s="343"/>
      <c r="J409" s="343"/>
      <c r="K409" s="343"/>
      <c r="L409" s="343"/>
      <c r="M409" s="343"/>
      <c r="N409" s="343"/>
      <c r="O409" s="343"/>
      <c r="P409" s="343"/>
      <c r="Q409" s="343"/>
      <c r="R409" s="343"/>
      <c r="S409" s="343"/>
      <c r="T409" s="343"/>
      <c r="U409" s="343"/>
      <c r="V409" s="343"/>
      <c r="W409" s="343"/>
      <c r="X409" s="343"/>
      <c r="Y409" s="343"/>
      <c r="Z409" s="343"/>
      <c r="AA409" s="343"/>
      <c r="AB409" s="343"/>
      <c r="AC409" s="343"/>
      <c r="AD409" s="343"/>
      <c r="AE409" s="344"/>
    </row>
    <row r="410" spans="1:31" ht="14.45" customHeight="1" x14ac:dyDescent="0.25">
      <c r="A410" s="339" t="s">
        <v>79</v>
      </c>
      <c r="B410" s="340"/>
      <c r="C410" s="341"/>
      <c r="D410" s="342" t="s">
        <v>80</v>
      </c>
      <c r="E410" s="343"/>
      <c r="F410" s="343"/>
      <c r="G410" s="343"/>
      <c r="H410" s="343"/>
      <c r="I410" s="343"/>
      <c r="J410" s="343"/>
      <c r="K410" s="343"/>
      <c r="L410" s="343"/>
      <c r="M410" s="343"/>
      <c r="N410" s="343"/>
      <c r="O410" s="343"/>
      <c r="P410" s="343"/>
      <c r="Q410" s="343"/>
      <c r="R410" s="343"/>
      <c r="S410" s="343"/>
      <c r="T410" s="343"/>
      <c r="U410" s="343"/>
      <c r="V410" s="343"/>
      <c r="W410" s="343"/>
      <c r="X410" s="343"/>
      <c r="Y410" s="343"/>
      <c r="Z410" s="343"/>
      <c r="AA410" s="343"/>
      <c r="AB410" s="343"/>
      <c r="AC410" s="343"/>
      <c r="AD410" s="343"/>
      <c r="AE410" s="344"/>
    </row>
    <row r="411" spans="1:31" ht="14.45" customHeight="1" x14ac:dyDescent="0.25">
      <c r="A411" s="339" t="s">
        <v>81</v>
      </c>
      <c r="B411" s="340"/>
      <c r="C411" s="341"/>
      <c r="D411" s="342" t="s">
        <v>82</v>
      </c>
      <c r="E411" s="343"/>
      <c r="F411" s="343"/>
      <c r="G411" s="343"/>
      <c r="H411" s="343"/>
      <c r="I411" s="343"/>
      <c r="J411" s="343"/>
      <c r="K411" s="344"/>
      <c r="L411" s="339" t="s">
        <v>83</v>
      </c>
      <c r="M411" s="340"/>
      <c r="N411" s="340"/>
      <c r="O411" s="340"/>
      <c r="P411" s="340"/>
      <c r="Q411" s="340"/>
      <c r="R411" s="340"/>
      <c r="S411" s="340"/>
      <c r="T411" s="340"/>
      <c r="U411" s="341"/>
      <c r="V411" s="342" t="s">
        <v>84</v>
      </c>
      <c r="W411" s="343"/>
      <c r="X411" s="343"/>
      <c r="Y411" s="343"/>
      <c r="Z411" s="343"/>
      <c r="AA411" s="343"/>
      <c r="AB411" s="343"/>
      <c r="AC411" s="343"/>
      <c r="AD411" s="343"/>
      <c r="AE411" s="344"/>
    </row>
    <row r="412" spans="1:31" ht="14.45" customHeight="1" x14ac:dyDescent="0.25">
      <c r="A412" s="339" t="s">
        <v>85</v>
      </c>
      <c r="B412" s="340"/>
      <c r="C412" s="341"/>
      <c r="D412" s="342" t="s">
        <v>86</v>
      </c>
      <c r="E412" s="343"/>
      <c r="F412" s="343"/>
      <c r="G412" s="343"/>
      <c r="H412" s="343"/>
      <c r="I412" s="343"/>
      <c r="J412" s="343"/>
      <c r="K412" s="344"/>
      <c r="L412" s="339" t="s">
        <v>87</v>
      </c>
      <c r="M412" s="340"/>
      <c r="N412" s="340"/>
      <c r="O412" s="340"/>
      <c r="P412" s="340"/>
      <c r="Q412" s="340"/>
      <c r="R412" s="340"/>
      <c r="S412" s="340"/>
      <c r="T412" s="340"/>
      <c r="U412" s="341"/>
      <c r="V412" s="342" t="s">
        <v>86</v>
      </c>
      <c r="W412" s="343"/>
      <c r="X412" s="343"/>
      <c r="Y412" s="343"/>
      <c r="Z412" s="343"/>
      <c r="AA412" s="343"/>
      <c r="AB412" s="343"/>
      <c r="AC412" s="343"/>
      <c r="AD412" s="343"/>
      <c r="AE412" s="344"/>
    </row>
    <row r="413" spans="1:31" ht="14.45" customHeight="1" x14ac:dyDescent="0.25">
      <c r="A413" s="339" t="s">
        <v>88</v>
      </c>
      <c r="B413" s="340"/>
      <c r="C413" s="341"/>
      <c r="D413" s="342" t="s">
        <v>89</v>
      </c>
      <c r="E413" s="343"/>
      <c r="F413" s="343"/>
      <c r="G413" s="343"/>
      <c r="H413" s="343"/>
      <c r="I413" s="343"/>
      <c r="J413" s="343"/>
      <c r="K413" s="343"/>
      <c r="L413" s="343"/>
      <c r="M413" s="343"/>
      <c r="N413" s="343"/>
      <c r="O413" s="343"/>
      <c r="P413" s="343"/>
      <c r="Q413" s="343"/>
      <c r="R413" s="343"/>
      <c r="S413" s="343"/>
      <c r="T413" s="343"/>
      <c r="U413" s="343"/>
      <c r="V413" s="343"/>
      <c r="W413" s="343"/>
      <c r="X413" s="343"/>
      <c r="Y413" s="343"/>
      <c r="Z413" s="343"/>
      <c r="AA413" s="343"/>
      <c r="AB413" s="343"/>
      <c r="AC413" s="343"/>
      <c r="AD413" s="343"/>
      <c r="AE413" s="344"/>
    </row>
    <row r="414" spans="1:31" ht="14.45" customHeight="1" x14ac:dyDescent="0.25">
      <c r="A414" s="408"/>
      <c r="B414" s="408"/>
      <c r="C414" s="408"/>
      <c r="D414" s="408"/>
      <c r="E414" s="408"/>
      <c r="F414" s="408"/>
      <c r="G414" s="408"/>
      <c r="H414" s="408"/>
      <c r="I414" s="408"/>
      <c r="J414" s="408"/>
      <c r="K414" s="408"/>
      <c r="L414" s="408"/>
      <c r="M414" s="408"/>
      <c r="N414" s="408"/>
      <c r="O414" s="408"/>
      <c r="P414" s="408"/>
      <c r="Q414" s="408"/>
      <c r="R414" s="408"/>
      <c r="S414" s="408"/>
      <c r="T414" s="408"/>
      <c r="U414" s="408"/>
      <c r="V414" s="408"/>
      <c r="W414" s="408"/>
      <c r="X414" s="408"/>
      <c r="Y414" s="408"/>
      <c r="Z414" s="408"/>
      <c r="AA414" s="408"/>
      <c r="AB414" s="408"/>
      <c r="AC414" s="408"/>
      <c r="AD414" s="408"/>
      <c r="AE414" s="408"/>
    </row>
    <row r="415" spans="1:31" ht="14.45" customHeight="1" x14ac:dyDescent="0.25">
      <c r="A415" s="329" t="s">
        <v>90</v>
      </c>
      <c r="B415" s="405" t="s">
        <v>91</v>
      </c>
      <c r="C415" s="406"/>
      <c r="D415" s="406"/>
      <c r="E415" s="406"/>
      <c r="F415" s="406"/>
      <c r="G415" s="406"/>
      <c r="H415" s="406"/>
      <c r="I415" s="406"/>
      <c r="J415" s="406"/>
      <c r="K415" s="406"/>
      <c r="L415" s="406"/>
      <c r="M415" s="407"/>
      <c r="N415" s="405" t="s">
        <v>92</v>
      </c>
      <c r="O415" s="406"/>
      <c r="P415" s="407"/>
      <c r="Q415" s="339" t="s">
        <v>93</v>
      </c>
      <c r="R415" s="340"/>
      <c r="S415" s="340"/>
      <c r="T415" s="340"/>
      <c r="U415" s="340"/>
      <c r="V415" s="341"/>
      <c r="W415" s="339" t="s">
        <v>94</v>
      </c>
      <c r="X415" s="340"/>
      <c r="Y415" s="340"/>
      <c r="Z415" s="340"/>
      <c r="AA415" s="340"/>
      <c r="AB415" s="341"/>
      <c r="AC415" s="339" t="s">
        <v>95</v>
      </c>
      <c r="AD415" s="340"/>
      <c r="AE415" s="341"/>
    </row>
    <row r="416" spans="1:31" ht="14.45" customHeight="1" x14ac:dyDescent="0.25">
      <c r="A416" s="330" t="s">
        <v>96</v>
      </c>
      <c r="B416" s="357" t="s">
        <v>651</v>
      </c>
      <c r="C416" s="358"/>
      <c r="D416" s="358"/>
      <c r="E416" s="358"/>
      <c r="F416" s="358"/>
      <c r="G416" s="358"/>
      <c r="H416" s="358"/>
      <c r="I416" s="358"/>
      <c r="J416" s="358"/>
      <c r="K416" s="358"/>
      <c r="L416" s="358"/>
      <c r="M416" s="359"/>
      <c r="N416" s="357"/>
      <c r="O416" s="358"/>
      <c r="P416" s="359"/>
      <c r="Q416" s="360"/>
      <c r="R416" s="361"/>
      <c r="S416" s="361"/>
      <c r="T416" s="361"/>
      <c r="U416" s="361"/>
      <c r="V416" s="362"/>
      <c r="W416" s="360"/>
      <c r="X416" s="361"/>
      <c r="Y416" s="361"/>
      <c r="Z416" s="361"/>
      <c r="AA416" s="361"/>
      <c r="AB416" s="362"/>
      <c r="AC416" s="384">
        <v>705123.71</v>
      </c>
      <c r="AD416" s="385"/>
      <c r="AE416" s="386"/>
    </row>
    <row r="417" spans="1:31" ht="14.45" customHeight="1" x14ac:dyDescent="0.25">
      <c r="A417" s="330" t="s">
        <v>105</v>
      </c>
      <c r="B417" s="357" t="s">
        <v>652</v>
      </c>
      <c r="C417" s="358"/>
      <c r="D417" s="358"/>
      <c r="E417" s="358"/>
      <c r="F417" s="358"/>
      <c r="G417" s="358"/>
      <c r="H417" s="358"/>
      <c r="I417" s="358"/>
      <c r="J417" s="358"/>
      <c r="K417" s="358"/>
      <c r="L417" s="358"/>
      <c r="M417" s="359"/>
      <c r="N417" s="357"/>
      <c r="O417" s="358"/>
      <c r="P417" s="359"/>
      <c r="Q417" s="360"/>
      <c r="R417" s="361"/>
      <c r="S417" s="361"/>
      <c r="T417" s="361"/>
      <c r="U417" s="361"/>
      <c r="V417" s="362"/>
      <c r="W417" s="360"/>
      <c r="X417" s="361"/>
      <c r="Y417" s="361"/>
      <c r="Z417" s="361"/>
      <c r="AA417" s="361"/>
      <c r="AB417" s="362"/>
      <c r="AC417" s="384">
        <v>584500.30000000005</v>
      </c>
      <c r="AD417" s="385"/>
      <c r="AE417" s="386"/>
    </row>
    <row r="418" spans="1:31" ht="14.45" customHeight="1" x14ac:dyDescent="0.25">
      <c r="A418" s="330" t="s">
        <v>106</v>
      </c>
      <c r="B418" s="357" t="s">
        <v>653</v>
      </c>
      <c r="C418" s="358"/>
      <c r="D418" s="358"/>
      <c r="E418" s="358"/>
      <c r="F418" s="358"/>
      <c r="G418" s="358"/>
      <c r="H418" s="358"/>
      <c r="I418" s="358"/>
      <c r="J418" s="358"/>
      <c r="K418" s="358"/>
      <c r="L418" s="358"/>
      <c r="M418" s="359"/>
      <c r="N418" s="357"/>
      <c r="O418" s="358"/>
      <c r="P418" s="359"/>
      <c r="Q418" s="360"/>
      <c r="R418" s="361"/>
      <c r="S418" s="361"/>
      <c r="T418" s="361"/>
      <c r="U418" s="361"/>
      <c r="V418" s="362"/>
      <c r="W418" s="360"/>
      <c r="X418" s="361"/>
      <c r="Y418" s="361"/>
      <c r="Z418" s="361"/>
      <c r="AA418" s="361"/>
      <c r="AB418" s="362"/>
      <c r="AC418" s="354">
        <v>76596</v>
      </c>
      <c r="AD418" s="355"/>
      <c r="AE418" s="356"/>
    </row>
    <row r="419" spans="1:31" ht="14.45" customHeight="1" x14ac:dyDescent="0.25">
      <c r="A419" s="331" t="s">
        <v>108</v>
      </c>
      <c r="B419" s="342" t="s">
        <v>654</v>
      </c>
      <c r="C419" s="343"/>
      <c r="D419" s="343"/>
      <c r="E419" s="343"/>
      <c r="F419" s="343"/>
      <c r="G419" s="343"/>
      <c r="H419" s="343"/>
      <c r="I419" s="343"/>
      <c r="J419" s="343"/>
      <c r="K419" s="343"/>
      <c r="L419" s="343"/>
      <c r="M419" s="344"/>
      <c r="N419" s="342" t="s">
        <v>154</v>
      </c>
      <c r="O419" s="343"/>
      <c r="P419" s="344"/>
      <c r="Q419" s="345">
        <v>1</v>
      </c>
      <c r="R419" s="346"/>
      <c r="S419" s="346"/>
      <c r="T419" s="346"/>
      <c r="U419" s="346"/>
      <c r="V419" s="347"/>
      <c r="W419" s="348">
        <v>49190</v>
      </c>
      <c r="X419" s="349"/>
      <c r="Y419" s="349"/>
      <c r="Z419" s="349"/>
      <c r="AA419" s="349"/>
      <c r="AB419" s="350"/>
      <c r="AC419" s="336">
        <v>49190</v>
      </c>
      <c r="AD419" s="337"/>
      <c r="AE419" s="338"/>
    </row>
    <row r="420" spans="1:31" ht="14.45" customHeight="1" x14ac:dyDescent="0.25">
      <c r="A420" s="331" t="s">
        <v>655</v>
      </c>
      <c r="B420" s="342" t="s">
        <v>656</v>
      </c>
      <c r="C420" s="343"/>
      <c r="D420" s="343"/>
      <c r="E420" s="343"/>
      <c r="F420" s="343"/>
      <c r="G420" s="343"/>
      <c r="H420" s="343"/>
      <c r="I420" s="343"/>
      <c r="J420" s="343"/>
      <c r="K420" s="343"/>
      <c r="L420" s="343"/>
      <c r="M420" s="344"/>
      <c r="N420" s="342" t="s">
        <v>154</v>
      </c>
      <c r="O420" s="343"/>
      <c r="P420" s="344"/>
      <c r="Q420" s="345">
        <v>1</v>
      </c>
      <c r="R420" s="346"/>
      <c r="S420" s="346"/>
      <c r="T420" s="346"/>
      <c r="U420" s="346"/>
      <c r="V420" s="347"/>
      <c r="W420" s="348">
        <v>20800</v>
      </c>
      <c r="X420" s="349"/>
      <c r="Y420" s="349"/>
      <c r="Z420" s="349"/>
      <c r="AA420" s="349"/>
      <c r="AB420" s="350"/>
      <c r="AC420" s="336">
        <v>20800</v>
      </c>
      <c r="AD420" s="337"/>
      <c r="AE420" s="338"/>
    </row>
    <row r="421" spans="1:31" ht="14.45" customHeight="1" x14ac:dyDescent="0.25">
      <c r="A421" s="331" t="s">
        <v>657</v>
      </c>
      <c r="B421" s="342" t="s">
        <v>658</v>
      </c>
      <c r="C421" s="343"/>
      <c r="D421" s="343"/>
      <c r="E421" s="343"/>
      <c r="F421" s="343"/>
      <c r="G421" s="343"/>
      <c r="H421" s="343"/>
      <c r="I421" s="343"/>
      <c r="J421" s="343"/>
      <c r="K421" s="343"/>
      <c r="L421" s="343"/>
      <c r="M421" s="344"/>
      <c r="N421" s="342" t="s">
        <v>154</v>
      </c>
      <c r="O421" s="343"/>
      <c r="P421" s="344"/>
      <c r="Q421" s="345">
        <v>1</v>
      </c>
      <c r="R421" s="346"/>
      <c r="S421" s="346"/>
      <c r="T421" s="346"/>
      <c r="U421" s="346"/>
      <c r="V421" s="347"/>
      <c r="W421" s="363">
        <v>2000</v>
      </c>
      <c r="X421" s="364"/>
      <c r="Y421" s="364"/>
      <c r="Z421" s="364"/>
      <c r="AA421" s="364"/>
      <c r="AB421" s="365"/>
      <c r="AC421" s="366">
        <v>2000</v>
      </c>
      <c r="AD421" s="367"/>
      <c r="AE421" s="368"/>
    </row>
    <row r="422" spans="1:31" ht="14.45" customHeight="1" x14ac:dyDescent="0.25">
      <c r="A422" s="331" t="s">
        <v>659</v>
      </c>
      <c r="B422" s="342" t="s">
        <v>660</v>
      </c>
      <c r="C422" s="343"/>
      <c r="D422" s="343"/>
      <c r="E422" s="343"/>
      <c r="F422" s="343"/>
      <c r="G422" s="343"/>
      <c r="H422" s="343"/>
      <c r="I422" s="343"/>
      <c r="J422" s="343"/>
      <c r="K422" s="343"/>
      <c r="L422" s="343"/>
      <c r="M422" s="344"/>
      <c r="N422" s="342" t="s">
        <v>154</v>
      </c>
      <c r="O422" s="343"/>
      <c r="P422" s="344"/>
      <c r="Q422" s="345">
        <v>1</v>
      </c>
      <c r="R422" s="346"/>
      <c r="S422" s="346"/>
      <c r="T422" s="346"/>
      <c r="U422" s="346"/>
      <c r="V422" s="347"/>
      <c r="W422" s="363">
        <v>4606</v>
      </c>
      <c r="X422" s="364"/>
      <c r="Y422" s="364"/>
      <c r="Z422" s="364"/>
      <c r="AA422" s="364"/>
      <c r="AB422" s="365"/>
      <c r="AC422" s="366">
        <v>4606</v>
      </c>
      <c r="AD422" s="367"/>
      <c r="AE422" s="368"/>
    </row>
    <row r="423" spans="1:31" ht="14.45" customHeight="1" x14ac:dyDescent="0.25">
      <c r="A423" s="330" t="s">
        <v>110</v>
      </c>
      <c r="B423" s="357" t="s">
        <v>661</v>
      </c>
      <c r="C423" s="358"/>
      <c r="D423" s="358"/>
      <c r="E423" s="358"/>
      <c r="F423" s="358"/>
      <c r="G423" s="358"/>
      <c r="H423" s="358"/>
      <c r="I423" s="358"/>
      <c r="J423" s="358"/>
      <c r="K423" s="358"/>
      <c r="L423" s="358"/>
      <c r="M423" s="359"/>
      <c r="N423" s="357"/>
      <c r="O423" s="358"/>
      <c r="P423" s="359"/>
      <c r="Q423" s="360"/>
      <c r="R423" s="361"/>
      <c r="S423" s="361"/>
      <c r="T423" s="361"/>
      <c r="U423" s="361"/>
      <c r="V423" s="362"/>
      <c r="W423" s="360"/>
      <c r="X423" s="361"/>
      <c r="Y423" s="361"/>
      <c r="Z423" s="361"/>
      <c r="AA423" s="361"/>
      <c r="AB423" s="362"/>
      <c r="AC423" s="384">
        <v>423752.56</v>
      </c>
      <c r="AD423" s="385"/>
      <c r="AE423" s="386"/>
    </row>
    <row r="424" spans="1:31" ht="14.45" customHeight="1" x14ac:dyDescent="0.25">
      <c r="A424" s="331" t="s">
        <v>112</v>
      </c>
      <c r="B424" s="342" t="s">
        <v>662</v>
      </c>
      <c r="C424" s="343"/>
      <c r="D424" s="343"/>
      <c r="E424" s="343"/>
      <c r="F424" s="343"/>
      <c r="G424" s="343"/>
      <c r="H424" s="343"/>
      <c r="I424" s="343"/>
      <c r="J424" s="343"/>
      <c r="K424" s="343"/>
      <c r="L424" s="343"/>
      <c r="M424" s="344"/>
      <c r="N424" s="342" t="s">
        <v>154</v>
      </c>
      <c r="O424" s="343"/>
      <c r="P424" s="344"/>
      <c r="Q424" s="345">
        <v>1</v>
      </c>
      <c r="R424" s="346"/>
      <c r="S424" s="346"/>
      <c r="T424" s="346"/>
      <c r="U424" s="346"/>
      <c r="V424" s="347"/>
      <c r="W424" s="348">
        <v>12000</v>
      </c>
      <c r="X424" s="349"/>
      <c r="Y424" s="349"/>
      <c r="Z424" s="349"/>
      <c r="AA424" s="349"/>
      <c r="AB424" s="350"/>
      <c r="AC424" s="336">
        <v>12000</v>
      </c>
      <c r="AD424" s="337"/>
      <c r="AE424" s="338"/>
    </row>
    <row r="425" spans="1:31" ht="14.45" customHeight="1" x14ac:dyDescent="0.25">
      <c r="A425" s="331" t="s">
        <v>114</v>
      </c>
      <c r="B425" s="342" t="s">
        <v>663</v>
      </c>
      <c r="C425" s="343"/>
      <c r="D425" s="343"/>
      <c r="E425" s="343"/>
      <c r="F425" s="343"/>
      <c r="G425" s="343"/>
      <c r="H425" s="343"/>
      <c r="I425" s="343"/>
      <c r="J425" s="343"/>
      <c r="K425" s="343"/>
      <c r="L425" s="343"/>
      <c r="M425" s="344"/>
      <c r="N425" s="342" t="s">
        <v>154</v>
      </c>
      <c r="O425" s="343"/>
      <c r="P425" s="344"/>
      <c r="Q425" s="345">
        <v>1</v>
      </c>
      <c r="R425" s="346"/>
      <c r="S425" s="346"/>
      <c r="T425" s="346"/>
      <c r="U425" s="346"/>
      <c r="V425" s="347"/>
      <c r="W425" s="402">
        <v>155000</v>
      </c>
      <c r="X425" s="403"/>
      <c r="Y425" s="403"/>
      <c r="Z425" s="403"/>
      <c r="AA425" s="403"/>
      <c r="AB425" s="404"/>
      <c r="AC425" s="393">
        <v>155000</v>
      </c>
      <c r="AD425" s="394"/>
      <c r="AE425" s="395"/>
    </row>
    <row r="426" spans="1:31" ht="14.45" customHeight="1" x14ac:dyDescent="0.25">
      <c r="A426" s="331" t="s">
        <v>664</v>
      </c>
      <c r="B426" s="342" t="s">
        <v>665</v>
      </c>
      <c r="C426" s="343"/>
      <c r="D426" s="343"/>
      <c r="E426" s="343"/>
      <c r="F426" s="343"/>
      <c r="G426" s="343"/>
      <c r="H426" s="343"/>
      <c r="I426" s="343"/>
      <c r="J426" s="343"/>
      <c r="K426" s="343"/>
      <c r="L426" s="343"/>
      <c r="M426" s="344"/>
      <c r="N426" s="342" t="s">
        <v>154</v>
      </c>
      <c r="O426" s="343"/>
      <c r="P426" s="344"/>
      <c r="Q426" s="345">
        <v>1</v>
      </c>
      <c r="R426" s="346"/>
      <c r="S426" s="346"/>
      <c r="T426" s="346"/>
      <c r="U426" s="346"/>
      <c r="V426" s="347"/>
      <c r="W426" s="348">
        <v>21650.11</v>
      </c>
      <c r="X426" s="349"/>
      <c r="Y426" s="349"/>
      <c r="Z426" s="349"/>
      <c r="AA426" s="349"/>
      <c r="AB426" s="350"/>
      <c r="AC426" s="336">
        <v>21650.11</v>
      </c>
      <c r="AD426" s="337"/>
      <c r="AE426" s="338"/>
    </row>
    <row r="427" spans="1:31" ht="14.45" customHeight="1" x14ac:dyDescent="0.25">
      <c r="A427" s="331" t="s">
        <v>666</v>
      </c>
      <c r="B427" s="342" t="s">
        <v>667</v>
      </c>
      <c r="C427" s="343"/>
      <c r="D427" s="343"/>
      <c r="E427" s="343"/>
      <c r="F427" s="343"/>
      <c r="G427" s="343"/>
      <c r="H427" s="343"/>
      <c r="I427" s="343"/>
      <c r="J427" s="343"/>
      <c r="K427" s="343"/>
      <c r="L427" s="343"/>
      <c r="M427" s="344"/>
      <c r="N427" s="342" t="s">
        <v>154</v>
      </c>
      <c r="O427" s="343"/>
      <c r="P427" s="344"/>
      <c r="Q427" s="345">
        <v>1</v>
      </c>
      <c r="R427" s="346"/>
      <c r="S427" s="346"/>
      <c r="T427" s="346"/>
      <c r="U427" s="346"/>
      <c r="V427" s="347"/>
      <c r="W427" s="402">
        <v>173360</v>
      </c>
      <c r="X427" s="403"/>
      <c r="Y427" s="403"/>
      <c r="Z427" s="403"/>
      <c r="AA427" s="403"/>
      <c r="AB427" s="404"/>
      <c r="AC427" s="393">
        <v>173360</v>
      </c>
      <c r="AD427" s="394"/>
      <c r="AE427" s="395"/>
    </row>
    <row r="428" spans="1:31" ht="14.45" customHeight="1" x14ac:dyDescent="0.25">
      <c r="A428" s="331" t="s">
        <v>668</v>
      </c>
      <c r="B428" s="342" t="s">
        <v>669</v>
      </c>
      <c r="C428" s="343"/>
      <c r="D428" s="343"/>
      <c r="E428" s="343"/>
      <c r="F428" s="343"/>
      <c r="G428" s="343"/>
      <c r="H428" s="343"/>
      <c r="I428" s="343"/>
      <c r="J428" s="343"/>
      <c r="K428" s="343"/>
      <c r="L428" s="343"/>
      <c r="M428" s="344"/>
      <c r="N428" s="342" t="s">
        <v>154</v>
      </c>
      <c r="O428" s="343"/>
      <c r="P428" s="344"/>
      <c r="Q428" s="345">
        <v>1</v>
      </c>
      <c r="R428" s="346"/>
      <c r="S428" s="346"/>
      <c r="T428" s="346"/>
      <c r="U428" s="346"/>
      <c r="V428" s="347"/>
      <c r="W428" s="348">
        <v>15000</v>
      </c>
      <c r="X428" s="349"/>
      <c r="Y428" s="349"/>
      <c r="Z428" s="349"/>
      <c r="AA428" s="349"/>
      <c r="AB428" s="350"/>
      <c r="AC428" s="336">
        <v>15000</v>
      </c>
      <c r="AD428" s="337"/>
      <c r="AE428" s="338"/>
    </row>
    <row r="429" spans="1:31" ht="14.45" customHeight="1" x14ac:dyDescent="0.25">
      <c r="A429" s="331" t="s">
        <v>670</v>
      </c>
      <c r="B429" s="342" t="s">
        <v>671</v>
      </c>
      <c r="C429" s="343"/>
      <c r="D429" s="343"/>
      <c r="E429" s="343"/>
      <c r="F429" s="343"/>
      <c r="G429" s="343"/>
      <c r="H429" s="343"/>
      <c r="I429" s="343"/>
      <c r="J429" s="343"/>
      <c r="K429" s="343"/>
      <c r="L429" s="343"/>
      <c r="M429" s="344"/>
      <c r="N429" s="342" t="s">
        <v>154</v>
      </c>
      <c r="O429" s="343"/>
      <c r="P429" s="344"/>
      <c r="Q429" s="345">
        <v>1</v>
      </c>
      <c r="R429" s="346"/>
      <c r="S429" s="346"/>
      <c r="T429" s="346"/>
      <c r="U429" s="346"/>
      <c r="V429" s="347"/>
      <c r="W429" s="348">
        <v>22500</v>
      </c>
      <c r="X429" s="349"/>
      <c r="Y429" s="349"/>
      <c r="Z429" s="349"/>
      <c r="AA429" s="349"/>
      <c r="AB429" s="350"/>
      <c r="AC429" s="336">
        <v>22500</v>
      </c>
      <c r="AD429" s="337"/>
      <c r="AE429" s="338"/>
    </row>
    <row r="430" spans="1:31" ht="14.45" customHeight="1" x14ac:dyDescent="0.25">
      <c r="A430" s="331" t="s">
        <v>672</v>
      </c>
      <c r="B430" s="342" t="s">
        <v>673</v>
      </c>
      <c r="C430" s="343"/>
      <c r="D430" s="343"/>
      <c r="E430" s="343"/>
      <c r="F430" s="343"/>
      <c r="G430" s="343"/>
      <c r="H430" s="343"/>
      <c r="I430" s="343"/>
      <c r="J430" s="343"/>
      <c r="K430" s="343"/>
      <c r="L430" s="343"/>
      <c r="M430" s="344"/>
      <c r="N430" s="342" t="s">
        <v>154</v>
      </c>
      <c r="O430" s="343"/>
      <c r="P430" s="344"/>
      <c r="Q430" s="345">
        <v>1</v>
      </c>
      <c r="R430" s="346"/>
      <c r="S430" s="346"/>
      <c r="T430" s="346"/>
      <c r="U430" s="346"/>
      <c r="V430" s="347"/>
      <c r="W430" s="348">
        <v>11854.18</v>
      </c>
      <c r="X430" s="349"/>
      <c r="Y430" s="349"/>
      <c r="Z430" s="349"/>
      <c r="AA430" s="349"/>
      <c r="AB430" s="350"/>
      <c r="AC430" s="336">
        <v>11854.18</v>
      </c>
      <c r="AD430" s="337"/>
      <c r="AE430" s="338"/>
    </row>
    <row r="431" spans="1:31" ht="14.45" customHeight="1" x14ac:dyDescent="0.25">
      <c r="A431" s="331" t="s">
        <v>674</v>
      </c>
      <c r="B431" s="342" t="s">
        <v>675</v>
      </c>
      <c r="C431" s="343"/>
      <c r="D431" s="343"/>
      <c r="E431" s="343"/>
      <c r="F431" s="343"/>
      <c r="G431" s="343"/>
      <c r="H431" s="343"/>
      <c r="I431" s="343"/>
      <c r="J431" s="343"/>
      <c r="K431" s="343"/>
      <c r="L431" s="343"/>
      <c r="M431" s="344"/>
      <c r="N431" s="342" t="s">
        <v>154</v>
      </c>
      <c r="O431" s="343"/>
      <c r="P431" s="344"/>
      <c r="Q431" s="345">
        <v>1</v>
      </c>
      <c r="R431" s="346"/>
      <c r="S431" s="346"/>
      <c r="T431" s="346"/>
      <c r="U431" s="346"/>
      <c r="V431" s="347"/>
      <c r="W431" s="363">
        <v>5388.27</v>
      </c>
      <c r="X431" s="364"/>
      <c r="Y431" s="364"/>
      <c r="Z431" s="364"/>
      <c r="AA431" s="364"/>
      <c r="AB431" s="365"/>
      <c r="AC431" s="366">
        <v>5388.27</v>
      </c>
      <c r="AD431" s="367"/>
      <c r="AE431" s="368"/>
    </row>
    <row r="432" spans="1:31" ht="14.45" customHeight="1" x14ac:dyDescent="0.25">
      <c r="A432" s="331" t="s">
        <v>676</v>
      </c>
      <c r="B432" s="342" t="s">
        <v>677</v>
      </c>
      <c r="C432" s="343"/>
      <c r="D432" s="343"/>
      <c r="E432" s="343"/>
      <c r="F432" s="343"/>
      <c r="G432" s="343"/>
      <c r="H432" s="343"/>
      <c r="I432" s="343"/>
      <c r="J432" s="343"/>
      <c r="K432" s="343"/>
      <c r="L432" s="343"/>
      <c r="M432" s="344"/>
      <c r="N432" s="342" t="s">
        <v>154</v>
      </c>
      <c r="O432" s="343"/>
      <c r="P432" s="344"/>
      <c r="Q432" s="345">
        <v>1</v>
      </c>
      <c r="R432" s="346"/>
      <c r="S432" s="346"/>
      <c r="T432" s="346"/>
      <c r="U432" s="346"/>
      <c r="V432" s="347"/>
      <c r="W432" s="363">
        <v>7000</v>
      </c>
      <c r="X432" s="364"/>
      <c r="Y432" s="364"/>
      <c r="Z432" s="364"/>
      <c r="AA432" s="364"/>
      <c r="AB432" s="365"/>
      <c r="AC432" s="366">
        <v>7000</v>
      </c>
      <c r="AD432" s="367"/>
      <c r="AE432" s="368"/>
    </row>
    <row r="433" spans="1:31" ht="14.45" customHeight="1" x14ac:dyDescent="0.25">
      <c r="A433" s="330" t="s">
        <v>116</v>
      </c>
      <c r="B433" s="357" t="s">
        <v>679</v>
      </c>
      <c r="C433" s="358"/>
      <c r="D433" s="358"/>
      <c r="E433" s="358"/>
      <c r="F433" s="358"/>
      <c r="G433" s="358"/>
      <c r="H433" s="358"/>
      <c r="I433" s="358"/>
      <c r="J433" s="358"/>
      <c r="K433" s="358"/>
      <c r="L433" s="358"/>
      <c r="M433" s="359"/>
      <c r="N433" s="357"/>
      <c r="O433" s="358"/>
      <c r="P433" s="359"/>
      <c r="Q433" s="360"/>
      <c r="R433" s="361"/>
      <c r="S433" s="361"/>
      <c r="T433" s="361"/>
      <c r="U433" s="361"/>
      <c r="V433" s="362"/>
      <c r="W433" s="360"/>
      <c r="X433" s="361"/>
      <c r="Y433" s="361"/>
      <c r="Z433" s="361"/>
      <c r="AA433" s="361"/>
      <c r="AB433" s="362"/>
      <c r="AC433" s="354">
        <v>32350</v>
      </c>
      <c r="AD433" s="355"/>
      <c r="AE433" s="356"/>
    </row>
    <row r="434" spans="1:31" ht="14.45" customHeight="1" x14ac:dyDescent="0.25">
      <c r="A434" s="331" t="s">
        <v>118</v>
      </c>
      <c r="B434" s="342" t="s">
        <v>680</v>
      </c>
      <c r="C434" s="343"/>
      <c r="D434" s="343"/>
      <c r="E434" s="343"/>
      <c r="F434" s="343"/>
      <c r="G434" s="343"/>
      <c r="H434" s="343"/>
      <c r="I434" s="343"/>
      <c r="J434" s="343"/>
      <c r="K434" s="343"/>
      <c r="L434" s="343"/>
      <c r="M434" s="344"/>
      <c r="N434" s="342" t="s">
        <v>154</v>
      </c>
      <c r="O434" s="343"/>
      <c r="P434" s="344"/>
      <c r="Q434" s="345">
        <v>1</v>
      </c>
      <c r="R434" s="346"/>
      <c r="S434" s="346"/>
      <c r="T434" s="346"/>
      <c r="U434" s="346"/>
      <c r="V434" s="347"/>
      <c r="W434" s="363">
        <v>3950</v>
      </c>
      <c r="X434" s="364"/>
      <c r="Y434" s="364"/>
      <c r="Z434" s="364"/>
      <c r="AA434" s="364"/>
      <c r="AB434" s="365"/>
      <c r="AC434" s="366">
        <v>3950</v>
      </c>
      <c r="AD434" s="367"/>
      <c r="AE434" s="368"/>
    </row>
    <row r="435" spans="1:31" ht="14.45" customHeight="1" x14ac:dyDescent="0.25">
      <c r="A435" s="331" t="s">
        <v>681</v>
      </c>
      <c r="B435" s="342" t="s">
        <v>682</v>
      </c>
      <c r="C435" s="343"/>
      <c r="D435" s="343"/>
      <c r="E435" s="343"/>
      <c r="F435" s="343"/>
      <c r="G435" s="343"/>
      <c r="H435" s="343"/>
      <c r="I435" s="343"/>
      <c r="J435" s="343"/>
      <c r="K435" s="343"/>
      <c r="L435" s="343"/>
      <c r="M435" s="344"/>
      <c r="N435" s="342" t="s">
        <v>154</v>
      </c>
      <c r="O435" s="343"/>
      <c r="P435" s="344"/>
      <c r="Q435" s="345">
        <v>1</v>
      </c>
      <c r="R435" s="346"/>
      <c r="S435" s="346"/>
      <c r="T435" s="346"/>
      <c r="U435" s="346"/>
      <c r="V435" s="347"/>
      <c r="W435" s="348">
        <v>28400</v>
      </c>
      <c r="X435" s="349"/>
      <c r="Y435" s="349"/>
      <c r="Z435" s="349"/>
      <c r="AA435" s="349"/>
      <c r="AB435" s="350"/>
      <c r="AC435" s="336">
        <v>28400</v>
      </c>
      <c r="AD435" s="337"/>
      <c r="AE435" s="338"/>
    </row>
    <row r="436" spans="1:31" ht="14.45" customHeight="1" x14ac:dyDescent="0.25">
      <c r="A436" s="330" t="s">
        <v>683</v>
      </c>
      <c r="B436" s="357" t="s">
        <v>684</v>
      </c>
      <c r="C436" s="358"/>
      <c r="D436" s="358"/>
      <c r="E436" s="358"/>
      <c r="F436" s="358"/>
      <c r="G436" s="358"/>
      <c r="H436" s="358"/>
      <c r="I436" s="358"/>
      <c r="J436" s="358"/>
      <c r="K436" s="358"/>
      <c r="L436" s="358"/>
      <c r="M436" s="359"/>
      <c r="N436" s="357"/>
      <c r="O436" s="358"/>
      <c r="P436" s="359"/>
      <c r="Q436" s="360"/>
      <c r="R436" s="361"/>
      <c r="S436" s="361"/>
      <c r="T436" s="361"/>
      <c r="U436" s="361"/>
      <c r="V436" s="362"/>
      <c r="W436" s="360"/>
      <c r="X436" s="361"/>
      <c r="Y436" s="361"/>
      <c r="Z436" s="361"/>
      <c r="AA436" s="361"/>
      <c r="AB436" s="362"/>
      <c r="AC436" s="354">
        <v>51801.74</v>
      </c>
      <c r="AD436" s="355"/>
      <c r="AE436" s="356"/>
    </row>
    <row r="437" spans="1:31" ht="14.45" customHeight="1" x14ac:dyDescent="0.25">
      <c r="A437" s="331" t="s">
        <v>685</v>
      </c>
      <c r="B437" s="342" t="s">
        <v>686</v>
      </c>
      <c r="C437" s="343"/>
      <c r="D437" s="343"/>
      <c r="E437" s="343"/>
      <c r="F437" s="343"/>
      <c r="G437" s="343"/>
      <c r="H437" s="343"/>
      <c r="I437" s="343"/>
      <c r="J437" s="343"/>
      <c r="K437" s="343"/>
      <c r="L437" s="343"/>
      <c r="M437" s="344"/>
      <c r="N437" s="342" t="s">
        <v>154</v>
      </c>
      <c r="O437" s="343"/>
      <c r="P437" s="344"/>
      <c r="Q437" s="345">
        <v>1</v>
      </c>
      <c r="R437" s="346"/>
      <c r="S437" s="346"/>
      <c r="T437" s="346"/>
      <c r="U437" s="346"/>
      <c r="V437" s="347"/>
      <c r="W437" s="348">
        <v>51801.74</v>
      </c>
      <c r="X437" s="349"/>
      <c r="Y437" s="349"/>
      <c r="Z437" s="349"/>
      <c r="AA437" s="349"/>
      <c r="AB437" s="350"/>
      <c r="AC437" s="336">
        <v>51801.74</v>
      </c>
      <c r="AD437" s="337"/>
      <c r="AE437" s="338"/>
    </row>
    <row r="438" spans="1:31" ht="14.45" customHeight="1" x14ac:dyDescent="0.25">
      <c r="A438" s="330" t="s">
        <v>687</v>
      </c>
      <c r="B438" s="357" t="s">
        <v>688</v>
      </c>
      <c r="C438" s="358"/>
      <c r="D438" s="358"/>
      <c r="E438" s="358"/>
      <c r="F438" s="358"/>
      <c r="G438" s="358"/>
      <c r="H438" s="358"/>
      <c r="I438" s="358"/>
      <c r="J438" s="358"/>
      <c r="K438" s="358"/>
      <c r="L438" s="358"/>
      <c r="M438" s="359"/>
      <c r="N438" s="357"/>
      <c r="O438" s="358"/>
      <c r="P438" s="359"/>
      <c r="Q438" s="360"/>
      <c r="R438" s="361"/>
      <c r="S438" s="361"/>
      <c r="T438" s="361"/>
      <c r="U438" s="361"/>
      <c r="V438" s="362"/>
      <c r="W438" s="360"/>
      <c r="X438" s="361"/>
      <c r="Y438" s="361"/>
      <c r="Z438" s="361"/>
      <c r="AA438" s="361"/>
      <c r="AB438" s="362"/>
      <c r="AC438" s="384">
        <v>120623.41</v>
      </c>
      <c r="AD438" s="385"/>
      <c r="AE438" s="386"/>
    </row>
    <row r="439" spans="1:31" ht="14.45" customHeight="1" x14ac:dyDescent="0.25">
      <c r="A439" s="330" t="s">
        <v>689</v>
      </c>
      <c r="B439" s="357" t="s">
        <v>690</v>
      </c>
      <c r="C439" s="358"/>
      <c r="D439" s="358"/>
      <c r="E439" s="358"/>
      <c r="F439" s="358"/>
      <c r="G439" s="358"/>
      <c r="H439" s="358"/>
      <c r="I439" s="358"/>
      <c r="J439" s="358"/>
      <c r="K439" s="358"/>
      <c r="L439" s="358"/>
      <c r="M439" s="359"/>
      <c r="N439" s="357"/>
      <c r="O439" s="358"/>
      <c r="P439" s="359"/>
      <c r="Q439" s="360"/>
      <c r="R439" s="361"/>
      <c r="S439" s="361"/>
      <c r="T439" s="361"/>
      <c r="U439" s="361"/>
      <c r="V439" s="362"/>
      <c r="W439" s="360"/>
      <c r="X439" s="361"/>
      <c r="Y439" s="361"/>
      <c r="Z439" s="361"/>
      <c r="AA439" s="361"/>
      <c r="AB439" s="362"/>
      <c r="AC439" s="354">
        <v>97192.93</v>
      </c>
      <c r="AD439" s="355"/>
      <c r="AE439" s="356"/>
    </row>
    <row r="440" spans="1:31" ht="14.45" customHeight="1" x14ac:dyDescent="0.25">
      <c r="A440" s="331" t="s">
        <v>691</v>
      </c>
      <c r="B440" s="342" t="s">
        <v>692</v>
      </c>
      <c r="C440" s="343"/>
      <c r="D440" s="343"/>
      <c r="E440" s="343"/>
      <c r="F440" s="343"/>
      <c r="G440" s="343"/>
      <c r="H440" s="343"/>
      <c r="I440" s="343"/>
      <c r="J440" s="343"/>
      <c r="K440" s="343"/>
      <c r="L440" s="343"/>
      <c r="M440" s="344"/>
      <c r="N440" s="342" t="s">
        <v>154</v>
      </c>
      <c r="O440" s="343"/>
      <c r="P440" s="344"/>
      <c r="Q440" s="345">
        <v>1</v>
      </c>
      <c r="R440" s="346"/>
      <c r="S440" s="346"/>
      <c r="T440" s="346"/>
      <c r="U440" s="346"/>
      <c r="V440" s="347"/>
      <c r="W440" s="363">
        <v>2000</v>
      </c>
      <c r="X440" s="364"/>
      <c r="Y440" s="364"/>
      <c r="Z440" s="364"/>
      <c r="AA440" s="364"/>
      <c r="AB440" s="365"/>
      <c r="AC440" s="366">
        <v>2000</v>
      </c>
      <c r="AD440" s="367"/>
      <c r="AE440" s="368"/>
    </row>
    <row r="441" spans="1:31" ht="14.45" customHeight="1" x14ac:dyDescent="0.25">
      <c r="A441" s="331" t="s">
        <v>693</v>
      </c>
      <c r="B441" s="342" t="s">
        <v>694</v>
      </c>
      <c r="C441" s="343"/>
      <c r="D441" s="343"/>
      <c r="E441" s="343"/>
      <c r="F441" s="343"/>
      <c r="G441" s="343"/>
      <c r="H441" s="343"/>
      <c r="I441" s="343"/>
      <c r="J441" s="343"/>
      <c r="K441" s="343"/>
      <c r="L441" s="343"/>
      <c r="M441" s="344"/>
      <c r="N441" s="342" t="s">
        <v>154</v>
      </c>
      <c r="O441" s="343"/>
      <c r="P441" s="344"/>
      <c r="Q441" s="345">
        <v>1</v>
      </c>
      <c r="R441" s="346"/>
      <c r="S441" s="346"/>
      <c r="T441" s="346"/>
      <c r="U441" s="346"/>
      <c r="V441" s="347"/>
      <c r="W441" s="363">
        <v>7640</v>
      </c>
      <c r="X441" s="364"/>
      <c r="Y441" s="364"/>
      <c r="Z441" s="364"/>
      <c r="AA441" s="364"/>
      <c r="AB441" s="365"/>
      <c r="AC441" s="366">
        <v>7640</v>
      </c>
      <c r="AD441" s="367"/>
      <c r="AE441" s="368"/>
    </row>
    <row r="442" spans="1:31" ht="14.45" customHeight="1" x14ac:dyDescent="0.25">
      <c r="A442" s="331" t="s">
        <v>695</v>
      </c>
      <c r="B442" s="342" t="s">
        <v>696</v>
      </c>
      <c r="C442" s="343"/>
      <c r="D442" s="343"/>
      <c r="E442" s="343"/>
      <c r="F442" s="343"/>
      <c r="G442" s="343"/>
      <c r="H442" s="343"/>
      <c r="I442" s="343"/>
      <c r="J442" s="343"/>
      <c r="K442" s="343"/>
      <c r="L442" s="343"/>
      <c r="M442" s="344"/>
      <c r="N442" s="342" t="s">
        <v>154</v>
      </c>
      <c r="O442" s="343"/>
      <c r="P442" s="344"/>
      <c r="Q442" s="345">
        <v>1</v>
      </c>
      <c r="R442" s="346"/>
      <c r="S442" s="346"/>
      <c r="T442" s="346"/>
      <c r="U442" s="346"/>
      <c r="V442" s="347"/>
      <c r="W442" s="348">
        <v>15618.41</v>
      </c>
      <c r="X442" s="349"/>
      <c r="Y442" s="349"/>
      <c r="Z442" s="349"/>
      <c r="AA442" s="349"/>
      <c r="AB442" s="350"/>
      <c r="AC442" s="336">
        <v>15618.41</v>
      </c>
      <c r="AD442" s="337"/>
      <c r="AE442" s="338"/>
    </row>
    <row r="443" spans="1:31" ht="14.45" customHeight="1" x14ac:dyDescent="0.25">
      <c r="A443" s="331" t="s">
        <v>697</v>
      </c>
      <c r="B443" s="342" t="s">
        <v>698</v>
      </c>
      <c r="C443" s="343"/>
      <c r="D443" s="343"/>
      <c r="E443" s="343"/>
      <c r="F443" s="343"/>
      <c r="G443" s="343"/>
      <c r="H443" s="343"/>
      <c r="I443" s="343"/>
      <c r="J443" s="343"/>
      <c r="K443" s="343"/>
      <c r="L443" s="343"/>
      <c r="M443" s="344"/>
      <c r="N443" s="342" t="s">
        <v>154</v>
      </c>
      <c r="O443" s="343"/>
      <c r="P443" s="344"/>
      <c r="Q443" s="345">
        <v>1</v>
      </c>
      <c r="R443" s="346"/>
      <c r="S443" s="346"/>
      <c r="T443" s="346"/>
      <c r="U443" s="346"/>
      <c r="V443" s="347"/>
      <c r="W443" s="363">
        <v>2000</v>
      </c>
      <c r="X443" s="364"/>
      <c r="Y443" s="364"/>
      <c r="Z443" s="364"/>
      <c r="AA443" s="364"/>
      <c r="AB443" s="365"/>
      <c r="AC443" s="366">
        <v>2000</v>
      </c>
      <c r="AD443" s="367"/>
      <c r="AE443" s="368"/>
    </row>
    <row r="444" spans="1:31" ht="14.45" customHeight="1" x14ac:dyDescent="0.25">
      <c r="A444" s="331" t="s">
        <v>699</v>
      </c>
      <c r="B444" s="342" t="s">
        <v>700</v>
      </c>
      <c r="C444" s="343"/>
      <c r="D444" s="343"/>
      <c r="E444" s="343"/>
      <c r="F444" s="343"/>
      <c r="G444" s="343"/>
      <c r="H444" s="343"/>
      <c r="I444" s="343"/>
      <c r="J444" s="343"/>
      <c r="K444" s="343"/>
      <c r="L444" s="343"/>
      <c r="M444" s="344"/>
      <c r="N444" s="342" t="s">
        <v>154</v>
      </c>
      <c r="O444" s="343"/>
      <c r="P444" s="344"/>
      <c r="Q444" s="345">
        <v>1</v>
      </c>
      <c r="R444" s="346"/>
      <c r="S444" s="346"/>
      <c r="T444" s="346"/>
      <c r="U444" s="346"/>
      <c r="V444" s="347"/>
      <c r="W444" s="363">
        <v>7970</v>
      </c>
      <c r="X444" s="364"/>
      <c r="Y444" s="364"/>
      <c r="Z444" s="364"/>
      <c r="AA444" s="364"/>
      <c r="AB444" s="365"/>
      <c r="AC444" s="366">
        <v>7970</v>
      </c>
      <c r="AD444" s="367"/>
      <c r="AE444" s="368"/>
    </row>
    <row r="445" spans="1:31" ht="14.45" customHeight="1" x14ac:dyDescent="0.25">
      <c r="A445" s="331" t="s">
        <v>701</v>
      </c>
      <c r="B445" s="342" t="s">
        <v>702</v>
      </c>
      <c r="C445" s="343"/>
      <c r="D445" s="343"/>
      <c r="E445" s="343"/>
      <c r="F445" s="343"/>
      <c r="G445" s="343"/>
      <c r="H445" s="343"/>
      <c r="I445" s="343"/>
      <c r="J445" s="343"/>
      <c r="K445" s="343"/>
      <c r="L445" s="343"/>
      <c r="M445" s="344"/>
      <c r="N445" s="342" t="s">
        <v>154</v>
      </c>
      <c r="O445" s="343"/>
      <c r="P445" s="344"/>
      <c r="Q445" s="345">
        <v>1</v>
      </c>
      <c r="R445" s="346"/>
      <c r="S445" s="346"/>
      <c r="T445" s="346"/>
      <c r="U445" s="346"/>
      <c r="V445" s="347"/>
      <c r="W445" s="363">
        <v>2400</v>
      </c>
      <c r="X445" s="364"/>
      <c r="Y445" s="364"/>
      <c r="Z445" s="364"/>
      <c r="AA445" s="364"/>
      <c r="AB445" s="365"/>
      <c r="AC445" s="366">
        <v>2400</v>
      </c>
      <c r="AD445" s="367"/>
      <c r="AE445" s="368"/>
    </row>
    <row r="446" spans="1:31" ht="14.45" customHeight="1" x14ac:dyDescent="0.25">
      <c r="A446" s="331" t="s">
        <v>703</v>
      </c>
      <c r="B446" s="342" t="s">
        <v>704</v>
      </c>
      <c r="C446" s="343"/>
      <c r="D446" s="343"/>
      <c r="E446" s="343"/>
      <c r="F446" s="343"/>
      <c r="G446" s="343"/>
      <c r="H446" s="343"/>
      <c r="I446" s="343"/>
      <c r="J446" s="343"/>
      <c r="K446" s="343"/>
      <c r="L446" s="343"/>
      <c r="M446" s="344"/>
      <c r="N446" s="342" t="s">
        <v>154</v>
      </c>
      <c r="O446" s="343"/>
      <c r="P446" s="344"/>
      <c r="Q446" s="345">
        <v>1</v>
      </c>
      <c r="R446" s="346"/>
      <c r="S446" s="346"/>
      <c r="T446" s="346"/>
      <c r="U446" s="346"/>
      <c r="V446" s="347"/>
      <c r="W446" s="363">
        <v>7970</v>
      </c>
      <c r="X446" s="364"/>
      <c r="Y446" s="364"/>
      <c r="Z446" s="364"/>
      <c r="AA446" s="364"/>
      <c r="AB446" s="365"/>
      <c r="AC446" s="366">
        <v>7970</v>
      </c>
      <c r="AD446" s="367"/>
      <c r="AE446" s="368"/>
    </row>
    <row r="447" spans="1:31" ht="14.45" customHeight="1" x14ac:dyDescent="0.25">
      <c r="A447" s="331" t="s">
        <v>705</v>
      </c>
      <c r="B447" s="342" t="s">
        <v>706</v>
      </c>
      <c r="C447" s="343"/>
      <c r="D447" s="343"/>
      <c r="E447" s="343"/>
      <c r="F447" s="343"/>
      <c r="G447" s="343"/>
      <c r="H447" s="343"/>
      <c r="I447" s="343"/>
      <c r="J447" s="343"/>
      <c r="K447" s="343"/>
      <c r="L447" s="343"/>
      <c r="M447" s="344"/>
      <c r="N447" s="342" t="s">
        <v>154</v>
      </c>
      <c r="O447" s="343"/>
      <c r="P447" s="344"/>
      <c r="Q447" s="345">
        <v>1</v>
      </c>
      <c r="R447" s="346"/>
      <c r="S447" s="346"/>
      <c r="T447" s="346"/>
      <c r="U447" s="346"/>
      <c r="V447" s="347"/>
      <c r="W447" s="363">
        <v>6050</v>
      </c>
      <c r="X447" s="364"/>
      <c r="Y447" s="364"/>
      <c r="Z447" s="364"/>
      <c r="AA447" s="364"/>
      <c r="AB447" s="365"/>
      <c r="AC447" s="366">
        <v>6050</v>
      </c>
      <c r="AD447" s="367"/>
      <c r="AE447" s="368"/>
    </row>
    <row r="448" spans="1:31" ht="14.45" customHeight="1" x14ac:dyDescent="0.25">
      <c r="A448" s="331" t="s">
        <v>707</v>
      </c>
      <c r="B448" s="342" t="s">
        <v>708</v>
      </c>
      <c r="C448" s="343"/>
      <c r="D448" s="343"/>
      <c r="E448" s="343"/>
      <c r="F448" s="343"/>
      <c r="G448" s="343"/>
      <c r="H448" s="343"/>
      <c r="I448" s="343"/>
      <c r="J448" s="343"/>
      <c r="K448" s="343"/>
      <c r="L448" s="343"/>
      <c r="M448" s="344"/>
      <c r="N448" s="342" t="s">
        <v>154</v>
      </c>
      <c r="O448" s="343"/>
      <c r="P448" s="344"/>
      <c r="Q448" s="345">
        <v>1</v>
      </c>
      <c r="R448" s="346"/>
      <c r="S448" s="346"/>
      <c r="T448" s="346"/>
      <c r="U448" s="346"/>
      <c r="V448" s="347"/>
      <c r="W448" s="348">
        <v>18262.8</v>
      </c>
      <c r="X448" s="349"/>
      <c r="Y448" s="349"/>
      <c r="Z448" s="349"/>
      <c r="AA448" s="349"/>
      <c r="AB448" s="350"/>
      <c r="AC448" s="336">
        <v>18262.8</v>
      </c>
      <c r="AD448" s="337"/>
      <c r="AE448" s="338"/>
    </row>
    <row r="449" spans="1:31" ht="14.45" customHeight="1" x14ac:dyDescent="0.25">
      <c r="A449" s="331" t="s">
        <v>709</v>
      </c>
      <c r="B449" s="342" t="s">
        <v>710</v>
      </c>
      <c r="C449" s="343"/>
      <c r="D449" s="343"/>
      <c r="E449" s="343"/>
      <c r="F449" s="343"/>
      <c r="G449" s="343"/>
      <c r="H449" s="343"/>
      <c r="I449" s="343"/>
      <c r="J449" s="343"/>
      <c r="K449" s="343"/>
      <c r="L449" s="343"/>
      <c r="M449" s="344"/>
      <c r="N449" s="342" t="s">
        <v>154</v>
      </c>
      <c r="O449" s="343"/>
      <c r="P449" s="344"/>
      <c r="Q449" s="345">
        <v>1</v>
      </c>
      <c r="R449" s="346"/>
      <c r="S449" s="346"/>
      <c r="T449" s="346"/>
      <c r="U449" s="346"/>
      <c r="V449" s="347"/>
      <c r="W449" s="363">
        <v>4532.63</v>
      </c>
      <c r="X449" s="364"/>
      <c r="Y449" s="364"/>
      <c r="Z449" s="364"/>
      <c r="AA449" s="364"/>
      <c r="AB449" s="365"/>
      <c r="AC449" s="366">
        <v>4532.63</v>
      </c>
      <c r="AD449" s="367"/>
      <c r="AE449" s="368"/>
    </row>
    <row r="450" spans="1:31" ht="14.45" customHeight="1" x14ac:dyDescent="0.25">
      <c r="A450" s="331" t="s">
        <v>711</v>
      </c>
      <c r="B450" s="342" t="s">
        <v>712</v>
      </c>
      <c r="C450" s="343"/>
      <c r="D450" s="343"/>
      <c r="E450" s="343"/>
      <c r="F450" s="343"/>
      <c r="G450" s="343"/>
      <c r="H450" s="343"/>
      <c r="I450" s="343"/>
      <c r="J450" s="343"/>
      <c r="K450" s="343"/>
      <c r="L450" s="343"/>
      <c r="M450" s="344"/>
      <c r="N450" s="342" t="s">
        <v>154</v>
      </c>
      <c r="O450" s="343"/>
      <c r="P450" s="344"/>
      <c r="Q450" s="345">
        <v>1</v>
      </c>
      <c r="R450" s="346"/>
      <c r="S450" s="346"/>
      <c r="T450" s="346"/>
      <c r="U450" s="346"/>
      <c r="V450" s="347"/>
      <c r="W450" s="363">
        <v>7366.13</v>
      </c>
      <c r="X450" s="364"/>
      <c r="Y450" s="364"/>
      <c r="Z450" s="364"/>
      <c r="AA450" s="364"/>
      <c r="AB450" s="365"/>
      <c r="AC450" s="366">
        <v>7366.13</v>
      </c>
      <c r="AD450" s="367"/>
      <c r="AE450" s="368"/>
    </row>
    <row r="451" spans="1:31" ht="14.45" customHeight="1" x14ac:dyDescent="0.25">
      <c r="A451" s="331" t="s">
        <v>713</v>
      </c>
      <c r="B451" s="342" t="s">
        <v>714</v>
      </c>
      <c r="C451" s="343"/>
      <c r="D451" s="343"/>
      <c r="E451" s="343"/>
      <c r="F451" s="343"/>
      <c r="G451" s="343"/>
      <c r="H451" s="343"/>
      <c r="I451" s="343"/>
      <c r="J451" s="343"/>
      <c r="K451" s="343"/>
      <c r="L451" s="343"/>
      <c r="M451" s="344"/>
      <c r="N451" s="342" t="s">
        <v>154</v>
      </c>
      <c r="O451" s="343"/>
      <c r="P451" s="344"/>
      <c r="Q451" s="345">
        <v>1</v>
      </c>
      <c r="R451" s="346"/>
      <c r="S451" s="346"/>
      <c r="T451" s="346"/>
      <c r="U451" s="346"/>
      <c r="V451" s="347"/>
      <c r="W451" s="348">
        <v>15382.96</v>
      </c>
      <c r="X451" s="349"/>
      <c r="Y451" s="349"/>
      <c r="Z451" s="349"/>
      <c r="AA451" s="349"/>
      <c r="AB451" s="350"/>
      <c r="AC451" s="336">
        <v>15382.96</v>
      </c>
      <c r="AD451" s="337"/>
      <c r="AE451" s="338"/>
    </row>
    <row r="452" spans="1:31" ht="14.45" customHeight="1" x14ac:dyDescent="0.25">
      <c r="A452" s="330" t="s">
        <v>715</v>
      </c>
      <c r="B452" s="357" t="s">
        <v>716</v>
      </c>
      <c r="C452" s="358"/>
      <c r="D452" s="358"/>
      <c r="E452" s="358"/>
      <c r="F452" s="358"/>
      <c r="G452" s="358"/>
      <c r="H452" s="358"/>
      <c r="I452" s="358"/>
      <c r="J452" s="358"/>
      <c r="K452" s="358"/>
      <c r="L452" s="358"/>
      <c r="M452" s="359"/>
      <c r="N452" s="357"/>
      <c r="O452" s="358"/>
      <c r="P452" s="359"/>
      <c r="Q452" s="360"/>
      <c r="R452" s="361"/>
      <c r="S452" s="361"/>
      <c r="T452" s="361"/>
      <c r="U452" s="361"/>
      <c r="V452" s="362"/>
      <c r="W452" s="360"/>
      <c r="X452" s="361"/>
      <c r="Y452" s="361"/>
      <c r="Z452" s="361"/>
      <c r="AA452" s="361"/>
      <c r="AB452" s="362"/>
      <c r="AC452" s="354">
        <v>23430.48</v>
      </c>
      <c r="AD452" s="355"/>
      <c r="AE452" s="356"/>
    </row>
    <row r="453" spans="1:31" ht="14.45" customHeight="1" x14ac:dyDescent="0.25">
      <c r="A453" s="331" t="s">
        <v>717</v>
      </c>
      <c r="B453" s="342" t="s">
        <v>718</v>
      </c>
      <c r="C453" s="343"/>
      <c r="D453" s="343"/>
      <c r="E453" s="343"/>
      <c r="F453" s="343"/>
      <c r="G453" s="343"/>
      <c r="H453" s="343"/>
      <c r="I453" s="343"/>
      <c r="J453" s="343"/>
      <c r="K453" s="343"/>
      <c r="L453" s="343"/>
      <c r="M453" s="344"/>
      <c r="N453" s="342" t="s">
        <v>154</v>
      </c>
      <c r="O453" s="343"/>
      <c r="P453" s="344"/>
      <c r="Q453" s="345">
        <v>1</v>
      </c>
      <c r="R453" s="346"/>
      <c r="S453" s="346"/>
      <c r="T453" s="346"/>
      <c r="U453" s="346"/>
      <c r="V453" s="347"/>
      <c r="W453" s="348">
        <v>23430.48</v>
      </c>
      <c r="X453" s="349"/>
      <c r="Y453" s="349"/>
      <c r="Z453" s="349"/>
      <c r="AA453" s="349"/>
      <c r="AB453" s="350"/>
      <c r="AC453" s="336">
        <v>23430.48</v>
      </c>
      <c r="AD453" s="337"/>
      <c r="AE453" s="338"/>
    </row>
    <row r="454" spans="1:31" ht="14.45" customHeight="1" x14ac:dyDescent="0.25">
      <c r="A454" s="330" t="s">
        <v>99</v>
      </c>
      <c r="B454" s="357" t="s">
        <v>719</v>
      </c>
      <c r="C454" s="358"/>
      <c r="D454" s="358"/>
      <c r="E454" s="358"/>
      <c r="F454" s="358"/>
      <c r="G454" s="358"/>
      <c r="H454" s="358"/>
      <c r="I454" s="358"/>
      <c r="J454" s="358"/>
      <c r="K454" s="358"/>
      <c r="L454" s="358"/>
      <c r="M454" s="359"/>
      <c r="N454" s="357"/>
      <c r="O454" s="358"/>
      <c r="P454" s="359"/>
      <c r="Q454" s="360"/>
      <c r="R454" s="361"/>
      <c r="S454" s="361"/>
      <c r="T454" s="361"/>
      <c r="U454" s="361"/>
      <c r="V454" s="362"/>
      <c r="W454" s="360"/>
      <c r="X454" s="361"/>
      <c r="Y454" s="361"/>
      <c r="Z454" s="361"/>
      <c r="AA454" s="361"/>
      <c r="AB454" s="362"/>
      <c r="AC454" s="396">
        <v>1831018.2</v>
      </c>
      <c r="AD454" s="397"/>
      <c r="AE454" s="398"/>
    </row>
    <row r="455" spans="1:31" ht="14.45" customHeight="1" x14ac:dyDescent="0.25">
      <c r="A455" s="330" t="s">
        <v>121</v>
      </c>
      <c r="B455" s="357" t="s">
        <v>720</v>
      </c>
      <c r="C455" s="358"/>
      <c r="D455" s="358"/>
      <c r="E455" s="358"/>
      <c r="F455" s="358"/>
      <c r="G455" s="358"/>
      <c r="H455" s="358"/>
      <c r="I455" s="358"/>
      <c r="J455" s="358"/>
      <c r="K455" s="358"/>
      <c r="L455" s="358"/>
      <c r="M455" s="359"/>
      <c r="N455" s="357"/>
      <c r="O455" s="358"/>
      <c r="P455" s="359"/>
      <c r="Q455" s="360"/>
      <c r="R455" s="361"/>
      <c r="S455" s="361"/>
      <c r="T455" s="361"/>
      <c r="U455" s="361"/>
      <c r="V455" s="362"/>
      <c r="W455" s="360"/>
      <c r="X455" s="361"/>
      <c r="Y455" s="361"/>
      <c r="Z455" s="361"/>
      <c r="AA455" s="361"/>
      <c r="AB455" s="362"/>
      <c r="AC455" s="384">
        <v>522550.77</v>
      </c>
      <c r="AD455" s="385"/>
      <c r="AE455" s="386"/>
    </row>
    <row r="456" spans="1:31" ht="14.45" customHeight="1" x14ac:dyDescent="0.25">
      <c r="A456" s="330" t="s">
        <v>122</v>
      </c>
      <c r="B456" s="357" t="s">
        <v>721</v>
      </c>
      <c r="C456" s="358"/>
      <c r="D456" s="358"/>
      <c r="E456" s="358"/>
      <c r="F456" s="358"/>
      <c r="G456" s="358"/>
      <c r="H456" s="358"/>
      <c r="I456" s="358"/>
      <c r="J456" s="358"/>
      <c r="K456" s="358"/>
      <c r="L456" s="358"/>
      <c r="M456" s="359"/>
      <c r="N456" s="357"/>
      <c r="O456" s="358"/>
      <c r="P456" s="359"/>
      <c r="Q456" s="360"/>
      <c r="R456" s="361"/>
      <c r="S456" s="361"/>
      <c r="T456" s="361"/>
      <c r="U456" s="361"/>
      <c r="V456" s="362"/>
      <c r="W456" s="360"/>
      <c r="X456" s="361"/>
      <c r="Y456" s="361"/>
      <c r="Z456" s="361"/>
      <c r="AA456" s="361"/>
      <c r="AB456" s="362"/>
      <c r="AC456" s="384">
        <v>517770.77</v>
      </c>
      <c r="AD456" s="385"/>
      <c r="AE456" s="386"/>
    </row>
    <row r="457" spans="1:31" ht="14.45" customHeight="1" x14ac:dyDescent="0.25">
      <c r="A457" s="331" t="s">
        <v>124</v>
      </c>
      <c r="B457" s="342" t="s">
        <v>722</v>
      </c>
      <c r="C457" s="343"/>
      <c r="D457" s="343"/>
      <c r="E457" s="343"/>
      <c r="F457" s="343"/>
      <c r="G457" s="343"/>
      <c r="H457" s="343"/>
      <c r="I457" s="343"/>
      <c r="J457" s="343"/>
      <c r="K457" s="343"/>
      <c r="L457" s="343"/>
      <c r="M457" s="344"/>
      <c r="N457" s="342" t="s">
        <v>157</v>
      </c>
      <c r="O457" s="343"/>
      <c r="P457" s="344"/>
      <c r="Q457" s="372">
        <v>102.83</v>
      </c>
      <c r="R457" s="373"/>
      <c r="S457" s="373"/>
      <c r="T457" s="373"/>
      <c r="U457" s="373"/>
      <c r="V457" s="374"/>
      <c r="W457" s="372">
        <v>524.26319999999998</v>
      </c>
      <c r="X457" s="373"/>
      <c r="Y457" s="373"/>
      <c r="Z457" s="373"/>
      <c r="AA457" s="373"/>
      <c r="AB457" s="374"/>
      <c r="AC457" s="336">
        <v>53909.98</v>
      </c>
      <c r="AD457" s="337"/>
      <c r="AE457" s="338"/>
    </row>
    <row r="458" spans="1:31" ht="14.45" customHeight="1" x14ac:dyDescent="0.25">
      <c r="A458" s="331" t="s">
        <v>1050</v>
      </c>
      <c r="B458" s="342" t="s">
        <v>723</v>
      </c>
      <c r="C458" s="343"/>
      <c r="D458" s="343"/>
      <c r="E458" s="343"/>
      <c r="F458" s="343"/>
      <c r="G458" s="343"/>
      <c r="H458" s="343"/>
      <c r="I458" s="343"/>
      <c r="J458" s="343"/>
      <c r="K458" s="343"/>
      <c r="L458" s="343"/>
      <c r="M458" s="344"/>
      <c r="N458" s="342" t="s">
        <v>157</v>
      </c>
      <c r="O458" s="343"/>
      <c r="P458" s="344"/>
      <c r="Q458" s="372">
        <v>149.91999999999999</v>
      </c>
      <c r="R458" s="373"/>
      <c r="S458" s="373"/>
      <c r="T458" s="373"/>
      <c r="U458" s="373"/>
      <c r="V458" s="374"/>
      <c r="W458" s="372">
        <v>385.02820000000003</v>
      </c>
      <c r="X458" s="373"/>
      <c r="Y458" s="373"/>
      <c r="Z458" s="373"/>
      <c r="AA458" s="373"/>
      <c r="AB458" s="374"/>
      <c r="AC458" s="336">
        <v>57723.43</v>
      </c>
      <c r="AD458" s="337"/>
      <c r="AE458" s="338"/>
    </row>
    <row r="459" spans="1:31" ht="14.45" customHeight="1" x14ac:dyDescent="0.25">
      <c r="A459" s="331" t="s">
        <v>1051</v>
      </c>
      <c r="B459" s="342" t="s">
        <v>724</v>
      </c>
      <c r="C459" s="343"/>
      <c r="D459" s="343"/>
      <c r="E459" s="343"/>
      <c r="F459" s="343"/>
      <c r="G459" s="343"/>
      <c r="H459" s="343"/>
      <c r="I459" s="343"/>
      <c r="J459" s="343"/>
      <c r="K459" s="343"/>
      <c r="L459" s="343"/>
      <c r="M459" s="344"/>
      <c r="N459" s="342" t="s">
        <v>157</v>
      </c>
      <c r="O459" s="343"/>
      <c r="P459" s="344"/>
      <c r="Q459" s="372">
        <v>912.79</v>
      </c>
      <c r="R459" s="373"/>
      <c r="S459" s="373"/>
      <c r="T459" s="373"/>
      <c r="U459" s="373"/>
      <c r="V459" s="374"/>
      <c r="W459" s="381">
        <v>22.224399999999999</v>
      </c>
      <c r="X459" s="382"/>
      <c r="Y459" s="382"/>
      <c r="Z459" s="382"/>
      <c r="AA459" s="382"/>
      <c r="AB459" s="383"/>
      <c r="AC459" s="336">
        <v>20286.21</v>
      </c>
      <c r="AD459" s="337"/>
      <c r="AE459" s="338"/>
    </row>
    <row r="460" spans="1:31" ht="14.45" customHeight="1" x14ac:dyDescent="0.25">
      <c r="A460" s="331" t="s">
        <v>1052</v>
      </c>
      <c r="B460" s="342" t="s">
        <v>725</v>
      </c>
      <c r="C460" s="343"/>
      <c r="D460" s="343"/>
      <c r="E460" s="343"/>
      <c r="F460" s="343"/>
      <c r="G460" s="343"/>
      <c r="H460" s="343"/>
      <c r="I460" s="343"/>
      <c r="J460" s="343"/>
      <c r="K460" s="343"/>
      <c r="L460" s="343"/>
      <c r="M460" s="344"/>
      <c r="N460" s="342" t="s">
        <v>157</v>
      </c>
      <c r="O460" s="343"/>
      <c r="P460" s="344"/>
      <c r="Q460" s="372">
        <v>343.56</v>
      </c>
      <c r="R460" s="373"/>
      <c r="S460" s="373"/>
      <c r="T460" s="373"/>
      <c r="U460" s="373"/>
      <c r="V460" s="374"/>
      <c r="W460" s="381">
        <v>86.475300000000004</v>
      </c>
      <c r="X460" s="382"/>
      <c r="Y460" s="382"/>
      <c r="Z460" s="382"/>
      <c r="AA460" s="382"/>
      <c r="AB460" s="383"/>
      <c r="AC460" s="336">
        <v>29709.45</v>
      </c>
      <c r="AD460" s="337"/>
      <c r="AE460" s="338"/>
    </row>
    <row r="461" spans="1:31" ht="14.45" customHeight="1" x14ac:dyDescent="0.25">
      <c r="A461" s="331" t="s">
        <v>1053</v>
      </c>
      <c r="B461" s="342" t="s">
        <v>726</v>
      </c>
      <c r="C461" s="343"/>
      <c r="D461" s="343"/>
      <c r="E461" s="343"/>
      <c r="F461" s="343"/>
      <c r="G461" s="343"/>
      <c r="H461" s="343"/>
      <c r="I461" s="343"/>
      <c r="J461" s="343"/>
      <c r="K461" s="343"/>
      <c r="L461" s="343"/>
      <c r="M461" s="344"/>
      <c r="N461" s="342" t="s">
        <v>97</v>
      </c>
      <c r="O461" s="343"/>
      <c r="P461" s="344"/>
      <c r="Q461" s="372">
        <v>109.34</v>
      </c>
      <c r="R461" s="373"/>
      <c r="S461" s="373"/>
      <c r="T461" s="373"/>
      <c r="U461" s="373"/>
      <c r="V461" s="374"/>
      <c r="W461" s="381">
        <v>38.917700000000004</v>
      </c>
      <c r="X461" s="382"/>
      <c r="Y461" s="382"/>
      <c r="Z461" s="382"/>
      <c r="AA461" s="382"/>
      <c r="AB461" s="383"/>
      <c r="AC461" s="366">
        <v>4255.26</v>
      </c>
      <c r="AD461" s="367"/>
      <c r="AE461" s="368"/>
    </row>
    <row r="462" spans="1:31" ht="14.45" customHeight="1" x14ac:dyDescent="0.25">
      <c r="A462" s="331" t="s">
        <v>1054</v>
      </c>
      <c r="B462" s="342" t="s">
        <v>727</v>
      </c>
      <c r="C462" s="343"/>
      <c r="D462" s="343"/>
      <c r="E462" s="343"/>
      <c r="F462" s="343"/>
      <c r="G462" s="343"/>
      <c r="H462" s="343"/>
      <c r="I462" s="343"/>
      <c r="J462" s="343"/>
      <c r="K462" s="343"/>
      <c r="L462" s="343"/>
      <c r="M462" s="344"/>
      <c r="N462" s="342" t="s">
        <v>157</v>
      </c>
      <c r="O462" s="343"/>
      <c r="P462" s="344"/>
      <c r="Q462" s="381">
        <v>85.89</v>
      </c>
      <c r="R462" s="382"/>
      <c r="S462" s="382"/>
      <c r="T462" s="382"/>
      <c r="U462" s="382"/>
      <c r="V462" s="383"/>
      <c r="W462" s="381">
        <v>81.173900000000003</v>
      </c>
      <c r="X462" s="382"/>
      <c r="Y462" s="382"/>
      <c r="Z462" s="382"/>
      <c r="AA462" s="382"/>
      <c r="AB462" s="383"/>
      <c r="AC462" s="366">
        <v>6972.03</v>
      </c>
      <c r="AD462" s="367"/>
      <c r="AE462" s="368"/>
    </row>
    <row r="463" spans="1:31" ht="14.45" customHeight="1" x14ac:dyDescent="0.25">
      <c r="A463" s="331" t="s">
        <v>1055</v>
      </c>
      <c r="B463" s="342" t="s">
        <v>728</v>
      </c>
      <c r="C463" s="343"/>
      <c r="D463" s="343"/>
      <c r="E463" s="343"/>
      <c r="F463" s="343"/>
      <c r="G463" s="343"/>
      <c r="H463" s="343"/>
      <c r="I463" s="343"/>
      <c r="J463" s="343"/>
      <c r="K463" s="343"/>
      <c r="L463" s="343"/>
      <c r="M463" s="344"/>
      <c r="N463" s="342" t="s">
        <v>154</v>
      </c>
      <c r="O463" s="343"/>
      <c r="P463" s="344"/>
      <c r="Q463" s="345">
        <v>1</v>
      </c>
      <c r="R463" s="346"/>
      <c r="S463" s="346"/>
      <c r="T463" s="346"/>
      <c r="U463" s="346"/>
      <c r="V463" s="347"/>
      <c r="W463" s="348">
        <v>31010.76</v>
      </c>
      <c r="X463" s="349"/>
      <c r="Y463" s="349"/>
      <c r="Z463" s="349"/>
      <c r="AA463" s="349"/>
      <c r="AB463" s="350"/>
      <c r="AC463" s="336">
        <v>31010.76</v>
      </c>
      <c r="AD463" s="337"/>
      <c r="AE463" s="338"/>
    </row>
    <row r="464" spans="1:31" ht="14.45" customHeight="1" x14ac:dyDescent="0.25">
      <c r="A464" s="331" t="s">
        <v>1056</v>
      </c>
      <c r="B464" s="342" t="s">
        <v>729</v>
      </c>
      <c r="C464" s="343"/>
      <c r="D464" s="343"/>
      <c r="E464" s="343"/>
      <c r="F464" s="343"/>
      <c r="G464" s="343"/>
      <c r="H464" s="343"/>
      <c r="I464" s="343"/>
      <c r="J464" s="343"/>
      <c r="K464" s="343"/>
      <c r="L464" s="343"/>
      <c r="M464" s="344"/>
      <c r="N464" s="342" t="s">
        <v>157</v>
      </c>
      <c r="O464" s="343"/>
      <c r="P464" s="344"/>
      <c r="Q464" s="372">
        <v>541.11</v>
      </c>
      <c r="R464" s="373"/>
      <c r="S464" s="373"/>
      <c r="T464" s="373"/>
      <c r="U464" s="373"/>
      <c r="V464" s="374"/>
      <c r="W464" s="372">
        <v>396.96570000000003</v>
      </c>
      <c r="X464" s="373"/>
      <c r="Y464" s="373"/>
      <c r="Z464" s="373"/>
      <c r="AA464" s="373"/>
      <c r="AB464" s="374"/>
      <c r="AC464" s="393">
        <v>214802.11</v>
      </c>
      <c r="AD464" s="394"/>
      <c r="AE464" s="395"/>
    </row>
    <row r="465" spans="1:31" ht="14.45" customHeight="1" x14ac:dyDescent="0.25">
      <c r="A465" s="331" t="s">
        <v>1057</v>
      </c>
      <c r="B465" s="342" t="s">
        <v>730</v>
      </c>
      <c r="C465" s="343"/>
      <c r="D465" s="343"/>
      <c r="E465" s="343"/>
      <c r="F465" s="343"/>
      <c r="G465" s="343"/>
      <c r="H465" s="343"/>
      <c r="I465" s="343"/>
      <c r="J465" s="343"/>
      <c r="K465" s="343"/>
      <c r="L465" s="343"/>
      <c r="M465" s="344"/>
      <c r="N465" s="342" t="s">
        <v>97</v>
      </c>
      <c r="O465" s="343"/>
      <c r="P465" s="344"/>
      <c r="Q465" s="363">
        <v>5211.8100000000004</v>
      </c>
      <c r="R465" s="364"/>
      <c r="S465" s="364"/>
      <c r="T465" s="364"/>
      <c r="U465" s="364"/>
      <c r="V465" s="365"/>
      <c r="W465" s="345">
        <v>6.7350000000000003</v>
      </c>
      <c r="X465" s="346"/>
      <c r="Y465" s="346"/>
      <c r="Z465" s="346"/>
      <c r="AA465" s="346"/>
      <c r="AB465" s="347"/>
      <c r="AC465" s="336">
        <v>35101.54</v>
      </c>
      <c r="AD465" s="337"/>
      <c r="AE465" s="338"/>
    </row>
    <row r="466" spans="1:31" ht="14.45" customHeight="1" x14ac:dyDescent="0.25">
      <c r="A466" s="331" t="s">
        <v>1058</v>
      </c>
      <c r="B466" s="342" t="s">
        <v>731</v>
      </c>
      <c r="C466" s="343"/>
      <c r="D466" s="343"/>
      <c r="E466" s="343"/>
      <c r="F466" s="343"/>
      <c r="G466" s="343"/>
      <c r="H466" s="343"/>
      <c r="I466" s="343"/>
      <c r="J466" s="343"/>
      <c r="K466" s="343"/>
      <c r="L466" s="343"/>
      <c r="M466" s="344"/>
      <c r="N466" s="342" t="s">
        <v>678</v>
      </c>
      <c r="O466" s="343"/>
      <c r="P466" s="344"/>
      <c r="Q466" s="381">
        <v>40</v>
      </c>
      <c r="R466" s="382"/>
      <c r="S466" s="382"/>
      <c r="T466" s="382"/>
      <c r="U466" s="382"/>
      <c r="V466" s="383"/>
      <c r="W466" s="372">
        <v>850</v>
      </c>
      <c r="X466" s="373"/>
      <c r="Y466" s="373"/>
      <c r="Z466" s="373"/>
      <c r="AA466" s="373"/>
      <c r="AB466" s="374"/>
      <c r="AC466" s="336">
        <v>34000</v>
      </c>
      <c r="AD466" s="337"/>
      <c r="AE466" s="338"/>
    </row>
    <row r="467" spans="1:31" ht="14.45" customHeight="1" x14ac:dyDescent="0.25">
      <c r="A467" s="331" t="s">
        <v>1059</v>
      </c>
      <c r="B467" s="342" t="s">
        <v>732</v>
      </c>
      <c r="C467" s="343"/>
      <c r="D467" s="343"/>
      <c r="E467" s="343"/>
      <c r="F467" s="343"/>
      <c r="G467" s="343"/>
      <c r="H467" s="343"/>
      <c r="I467" s="343"/>
      <c r="J467" s="343"/>
      <c r="K467" s="343"/>
      <c r="L467" s="343"/>
      <c r="M467" s="344"/>
      <c r="N467" s="342" t="s">
        <v>154</v>
      </c>
      <c r="O467" s="343"/>
      <c r="P467" s="344"/>
      <c r="Q467" s="345">
        <v>1</v>
      </c>
      <c r="R467" s="346"/>
      <c r="S467" s="346"/>
      <c r="T467" s="346"/>
      <c r="U467" s="346"/>
      <c r="V467" s="347"/>
      <c r="W467" s="348">
        <v>30000</v>
      </c>
      <c r="X467" s="349"/>
      <c r="Y467" s="349"/>
      <c r="Z467" s="349"/>
      <c r="AA467" s="349"/>
      <c r="AB467" s="350"/>
      <c r="AC467" s="336">
        <v>30000</v>
      </c>
      <c r="AD467" s="337"/>
      <c r="AE467" s="338"/>
    </row>
    <row r="468" spans="1:31" ht="14.45" customHeight="1" x14ac:dyDescent="0.25">
      <c r="A468" s="330" t="s">
        <v>126</v>
      </c>
      <c r="B468" s="357" t="s">
        <v>733</v>
      </c>
      <c r="C468" s="358"/>
      <c r="D468" s="358"/>
      <c r="E468" s="358"/>
      <c r="F468" s="358"/>
      <c r="G468" s="358"/>
      <c r="H468" s="358"/>
      <c r="I468" s="358"/>
      <c r="J468" s="358"/>
      <c r="K468" s="358"/>
      <c r="L468" s="358"/>
      <c r="M468" s="359"/>
      <c r="N468" s="357"/>
      <c r="O468" s="358"/>
      <c r="P468" s="359"/>
      <c r="Q468" s="360"/>
      <c r="R468" s="361"/>
      <c r="S468" s="361"/>
      <c r="T468" s="361"/>
      <c r="U468" s="361"/>
      <c r="V468" s="362"/>
      <c r="W468" s="360"/>
      <c r="X468" s="361"/>
      <c r="Y468" s="361"/>
      <c r="Z468" s="361"/>
      <c r="AA468" s="361"/>
      <c r="AB468" s="362"/>
      <c r="AC468" s="390">
        <v>4280</v>
      </c>
      <c r="AD468" s="391"/>
      <c r="AE468" s="392"/>
    </row>
    <row r="469" spans="1:31" ht="14.45" customHeight="1" x14ac:dyDescent="0.25">
      <c r="A469" s="331" t="s">
        <v>128</v>
      </c>
      <c r="B469" s="342" t="s">
        <v>734</v>
      </c>
      <c r="C469" s="343"/>
      <c r="D469" s="343"/>
      <c r="E469" s="343"/>
      <c r="F469" s="343"/>
      <c r="G469" s="343"/>
      <c r="H469" s="343"/>
      <c r="I469" s="343"/>
      <c r="J469" s="343"/>
      <c r="K469" s="343"/>
      <c r="L469" s="343"/>
      <c r="M469" s="344"/>
      <c r="N469" s="342" t="s">
        <v>154</v>
      </c>
      <c r="O469" s="343"/>
      <c r="P469" s="344"/>
      <c r="Q469" s="345">
        <v>1</v>
      </c>
      <c r="R469" s="346"/>
      <c r="S469" s="346"/>
      <c r="T469" s="346"/>
      <c r="U469" s="346"/>
      <c r="V469" s="347"/>
      <c r="W469" s="363">
        <v>4280</v>
      </c>
      <c r="X469" s="364"/>
      <c r="Y469" s="364"/>
      <c r="Z469" s="364"/>
      <c r="AA469" s="364"/>
      <c r="AB469" s="365"/>
      <c r="AC469" s="366">
        <v>4280</v>
      </c>
      <c r="AD469" s="367"/>
      <c r="AE469" s="368"/>
    </row>
    <row r="470" spans="1:31" ht="14.45" customHeight="1" x14ac:dyDescent="0.25">
      <c r="A470" s="330" t="s">
        <v>140</v>
      </c>
      <c r="B470" s="357" t="s">
        <v>735</v>
      </c>
      <c r="C470" s="358"/>
      <c r="D470" s="358"/>
      <c r="E470" s="358"/>
      <c r="F470" s="358"/>
      <c r="G470" s="358"/>
      <c r="H470" s="358"/>
      <c r="I470" s="358"/>
      <c r="J470" s="358"/>
      <c r="K470" s="358"/>
      <c r="L470" s="358"/>
      <c r="M470" s="359"/>
      <c r="N470" s="357"/>
      <c r="O470" s="358"/>
      <c r="P470" s="359"/>
      <c r="Q470" s="360"/>
      <c r="R470" s="361"/>
      <c r="S470" s="361"/>
      <c r="T470" s="361"/>
      <c r="U470" s="361"/>
      <c r="V470" s="362"/>
      <c r="W470" s="360"/>
      <c r="X470" s="361"/>
      <c r="Y470" s="361"/>
      <c r="Z470" s="361"/>
      <c r="AA470" s="361"/>
      <c r="AB470" s="362"/>
      <c r="AC470" s="399">
        <v>500</v>
      </c>
      <c r="AD470" s="400"/>
      <c r="AE470" s="401"/>
    </row>
    <row r="471" spans="1:31" ht="14.45" customHeight="1" x14ac:dyDescent="0.25">
      <c r="A471" s="331" t="s">
        <v>142</v>
      </c>
      <c r="B471" s="342" t="s">
        <v>736</v>
      </c>
      <c r="C471" s="343"/>
      <c r="D471" s="343"/>
      <c r="E471" s="343"/>
      <c r="F471" s="343"/>
      <c r="G471" s="343"/>
      <c r="H471" s="343"/>
      <c r="I471" s="343"/>
      <c r="J471" s="343"/>
      <c r="K471" s="343"/>
      <c r="L471" s="343"/>
      <c r="M471" s="344"/>
      <c r="N471" s="342" t="s">
        <v>154</v>
      </c>
      <c r="O471" s="343"/>
      <c r="P471" s="344"/>
      <c r="Q471" s="345">
        <v>1</v>
      </c>
      <c r="R471" s="346"/>
      <c r="S471" s="346"/>
      <c r="T471" s="346"/>
      <c r="U471" s="346"/>
      <c r="V471" s="347"/>
      <c r="W471" s="372">
        <v>500</v>
      </c>
      <c r="X471" s="373"/>
      <c r="Y471" s="373"/>
      <c r="Z471" s="373"/>
      <c r="AA471" s="373"/>
      <c r="AB471" s="374"/>
      <c r="AC471" s="375">
        <v>500</v>
      </c>
      <c r="AD471" s="376"/>
      <c r="AE471" s="377"/>
    </row>
    <row r="472" spans="1:31" ht="14.45" customHeight="1" x14ac:dyDescent="0.25">
      <c r="A472" s="330" t="s">
        <v>737</v>
      </c>
      <c r="B472" s="357" t="s">
        <v>738</v>
      </c>
      <c r="C472" s="358"/>
      <c r="D472" s="358"/>
      <c r="E472" s="358"/>
      <c r="F472" s="358"/>
      <c r="G472" s="358"/>
      <c r="H472" s="358"/>
      <c r="I472" s="358"/>
      <c r="J472" s="358"/>
      <c r="K472" s="358"/>
      <c r="L472" s="358"/>
      <c r="M472" s="359"/>
      <c r="N472" s="357"/>
      <c r="O472" s="358"/>
      <c r="P472" s="359"/>
      <c r="Q472" s="360"/>
      <c r="R472" s="361"/>
      <c r="S472" s="361"/>
      <c r="T472" s="361"/>
      <c r="U472" s="361"/>
      <c r="V472" s="362"/>
      <c r="W472" s="360"/>
      <c r="X472" s="361"/>
      <c r="Y472" s="361"/>
      <c r="Z472" s="361"/>
      <c r="AA472" s="361"/>
      <c r="AB472" s="362"/>
      <c r="AC472" s="396">
        <v>1224705.8799999999</v>
      </c>
      <c r="AD472" s="397"/>
      <c r="AE472" s="398"/>
    </row>
    <row r="473" spans="1:31" ht="14.45" customHeight="1" x14ac:dyDescent="0.25">
      <c r="A473" s="330" t="s">
        <v>739</v>
      </c>
      <c r="B473" s="357" t="s">
        <v>740</v>
      </c>
      <c r="C473" s="358"/>
      <c r="D473" s="358"/>
      <c r="E473" s="358"/>
      <c r="F473" s="358"/>
      <c r="G473" s="358"/>
      <c r="H473" s="358"/>
      <c r="I473" s="358"/>
      <c r="J473" s="358"/>
      <c r="K473" s="358"/>
      <c r="L473" s="358"/>
      <c r="M473" s="359"/>
      <c r="N473" s="357"/>
      <c r="O473" s="358"/>
      <c r="P473" s="359"/>
      <c r="Q473" s="360"/>
      <c r="R473" s="361"/>
      <c r="S473" s="361"/>
      <c r="T473" s="361"/>
      <c r="U473" s="361"/>
      <c r="V473" s="362"/>
      <c r="W473" s="360"/>
      <c r="X473" s="361"/>
      <c r="Y473" s="361"/>
      <c r="Z473" s="361"/>
      <c r="AA473" s="361"/>
      <c r="AB473" s="362"/>
      <c r="AC473" s="384">
        <v>862560</v>
      </c>
      <c r="AD473" s="385"/>
      <c r="AE473" s="386"/>
    </row>
    <row r="474" spans="1:31" ht="14.45" customHeight="1" x14ac:dyDescent="0.25">
      <c r="A474" s="331" t="s">
        <v>741</v>
      </c>
      <c r="B474" s="342" t="s">
        <v>742</v>
      </c>
      <c r="C474" s="343"/>
      <c r="D474" s="343"/>
      <c r="E474" s="343"/>
      <c r="F474" s="343"/>
      <c r="G474" s="343"/>
      <c r="H474" s="343"/>
      <c r="I474" s="343"/>
      <c r="J474" s="343"/>
      <c r="K474" s="343"/>
      <c r="L474" s="343"/>
      <c r="M474" s="344"/>
      <c r="N474" s="342" t="s">
        <v>678</v>
      </c>
      <c r="O474" s="343"/>
      <c r="P474" s="344"/>
      <c r="Q474" s="381">
        <v>40</v>
      </c>
      <c r="R474" s="382"/>
      <c r="S474" s="382"/>
      <c r="T474" s="382"/>
      <c r="U474" s="382"/>
      <c r="V474" s="383"/>
      <c r="W474" s="363">
        <v>9500</v>
      </c>
      <c r="X474" s="364"/>
      <c r="Y474" s="364"/>
      <c r="Z474" s="364"/>
      <c r="AA474" s="364"/>
      <c r="AB474" s="365"/>
      <c r="AC474" s="393">
        <v>380000</v>
      </c>
      <c r="AD474" s="394"/>
      <c r="AE474" s="395"/>
    </row>
    <row r="475" spans="1:31" ht="14.45" customHeight="1" x14ac:dyDescent="0.25">
      <c r="A475" s="331" t="s">
        <v>743</v>
      </c>
      <c r="B475" s="342" t="s">
        <v>744</v>
      </c>
      <c r="C475" s="343"/>
      <c r="D475" s="343"/>
      <c r="E475" s="343"/>
      <c r="F475" s="343"/>
      <c r="G475" s="343"/>
      <c r="H475" s="343"/>
      <c r="I475" s="343"/>
      <c r="J475" s="343"/>
      <c r="K475" s="343"/>
      <c r="L475" s="343"/>
      <c r="M475" s="344"/>
      <c r="N475" s="342" t="s">
        <v>678</v>
      </c>
      <c r="O475" s="343"/>
      <c r="P475" s="344"/>
      <c r="Q475" s="381">
        <v>40</v>
      </c>
      <c r="R475" s="382"/>
      <c r="S475" s="382"/>
      <c r="T475" s="382"/>
      <c r="U475" s="382"/>
      <c r="V475" s="383"/>
      <c r="W475" s="363">
        <v>6500</v>
      </c>
      <c r="X475" s="364"/>
      <c r="Y475" s="364"/>
      <c r="Z475" s="364"/>
      <c r="AA475" s="364"/>
      <c r="AB475" s="365"/>
      <c r="AC475" s="393">
        <v>260000</v>
      </c>
      <c r="AD475" s="394"/>
      <c r="AE475" s="395"/>
    </row>
    <row r="476" spans="1:31" ht="14.45" customHeight="1" x14ac:dyDescent="0.25">
      <c r="A476" s="331" t="s">
        <v>745</v>
      </c>
      <c r="B476" s="342" t="s">
        <v>746</v>
      </c>
      <c r="C476" s="343"/>
      <c r="D476" s="343"/>
      <c r="E476" s="343"/>
      <c r="F476" s="343"/>
      <c r="G476" s="343"/>
      <c r="H476" s="343"/>
      <c r="I476" s="343"/>
      <c r="J476" s="343"/>
      <c r="K476" s="343"/>
      <c r="L476" s="343"/>
      <c r="M476" s="344"/>
      <c r="N476" s="342" t="s">
        <v>678</v>
      </c>
      <c r="O476" s="343"/>
      <c r="P476" s="344"/>
      <c r="Q476" s="381">
        <v>40</v>
      </c>
      <c r="R476" s="382"/>
      <c r="S476" s="382"/>
      <c r="T476" s="382"/>
      <c r="U476" s="382"/>
      <c r="V476" s="383"/>
      <c r="W476" s="363">
        <v>5000</v>
      </c>
      <c r="X476" s="364"/>
      <c r="Y476" s="364"/>
      <c r="Z476" s="364"/>
      <c r="AA476" s="364"/>
      <c r="AB476" s="365"/>
      <c r="AC476" s="393">
        <v>200000</v>
      </c>
      <c r="AD476" s="394"/>
      <c r="AE476" s="395"/>
    </row>
    <row r="477" spans="1:31" ht="14.45" customHeight="1" x14ac:dyDescent="0.25">
      <c r="A477" s="331" t="s">
        <v>747</v>
      </c>
      <c r="B477" s="342" t="s">
        <v>748</v>
      </c>
      <c r="C477" s="343"/>
      <c r="D477" s="343"/>
      <c r="E477" s="343"/>
      <c r="F477" s="343"/>
      <c r="G477" s="343"/>
      <c r="H477" s="343"/>
      <c r="I477" s="343"/>
      <c r="J477" s="343"/>
      <c r="K477" s="343"/>
      <c r="L477" s="343"/>
      <c r="M477" s="344"/>
      <c r="N477" s="342" t="s">
        <v>678</v>
      </c>
      <c r="O477" s="343"/>
      <c r="P477" s="344"/>
      <c r="Q477" s="381">
        <v>40</v>
      </c>
      <c r="R477" s="382"/>
      <c r="S477" s="382"/>
      <c r="T477" s="382"/>
      <c r="U477" s="382"/>
      <c r="V477" s="383"/>
      <c r="W477" s="372">
        <v>564</v>
      </c>
      <c r="X477" s="373"/>
      <c r="Y477" s="373"/>
      <c r="Z477" s="373"/>
      <c r="AA477" s="373"/>
      <c r="AB477" s="374"/>
      <c r="AC477" s="336">
        <v>22560</v>
      </c>
      <c r="AD477" s="337"/>
      <c r="AE477" s="338"/>
    </row>
    <row r="478" spans="1:31" ht="14.45" customHeight="1" x14ac:dyDescent="0.25">
      <c r="A478" s="330" t="s">
        <v>749</v>
      </c>
      <c r="B478" s="357" t="s">
        <v>750</v>
      </c>
      <c r="C478" s="358"/>
      <c r="D478" s="358"/>
      <c r="E478" s="358"/>
      <c r="F478" s="358"/>
      <c r="G478" s="358"/>
      <c r="H478" s="358"/>
      <c r="I478" s="358"/>
      <c r="J478" s="358"/>
      <c r="K478" s="358"/>
      <c r="L478" s="358"/>
      <c r="M478" s="359"/>
      <c r="N478" s="357"/>
      <c r="O478" s="358"/>
      <c r="P478" s="359"/>
      <c r="Q478" s="360"/>
      <c r="R478" s="361"/>
      <c r="S478" s="361"/>
      <c r="T478" s="361"/>
      <c r="U478" s="361"/>
      <c r="V478" s="362"/>
      <c r="W478" s="360"/>
      <c r="X478" s="361"/>
      <c r="Y478" s="361"/>
      <c r="Z478" s="361"/>
      <c r="AA478" s="361"/>
      <c r="AB478" s="362"/>
      <c r="AC478" s="390">
        <v>2913.03</v>
      </c>
      <c r="AD478" s="391"/>
      <c r="AE478" s="392"/>
    </row>
    <row r="479" spans="1:31" ht="14.45" customHeight="1" x14ac:dyDescent="0.25">
      <c r="A479" s="331" t="s">
        <v>751</v>
      </c>
      <c r="B479" s="342" t="s">
        <v>752</v>
      </c>
      <c r="C479" s="343"/>
      <c r="D479" s="343"/>
      <c r="E479" s="343"/>
      <c r="F479" s="343"/>
      <c r="G479" s="343"/>
      <c r="H479" s="343"/>
      <c r="I479" s="343"/>
      <c r="J479" s="343"/>
      <c r="K479" s="343"/>
      <c r="L479" s="343"/>
      <c r="M479" s="344"/>
      <c r="N479" s="342" t="s">
        <v>154</v>
      </c>
      <c r="O479" s="343"/>
      <c r="P479" s="344"/>
      <c r="Q479" s="345">
        <v>1</v>
      </c>
      <c r="R479" s="346"/>
      <c r="S479" s="346"/>
      <c r="T479" s="346"/>
      <c r="U479" s="346"/>
      <c r="V479" s="347"/>
      <c r="W479" s="363">
        <v>2913.03</v>
      </c>
      <c r="X479" s="364"/>
      <c r="Y479" s="364"/>
      <c r="Z479" s="364"/>
      <c r="AA479" s="364"/>
      <c r="AB479" s="365"/>
      <c r="AC479" s="366">
        <v>2913.03</v>
      </c>
      <c r="AD479" s="367"/>
      <c r="AE479" s="368"/>
    </row>
    <row r="480" spans="1:31" ht="14.45" customHeight="1" x14ac:dyDescent="0.25">
      <c r="A480" s="330" t="s">
        <v>753</v>
      </c>
      <c r="B480" s="357" t="s">
        <v>754</v>
      </c>
      <c r="C480" s="358"/>
      <c r="D480" s="358"/>
      <c r="E480" s="358"/>
      <c r="F480" s="358"/>
      <c r="G480" s="358"/>
      <c r="H480" s="358"/>
      <c r="I480" s="358"/>
      <c r="J480" s="358"/>
      <c r="K480" s="358"/>
      <c r="L480" s="358"/>
      <c r="M480" s="359"/>
      <c r="N480" s="357"/>
      <c r="O480" s="358"/>
      <c r="P480" s="359"/>
      <c r="Q480" s="360"/>
      <c r="R480" s="361"/>
      <c r="S480" s="361"/>
      <c r="T480" s="361"/>
      <c r="U480" s="361"/>
      <c r="V480" s="362"/>
      <c r="W480" s="360"/>
      <c r="X480" s="361"/>
      <c r="Y480" s="361"/>
      <c r="Z480" s="361"/>
      <c r="AA480" s="361"/>
      <c r="AB480" s="362"/>
      <c r="AC480" s="384">
        <v>282000.24</v>
      </c>
      <c r="AD480" s="385"/>
      <c r="AE480" s="386"/>
    </row>
    <row r="481" spans="1:31" ht="14.45" customHeight="1" x14ac:dyDescent="0.25">
      <c r="A481" s="331" t="s">
        <v>755</v>
      </c>
      <c r="B481" s="342" t="s">
        <v>756</v>
      </c>
      <c r="C481" s="343"/>
      <c r="D481" s="343"/>
      <c r="E481" s="343"/>
      <c r="F481" s="343"/>
      <c r="G481" s="343"/>
      <c r="H481" s="343"/>
      <c r="I481" s="343"/>
      <c r="J481" s="343"/>
      <c r="K481" s="343"/>
      <c r="L481" s="343"/>
      <c r="M481" s="344"/>
      <c r="N481" s="342" t="s">
        <v>678</v>
      </c>
      <c r="O481" s="343"/>
      <c r="P481" s="344"/>
      <c r="Q481" s="381">
        <v>40</v>
      </c>
      <c r="R481" s="382"/>
      <c r="S481" s="382"/>
      <c r="T481" s="382"/>
      <c r="U481" s="382"/>
      <c r="V481" s="383"/>
      <c r="W481" s="372">
        <v>775.61</v>
      </c>
      <c r="X481" s="373"/>
      <c r="Y481" s="373"/>
      <c r="Z481" s="373"/>
      <c r="AA481" s="373"/>
      <c r="AB481" s="374"/>
      <c r="AC481" s="336">
        <v>31024.400000000001</v>
      </c>
      <c r="AD481" s="337"/>
      <c r="AE481" s="338"/>
    </row>
    <row r="482" spans="1:31" ht="14.45" customHeight="1" x14ac:dyDescent="0.25">
      <c r="A482" s="331" t="s">
        <v>757</v>
      </c>
      <c r="B482" s="342" t="s">
        <v>758</v>
      </c>
      <c r="C482" s="343"/>
      <c r="D482" s="343"/>
      <c r="E482" s="343"/>
      <c r="F482" s="343"/>
      <c r="G482" s="343"/>
      <c r="H482" s="343"/>
      <c r="I482" s="343"/>
      <c r="J482" s="343"/>
      <c r="K482" s="343"/>
      <c r="L482" s="343"/>
      <c r="M482" s="344"/>
      <c r="N482" s="342" t="s">
        <v>678</v>
      </c>
      <c r="O482" s="343"/>
      <c r="P482" s="344"/>
      <c r="Q482" s="381">
        <v>40</v>
      </c>
      <c r="R482" s="382"/>
      <c r="S482" s="382"/>
      <c r="T482" s="382"/>
      <c r="U482" s="382"/>
      <c r="V482" s="383"/>
      <c r="W482" s="363">
        <v>1290.74</v>
      </c>
      <c r="X482" s="364"/>
      <c r="Y482" s="364"/>
      <c r="Z482" s="364"/>
      <c r="AA482" s="364"/>
      <c r="AB482" s="365"/>
      <c r="AC482" s="336">
        <v>51629.599999999999</v>
      </c>
      <c r="AD482" s="337"/>
      <c r="AE482" s="338"/>
    </row>
    <row r="483" spans="1:31" ht="14.45" customHeight="1" x14ac:dyDescent="0.25">
      <c r="A483" s="331" t="s">
        <v>759</v>
      </c>
      <c r="B483" s="342" t="s">
        <v>760</v>
      </c>
      <c r="C483" s="343"/>
      <c r="D483" s="343"/>
      <c r="E483" s="343"/>
      <c r="F483" s="343"/>
      <c r="G483" s="343"/>
      <c r="H483" s="343"/>
      <c r="I483" s="343"/>
      <c r="J483" s="343"/>
      <c r="K483" s="343"/>
      <c r="L483" s="343"/>
      <c r="M483" s="344"/>
      <c r="N483" s="342" t="s">
        <v>678</v>
      </c>
      <c r="O483" s="343"/>
      <c r="P483" s="344"/>
      <c r="Q483" s="381">
        <v>40</v>
      </c>
      <c r="R483" s="382"/>
      <c r="S483" s="382"/>
      <c r="T483" s="382"/>
      <c r="U483" s="382"/>
      <c r="V483" s="383"/>
      <c r="W483" s="372">
        <v>150</v>
      </c>
      <c r="X483" s="373"/>
      <c r="Y483" s="373"/>
      <c r="Z483" s="373"/>
      <c r="AA483" s="373"/>
      <c r="AB483" s="374"/>
      <c r="AC483" s="366">
        <v>6000</v>
      </c>
      <c r="AD483" s="367"/>
      <c r="AE483" s="368"/>
    </row>
    <row r="484" spans="1:31" ht="14.45" customHeight="1" x14ac:dyDescent="0.25">
      <c r="A484" s="331" t="s">
        <v>761</v>
      </c>
      <c r="B484" s="342" t="s">
        <v>762</v>
      </c>
      <c r="C484" s="343"/>
      <c r="D484" s="343"/>
      <c r="E484" s="343"/>
      <c r="F484" s="343"/>
      <c r="G484" s="343"/>
      <c r="H484" s="343"/>
      <c r="I484" s="343"/>
      <c r="J484" s="343"/>
      <c r="K484" s="343"/>
      <c r="L484" s="343"/>
      <c r="M484" s="344"/>
      <c r="N484" s="342" t="s">
        <v>678</v>
      </c>
      <c r="O484" s="343"/>
      <c r="P484" s="344"/>
      <c r="Q484" s="381">
        <v>40</v>
      </c>
      <c r="R484" s="382"/>
      <c r="S484" s="382"/>
      <c r="T484" s="382"/>
      <c r="U484" s="382"/>
      <c r="V484" s="383"/>
      <c r="W484" s="363">
        <v>2300</v>
      </c>
      <c r="X484" s="364"/>
      <c r="Y484" s="364"/>
      <c r="Z484" s="364"/>
      <c r="AA484" s="364"/>
      <c r="AB484" s="365"/>
      <c r="AC484" s="336">
        <v>92000</v>
      </c>
      <c r="AD484" s="337"/>
      <c r="AE484" s="338"/>
    </row>
    <row r="485" spans="1:31" ht="14.45" customHeight="1" x14ac:dyDescent="0.25">
      <c r="A485" s="331" t="s">
        <v>763</v>
      </c>
      <c r="B485" s="342" t="s">
        <v>764</v>
      </c>
      <c r="C485" s="343"/>
      <c r="D485" s="343"/>
      <c r="E485" s="343"/>
      <c r="F485" s="343"/>
      <c r="G485" s="343"/>
      <c r="H485" s="343"/>
      <c r="I485" s="343"/>
      <c r="J485" s="343"/>
      <c r="K485" s="343"/>
      <c r="L485" s="343"/>
      <c r="M485" s="344"/>
      <c r="N485" s="342" t="s">
        <v>678</v>
      </c>
      <c r="O485" s="343"/>
      <c r="P485" s="344"/>
      <c r="Q485" s="381">
        <v>40</v>
      </c>
      <c r="R485" s="382"/>
      <c r="S485" s="382"/>
      <c r="T485" s="382"/>
      <c r="U485" s="382"/>
      <c r="V485" s="383"/>
      <c r="W485" s="372">
        <v>400</v>
      </c>
      <c r="X485" s="373"/>
      <c r="Y485" s="373"/>
      <c r="Z485" s="373"/>
      <c r="AA485" s="373"/>
      <c r="AB485" s="374"/>
      <c r="AC485" s="336">
        <v>16000</v>
      </c>
      <c r="AD485" s="337"/>
      <c r="AE485" s="338"/>
    </row>
    <row r="486" spans="1:31" ht="14.45" customHeight="1" x14ac:dyDescent="0.25">
      <c r="A486" s="331" t="s">
        <v>765</v>
      </c>
      <c r="B486" s="342" t="s">
        <v>766</v>
      </c>
      <c r="C486" s="343"/>
      <c r="D486" s="343"/>
      <c r="E486" s="343"/>
      <c r="F486" s="343"/>
      <c r="G486" s="343"/>
      <c r="H486" s="343"/>
      <c r="I486" s="343"/>
      <c r="J486" s="343"/>
      <c r="K486" s="343"/>
      <c r="L486" s="343"/>
      <c r="M486" s="344"/>
      <c r="N486" s="342" t="s">
        <v>678</v>
      </c>
      <c r="O486" s="343"/>
      <c r="P486" s="344"/>
      <c r="Q486" s="381">
        <v>40</v>
      </c>
      <c r="R486" s="382"/>
      <c r="S486" s="382"/>
      <c r="T486" s="382"/>
      <c r="U486" s="382"/>
      <c r="V486" s="383"/>
      <c r="W486" s="372">
        <v>500</v>
      </c>
      <c r="X486" s="373"/>
      <c r="Y486" s="373"/>
      <c r="Z486" s="373"/>
      <c r="AA486" s="373"/>
      <c r="AB486" s="374"/>
      <c r="AC486" s="336">
        <v>20000</v>
      </c>
      <c r="AD486" s="337"/>
      <c r="AE486" s="338"/>
    </row>
    <row r="487" spans="1:31" ht="14.45" customHeight="1" x14ac:dyDescent="0.25">
      <c r="A487" s="331" t="s">
        <v>767</v>
      </c>
      <c r="B487" s="342" t="s">
        <v>768</v>
      </c>
      <c r="C487" s="343"/>
      <c r="D487" s="343"/>
      <c r="E487" s="343"/>
      <c r="F487" s="343"/>
      <c r="G487" s="343"/>
      <c r="H487" s="343"/>
      <c r="I487" s="343"/>
      <c r="J487" s="343"/>
      <c r="K487" s="343"/>
      <c r="L487" s="343"/>
      <c r="M487" s="344"/>
      <c r="N487" s="342" t="s">
        <v>678</v>
      </c>
      <c r="O487" s="343"/>
      <c r="P487" s="344"/>
      <c r="Q487" s="381">
        <v>40</v>
      </c>
      <c r="R487" s="382"/>
      <c r="S487" s="382"/>
      <c r="T487" s="382"/>
      <c r="U487" s="382"/>
      <c r="V487" s="383"/>
      <c r="W487" s="372">
        <v>246.79</v>
      </c>
      <c r="X487" s="373"/>
      <c r="Y487" s="373"/>
      <c r="Z487" s="373"/>
      <c r="AA487" s="373"/>
      <c r="AB487" s="374"/>
      <c r="AC487" s="366">
        <v>9871.6</v>
      </c>
      <c r="AD487" s="367"/>
      <c r="AE487" s="368"/>
    </row>
    <row r="488" spans="1:31" ht="14.45" customHeight="1" x14ac:dyDescent="0.25">
      <c r="A488" s="331" t="s">
        <v>769</v>
      </c>
      <c r="B488" s="342" t="s">
        <v>770</v>
      </c>
      <c r="C488" s="343"/>
      <c r="D488" s="343"/>
      <c r="E488" s="343"/>
      <c r="F488" s="343"/>
      <c r="G488" s="343"/>
      <c r="H488" s="343"/>
      <c r="I488" s="343"/>
      <c r="J488" s="343"/>
      <c r="K488" s="343"/>
      <c r="L488" s="343"/>
      <c r="M488" s="344"/>
      <c r="N488" s="342" t="s">
        <v>678</v>
      </c>
      <c r="O488" s="343"/>
      <c r="P488" s="344"/>
      <c r="Q488" s="381">
        <v>40</v>
      </c>
      <c r="R488" s="382"/>
      <c r="S488" s="382"/>
      <c r="T488" s="382"/>
      <c r="U488" s="382"/>
      <c r="V488" s="383"/>
      <c r="W488" s="372">
        <v>176.28</v>
      </c>
      <c r="X488" s="373"/>
      <c r="Y488" s="373"/>
      <c r="Z488" s="373"/>
      <c r="AA488" s="373"/>
      <c r="AB488" s="374"/>
      <c r="AC488" s="366">
        <v>7051.2</v>
      </c>
      <c r="AD488" s="367"/>
      <c r="AE488" s="368"/>
    </row>
    <row r="489" spans="1:31" ht="14.45" customHeight="1" x14ac:dyDescent="0.25">
      <c r="A489" s="331" t="s">
        <v>771</v>
      </c>
      <c r="B489" s="342" t="s">
        <v>772</v>
      </c>
      <c r="C489" s="343"/>
      <c r="D489" s="343"/>
      <c r="E489" s="343"/>
      <c r="F489" s="343"/>
      <c r="G489" s="343"/>
      <c r="H489" s="343"/>
      <c r="I489" s="343"/>
      <c r="J489" s="343"/>
      <c r="K489" s="343"/>
      <c r="L489" s="343"/>
      <c r="M489" s="344"/>
      <c r="N489" s="342" t="s">
        <v>678</v>
      </c>
      <c r="O489" s="343"/>
      <c r="P489" s="344"/>
      <c r="Q489" s="381">
        <v>40</v>
      </c>
      <c r="R489" s="382"/>
      <c r="S489" s="382"/>
      <c r="T489" s="382"/>
      <c r="U489" s="382"/>
      <c r="V489" s="383"/>
      <c r="W489" s="381">
        <v>84.61</v>
      </c>
      <c r="X489" s="382"/>
      <c r="Y489" s="382"/>
      <c r="Z489" s="382"/>
      <c r="AA489" s="382"/>
      <c r="AB489" s="383"/>
      <c r="AC489" s="366">
        <v>3384.4</v>
      </c>
      <c r="AD489" s="367"/>
      <c r="AE489" s="368"/>
    </row>
    <row r="490" spans="1:31" ht="14.45" customHeight="1" x14ac:dyDescent="0.25">
      <c r="A490" s="331" t="s">
        <v>773</v>
      </c>
      <c r="B490" s="342" t="s">
        <v>774</v>
      </c>
      <c r="C490" s="343"/>
      <c r="D490" s="343"/>
      <c r="E490" s="343"/>
      <c r="F490" s="343"/>
      <c r="G490" s="343"/>
      <c r="H490" s="343"/>
      <c r="I490" s="343"/>
      <c r="J490" s="343"/>
      <c r="K490" s="343"/>
      <c r="L490" s="343"/>
      <c r="M490" s="344"/>
      <c r="N490" s="342" t="s">
        <v>678</v>
      </c>
      <c r="O490" s="343"/>
      <c r="P490" s="344"/>
      <c r="Q490" s="381">
        <v>40</v>
      </c>
      <c r="R490" s="382"/>
      <c r="S490" s="382"/>
      <c r="T490" s="382"/>
      <c r="U490" s="382"/>
      <c r="V490" s="383"/>
      <c r="W490" s="372">
        <v>105.77</v>
      </c>
      <c r="X490" s="373"/>
      <c r="Y490" s="373"/>
      <c r="Z490" s="373"/>
      <c r="AA490" s="373"/>
      <c r="AB490" s="374"/>
      <c r="AC490" s="366">
        <v>4230.8</v>
      </c>
      <c r="AD490" s="367"/>
      <c r="AE490" s="368"/>
    </row>
    <row r="491" spans="1:31" ht="14.45" customHeight="1" x14ac:dyDescent="0.25">
      <c r="A491" s="331" t="s">
        <v>775</v>
      </c>
      <c r="B491" s="342" t="s">
        <v>776</v>
      </c>
      <c r="C491" s="343"/>
      <c r="D491" s="343"/>
      <c r="E491" s="343"/>
      <c r="F491" s="343"/>
      <c r="G491" s="343"/>
      <c r="H491" s="343"/>
      <c r="I491" s="343"/>
      <c r="J491" s="343"/>
      <c r="K491" s="343"/>
      <c r="L491" s="343"/>
      <c r="M491" s="344"/>
      <c r="N491" s="342" t="s">
        <v>154</v>
      </c>
      <c r="O491" s="343"/>
      <c r="P491" s="344"/>
      <c r="Q491" s="345">
        <v>1</v>
      </c>
      <c r="R491" s="346"/>
      <c r="S491" s="346"/>
      <c r="T491" s="346"/>
      <c r="U491" s="346"/>
      <c r="V491" s="347"/>
      <c r="W491" s="348">
        <v>27000</v>
      </c>
      <c r="X491" s="349"/>
      <c r="Y491" s="349"/>
      <c r="Z491" s="349"/>
      <c r="AA491" s="349"/>
      <c r="AB491" s="350"/>
      <c r="AC491" s="336">
        <v>27000</v>
      </c>
      <c r="AD491" s="337"/>
      <c r="AE491" s="338"/>
    </row>
    <row r="492" spans="1:31" ht="14.45" customHeight="1" x14ac:dyDescent="0.25">
      <c r="A492" s="331" t="s">
        <v>777</v>
      </c>
      <c r="B492" s="342" t="s">
        <v>778</v>
      </c>
      <c r="C492" s="343"/>
      <c r="D492" s="343"/>
      <c r="E492" s="343"/>
      <c r="F492" s="343"/>
      <c r="G492" s="343"/>
      <c r="H492" s="343"/>
      <c r="I492" s="343"/>
      <c r="J492" s="343"/>
      <c r="K492" s="343"/>
      <c r="L492" s="343"/>
      <c r="M492" s="344"/>
      <c r="N492" s="342" t="s">
        <v>154</v>
      </c>
      <c r="O492" s="343"/>
      <c r="P492" s="344"/>
      <c r="Q492" s="345">
        <v>1</v>
      </c>
      <c r="R492" s="346"/>
      <c r="S492" s="346"/>
      <c r="T492" s="346"/>
      <c r="U492" s="346"/>
      <c r="V492" s="347"/>
      <c r="W492" s="348">
        <v>13808.24</v>
      </c>
      <c r="X492" s="349"/>
      <c r="Y492" s="349"/>
      <c r="Z492" s="349"/>
      <c r="AA492" s="349"/>
      <c r="AB492" s="350"/>
      <c r="AC492" s="336">
        <v>13808.24</v>
      </c>
      <c r="AD492" s="337"/>
      <c r="AE492" s="338"/>
    </row>
    <row r="493" spans="1:31" ht="14.45" customHeight="1" x14ac:dyDescent="0.25">
      <c r="A493" s="330" t="s">
        <v>779</v>
      </c>
      <c r="B493" s="357" t="s">
        <v>780</v>
      </c>
      <c r="C493" s="358"/>
      <c r="D493" s="358"/>
      <c r="E493" s="358"/>
      <c r="F493" s="358"/>
      <c r="G493" s="358"/>
      <c r="H493" s="358"/>
      <c r="I493" s="358"/>
      <c r="J493" s="358"/>
      <c r="K493" s="358"/>
      <c r="L493" s="358"/>
      <c r="M493" s="359"/>
      <c r="N493" s="357"/>
      <c r="O493" s="358"/>
      <c r="P493" s="359"/>
      <c r="Q493" s="360"/>
      <c r="R493" s="361"/>
      <c r="S493" s="361"/>
      <c r="T493" s="361"/>
      <c r="U493" s="361"/>
      <c r="V493" s="362"/>
      <c r="W493" s="360"/>
      <c r="X493" s="361"/>
      <c r="Y493" s="361"/>
      <c r="Z493" s="361"/>
      <c r="AA493" s="361"/>
      <c r="AB493" s="362"/>
      <c r="AC493" s="354">
        <v>49060.04</v>
      </c>
      <c r="AD493" s="355"/>
      <c r="AE493" s="356"/>
    </row>
    <row r="494" spans="1:31" ht="14.45" customHeight="1" x14ac:dyDescent="0.25">
      <c r="A494" s="331" t="s">
        <v>781</v>
      </c>
      <c r="B494" s="342" t="s">
        <v>782</v>
      </c>
      <c r="C494" s="343"/>
      <c r="D494" s="343"/>
      <c r="E494" s="343"/>
      <c r="F494" s="343"/>
      <c r="G494" s="343"/>
      <c r="H494" s="343"/>
      <c r="I494" s="343"/>
      <c r="J494" s="343"/>
      <c r="K494" s="343"/>
      <c r="L494" s="343"/>
      <c r="M494" s="344"/>
      <c r="N494" s="342" t="s">
        <v>678</v>
      </c>
      <c r="O494" s="343"/>
      <c r="P494" s="344"/>
      <c r="Q494" s="345">
        <v>6</v>
      </c>
      <c r="R494" s="346"/>
      <c r="S494" s="346"/>
      <c r="T494" s="346"/>
      <c r="U494" s="346"/>
      <c r="V494" s="347"/>
      <c r="W494" s="363">
        <v>1269.18</v>
      </c>
      <c r="X494" s="364"/>
      <c r="Y494" s="364"/>
      <c r="Z494" s="364"/>
      <c r="AA494" s="364"/>
      <c r="AB494" s="365"/>
      <c r="AC494" s="366">
        <v>7615.08</v>
      </c>
      <c r="AD494" s="367"/>
      <c r="AE494" s="368"/>
    </row>
    <row r="495" spans="1:31" ht="14.45" customHeight="1" x14ac:dyDescent="0.25">
      <c r="A495" s="331" t="s">
        <v>783</v>
      </c>
      <c r="B495" s="342" t="s">
        <v>784</v>
      </c>
      <c r="C495" s="343"/>
      <c r="D495" s="343"/>
      <c r="E495" s="343"/>
      <c r="F495" s="343"/>
      <c r="G495" s="343"/>
      <c r="H495" s="343"/>
      <c r="I495" s="343"/>
      <c r="J495" s="343"/>
      <c r="K495" s="343"/>
      <c r="L495" s="343"/>
      <c r="M495" s="344"/>
      <c r="N495" s="342" t="s">
        <v>678</v>
      </c>
      <c r="O495" s="343"/>
      <c r="P495" s="344"/>
      <c r="Q495" s="345">
        <v>1</v>
      </c>
      <c r="R495" s="346"/>
      <c r="S495" s="346"/>
      <c r="T495" s="346"/>
      <c r="U495" s="346"/>
      <c r="V495" s="347"/>
      <c r="W495" s="363">
        <v>1208.4100000000001</v>
      </c>
      <c r="X495" s="364"/>
      <c r="Y495" s="364"/>
      <c r="Z495" s="364"/>
      <c r="AA495" s="364"/>
      <c r="AB495" s="365"/>
      <c r="AC495" s="366">
        <v>1208.4100000000001</v>
      </c>
      <c r="AD495" s="367"/>
      <c r="AE495" s="368"/>
    </row>
    <row r="496" spans="1:31" ht="14.45" customHeight="1" x14ac:dyDescent="0.25">
      <c r="A496" s="331" t="s">
        <v>785</v>
      </c>
      <c r="B496" s="342" t="s">
        <v>786</v>
      </c>
      <c r="C496" s="343"/>
      <c r="D496" s="343"/>
      <c r="E496" s="343"/>
      <c r="F496" s="343"/>
      <c r="G496" s="343"/>
      <c r="H496" s="343"/>
      <c r="I496" s="343"/>
      <c r="J496" s="343"/>
      <c r="K496" s="343"/>
      <c r="L496" s="343"/>
      <c r="M496" s="344"/>
      <c r="N496" s="342" t="s">
        <v>154</v>
      </c>
      <c r="O496" s="343"/>
      <c r="P496" s="344"/>
      <c r="Q496" s="345">
        <v>1</v>
      </c>
      <c r="R496" s="346"/>
      <c r="S496" s="346"/>
      <c r="T496" s="346"/>
      <c r="U496" s="346"/>
      <c r="V496" s="347"/>
      <c r="W496" s="348">
        <v>14000</v>
      </c>
      <c r="X496" s="349"/>
      <c r="Y496" s="349"/>
      <c r="Z496" s="349"/>
      <c r="AA496" s="349"/>
      <c r="AB496" s="350"/>
      <c r="AC496" s="336">
        <v>14000</v>
      </c>
      <c r="AD496" s="337"/>
      <c r="AE496" s="338"/>
    </row>
    <row r="497" spans="1:35" ht="14.45" customHeight="1" x14ac:dyDescent="0.25">
      <c r="A497" s="331" t="s">
        <v>787</v>
      </c>
      <c r="B497" s="342" t="s">
        <v>788</v>
      </c>
      <c r="C497" s="343"/>
      <c r="D497" s="343"/>
      <c r="E497" s="343"/>
      <c r="F497" s="343"/>
      <c r="G497" s="343"/>
      <c r="H497" s="343"/>
      <c r="I497" s="343"/>
      <c r="J497" s="343"/>
      <c r="K497" s="343"/>
      <c r="L497" s="343"/>
      <c r="M497" s="344"/>
      <c r="N497" s="342" t="s">
        <v>154</v>
      </c>
      <c r="O497" s="343"/>
      <c r="P497" s="344"/>
      <c r="Q497" s="345">
        <v>1</v>
      </c>
      <c r="R497" s="346"/>
      <c r="S497" s="346"/>
      <c r="T497" s="346"/>
      <c r="U497" s="346"/>
      <c r="V497" s="347"/>
      <c r="W497" s="381">
        <v>22.485800000000001</v>
      </c>
      <c r="X497" s="382"/>
      <c r="Y497" s="382"/>
      <c r="Z497" s="382"/>
      <c r="AA497" s="382"/>
      <c r="AB497" s="383"/>
      <c r="AC497" s="387">
        <v>22.49</v>
      </c>
      <c r="AD497" s="388"/>
      <c r="AE497" s="389"/>
    </row>
    <row r="498" spans="1:35" ht="14.45" customHeight="1" x14ac:dyDescent="0.25">
      <c r="A498" s="331" t="s">
        <v>789</v>
      </c>
      <c r="B498" s="342" t="s">
        <v>790</v>
      </c>
      <c r="C498" s="343"/>
      <c r="D498" s="343"/>
      <c r="E498" s="343"/>
      <c r="F498" s="343"/>
      <c r="G498" s="343"/>
      <c r="H498" s="343"/>
      <c r="I498" s="343"/>
      <c r="J498" s="343"/>
      <c r="K498" s="343"/>
      <c r="L498" s="343"/>
      <c r="M498" s="344"/>
      <c r="N498" s="342" t="s">
        <v>97</v>
      </c>
      <c r="O498" s="343"/>
      <c r="P498" s="344"/>
      <c r="Q498" s="372">
        <v>253.7</v>
      </c>
      <c r="R498" s="373"/>
      <c r="S498" s="373"/>
      <c r="T498" s="373"/>
      <c r="U498" s="373"/>
      <c r="V498" s="374"/>
      <c r="W498" s="372">
        <v>103.327</v>
      </c>
      <c r="X498" s="373"/>
      <c r="Y498" s="373"/>
      <c r="Z498" s="373"/>
      <c r="AA498" s="373"/>
      <c r="AB498" s="374"/>
      <c r="AC498" s="336">
        <v>26214.06</v>
      </c>
      <c r="AD498" s="337"/>
      <c r="AE498" s="338"/>
    </row>
    <row r="499" spans="1:35" ht="14.45" customHeight="1" x14ac:dyDescent="0.25">
      <c r="A499" s="330" t="s">
        <v>791</v>
      </c>
      <c r="B499" s="357" t="s">
        <v>792</v>
      </c>
      <c r="C499" s="358"/>
      <c r="D499" s="358"/>
      <c r="E499" s="358"/>
      <c r="F499" s="358"/>
      <c r="G499" s="358"/>
      <c r="H499" s="358"/>
      <c r="I499" s="358"/>
      <c r="J499" s="358"/>
      <c r="K499" s="358"/>
      <c r="L499" s="358"/>
      <c r="M499" s="359"/>
      <c r="N499" s="357"/>
      <c r="O499" s="358"/>
      <c r="P499" s="359"/>
      <c r="Q499" s="360"/>
      <c r="R499" s="361"/>
      <c r="S499" s="361"/>
      <c r="T499" s="361"/>
      <c r="U499" s="361"/>
      <c r="V499" s="362"/>
      <c r="W499" s="360"/>
      <c r="X499" s="361"/>
      <c r="Y499" s="361"/>
      <c r="Z499" s="361"/>
      <c r="AA499" s="361"/>
      <c r="AB499" s="362"/>
      <c r="AC499" s="354">
        <v>28172.57</v>
      </c>
      <c r="AD499" s="355"/>
      <c r="AE499" s="356"/>
    </row>
    <row r="500" spans="1:35" ht="14.45" customHeight="1" x14ac:dyDescent="0.25">
      <c r="A500" s="331" t="s">
        <v>793</v>
      </c>
      <c r="B500" s="342" t="s">
        <v>794</v>
      </c>
      <c r="C500" s="343"/>
      <c r="D500" s="343"/>
      <c r="E500" s="343"/>
      <c r="F500" s="343"/>
      <c r="G500" s="343"/>
      <c r="H500" s="343"/>
      <c r="I500" s="343"/>
      <c r="J500" s="343"/>
      <c r="K500" s="343"/>
      <c r="L500" s="343"/>
      <c r="M500" s="344"/>
      <c r="N500" s="342" t="s">
        <v>154</v>
      </c>
      <c r="O500" s="343"/>
      <c r="P500" s="344"/>
      <c r="Q500" s="345">
        <v>1</v>
      </c>
      <c r="R500" s="346"/>
      <c r="S500" s="346"/>
      <c r="T500" s="346"/>
      <c r="U500" s="346"/>
      <c r="V500" s="347"/>
      <c r="W500" s="348">
        <v>15023.39</v>
      </c>
      <c r="X500" s="349"/>
      <c r="Y500" s="349"/>
      <c r="Z500" s="349"/>
      <c r="AA500" s="349"/>
      <c r="AB500" s="350"/>
      <c r="AC500" s="336">
        <v>15023.39</v>
      </c>
      <c r="AD500" s="337"/>
      <c r="AE500" s="338"/>
    </row>
    <row r="501" spans="1:35" ht="14.45" customHeight="1" x14ac:dyDescent="0.25">
      <c r="A501" s="331" t="s">
        <v>795</v>
      </c>
      <c r="B501" s="342" t="s">
        <v>796</v>
      </c>
      <c r="C501" s="343"/>
      <c r="D501" s="343"/>
      <c r="E501" s="343"/>
      <c r="F501" s="343"/>
      <c r="G501" s="343"/>
      <c r="H501" s="343"/>
      <c r="I501" s="343"/>
      <c r="J501" s="343"/>
      <c r="K501" s="343"/>
      <c r="L501" s="343"/>
      <c r="M501" s="344"/>
      <c r="N501" s="342" t="s">
        <v>154</v>
      </c>
      <c r="O501" s="343"/>
      <c r="P501" s="344"/>
      <c r="Q501" s="345">
        <v>1</v>
      </c>
      <c r="R501" s="346"/>
      <c r="S501" s="346"/>
      <c r="T501" s="346"/>
      <c r="U501" s="346"/>
      <c r="V501" s="347"/>
      <c r="W501" s="348">
        <v>13149.18</v>
      </c>
      <c r="X501" s="349"/>
      <c r="Y501" s="349"/>
      <c r="Z501" s="349"/>
      <c r="AA501" s="349"/>
      <c r="AB501" s="350"/>
      <c r="AC501" s="336">
        <v>13149.18</v>
      </c>
      <c r="AD501" s="337"/>
      <c r="AE501" s="338"/>
    </row>
    <row r="502" spans="1:35" ht="14.45" customHeight="1" x14ac:dyDescent="0.25">
      <c r="A502" s="330" t="s">
        <v>797</v>
      </c>
      <c r="B502" s="357" t="s">
        <v>798</v>
      </c>
      <c r="C502" s="358"/>
      <c r="D502" s="358"/>
      <c r="E502" s="358"/>
      <c r="F502" s="358"/>
      <c r="G502" s="358"/>
      <c r="H502" s="358"/>
      <c r="I502" s="358"/>
      <c r="J502" s="358"/>
      <c r="K502" s="358"/>
      <c r="L502" s="358"/>
      <c r="M502" s="359"/>
      <c r="N502" s="357"/>
      <c r="O502" s="358"/>
      <c r="P502" s="359"/>
      <c r="Q502" s="360"/>
      <c r="R502" s="361"/>
      <c r="S502" s="361"/>
      <c r="T502" s="361"/>
      <c r="U502" s="361"/>
      <c r="V502" s="362"/>
      <c r="W502" s="360"/>
      <c r="X502" s="361"/>
      <c r="Y502" s="361"/>
      <c r="Z502" s="361"/>
      <c r="AA502" s="361"/>
      <c r="AB502" s="362"/>
      <c r="AC502" s="354">
        <v>83761.55</v>
      </c>
      <c r="AD502" s="355"/>
      <c r="AE502" s="356"/>
      <c r="AI502">
        <f>25/3</f>
        <v>8.3333333333333339</v>
      </c>
    </row>
    <row r="503" spans="1:35" ht="14.45" customHeight="1" x14ac:dyDescent="0.25">
      <c r="A503" s="330" t="s">
        <v>799</v>
      </c>
      <c r="B503" s="357" t="s">
        <v>800</v>
      </c>
      <c r="C503" s="358"/>
      <c r="D503" s="358"/>
      <c r="E503" s="358"/>
      <c r="F503" s="358"/>
      <c r="G503" s="358"/>
      <c r="H503" s="358"/>
      <c r="I503" s="358"/>
      <c r="J503" s="358"/>
      <c r="K503" s="358"/>
      <c r="L503" s="358"/>
      <c r="M503" s="359"/>
      <c r="N503" s="357"/>
      <c r="O503" s="358"/>
      <c r="P503" s="359"/>
      <c r="Q503" s="360"/>
      <c r="R503" s="361"/>
      <c r="S503" s="361"/>
      <c r="T503" s="361"/>
      <c r="U503" s="361"/>
      <c r="V503" s="362"/>
      <c r="W503" s="360"/>
      <c r="X503" s="361"/>
      <c r="Y503" s="361"/>
      <c r="Z503" s="361"/>
      <c r="AA503" s="361"/>
      <c r="AB503" s="362"/>
      <c r="AC503" s="354">
        <v>83761.55</v>
      </c>
      <c r="AD503" s="355"/>
      <c r="AE503" s="356"/>
    </row>
    <row r="504" spans="1:35" ht="14.45" customHeight="1" x14ac:dyDescent="0.25">
      <c r="A504" s="331" t="s">
        <v>801</v>
      </c>
      <c r="B504" s="342" t="s">
        <v>802</v>
      </c>
      <c r="C504" s="343"/>
      <c r="D504" s="343"/>
      <c r="E504" s="343"/>
      <c r="F504" s="343"/>
      <c r="G504" s="343"/>
      <c r="H504" s="343"/>
      <c r="I504" s="343"/>
      <c r="J504" s="343"/>
      <c r="K504" s="343"/>
      <c r="L504" s="343"/>
      <c r="M504" s="344"/>
      <c r="N504" s="342" t="s">
        <v>154</v>
      </c>
      <c r="O504" s="343"/>
      <c r="P504" s="344"/>
      <c r="Q504" s="345">
        <v>1</v>
      </c>
      <c r="R504" s="346"/>
      <c r="S504" s="346"/>
      <c r="T504" s="346"/>
      <c r="U504" s="346"/>
      <c r="V504" s="347"/>
      <c r="W504" s="348">
        <v>76092.56</v>
      </c>
      <c r="X504" s="349"/>
      <c r="Y504" s="349"/>
      <c r="Z504" s="349"/>
      <c r="AA504" s="349"/>
      <c r="AB504" s="350"/>
      <c r="AC504" s="336">
        <v>76092.56</v>
      </c>
      <c r="AD504" s="337"/>
      <c r="AE504" s="338"/>
    </row>
    <row r="505" spans="1:35" ht="14.45" customHeight="1" x14ac:dyDescent="0.25">
      <c r="A505" s="331" t="s">
        <v>803</v>
      </c>
      <c r="B505" s="342" t="s">
        <v>804</v>
      </c>
      <c r="C505" s="343"/>
      <c r="D505" s="343"/>
      <c r="E505" s="343"/>
      <c r="F505" s="343"/>
      <c r="G505" s="343"/>
      <c r="H505" s="343"/>
      <c r="I505" s="343"/>
      <c r="J505" s="343"/>
      <c r="K505" s="343"/>
      <c r="L505" s="343"/>
      <c r="M505" s="344"/>
      <c r="N505" s="342" t="s">
        <v>154</v>
      </c>
      <c r="O505" s="343"/>
      <c r="P505" s="344"/>
      <c r="Q505" s="345">
        <v>1</v>
      </c>
      <c r="R505" s="346"/>
      <c r="S505" s="346"/>
      <c r="T505" s="346"/>
      <c r="U505" s="346"/>
      <c r="V505" s="347"/>
      <c r="W505" s="363">
        <v>7668.9854999999998</v>
      </c>
      <c r="X505" s="364"/>
      <c r="Y505" s="364"/>
      <c r="Z505" s="364"/>
      <c r="AA505" s="364"/>
      <c r="AB505" s="365"/>
      <c r="AC505" s="366">
        <v>7668.99</v>
      </c>
      <c r="AD505" s="367"/>
      <c r="AE505" s="368"/>
    </row>
    <row r="506" spans="1:35" ht="14.45" customHeight="1" x14ac:dyDescent="0.25">
      <c r="A506" s="330" t="s">
        <v>102</v>
      </c>
      <c r="B506" s="357" t="s">
        <v>805</v>
      </c>
      <c r="C506" s="358"/>
      <c r="D506" s="358"/>
      <c r="E506" s="358"/>
      <c r="F506" s="358"/>
      <c r="G506" s="358"/>
      <c r="H506" s="358"/>
      <c r="I506" s="358"/>
      <c r="J506" s="358"/>
      <c r="K506" s="358"/>
      <c r="L506" s="358"/>
      <c r="M506" s="359"/>
      <c r="N506" s="357"/>
      <c r="O506" s="358"/>
      <c r="P506" s="359"/>
      <c r="Q506" s="360"/>
      <c r="R506" s="361"/>
      <c r="S506" s="361"/>
      <c r="T506" s="361"/>
      <c r="U506" s="361"/>
      <c r="V506" s="362"/>
      <c r="W506" s="360"/>
      <c r="X506" s="361"/>
      <c r="Y506" s="361"/>
      <c r="Z506" s="361"/>
      <c r="AA506" s="361"/>
      <c r="AB506" s="362"/>
      <c r="AC506" s="384">
        <v>217337.73</v>
      </c>
      <c r="AD506" s="385"/>
      <c r="AE506" s="386"/>
    </row>
    <row r="507" spans="1:35" ht="14.45" customHeight="1" x14ac:dyDescent="0.25">
      <c r="A507" s="330" t="s">
        <v>148</v>
      </c>
      <c r="B507" s="357" t="s">
        <v>805</v>
      </c>
      <c r="C507" s="358"/>
      <c r="D507" s="358"/>
      <c r="E507" s="358"/>
      <c r="F507" s="358"/>
      <c r="G507" s="358"/>
      <c r="H507" s="358"/>
      <c r="I507" s="358"/>
      <c r="J507" s="358"/>
      <c r="K507" s="358"/>
      <c r="L507" s="358"/>
      <c r="M507" s="359"/>
      <c r="N507" s="357"/>
      <c r="O507" s="358"/>
      <c r="P507" s="359"/>
      <c r="Q507" s="360"/>
      <c r="R507" s="361"/>
      <c r="S507" s="361"/>
      <c r="T507" s="361"/>
      <c r="U507" s="361"/>
      <c r="V507" s="362"/>
      <c r="W507" s="360"/>
      <c r="X507" s="361"/>
      <c r="Y507" s="361"/>
      <c r="Z507" s="361"/>
      <c r="AA507" s="361"/>
      <c r="AB507" s="362"/>
      <c r="AC507" s="384">
        <v>217337.73</v>
      </c>
      <c r="AD507" s="385"/>
      <c r="AE507" s="386"/>
    </row>
    <row r="508" spans="1:35" ht="14.45" customHeight="1" x14ac:dyDescent="0.25">
      <c r="A508" s="330" t="s">
        <v>150</v>
      </c>
      <c r="B508" s="357" t="s">
        <v>806</v>
      </c>
      <c r="C508" s="358"/>
      <c r="D508" s="358"/>
      <c r="E508" s="358"/>
      <c r="F508" s="358"/>
      <c r="G508" s="358"/>
      <c r="H508" s="358"/>
      <c r="I508" s="358"/>
      <c r="J508" s="358"/>
      <c r="K508" s="358"/>
      <c r="L508" s="358"/>
      <c r="M508" s="359"/>
      <c r="N508" s="357"/>
      <c r="O508" s="358"/>
      <c r="P508" s="359"/>
      <c r="Q508" s="360"/>
      <c r="R508" s="361"/>
      <c r="S508" s="361"/>
      <c r="T508" s="361"/>
      <c r="U508" s="361"/>
      <c r="V508" s="362"/>
      <c r="W508" s="360"/>
      <c r="X508" s="361"/>
      <c r="Y508" s="361"/>
      <c r="Z508" s="361"/>
      <c r="AA508" s="361"/>
      <c r="AB508" s="362"/>
      <c r="AC508" s="354">
        <v>95700</v>
      </c>
      <c r="AD508" s="355"/>
      <c r="AE508" s="356"/>
    </row>
    <row r="509" spans="1:35" ht="14.45" customHeight="1" x14ac:dyDescent="0.25">
      <c r="A509" s="331" t="s">
        <v>152</v>
      </c>
      <c r="B509" s="342" t="s">
        <v>807</v>
      </c>
      <c r="C509" s="343"/>
      <c r="D509" s="343"/>
      <c r="E509" s="343"/>
      <c r="F509" s="343"/>
      <c r="G509" s="343"/>
      <c r="H509" s="343"/>
      <c r="I509" s="343"/>
      <c r="J509" s="343"/>
      <c r="K509" s="343"/>
      <c r="L509" s="343"/>
      <c r="M509" s="344"/>
      <c r="N509" s="342" t="s">
        <v>154</v>
      </c>
      <c r="O509" s="343"/>
      <c r="P509" s="344"/>
      <c r="Q509" s="345">
        <v>1</v>
      </c>
      <c r="R509" s="346"/>
      <c r="S509" s="346"/>
      <c r="T509" s="346"/>
      <c r="U509" s="346"/>
      <c r="V509" s="347"/>
      <c r="W509" s="348">
        <v>95700</v>
      </c>
      <c r="X509" s="349"/>
      <c r="Y509" s="349"/>
      <c r="Z509" s="349"/>
      <c r="AA509" s="349"/>
      <c r="AB509" s="350"/>
      <c r="AC509" s="336">
        <v>95700</v>
      </c>
      <c r="AD509" s="337"/>
      <c r="AE509" s="338"/>
    </row>
    <row r="510" spans="1:35" ht="14.45" customHeight="1" x14ac:dyDescent="0.25">
      <c r="A510" s="330" t="s">
        <v>160</v>
      </c>
      <c r="B510" s="357" t="s">
        <v>808</v>
      </c>
      <c r="C510" s="358"/>
      <c r="D510" s="358"/>
      <c r="E510" s="358"/>
      <c r="F510" s="358"/>
      <c r="G510" s="358"/>
      <c r="H510" s="358"/>
      <c r="I510" s="358"/>
      <c r="J510" s="358"/>
      <c r="K510" s="358"/>
      <c r="L510" s="358"/>
      <c r="M510" s="359"/>
      <c r="N510" s="357"/>
      <c r="O510" s="358"/>
      <c r="P510" s="359"/>
      <c r="Q510" s="360"/>
      <c r="R510" s="361"/>
      <c r="S510" s="361"/>
      <c r="T510" s="361"/>
      <c r="U510" s="361"/>
      <c r="V510" s="362"/>
      <c r="W510" s="360"/>
      <c r="X510" s="361"/>
      <c r="Y510" s="361"/>
      <c r="Z510" s="361"/>
      <c r="AA510" s="361"/>
      <c r="AB510" s="362"/>
      <c r="AC510" s="354">
        <v>77292.7</v>
      </c>
      <c r="AD510" s="355"/>
      <c r="AE510" s="356"/>
    </row>
    <row r="511" spans="1:35" ht="14.45" customHeight="1" x14ac:dyDescent="0.25">
      <c r="A511" s="331" t="s">
        <v>161</v>
      </c>
      <c r="B511" s="342" t="s">
        <v>809</v>
      </c>
      <c r="C511" s="343"/>
      <c r="D511" s="343"/>
      <c r="E511" s="343"/>
      <c r="F511" s="343"/>
      <c r="G511" s="343"/>
      <c r="H511" s="343"/>
      <c r="I511" s="343"/>
      <c r="J511" s="343"/>
      <c r="K511" s="343"/>
      <c r="L511" s="343"/>
      <c r="M511" s="344"/>
      <c r="N511" s="342" t="s">
        <v>98</v>
      </c>
      <c r="O511" s="343"/>
      <c r="P511" s="344"/>
      <c r="Q511" s="345">
        <v>1</v>
      </c>
      <c r="R511" s="346"/>
      <c r="S511" s="346"/>
      <c r="T511" s="346"/>
      <c r="U511" s="346"/>
      <c r="V511" s="347"/>
      <c r="W511" s="363">
        <v>9201.15</v>
      </c>
      <c r="X511" s="364"/>
      <c r="Y511" s="364"/>
      <c r="Z511" s="364"/>
      <c r="AA511" s="364"/>
      <c r="AB511" s="365"/>
      <c r="AC511" s="366">
        <v>9201.15</v>
      </c>
      <c r="AD511" s="367"/>
      <c r="AE511" s="368"/>
    </row>
    <row r="512" spans="1:35" ht="14.45" customHeight="1" x14ac:dyDescent="0.25">
      <c r="A512" s="331" t="s">
        <v>163</v>
      </c>
      <c r="B512" s="342" t="s">
        <v>810</v>
      </c>
      <c r="C512" s="343"/>
      <c r="D512" s="343"/>
      <c r="E512" s="343"/>
      <c r="F512" s="343"/>
      <c r="G512" s="343"/>
      <c r="H512" s="343"/>
      <c r="I512" s="343"/>
      <c r="J512" s="343"/>
      <c r="K512" s="343"/>
      <c r="L512" s="343"/>
      <c r="M512" s="344"/>
      <c r="N512" s="342" t="s">
        <v>678</v>
      </c>
      <c r="O512" s="343"/>
      <c r="P512" s="344"/>
      <c r="Q512" s="345">
        <v>1</v>
      </c>
      <c r="R512" s="346"/>
      <c r="S512" s="346"/>
      <c r="T512" s="346"/>
      <c r="U512" s="346"/>
      <c r="V512" s="347"/>
      <c r="W512" s="363">
        <v>2929.09</v>
      </c>
      <c r="X512" s="364"/>
      <c r="Y512" s="364"/>
      <c r="Z512" s="364"/>
      <c r="AA512" s="364"/>
      <c r="AB512" s="365"/>
      <c r="AC512" s="366">
        <v>2929.09</v>
      </c>
      <c r="AD512" s="367"/>
      <c r="AE512" s="368"/>
    </row>
    <row r="513" spans="1:31" ht="14.45" customHeight="1" x14ac:dyDescent="0.25">
      <c r="A513" s="331" t="s">
        <v>165</v>
      </c>
      <c r="B513" s="342" t="s">
        <v>811</v>
      </c>
      <c r="C513" s="343"/>
      <c r="D513" s="343"/>
      <c r="E513" s="343"/>
      <c r="F513" s="343"/>
      <c r="G513" s="343"/>
      <c r="H513" s="343"/>
      <c r="I513" s="343"/>
      <c r="J513" s="343"/>
      <c r="K513" s="343"/>
      <c r="L513" s="343"/>
      <c r="M513" s="344"/>
      <c r="N513" s="342" t="s">
        <v>678</v>
      </c>
      <c r="O513" s="343"/>
      <c r="P513" s="344"/>
      <c r="Q513" s="345">
        <v>1</v>
      </c>
      <c r="R513" s="346"/>
      <c r="S513" s="346"/>
      <c r="T513" s="346"/>
      <c r="U513" s="346"/>
      <c r="V513" s="347"/>
      <c r="W513" s="363">
        <v>7458.67</v>
      </c>
      <c r="X513" s="364"/>
      <c r="Y513" s="364"/>
      <c r="Z513" s="364"/>
      <c r="AA513" s="364"/>
      <c r="AB513" s="365"/>
      <c r="AC513" s="366">
        <v>7458.67</v>
      </c>
      <c r="AD513" s="367"/>
      <c r="AE513" s="368"/>
    </row>
    <row r="514" spans="1:31" ht="14.45" customHeight="1" x14ac:dyDescent="0.25">
      <c r="A514" s="331" t="s">
        <v>812</v>
      </c>
      <c r="B514" s="342" t="s">
        <v>813</v>
      </c>
      <c r="C514" s="343"/>
      <c r="D514" s="343"/>
      <c r="E514" s="343"/>
      <c r="F514" s="343"/>
      <c r="G514" s="343"/>
      <c r="H514" s="343"/>
      <c r="I514" s="343"/>
      <c r="J514" s="343"/>
      <c r="K514" s="343"/>
      <c r="L514" s="343"/>
      <c r="M514" s="344"/>
      <c r="N514" s="342" t="s">
        <v>98</v>
      </c>
      <c r="O514" s="343"/>
      <c r="P514" s="344"/>
      <c r="Q514" s="345">
        <v>1</v>
      </c>
      <c r="R514" s="346"/>
      <c r="S514" s="346"/>
      <c r="T514" s="346"/>
      <c r="U514" s="346"/>
      <c r="V514" s="347"/>
      <c r="W514" s="363">
        <v>3951.39</v>
      </c>
      <c r="X514" s="364"/>
      <c r="Y514" s="364"/>
      <c r="Z514" s="364"/>
      <c r="AA514" s="364"/>
      <c r="AB514" s="365"/>
      <c r="AC514" s="366">
        <v>3951.39</v>
      </c>
      <c r="AD514" s="367"/>
      <c r="AE514" s="368"/>
    </row>
    <row r="515" spans="1:31" ht="14.45" customHeight="1" x14ac:dyDescent="0.25">
      <c r="A515" s="331" t="s">
        <v>814</v>
      </c>
      <c r="B515" s="342" t="s">
        <v>815</v>
      </c>
      <c r="C515" s="343"/>
      <c r="D515" s="343"/>
      <c r="E515" s="343"/>
      <c r="F515" s="343"/>
      <c r="G515" s="343"/>
      <c r="H515" s="343"/>
      <c r="I515" s="343"/>
      <c r="J515" s="343"/>
      <c r="K515" s="343"/>
      <c r="L515" s="343"/>
      <c r="M515" s="344"/>
      <c r="N515" s="342" t="s">
        <v>678</v>
      </c>
      <c r="O515" s="343"/>
      <c r="P515" s="344"/>
      <c r="Q515" s="345">
        <v>1</v>
      </c>
      <c r="R515" s="346"/>
      <c r="S515" s="346"/>
      <c r="T515" s="346"/>
      <c r="U515" s="346"/>
      <c r="V515" s="347"/>
      <c r="W515" s="363">
        <v>2551.77</v>
      </c>
      <c r="X515" s="364"/>
      <c r="Y515" s="364"/>
      <c r="Z515" s="364"/>
      <c r="AA515" s="364"/>
      <c r="AB515" s="365"/>
      <c r="AC515" s="366">
        <v>2551.77</v>
      </c>
      <c r="AD515" s="367"/>
      <c r="AE515" s="368"/>
    </row>
    <row r="516" spans="1:31" ht="14.45" customHeight="1" x14ac:dyDescent="0.25">
      <c r="A516" s="331" t="s">
        <v>816</v>
      </c>
      <c r="B516" s="342" t="s">
        <v>817</v>
      </c>
      <c r="C516" s="343"/>
      <c r="D516" s="343"/>
      <c r="E516" s="343"/>
      <c r="F516" s="343"/>
      <c r="G516" s="343"/>
      <c r="H516" s="343"/>
      <c r="I516" s="343"/>
      <c r="J516" s="343"/>
      <c r="K516" s="343"/>
      <c r="L516" s="343"/>
      <c r="M516" s="344"/>
      <c r="N516" s="342" t="s">
        <v>678</v>
      </c>
      <c r="O516" s="343"/>
      <c r="P516" s="344"/>
      <c r="Q516" s="345">
        <v>1</v>
      </c>
      <c r="R516" s="346"/>
      <c r="S516" s="346"/>
      <c r="T516" s="346"/>
      <c r="U516" s="346"/>
      <c r="V516" s="347"/>
      <c r="W516" s="363">
        <v>3200.63</v>
      </c>
      <c r="X516" s="364"/>
      <c r="Y516" s="364"/>
      <c r="Z516" s="364"/>
      <c r="AA516" s="364"/>
      <c r="AB516" s="365"/>
      <c r="AC516" s="366">
        <v>3200.63</v>
      </c>
      <c r="AD516" s="367"/>
      <c r="AE516" s="368"/>
    </row>
    <row r="517" spans="1:31" ht="14.45" customHeight="1" x14ac:dyDescent="0.25">
      <c r="A517" s="331" t="s">
        <v>818</v>
      </c>
      <c r="B517" s="342" t="s">
        <v>819</v>
      </c>
      <c r="C517" s="343"/>
      <c r="D517" s="343"/>
      <c r="E517" s="343"/>
      <c r="F517" s="343"/>
      <c r="G517" s="343"/>
      <c r="H517" s="343"/>
      <c r="I517" s="343"/>
      <c r="J517" s="343"/>
      <c r="K517" s="343"/>
      <c r="L517" s="343"/>
      <c r="M517" s="344"/>
      <c r="N517" s="342" t="s">
        <v>154</v>
      </c>
      <c r="O517" s="343"/>
      <c r="P517" s="344"/>
      <c r="Q517" s="345">
        <v>1</v>
      </c>
      <c r="R517" s="346"/>
      <c r="S517" s="346"/>
      <c r="T517" s="346"/>
      <c r="U517" s="346"/>
      <c r="V517" s="347"/>
      <c r="W517" s="348">
        <v>48000</v>
      </c>
      <c r="X517" s="349"/>
      <c r="Y517" s="349"/>
      <c r="Z517" s="349"/>
      <c r="AA517" s="349"/>
      <c r="AB517" s="350"/>
      <c r="AC517" s="336">
        <v>48000</v>
      </c>
      <c r="AD517" s="337"/>
      <c r="AE517" s="338"/>
    </row>
    <row r="518" spans="1:31" ht="14.45" customHeight="1" x14ac:dyDescent="0.25">
      <c r="A518" s="330" t="s">
        <v>167</v>
      </c>
      <c r="B518" s="357" t="s">
        <v>820</v>
      </c>
      <c r="C518" s="358"/>
      <c r="D518" s="358"/>
      <c r="E518" s="358"/>
      <c r="F518" s="358"/>
      <c r="G518" s="358"/>
      <c r="H518" s="358"/>
      <c r="I518" s="358"/>
      <c r="J518" s="358"/>
      <c r="K518" s="358"/>
      <c r="L518" s="358"/>
      <c r="M518" s="359"/>
      <c r="N518" s="357"/>
      <c r="O518" s="358"/>
      <c r="P518" s="359"/>
      <c r="Q518" s="360"/>
      <c r="R518" s="361"/>
      <c r="S518" s="361"/>
      <c r="T518" s="361"/>
      <c r="U518" s="361"/>
      <c r="V518" s="362"/>
      <c r="W518" s="360"/>
      <c r="X518" s="361"/>
      <c r="Y518" s="361"/>
      <c r="Z518" s="361"/>
      <c r="AA518" s="361"/>
      <c r="AB518" s="362"/>
      <c r="AC518" s="354">
        <v>44345.03</v>
      </c>
      <c r="AD518" s="355"/>
      <c r="AE518" s="356"/>
    </row>
    <row r="519" spans="1:31" ht="14.45" customHeight="1" x14ac:dyDescent="0.25">
      <c r="A519" s="331" t="s">
        <v>168</v>
      </c>
      <c r="B519" s="342" t="s">
        <v>821</v>
      </c>
      <c r="C519" s="343"/>
      <c r="D519" s="343"/>
      <c r="E519" s="343"/>
      <c r="F519" s="343"/>
      <c r="G519" s="343"/>
      <c r="H519" s="343"/>
      <c r="I519" s="343"/>
      <c r="J519" s="343"/>
      <c r="K519" s="343"/>
      <c r="L519" s="343"/>
      <c r="M519" s="344"/>
      <c r="N519" s="342" t="s">
        <v>678</v>
      </c>
      <c r="O519" s="343"/>
      <c r="P519" s="344"/>
      <c r="Q519" s="345">
        <v>5</v>
      </c>
      <c r="R519" s="346"/>
      <c r="S519" s="346"/>
      <c r="T519" s="346"/>
      <c r="U519" s="346"/>
      <c r="V519" s="347"/>
      <c r="W519" s="372">
        <v>420</v>
      </c>
      <c r="X519" s="373"/>
      <c r="Y519" s="373"/>
      <c r="Z519" s="373"/>
      <c r="AA519" s="373"/>
      <c r="AB519" s="374"/>
      <c r="AC519" s="366">
        <v>2100</v>
      </c>
      <c r="AD519" s="367"/>
      <c r="AE519" s="368"/>
    </row>
    <row r="520" spans="1:31" ht="14.45" customHeight="1" x14ac:dyDescent="0.25">
      <c r="A520" s="331" t="s">
        <v>822</v>
      </c>
      <c r="B520" s="342" t="s">
        <v>824</v>
      </c>
      <c r="C520" s="343"/>
      <c r="D520" s="343"/>
      <c r="E520" s="343"/>
      <c r="F520" s="343"/>
      <c r="G520" s="343"/>
      <c r="H520" s="343"/>
      <c r="I520" s="343"/>
      <c r="J520" s="343"/>
      <c r="K520" s="343"/>
      <c r="L520" s="343"/>
      <c r="M520" s="344"/>
      <c r="N520" s="342" t="s">
        <v>678</v>
      </c>
      <c r="O520" s="343"/>
      <c r="P520" s="344"/>
      <c r="Q520" s="381">
        <v>11.5</v>
      </c>
      <c r="R520" s="382"/>
      <c r="S520" s="382"/>
      <c r="T520" s="382"/>
      <c r="U520" s="382"/>
      <c r="V520" s="383"/>
      <c r="W520" s="363">
        <v>3595.22</v>
      </c>
      <c r="X520" s="364"/>
      <c r="Y520" s="364"/>
      <c r="Z520" s="364"/>
      <c r="AA520" s="364"/>
      <c r="AB520" s="365"/>
      <c r="AC520" s="336">
        <v>41345.03</v>
      </c>
      <c r="AD520" s="337"/>
      <c r="AE520" s="338"/>
    </row>
    <row r="521" spans="1:31" ht="14.45" customHeight="1" x14ac:dyDescent="0.25">
      <c r="A521" s="331" t="s">
        <v>823</v>
      </c>
      <c r="B521" s="342" t="s">
        <v>825</v>
      </c>
      <c r="C521" s="343"/>
      <c r="D521" s="343"/>
      <c r="E521" s="343"/>
      <c r="F521" s="343"/>
      <c r="G521" s="343"/>
      <c r="H521" s="343"/>
      <c r="I521" s="343"/>
      <c r="J521" s="343"/>
      <c r="K521" s="343"/>
      <c r="L521" s="343"/>
      <c r="M521" s="344"/>
      <c r="N521" s="342" t="s">
        <v>98</v>
      </c>
      <c r="O521" s="343"/>
      <c r="P521" s="344"/>
      <c r="Q521" s="345">
        <v>1</v>
      </c>
      <c r="R521" s="346"/>
      <c r="S521" s="346"/>
      <c r="T521" s="346"/>
      <c r="U521" s="346"/>
      <c r="V521" s="347"/>
      <c r="W521" s="372">
        <v>900</v>
      </c>
      <c r="X521" s="373"/>
      <c r="Y521" s="373"/>
      <c r="Z521" s="373"/>
      <c r="AA521" s="373"/>
      <c r="AB521" s="374"/>
      <c r="AC521" s="375">
        <v>900</v>
      </c>
      <c r="AD521" s="376"/>
      <c r="AE521" s="377"/>
    </row>
    <row r="522" spans="1:31" ht="14.45" customHeight="1" x14ac:dyDescent="0.25">
      <c r="A522" s="339" t="s">
        <v>103</v>
      </c>
      <c r="B522" s="340"/>
      <c r="C522" s="340"/>
      <c r="D522" s="340"/>
      <c r="E522" s="340"/>
      <c r="F522" s="340"/>
      <c r="G522" s="340"/>
      <c r="H522" s="340"/>
      <c r="I522" s="340"/>
      <c r="J522" s="340"/>
      <c r="K522" s="340"/>
      <c r="L522" s="340"/>
      <c r="M522" s="340"/>
      <c r="N522" s="340"/>
      <c r="O522" s="340"/>
      <c r="P522" s="340"/>
      <c r="Q522" s="340"/>
      <c r="R522" s="340"/>
      <c r="S522" s="340"/>
      <c r="T522" s="340"/>
      <c r="U522" s="340"/>
      <c r="V522" s="340"/>
      <c r="W522" s="340"/>
      <c r="X522" s="340"/>
      <c r="Y522" s="340"/>
      <c r="Z522" s="340"/>
      <c r="AA522" s="340"/>
      <c r="AB522" s="341"/>
      <c r="AC522" s="378">
        <v>2753479.64</v>
      </c>
      <c r="AD522" s="379"/>
      <c r="AE522" s="380"/>
    </row>
    <row r="523" spans="1:31" ht="14.45" customHeight="1" x14ac:dyDescent="0.25">
      <c r="A523" s="339" t="s">
        <v>826</v>
      </c>
      <c r="B523" s="340"/>
      <c r="C523" s="340"/>
      <c r="D523" s="340"/>
      <c r="E523" s="340"/>
      <c r="F523" s="340"/>
      <c r="G523" s="340"/>
      <c r="H523" s="340"/>
      <c r="I523" s="340"/>
      <c r="J523" s="340"/>
      <c r="K523" s="340"/>
      <c r="L523" s="340"/>
      <c r="M523" s="340"/>
      <c r="N523" s="340"/>
      <c r="O523" s="340"/>
      <c r="P523" s="340"/>
      <c r="Q523" s="340"/>
      <c r="R523" s="340"/>
      <c r="S523" s="340"/>
      <c r="T523" s="340"/>
      <c r="U523" s="340"/>
      <c r="V523" s="340"/>
      <c r="W523" s="340"/>
      <c r="X523" s="340"/>
      <c r="Y523" s="340"/>
      <c r="Z523" s="340"/>
      <c r="AA523" s="340"/>
      <c r="AB523" s="341"/>
      <c r="AC523" s="369">
        <v>24112088.620000001</v>
      </c>
      <c r="AD523" s="370"/>
      <c r="AE523" s="371"/>
    </row>
    <row r="524" spans="1:31" ht="14.45" customHeight="1" x14ac:dyDescent="0.25">
      <c r="A524" s="333"/>
      <c r="B524" s="333"/>
      <c r="C524" s="333"/>
      <c r="D524" s="333"/>
      <c r="E524" s="333"/>
      <c r="F524" s="334"/>
      <c r="G524" s="334"/>
      <c r="H524" s="334"/>
      <c r="I524" s="334"/>
      <c r="J524" s="334"/>
      <c r="K524" s="334"/>
      <c r="L524" s="334"/>
      <c r="M524" s="334"/>
      <c r="N524" s="334"/>
      <c r="O524" s="334"/>
      <c r="P524" s="334"/>
      <c r="Q524" s="334"/>
      <c r="R524" s="334"/>
      <c r="S524" s="334"/>
      <c r="T524" s="334"/>
      <c r="U524" s="335"/>
      <c r="V524" s="335"/>
      <c r="W524" s="335"/>
      <c r="X524" s="335"/>
      <c r="Y524" s="335"/>
      <c r="Z524" s="335"/>
      <c r="AA524" s="335"/>
      <c r="AB524" s="335"/>
      <c r="AC524" s="335"/>
      <c r="AD524" s="335"/>
      <c r="AE524" s="335"/>
    </row>
    <row r="525" spans="1:31" ht="14.45" customHeight="1" x14ac:dyDescent="0.25">
      <c r="A525" s="351" t="s">
        <v>1087</v>
      </c>
      <c r="B525" s="351"/>
      <c r="C525" s="351"/>
      <c r="D525" s="351"/>
      <c r="E525" s="351"/>
      <c r="F525" s="352" t="s">
        <v>827</v>
      </c>
      <c r="G525" s="352"/>
      <c r="H525" s="352"/>
      <c r="I525" s="352"/>
      <c r="J525" s="352"/>
      <c r="K525" s="352"/>
      <c r="L525" s="352"/>
      <c r="M525" s="352"/>
      <c r="N525" s="352"/>
      <c r="O525" s="352"/>
      <c r="P525" s="352"/>
      <c r="Q525" s="352"/>
      <c r="R525" s="352"/>
      <c r="S525" s="352"/>
      <c r="T525" s="352"/>
      <c r="U525" s="353"/>
      <c r="V525" s="353"/>
      <c r="W525" s="353"/>
      <c r="X525" s="353"/>
      <c r="Y525" s="353"/>
      <c r="Z525" s="353"/>
      <c r="AA525" s="353"/>
      <c r="AB525" s="353"/>
      <c r="AC525" s="353"/>
      <c r="AD525" s="353"/>
      <c r="AE525" s="353"/>
    </row>
    <row r="526" spans="1:31" ht="14.45" customHeight="1" x14ac:dyDescent="0.25"/>
    <row r="527" spans="1:31" ht="14.45" customHeight="1" x14ac:dyDescent="0.25"/>
    <row r="528" spans="1:31" ht="14.45" customHeight="1" x14ac:dyDescent="0.25"/>
    <row r="529" ht="14.45" customHeight="1" x14ac:dyDescent="0.25"/>
    <row r="530" ht="14.45" customHeight="1" x14ac:dyDescent="0.25"/>
    <row r="531" ht="14.45" customHeight="1" x14ac:dyDescent="0.25"/>
    <row r="532" ht="14.45" customHeight="1" x14ac:dyDescent="0.25"/>
    <row r="533" ht="14.45" customHeight="1" x14ac:dyDescent="0.25"/>
    <row r="534" ht="14.45" customHeight="1" x14ac:dyDescent="0.25"/>
    <row r="535" ht="14.45" customHeight="1" x14ac:dyDescent="0.25"/>
    <row r="536" ht="14.45" customHeight="1" x14ac:dyDescent="0.25"/>
    <row r="537" ht="14.45" customHeight="1" x14ac:dyDescent="0.25"/>
    <row r="538" ht="14.45" customHeight="1" x14ac:dyDescent="0.25"/>
    <row r="539" ht="14.45" customHeight="1" x14ac:dyDescent="0.25"/>
    <row r="540" ht="14.45" customHeight="1" x14ac:dyDescent="0.25"/>
    <row r="541" ht="14.45" customHeight="1" x14ac:dyDescent="0.25"/>
    <row r="542" ht="14.45" customHeight="1" x14ac:dyDescent="0.25"/>
    <row r="543" ht="14.45" customHeight="1" x14ac:dyDescent="0.25"/>
    <row r="544" ht="14.45" customHeight="1" x14ac:dyDescent="0.25"/>
    <row r="545" ht="14.45" customHeight="1" x14ac:dyDescent="0.25"/>
    <row r="546" ht="14.45" customHeight="1" x14ac:dyDescent="0.25"/>
    <row r="547" ht="14.45" customHeight="1" x14ac:dyDescent="0.25"/>
    <row r="548" ht="14.45" customHeight="1" x14ac:dyDescent="0.25"/>
    <row r="550" ht="14.45" customHeight="1" x14ac:dyDescent="0.25"/>
    <row r="551" ht="14.45" customHeight="1" x14ac:dyDescent="0.25"/>
  </sheetData>
  <mergeCells count="2553">
    <mergeCell ref="B420:M420"/>
    <mergeCell ref="N420:P420"/>
    <mergeCell ref="Q420:V420"/>
    <mergeCell ref="W420:AB420"/>
    <mergeCell ref="AC420:AE420"/>
    <mergeCell ref="B421:M421"/>
    <mergeCell ref="N421:P421"/>
    <mergeCell ref="Q421:V421"/>
    <mergeCell ref="W421:AB421"/>
    <mergeCell ref="AC421:AE421"/>
    <mergeCell ref="B416:M416"/>
    <mergeCell ref="N416:P416"/>
    <mergeCell ref="Q416:V416"/>
    <mergeCell ref="W416:AB416"/>
    <mergeCell ref="AC416:AE416"/>
    <mergeCell ref="B417:M417"/>
    <mergeCell ref="N417:P417"/>
    <mergeCell ref="Q417:V417"/>
    <mergeCell ref="W417:AB417"/>
    <mergeCell ref="AC417:AE417"/>
    <mergeCell ref="B418:M418"/>
    <mergeCell ref="N418:P418"/>
    <mergeCell ref="Q418:V418"/>
    <mergeCell ref="W418:AB418"/>
    <mergeCell ref="AC418:AE418"/>
    <mergeCell ref="B419:M419"/>
    <mergeCell ref="N419:P419"/>
    <mergeCell ref="Q419:V419"/>
    <mergeCell ref="W419:AB419"/>
    <mergeCell ref="AC419:AE419"/>
    <mergeCell ref="A7:C7"/>
    <mergeCell ref="D7:AE7"/>
    <mergeCell ref="A8:C8"/>
    <mergeCell ref="D8:AE8"/>
    <mergeCell ref="A9:C9"/>
    <mergeCell ref="D9:K9"/>
    <mergeCell ref="L9:U9"/>
    <mergeCell ref="V9:AE9"/>
    <mergeCell ref="A5:C5"/>
    <mergeCell ref="D5:AE5"/>
    <mergeCell ref="A6:C6"/>
    <mergeCell ref="D6:AE6"/>
    <mergeCell ref="A1:D2"/>
    <mergeCell ref="E1:AE1"/>
    <mergeCell ref="E2:AE2"/>
    <mergeCell ref="A3:D3"/>
    <mergeCell ref="E3:AE3"/>
    <mergeCell ref="A4:D4"/>
    <mergeCell ref="E4:AE4"/>
    <mergeCell ref="B14:M14"/>
    <mergeCell ref="N14:P14"/>
    <mergeCell ref="Q14:V14"/>
    <mergeCell ref="W14:AB14"/>
    <mergeCell ref="AC14:AE14"/>
    <mergeCell ref="B15:M15"/>
    <mergeCell ref="N15:P15"/>
    <mergeCell ref="Q15:V15"/>
    <mergeCell ref="W15:AB15"/>
    <mergeCell ref="AC15:AE15"/>
    <mergeCell ref="A12:AE12"/>
    <mergeCell ref="B13:M13"/>
    <mergeCell ref="N13:P13"/>
    <mergeCell ref="Q13:V13"/>
    <mergeCell ref="W13:AB13"/>
    <mergeCell ref="AC13:AE13"/>
    <mergeCell ref="A10:C10"/>
    <mergeCell ref="D10:K10"/>
    <mergeCell ref="L10:U10"/>
    <mergeCell ref="V10:AE10"/>
    <mergeCell ref="A11:C11"/>
    <mergeCell ref="D11:AE11"/>
    <mergeCell ref="B18:M18"/>
    <mergeCell ref="N18:P18"/>
    <mergeCell ref="Q18:V18"/>
    <mergeCell ref="W18:AB18"/>
    <mergeCell ref="AC18:AE18"/>
    <mergeCell ref="B19:M19"/>
    <mergeCell ref="N19:P19"/>
    <mergeCell ref="Q19:V19"/>
    <mergeCell ref="W19:AB19"/>
    <mergeCell ref="AC19:AE19"/>
    <mergeCell ref="B16:M16"/>
    <mergeCell ref="N16:P16"/>
    <mergeCell ref="Q16:V16"/>
    <mergeCell ref="W16:AB16"/>
    <mergeCell ref="AC16:AE16"/>
    <mergeCell ref="B17:M17"/>
    <mergeCell ref="N17:P17"/>
    <mergeCell ref="Q17:V17"/>
    <mergeCell ref="W17:AB17"/>
    <mergeCell ref="AC17:AE17"/>
    <mergeCell ref="B22:M22"/>
    <mergeCell ref="N22:P22"/>
    <mergeCell ref="Q22:V22"/>
    <mergeCell ref="W22:AB22"/>
    <mergeCell ref="AC22:AE22"/>
    <mergeCell ref="B23:M23"/>
    <mergeCell ref="N23:P23"/>
    <mergeCell ref="Q23:V23"/>
    <mergeCell ref="W23:AB23"/>
    <mergeCell ref="AC23:AE23"/>
    <mergeCell ref="B20:M20"/>
    <mergeCell ref="N20:P20"/>
    <mergeCell ref="Q20:V20"/>
    <mergeCell ref="W20:AB20"/>
    <mergeCell ref="AC20:AE20"/>
    <mergeCell ref="B21:M21"/>
    <mergeCell ref="N21:P21"/>
    <mergeCell ref="Q21:V21"/>
    <mergeCell ref="W21:AB21"/>
    <mergeCell ref="AC21:AE21"/>
    <mergeCell ref="B26:M26"/>
    <mergeCell ref="N26:P26"/>
    <mergeCell ref="Q26:V26"/>
    <mergeCell ref="W26:AB26"/>
    <mergeCell ref="AC26:AE26"/>
    <mergeCell ref="B27:M27"/>
    <mergeCell ref="N27:P27"/>
    <mergeCell ref="Q27:V27"/>
    <mergeCell ref="W27:AB27"/>
    <mergeCell ref="AC27:AE27"/>
    <mergeCell ref="B24:M24"/>
    <mergeCell ref="N24:P24"/>
    <mergeCell ref="Q24:V24"/>
    <mergeCell ref="W24:AB24"/>
    <mergeCell ref="AC24:AE24"/>
    <mergeCell ref="B25:M25"/>
    <mergeCell ref="N25:P25"/>
    <mergeCell ref="Q25:V25"/>
    <mergeCell ref="W25:AB25"/>
    <mergeCell ref="AC25:AE25"/>
    <mergeCell ref="B30:M30"/>
    <mergeCell ref="N30:P30"/>
    <mergeCell ref="Q30:V30"/>
    <mergeCell ref="W30:AB30"/>
    <mergeCell ref="AC30:AE30"/>
    <mergeCell ref="B31:M31"/>
    <mergeCell ref="N31:P31"/>
    <mergeCell ref="Q31:V31"/>
    <mergeCell ref="W31:AB31"/>
    <mergeCell ref="AC31:AE31"/>
    <mergeCell ref="B28:M28"/>
    <mergeCell ref="N28:P28"/>
    <mergeCell ref="Q28:V28"/>
    <mergeCell ref="W28:AB28"/>
    <mergeCell ref="AC28:AE28"/>
    <mergeCell ref="B29:M29"/>
    <mergeCell ref="N29:P29"/>
    <mergeCell ref="Q29:V29"/>
    <mergeCell ref="W29:AB29"/>
    <mergeCell ref="AC29:AE29"/>
    <mergeCell ref="B34:M34"/>
    <mergeCell ref="N34:P34"/>
    <mergeCell ref="Q34:V34"/>
    <mergeCell ref="W34:AB34"/>
    <mergeCell ref="AC34:AE34"/>
    <mergeCell ref="B35:M35"/>
    <mergeCell ref="N35:P35"/>
    <mergeCell ref="Q35:V35"/>
    <mergeCell ref="W35:AB35"/>
    <mergeCell ref="AC35:AE35"/>
    <mergeCell ref="B32:M32"/>
    <mergeCell ref="N32:P32"/>
    <mergeCell ref="Q32:V32"/>
    <mergeCell ref="W32:AB32"/>
    <mergeCell ref="AC32:AE32"/>
    <mergeCell ref="B33:M33"/>
    <mergeCell ref="N33:P33"/>
    <mergeCell ref="Q33:V33"/>
    <mergeCell ref="W33:AB33"/>
    <mergeCell ref="AC33:AE33"/>
    <mergeCell ref="B38:M38"/>
    <mergeCell ref="N38:P38"/>
    <mergeCell ref="Q38:V38"/>
    <mergeCell ref="W38:AB38"/>
    <mergeCell ref="AC38:AE38"/>
    <mergeCell ref="B39:M39"/>
    <mergeCell ref="N39:P39"/>
    <mergeCell ref="Q39:V39"/>
    <mergeCell ref="W39:AB39"/>
    <mergeCell ref="AC39:AE39"/>
    <mergeCell ref="B36:M36"/>
    <mergeCell ref="N36:P36"/>
    <mergeCell ref="Q36:V36"/>
    <mergeCell ref="W36:AB36"/>
    <mergeCell ref="AC36:AE36"/>
    <mergeCell ref="B37:M37"/>
    <mergeCell ref="N37:P37"/>
    <mergeCell ref="Q37:V37"/>
    <mergeCell ref="W37:AB37"/>
    <mergeCell ref="AC37:AE37"/>
    <mergeCell ref="B42:M42"/>
    <mergeCell ref="N42:P42"/>
    <mergeCell ref="Q42:V42"/>
    <mergeCell ref="W42:AB42"/>
    <mergeCell ref="AC42:AE42"/>
    <mergeCell ref="B43:M43"/>
    <mergeCell ref="N43:P43"/>
    <mergeCell ref="Q43:V43"/>
    <mergeCell ref="W43:AB43"/>
    <mergeCell ref="AC43:AE43"/>
    <mergeCell ref="B40:M40"/>
    <mergeCell ref="N40:P40"/>
    <mergeCell ref="Q40:V40"/>
    <mergeCell ref="W40:AB40"/>
    <mergeCell ref="AC40:AE40"/>
    <mergeCell ref="B41:M41"/>
    <mergeCell ref="N41:P41"/>
    <mergeCell ref="Q41:V41"/>
    <mergeCell ref="W41:AB41"/>
    <mergeCell ref="AC41:AE41"/>
    <mergeCell ref="B46:M46"/>
    <mergeCell ref="N46:P46"/>
    <mergeCell ref="Q46:V46"/>
    <mergeCell ref="W46:AB46"/>
    <mergeCell ref="AC46:AE46"/>
    <mergeCell ref="B47:M47"/>
    <mergeCell ref="N47:P47"/>
    <mergeCell ref="Q47:V47"/>
    <mergeCell ref="W47:AB47"/>
    <mergeCell ref="AC47:AE47"/>
    <mergeCell ref="B44:M44"/>
    <mergeCell ref="N44:P44"/>
    <mergeCell ref="Q44:V44"/>
    <mergeCell ref="W44:AB44"/>
    <mergeCell ref="AC44:AE44"/>
    <mergeCell ref="B45:M45"/>
    <mergeCell ref="N45:P45"/>
    <mergeCell ref="Q45:V45"/>
    <mergeCell ref="W45:AB45"/>
    <mergeCell ref="AC45:AE45"/>
    <mergeCell ref="B50:M50"/>
    <mergeCell ref="N50:P50"/>
    <mergeCell ref="Q50:V50"/>
    <mergeCell ref="W50:AB50"/>
    <mergeCell ref="AC50:AE50"/>
    <mergeCell ref="B51:M51"/>
    <mergeCell ref="N51:P51"/>
    <mergeCell ref="Q51:V51"/>
    <mergeCell ref="W51:AB51"/>
    <mergeCell ref="AC51:AE51"/>
    <mergeCell ref="B48:M48"/>
    <mergeCell ref="N48:P48"/>
    <mergeCell ref="Q48:V48"/>
    <mergeCell ref="W48:AB48"/>
    <mergeCell ref="AC48:AE48"/>
    <mergeCell ref="B49:M49"/>
    <mergeCell ref="N49:P49"/>
    <mergeCell ref="Q49:V49"/>
    <mergeCell ref="W49:AB49"/>
    <mergeCell ref="AC49:AE49"/>
    <mergeCell ref="B54:M54"/>
    <mergeCell ref="N54:P54"/>
    <mergeCell ref="Q54:V54"/>
    <mergeCell ref="W54:AB54"/>
    <mergeCell ref="AC54:AE54"/>
    <mergeCell ref="B55:M55"/>
    <mergeCell ref="N55:P55"/>
    <mergeCell ref="Q55:V55"/>
    <mergeCell ref="W55:AB55"/>
    <mergeCell ref="AC55:AE55"/>
    <mergeCell ref="B52:M52"/>
    <mergeCell ref="N52:P52"/>
    <mergeCell ref="Q52:V52"/>
    <mergeCell ref="W52:AB52"/>
    <mergeCell ref="AC52:AE52"/>
    <mergeCell ref="B53:M53"/>
    <mergeCell ref="N53:P53"/>
    <mergeCell ref="Q53:V53"/>
    <mergeCell ref="W53:AB53"/>
    <mergeCell ref="AC53:AE53"/>
    <mergeCell ref="B58:M58"/>
    <mergeCell ref="N58:P58"/>
    <mergeCell ref="Q58:V58"/>
    <mergeCell ref="W58:AB58"/>
    <mergeCell ref="AC58:AE58"/>
    <mergeCell ref="B59:M59"/>
    <mergeCell ref="N59:P59"/>
    <mergeCell ref="Q59:V59"/>
    <mergeCell ref="W59:AB59"/>
    <mergeCell ref="AC59:AE59"/>
    <mergeCell ref="B56:M56"/>
    <mergeCell ref="N56:P56"/>
    <mergeCell ref="Q56:V56"/>
    <mergeCell ref="W56:AB56"/>
    <mergeCell ref="AC56:AE56"/>
    <mergeCell ref="B57:M57"/>
    <mergeCell ref="N57:P57"/>
    <mergeCell ref="Q57:V57"/>
    <mergeCell ref="W57:AB57"/>
    <mergeCell ref="AC57:AE57"/>
    <mergeCell ref="B62:M62"/>
    <mergeCell ref="N62:P62"/>
    <mergeCell ref="Q62:V62"/>
    <mergeCell ref="W62:AB62"/>
    <mergeCell ref="AC62:AE62"/>
    <mergeCell ref="B63:M63"/>
    <mergeCell ref="N63:P63"/>
    <mergeCell ref="Q63:V63"/>
    <mergeCell ref="W63:AB63"/>
    <mergeCell ref="AC63:AE63"/>
    <mergeCell ref="B60:M60"/>
    <mergeCell ref="N60:P60"/>
    <mergeCell ref="Q60:V60"/>
    <mergeCell ref="W60:AB60"/>
    <mergeCell ref="AC60:AE60"/>
    <mergeCell ref="B61:M61"/>
    <mergeCell ref="N61:P61"/>
    <mergeCell ref="Q61:V61"/>
    <mergeCell ref="W61:AB61"/>
    <mergeCell ref="AC61:AE61"/>
    <mergeCell ref="B66:M66"/>
    <mergeCell ref="N66:P66"/>
    <mergeCell ref="Q66:V66"/>
    <mergeCell ref="W66:AB66"/>
    <mergeCell ref="AC66:AE66"/>
    <mergeCell ref="B67:M67"/>
    <mergeCell ref="N67:P67"/>
    <mergeCell ref="Q67:V67"/>
    <mergeCell ref="W67:AB67"/>
    <mergeCell ref="AC67:AE67"/>
    <mergeCell ref="B64:M64"/>
    <mergeCell ref="N64:P64"/>
    <mergeCell ref="Q64:V64"/>
    <mergeCell ref="W64:AB64"/>
    <mergeCell ref="AC64:AE64"/>
    <mergeCell ref="B65:M65"/>
    <mergeCell ref="N65:P65"/>
    <mergeCell ref="Q65:V65"/>
    <mergeCell ref="W65:AB65"/>
    <mergeCell ref="AC65:AE65"/>
    <mergeCell ref="B70:M70"/>
    <mergeCell ref="N70:P70"/>
    <mergeCell ref="Q70:V70"/>
    <mergeCell ref="W70:AB70"/>
    <mergeCell ref="AC70:AE70"/>
    <mergeCell ref="B71:M71"/>
    <mergeCell ref="N71:P71"/>
    <mergeCell ref="Q71:V71"/>
    <mergeCell ref="W71:AB71"/>
    <mergeCell ref="AC71:AE71"/>
    <mergeCell ref="B68:M68"/>
    <mergeCell ref="N68:P68"/>
    <mergeCell ref="Q68:V68"/>
    <mergeCell ref="W68:AB68"/>
    <mergeCell ref="AC68:AE68"/>
    <mergeCell ref="B69:M69"/>
    <mergeCell ref="N69:P69"/>
    <mergeCell ref="Q69:V69"/>
    <mergeCell ref="W69:AB69"/>
    <mergeCell ref="AC69:AE69"/>
    <mergeCell ref="B74:M74"/>
    <mergeCell ref="N74:P74"/>
    <mergeCell ref="Q74:V74"/>
    <mergeCell ref="W74:AB74"/>
    <mergeCell ref="AC74:AE74"/>
    <mergeCell ref="B75:M75"/>
    <mergeCell ref="N75:P75"/>
    <mergeCell ref="Q75:V75"/>
    <mergeCell ref="W75:AB75"/>
    <mergeCell ref="AC75:AE75"/>
    <mergeCell ref="B72:M72"/>
    <mergeCell ref="N72:P72"/>
    <mergeCell ref="Q72:V72"/>
    <mergeCell ref="W72:AB72"/>
    <mergeCell ref="AC72:AE72"/>
    <mergeCell ref="B73:M73"/>
    <mergeCell ref="N73:P73"/>
    <mergeCell ref="Q73:V73"/>
    <mergeCell ref="W73:AB73"/>
    <mergeCell ref="AC73:AE73"/>
    <mergeCell ref="B78:M78"/>
    <mergeCell ref="N78:P78"/>
    <mergeCell ref="Q78:V78"/>
    <mergeCell ref="W78:AB78"/>
    <mergeCell ref="AC78:AE78"/>
    <mergeCell ref="B79:M79"/>
    <mergeCell ref="N79:P79"/>
    <mergeCell ref="Q79:V79"/>
    <mergeCell ref="W79:AB79"/>
    <mergeCell ref="AC79:AE79"/>
    <mergeCell ref="B76:M76"/>
    <mergeCell ref="N76:P76"/>
    <mergeCell ref="Q76:V76"/>
    <mergeCell ref="W76:AB76"/>
    <mergeCell ref="AC76:AE76"/>
    <mergeCell ref="B77:M77"/>
    <mergeCell ref="N77:P77"/>
    <mergeCell ref="Q77:V77"/>
    <mergeCell ref="W77:AB77"/>
    <mergeCell ref="AC77:AE77"/>
    <mergeCell ref="B82:M82"/>
    <mergeCell ref="N82:P82"/>
    <mergeCell ref="Q82:V82"/>
    <mergeCell ref="W82:AB82"/>
    <mergeCell ref="AC82:AE82"/>
    <mergeCell ref="B83:M83"/>
    <mergeCell ref="N83:P83"/>
    <mergeCell ref="Q83:V83"/>
    <mergeCell ref="W83:AB83"/>
    <mergeCell ref="AC83:AE83"/>
    <mergeCell ref="B80:M80"/>
    <mergeCell ref="N80:P80"/>
    <mergeCell ref="Q80:V80"/>
    <mergeCell ref="W80:AB80"/>
    <mergeCell ref="AC80:AE80"/>
    <mergeCell ref="B81:M81"/>
    <mergeCell ref="N81:P81"/>
    <mergeCell ref="Q81:V81"/>
    <mergeCell ref="W81:AB81"/>
    <mergeCell ref="AC81:AE81"/>
    <mergeCell ref="B86:M86"/>
    <mergeCell ref="N86:P86"/>
    <mergeCell ref="Q86:V86"/>
    <mergeCell ref="W86:AB86"/>
    <mergeCell ref="AC86:AE86"/>
    <mergeCell ref="B87:M87"/>
    <mergeCell ref="N87:P87"/>
    <mergeCell ref="Q87:V87"/>
    <mergeCell ref="W87:AB87"/>
    <mergeCell ref="AC87:AE87"/>
    <mergeCell ref="B84:M84"/>
    <mergeCell ref="N84:P84"/>
    <mergeCell ref="Q84:V84"/>
    <mergeCell ref="W84:AB84"/>
    <mergeCell ref="AC84:AE84"/>
    <mergeCell ref="B85:M85"/>
    <mergeCell ref="N85:P85"/>
    <mergeCell ref="Q85:V85"/>
    <mergeCell ref="W85:AB85"/>
    <mergeCell ref="AC85:AE85"/>
    <mergeCell ref="B90:M90"/>
    <mergeCell ref="N90:P90"/>
    <mergeCell ref="Q90:V90"/>
    <mergeCell ref="W90:AB90"/>
    <mergeCell ref="AC90:AE90"/>
    <mergeCell ref="B91:M91"/>
    <mergeCell ref="N91:P91"/>
    <mergeCell ref="Q91:V91"/>
    <mergeCell ref="W91:AB91"/>
    <mergeCell ref="AC91:AE91"/>
    <mergeCell ref="B88:M88"/>
    <mergeCell ref="N88:P88"/>
    <mergeCell ref="Q88:V88"/>
    <mergeCell ref="W88:AB88"/>
    <mergeCell ref="AC88:AE88"/>
    <mergeCell ref="B89:M89"/>
    <mergeCell ref="N89:P89"/>
    <mergeCell ref="Q89:V89"/>
    <mergeCell ref="W89:AB89"/>
    <mergeCell ref="AC89:AE89"/>
    <mergeCell ref="B94:M94"/>
    <mergeCell ref="N94:P94"/>
    <mergeCell ref="Q94:V94"/>
    <mergeCell ref="W94:AB94"/>
    <mergeCell ref="AC94:AE94"/>
    <mergeCell ref="B95:M95"/>
    <mergeCell ref="N95:P95"/>
    <mergeCell ref="Q95:V95"/>
    <mergeCell ref="W95:AB95"/>
    <mergeCell ref="AC95:AE95"/>
    <mergeCell ref="B92:M92"/>
    <mergeCell ref="N92:P92"/>
    <mergeCell ref="Q92:V92"/>
    <mergeCell ref="W92:AB92"/>
    <mergeCell ref="AC92:AE92"/>
    <mergeCell ref="B93:M93"/>
    <mergeCell ref="N93:P93"/>
    <mergeCell ref="Q93:V93"/>
    <mergeCell ref="W93:AB93"/>
    <mergeCell ref="AC93:AE93"/>
    <mergeCell ref="B98:M98"/>
    <mergeCell ref="N98:P98"/>
    <mergeCell ref="Q98:V98"/>
    <mergeCell ref="W98:AB98"/>
    <mergeCell ref="AC98:AE98"/>
    <mergeCell ref="B99:M99"/>
    <mergeCell ref="N99:P99"/>
    <mergeCell ref="Q99:V99"/>
    <mergeCell ref="W99:AB99"/>
    <mergeCell ref="AC99:AE99"/>
    <mergeCell ref="B96:M96"/>
    <mergeCell ref="N96:P96"/>
    <mergeCell ref="Q96:V96"/>
    <mergeCell ref="W96:AB96"/>
    <mergeCell ref="AC96:AE96"/>
    <mergeCell ref="B97:M97"/>
    <mergeCell ref="N97:P97"/>
    <mergeCell ref="Q97:V97"/>
    <mergeCell ref="W97:AB97"/>
    <mergeCell ref="AC97:AE97"/>
    <mergeCell ref="B102:M102"/>
    <mergeCell ref="N102:P102"/>
    <mergeCell ref="Q102:V102"/>
    <mergeCell ref="W102:AB102"/>
    <mergeCell ref="AC102:AE102"/>
    <mergeCell ref="B103:M103"/>
    <mergeCell ref="N103:P103"/>
    <mergeCell ref="Q103:V103"/>
    <mergeCell ref="W103:AB103"/>
    <mergeCell ref="AC103:AE103"/>
    <mergeCell ref="B100:M100"/>
    <mergeCell ref="N100:P100"/>
    <mergeCell ref="Q100:V100"/>
    <mergeCell ref="W100:AB100"/>
    <mergeCell ref="AC100:AE100"/>
    <mergeCell ref="B101:M101"/>
    <mergeCell ref="N101:P101"/>
    <mergeCell ref="Q101:V101"/>
    <mergeCell ref="W101:AB101"/>
    <mergeCell ref="AC101:AE101"/>
    <mergeCell ref="B106:M106"/>
    <mergeCell ref="N106:P106"/>
    <mergeCell ref="Q106:V106"/>
    <mergeCell ref="W106:AB106"/>
    <mergeCell ref="AC106:AE106"/>
    <mergeCell ref="B107:M107"/>
    <mergeCell ref="N107:P107"/>
    <mergeCell ref="Q107:V107"/>
    <mergeCell ref="W107:AB107"/>
    <mergeCell ref="AC107:AE107"/>
    <mergeCell ref="B104:M104"/>
    <mergeCell ref="N104:P104"/>
    <mergeCell ref="Q104:V104"/>
    <mergeCell ref="W104:AB104"/>
    <mergeCell ref="AC104:AE104"/>
    <mergeCell ref="B105:M105"/>
    <mergeCell ref="N105:P105"/>
    <mergeCell ref="Q105:V105"/>
    <mergeCell ref="W105:AB105"/>
    <mergeCell ref="AC105:AE105"/>
    <mergeCell ref="B110:M110"/>
    <mergeCell ref="N110:P110"/>
    <mergeCell ref="Q110:V110"/>
    <mergeCell ref="W110:AB110"/>
    <mergeCell ref="AC110:AE110"/>
    <mergeCell ref="B111:M111"/>
    <mergeCell ref="N111:P111"/>
    <mergeCell ref="Q111:V111"/>
    <mergeCell ref="W111:AB111"/>
    <mergeCell ref="AC111:AE111"/>
    <mergeCell ref="B108:M108"/>
    <mergeCell ref="N108:P108"/>
    <mergeCell ref="Q108:V108"/>
    <mergeCell ref="W108:AB108"/>
    <mergeCell ref="AC108:AE108"/>
    <mergeCell ref="B109:M109"/>
    <mergeCell ref="N109:P109"/>
    <mergeCell ref="Q109:V109"/>
    <mergeCell ref="W109:AB109"/>
    <mergeCell ref="AC109:AE109"/>
    <mergeCell ref="B114:M114"/>
    <mergeCell ref="N114:P114"/>
    <mergeCell ref="Q114:V114"/>
    <mergeCell ref="W114:AB114"/>
    <mergeCell ref="AC114:AE114"/>
    <mergeCell ref="B115:M115"/>
    <mergeCell ref="N115:P115"/>
    <mergeCell ref="Q115:V115"/>
    <mergeCell ref="W115:AB115"/>
    <mergeCell ref="AC115:AE115"/>
    <mergeCell ref="B112:M112"/>
    <mergeCell ref="N112:P112"/>
    <mergeCell ref="Q112:V112"/>
    <mergeCell ref="W112:AB112"/>
    <mergeCell ref="AC112:AE112"/>
    <mergeCell ref="B113:M113"/>
    <mergeCell ref="N113:P113"/>
    <mergeCell ref="Q113:V113"/>
    <mergeCell ref="W113:AB113"/>
    <mergeCell ref="AC113:AE113"/>
    <mergeCell ref="B118:M118"/>
    <mergeCell ref="N118:P118"/>
    <mergeCell ref="Q118:V118"/>
    <mergeCell ref="W118:AB118"/>
    <mergeCell ref="AC118:AE118"/>
    <mergeCell ref="B119:M119"/>
    <mergeCell ref="N119:P119"/>
    <mergeCell ref="Q119:V119"/>
    <mergeCell ref="W119:AB119"/>
    <mergeCell ref="AC119:AE119"/>
    <mergeCell ref="B116:M116"/>
    <mergeCell ref="N116:P116"/>
    <mergeCell ref="Q116:V116"/>
    <mergeCell ref="W116:AB116"/>
    <mergeCell ref="AC116:AE116"/>
    <mergeCell ref="B117:M117"/>
    <mergeCell ref="N117:P117"/>
    <mergeCell ref="Q117:V117"/>
    <mergeCell ref="W117:AB117"/>
    <mergeCell ref="AC117:AE117"/>
    <mergeCell ref="B122:M122"/>
    <mergeCell ref="N122:P122"/>
    <mergeCell ref="Q122:V122"/>
    <mergeCell ref="W122:AB122"/>
    <mergeCell ref="AC122:AE122"/>
    <mergeCell ref="B123:M123"/>
    <mergeCell ref="N123:P123"/>
    <mergeCell ref="Q123:V123"/>
    <mergeCell ref="W123:AB123"/>
    <mergeCell ref="AC123:AE123"/>
    <mergeCell ref="B120:M120"/>
    <mergeCell ref="N120:P120"/>
    <mergeCell ref="Q120:V120"/>
    <mergeCell ref="W120:AB120"/>
    <mergeCell ref="AC120:AE120"/>
    <mergeCell ref="B121:M121"/>
    <mergeCell ref="N121:P121"/>
    <mergeCell ref="Q121:V121"/>
    <mergeCell ref="W121:AB121"/>
    <mergeCell ref="AC121:AE121"/>
    <mergeCell ref="B126:M126"/>
    <mergeCell ref="N126:P126"/>
    <mergeCell ref="Q126:V126"/>
    <mergeCell ref="W126:AB126"/>
    <mergeCell ref="AC126:AE126"/>
    <mergeCell ref="B127:M127"/>
    <mergeCell ref="N127:P127"/>
    <mergeCell ref="Q127:V127"/>
    <mergeCell ref="W127:AB127"/>
    <mergeCell ref="AC127:AE127"/>
    <mergeCell ref="B124:M124"/>
    <mergeCell ref="N124:P124"/>
    <mergeCell ref="Q124:V124"/>
    <mergeCell ref="W124:AB124"/>
    <mergeCell ref="AC124:AE124"/>
    <mergeCell ref="B125:M125"/>
    <mergeCell ref="N125:P125"/>
    <mergeCell ref="Q125:V125"/>
    <mergeCell ref="W125:AB125"/>
    <mergeCell ref="AC125:AE125"/>
    <mergeCell ref="B130:M130"/>
    <mergeCell ref="N130:P130"/>
    <mergeCell ref="Q130:V130"/>
    <mergeCell ref="W130:AB130"/>
    <mergeCell ref="AC130:AE130"/>
    <mergeCell ref="B131:M131"/>
    <mergeCell ref="N131:P131"/>
    <mergeCell ref="Q131:V131"/>
    <mergeCell ref="W131:AB131"/>
    <mergeCell ref="AC131:AE131"/>
    <mergeCell ref="B128:M128"/>
    <mergeCell ref="N128:P128"/>
    <mergeCell ref="Q128:V128"/>
    <mergeCell ref="W128:AB128"/>
    <mergeCell ref="AC128:AE128"/>
    <mergeCell ref="B129:M129"/>
    <mergeCell ref="N129:P129"/>
    <mergeCell ref="Q129:V129"/>
    <mergeCell ref="W129:AB129"/>
    <mergeCell ref="AC129:AE129"/>
    <mergeCell ref="B134:M134"/>
    <mergeCell ref="N134:P134"/>
    <mergeCell ref="Q134:V134"/>
    <mergeCell ref="W134:AB134"/>
    <mergeCell ref="AC134:AE134"/>
    <mergeCell ref="B135:M135"/>
    <mergeCell ref="N135:P135"/>
    <mergeCell ref="Q135:V135"/>
    <mergeCell ref="W135:AB135"/>
    <mergeCell ref="AC135:AE135"/>
    <mergeCell ref="B132:M132"/>
    <mergeCell ref="N132:P132"/>
    <mergeCell ref="Q132:V132"/>
    <mergeCell ref="W132:AB132"/>
    <mergeCell ref="AC132:AE132"/>
    <mergeCell ref="B133:M133"/>
    <mergeCell ref="N133:P133"/>
    <mergeCell ref="Q133:V133"/>
    <mergeCell ref="W133:AB133"/>
    <mergeCell ref="AC133:AE133"/>
    <mergeCell ref="B138:M138"/>
    <mergeCell ref="N138:P138"/>
    <mergeCell ref="Q138:V138"/>
    <mergeCell ref="W138:AB138"/>
    <mergeCell ref="AC138:AE138"/>
    <mergeCell ref="B139:M139"/>
    <mergeCell ref="N139:P139"/>
    <mergeCell ref="Q139:V139"/>
    <mergeCell ref="W139:AB139"/>
    <mergeCell ref="AC139:AE139"/>
    <mergeCell ref="B136:M136"/>
    <mergeCell ref="N136:P136"/>
    <mergeCell ref="Q136:V136"/>
    <mergeCell ref="W136:AB136"/>
    <mergeCell ref="AC136:AE136"/>
    <mergeCell ref="B137:M137"/>
    <mergeCell ref="N137:P137"/>
    <mergeCell ref="Q137:V137"/>
    <mergeCell ref="W137:AB137"/>
    <mergeCell ref="AC137:AE137"/>
    <mergeCell ref="B142:M142"/>
    <mergeCell ref="N142:P142"/>
    <mergeCell ref="Q142:V142"/>
    <mergeCell ref="W142:AB142"/>
    <mergeCell ref="AC142:AE142"/>
    <mergeCell ref="B143:M143"/>
    <mergeCell ref="N143:P143"/>
    <mergeCell ref="Q143:V143"/>
    <mergeCell ref="W143:AB143"/>
    <mergeCell ref="AC143:AE143"/>
    <mergeCell ref="B140:M140"/>
    <mergeCell ref="N140:P140"/>
    <mergeCell ref="Q140:V140"/>
    <mergeCell ref="W140:AB140"/>
    <mergeCell ref="AC140:AE140"/>
    <mergeCell ref="B141:M141"/>
    <mergeCell ref="N141:P141"/>
    <mergeCell ref="Q141:V141"/>
    <mergeCell ref="W141:AB141"/>
    <mergeCell ref="AC141:AE141"/>
    <mergeCell ref="B146:M146"/>
    <mergeCell ref="N146:P146"/>
    <mergeCell ref="Q146:V146"/>
    <mergeCell ref="W146:AB146"/>
    <mergeCell ref="AC146:AE146"/>
    <mergeCell ref="B147:M147"/>
    <mergeCell ref="N147:P147"/>
    <mergeCell ref="Q147:V147"/>
    <mergeCell ref="W147:AB147"/>
    <mergeCell ref="AC147:AE147"/>
    <mergeCell ref="B144:M144"/>
    <mergeCell ref="N144:P144"/>
    <mergeCell ref="Q144:V144"/>
    <mergeCell ref="W144:AB144"/>
    <mergeCell ref="AC144:AE144"/>
    <mergeCell ref="B145:M145"/>
    <mergeCell ref="N145:P145"/>
    <mergeCell ref="Q145:V145"/>
    <mergeCell ref="W145:AB145"/>
    <mergeCell ref="AC145:AE145"/>
    <mergeCell ref="B150:M150"/>
    <mergeCell ref="N150:P150"/>
    <mergeCell ref="Q150:V150"/>
    <mergeCell ref="W150:AB150"/>
    <mergeCell ref="AC150:AE150"/>
    <mergeCell ref="B151:M151"/>
    <mergeCell ref="N151:P151"/>
    <mergeCell ref="Q151:V151"/>
    <mergeCell ref="W151:AB151"/>
    <mergeCell ref="AC151:AE151"/>
    <mergeCell ref="B148:M148"/>
    <mergeCell ref="N148:P148"/>
    <mergeCell ref="Q148:V148"/>
    <mergeCell ref="W148:AB148"/>
    <mergeCell ref="AC148:AE148"/>
    <mergeCell ref="B149:M149"/>
    <mergeCell ref="N149:P149"/>
    <mergeCell ref="Q149:V149"/>
    <mergeCell ref="W149:AB149"/>
    <mergeCell ref="AC149:AE149"/>
    <mergeCell ref="B154:M154"/>
    <mergeCell ref="N154:P154"/>
    <mergeCell ref="Q154:V154"/>
    <mergeCell ref="W154:AB154"/>
    <mergeCell ref="AC154:AE154"/>
    <mergeCell ref="B155:M155"/>
    <mergeCell ref="N155:P155"/>
    <mergeCell ref="Q155:V155"/>
    <mergeCell ref="W155:AB155"/>
    <mergeCell ref="AC155:AE155"/>
    <mergeCell ref="B152:M152"/>
    <mergeCell ref="N152:P152"/>
    <mergeCell ref="Q152:V152"/>
    <mergeCell ref="W152:AB152"/>
    <mergeCell ref="AC152:AE152"/>
    <mergeCell ref="B153:M153"/>
    <mergeCell ref="N153:P153"/>
    <mergeCell ref="Q153:V153"/>
    <mergeCell ref="W153:AB153"/>
    <mergeCell ref="AC153:AE153"/>
    <mergeCell ref="B158:M158"/>
    <mergeCell ref="N158:P158"/>
    <mergeCell ref="Q158:V158"/>
    <mergeCell ref="W158:AB158"/>
    <mergeCell ref="AC158:AE158"/>
    <mergeCell ref="B159:M159"/>
    <mergeCell ref="N159:P159"/>
    <mergeCell ref="Q159:V159"/>
    <mergeCell ref="W159:AB159"/>
    <mergeCell ref="AC159:AE159"/>
    <mergeCell ref="B156:M156"/>
    <mergeCell ref="N156:P156"/>
    <mergeCell ref="Q156:V156"/>
    <mergeCell ref="W156:AB156"/>
    <mergeCell ref="AC156:AE156"/>
    <mergeCell ref="B157:M157"/>
    <mergeCell ref="N157:P157"/>
    <mergeCell ref="Q157:V157"/>
    <mergeCell ref="W157:AB157"/>
    <mergeCell ref="AC157:AE157"/>
    <mergeCell ref="B162:M162"/>
    <mergeCell ref="N162:P162"/>
    <mergeCell ref="Q162:V162"/>
    <mergeCell ref="W162:AB162"/>
    <mergeCell ref="AC162:AE162"/>
    <mergeCell ref="B163:M163"/>
    <mergeCell ref="N163:P163"/>
    <mergeCell ref="Q163:V163"/>
    <mergeCell ref="W163:AB163"/>
    <mergeCell ref="AC163:AE163"/>
    <mergeCell ref="B160:M160"/>
    <mergeCell ref="N160:P160"/>
    <mergeCell ref="Q160:V160"/>
    <mergeCell ref="W160:AB160"/>
    <mergeCell ref="AC160:AE160"/>
    <mergeCell ref="B161:M161"/>
    <mergeCell ref="N161:P161"/>
    <mergeCell ref="Q161:V161"/>
    <mergeCell ref="W161:AB161"/>
    <mergeCell ref="AC161:AE161"/>
    <mergeCell ref="B166:M166"/>
    <mergeCell ref="N166:P166"/>
    <mergeCell ref="Q166:V166"/>
    <mergeCell ref="W166:AB166"/>
    <mergeCell ref="AC166:AE166"/>
    <mergeCell ref="B167:M167"/>
    <mergeCell ref="N167:P167"/>
    <mergeCell ref="Q167:V167"/>
    <mergeCell ref="W167:AB167"/>
    <mergeCell ref="AC167:AE167"/>
    <mergeCell ref="B164:M164"/>
    <mergeCell ref="N164:P164"/>
    <mergeCell ref="Q164:V164"/>
    <mergeCell ref="W164:AB164"/>
    <mergeCell ref="AC164:AE164"/>
    <mergeCell ref="B165:M165"/>
    <mergeCell ref="N165:P165"/>
    <mergeCell ref="Q165:V165"/>
    <mergeCell ref="W165:AB165"/>
    <mergeCell ref="AC165:AE165"/>
    <mergeCell ref="B170:M170"/>
    <mergeCell ref="N170:P170"/>
    <mergeCell ref="Q170:V170"/>
    <mergeCell ref="W170:AB170"/>
    <mergeCell ref="AC170:AE170"/>
    <mergeCell ref="B171:M171"/>
    <mergeCell ref="N171:P171"/>
    <mergeCell ref="Q171:V171"/>
    <mergeCell ref="W171:AB171"/>
    <mergeCell ref="AC171:AE171"/>
    <mergeCell ref="B168:M168"/>
    <mergeCell ref="N168:P168"/>
    <mergeCell ref="Q168:V168"/>
    <mergeCell ref="W168:AB168"/>
    <mergeCell ref="AC168:AE168"/>
    <mergeCell ref="B169:M169"/>
    <mergeCell ref="N169:P169"/>
    <mergeCell ref="Q169:V169"/>
    <mergeCell ref="W169:AB169"/>
    <mergeCell ref="AC169:AE169"/>
    <mergeCell ref="B174:M174"/>
    <mergeCell ref="N174:P174"/>
    <mergeCell ref="Q174:V174"/>
    <mergeCell ref="W174:AB174"/>
    <mergeCell ref="AC174:AE174"/>
    <mergeCell ref="B175:M175"/>
    <mergeCell ref="N175:P175"/>
    <mergeCell ref="Q175:V175"/>
    <mergeCell ref="W175:AB175"/>
    <mergeCell ref="AC175:AE175"/>
    <mergeCell ref="B172:M172"/>
    <mergeCell ref="N172:P172"/>
    <mergeCell ref="Q172:V172"/>
    <mergeCell ref="W172:AB172"/>
    <mergeCell ref="AC172:AE172"/>
    <mergeCell ref="B173:M173"/>
    <mergeCell ref="N173:P173"/>
    <mergeCell ref="Q173:V173"/>
    <mergeCell ref="W173:AB173"/>
    <mergeCell ref="AC173:AE173"/>
    <mergeCell ref="B178:M178"/>
    <mergeCell ref="N178:P178"/>
    <mergeCell ref="Q178:V178"/>
    <mergeCell ref="W178:AB178"/>
    <mergeCell ref="AC178:AE178"/>
    <mergeCell ref="B179:M179"/>
    <mergeCell ref="N179:P179"/>
    <mergeCell ref="Q179:V179"/>
    <mergeCell ref="W179:AB179"/>
    <mergeCell ref="AC179:AE179"/>
    <mergeCell ref="B176:M176"/>
    <mergeCell ref="N176:P176"/>
    <mergeCell ref="Q176:V176"/>
    <mergeCell ref="W176:AB176"/>
    <mergeCell ref="AC176:AE176"/>
    <mergeCell ref="B177:M177"/>
    <mergeCell ref="N177:P177"/>
    <mergeCell ref="Q177:V177"/>
    <mergeCell ref="W177:AB177"/>
    <mergeCell ref="AC177:AE177"/>
    <mergeCell ref="B182:M182"/>
    <mergeCell ref="N182:P182"/>
    <mergeCell ref="Q182:V182"/>
    <mergeCell ref="W182:AB182"/>
    <mergeCell ref="AC182:AE182"/>
    <mergeCell ref="B183:M183"/>
    <mergeCell ref="N183:P183"/>
    <mergeCell ref="Q183:V183"/>
    <mergeCell ref="W183:AB183"/>
    <mergeCell ref="AC183:AE183"/>
    <mergeCell ref="B180:M180"/>
    <mergeCell ref="N180:P180"/>
    <mergeCell ref="Q180:V180"/>
    <mergeCell ref="W180:AB180"/>
    <mergeCell ref="AC180:AE180"/>
    <mergeCell ref="B181:M181"/>
    <mergeCell ref="N181:P181"/>
    <mergeCell ref="Q181:V181"/>
    <mergeCell ref="W181:AB181"/>
    <mergeCell ref="AC181:AE181"/>
    <mergeCell ref="B186:M186"/>
    <mergeCell ref="N186:P186"/>
    <mergeCell ref="Q186:V186"/>
    <mergeCell ref="W186:AB186"/>
    <mergeCell ref="AC186:AE186"/>
    <mergeCell ref="B187:M187"/>
    <mergeCell ref="N187:P187"/>
    <mergeCell ref="Q187:V187"/>
    <mergeCell ref="W187:AB187"/>
    <mergeCell ref="AC187:AE187"/>
    <mergeCell ref="B184:M184"/>
    <mergeCell ref="N184:P184"/>
    <mergeCell ref="Q184:V184"/>
    <mergeCell ref="W184:AB184"/>
    <mergeCell ref="AC184:AE184"/>
    <mergeCell ref="B185:M185"/>
    <mergeCell ref="N185:P185"/>
    <mergeCell ref="Q185:V185"/>
    <mergeCell ref="W185:AB185"/>
    <mergeCell ref="AC185:AE185"/>
    <mergeCell ref="B190:M190"/>
    <mergeCell ref="N190:P190"/>
    <mergeCell ref="Q190:V190"/>
    <mergeCell ref="W190:AB190"/>
    <mergeCell ref="AC190:AE190"/>
    <mergeCell ref="B191:M191"/>
    <mergeCell ref="N191:P191"/>
    <mergeCell ref="Q191:V191"/>
    <mergeCell ref="W191:AB191"/>
    <mergeCell ref="AC191:AE191"/>
    <mergeCell ref="B188:M188"/>
    <mergeCell ref="N188:P188"/>
    <mergeCell ref="Q188:V188"/>
    <mergeCell ref="W188:AB188"/>
    <mergeCell ref="AC188:AE188"/>
    <mergeCell ref="B189:M189"/>
    <mergeCell ref="N189:P189"/>
    <mergeCell ref="Q189:V189"/>
    <mergeCell ref="W189:AB189"/>
    <mergeCell ref="AC189:AE189"/>
    <mergeCell ref="B194:M194"/>
    <mergeCell ref="N194:P194"/>
    <mergeCell ref="Q194:V194"/>
    <mergeCell ref="W194:AB194"/>
    <mergeCell ref="AC194:AE194"/>
    <mergeCell ref="B195:M195"/>
    <mergeCell ref="N195:P195"/>
    <mergeCell ref="Q195:V195"/>
    <mergeCell ref="W195:AB195"/>
    <mergeCell ref="AC195:AE195"/>
    <mergeCell ref="B192:M192"/>
    <mergeCell ref="N192:P192"/>
    <mergeCell ref="Q192:V192"/>
    <mergeCell ref="W192:AB192"/>
    <mergeCell ref="AC192:AE192"/>
    <mergeCell ref="B193:M193"/>
    <mergeCell ref="N193:P193"/>
    <mergeCell ref="Q193:V193"/>
    <mergeCell ref="W193:AB193"/>
    <mergeCell ref="AC193:AE193"/>
    <mergeCell ref="B198:M198"/>
    <mergeCell ref="N198:P198"/>
    <mergeCell ref="Q198:V198"/>
    <mergeCell ref="W198:AB198"/>
    <mergeCell ref="AC198:AE198"/>
    <mergeCell ref="B199:M199"/>
    <mergeCell ref="N199:P199"/>
    <mergeCell ref="Q199:V199"/>
    <mergeCell ref="W199:AB199"/>
    <mergeCell ref="AC199:AE199"/>
    <mergeCell ref="B196:M196"/>
    <mergeCell ref="N196:P196"/>
    <mergeCell ref="Q196:V196"/>
    <mergeCell ref="W196:AB196"/>
    <mergeCell ref="AC196:AE196"/>
    <mergeCell ref="B197:M197"/>
    <mergeCell ref="N197:P197"/>
    <mergeCell ref="Q197:V197"/>
    <mergeCell ref="W197:AB197"/>
    <mergeCell ref="AC197:AE197"/>
    <mergeCell ref="B202:M202"/>
    <mergeCell ref="N202:P202"/>
    <mergeCell ref="Q202:V202"/>
    <mergeCell ref="W202:AB202"/>
    <mergeCell ref="AC202:AE202"/>
    <mergeCell ref="B203:M203"/>
    <mergeCell ref="N203:P203"/>
    <mergeCell ref="Q203:V203"/>
    <mergeCell ref="W203:AB203"/>
    <mergeCell ref="AC203:AE203"/>
    <mergeCell ref="B200:M200"/>
    <mergeCell ref="N200:P200"/>
    <mergeCell ref="Q200:V200"/>
    <mergeCell ref="W200:AB200"/>
    <mergeCell ref="AC200:AE200"/>
    <mergeCell ref="B201:M201"/>
    <mergeCell ref="N201:P201"/>
    <mergeCell ref="Q201:V201"/>
    <mergeCell ref="W201:AB201"/>
    <mergeCell ref="AC201:AE201"/>
    <mergeCell ref="B206:M206"/>
    <mergeCell ref="N206:P206"/>
    <mergeCell ref="Q206:V206"/>
    <mergeCell ref="W206:AB206"/>
    <mergeCell ref="AC206:AE206"/>
    <mergeCell ref="B207:M207"/>
    <mergeCell ref="N207:P207"/>
    <mergeCell ref="Q207:V207"/>
    <mergeCell ref="W207:AB207"/>
    <mergeCell ref="AC207:AE207"/>
    <mergeCell ref="B204:M204"/>
    <mergeCell ref="N204:P204"/>
    <mergeCell ref="Q204:V204"/>
    <mergeCell ref="W204:AB204"/>
    <mergeCell ref="AC204:AE204"/>
    <mergeCell ref="B205:M205"/>
    <mergeCell ref="N205:P205"/>
    <mergeCell ref="Q205:V205"/>
    <mergeCell ref="W205:AB205"/>
    <mergeCell ref="AC205:AE205"/>
    <mergeCell ref="B210:M210"/>
    <mergeCell ref="N210:P210"/>
    <mergeCell ref="Q210:V210"/>
    <mergeCell ref="W210:AB210"/>
    <mergeCell ref="AC210:AE210"/>
    <mergeCell ref="B211:M211"/>
    <mergeCell ref="N211:P211"/>
    <mergeCell ref="Q211:V211"/>
    <mergeCell ref="W211:AB211"/>
    <mergeCell ref="AC211:AE211"/>
    <mergeCell ref="B208:M208"/>
    <mergeCell ref="N208:P208"/>
    <mergeCell ref="Q208:V208"/>
    <mergeCell ref="W208:AB208"/>
    <mergeCell ref="AC208:AE208"/>
    <mergeCell ref="B209:M209"/>
    <mergeCell ref="N209:P209"/>
    <mergeCell ref="Q209:V209"/>
    <mergeCell ref="W209:AB209"/>
    <mergeCell ref="AC209:AE209"/>
    <mergeCell ref="B214:M214"/>
    <mergeCell ref="N214:P214"/>
    <mergeCell ref="Q214:V214"/>
    <mergeCell ref="W214:AB214"/>
    <mergeCell ref="AC214:AE214"/>
    <mergeCell ref="B215:M215"/>
    <mergeCell ref="N215:P215"/>
    <mergeCell ref="Q215:V215"/>
    <mergeCell ref="W215:AB215"/>
    <mergeCell ref="AC215:AE215"/>
    <mergeCell ref="B212:M212"/>
    <mergeCell ref="N212:P212"/>
    <mergeCell ref="Q212:V212"/>
    <mergeCell ref="W212:AB212"/>
    <mergeCell ref="AC212:AE212"/>
    <mergeCell ref="B213:M213"/>
    <mergeCell ref="N213:P213"/>
    <mergeCell ref="Q213:V213"/>
    <mergeCell ref="W213:AB213"/>
    <mergeCell ref="AC213:AE213"/>
    <mergeCell ref="B218:M218"/>
    <mergeCell ref="N218:P218"/>
    <mergeCell ref="Q218:V218"/>
    <mergeCell ref="W218:AB218"/>
    <mergeCell ref="AC218:AE218"/>
    <mergeCell ref="B219:M219"/>
    <mergeCell ref="N219:P219"/>
    <mergeCell ref="Q219:V219"/>
    <mergeCell ref="W219:AB219"/>
    <mergeCell ref="AC219:AE219"/>
    <mergeCell ref="B216:M216"/>
    <mergeCell ref="N216:P216"/>
    <mergeCell ref="Q216:V216"/>
    <mergeCell ref="W216:AB216"/>
    <mergeCell ref="AC216:AE216"/>
    <mergeCell ref="B217:M217"/>
    <mergeCell ref="N217:P217"/>
    <mergeCell ref="Q217:V217"/>
    <mergeCell ref="W217:AB217"/>
    <mergeCell ref="AC217:AE217"/>
    <mergeCell ref="B222:M222"/>
    <mergeCell ref="N222:P222"/>
    <mergeCell ref="Q222:V222"/>
    <mergeCell ref="W222:AB222"/>
    <mergeCell ref="AC222:AE222"/>
    <mergeCell ref="B223:M223"/>
    <mergeCell ref="N223:P223"/>
    <mergeCell ref="Q223:V223"/>
    <mergeCell ref="W223:AB223"/>
    <mergeCell ref="AC223:AE223"/>
    <mergeCell ref="B220:M220"/>
    <mergeCell ref="N220:P220"/>
    <mergeCell ref="Q220:V220"/>
    <mergeCell ref="W220:AB220"/>
    <mergeCell ref="AC220:AE220"/>
    <mergeCell ref="B221:M221"/>
    <mergeCell ref="N221:P221"/>
    <mergeCell ref="Q221:V221"/>
    <mergeCell ref="W221:AB221"/>
    <mergeCell ref="AC221:AE221"/>
    <mergeCell ref="B226:M226"/>
    <mergeCell ref="N226:P226"/>
    <mergeCell ref="Q226:V226"/>
    <mergeCell ref="W226:AB226"/>
    <mergeCell ref="AC226:AE226"/>
    <mergeCell ref="B227:M227"/>
    <mergeCell ref="N227:P227"/>
    <mergeCell ref="Q227:V227"/>
    <mergeCell ref="W227:AB227"/>
    <mergeCell ref="AC227:AE227"/>
    <mergeCell ref="B224:M224"/>
    <mergeCell ref="N224:P224"/>
    <mergeCell ref="Q224:V224"/>
    <mergeCell ref="W224:AB224"/>
    <mergeCell ref="AC224:AE224"/>
    <mergeCell ref="B225:M225"/>
    <mergeCell ref="N225:P225"/>
    <mergeCell ref="Q225:V225"/>
    <mergeCell ref="W225:AB225"/>
    <mergeCell ref="AC225:AE225"/>
    <mergeCell ref="B230:M230"/>
    <mergeCell ref="N230:P230"/>
    <mergeCell ref="Q230:V230"/>
    <mergeCell ref="W230:AB230"/>
    <mergeCell ref="AC230:AE230"/>
    <mergeCell ref="B231:M231"/>
    <mergeCell ref="N231:P231"/>
    <mergeCell ref="Q231:V231"/>
    <mergeCell ref="W231:AB231"/>
    <mergeCell ref="AC231:AE231"/>
    <mergeCell ref="B228:M228"/>
    <mergeCell ref="N228:P228"/>
    <mergeCell ref="Q228:V228"/>
    <mergeCell ref="W228:AB228"/>
    <mergeCell ref="AC228:AE228"/>
    <mergeCell ref="B229:M229"/>
    <mergeCell ref="N229:P229"/>
    <mergeCell ref="Q229:V229"/>
    <mergeCell ref="W229:AB229"/>
    <mergeCell ref="AC229:AE229"/>
    <mergeCell ref="B234:M234"/>
    <mergeCell ref="N234:P234"/>
    <mergeCell ref="Q234:V234"/>
    <mergeCell ref="W234:AB234"/>
    <mergeCell ref="AC234:AE234"/>
    <mergeCell ref="B235:M235"/>
    <mergeCell ref="N235:P235"/>
    <mergeCell ref="Q235:V235"/>
    <mergeCell ref="W235:AB235"/>
    <mergeCell ref="AC235:AE235"/>
    <mergeCell ref="B232:M232"/>
    <mergeCell ref="N232:P232"/>
    <mergeCell ref="Q232:V232"/>
    <mergeCell ref="W232:AB232"/>
    <mergeCell ref="AC232:AE232"/>
    <mergeCell ref="B233:M233"/>
    <mergeCell ref="N233:P233"/>
    <mergeCell ref="Q233:V233"/>
    <mergeCell ref="W233:AB233"/>
    <mergeCell ref="AC233:AE233"/>
    <mergeCell ref="B238:M238"/>
    <mergeCell ref="N238:P238"/>
    <mergeCell ref="Q238:V238"/>
    <mergeCell ref="W238:AB238"/>
    <mergeCell ref="AC238:AE238"/>
    <mergeCell ref="B239:M239"/>
    <mergeCell ref="N239:P239"/>
    <mergeCell ref="Q239:V239"/>
    <mergeCell ref="W239:AB239"/>
    <mergeCell ref="AC239:AE239"/>
    <mergeCell ref="B236:M236"/>
    <mergeCell ref="N236:P236"/>
    <mergeCell ref="Q236:V236"/>
    <mergeCell ref="W236:AB236"/>
    <mergeCell ref="AC236:AE236"/>
    <mergeCell ref="B237:M237"/>
    <mergeCell ref="N237:P237"/>
    <mergeCell ref="Q237:V237"/>
    <mergeCell ref="W237:AB237"/>
    <mergeCell ref="AC237:AE237"/>
    <mergeCell ref="B242:M242"/>
    <mergeCell ref="N242:P242"/>
    <mergeCell ref="Q242:V242"/>
    <mergeCell ref="W242:AB242"/>
    <mergeCell ref="AC242:AE242"/>
    <mergeCell ref="B243:M243"/>
    <mergeCell ref="N243:P243"/>
    <mergeCell ref="Q243:V243"/>
    <mergeCell ref="W243:AB243"/>
    <mergeCell ref="AC243:AE243"/>
    <mergeCell ref="B240:M240"/>
    <mergeCell ref="N240:P240"/>
    <mergeCell ref="Q240:V240"/>
    <mergeCell ref="W240:AB240"/>
    <mergeCell ref="AC240:AE240"/>
    <mergeCell ref="B241:M241"/>
    <mergeCell ref="N241:P241"/>
    <mergeCell ref="Q241:V241"/>
    <mergeCell ref="W241:AB241"/>
    <mergeCell ref="AC241:AE241"/>
    <mergeCell ref="B246:M246"/>
    <mergeCell ref="N246:P246"/>
    <mergeCell ref="Q246:V246"/>
    <mergeCell ref="W246:AB246"/>
    <mergeCell ref="AC246:AE246"/>
    <mergeCell ref="B247:M247"/>
    <mergeCell ref="N247:P247"/>
    <mergeCell ref="Q247:V247"/>
    <mergeCell ref="W247:AB247"/>
    <mergeCell ref="AC247:AE247"/>
    <mergeCell ref="B244:M244"/>
    <mergeCell ref="N244:P244"/>
    <mergeCell ref="Q244:V244"/>
    <mergeCell ref="W244:AB244"/>
    <mergeCell ref="AC244:AE244"/>
    <mergeCell ref="B245:M245"/>
    <mergeCell ref="N245:P245"/>
    <mergeCell ref="Q245:V245"/>
    <mergeCell ref="W245:AB245"/>
    <mergeCell ref="AC245:AE245"/>
    <mergeCell ref="B250:M250"/>
    <mergeCell ref="N250:P250"/>
    <mergeCell ref="Q250:V250"/>
    <mergeCell ref="W250:AB250"/>
    <mergeCell ref="AC250:AE250"/>
    <mergeCell ref="B251:M251"/>
    <mergeCell ref="N251:P251"/>
    <mergeCell ref="Q251:V251"/>
    <mergeCell ref="W251:AB251"/>
    <mergeCell ref="AC251:AE251"/>
    <mergeCell ref="B248:M248"/>
    <mergeCell ref="N248:P248"/>
    <mergeCell ref="Q248:V248"/>
    <mergeCell ref="W248:AB248"/>
    <mergeCell ref="AC248:AE248"/>
    <mergeCell ref="B249:M249"/>
    <mergeCell ref="N249:P249"/>
    <mergeCell ref="Q249:V249"/>
    <mergeCell ref="W249:AB249"/>
    <mergeCell ref="AC249:AE249"/>
    <mergeCell ref="B254:M254"/>
    <mergeCell ref="N254:P254"/>
    <mergeCell ref="Q254:V254"/>
    <mergeCell ref="W254:AB254"/>
    <mergeCell ref="AC254:AE254"/>
    <mergeCell ref="B255:M255"/>
    <mergeCell ref="N255:P255"/>
    <mergeCell ref="Q255:V255"/>
    <mergeCell ref="W255:AB255"/>
    <mergeCell ref="AC255:AE255"/>
    <mergeCell ref="B252:M252"/>
    <mergeCell ref="N252:P252"/>
    <mergeCell ref="Q252:V252"/>
    <mergeCell ref="W252:AB252"/>
    <mergeCell ref="AC252:AE252"/>
    <mergeCell ref="B253:M253"/>
    <mergeCell ref="N253:P253"/>
    <mergeCell ref="Q253:V253"/>
    <mergeCell ref="W253:AB253"/>
    <mergeCell ref="AC253:AE253"/>
    <mergeCell ref="B258:M258"/>
    <mergeCell ref="N258:P258"/>
    <mergeCell ref="Q258:V258"/>
    <mergeCell ref="W258:AB258"/>
    <mergeCell ref="AC258:AE258"/>
    <mergeCell ref="B259:M259"/>
    <mergeCell ref="N259:P259"/>
    <mergeCell ref="Q259:V259"/>
    <mergeCell ref="W259:AB259"/>
    <mergeCell ref="AC259:AE259"/>
    <mergeCell ref="B256:M256"/>
    <mergeCell ref="N256:P256"/>
    <mergeCell ref="Q256:V256"/>
    <mergeCell ref="W256:AB256"/>
    <mergeCell ref="AC256:AE256"/>
    <mergeCell ref="B257:M257"/>
    <mergeCell ref="N257:P257"/>
    <mergeCell ref="Q257:V257"/>
    <mergeCell ref="W257:AB257"/>
    <mergeCell ref="AC257:AE257"/>
    <mergeCell ref="B262:M262"/>
    <mergeCell ref="N262:P262"/>
    <mergeCell ref="Q262:V262"/>
    <mergeCell ref="W262:AB262"/>
    <mergeCell ref="AC262:AE262"/>
    <mergeCell ref="B263:M263"/>
    <mergeCell ref="N263:P263"/>
    <mergeCell ref="Q263:V263"/>
    <mergeCell ref="W263:AB263"/>
    <mergeCell ref="AC263:AE263"/>
    <mergeCell ref="B260:M260"/>
    <mergeCell ref="N260:P260"/>
    <mergeCell ref="Q260:V260"/>
    <mergeCell ref="W260:AB260"/>
    <mergeCell ref="AC260:AE260"/>
    <mergeCell ref="B261:M261"/>
    <mergeCell ref="N261:P261"/>
    <mergeCell ref="Q261:V261"/>
    <mergeCell ref="W261:AB261"/>
    <mergeCell ref="AC261:AE261"/>
    <mergeCell ref="B266:M266"/>
    <mergeCell ref="N266:P266"/>
    <mergeCell ref="Q266:V266"/>
    <mergeCell ref="W266:AB266"/>
    <mergeCell ref="AC266:AE266"/>
    <mergeCell ref="B267:M267"/>
    <mergeCell ref="N267:P267"/>
    <mergeCell ref="Q267:V267"/>
    <mergeCell ref="W267:AB267"/>
    <mergeCell ref="AC267:AE267"/>
    <mergeCell ref="B264:M264"/>
    <mergeCell ref="N264:P264"/>
    <mergeCell ref="Q264:V264"/>
    <mergeCell ref="W264:AB264"/>
    <mergeCell ref="AC264:AE264"/>
    <mergeCell ref="B265:M265"/>
    <mergeCell ref="N265:P265"/>
    <mergeCell ref="Q265:V265"/>
    <mergeCell ref="W265:AB265"/>
    <mergeCell ref="AC265:AE265"/>
    <mergeCell ref="B270:M270"/>
    <mergeCell ref="N270:P270"/>
    <mergeCell ref="Q270:V270"/>
    <mergeCell ref="W270:AB270"/>
    <mergeCell ref="AC270:AE270"/>
    <mergeCell ref="B271:M271"/>
    <mergeCell ref="N271:P271"/>
    <mergeCell ref="Q271:V271"/>
    <mergeCell ref="W271:AB271"/>
    <mergeCell ref="AC271:AE271"/>
    <mergeCell ref="B268:M268"/>
    <mergeCell ref="N268:P268"/>
    <mergeCell ref="Q268:V268"/>
    <mergeCell ref="W268:AB268"/>
    <mergeCell ref="AC268:AE268"/>
    <mergeCell ref="B269:M269"/>
    <mergeCell ref="N269:P269"/>
    <mergeCell ref="Q269:V269"/>
    <mergeCell ref="W269:AB269"/>
    <mergeCell ref="AC269:AE269"/>
    <mergeCell ref="B274:M274"/>
    <mergeCell ref="N274:P274"/>
    <mergeCell ref="Q274:V274"/>
    <mergeCell ref="W274:AB274"/>
    <mergeCell ref="AC274:AE274"/>
    <mergeCell ref="B275:M275"/>
    <mergeCell ref="N275:P275"/>
    <mergeCell ref="Q275:V275"/>
    <mergeCell ref="W275:AB275"/>
    <mergeCell ref="AC275:AE275"/>
    <mergeCell ref="B272:M272"/>
    <mergeCell ref="N272:P272"/>
    <mergeCell ref="Q272:V272"/>
    <mergeCell ref="W272:AB272"/>
    <mergeCell ref="AC272:AE272"/>
    <mergeCell ref="B273:M273"/>
    <mergeCell ref="N273:P273"/>
    <mergeCell ref="Q273:V273"/>
    <mergeCell ref="W273:AB273"/>
    <mergeCell ref="AC273:AE273"/>
    <mergeCell ref="B278:M278"/>
    <mergeCell ref="N278:P278"/>
    <mergeCell ref="Q278:V278"/>
    <mergeCell ref="W278:AB278"/>
    <mergeCell ref="AC278:AE278"/>
    <mergeCell ref="B279:M279"/>
    <mergeCell ref="N279:P279"/>
    <mergeCell ref="Q279:V279"/>
    <mergeCell ref="W279:AB279"/>
    <mergeCell ref="AC279:AE279"/>
    <mergeCell ref="B276:M276"/>
    <mergeCell ref="N276:P276"/>
    <mergeCell ref="Q276:V276"/>
    <mergeCell ref="W276:AB276"/>
    <mergeCell ref="AC276:AE276"/>
    <mergeCell ref="B277:M277"/>
    <mergeCell ref="N277:P277"/>
    <mergeCell ref="Q277:V277"/>
    <mergeCell ref="W277:AB277"/>
    <mergeCell ref="AC277:AE277"/>
    <mergeCell ref="B282:M282"/>
    <mergeCell ref="N282:P282"/>
    <mergeCell ref="Q282:V282"/>
    <mergeCell ref="W282:AB282"/>
    <mergeCell ref="AC282:AE282"/>
    <mergeCell ref="B283:M283"/>
    <mergeCell ref="N283:P283"/>
    <mergeCell ref="Q283:V283"/>
    <mergeCell ref="W283:AB283"/>
    <mergeCell ref="AC283:AE283"/>
    <mergeCell ref="B280:M280"/>
    <mergeCell ref="N280:P280"/>
    <mergeCell ref="Q280:V280"/>
    <mergeCell ref="W280:AB280"/>
    <mergeCell ref="AC280:AE280"/>
    <mergeCell ref="B281:M281"/>
    <mergeCell ref="N281:P281"/>
    <mergeCell ref="Q281:V281"/>
    <mergeCell ref="W281:AB281"/>
    <mergeCell ref="AC281:AE281"/>
    <mergeCell ref="B286:M286"/>
    <mergeCell ref="N286:P286"/>
    <mergeCell ref="Q286:V286"/>
    <mergeCell ref="W286:AB286"/>
    <mergeCell ref="AC286:AE286"/>
    <mergeCell ref="B287:M287"/>
    <mergeCell ref="N287:P287"/>
    <mergeCell ref="Q287:V287"/>
    <mergeCell ref="W287:AB287"/>
    <mergeCell ref="AC287:AE287"/>
    <mergeCell ref="B284:M284"/>
    <mergeCell ref="N284:P284"/>
    <mergeCell ref="Q284:V284"/>
    <mergeCell ref="W284:AB284"/>
    <mergeCell ref="AC284:AE284"/>
    <mergeCell ref="B285:M285"/>
    <mergeCell ref="N285:P285"/>
    <mergeCell ref="Q285:V285"/>
    <mergeCell ref="W285:AB285"/>
    <mergeCell ref="AC285:AE285"/>
    <mergeCell ref="B290:M290"/>
    <mergeCell ref="N290:P290"/>
    <mergeCell ref="Q290:V290"/>
    <mergeCell ref="W290:AB290"/>
    <mergeCell ref="AC290:AE290"/>
    <mergeCell ref="B291:M291"/>
    <mergeCell ref="N291:P291"/>
    <mergeCell ref="Q291:V291"/>
    <mergeCell ref="W291:AB291"/>
    <mergeCell ref="AC291:AE291"/>
    <mergeCell ref="B288:M288"/>
    <mergeCell ref="N288:P288"/>
    <mergeCell ref="Q288:V288"/>
    <mergeCell ref="W288:AB288"/>
    <mergeCell ref="AC288:AE288"/>
    <mergeCell ref="B289:M289"/>
    <mergeCell ref="N289:P289"/>
    <mergeCell ref="Q289:V289"/>
    <mergeCell ref="W289:AB289"/>
    <mergeCell ref="AC289:AE289"/>
    <mergeCell ref="B294:M294"/>
    <mergeCell ref="N294:P294"/>
    <mergeCell ref="Q294:V294"/>
    <mergeCell ref="W294:AB294"/>
    <mergeCell ref="AC294:AE294"/>
    <mergeCell ref="B295:M295"/>
    <mergeCell ref="N295:P295"/>
    <mergeCell ref="Q295:V295"/>
    <mergeCell ref="W295:AB295"/>
    <mergeCell ref="AC295:AE295"/>
    <mergeCell ref="B292:M292"/>
    <mergeCell ref="N292:P292"/>
    <mergeCell ref="Q292:V292"/>
    <mergeCell ref="W292:AB292"/>
    <mergeCell ref="AC292:AE292"/>
    <mergeCell ref="B293:M293"/>
    <mergeCell ref="N293:P293"/>
    <mergeCell ref="Q293:V293"/>
    <mergeCell ref="W293:AB293"/>
    <mergeCell ref="AC293:AE293"/>
    <mergeCell ref="B300:M300"/>
    <mergeCell ref="N300:P300"/>
    <mergeCell ref="Q300:V300"/>
    <mergeCell ref="W300:AB300"/>
    <mergeCell ref="AC300:AE300"/>
    <mergeCell ref="B298:M298"/>
    <mergeCell ref="N298:P298"/>
    <mergeCell ref="Q298:V298"/>
    <mergeCell ref="W298:AB298"/>
    <mergeCell ref="AC298:AE298"/>
    <mergeCell ref="B299:M299"/>
    <mergeCell ref="N299:P299"/>
    <mergeCell ref="Q299:V299"/>
    <mergeCell ref="W299:AB299"/>
    <mergeCell ref="AC299:AE299"/>
    <mergeCell ref="B296:M296"/>
    <mergeCell ref="N296:P296"/>
    <mergeCell ref="Q296:V296"/>
    <mergeCell ref="W296:AB296"/>
    <mergeCell ref="AC296:AE296"/>
    <mergeCell ref="B297:M297"/>
    <mergeCell ref="N297:P297"/>
    <mergeCell ref="Q297:V297"/>
    <mergeCell ref="W297:AB297"/>
    <mergeCell ref="AC297:AE297"/>
    <mergeCell ref="B304:M304"/>
    <mergeCell ref="N304:P304"/>
    <mergeCell ref="Q304:V304"/>
    <mergeCell ref="W304:AB304"/>
    <mergeCell ref="AC304:AE304"/>
    <mergeCell ref="B305:M305"/>
    <mergeCell ref="N305:P305"/>
    <mergeCell ref="Q305:V305"/>
    <mergeCell ref="W305:AB305"/>
    <mergeCell ref="AC305:AE305"/>
    <mergeCell ref="B301:M301"/>
    <mergeCell ref="N301:P301"/>
    <mergeCell ref="Q301:V301"/>
    <mergeCell ref="W301:AB301"/>
    <mergeCell ref="AC301:AE301"/>
    <mergeCell ref="B303:M303"/>
    <mergeCell ref="N303:P303"/>
    <mergeCell ref="Q303:V303"/>
    <mergeCell ref="W303:AB303"/>
    <mergeCell ref="AC303:AE303"/>
    <mergeCell ref="B302:M302"/>
    <mergeCell ref="N302:P302"/>
    <mergeCell ref="Q302:V302"/>
    <mergeCell ref="W302:AB302"/>
    <mergeCell ref="AC302:AE302"/>
    <mergeCell ref="B308:M308"/>
    <mergeCell ref="N308:P308"/>
    <mergeCell ref="Q308:V308"/>
    <mergeCell ref="W308:AB308"/>
    <mergeCell ref="AC308:AE308"/>
    <mergeCell ref="B309:M309"/>
    <mergeCell ref="N309:P309"/>
    <mergeCell ref="Q309:V309"/>
    <mergeCell ref="W309:AB309"/>
    <mergeCell ref="AC309:AE309"/>
    <mergeCell ref="B306:M306"/>
    <mergeCell ref="N306:P306"/>
    <mergeCell ref="Q306:V306"/>
    <mergeCell ref="W306:AB306"/>
    <mergeCell ref="AC306:AE306"/>
    <mergeCell ref="B307:M307"/>
    <mergeCell ref="N307:P307"/>
    <mergeCell ref="Q307:V307"/>
    <mergeCell ref="W307:AB307"/>
    <mergeCell ref="AC307:AE307"/>
    <mergeCell ref="B312:M312"/>
    <mergeCell ref="N312:P312"/>
    <mergeCell ref="Q312:V312"/>
    <mergeCell ref="W312:AB312"/>
    <mergeCell ref="AC312:AE312"/>
    <mergeCell ref="B313:M313"/>
    <mergeCell ref="N313:P313"/>
    <mergeCell ref="Q313:V313"/>
    <mergeCell ref="W313:AB313"/>
    <mergeCell ref="AC313:AE313"/>
    <mergeCell ref="B310:M310"/>
    <mergeCell ref="N310:P310"/>
    <mergeCell ref="Q310:V310"/>
    <mergeCell ref="W310:AB310"/>
    <mergeCell ref="AC310:AE310"/>
    <mergeCell ref="B311:M311"/>
    <mergeCell ref="N311:P311"/>
    <mergeCell ref="Q311:V311"/>
    <mergeCell ref="W311:AB311"/>
    <mergeCell ref="AC311:AE311"/>
    <mergeCell ref="B316:M316"/>
    <mergeCell ref="N316:P316"/>
    <mergeCell ref="Q316:V316"/>
    <mergeCell ref="W316:AB316"/>
    <mergeCell ref="AC316:AE316"/>
    <mergeCell ref="B317:M317"/>
    <mergeCell ref="N317:P317"/>
    <mergeCell ref="Q317:V317"/>
    <mergeCell ref="W317:AB317"/>
    <mergeCell ref="AC317:AE317"/>
    <mergeCell ref="B314:M314"/>
    <mergeCell ref="N314:P314"/>
    <mergeCell ref="Q314:V314"/>
    <mergeCell ref="W314:AB314"/>
    <mergeCell ref="AC314:AE314"/>
    <mergeCell ref="B315:M315"/>
    <mergeCell ref="N315:P315"/>
    <mergeCell ref="Q315:V315"/>
    <mergeCell ref="W315:AB315"/>
    <mergeCell ref="AC315:AE315"/>
    <mergeCell ref="B320:M320"/>
    <mergeCell ref="N320:P320"/>
    <mergeCell ref="Q320:V320"/>
    <mergeCell ref="W320:AB320"/>
    <mergeCell ref="AC320:AE320"/>
    <mergeCell ref="B321:M321"/>
    <mergeCell ref="N321:P321"/>
    <mergeCell ref="Q321:V321"/>
    <mergeCell ref="W321:AB321"/>
    <mergeCell ref="AC321:AE321"/>
    <mergeCell ref="B318:M318"/>
    <mergeCell ref="N318:P318"/>
    <mergeCell ref="Q318:V318"/>
    <mergeCell ref="W318:AB318"/>
    <mergeCell ref="AC318:AE318"/>
    <mergeCell ref="B319:M319"/>
    <mergeCell ref="N319:P319"/>
    <mergeCell ref="Q319:V319"/>
    <mergeCell ref="W319:AB319"/>
    <mergeCell ref="AC319:AE319"/>
    <mergeCell ref="B324:M324"/>
    <mergeCell ref="N324:P324"/>
    <mergeCell ref="Q324:V324"/>
    <mergeCell ref="W324:AB324"/>
    <mergeCell ref="AC324:AE324"/>
    <mergeCell ref="B325:M325"/>
    <mergeCell ref="N325:P325"/>
    <mergeCell ref="Q325:V325"/>
    <mergeCell ref="W325:AB325"/>
    <mergeCell ref="AC325:AE325"/>
    <mergeCell ref="B322:M322"/>
    <mergeCell ref="N322:P322"/>
    <mergeCell ref="Q322:V322"/>
    <mergeCell ref="W322:AB322"/>
    <mergeCell ref="AC322:AE322"/>
    <mergeCell ref="B323:M323"/>
    <mergeCell ref="N323:P323"/>
    <mergeCell ref="Q323:V323"/>
    <mergeCell ref="W323:AB323"/>
    <mergeCell ref="AC323:AE323"/>
    <mergeCell ref="B328:M328"/>
    <mergeCell ref="N328:P328"/>
    <mergeCell ref="Q328:V328"/>
    <mergeCell ref="W328:AB328"/>
    <mergeCell ref="AC328:AE328"/>
    <mergeCell ref="B329:M329"/>
    <mergeCell ref="N329:P329"/>
    <mergeCell ref="Q329:V329"/>
    <mergeCell ref="W329:AB329"/>
    <mergeCell ref="AC329:AE329"/>
    <mergeCell ref="B326:M326"/>
    <mergeCell ref="N326:P326"/>
    <mergeCell ref="Q326:V326"/>
    <mergeCell ref="W326:AB326"/>
    <mergeCell ref="AC326:AE326"/>
    <mergeCell ref="B327:M327"/>
    <mergeCell ref="N327:P327"/>
    <mergeCell ref="Q327:V327"/>
    <mergeCell ref="W327:AB327"/>
    <mergeCell ref="AC327:AE327"/>
    <mergeCell ref="B332:M332"/>
    <mergeCell ref="N332:P332"/>
    <mergeCell ref="Q332:V332"/>
    <mergeCell ref="W332:AB332"/>
    <mergeCell ref="AC332:AE332"/>
    <mergeCell ref="B333:M333"/>
    <mergeCell ref="N333:P333"/>
    <mergeCell ref="Q333:V333"/>
    <mergeCell ref="W333:AB333"/>
    <mergeCell ref="AC333:AE333"/>
    <mergeCell ref="B330:M330"/>
    <mergeCell ref="N330:P330"/>
    <mergeCell ref="Q330:V330"/>
    <mergeCell ref="W330:AB330"/>
    <mergeCell ref="AC330:AE330"/>
    <mergeCell ref="B331:M331"/>
    <mergeCell ref="N331:P331"/>
    <mergeCell ref="Q331:V331"/>
    <mergeCell ref="W331:AB331"/>
    <mergeCell ref="AC331:AE331"/>
    <mergeCell ref="B336:M336"/>
    <mergeCell ref="N336:P336"/>
    <mergeCell ref="Q336:V336"/>
    <mergeCell ref="W336:AB336"/>
    <mergeCell ref="AC336:AE336"/>
    <mergeCell ref="B337:M337"/>
    <mergeCell ref="N337:P337"/>
    <mergeCell ref="Q337:V337"/>
    <mergeCell ref="W337:AB337"/>
    <mergeCell ref="AC337:AE337"/>
    <mergeCell ref="B334:M334"/>
    <mergeCell ref="N334:P334"/>
    <mergeCell ref="Q334:V334"/>
    <mergeCell ref="W334:AB334"/>
    <mergeCell ref="AC334:AE334"/>
    <mergeCell ref="B335:M335"/>
    <mergeCell ref="N335:P335"/>
    <mergeCell ref="Q335:V335"/>
    <mergeCell ref="W335:AB335"/>
    <mergeCell ref="AC335:AE335"/>
    <mergeCell ref="B340:M340"/>
    <mergeCell ref="N340:P340"/>
    <mergeCell ref="Q340:V340"/>
    <mergeCell ref="W340:AB340"/>
    <mergeCell ref="AC340:AE340"/>
    <mergeCell ref="B341:M341"/>
    <mergeCell ref="N341:P341"/>
    <mergeCell ref="Q341:V341"/>
    <mergeCell ref="W341:AB341"/>
    <mergeCell ref="AC341:AE341"/>
    <mergeCell ref="B338:M338"/>
    <mergeCell ref="N338:P338"/>
    <mergeCell ref="Q338:V338"/>
    <mergeCell ref="W338:AB338"/>
    <mergeCell ref="AC338:AE338"/>
    <mergeCell ref="B339:M339"/>
    <mergeCell ref="N339:P339"/>
    <mergeCell ref="Q339:V339"/>
    <mergeCell ref="W339:AB339"/>
    <mergeCell ref="AC339:AE339"/>
    <mergeCell ref="B344:M344"/>
    <mergeCell ref="N344:P344"/>
    <mergeCell ref="Q344:V344"/>
    <mergeCell ref="W344:AB344"/>
    <mergeCell ref="AC344:AE344"/>
    <mergeCell ref="B345:M345"/>
    <mergeCell ref="N345:P345"/>
    <mergeCell ref="Q345:V345"/>
    <mergeCell ref="W345:AB345"/>
    <mergeCell ref="AC345:AE345"/>
    <mergeCell ref="B342:M342"/>
    <mergeCell ref="N342:P342"/>
    <mergeCell ref="Q342:V342"/>
    <mergeCell ref="W342:AB342"/>
    <mergeCell ref="AC342:AE342"/>
    <mergeCell ref="B343:M343"/>
    <mergeCell ref="N343:P343"/>
    <mergeCell ref="Q343:V343"/>
    <mergeCell ref="W343:AB343"/>
    <mergeCell ref="AC343:AE343"/>
    <mergeCell ref="B348:M348"/>
    <mergeCell ref="N348:P348"/>
    <mergeCell ref="Q348:V348"/>
    <mergeCell ref="W348:AB348"/>
    <mergeCell ref="AC348:AE348"/>
    <mergeCell ref="B349:M349"/>
    <mergeCell ref="N349:P349"/>
    <mergeCell ref="Q349:V349"/>
    <mergeCell ref="W349:AB349"/>
    <mergeCell ref="AC349:AE349"/>
    <mergeCell ref="B346:M346"/>
    <mergeCell ref="N346:P346"/>
    <mergeCell ref="Q346:V346"/>
    <mergeCell ref="W346:AB346"/>
    <mergeCell ref="AC346:AE346"/>
    <mergeCell ref="B347:M347"/>
    <mergeCell ref="N347:P347"/>
    <mergeCell ref="Q347:V347"/>
    <mergeCell ref="W347:AB347"/>
    <mergeCell ref="AC347:AE347"/>
    <mergeCell ref="B352:M352"/>
    <mergeCell ref="N352:P352"/>
    <mergeCell ref="Q352:V352"/>
    <mergeCell ref="W352:AB352"/>
    <mergeCell ref="AC352:AE352"/>
    <mergeCell ref="B353:M353"/>
    <mergeCell ref="N353:P353"/>
    <mergeCell ref="Q353:V353"/>
    <mergeCell ref="W353:AB353"/>
    <mergeCell ref="AC353:AE353"/>
    <mergeCell ref="B350:M350"/>
    <mergeCell ref="N350:P350"/>
    <mergeCell ref="Q350:V350"/>
    <mergeCell ref="W350:AB350"/>
    <mergeCell ref="AC350:AE350"/>
    <mergeCell ref="B351:M351"/>
    <mergeCell ref="N351:P351"/>
    <mergeCell ref="Q351:V351"/>
    <mergeCell ref="W351:AB351"/>
    <mergeCell ref="AC351:AE351"/>
    <mergeCell ref="B356:M356"/>
    <mergeCell ref="N356:P356"/>
    <mergeCell ref="Q356:V356"/>
    <mergeCell ref="W356:AB356"/>
    <mergeCell ref="AC356:AE356"/>
    <mergeCell ref="B357:M357"/>
    <mergeCell ref="N357:P357"/>
    <mergeCell ref="Q357:V357"/>
    <mergeCell ref="W357:AB357"/>
    <mergeCell ref="AC357:AE357"/>
    <mergeCell ref="B354:M354"/>
    <mergeCell ref="N354:P354"/>
    <mergeCell ref="Q354:V354"/>
    <mergeCell ref="W354:AB354"/>
    <mergeCell ref="AC354:AE354"/>
    <mergeCell ref="B355:M355"/>
    <mergeCell ref="N355:P355"/>
    <mergeCell ref="Q355:V355"/>
    <mergeCell ref="W355:AB355"/>
    <mergeCell ref="AC355:AE355"/>
    <mergeCell ref="B360:M360"/>
    <mergeCell ref="N360:P360"/>
    <mergeCell ref="Q360:V360"/>
    <mergeCell ref="W360:AB360"/>
    <mergeCell ref="AC360:AE360"/>
    <mergeCell ref="B361:M361"/>
    <mergeCell ref="N361:P361"/>
    <mergeCell ref="Q361:V361"/>
    <mergeCell ref="W361:AB361"/>
    <mergeCell ref="AC361:AE361"/>
    <mergeCell ref="B358:M358"/>
    <mergeCell ref="N358:P358"/>
    <mergeCell ref="Q358:V358"/>
    <mergeCell ref="W358:AB358"/>
    <mergeCell ref="AC358:AE358"/>
    <mergeCell ref="B359:M359"/>
    <mergeCell ref="N359:P359"/>
    <mergeCell ref="Q359:V359"/>
    <mergeCell ref="W359:AB359"/>
    <mergeCell ref="AC359:AE359"/>
    <mergeCell ref="B364:M364"/>
    <mergeCell ref="N364:P364"/>
    <mergeCell ref="Q364:V364"/>
    <mergeCell ref="W364:AB364"/>
    <mergeCell ref="AC364:AE364"/>
    <mergeCell ref="B365:M365"/>
    <mergeCell ref="N365:P365"/>
    <mergeCell ref="Q365:V365"/>
    <mergeCell ref="W365:AB365"/>
    <mergeCell ref="AC365:AE365"/>
    <mergeCell ref="B362:M362"/>
    <mergeCell ref="N362:P362"/>
    <mergeCell ref="Q362:V362"/>
    <mergeCell ref="W362:AB362"/>
    <mergeCell ref="AC362:AE362"/>
    <mergeCell ref="B363:M363"/>
    <mergeCell ref="N363:P363"/>
    <mergeCell ref="Q363:V363"/>
    <mergeCell ref="W363:AB363"/>
    <mergeCell ref="AC363:AE363"/>
    <mergeCell ref="B368:M368"/>
    <mergeCell ref="N368:P368"/>
    <mergeCell ref="Q368:V368"/>
    <mergeCell ref="W368:AB368"/>
    <mergeCell ref="AC368:AE368"/>
    <mergeCell ref="B369:M369"/>
    <mergeCell ref="N369:P369"/>
    <mergeCell ref="Q369:V369"/>
    <mergeCell ref="W369:AB369"/>
    <mergeCell ref="AC369:AE369"/>
    <mergeCell ref="B366:M366"/>
    <mergeCell ref="N366:P366"/>
    <mergeCell ref="Q366:V366"/>
    <mergeCell ref="W366:AB366"/>
    <mergeCell ref="AC366:AE366"/>
    <mergeCell ref="B367:M367"/>
    <mergeCell ref="N367:P367"/>
    <mergeCell ref="Q367:V367"/>
    <mergeCell ref="W367:AB367"/>
    <mergeCell ref="AC367:AE367"/>
    <mergeCell ref="B372:M372"/>
    <mergeCell ref="N372:P372"/>
    <mergeCell ref="Q372:V372"/>
    <mergeCell ref="W372:AB372"/>
    <mergeCell ref="AC372:AE372"/>
    <mergeCell ref="B373:M373"/>
    <mergeCell ref="N373:P373"/>
    <mergeCell ref="Q373:V373"/>
    <mergeCell ref="W373:AB373"/>
    <mergeCell ref="AC373:AE373"/>
    <mergeCell ref="B370:M370"/>
    <mergeCell ref="N370:P370"/>
    <mergeCell ref="Q370:V370"/>
    <mergeCell ref="W370:AB370"/>
    <mergeCell ref="AC370:AE370"/>
    <mergeCell ref="B371:M371"/>
    <mergeCell ref="N371:P371"/>
    <mergeCell ref="Q371:V371"/>
    <mergeCell ref="W371:AB371"/>
    <mergeCell ref="AC371:AE371"/>
    <mergeCell ref="B376:M376"/>
    <mergeCell ref="N376:P376"/>
    <mergeCell ref="Q376:V376"/>
    <mergeCell ref="W376:AB376"/>
    <mergeCell ref="AC376:AE376"/>
    <mergeCell ref="B377:M377"/>
    <mergeCell ref="N377:P377"/>
    <mergeCell ref="Q377:V377"/>
    <mergeCell ref="W377:AB377"/>
    <mergeCell ref="AC377:AE377"/>
    <mergeCell ref="B374:M374"/>
    <mergeCell ref="N374:P374"/>
    <mergeCell ref="Q374:V374"/>
    <mergeCell ref="W374:AB374"/>
    <mergeCell ref="AC374:AE374"/>
    <mergeCell ref="B375:M375"/>
    <mergeCell ref="N375:P375"/>
    <mergeCell ref="Q375:V375"/>
    <mergeCell ref="W375:AB375"/>
    <mergeCell ref="AC375:AE375"/>
    <mergeCell ref="B380:M380"/>
    <mergeCell ref="N380:P380"/>
    <mergeCell ref="Q380:V380"/>
    <mergeCell ref="W380:AB380"/>
    <mergeCell ref="AC380:AE380"/>
    <mergeCell ref="B381:M381"/>
    <mergeCell ref="N381:P381"/>
    <mergeCell ref="Q381:V381"/>
    <mergeCell ref="W381:AB381"/>
    <mergeCell ref="AC381:AE381"/>
    <mergeCell ref="B378:M378"/>
    <mergeCell ref="N378:P378"/>
    <mergeCell ref="Q378:V378"/>
    <mergeCell ref="W378:AB378"/>
    <mergeCell ref="AC378:AE378"/>
    <mergeCell ref="B379:M379"/>
    <mergeCell ref="N379:P379"/>
    <mergeCell ref="Q379:V379"/>
    <mergeCell ref="W379:AB379"/>
    <mergeCell ref="AC379:AE379"/>
    <mergeCell ref="B384:M384"/>
    <mergeCell ref="N384:P384"/>
    <mergeCell ref="Q384:V384"/>
    <mergeCell ref="W384:AB384"/>
    <mergeCell ref="AC384:AE384"/>
    <mergeCell ref="B385:M385"/>
    <mergeCell ref="N385:P385"/>
    <mergeCell ref="Q385:V385"/>
    <mergeCell ref="W385:AB385"/>
    <mergeCell ref="AC385:AE385"/>
    <mergeCell ref="B382:M382"/>
    <mergeCell ref="N382:P382"/>
    <mergeCell ref="Q382:V382"/>
    <mergeCell ref="W382:AB382"/>
    <mergeCell ref="AC382:AE382"/>
    <mergeCell ref="B383:M383"/>
    <mergeCell ref="N383:P383"/>
    <mergeCell ref="Q383:V383"/>
    <mergeCell ref="W383:AB383"/>
    <mergeCell ref="AC383:AE383"/>
    <mergeCell ref="B389:M389"/>
    <mergeCell ref="N389:P389"/>
    <mergeCell ref="Q389:V389"/>
    <mergeCell ref="W389:AB389"/>
    <mergeCell ref="AC389:AE389"/>
    <mergeCell ref="B390:M390"/>
    <mergeCell ref="N390:P390"/>
    <mergeCell ref="Q390:V390"/>
    <mergeCell ref="W390:AB390"/>
    <mergeCell ref="AC390:AE390"/>
    <mergeCell ref="B388:M388"/>
    <mergeCell ref="N388:P388"/>
    <mergeCell ref="Q388:V388"/>
    <mergeCell ref="W388:AB388"/>
    <mergeCell ref="AC388:AE388"/>
    <mergeCell ref="B386:M386"/>
    <mergeCell ref="N386:P386"/>
    <mergeCell ref="Q386:V386"/>
    <mergeCell ref="W386:AB386"/>
    <mergeCell ref="AC386:AE386"/>
    <mergeCell ref="B387:M387"/>
    <mergeCell ref="N387:P387"/>
    <mergeCell ref="Q387:V387"/>
    <mergeCell ref="W387:AB387"/>
    <mergeCell ref="AC387:AE387"/>
    <mergeCell ref="B393:M393"/>
    <mergeCell ref="N393:P393"/>
    <mergeCell ref="Q393:V393"/>
    <mergeCell ref="W393:AB393"/>
    <mergeCell ref="AC393:AE393"/>
    <mergeCell ref="B394:M394"/>
    <mergeCell ref="N394:P394"/>
    <mergeCell ref="Q394:V394"/>
    <mergeCell ref="W394:AB394"/>
    <mergeCell ref="AC394:AE394"/>
    <mergeCell ref="B391:M391"/>
    <mergeCell ref="N391:P391"/>
    <mergeCell ref="Q391:V391"/>
    <mergeCell ref="W391:AB391"/>
    <mergeCell ref="AC391:AE391"/>
    <mergeCell ref="B392:M392"/>
    <mergeCell ref="N392:P392"/>
    <mergeCell ref="Q392:V392"/>
    <mergeCell ref="W392:AB392"/>
    <mergeCell ref="AC392:AE392"/>
    <mergeCell ref="B397:M397"/>
    <mergeCell ref="N397:P397"/>
    <mergeCell ref="Q397:V397"/>
    <mergeCell ref="W397:AB397"/>
    <mergeCell ref="AC397:AE397"/>
    <mergeCell ref="B398:M398"/>
    <mergeCell ref="N398:P398"/>
    <mergeCell ref="Q398:V398"/>
    <mergeCell ref="W398:AB398"/>
    <mergeCell ref="AC398:AE398"/>
    <mergeCell ref="B395:M395"/>
    <mergeCell ref="N395:P395"/>
    <mergeCell ref="Q395:V395"/>
    <mergeCell ref="W395:AB395"/>
    <mergeCell ref="AC395:AE395"/>
    <mergeCell ref="B396:M396"/>
    <mergeCell ref="N396:P396"/>
    <mergeCell ref="Q396:V396"/>
    <mergeCell ref="W396:AB396"/>
    <mergeCell ref="AC396:AE396"/>
    <mergeCell ref="L411:U411"/>
    <mergeCell ref="V411:AE411"/>
    <mergeCell ref="A414:AE414"/>
    <mergeCell ref="B401:M401"/>
    <mergeCell ref="N401:P401"/>
    <mergeCell ref="Q401:V401"/>
    <mergeCell ref="W401:AB401"/>
    <mergeCell ref="AC401:AE401"/>
    <mergeCell ref="B402:M402"/>
    <mergeCell ref="N402:P402"/>
    <mergeCell ref="Q402:V402"/>
    <mergeCell ref="W402:AB402"/>
    <mergeCell ref="AC402:AE402"/>
    <mergeCell ref="B399:M399"/>
    <mergeCell ref="N399:P399"/>
    <mergeCell ref="Q399:V399"/>
    <mergeCell ref="W399:AB399"/>
    <mergeCell ref="AC399:AE399"/>
    <mergeCell ref="B400:M400"/>
    <mergeCell ref="N400:P400"/>
    <mergeCell ref="Q400:V400"/>
    <mergeCell ref="W400:AB400"/>
    <mergeCell ref="AC400:AE400"/>
    <mergeCell ref="B422:M422"/>
    <mergeCell ref="N422:P422"/>
    <mergeCell ref="Q422:V422"/>
    <mergeCell ref="W422:AB422"/>
    <mergeCell ref="AC422:AE422"/>
    <mergeCell ref="B415:M415"/>
    <mergeCell ref="N415:P415"/>
    <mergeCell ref="Q415:V415"/>
    <mergeCell ref="A411:C411"/>
    <mergeCell ref="A412:C412"/>
    <mergeCell ref="D413:AE413"/>
    <mergeCell ref="A413:C413"/>
    <mergeCell ref="A410:C410"/>
    <mergeCell ref="D410:AE410"/>
    <mergeCell ref="AC405:AE405"/>
    <mergeCell ref="B403:M403"/>
    <mergeCell ref="N403:P403"/>
    <mergeCell ref="Q403:V403"/>
    <mergeCell ref="W403:AB403"/>
    <mergeCell ref="AC403:AE403"/>
    <mergeCell ref="B404:M404"/>
    <mergeCell ref="N404:P404"/>
    <mergeCell ref="Q404:V404"/>
    <mergeCell ref="W404:AB404"/>
    <mergeCell ref="AC404:AE404"/>
    <mergeCell ref="W415:AB415"/>
    <mergeCell ref="AC415:AE415"/>
    <mergeCell ref="A405:AB405"/>
    <mergeCell ref="A406:AE406"/>
    <mergeCell ref="A407:C407"/>
    <mergeCell ref="D407:AE407"/>
    <mergeCell ref="D411:K411"/>
    <mergeCell ref="B432:M432"/>
    <mergeCell ref="N432:P432"/>
    <mergeCell ref="Q432:V432"/>
    <mergeCell ref="B424:M424"/>
    <mergeCell ref="N424:P424"/>
    <mergeCell ref="Q424:V424"/>
    <mergeCell ref="W424:AB424"/>
    <mergeCell ref="AC424:AE424"/>
    <mergeCell ref="B425:M425"/>
    <mergeCell ref="N425:P425"/>
    <mergeCell ref="Q425:V425"/>
    <mergeCell ref="W425:AB425"/>
    <mergeCell ref="AC425:AE425"/>
    <mergeCell ref="B423:M423"/>
    <mergeCell ref="N423:P423"/>
    <mergeCell ref="Q423:V423"/>
    <mergeCell ref="W423:AB423"/>
    <mergeCell ref="AC423:AE423"/>
    <mergeCell ref="Q439:V439"/>
    <mergeCell ref="W439:AB439"/>
    <mergeCell ref="AC439:AE439"/>
    <mergeCell ref="AC426:AE426"/>
    <mergeCell ref="B436:M436"/>
    <mergeCell ref="N436:P436"/>
    <mergeCell ref="Q436:V436"/>
    <mergeCell ref="W436:AB436"/>
    <mergeCell ref="AC436:AE436"/>
    <mergeCell ref="B426:M426"/>
    <mergeCell ref="N426:P426"/>
    <mergeCell ref="Q426:V426"/>
    <mergeCell ref="W426:AB426"/>
    <mergeCell ref="B427:M427"/>
    <mergeCell ref="N427:P427"/>
    <mergeCell ref="Q427:V427"/>
    <mergeCell ref="W427:AB427"/>
    <mergeCell ref="AC427:AE427"/>
    <mergeCell ref="B428:M428"/>
    <mergeCell ref="N428:P428"/>
    <mergeCell ref="Q428:V428"/>
    <mergeCell ref="W428:AB428"/>
    <mergeCell ref="AC428:AE428"/>
    <mergeCell ref="N430:P430"/>
    <mergeCell ref="Q430:V430"/>
    <mergeCell ref="W430:AB430"/>
    <mergeCell ref="AC430:AE430"/>
    <mergeCell ref="B431:M431"/>
    <mergeCell ref="N431:P431"/>
    <mergeCell ref="Q431:V431"/>
    <mergeCell ref="W431:AB431"/>
    <mergeCell ref="AC431:AE431"/>
    <mergeCell ref="B442:M442"/>
    <mergeCell ref="N442:P442"/>
    <mergeCell ref="Q442:V442"/>
    <mergeCell ref="W442:AB442"/>
    <mergeCell ref="AC442:AE442"/>
    <mergeCell ref="B443:M443"/>
    <mergeCell ref="N443:P443"/>
    <mergeCell ref="Q443:V443"/>
    <mergeCell ref="W443:AB443"/>
    <mergeCell ref="AC443:AE443"/>
    <mergeCell ref="B437:M437"/>
    <mergeCell ref="N437:P437"/>
    <mergeCell ref="Q437:V437"/>
    <mergeCell ref="W437:AB437"/>
    <mergeCell ref="AC437:AE437"/>
    <mergeCell ref="B440:M440"/>
    <mergeCell ref="N440:P440"/>
    <mergeCell ref="Q440:V440"/>
    <mergeCell ref="W440:AB440"/>
    <mergeCell ref="AC440:AE440"/>
    <mergeCell ref="B441:M441"/>
    <mergeCell ref="N441:P441"/>
    <mergeCell ref="Q441:V441"/>
    <mergeCell ref="W441:AB441"/>
    <mergeCell ref="AC441:AE441"/>
    <mergeCell ref="B438:M438"/>
    <mergeCell ref="N438:P438"/>
    <mergeCell ref="Q438:V438"/>
    <mergeCell ref="W438:AB438"/>
    <mergeCell ref="AC438:AE438"/>
    <mergeCell ref="B439:M439"/>
    <mergeCell ref="N439:P439"/>
    <mergeCell ref="B446:M446"/>
    <mergeCell ref="N446:P446"/>
    <mergeCell ref="Q446:V446"/>
    <mergeCell ref="W446:AB446"/>
    <mergeCell ref="AC446:AE446"/>
    <mergeCell ref="B447:M447"/>
    <mergeCell ref="N447:P447"/>
    <mergeCell ref="Q447:V447"/>
    <mergeCell ref="W447:AB447"/>
    <mergeCell ref="AC447:AE447"/>
    <mergeCell ref="B444:M444"/>
    <mergeCell ref="N444:P444"/>
    <mergeCell ref="Q444:V444"/>
    <mergeCell ref="W444:AB444"/>
    <mergeCell ref="AC444:AE444"/>
    <mergeCell ref="B445:M445"/>
    <mergeCell ref="N445:P445"/>
    <mergeCell ref="Q445:V445"/>
    <mergeCell ref="W445:AB445"/>
    <mergeCell ref="AC445:AE445"/>
    <mergeCell ref="B450:M450"/>
    <mergeCell ref="N450:P450"/>
    <mergeCell ref="Q450:V450"/>
    <mergeCell ref="W450:AB450"/>
    <mergeCell ref="AC450:AE450"/>
    <mergeCell ref="B451:M451"/>
    <mergeCell ref="N451:P451"/>
    <mergeCell ref="Q451:V451"/>
    <mergeCell ref="W451:AB451"/>
    <mergeCell ref="AC451:AE451"/>
    <mergeCell ref="B448:M448"/>
    <mergeCell ref="N448:P448"/>
    <mergeCell ref="Q448:V448"/>
    <mergeCell ref="W448:AB448"/>
    <mergeCell ref="AC448:AE448"/>
    <mergeCell ref="B449:M449"/>
    <mergeCell ref="N449:P449"/>
    <mergeCell ref="Q449:V449"/>
    <mergeCell ref="W449:AB449"/>
    <mergeCell ref="AC449:AE449"/>
    <mergeCell ref="B454:M454"/>
    <mergeCell ref="N454:P454"/>
    <mergeCell ref="Q454:V454"/>
    <mergeCell ref="W454:AB454"/>
    <mergeCell ref="AC454:AE454"/>
    <mergeCell ref="B455:M455"/>
    <mergeCell ref="N455:P455"/>
    <mergeCell ref="Q455:V455"/>
    <mergeCell ref="W455:AB455"/>
    <mergeCell ref="AC455:AE455"/>
    <mergeCell ref="B452:M452"/>
    <mergeCell ref="N452:P452"/>
    <mergeCell ref="Q452:V452"/>
    <mergeCell ref="W452:AB452"/>
    <mergeCell ref="AC452:AE452"/>
    <mergeCell ref="B453:M453"/>
    <mergeCell ref="N453:P453"/>
    <mergeCell ref="Q453:V453"/>
    <mergeCell ref="W453:AB453"/>
    <mergeCell ref="AC453:AE453"/>
    <mergeCell ref="B459:M459"/>
    <mergeCell ref="N459:P459"/>
    <mergeCell ref="Q459:V459"/>
    <mergeCell ref="W459:AB459"/>
    <mergeCell ref="AC459:AE459"/>
    <mergeCell ref="B460:M460"/>
    <mergeCell ref="N460:P460"/>
    <mergeCell ref="Q460:V460"/>
    <mergeCell ref="W460:AB460"/>
    <mergeCell ref="AC460:AE460"/>
    <mergeCell ref="B458:M458"/>
    <mergeCell ref="N458:P458"/>
    <mergeCell ref="Q458:V458"/>
    <mergeCell ref="W458:AB458"/>
    <mergeCell ref="AC458:AE458"/>
    <mergeCell ref="B456:M456"/>
    <mergeCell ref="N456:P456"/>
    <mergeCell ref="Q456:V456"/>
    <mergeCell ref="W456:AB456"/>
    <mergeCell ref="AC456:AE456"/>
    <mergeCell ref="B457:M457"/>
    <mergeCell ref="N457:P457"/>
    <mergeCell ref="Q457:V457"/>
    <mergeCell ref="W457:AB457"/>
    <mergeCell ref="AC457:AE457"/>
    <mergeCell ref="B463:M463"/>
    <mergeCell ref="N463:P463"/>
    <mergeCell ref="Q463:V463"/>
    <mergeCell ref="W463:AB463"/>
    <mergeCell ref="AC463:AE463"/>
    <mergeCell ref="B464:M464"/>
    <mergeCell ref="N464:P464"/>
    <mergeCell ref="Q464:V464"/>
    <mergeCell ref="W464:AB464"/>
    <mergeCell ref="AC464:AE464"/>
    <mergeCell ref="B461:M461"/>
    <mergeCell ref="N461:P461"/>
    <mergeCell ref="Q461:V461"/>
    <mergeCell ref="W461:AB461"/>
    <mergeCell ref="AC461:AE461"/>
    <mergeCell ref="B462:M462"/>
    <mergeCell ref="N462:P462"/>
    <mergeCell ref="Q462:V462"/>
    <mergeCell ref="W462:AB462"/>
    <mergeCell ref="AC462:AE462"/>
    <mergeCell ref="B467:M467"/>
    <mergeCell ref="N467:P467"/>
    <mergeCell ref="Q467:V467"/>
    <mergeCell ref="W467:AB467"/>
    <mergeCell ref="AC467:AE467"/>
    <mergeCell ref="B468:M468"/>
    <mergeCell ref="N468:P468"/>
    <mergeCell ref="Q468:V468"/>
    <mergeCell ref="W468:AB468"/>
    <mergeCell ref="AC468:AE468"/>
    <mergeCell ref="B465:M465"/>
    <mergeCell ref="N465:P465"/>
    <mergeCell ref="Q465:V465"/>
    <mergeCell ref="W465:AB465"/>
    <mergeCell ref="AC465:AE465"/>
    <mergeCell ref="B466:M466"/>
    <mergeCell ref="N466:P466"/>
    <mergeCell ref="Q466:V466"/>
    <mergeCell ref="W466:AB466"/>
    <mergeCell ref="AC466:AE466"/>
    <mergeCell ref="B471:M471"/>
    <mergeCell ref="N471:P471"/>
    <mergeCell ref="Q471:V471"/>
    <mergeCell ref="W471:AB471"/>
    <mergeCell ref="AC471:AE471"/>
    <mergeCell ref="B472:M472"/>
    <mergeCell ref="N472:P472"/>
    <mergeCell ref="Q472:V472"/>
    <mergeCell ref="W472:AB472"/>
    <mergeCell ref="AC472:AE472"/>
    <mergeCell ref="B469:M469"/>
    <mergeCell ref="N469:P469"/>
    <mergeCell ref="Q469:V469"/>
    <mergeCell ref="W469:AB469"/>
    <mergeCell ref="AC469:AE469"/>
    <mergeCell ref="B470:M470"/>
    <mergeCell ref="N470:P470"/>
    <mergeCell ref="Q470:V470"/>
    <mergeCell ref="W470:AB470"/>
    <mergeCell ref="AC470:AE470"/>
    <mergeCell ref="B475:M475"/>
    <mergeCell ref="N475:P475"/>
    <mergeCell ref="Q475:V475"/>
    <mergeCell ref="W475:AB475"/>
    <mergeCell ref="AC475:AE475"/>
    <mergeCell ref="B476:M476"/>
    <mergeCell ref="N476:P476"/>
    <mergeCell ref="Q476:V476"/>
    <mergeCell ref="W476:AB476"/>
    <mergeCell ref="AC476:AE476"/>
    <mergeCell ref="B473:M473"/>
    <mergeCell ref="N473:P473"/>
    <mergeCell ref="Q473:V473"/>
    <mergeCell ref="W473:AB473"/>
    <mergeCell ref="AC473:AE473"/>
    <mergeCell ref="B474:M474"/>
    <mergeCell ref="N474:P474"/>
    <mergeCell ref="Q474:V474"/>
    <mergeCell ref="W474:AB474"/>
    <mergeCell ref="AC474:AE474"/>
    <mergeCell ref="B479:M479"/>
    <mergeCell ref="N479:P479"/>
    <mergeCell ref="Q479:V479"/>
    <mergeCell ref="W479:AB479"/>
    <mergeCell ref="AC479:AE479"/>
    <mergeCell ref="B480:M480"/>
    <mergeCell ref="N480:P480"/>
    <mergeCell ref="Q480:V480"/>
    <mergeCell ref="W480:AB480"/>
    <mergeCell ref="AC480:AE480"/>
    <mergeCell ref="B477:M477"/>
    <mergeCell ref="N477:P477"/>
    <mergeCell ref="Q477:V477"/>
    <mergeCell ref="W477:AB477"/>
    <mergeCell ref="AC477:AE477"/>
    <mergeCell ref="B478:M478"/>
    <mergeCell ref="N478:P478"/>
    <mergeCell ref="Q478:V478"/>
    <mergeCell ref="W478:AB478"/>
    <mergeCell ref="AC478:AE478"/>
    <mergeCell ref="B483:M483"/>
    <mergeCell ref="N483:P483"/>
    <mergeCell ref="Q483:V483"/>
    <mergeCell ref="W483:AB483"/>
    <mergeCell ref="AC483:AE483"/>
    <mergeCell ref="B484:M484"/>
    <mergeCell ref="N484:P484"/>
    <mergeCell ref="Q484:V484"/>
    <mergeCell ref="W484:AB484"/>
    <mergeCell ref="AC484:AE484"/>
    <mergeCell ref="B481:M481"/>
    <mergeCell ref="N481:P481"/>
    <mergeCell ref="Q481:V481"/>
    <mergeCell ref="W481:AB481"/>
    <mergeCell ref="AC481:AE481"/>
    <mergeCell ref="B482:M482"/>
    <mergeCell ref="N482:P482"/>
    <mergeCell ref="Q482:V482"/>
    <mergeCell ref="W482:AB482"/>
    <mergeCell ref="AC482:AE482"/>
    <mergeCell ref="B487:M487"/>
    <mergeCell ref="N487:P487"/>
    <mergeCell ref="Q487:V487"/>
    <mergeCell ref="W487:AB487"/>
    <mergeCell ref="AC487:AE487"/>
    <mergeCell ref="B488:M488"/>
    <mergeCell ref="N488:P488"/>
    <mergeCell ref="Q488:V488"/>
    <mergeCell ref="W488:AB488"/>
    <mergeCell ref="AC488:AE488"/>
    <mergeCell ref="B485:M485"/>
    <mergeCell ref="N485:P485"/>
    <mergeCell ref="Q485:V485"/>
    <mergeCell ref="W485:AB485"/>
    <mergeCell ref="AC485:AE485"/>
    <mergeCell ref="B486:M486"/>
    <mergeCell ref="N486:P486"/>
    <mergeCell ref="Q486:V486"/>
    <mergeCell ref="W486:AB486"/>
    <mergeCell ref="AC486:AE486"/>
    <mergeCell ref="B491:M491"/>
    <mergeCell ref="N491:P491"/>
    <mergeCell ref="Q491:V491"/>
    <mergeCell ref="W491:AB491"/>
    <mergeCell ref="AC491:AE491"/>
    <mergeCell ref="B492:M492"/>
    <mergeCell ref="N492:P492"/>
    <mergeCell ref="Q492:V492"/>
    <mergeCell ref="W492:AB492"/>
    <mergeCell ref="AC492:AE492"/>
    <mergeCell ref="B489:M489"/>
    <mergeCell ref="N489:P489"/>
    <mergeCell ref="Q489:V489"/>
    <mergeCell ref="W489:AB489"/>
    <mergeCell ref="AC489:AE489"/>
    <mergeCell ref="B490:M490"/>
    <mergeCell ref="N490:P490"/>
    <mergeCell ref="Q490:V490"/>
    <mergeCell ref="W490:AB490"/>
    <mergeCell ref="AC490:AE490"/>
    <mergeCell ref="B495:M495"/>
    <mergeCell ref="N495:P495"/>
    <mergeCell ref="Q495:V495"/>
    <mergeCell ref="W495:AB495"/>
    <mergeCell ref="AC495:AE495"/>
    <mergeCell ref="B496:M496"/>
    <mergeCell ref="N496:P496"/>
    <mergeCell ref="Q496:V496"/>
    <mergeCell ref="W496:AB496"/>
    <mergeCell ref="AC496:AE496"/>
    <mergeCell ref="B493:M493"/>
    <mergeCell ref="N493:P493"/>
    <mergeCell ref="Q493:V493"/>
    <mergeCell ref="W493:AB493"/>
    <mergeCell ref="AC493:AE493"/>
    <mergeCell ref="B494:M494"/>
    <mergeCell ref="N494:P494"/>
    <mergeCell ref="Q494:V494"/>
    <mergeCell ref="W494:AB494"/>
    <mergeCell ref="AC494:AE494"/>
    <mergeCell ref="B499:M499"/>
    <mergeCell ref="N499:P499"/>
    <mergeCell ref="Q499:V499"/>
    <mergeCell ref="W499:AB499"/>
    <mergeCell ref="AC499:AE499"/>
    <mergeCell ref="B500:M500"/>
    <mergeCell ref="N500:P500"/>
    <mergeCell ref="Q500:V500"/>
    <mergeCell ref="W500:AB500"/>
    <mergeCell ref="AC500:AE500"/>
    <mergeCell ref="B497:M497"/>
    <mergeCell ref="N497:P497"/>
    <mergeCell ref="Q497:V497"/>
    <mergeCell ref="W497:AB497"/>
    <mergeCell ref="AC497:AE497"/>
    <mergeCell ref="B498:M498"/>
    <mergeCell ref="N498:P498"/>
    <mergeCell ref="Q498:V498"/>
    <mergeCell ref="W498:AB498"/>
    <mergeCell ref="AC498:AE498"/>
    <mergeCell ref="B503:M503"/>
    <mergeCell ref="N503:P503"/>
    <mergeCell ref="Q503:V503"/>
    <mergeCell ref="W503:AB503"/>
    <mergeCell ref="AC503:AE503"/>
    <mergeCell ref="B504:M504"/>
    <mergeCell ref="N504:P504"/>
    <mergeCell ref="Q504:V504"/>
    <mergeCell ref="W504:AB504"/>
    <mergeCell ref="AC504:AE504"/>
    <mergeCell ref="B501:M501"/>
    <mergeCell ref="N501:P501"/>
    <mergeCell ref="Q501:V501"/>
    <mergeCell ref="W501:AB501"/>
    <mergeCell ref="AC501:AE501"/>
    <mergeCell ref="B502:M502"/>
    <mergeCell ref="N502:P502"/>
    <mergeCell ref="Q502:V502"/>
    <mergeCell ref="W502:AB502"/>
    <mergeCell ref="AC502:AE502"/>
    <mergeCell ref="B507:M507"/>
    <mergeCell ref="N507:P507"/>
    <mergeCell ref="Q507:V507"/>
    <mergeCell ref="W507:AB507"/>
    <mergeCell ref="AC507:AE507"/>
    <mergeCell ref="B508:M508"/>
    <mergeCell ref="N508:P508"/>
    <mergeCell ref="Q508:V508"/>
    <mergeCell ref="W508:AB508"/>
    <mergeCell ref="AC508:AE508"/>
    <mergeCell ref="B505:M505"/>
    <mergeCell ref="N505:P505"/>
    <mergeCell ref="Q505:V505"/>
    <mergeCell ref="W505:AB505"/>
    <mergeCell ref="AC505:AE505"/>
    <mergeCell ref="B506:M506"/>
    <mergeCell ref="N506:P506"/>
    <mergeCell ref="Q506:V506"/>
    <mergeCell ref="W506:AB506"/>
    <mergeCell ref="AC506:AE506"/>
    <mergeCell ref="B511:M511"/>
    <mergeCell ref="N511:P511"/>
    <mergeCell ref="Q511:V511"/>
    <mergeCell ref="W511:AB511"/>
    <mergeCell ref="AC511:AE511"/>
    <mergeCell ref="B512:M512"/>
    <mergeCell ref="N512:P512"/>
    <mergeCell ref="Q512:V512"/>
    <mergeCell ref="W512:AB512"/>
    <mergeCell ref="AC512:AE512"/>
    <mergeCell ref="B509:M509"/>
    <mergeCell ref="N509:P509"/>
    <mergeCell ref="Q509:V509"/>
    <mergeCell ref="W509:AB509"/>
    <mergeCell ref="AC509:AE509"/>
    <mergeCell ref="B510:M510"/>
    <mergeCell ref="N510:P510"/>
    <mergeCell ref="Q510:V510"/>
    <mergeCell ref="W510:AB510"/>
    <mergeCell ref="AC510:AE510"/>
    <mergeCell ref="B520:M520"/>
    <mergeCell ref="N520:P520"/>
    <mergeCell ref="Q520:V520"/>
    <mergeCell ref="W520:AB520"/>
    <mergeCell ref="AC520:AE520"/>
    <mergeCell ref="B517:M517"/>
    <mergeCell ref="A522:AB522"/>
    <mergeCell ref="N516:P516"/>
    <mergeCell ref="Q516:V516"/>
    <mergeCell ref="W516:AB516"/>
    <mergeCell ref="AC516:AE516"/>
    <mergeCell ref="B513:M513"/>
    <mergeCell ref="N513:P513"/>
    <mergeCell ref="Q513:V513"/>
    <mergeCell ref="W513:AB513"/>
    <mergeCell ref="AC513:AE513"/>
    <mergeCell ref="B514:M514"/>
    <mergeCell ref="N514:P514"/>
    <mergeCell ref="Q514:V514"/>
    <mergeCell ref="W514:AB514"/>
    <mergeCell ref="AC514:AE514"/>
    <mergeCell ref="A525:E525"/>
    <mergeCell ref="F525:T525"/>
    <mergeCell ref="U525:AE525"/>
    <mergeCell ref="AC433:AE433"/>
    <mergeCell ref="B433:M433"/>
    <mergeCell ref="N433:P433"/>
    <mergeCell ref="Q433:V433"/>
    <mergeCell ref="W433:AB433"/>
    <mergeCell ref="B434:M434"/>
    <mergeCell ref="N434:P434"/>
    <mergeCell ref="Q434:V434"/>
    <mergeCell ref="W434:AB434"/>
    <mergeCell ref="AC434:AE434"/>
    <mergeCell ref="B435:M435"/>
    <mergeCell ref="N435:P435"/>
    <mergeCell ref="Q435:V435"/>
    <mergeCell ref="W435:AB435"/>
    <mergeCell ref="N517:P517"/>
    <mergeCell ref="Q517:V517"/>
    <mergeCell ref="W517:AB517"/>
    <mergeCell ref="AC517:AE517"/>
    <mergeCell ref="B518:M518"/>
    <mergeCell ref="N518:P518"/>
    <mergeCell ref="Q518:V518"/>
    <mergeCell ref="W518:AB518"/>
    <mergeCell ref="AC518:AE518"/>
    <mergeCell ref="B515:M515"/>
    <mergeCell ref="N515:P515"/>
    <mergeCell ref="Q515:V515"/>
    <mergeCell ref="W515:AB515"/>
    <mergeCell ref="AC515:AE515"/>
    <mergeCell ref="B516:M516"/>
    <mergeCell ref="A524:E524"/>
    <mergeCell ref="F524:T524"/>
    <mergeCell ref="U524:AE524"/>
    <mergeCell ref="AC435:AE435"/>
    <mergeCell ref="A408:C408"/>
    <mergeCell ref="D408:AE408"/>
    <mergeCell ref="A409:C409"/>
    <mergeCell ref="D409:AE409"/>
    <mergeCell ref="D412:K412"/>
    <mergeCell ref="L412:U412"/>
    <mergeCell ref="V412:AE412"/>
    <mergeCell ref="A523:AB523"/>
    <mergeCell ref="B429:M429"/>
    <mergeCell ref="N429:P429"/>
    <mergeCell ref="Q429:V429"/>
    <mergeCell ref="W429:AB429"/>
    <mergeCell ref="AC429:AE429"/>
    <mergeCell ref="B430:M430"/>
    <mergeCell ref="W432:AB432"/>
    <mergeCell ref="AC432:AE432"/>
    <mergeCell ref="AC523:AE523"/>
    <mergeCell ref="B521:M521"/>
    <mergeCell ref="N521:P521"/>
    <mergeCell ref="Q521:V521"/>
    <mergeCell ref="W521:AB521"/>
    <mergeCell ref="AC521:AE521"/>
    <mergeCell ref="AC522:AE522"/>
    <mergeCell ref="B519:M519"/>
    <mergeCell ref="N519:P519"/>
    <mergeCell ref="Q519:V519"/>
    <mergeCell ref="W519:AB519"/>
    <mergeCell ref="AC519:AE519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54"/>
  <sheetViews>
    <sheetView showGridLines="0" topLeftCell="A7" workbookViewId="0">
      <selection activeCell="X37" sqref="X37:AD37"/>
    </sheetView>
  </sheetViews>
  <sheetFormatPr defaultColWidth="9.140625" defaultRowHeight="15" x14ac:dyDescent="0.25"/>
  <cols>
    <col min="1" max="1" width="10.28515625" customWidth="1"/>
    <col min="2" max="2" width="1.140625" customWidth="1"/>
    <col min="3" max="3" width="7.42578125" customWidth="1"/>
    <col min="4" max="4" width="3.7109375" customWidth="1"/>
    <col min="5" max="5" width="7.42578125" customWidth="1"/>
    <col min="6" max="6" width="2.7109375" customWidth="1"/>
    <col min="7" max="7" width="1.140625" customWidth="1"/>
    <col min="8" max="8" width="3.7109375" customWidth="1"/>
    <col min="9" max="9" width="2.7109375" customWidth="1"/>
    <col min="10" max="10" width="1.140625" customWidth="1"/>
    <col min="11" max="11" width="5.5703125" customWidth="1"/>
    <col min="12" max="12" width="1.85546875" customWidth="1"/>
    <col min="13" max="13" width="1.140625" customWidth="1"/>
    <col min="14" max="15" width="1.85546875" customWidth="1"/>
    <col min="16" max="16" width="3.7109375" customWidth="1"/>
    <col min="17" max="17" width="2.7109375" customWidth="1"/>
    <col min="18" max="18" width="1.140625" customWidth="1"/>
    <col min="19" max="19" width="1.85546875" customWidth="1"/>
    <col min="20" max="20" width="1.140625" customWidth="1"/>
    <col min="21" max="21" width="1.85546875" customWidth="1"/>
    <col min="22" max="22" width="3.7109375" customWidth="1"/>
    <col min="23" max="24" width="1.140625" customWidth="1"/>
    <col min="25" max="25" width="2.7109375" customWidth="1"/>
    <col min="26" max="26" width="1.140625" customWidth="1"/>
    <col min="27" max="27" width="3.7109375" customWidth="1"/>
    <col min="28" max="28" width="2.7109375" customWidth="1"/>
    <col min="29" max="29" width="1.140625" customWidth="1"/>
    <col min="30" max="30" width="1.85546875" customWidth="1"/>
    <col min="31" max="31" width="9.42578125" customWidth="1"/>
    <col min="32" max="32" width="14.7109375" style="255" customWidth="1"/>
    <col min="33" max="33" width="14.28515625" style="255" bestFit="1" customWidth="1"/>
    <col min="34" max="34" width="13.28515625" style="290" customWidth="1"/>
    <col min="35" max="35" width="16" style="255" bestFit="1" customWidth="1"/>
    <col min="36" max="16384" width="9.140625" style="255"/>
  </cols>
  <sheetData>
    <row r="1" spans="1:31" ht="10.9" customHeight="1" x14ac:dyDescent="0.2">
      <c r="A1" s="451"/>
      <c r="B1" s="451"/>
      <c r="C1" s="451"/>
      <c r="D1" s="451"/>
      <c r="E1" s="453"/>
      <c r="F1" s="453"/>
      <c r="G1" s="453"/>
      <c r="H1" s="453"/>
      <c r="I1" s="453"/>
      <c r="J1" s="453"/>
      <c r="K1" s="453"/>
      <c r="L1" s="453"/>
      <c r="M1" s="453"/>
      <c r="N1" s="453"/>
      <c r="O1" s="453"/>
      <c r="P1" s="453"/>
      <c r="Q1" s="453"/>
      <c r="R1" s="453"/>
      <c r="S1" s="453"/>
      <c r="T1" s="453"/>
      <c r="U1" s="453"/>
      <c r="V1" s="453"/>
      <c r="W1" s="453"/>
      <c r="X1" s="453"/>
      <c r="Y1" s="453"/>
      <c r="Z1" s="453"/>
      <c r="AA1" s="453"/>
      <c r="AB1" s="453"/>
      <c r="AC1" s="453"/>
      <c r="AD1" s="453"/>
      <c r="AE1" s="453"/>
    </row>
    <row r="2" spans="1:31" ht="18.399999999999999" customHeight="1" x14ac:dyDescent="0.2">
      <c r="A2" s="452"/>
      <c r="B2" s="452"/>
      <c r="C2" s="452"/>
      <c r="D2" s="452"/>
      <c r="E2" s="454" t="s">
        <v>73</v>
      </c>
      <c r="F2" s="454"/>
      <c r="G2" s="454"/>
      <c r="H2" s="454"/>
      <c r="I2" s="454"/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454"/>
      <c r="AA2" s="454"/>
      <c r="AB2" s="454"/>
      <c r="AC2" s="454"/>
      <c r="AD2" s="454"/>
      <c r="AE2" s="454"/>
    </row>
    <row r="3" spans="1:31" ht="15.75" customHeight="1" x14ac:dyDescent="0.2">
      <c r="A3" s="452"/>
      <c r="B3" s="452"/>
      <c r="C3" s="452"/>
      <c r="D3" s="452"/>
      <c r="E3" s="455" t="s">
        <v>858</v>
      </c>
      <c r="F3" s="455"/>
      <c r="G3" s="455"/>
      <c r="H3" s="455"/>
      <c r="I3" s="455"/>
      <c r="J3" s="455"/>
      <c r="K3" s="455"/>
      <c r="L3" s="455"/>
      <c r="M3" s="455"/>
      <c r="N3" s="455"/>
      <c r="O3" s="455"/>
      <c r="P3" s="455"/>
      <c r="Q3" s="455"/>
      <c r="R3" s="455"/>
      <c r="S3" s="455"/>
      <c r="T3" s="455"/>
      <c r="U3" s="455"/>
      <c r="V3" s="455"/>
      <c r="W3" s="455"/>
      <c r="X3" s="455"/>
      <c r="Y3" s="455"/>
      <c r="Z3" s="455"/>
      <c r="AA3" s="455"/>
      <c r="AB3" s="455"/>
      <c r="AC3" s="455"/>
      <c r="AD3" s="455"/>
      <c r="AE3" s="455"/>
    </row>
    <row r="4" spans="1:31" ht="15.2" customHeight="1" x14ac:dyDescent="0.2">
      <c r="A4" s="456"/>
      <c r="B4" s="456"/>
      <c r="C4" s="456"/>
      <c r="D4" s="456"/>
      <c r="E4" s="457"/>
      <c r="F4" s="457"/>
      <c r="G4" s="457"/>
      <c r="H4" s="457"/>
      <c r="I4" s="457"/>
      <c r="J4" s="457"/>
      <c r="K4" s="457"/>
      <c r="L4" s="457"/>
      <c r="M4" s="457"/>
      <c r="N4" s="457"/>
      <c r="O4" s="457"/>
      <c r="P4" s="457"/>
      <c r="Q4" s="457"/>
      <c r="R4" s="457"/>
      <c r="S4" s="457"/>
      <c r="T4" s="457"/>
      <c r="U4" s="457"/>
      <c r="V4" s="457"/>
      <c r="W4" s="457"/>
      <c r="X4" s="457"/>
      <c r="Y4" s="457"/>
      <c r="Z4" s="457"/>
      <c r="AA4" s="457"/>
      <c r="AB4" s="457"/>
      <c r="AC4" s="457"/>
      <c r="AD4" s="457"/>
      <c r="AE4" s="457"/>
    </row>
    <row r="5" spans="1:31" ht="10.9" customHeight="1" x14ac:dyDescent="0.2">
      <c r="A5" s="449"/>
      <c r="B5" s="449"/>
      <c r="C5" s="449"/>
      <c r="D5" s="449"/>
      <c r="E5" s="450"/>
      <c r="F5" s="450"/>
      <c r="G5" s="450"/>
      <c r="H5" s="450"/>
      <c r="I5" s="450"/>
      <c r="J5" s="450"/>
      <c r="K5" s="450"/>
      <c r="L5" s="450"/>
      <c r="M5" s="450"/>
      <c r="N5" s="450"/>
      <c r="O5" s="450"/>
      <c r="P5" s="450"/>
      <c r="Q5" s="450"/>
      <c r="R5" s="450"/>
      <c r="S5" s="450"/>
      <c r="T5" s="450"/>
      <c r="U5" s="450"/>
      <c r="V5" s="450"/>
      <c r="W5" s="450"/>
      <c r="X5" s="450"/>
      <c r="Y5" s="450"/>
      <c r="Z5" s="450"/>
      <c r="AA5" s="450"/>
      <c r="AB5" s="450"/>
      <c r="AC5" s="450"/>
      <c r="AD5" s="450"/>
      <c r="AE5" s="450"/>
    </row>
    <row r="6" spans="1:31" ht="9.75" customHeight="1" x14ac:dyDescent="0.2">
      <c r="A6" s="447" t="s">
        <v>74</v>
      </c>
      <c r="B6" s="447"/>
      <c r="C6" s="447"/>
      <c r="D6" s="448" t="s">
        <v>75</v>
      </c>
      <c r="E6" s="448"/>
      <c r="F6" s="448"/>
      <c r="G6" s="448"/>
      <c r="H6" s="448"/>
      <c r="I6" s="448"/>
      <c r="J6" s="448"/>
      <c r="K6" s="448"/>
      <c r="L6" s="448"/>
      <c r="M6" s="448"/>
      <c r="N6" s="448"/>
      <c r="O6" s="448"/>
      <c r="P6" s="448"/>
      <c r="Q6" s="448"/>
      <c r="R6" s="448"/>
      <c r="S6" s="448"/>
      <c r="T6" s="448"/>
      <c r="U6" s="448"/>
      <c r="V6" s="448"/>
      <c r="W6" s="448"/>
      <c r="X6" s="448"/>
      <c r="Y6" s="448"/>
      <c r="Z6" s="448"/>
      <c r="AA6" s="448"/>
      <c r="AB6" s="448"/>
      <c r="AC6" s="448"/>
      <c r="AD6" s="448"/>
      <c r="AE6" s="448"/>
    </row>
    <row r="7" spans="1:31" ht="9.75" customHeight="1" x14ac:dyDescent="0.2">
      <c r="A7" s="447" t="s">
        <v>76</v>
      </c>
      <c r="B7" s="447"/>
      <c r="C7" s="447"/>
      <c r="D7" s="448" t="s">
        <v>104</v>
      </c>
      <c r="E7" s="448"/>
      <c r="F7" s="448"/>
      <c r="G7" s="448"/>
      <c r="H7" s="448"/>
      <c r="I7" s="448"/>
      <c r="J7" s="448"/>
      <c r="K7" s="448"/>
      <c r="L7" s="448"/>
      <c r="M7" s="448"/>
      <c r="N7" s="448"/>
      <c r="O7" s="448"/>
      <c r="P7" s="448"/>
      <c r="Q7" s="448"/>
      <c r="R7" s="448"/>
      <c r="S7" s="448"/>
      <c r="T7" s="448"/>
      <c r="U7" s="448"/>
      <c r="V7" s="448"/>
      <c r="W7" s="448"/>
      <c r="X7" s="448"/>
      <c r="Y7" s="448"/>
      <c r="Z7" s="448"/>
      <c r="AA7" s="448"/>
      <c r="AB7" s="448"/>
      <c r="AC7" s="448"/>
      <c r="AD7" s="448"/>
      <c r="AE7" s="448"/>
    </row>
    <row r="8" spans="1:31" ht="9.75" customHeight="1" x14ac:dyDescent="0.2">
      <c r="A8" s="447" t="s">
        <v>77</v>
      </c>
      <c r="B8" s="447"/>
      <c r="C8" s="447"/>
      <c r="D8" s="448" t="s">
        <v>78</v>
      </c>
      <c r="E8" s="448"/>
      <c r="F8" s="448"/>
      <c r="G8" s="448"/>
      <c r="H8" s="448"/>
      <c r="I8" s="448"/>
      <c r="J8" s="448"/>
      <c r="K8" s="448"/>
      <c r="L8" s="448"/>
      <c r="M8" s="448"/>
      <c r="N8" s="448"/>
      <c r="O8" s="448"/>
      <c r="P8" s="448"/>
      <c r="Q8" s="448"/>
      <c r="R8" s="448"/>
      <c r="S8" s="448"/>
      <c r="T8" s="448"/>
      <c r="U8" s="448"/>
      <c r="V8" s="448"/>
      <c r="W8" s="448"/>
      <c r="X8" s="448"/>
      <c r="Y8" s="448"/>
      <c r="Z8" s="448"/>
      <c r="AA8" s="448"/>
      <c r="AB8" s="448"/>
      <c r="AC8" s="448"/>
      <c r="AD8" s="448"/>
      <c r="AE8" s="448"/>
    </row>
    <row r="9" spans="1:31" ht="9.75" customHeight="1" x14ac:dyDescent="0.2">
      <c r="A9" s="447" t="s">
        <v>79</v>
      </c>
      <c r="B9" s="447"/>
      <c r="C9" s="447"/>
      <c r="D9" s="448" t="s">
        <v>80</v>
      </c>
      <c r="E9" s="448"/>
      <c r="F9" s="448"/>
      <c r="G9" s="448"/>
      <c r="H9" s="448"/>
      <c r="I9" s="448"/>
      <c r="J9" s="448"/>
      <c r="K9" s="448"/>
      <c r="L9" s="448"/>
      <c r="M9" s="448"/>
      <c r="N9" s="448"/>
      <c r="O9" s="448"/>
      <c r="P9" s="448"/>
      <c r="Q9" s="448"/>
      <c r="R9" s="448"/>
      <c r="S9" s="448"/>
      <c r="T9" s="448"/>
      <c r="U9" s="448"/>
      <c r="V9" s="448"/>
      <c r="W9" s="448"/>
      <c r="X9" s="448"/>
      <c r="Y9" s="448"/>
      <c r="Z9" s="448"/>
      <c r="AA9" s="448"/>
      <c r="AB9" s="448"/>
      <c r="AC9" s="448"/>
      <c r="AD9" s="448"/>
      <c r="AE9" s="448"/>
    </row>
    <row r="10" spans="1:31" ht="19.149999999999999" customHeight="1" x14ac:dyDescent="0.2">
      <c r="A10" s="447" t="s">
        <v>81</v>
      </c>
      <c r="B10" s="447"/>
      <c r="C10" s="447"/>
      <c r="D10" s="448" t="s">
        <v>82</v>
      </c>
      <c r="E10" s="448"/>
      <c r="F10" s="448"/>
      <c r="G10" s="448"/>
      <c r="H10" s="448"/>
      <c r="I10" s="448"/>
      <c r="J10" s="448"/>
      <c r="K10" s="448"/>
      <c r="L10" s="447" t="s">
        <v>83</v>
      </c>
      <c r="M10" s="447"/>
      <c r="N10" s="447"/>
      <c r="O10" s="447"/>
      <c r="P10" s="447"/>
      <c r="Q10" s="447"/>
      <c r="R10" s="447"/>
      <c r="S10" s="447"/>
      <c r="T10" s="447"/>
      <c r="U10" s="447"/>
      <c r="V10" s="448" t="s">
        <v>84</v>
      </c>
      <c r="W10" s="448"/>
      <c r="X10" s="448"/>
      <c r="Y10" s="448"/>
      <c r="Z10" s="448"/>
      <c r="AA10" s="448"/>
      <c r="AB10" s="448"/>
      <c r="AC10" s="448"/>
      <c r="AD10" s="448"/>
      <c r="AE10" s="448"/>
    </row>
    <row r="11" spans="1:31" ht="9.75" customHeight="1" x14ac:dyDescent="0.2">
      <c r="A11" s="447" t="s">
        <v>85</v>
      </c>
      <c r="B11" s="447"/>
      <c r="C11" s="447"/>
      <c r="D11" s="448" t="s">
        <v>86</v>
      </c>
      <c r="E11" s="448"/>
      <c r="F11" s="448"/>
      <c r="G11" s="448"/>
      <c r="H11" s="448"/>
      <c r="I11" s="448"/>
      <c r="J11" s="448"/>
      <c r="K11" s="448"/>
      <c r="L11" s="447" t="s">
        <v>87</v>
      </c>
      <c r="M11" s="447"/>
      <c r="N11" s="447"/>
      <c r="O11" s="447"/>
      <c r="P11" s="447"/>
      <c r="Q11" s="447"/>
      <c r="R11" s="447"/>
      <c r="S11" s="447"/>
      <c r="T11" s="447"/>
      <c r="U11" s="447"/>
      <c r="V11" s="448" t="s">
        <v>86</v>
      </c>
      <c r="W11" s="448"/>
      <c r="X11" s="448"/>
      <c r="Y11" s="448"/>
      <c r="Z11" s="448"/>
      <c r="AA11" s="448"/>
      <c r="AB11" s="448"/>
      <c r="AC11" s="448"/>
      <c r="AD11" s="448"/>
      <c r="AE11" s="448"/>
    </row>
    <row r="12" spans="1:31" ht="9.75" customHeight="1" x14ac:dyDescent="0.2">
      <c r="A12" s="447" t="s">
        <v>88</v>
      </c>
      <c r="B12" s="447"/>
      <c r="C12" s="447"/>
      <c r="D12" s="448" t="s">
        <v>89</v>
      </c>
      <c r="E12" s="448"/>
      <c r="F12" s="448"/>
      <c r="G12" s="448"/>
      <c r="H12" s="448"/>
      <c r="I12" s="448"/>
      <c r="J12" s="448"/>
      <c r="K12" s="448"/>
      <c r="L12" s="448"/>
      <c r="M12" s="448"/>
      <c r="N12" s="448"/>
      <c r="O12" s="448"/>
      <c r="P12" s="448"/>
      <c r="Q12" s="448"/>
      <c r="R12" s="448"/>
      <c r="S12" s="448"/>
      <c r="T12" s="448"/>
      <c r="U12" s="448"/>
      <c r="V12" s="448"/>
      <c r="W12" s="448"/>
      <c r="X12" s="448"/>
      <c r="Y12" s="448"/>
      <c r="Z12" s="448"/>
      <c r="AA12" s="448"/>
      <c r="AB12" s="448"/>
      <c r="AC12" s="448"/>
      <c r="AD12" s="448"/>
      <c r="AE12" s="448"/>
    </row>
    <row r="13" spans="1:31" ht="10.9" customHeight="1" x14ac:dyDescent="0.2">
      <c r="A13" s="458"/>
      <c r="B13" s="458"/>
      <c r="C13" s="458"/>
      <c r="D13" s="458"/>
      <c r="E13" s="458"/>
      <c r="F13" s="458"/>
      <c r="G13" s="458"/>
      <c r="H13" s="458"/>
      <c r="I13" s="458"/>
      <c r="J13" s="458"/>
      <c r="K13" s="458"/>
      <c r="L13" s="458"/>
      <c r="M13" s="458"/>
      <c r="N13" s="458"/>
      <c r="O13" s="458"/>
      <c r="P13" s="458"/>
      <c r="Q13" s="458"/>
      <c r="R13" s="458"/>
      <c r="S13" s="458"/>
      <c r="T13" s="458"/>
      <c r="U13" s="458"/>
      <c r="V13" s="458"/>
      <c r="W13" s="458"/>
      <c r="X13" s="458"/>
      <c r="Y13" s="458"/>
      <c r="Z13" s="458"/>
      <c r="AA13" s="458"/>
      <c r="AB13" s="458"/>
      <c r="AC13" s="458"/>
      <c r="AD13" s="458"/>
      <c r="AE13" s="458"/>
    </row>
    <row r="14" spans="1:31" ht="9.75" customHeight="1" x14ac:dyDescent="0.2">
      <c r="A14" s="459" t="s">
        <v>90</v>
      </c>
      <c r="B14" s="459"/>
      <c r="C14" s="459" t="s">
        <v>91</v>
      </c>
      <c r="D14" s="459"/>
      <c r="E14" s="459"/>
      <c r="F14" s="459"/>
      <c r="G14" s="459"/>
      <c r="H14" s="459"/>
      <c r="I14" s="459"/>
      <c r="J14" s="459"/>
      <c r="K14" s="459"/>
      <c r="L14" s="459"/>
      <c r="M14" s="459"/>
      <c r="N14" s="459"/>
      <c r="O14" s="459"/>
      <c r="P14" s="459"/>
      <c r="Q14" s="459"/>
      <c r="R14" s="459"/>
      <c r="S14" s="459"/>
      <c r="T14" s="459"/>
      <c r="U14" s="459"/>
      <c r="V14" s="459"/>
      <c r="W14" s="459"/>
      <c r="X14" s="447" t="s">
        <v>95</v>
      </c>
      <c r="Y14" s="447"/>
      <c r="Z14" s="447"/>
      <c r="AA14" s="447"/>
      <c r="AB14" s="447"/>
      <c r="AC14" s="447"/>
      <c r="AD14" s="447"/>
      <c r="AE14" s="235" t="s">
        <v>859</v>
      </c>
    </row>
    <row r="15" spans="1:31" ht="9.6" customHeight="1" x14ac:dyDescent="0.2">
      <c r="A15" s="448" t="s">
        <v>96</v>
      </c>
      <c r="B15" s="448"/>
      <c r="C15" s="448" t="s">
        <v>4</v>
      </c>
      <c r="D15" s="448"/>
      <c r="E15" s="448"/>
      <c r="F15" s="448"/>
      <c r="G15" s="448"/>
      <c r="H15" s="448"/>
      <c r="I15" s="448"/>
      <c r="J15" s="448"/>
      <c r="K15" s="448"/>
      <c r="L15" s="448"/>
      <c r="M15" s="448"/>
      <c r="N15" s="448"/>
      <c r="O15" s="448"/>
      <c r="P15" s="448"/>
      <c r="Q15" s="448"/>
      <c r="R15" s="448"/>
      <c r="S15" s="448"/>
      <c r="T15" s="448"/>
      <c r="U15" s="448"/>
      <c r="V15" s="448"/>
      <c r="W15" s="448"/>
      <c r="X15" s="435">
        <v>117226.62</v>
      </c>
      <c r="Y15" s="436"/>
      <c r="Z15" s="436"/>
      <c r="AA15" s="436"/>
      <c r="AB15" s="436"/>
      <c r="AC15" s="436"/>
      <c r="AD15" s="437"/>
      <c r="AE15" s="514">
        <f>X15/$X$52</f>
        <v>4.5656717127159933E-3</v>
      </c>
    </row>
    <row r="16" spans="1:31" ht="9.6" customHeight="1" x14ac:dyDescent="0.2">
      <c r="A16" s="448" t="s">
        <v>99</v>
      </c>
      <c r="B16" s="448"/>
      <c r="C16" s="448" t="s">
        <v>120</v>
      </c>
      <c r="D16" s="448"/>
      <c r="E16" s="448"/>
      <c r="F16" s="448"/>
      <c r="G16" s="448"/>
      <c r="H16" s="448"/>
      <c r="I16" s="448"/>
      <c r="J16" s="448"/>
      <c r="K16" s="448"/>
      <c r="L16" s="448"/>
      <c r="M16" s="448"/>
      <c r="N16" s="448"/>
      <c r="O16" s="448"/>
      <c r="P16" s="448"/>
      <c r="Q16" s="448"/>
      <c r="R16" s="448"/>
      <c r="S16" s="448"/>
      <c r="T16" s="448"/>
      <c r="U16" s="448"/>
      <c r="V16" s="448"/>
      <c r="W16" s="448"/>
      <c r="X16" s="435">
        <v>422085.8</v>
      </c>
      <c r="Y16" s="436"/>
      <c r="Z16" s="436"/>
      <c r="AA16" s="436"/>
      <c r="AB16" s="436"/>
      <c r="AC16" s="436"/>
      <c r="AD16" s="437"/>
      <c r="AE16" s="514">
        <f t="shared" ref="AE16:AE36" si="0">X16/$X$52</f>
        <v>1.6439143237253623E-2</v>
      </c>
    </row>
    <row r="17" spans="1:35" ht="9.6" customHeight="1" x14ac:dyDescent="0.2">
      <c r="A17" s="448" t="s">
        <v>102</v>
      </c>
      <c r="B17" s="448"/>
      <c r="C17" s="448" t="s">
        <v>5</v>
      </c>
      <c r="D17" s="448"/>
      <c r="E17" s="448"/>
      <c r="F17" s="448"/>
      <c r="G17" s="448"/>
      <c r="H17" s="448"/>
      <c r="I17" s="448"/>
      <c r="J17" s="448"/>
      <c r="K17" s="448"/>
      <c r="L17" s="448"/>
      <c r="M17" s="448"/>
      <c r="N17" s="448"/>
      <c r="O17" s="448"/>
      <c r="P17" s="448"/>
      <c r="Q17" s="448"/>
      <c r="R17" s="448"/>
      <c r="S17" s="448"/>
      <c r="T17" s="448"/>
      <c r="U17" s="448"/>
      <c r="V17" s="448"/>
      <c r="W17" s="448"/>
      <c r="X17" s="438">
        <v>1278806.1499999999</v>
      </c>
      <c r="Y17" s="439"/>
      <c r="Z17" s="439"/>
      <c r="AA17" s="439"/>
      <c r="AB17" s="439"/>
      <c r="AC17" s="439"/>
      <c r="AD17" s="440"/>
      <c r="AE17" s="514">
        <f t="shared" si="0"/>
        <v>4.9806170860357872E-2</v>
      </c>
    </row>
    <row r="18" spans="1:35" ht="9.6" customHeight="1" x14ac:dyDescent="0.2">
      <c r="A18" s="448" t="s">
        <v>198</v>
      </c>
      <c r="B18" s="448"/>
      <c r="C18" s="448" t="s">
        <v>6</v>
      </c>
      <c r="D18" s="448"/>
      <c r="E18" s="448"/>
      <c r="F18" s="448"/>
      <c r="G18" s="448"/>
      <c r="H18" s="448"/>
      <c r="I18" s="448"/>
      <c r="J18" s="448"/>
      <c r="K18" s="448"/>
      <c r="L18" s="448"/>
      <c r="M18" s="448"/>
      <c r="N18" s="448"/>
      <c r="O18" s="448"/>
      <c r="P18" s="448"/>
      <c r="Q18" s="448"/>
      <c r="R18" s="448"/>
      <c r="S18" s="448"/>
      <c r="T18" s="448"/>
      <c r="U18" s="448"/>
      <c r="V18" s="448"/>
      <c r="W18" s="448"/>
      <c r="X18" s="438">
        <v>5154482.22</v>
      </c>
      <c r="Y18" s="439"/>
      <c r="Z18" s="439"/>
      <c r="AA18" s="439"/>
      <c r="AB18" s="439"/>
      <c r="AC18" s="439"/>
      <c r="AD18" s="440"/>
      <c r="AE18" s="514">
        <f t="shared" si="0"/>
        <v>0.20075366555438973</v>
      </c>
      <c r="AH18" s="327"/>
    </row>
    <row r="19" spans="1:35" ht="9.6" customHeight="1" x14ac:dyDescent="0.2">
      <c r="A19" s="448" t="s">
        <v>249</v>
      </c>
      <c r="B19" s="448"/>
      <c r="C19" s="448" t="s">
        <v>250</v>
      </c>
      <c r="D19" s="448"/>
      <c r="E19" s="448"/>
      <c r="F19" s="448"/>
      <c r="G19" s="448"/>
      <c r="H19" s="448"/>
      <c r="I19" s="448"/>
      <c r="J19" s="448"/>
      <c r="K19" s="448"/>
      <c r="L19" s="448"/>
      <c r="M19" s="448"/>
      <c r="N19" s="448"/>
      <c r="O19" s="448"/>
      <c r="P19" s="448"/>
      <c r="Q19" s="448"/>
      <c r="R19" s="448"/>
      <c r="S19" s="448"/>
      <c r="T19" s="448"/>
      <c r="U19" s="448"/>
      <c r="V19" s="448"/>
      <c r="W19" s="448"/>
      <c r="X19" s="435">
        <v>910813.58</v>
      </c>
      <c r="Y19" s="436"/>
      <c r="Z19" s="436"/>
      <c r="AA19" s="436"/>
      <c r="AB19" s="436"/>
      <c r="AC19" s="436"/>
      <c r="AD19" s="437"/>
      <c r="AE19" s="514">
        <f t="shared" si="0"/>
        <v>3.5473818129052814E-2</v>
      </c>
      <c r="AH19" s="327"/>
      <c r="AI19" s="290"/>
    </row>
    <row r="20" spans="1:35" ht="9.6" customHeight="1" x14ac:dyDescent="0.2">
      <c r="A20" s="448" t="s">
        <v>287</v>
      </c>
      <c r="B20" s="448"/>
      <c r="C20" s="448" t="s">
        <v>288</v>
      </c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  <c r="Q20" s="448"/>
      <c r="R20" s="448"/>
      <c r="S20" s="448"/>
      <c r="T20" s="448"/>
      <c r="U20" s="448"/>
      <c r="V20" s="448"/>
      <c r="W20" s="448"/>
      <c r="X20" s="435">
        <v>482376.84</v>
      </c>
      <c r="Y20" s="436"/>
      <c r="Z20" s="436"/>
      <c r="AA20" s="436"/>
      <c r="AB20" s="436"/>
      <c r="AC20" s="436"/>
      <c r="AD20" s="437"/>
      <c r="AE20" s="514">
        <f t="shared" si="0"/>
        <v>1.8787322310046376E-2</v>
      </c>
      <c r="AF20" s="290">
        <f>(X21+X22+X23)</f>
        <v>2506878.87</v>
      </c>
      <c r="AH20" s="327"/>
    </row>
    <row r="21" spans="1:35" ht="9.6" customHeight="1" x14ac:dyDescent="0.2">
      <c r="A21" s="448" t="s">
        <v>345</v>
      </c>
      <c r="B21" s="448"/>
      <c r="C21" s="448" t="s">
        <v>346</v>
      </c>
      <c r="D21" s="448"/>
      <c r="E21" s="448"/>
      <c r="F21" s="448"/>
      <c r="G21" s="448"/>
      <c r="H21" s="448"/>
      <c r="I21" s="448"/>
      <c r="J21" s="448"/>
      <c r="K21" s="448"/>
      <c r="L21" s="448"/>
      <c r="M21" s="448"/>
      <c r="N21" s="448"/>
      <c r="O21" s="448"/>
      <c r="P21" s="448"/>
      <c r="Q21" s="448"/>
      <c r="R21" s="448"/>
      <c r="S21" s="448"/>
      <c r="T21" s="448"/>
      <c r="U21" s="448"/>
      <c r="V21" s="448"/>
      <c r="W21" s="448"/>
      <c r="X21" s="435">
        <v>932074.24</v>
      </c>
      <c r="Y21" s="436"/>
      <c r="Z21" s="436"/>
      <c r="AA21" s="436"/>
      <c r="AB21" s="436"/>
      <c r="AC21" s="436"/>
      <c r="AD21" s="437"/>
      <c r="AE21" s="514">
        <f t="shared" si="0"/>
        <v>3.630186549539053E-2</v>
      </c>
      <c r="AF21" s="290">
        <f>(X21+X22+X23)/ORÇAMENTO_EXECUTIVO!N3</f>
        <v>339.9535772112967</v>
      </c>
      <c r="AH21" s="327"/>
    </row>
    <row r="22" spans="1:35" ht="9.6" customHeight="1" x14ac:dyDescent="0.2">
      <c r="A22" s="448" t="s">
        <v>360</v>
      </c>
      <c r="B22" s="448"/>
      <c r="C22" s="448" t="s">
        <v>361</v>
      </c>
      <c r="D22" s="448"/>
      <c r="E22" s="448"/>
      <c r="F22" s="448"/>
      <c r="G22" s="448"/>
      <c r="H22" s="448"/>
      <c r="I22" s="448"/>
      <c r="J22" s="448"/>
      <c r="K22" s="448"/>
      <c r="L22" s="448"/>
      <c r="M22" s="448"/>
      <c r="N22" s="448"/>
      <c r="O22" s="448"/>
      <c r="P22" s="448"/>
      <c r="Q22" s="448"/>
      <c r="R22" s="448"/>
      <c r="S22" s="448"/>
      <c r="T22" s="448"/>
      <c r="U22" s="448"/>
      <c r="V22" s="448"/>
      <c r="W22" s="448"/>
      <c r="X22" s="438">
        <v>1224359.4099999999</v>
      </c>
      <c r="Y22" s="439"/>
      <c r="Z22" s="439"/>
      <c r="AA22" s="439"/>
      <c r="AB22" s="439"/>
      <c r="AC22" s="439"/>
      <c r="AD22" s="440"/>
      <c r="AE22" s="514">
        <f t="shared" si="0"/>
        <v>4.7685612060081942E-2</v>
      </c>
      <c r="AF22" s="290"/>
      <c r="AH22" s="327"/>
    </row>
    <row r="23" spans="1:35" ht="9.6" customHeight="1" x14ac:dyDescent="0.2">
      <c r="A23" s="448" t="s">
        <v>387</v>
      </c>
      <c r="B23" s="448"/>
      <c r="C23" s="448" t="s">
        <v>880</v>
      </c>
      <c r="D23" s="448"/>
      <c r="E23" s="448"/>
      <c r="F23" s="448"/>
      <c r="G23" s="448"/>
      <c r="H23" s="448"/>
      <c r="I23" s="448"/>
      <c r="J23" s="448"/>
      <c r="K23" s="448"/>
      <c r="L23" s="448"/>
      <c r="M23" s="448"/>
      <c r="N23" s="448"/>
      <c r="O23" s="448"/>
      <c r="P23" s="448"/>
      <c r="Q23" s="448"/>
      <c r="R23" s="448"/>
      <c r="S23" s="448"/>
      <c r="T23" s="448"/>
      <c r="U23" s="448"/>
      <c r="V23" s="448"/>
      <c r="W23" s="448"/>
      <c r="X23" s="435">
        <v>350445.22</v>
      </c>
      <c r="Y23" s="436"/>
      <c r="Z23" s="436"/>
      <c r="AA23" s="436"/>
      <c r="AB23" s="436"/>
      <c r="AC23" s="436"/>
      <c r="AD23" s="437"/>
      <c r="AE23" s="514">
        <f t="shared" si="0"/>
        <v>1.3648929123867368E-2</v>
      </c>
      <c r="AF23" s="290"/>
    </row>
    <row r="24" spans="1:35" ht="9.6" customHeight="1" x14ac:dyDescent="0.2">
      <c r="A24" s="448" t="s">
        <v>398</v>
      </c>
      <c r="B24" s="448"/>
      <c r="C24" s="448" t="s">
        <v>403</v>
      </c>
      <c r="D24" s="448"/>
      <c r="E24" s="448"/>
      <c r="F24" s="448"/>
      <c r="G24" s="448"/>
      <c r="H24" s="448"/>
      <c r="I24" s="448"/>
      <c r="J24" s="448"/>
      <c r="K24" s="448"/>
      <c r="L24" s="448"/>
      <c r="M24" s="448"/>
      <c r="N24" s="448"/>
      <c r="O24" s="448"/>
      <c r="P24" s="448"/>
      <c r="Q24" s="448"/>
      <c r="R24" s="448"/>
      <c r="S24" s="448"/>
      <c r="T24" s="448"/>
      <c r="U24" s="448"/>
      <c r="V24" s="448"/>
      <c r="W24" s="448"/>
      <c r="X24" s="435">
        <v>145376.22</v>
      </c>
      <c r="Y24" s="436"/>
      <c r="Z24" s="436"/>
      <c r="AA24" s="436"/>
      <c r="AB24" s="436"/>
      <c r="AC24" s="436"/>
      <c r="AD24" s="437"/>
      <c r="AE24" s="514">
        <f t="shared" si="0"/>
        <v>5.6620253604136757E-3</v>
      </c>
      <c r="AF24" s="290">
        <f>X24/ORÇAMENTO_EXECUTIVO!$N$3</f>
        <v>19.714221784659447</v>
      </c>
    </row>
    <row r="25" spans="1:35" ht="9.6" customHeight="1" x14ac:dyDescent="0.2">
      <c r="A25" s="448" t="s">
        <v>402</v>
      </c>
      <c r="B25" s="448"/>
      <c r="C25" s="448" t="s">
        <v>23</v>
      </c>
      <c r="D25" s="448"/>
      <c r="E25" s="448"/>
      <c r="F25" s="448"/>
      <c r="G25" s="448"/>
      <c r="H25" s="448"/>
      <c r="I25" s="448"/>
      <c r="J25" s="448"/>
      <c r="K25" s="448"/>
      <c r="L25" s="448"/>
      <c r="M25" s="448"/>
      <c r="N25" s="448"/>
      <c r="O25" s="448"/>
      <c r="P25" s="448"/>
      <c r="Q25" s="448"/>
      <c r="R25" s="448"/>
      <c r="S25" s="448"/>
      <c r="T25" s="448"/>
      <c r="U25" s="448"/>
      <c r="V25" s="448"/>
      <c r="W25" s="448"/>
      <c r="X25" s="435">
        <v>817781.32</v>
      </c>
      <c r="Y25" s="436"/>
      <c r="Z25" s="436"/>
      <c r="AA25" s="436"/>
      <c r="AB25" s="436"/>
      <c r="AC25" s="436"/>
      <c r="AD25" s="437"/>
      <c r="AE25" s="514">
        <f t="shared" si="0"/>
        <v>3.1850453761368754E-2</v>
      </c>
      <c r="AF25" s="290">
        <f>X25/ORÇAMENTO_EXECUTIVO!$N$3</f>
        <v>110.89793305831969</v>
      </c>
    </row>
    <row r="26" spans="1:35" ht="9.6" customHeight="1" x14ac:dyDescent="0.2">
      <c r="A26" s="448" t="s">
        <v>414</v>
      </c>
      <c r="B26" s="448"/>
      <c r="C26" s="448" t="s">
        <v>422</v>
      </c>
      <c r="D26" s="448"/>
      <c r="E26" s="448"/>
      <c r="F26" s="448"/>
      <c r="G26" s="448"/>
      <c r="H26" s="448"/>
      <c r="I26" s="448"/>
      <c r="J26" s="448"/>
      <c r="K26" s="448"/>
      <c r="L26" s="448"/>
      <c r="M26" s="448"/>
      <c r="N26" s="448"/>
      <c r="O26" s="448"/>
      <c r="P26" s="448"/>
      <c r="Q26" s="448"/>
      <c r="R26" s="448"/>
      <c r="S26" s="448"/>
      <c r="T26" s="448"/>
      <c r="U26" s="448"/>
      <c r="V26" s="448"/>
      <c r="W26" s="448"/>
      <c r="X26" s="435">
        <v>216600</v>
      </c>
      <c r="Y26" s="436"/>
      <c r="Z26" s="436"/>
      <c r="AA26" s="436"/>
      <c r="AB26" s="436"/>
      <c r="AC26" s="436"/>
      <c r="AD26" s="437"/>
      <c r="AE26" s="514">
        <f t="shared" si="0"/>
        <v>8.4360061987139457E-3</v>
      </c>
      <c r="AF26" s="290">
        <f>X26/ORÇAMENTO_EXECUTIVO!$N$3</f>
        <v>29.37275737776946</v>
      </c>
    </row>
    <row r="27" spans="1:35" ht="9.6" customHeight="1" x14ac:dyDescent="0.2">
      <c r="A27" s="448" t="s">
        <v>421</v>
      </c>
      <c r="B27" s="448"/>
      <c r="C27" s="448" t="s">
        <v>436</v>
      </c>
      <c r="D27" s="448"/>
      <c r="E27" s="448"/>
      <c r="F27" s="448"/>
      <c r="G27" s="448"/>
      <c r="H27" s="448"/>
      <c r="I27" s="448"/>
      <c r="J27" s="448"/>
      <c r="K27" s="448"/>
      <c r="L27" s="448"/>
      <c r="M27" s="448"/>
      <c r="N27" s="448"/>
      <c r="O27" s="448"/>
      <c r="P27" s="448"/>
      <c r="Q27" s="448"/>
      <c r="R27" s="448"/>
      <c r="S27" s="448"/>
      <c r="T27" s="448"/>
      <c r="U27" s="448"/>
      <c r="V27" s="448"/>
      <c r="W27" s="448"/>
      <c r="X27" s="438">
        <v>1159047.73</v>
      </c>
      <c r="Y27" s="439"/>
      <c r="Z27" s="439"/>
      <c r="AA27" s="439"/>
      <c r="AB27" s="439"/>
      <c r="AC27" s="439"/>
      <c r="AD27" s="440"/>
      <c r="AE27" s="514">
        <f t="shared" si="0"/>
        <v>4.5141892127817759E-2</v>
      </c>
      <c r="AF27" s="290">
        <f>X27/ORÇAMENTO_EXECUTIVO!$N$3</f>
        <v>157.17649013178413</v>
      </c>
    </row>
    <row r="28" spans="1:35" ht="9.6" customHeight="1" x14ac:dyDescent="0.2">
      <c r="A28" s="448" t="s">
        <v>435</v>
      </c>
      <c r="B28" s="448"/>
      <c r="C28" s="448" t="s">
        <v>20</v>
      </c>
      <c r="D28" s="448"/>
      <c r="E28" s="448"/>
      <c r="F28" s="448"/>
      <c r="G28" s="448"/>
      <c r="H28" s="448"/>
      <c r="I28" s="448"/>
      <c r="J28" s="448"/>
      <c r="K28" s="448"/>
      <c r="L28" s="448"/>
      <c r="M28" s="448"/>
      <c r="N28" s="448"/>
      <c r="O28" s="448"/>
      <c r="P28" s="448"/>
      <c r="Q28" s="448"/>
      <c r="R28" s="448"/>
      <c r="S28" s="448"/>
      <c r="T28" s="448"/>
      <c r="U28" s="448"/>
      <c r="V28" s="448"/>
      <c r="W28" s="448"/>
      <c r="X28" s="435">
        <v>405459.35</v>
      </c>
      <c r="Y28" s="436"/>
      <c r="Z28" s="436"/>
      <c r="AA28" s="436"/>
      <c r="AB28" s="436"/>
      <c r="AC28" s="436"/>
      <c r="AD28" s="437"/>
      <c r="AE28" s="514">
        <f t="shared" si="0"/>
        <v>1.5791586287749432E-2</v>
      </c>
      <c r="AF28" s="290">
        <f>X28/ORÇAMENTO_EXECUTIVO!$N$3</f>
        <v>54.98365241965886</v>
      </c>
    </row>
    <row r="29" spans="1:35" ht="9.6" customHeight="1" x14ac:dyDescent="0.2">
      <c r="A29" s="448" t="s">
        <v>463</v>
      </c>
      <c r="B29" s="448"/>
      <c r="C29" s="448" t="s">
        <v>486</v>
      </c>
      <c r="D29" s="448"/>
      <c r="E29" s="448"/>
      <c r="F29" s="448"/>
      <c r="G29" s="448"/>
      <c r="H29" s="448"/>
      <c r="I29" s="448"/>
      <c r="J29" s="448"/>
      <c r="K29" s="448"/>
      <c r="L29" s="448"/>
      <c r="M29" s="448"/>
      <c r="N29" s="448"/>
      <c r="O29" s="448"/>
      <c r="P29" s="448"/>
      <c r="Q29" s="448"/>
      <c r="R29" s="448"/>
      <c r="S29" s="448"/>
      <c r="T29" s="448"/>
      <c r="U29" s="448"/>
      <c r="V29" s="448"/>
      <c r="W29" s="448"/>
      <c r="X29" s="438">
        <v>1762646.2</v>
      </c>
      <c r="Y29" s="439"/>
      <c r="Z29" s="439"/>
      <c r="AA29" s="439"/>
      <c r="AB29" s="439"/>
      <c r="AC29" s="439"/>
      <c r="AD29" s="440"/>
      <c r="AE29" s="514">
        <f t="shared" si="0"/>
        <v>6.8650481391226134E-2</v>
      </c>
      <c r="AF29" s="290">
        <f>X29/ORÇAMENTO_EXECUTIVO!$N$3</f>
        <v>239.02945141019069</v>
      </c>
      <c r="AG29" s="286"/>
    </row>
    <row r="30" spans="1:35" ht="9.6" customHeight="1" x14ac:dyDescent="0.2">
      <c r="A30" s="448" t="s">
        <v>485</v>
      </c>
      <c r="B30" s="448"/>
      <c r="C30" s="448" t="s">
        <v>530</v>
      </c>
      <c r="D30" s="448"/>
      <c r="E30" s="448"/>
      <c r="F30" s="448"/>
      <c r="G30" s="448"/>
      <c r="H30" s="448"/>
      <c r="I30" s="448"/>
      <c r="J30" s="448"/>
      <c r="K30" s="448"/>
      <c r="L30" s="448"/>
      <c r="M30" s="448"/>
      <c r="N30" s="448"/>
      <c r="O30" s="448"/>
      <c r="P30" s="448"/>
      <c r="Q30" s="448"/>
      <c r="R30" s="448"/>
      <c r="S30" s="448"/>
      <c r="T30" s="448"/>
      <c r="U30" s="448"/>
      <c r="V30" s="448"/>
      <c r="W30" s="448"/>
      <c r="X30" s="435">
        <v>995637.62</v>
      </c>
      <c r="Y30" s="436"/>
      <c r="Z30" s="436"/>
      <c r="AA30" s="436"/>
      <c r="AB30" s="436"/>
      <c r="AC30" s="436"/>
      <c r="AD30" s="437"/>
      <c r="AE30" s="514">
        <f t="shared" si="0"/>
        <v>3.8777493693410894E-2</v>
      </c>
      <c r="AF30" s="286">
        <f>517.25794*(16.44+34)</f>
        <v>26090.490493599998</v>
      </c>
      <c r="AG30" s="286">
        <f>517.25794*(113.9188+40)</f>
        <v>79615.721415271997</v>
      </c>
    </row>
    <row r="31" spans="1:35" ht="9.6" customHeight="1" x14ac:dyDescent="0.2">
      <c r="A31" s="448" t="s">
        <v>529</v>
      </c>
      <c r="B31" s="448"/>
      <c r="C31" s="448" t="s">
        <v>12</v>
      </c>
      <c r="D31" s="448"/>
      <c r="E31" s="448"/>
      <c r="F31" s="448"/>
      <c r="G31" s="448"/>
      <c r="H31" s="448"/>
      <c r="I31" s="448"/>
      <c r="J31" s="448"/>
      <c r="K31" s="448"/>
      <c r="L31" s="448"/>
      <c r="M31" s="448"/>
      <c r="N31" s="448"/>
      <c r="O31" s="448"/>
      <c r="P31" s="448"/>
      <c r="Q31" s="448"/>
      <c r="R31" s="448"/>
      <c r="S31" s="448"/>
      <c r="T31" s="448"/>
      <c r="U31" s="448"/>
      <c r="V31" s="448"/>
      <c r="W31" s="448"/>
      <c r="X31" s="438">
        <v>3047560.2</v>
      </c>
      <c r="Y31" s="439"/>
      <c r="Z31" s="439"/>
      <c r="AA31" s="439"/>
      <c r="AB31" s="439"/>
      <c r="AC31" s="439"/>
      <c r="AD31" s="440"/>
      <c r="AE31" s="514">
        <f t="shared" si="0"/>
        <v>0.11869453711059054</v>
      </c>
      <c r="AF31" s="286">
        <f>AF30/ORÇAMENTO_EXECUTIVO!$N$3</f>
        <v>3.5380870135526932</v>
      </c>
      <c r="AG31" s="286">
        <f>AG30/ORÇAMENTO_EXECUTIVO!$N$3</f>
        <v>10.79655248655064</v>
      </c>
    </row>
    <row r="32" spans="1:35" ht="9.6" customHeight="1" x14ac:dyDescent="0.2">
      <c r="A32" s="448" t="s">
        <v>557</v>
      </c>
      <c r="B32" s="448"/>
      <c r="C32" s="448" t="s">
        <v>586</v>
      </c>
      <c r="D32" s="448"/>
      <c r="E32" s="448"/>
      <c r="F32" s="448"/>
      <c r="G32" s="448"/>
      <c r="H32" s="448"/>
      <c r="I32" s="448"/>
      <c r="J32" s="448"/>
      <c r="K32" s="448"/>
      <c r="L32" s="448"/>
      <c r="M32" s="448"/>
      <c r="N32" s="448"/>
      <c r="O32" s="448"/>
      <c r="P32" s="448"/>
      <c r="Q32" s="448"/>
      <c r="R32" s="448"/>
      <c r="S32" s="448"/>
      <c r="T32" s="448"/>
      <c r="U32" s="448"/>
      <c r="V32" s="448"/>
      <c r="W32" s="448"/>
      <c r="X32" s="435">
        <v>217852.24</v>
      </c>
      <c r="Y32" s="436"/>
      <c r="Z32" s="436"/>
      <c r="AA32" s="436"/>
      <c r="AB32" s="436"/>
      <c r="AC32" s="436"/>
      <c r="AD32" s="437"/>
      <c r="AE32" s="514">
        <f t="shared" si="0"/>
        <v>8.484777687182447E-3</v>
      </c>
      <c r="AF32" s="290">
        <f>X32/ORÇAMENTO_EXECUTIVO!$N$3</f>
        <v>29.542571513036023</v>
      </c>
      <c r="AH32" s="326"/>
      <c r="AI32" s="326"/>
    </row>
    <row r="33" spans="1:35" ht="9.6" customHeight="1" x14ac:dyDescent="0.2">
      <c r="A33" s="448" t="s">
        <v>585</v>
      </c>
      <c r="B33" s="448"/>
      <c r="C33" s="448" t="s">
        <v>22</v>
      </c>
      <c r="D33" s="448"/>
      <c r="E33" s="448"/>
      <c r="F33" s="448"/>
      <c r="G33" s="448"/>
      <c r="H33" s="448"/>
      <c r="I33" s="448"/>
      <c r="J33" s="448"/>
      <c r="K33" s="448"/>
      <c r="L33" s="448"/>
      <c r="M33" s="448"/>
      <c r="N33" s="448"/>
      <c r="O33" s="448"/>
      <c r="P33" s="448"/>
      <c r="Q33" s="448"/>
      <c r="R33" s="448"/>
      <c r="S33" s="448"/>
      <c r="T33" s="448"/>
      <c r="U33" s="448"/>
      <c r="V33" s="448"/>
      <c r="W33" s="448"/>
      <c r="X33" s="444">
        <v>14404.72</v>
      </c>
      <c r="Y33" s="445"/>
      <c r="Z33" s="445"/>
      <c r="AA33" s="445"/>
      <c r="AB33" s="445"/>
      <c r="AC33" s="445"/>
      <c r="AD33" s="446"/>
      <c r="AE33" s="514">
        <f t="shared" si="0"/>
        <v>5.6102634908004954E-4</v>
      </c>
    </row>
    <row r="34" spans="1:35" ht="9.6" customHeight="1" x14ac:dyDescent="0.2">
      <c r="A34" s="448" t="s">
        <v>597</v>
      </c>
      <c r="B34" s="448"/>
      <c r="C34" s="448" t="s">
        <v>602</v>
      </c>
      <c r="D34" s="448"/>
      <c r="E34" s="448"/>
      <c r="F34" s="448"/>
      <c r="G34" s="448"/>
      <c r="H34" s="448"/>
      <c r="I34" s="448"/>
      <c r="J34" s="448"/>
      <c r="K34" s="448"/>
      <c r="L34" s="448"/>
      <c r="M34" s="448"/>
      <c r="N34" s="448"/>
      <c r="O34" s="448"/>
      <c r="P34" s="448"/>
      <c r="Q34" s="448"/>
      <c r="R34" s="448"/>
      <c r="S34" s="448"/>
      <c r="T34" s="448"/>
      <c r="U34" s="448"/>
      <c r="V34" s="448"/>
      <c r="W34" s="448"/>
      <c r="X34" s="435">
        <v>420905.94</v>
      </c>
      <c r="Y34" s="436"/>
      <c r="Z34" s="436"/>
      <c r="AA34" s="436"/>
      <c r="AB34" s="436"/>
      <c r="AC34" s="436"/>
      <c r="AD34" s="437"/>
      <c r="AE34" s="514">
        <f t="shared" si="0"/>
        <v>1.6393190761382827E-2</v>
      </c>
      <c r="AI34" s="322"/>
    </row>
    <row r="35" spans="1:35" ht="9.6" customHeight="1" x14ac:dyDescent="0.2">
      <c r="A35" s="448" t="s">
        <v>601</v>
      </c>
      <c r="B35" s="448"/>
      <c r="C35" s="448" t="s">
        <v>633</v>
      </c>
      <c r="D35" s="448"/>
      <c r="E35" s="448"/>
      <c r="F35" s="448"/>
      <c r="G35" s="448"/>
      <c r="H35" s="448"/>
      <c r="I35" s="448"/>
      <c r="J35" s="448"/>
      <c r="K35" s="448"/>
      <c r="L35" s="448"/>
      <c r="M35" s="448"/>
      <c r="N35" s="448"/>
      <c r="O35" s="448"/>
      <c r="P35" s="448"/>
      <c r="Q35" s="448"/>
      <c r="R35" s="448"/>
      <c r="S35" s="448"/>
      <c r="T35" s="448"/>
      <c r="U35" s="448"/>
      <c r="V35" s="448"/>
      <c r="W35" s="448"/>
      <c r="X35" s="438">
        <v>1488758.11</v>
      </c>
      <c r="Y35" s="439"/>
      <c r="Z35" s="439"/>
      <c r="AA35" s="439"/>
      <c r="AB35" s="439"/>
      <c r="AC35" s="439"/>
      <c r="AD35" s="440"/>
      <c r="AE35" s="514">
        <f t="shared" si="0"/>
        <v>5.7983253205658628E-2</v>
      </c>
      <c r="AI35" s="325"/>
    </row>
    <row r="36" spans="1:35" ht="9.6" customHeight="1" x14ac:dyDescent="0.2">
      <c r="A36" s="448" t="s">
        <v>632</v>
      </c>
      <c r="B36" s="448"/>
      <c r="C36" s="448" t="s">
        <v>648</v>
      </c>
      <c r="D36" s="448"/>
      <c r="E36" s="448"/>
      <c r="F36" s="448"/>
      <c r="G36" s="448"/>
      <c r="H36" s="448"/>
      <c r="I36" s="448"/>
      <c r="J36" s="448"/>
      <c r="K36" s="448"/>
      <c r="L36" s="448"/>
      <c r="M36" s="448"/>
      <c r="N36" s="448"/>
      <c r="O36" s="448"/>
      <c r="P36" s="448"/>
      <c r="Q36" s="448"/>
      <c r="R36" s="448"/>
      <c r="S36" s="448"/>
      <c r="T36" s="448"/>
      <c r="U36" s="448"/>
      <c r="V36" s="448"/>
      <c r="W36" s="448"/>
      <c r="X36" s="517">
        <f>AF37</f>
        <v>699680.21938218456</v>
      </c>
      <c r="Y36" s="518"/>
      <c r="Z36" s="518"/>
      <c r="AA36" s="518"/>
      <c r="AB36" s="518"/>
      <c r="AC36" s="518"/>
      <c r="AD36" s="519"/>
      <c r="AE36" s="514">
        <f t="shared" si="0"/>
        <v>2.7250723304827525E-2</v>
      </c>
      <c r="AF36" s="280">
        <f>SUM(X15:AD35,X48:AD50)*0.015</f>
        <v>374639.64884999994</v>
      </c>
      <c r="AG36" s="322">
        <f>'Dif. Altura'!I16*1.015</f>
        <v>325040.57053218462</v>
      </c>
    </row>
    <row r="37" spans="1:35" ht="9.75" customHeight="1" x14ac:dyDescent="0.2">
      <c r="A37" s="447" t="s">
        <v>103</v>
      </c>
      <c r="B37" s="447"/>
      <c r="C37" s="447"/>
      <c r="D37" s="447"/>
      <c r="E37" s="447"/>
      <c r="F37" s="447"/>
      <c r="G37" s="447"/>
      <c r="H37" s="447"/>
      <c r="I37" s="447"/>
      <c r="J37" s="447"/>
      <c r="K37" s="447"/>
      <c r="L37" s="447"/>
      <c r="M37" s="447"/>
      <c r="N37" s="447"/>
      <c r="O37" s="447"/>
      <c r="P37" s="447"/>
      <c r="Q37" s="447"/>
      <c r="R37" s="447"/>
      <c r="S37" s="447"/>
      <c r="T37" s="447"/>
      <c r="U37" s="447"/>
      <c r="V37" s="447"/>
      <c r="W37" s="447"/>
      <c r="X37" s="441">
        <f>SUM(X15:AD36)</f>
        <v>22264379.949382182</v>
      </c>
      <c r="Y37" s="442"/>
      <c r="Z37" s="442"/>
      <c r="AA37" s="442"/>
      <c r="AB37" s="442"/>
      <c r="AC37" s="442"/>
      <c r="AD37" s="443"/>
      <c r="AE37" s="515">
        <f>SUM(AE15:AE36)</f>
        <v>0.86713964572257873</v>
      </c>
      <c r="AF37" s="516">
        <f>SUM(X15:AD35,X48:AD50,'Dif. Altura'!I16)*0.015+'Dif. Altura'!I16</f>
        <v>699680.21938218456</v>
      </c>
    </row>
    <row r="38" spans="1:35" ht="10.9" customHeight="1" x14ac:dyDescent="0.2">
      <c r="A38" s="458"/>
      <c r="B38" s="458"/>
      <c r="C38" s="458"/>
      <c r="D38" s="458"/>
      <c r="E38" s="458"/>
      <c r="F38" s="458"/>
      <c r="G38" s="458"/>
      <c r="H38" s="458"/>
      <c r="I38" s="458"/>
      <c r="J38" s="458"/>
      <c r="K38" s="458"/>
      <c r="L38" s="458"/>
      <c r="M38" s="458"/>
      <c r="N38" s="458"/>
      <c r="O38" s="458"/>
      <c r="P38" s="458"/>
      <c r="Q38" s="458"/>
      <c r="R38" s="458"/>
      <c r="S38" s="458"/>
      <c r="T38" s="458"/>
      <c r="U38" s="458"/>
      <c r="V38" s="458"/>
      <c r="W38" s="458"/>
      <c r="X38" s="458"/>
      <c r="Y38" s="458"/>
      <c r="Z38" s="458"/>
      <c r="AA38" s="458"/>
      <c r="AB38" s="458"/>
      <c r="AC38" s="458"/>
      <c r="AD38" s="458"/>
      <c r="AE38" s="458"/>
    </row>
    <row r="39" spans="1:35" ht="9.75" customHeight="1" x14ac:dyDescent="0.2">
      <c r="A39" s="447" t="s">
        <v>74</v>
      </c>
      <c r="B39" s="447"/>
      <c r="C39" s="447"/>
      <c r="D39" s="448" t="s">
        <v>75</v>
      </c>
      <c r="E39" s="448"/>
      <c r="F39" s="448"/>
      <c r="G39" s="448"/>
      <c r="H39" s="448"/>
      <c r="I39" s="448"/>
      <c r="J39" s="448"/>
      <c r="K39" s="448"/>
      <c r="L39" s="448"/>
      <c r="M39" s="448"/>
      <c r="N39" s="448"/>
      <c r="O39" s="448"/>
      <c r="P39" s="448"/>
      <c r="Q39" s="448"/>
      <c r="R39" s="448"/>
      <c r="S39" s="448"/>
      <c r="T39" s="448"/>
      <c r="U39" s="448"/>
      <c r="V39" s="448"/>
      <c r="W39" s="448"/>
      <c r="X39" s="448"/>
      <c r="Y39" s="448"/>
      <c r="Z39" s="448"/>
      <c r="AA39" s="448"/>
      <c r="AB39" s="448"/>
      <c r="AC39" s="448"/>
      <c r="AD39" s="448"/>
      <c r="AE39" s="448"/>
    </row>
    <row r="40" spans="1:35" ht="9.75" customHeight="1" x14ac:dyDescent="0.2">
      <c r="A40" s="447" t="s">
        <v>76</v>
      </c>
      <c r="B40" s="447"/>
      <c r="C40" s="447"/>
      <c r="D40" s="448" t="s">
        <v>650</v>
      </c>
      <c r="E40" s="448"/>
      <c r="F40" s="448"/>
      <c r="G40" s="448"/>
      <c r="H40" s="448"/>
      <c r="I40" s="448"/>
      <c r="J40" s="448"/>
      <c r="K40" s="448"/>
      <c r="L40" s="448"/>
      <c r="M40" s="448"/>
      <c r="N40" s="448"/>
      <c r="O40" s="448"/>
      <c r="P40" s="448"/>
      <c r="Q40" s="448"/>
      <c r="R40" s="448"/>
      <c r="S40" s="448"/>
      <c r="T40" s="448"/>
      <c r="U40" s="448"/>
      <c r="V40" s="448"/>
      <c r="W40" s="448"/>
      <c r="X40" s="448"/>
      <c r="Y40" s="448"/>
      <c r="Z40" s="448"/>
      <c r="AA40" s="448"/>
      <c r="AB40" s="448"/>
      <c r="AC40" s="448"/>
      <c r="AD40" s="448"/>
      <c r="AE40" s="448"/>
    </row>
    <row r="41" spans="1:35" ht="9.75" customHeight="1" x14ac:dyDescent="0.2">
      <c r="A41" s="447" t="s">
        <v>77</v>
      </c>
      <c r="B41" s="447"/>
      <c r="C41" s="447"/>
      <c r="D41" s="448" t="s">
        <v>78</v>
      </c>
      <c r="E41" s="448"/>
      <c r="F41" s="448"/>
      <c r="G41" s="448"/>
      <c r="H41" s="448"/>
      <c r="I41" s="448"/>
      <c r="J41" s="448"/>
      <c r="K41" s="448"/>
      <c r="L41" s="448"/>
      <c r="M41" s="448"/>
      <c r="N41" s="448"/>
      <c r="O41" s="448"/>
      <c r="P41" s="448"/>
      <c r="Q41" s="448"/>
      <c r="R41" s="448"/>
      <c r="S41" s="448"/>
      <c r="T41" s="448"/>
      <c r="U41" s="448"/>
      <c r="V41" s="448"/>
      <c r="W41" s="448"/>
      <c r="X41" s="448"/>
      <c r="Y41" s="448"/>
      <c r="Z41" s="448"/>
      <c r="AA41" s="448"/>
      <c r="AB41" s="448"/>
      <c r="AC41" s="448"/>
      <c r="AD41" s="448"/>
      <c r="AE41" s="448"/>
    </row>
    <row r="42" spans="1:35" ht="9.75" customHeight="1" x14ac:dyDescent="0.2">
      <c r="A42" s="447" t="s">
        <v>79</v>
      </c>
      <c r="B42" s="447"/>
      <c r="C42" s="447"/>
      <c r="D42" s="448" t="s">
        <v>80</v>
      </c>
      <c r="E42" s="448"/>
      <c r="F42" s="448"/>
      <c r="G42" s="448"/>
      <c r="H42" s="448"/>
      <c r="I42" s="448"/>
      <c r="J42" s="448"/>
      <c r="K42" s="448"/>
      <c r="L42" s="448"/>
      <c r="M42" s="448"/>
      <c r="N42" s="448"/>
      <c r="O42" s="448"/>
      <c r="P42" s="448"/>
      <c r="Q42" s="448"/>
      <c r="R42" s="448"/>
      <c r="S42" s="448"/>
      <c r="T42" s="448"/>
      <c r="U42" s="448"/>
      <c r="V42" s="448"/>
      <c r="W42" s="448"/>
      <c r="X42" s="448"/>
      <c r="Y42" s="448"/>
      <c r="Z42" s="448"/>
      <c r="AA42" s="448"/>
      <c r="AB42" s="448"/>
      <c r="AC42" s="448"/>
      <c r="AD42" s="448"/>
      <c r="AE42" s="448"/>
    </row>
    <row r="43" spans="1:35" ht="19.149999999999999" customHeight="1" x14ac:dyDescent="0.2">
      <c r="A43" s="447" t="s">
        <v>81</v>
      </c>
      <c r="B43" s="447"/>
      <c r="C43" s="447"/>
      <c r="D43" s="448" t="s">
        <v>82</v>
      </c>
      <c r="E43" s="448"/>
      <c r="F43" s="448"/>
      <c r="G43" s="448"/>
      <c r="H43" s="448"/>
      <c r="I43" s="448"/>
      <c r="J43" s="448"/>
      <c r="K43" s="448"/>
      <c r="L43" s="447" t="s">
        <v>83</v>
      </c>
      <c r="M43" s="447"/>
      <c r="N43" s="447"/>
      <c r="O43" s="447"/>
      <c r="P43" s="447"/>
      <c r="Q43" s="447"/>
      <c r="R43" s="447"/>
      <c r="S43" s="447"/>
      <c r="T43" s="447"/>
      <c r="U43" s="447"/>
      <c r="V43" s="448" t="s">
        <v>84</v>
      </c>
      <c r="W43" s="448"/>
      <c r="X43" s="448"/>
      <c r="Y43" s="448"/>
      <c r="Z43" s="448"/>
      <c r="AA43" s="448"/>
      <c r="AB43" s="448"/>
      <c r="AC43" s="448"/>
      <c r="AD43" s="448"/>
      <c r="AE43" s="448"/>
    </row>
    <row r="44" spans="1:35" ht="9.75" customHeight="1" x14ac:dyDescent="0.2">
      <c r="A44" s="447" t="s">
        <v>85</v>
      </c>
      <c r="B44" s="447"/>
      <c r="C44" s="447"/>
      <c r="D44" s="448" t="s">
        <v>86</v>
      </c>
      <c r="E44" s="448"/>
      <c r="F44" s="448"/>
      <c r="G44" s="448"/>
      <c r="H44" s="448"/>
      <c r="I44" s="448"/>
      <c r="J44" s="448"/>
      <c r="K44" s="448"/>
      <c r="L44" s="447" t="s">
        <v>87</v>
      </c>
      <c r="M44" s="447"/>
      <c r="N44" s="447"/>
      <c r="O44" s="447"/>
      <c r="P44" s="447"/>
      <c r="Q44" s="447"/>
      <c r="R44" s="447"/>
      <c r="S44" s="447"/>
      <c r="T44" s="447"/>
      <c r="U44" s="447"/>
      <c r="V44" s="448" t="s">
        <v>86</v>
      </c>
      <c r="W44" s="448"/>
      <c r="X44" s="448"/>
      <c r="Y44" s="448"/>
      <c r="Z44" s="448"/>
      <c r="AA44" s="448"/>
      <c r="AB44" s="448"/>
      <c r="AC44" s="448"/>
      <c r="AD44" s="448"/>
      <c r="AE44" s="448"/>
    </row>
    <row r="45" spans="1:35" ht="9.75" customHeight="1" x14ac:dyDescent="0.2">
      <c r="A45" s="447" t="s">
        <v>88</v>
      </c>
      <c r="B45" s="447"/>
      <c r="C45" s="447"/>
      <c r="D45" s="448" t="s">
        <v>89</v>
      </c>
      <c r="E45" s="448"/>
      <c r="F45" s="448"/>
      <c r="G45" s="448"/>
      <c r="H45" s="448"/>
      <c r="I45" s="448"/>
      <c r="J45" s="448"/>
      <c r="K45" s="448"/>
      <c r="L45" s="448"/>
      <c r="M45" s="448"/>
      <c r="N45" s="448"/>
      <c r="O45" s="448"/>
      <c r="P45" s="448"/>
      <c r="Q45" s="448"/>
      <c r="R45" s="448"/>
      <c r="S45" s="448"/>
      <c r="T45" s="448"/>
      <c r="U45" s="448"/>
      <c r="V45" s="448"/>
      <c r="W45" s="448"/>
      <c r="X45" s="448"/>
      <c r="Y45" s="448"/>
      <c r="Z45" s="448"/>
      <c r="AA45" s="448"/>
      <c r="AB45" s="448"/>
      <c r="AC45" s="448"/>
      <c r="AD45" s="448"/>
      <c r="AE45" s="448"/>
    </row>
    <row r="46" spans="1:35" ht="10.9" customHeight="1" x14ac:dyDescent="0.2">
      <c r="A46" s="458"/>
      <c r="B46" s="458"/>
      <c r="C46" s="458"/>
      <c r="D46" s="458"/>
      <c r="E46" s="458"/>
      <c r="F46" s="458"/>
      <c r="G46" s="458"/>
      <c r="H46" s="458"/>
      <c r="I46" s="458"/>
      <c r="J46" s="458"/>
      <c r="K46" s="458"/>
      <c r="L46" s="458"/>
      <c r="M46" s="458"/>
      <c r="N46" s="458"/>
      <c r="O46" s="458"/>
      <c r="P46" s="458"/>
      <c r="Q46" s="458"/>
      <c r="R46" s="458"/>
      <c r="S46" s="458"/>
      <c r="T46" s="458"/>
      <c r="U46" s="458"/>
      <c r="V46" s="458"/>
      <c r="W46" s="458"/>
      <c r="X46" s="458"/>
      <c r="Y46" s="458"/>
      <c r="Z46" s="458"/>
      <c r="AA46" s="458"/>
      <c r="AB46" s="458"/>
      <c r="AC46" s="458"/>
      <c r="AD46" s="458"/>
      <c r="AE46" s="458"/>
    </row>
    <row r="47" spans="1:35" ht="9.75" customHeight="1" x14ac:dyDescent="0.2">
      <c r="A47" s="459" t="s">
        <v>90</v>
      </c>
      <c r="B47" s="459"/>
      <c r="C47" s="459" t="s">
        <v>91</v>
      </c>
      <c r="D47" s="459"/>
      <c r="E47" s="459"/>
      <c r="F47" s="459"/>
      <c r="G47" s="459"/>
      <c r="H47" s="459"/>
      <c r="I47" s="459"/>
      <c r="J47" s="459"/>
      <c r="K47" s="459"/>
      <c r="L47" s="459"/>
      <c r="M47" s="459"/>
      <c r="N47" s="459"/>
      <c r="O47" s="459"/>
      <c r="P47" s="459"/>
      <c r="Q47" s="459"/>
      <c r="R47" s="459"/>
      <c r="S47" s="459"/>
      <c r="T47" s="459"/>
      <c r="U47" s="459"/>
      <c r="V47" s="459"/>
      <c r="W47" s="459"/>
      <c r="X47" s="447" t="s">
        <v>95</v>
      </c>
      <c r="Y47" s="447"/>
      <c r="Z47" s="447"/>
      <c r="AA47" s="447"/>
      <c r="AB47" s="447"/>
      <c r="AC47" s="447"/>
      <c r="AD47" s="447"/>
      <c r="AE47" s="235" t="s">
        <v>859</v>
      </c>
    </row>
    <row r="48" spans="1:35" ht="9.6" customHeight="1" x14ac:dyDescent="0.2">
      <c r="A48" s="448" t="s">
        <v>96</v>
      </c>
      <c r="B48" s="448"/>
      <c r="C48" s="448" t="s">
        <v>651</v>
      </c>
      <c r="D48" s="448"/>
      <c r="E48" s="448"/>
      <c r="F48" s="448"/>
      <c r="G48" s="448"/>
      <c r="H48" s="448"/>
      <c r="I48" s="448"/>
      <c r="J48" s="448"/>
      <c r="K48" s="448"/>
      <c r="L48" s="448"/>
      <c r="M48" s="448"/>
      <c r="N48" s="448"/>
      <c r="O48" s="448"/>
      <c r="P48" s="448"/>
      <c r="Q48" s="448"/>
      <c r="R48" s="448"/>
      <c r="S48" s="448"/>
      <c r="T48" s="448"/>
      <c r="U48" s="448"/>
      <c r="V48" s="448"/>
      <c r="W48" s="448"/>
      <c r="X48" s="435">
        <v>798473.6</v>
      </c>
      <c r="Y48" s="436"/>
      <c r="Z48" s="436"/>
      <c r="AA48" s="436"/>
      <c r="AB48" s="436"/>
      <c r="AC48" s="436"/>
      <c r="AD48" s="437"/>
      <c r="AE48" s="514">
        <f t="shared" ref="AE48:AE50" si="1">X48/$X$52</f>
        <v>3.1098468324604982E-2</v>
      </c>
    </row>
    <row r="49" spans="1:34" ht="9.6" customHeight="1" x14ac:dyDescent="0.2">
      <c r="A49" s="448" t="s">
        <v>99</v>
      </c>
      <c r="B49" s="448"/>
      <c r="C49" s="448" t="s">
        <v>719</v>
      </c>
      <c r="D49" s="448"/>
      <c r="E49" s="448"/>
      <c r="F49" s="448"/>
      <c r="G49" s="448"/>
      <c r="H49" s="448"/>
      <c r="I49" s="448"/>
      <c r="J49" s="448"/>
      <c r="K49" s="448"/>
      <c r="L49" s="448"/>
      <c r="M49" s="448"/>
      <c r="N49" s="448"/>
      <c r="O49" s="448"/>
      <c r="P49" s="448"/>
      <c r="Q49" s="448"/>
      <c r="R49" s="448"/>
      <c r="S49" s="448"/>
      <c r="T49" s="448"/>
      <c r="U49" s="448"/>
      <c r="V49" s="448"/>
      <c r="W49" s="448"/>
      <c r="X49" s="438">
        <v>2368458.2000000002</v>
      </c>
      <c r="Y49" s="439"/>
      <c r="Z49" s="439"/>
      <c r="AA49" s="439"/>
      <c r="AB49" s="439"/>
      <c r="AC49" s="439"/>
      <c r="AD49" s="440"/>
      <c r="AE49" s="514">
        <f t="shared" si="1"/>
        <v>9.2245281886402936E-2</v>
      </c>
    </row>
    <row r="50" spans="1:34" ht="9.6" customHeight="1" x14ac:dyDescent="0.2">
      <c r="A50" s="448" t="s">
        <v>102</v>
      </c>
      <c r="B50" s="448"/>
      <c r="C50" s="448" t="s">
        <v>805</v>
      </c>
      <c r="D50" s="448"/>
      <c r="E50" s="448"/>
      <c r="F50" s="448"/>
      <c r="G50" s="448"/>
      <c r="H50" s="448"/>
      <c r="I50" s="448"/>
      <c r="J50" s="448"/>
      <c r="K50" s="448"/>
      <c r="L50" s="448"/>
      <c r="M50" s="448"/>
      <c r="N50" s="448"/>
      <c r="O50" s="448"/>
      <c r="P50" s="448"/>
      <c r="Q50" s="448"/>
      <c r="R50" s="448"/>
      <c r="S50" s="448"/>
      <c r="T50" s="448"/>
      <c r="U50" s="448"/>
      <c r="V50" s="448"/>
      <c r="W50" s="448"/>
      <c r="X50" s="435">
        <v>244345.06</v>
      </c>
      <c r="Y50" s="436"/>
      <c r="Z50" s="436"/>
      <c r="AA50" s="436"/>
      <c r="AB50" s="436"/>
      <c r="AC50" s="436"/>
      <c r="AD50" s="437"/>
      <c r="AE50" s="514">
        <f t="shared" si="1"/>
        <v>9.5166040664133467E-3</v>
      </c>
    </row>
    <row r="51" spans="1:34" ht="9.75" customHeight="1" x14ac:dyDescent="0.2">
      <c r="A51" s="447" t="s">
        <v>103</v>
      </c>
      <c r="B51" s="447"/>
      <c r="C51" s="447"/>
      <c r="D51" s="447"/>
      <c r="E51" s="447"/>
      <c r="F51" s="447"/>
      <c r="G51" s="447"/>
      <c r="H51" s="447"/>
      <c r="I51" s="447"/>
      <c r="J51" s="447"/>
      <c r="K51" s="447"/>
      <c r="L51" s="447"/>
      <c r="M51" s="447"/>
      <c r="N51" s="447"/>
      <c r="O51" s="447"/>
      <c r="P51" s="447"/>
      <c r="Q51" s="447"/>
      <c r="R51" s="447"/>
      <c r="S51" s="447"/>
      <c r="T51" s="447"/>
      <c r="U51" s="447"/>
      <c r="V51" s="447"/>
      <c r="W51" s="447"/>
      <c r="X51" s="466">
        <f>SUM(X48:AD50)</f>
        <v>3411276.8600000003</v>
      </c>
      <c r="Y51" s="467"/>
      <c r="Z51" s="467"/>
      <c r="AA51" s="467"/>
      <c r="AB51" s="467"/>
      <c r="AC51" s="467"/>
      <c r="AD51" s="468"/>
      <c r="AE51" s="515">
        <f>SUM(AE48:AE50)</f>
        <v>0.13286035427742127</v>
      </c>
      <c r="AF51" s="285"/>
    </row>
    <row r="52" spans="1:34" ht="9.75" customHeight="1" x14ac:dyDescent="0.2">
      <c r="A52" s="447" t="s">
        <v>826</v>
      </c>
      <c r="B52" s="447"/>
      <c r="C52" s="447"/>
      <c r="D52" s="447"/>
      <c r="E52" s="447"/>
      <c r="F52" s="447"/>
      <c r="G52" s="447"/>
      <c r="H52" s="447"/>
      <c r="I52" s="447"/>
      <c r="J52" s="447"/>
      <c r="K52" s="447"/>
      <c r="L52" s="447"/>
      <c r="M52" s="447"/>
      <c r="N52" s="447"/>
      <c r="O52" s="447"/>
      <c r="P52" s="447"/>
      <c r="Q52" s="447"/>
      <c r="R52" s="447"/>
      <c r="S52" s="447"/>
      <c r="T52" s="447"/>
      <c r="U52" s="447"/>
      <c r="V52" s="447"/>
      <c r="W52" s="447"/>
      <c r="X52" s="441">
        <f>X51+X37</f>
        <v>25675656.809382182</v>
      </c>
      <c r="Y52" s="442"/>
      <c r="Z52" s="442"/>
      <c r="AA52" s="442"/>
      <c r="AB52" s="442"/>
      <c r="AC52" s="442"/>
      <c r="AD52" s="443"/>
      <c r="AE52" s="328">
        <v>100</v>
      </c>
    </row>
    <row r="53" spans="1:34" ht="2.25" customHeight="1" x14ac:dyDescent="0.2">
      <c r="A53" s="463"/>
      <c r="B53" s="463"/>
      <c r="C53" s="463"/>
      <c r="D53" s="463"/>
      <c r="E53" s="463"/>
      <c r="F53" s="464"/>
      <c r="G53" s="464"/>
      <c r="H53" s="464"/>
      <c r="I53" s="464"/>
      <c r="J53" s="464"/>
      <c r="K53" s="464"/>
      <c r="L53" s="464"/>
      <c r="M53" s="464"/>
      <c r="N53" s="464"/>
      <c r="O53" s="464"/>
      <c r="P53" s="464"/>
      <c r="Q53" s="464"/>
      <c r="R53" s="464"/>
      <c r="S53" s="464"/>
      <c r="T53" s="464"/>
      <c r="U53" s="465"/>
      <c r="V53" s="465"/>
      <c r="W53" s="465"/>
      <c r="X53" s="465"/>
      <c r="Y53" s="465"/>
      <c r="Z53" s="465"/>
      <c r="AA53" s="465"/>
      <c r="AB53" s="465"/>
      <c r="AC53" s="465"/>
      <c r="AD53" s="465"/>
      <c r="AE53" s="465"/>
    </row>
    <row r="54" spans="1:34" customFormat="1" ht="8.4499999999999993" customHeight="1" x14ac:dyDescent="0.25">
      <c r="A54" s="460" t="s">
        <v>1060</v>
      </c>
      <c r="B54" s="460"/>
      <c r="C54" s="460"/>
      <c r="D54" s="460"/>
      <c r="E54" s="460"/>
      <c r="F54" s="461" t="s">
        <v>827</v>
      </c>
      <c r="G54" s="461"/>
      <c r="H54" s="461"/>
      <c r="I54" s="461"/>
      <c r="J54" s="461"/>
      <c r="K54" s="461"/>
      <c r="L54" s="461"/>
      <c r="M54" s="461"/>
      <c r="N54" s="461"/>
      <c r="O54" s="461"/>
      <c r="P54" s="461"/>
      <c r="Q54" s="461"/>
      <c r="R54" s="461"/>
      <c r="S54" s="461"/>
      <c r="T54" s="461"/>
      <c r="U54" s="462"/>
      <c r="V54" s="462"/>
      <c r="W54" s="462"/>
      <c r="X54" s="462"/>
      <c r="Y54" s="462"/>
      <c r="Z54" s="462"/>
      <c r="AA54" s="462"/>
      <c r="AB54" s="462"/>
      <c r="AC54" s="462"/>
      <c r="AD54" s="462"/>
      <c r="AE54" s="462"/>
      <c r="AH54" s="324"/>
    </row>
  </sheetData>
  <mergeCells count="140">
    <mergeCell ref="A54:E54"/>
    <mergeCell ref="F54:T54"/>
    <mergeCell ref="U54:AE54"/>
    <mergeCell ref="A51:W51"/>
    <mergeCell ref="A52:W52"/>
    <mergeCell ref="A53:E53"/>
    <mergeCell ref="F53:T53"/>
    <mergeCell ref="U53:AE53"/>
    <mergeCell ref="A49:B49"/>
    <mergeCell ref="C49:W49"/>
    <mergeCell ref="A50:B50"/>
    <mergeCell ref="C50:W50"/>
    <mergeCell ref="X51:AD51"/>
    <mergeCell ref="X52:AD52"/>
    <mergeCell ref="X49:AD49"/>
    <mergeCell ref="X50:AD50"/>
    <mergeCell ref="A46:AE46"/>
    <mergeCell ref="A47:B47"/>
    <mergeCell ref="C47:W47"/>
    <mergeCell ref="X47:AD47"/>
    <mergeCell ref="A48:B48"/>
    <mergeCell ref="C48:W48"/>
    <mergeCell ref="A44:C44"/>
    <mergeCell ref="D44:K44"/>
    <mergeCell ref="L44:U44"/>
    <mergeCell ref="V44:AE44"/>
    <mergeCell ref="A45:C45"/>
    <mergeCell ref="D45:AE45"/>
    <mergeCell ref="X48:AD48"/>
    <mergeCell ref="C31:W31"/>
    <mergeCell ref="A32:B32"/>
    <mergeCell ref="C32:W32"/>
    <mergeCell ref="A41:C41"/>
    <mergeCell ref="D41:AE41"/>
    <mergeCell ref="A42:C42"/>
    <mergeCell ref="D42:AE42"/>
    <mergeCell ref="A43:C43"/>
    <mergeCell ref="D43:K43"/>
    <mergeCell ref="L43:U43"/>
    <mergeCell ref="V43:AE43"/>
    <mergeCell ref="A38:AE38"/>
    <mergeCell ref="A39:C39"/>
    <mergeCell ref="D39:AE39"/>
    <mergeCell ref="A40:C40"/>
    <mergeCell ref="D40:AE40"/>
    <mergeCell ref="A37:W37"/>
    <mergeCell ref="A25:B25"/>
    <mergeCell ref="C25:W25"/>
    <mergeCell ref="A26:B26"/>
    <mergeCell ref="C26:W26"/>
    <mergeCell ref="A24:B24"/>
    <mergeCell ref="C24:W24"/>
    <mergeCell ref="A29:B29"/>
    <mergeCell ref="C29:W29"/>
    <mergeCell ref="A30:B30"/>
    <mergeCell ref="C30:W30"/>
    <mergeCell ref="A27:B27"/>
    <mergeCell ref="C27:W27"/>
    <mergeCell ref="A28:B28"/>
    <mergeCell ref="C28:W28"/>
    <mergeCell ref="A35:B35"/>
    <mergeCell ref="C35:W35"/>
    <mergeCell ref="A36:B36"/>
    <mergeCell ref="C36:W36"/>
    <mergeCell ref="A33:B33"/>
    <mergeCell ref="C33:W33"/>
    <mergeCell ref="A34:B34"/>
    <mergeCell ref="C34:W34"/>
    <mergeCell ref="A31:B31"/>
    <mergeCell ref="A22:B22"/>
    <mergeCell ref="C22:W22"/>
    <mergeCell ref="A23:B23"/>
    <mergeCell ref="C23:W23"/>
    <mergeCell ref="A20:B20"/>
    <mergeCell ref="C20:W20"/>
    <mergeCell ref="A21:B21"/>
    <mergeCell ref="C21:W21"/>
    <mergeCell ref="X20:AD20"/>
    <mergeCell ref="X21:AD21"/>
    <mergeCell ref="A18:B18"/>
    <mergeCell ref="C18:W18"/>
    <mergeCell ref="A19:B19"/>
    <mergeCell ref="C19:W19"/>
    <mergeCell ref="A16:B16"/>
    <mergeCell ref="C16:W16"/>
    <mergeCell ref="A17:B17"/>
    <mergeCell ref="C17:W17"/>
    <mergeCell ref="X18:AD18"/>
    <mergeCell ref="X19:AD19"/>
    <mergeCell ref="X16:AD16"/>
    <mergeCell ref="X17:AD17"/>
    <mergeCell ref="X14:AD14"/>
    <mergeCell ref="A15:B15"/>
    <mergeCell ref="C15:W15"/>
    <mergeCell ref="A11:C11"/>
    <mergeCell ref="D11:K11"/>
    <mergeCell ref="L11:U11"/>
    <mergeCell ref="V11:AE11"/>
    <mergeCell ref="A12:C12"/>
    <mergeCell ref="D12:AE12"/>
    <mergeCell ref="A13:AE13"/>
    <mergeCell ref="A14:B14"/>
    <mergeCell ref="C14:W14"/>
    <mergeCell ref="X15:AD15"/>
    <mergeCell ref="A1:D3"/>
    <mergeCell ref="E1:AE1"/>
    <mergeCell ref="E2:AE2"/>
    <mergeCell ref="E3:AE3"/>
    <mergeCell ref="A4:D4"/>
    <mergeCell ref="E4:AE4"/>
    <mergeCell ref="A8:C8"/>
    <mergeCell ref="D8:AE8"/>
    <mergeCell ref="A9:C9"/>
    <mergeCell ref="D9:AE9"/>
    <mergeCell ref="A10:C10"/>
    <mergeCell ref="D10:K10"/>
    <mergeCell ref="L10:U10"/>
    <mergeCell ref="V10:AE10"/>
    <mergeCell ref="A5:D5"/>
    <mergeCell ref="E5:AE5"/>
    <mergeCell ref="A6:C6"/>
    <mergeCell ref="D6:AE6"/>
    <mergeCell ref="A7:C7"/>
    <mergeCell ref="D7:AE7"/>
    <mergeCell ref="X26:AD26"/>
    <mergeCell ref="X27:AD27"/>
    <mergeCell ref="X24:AD24"/>
    <mergeCell ref="X25:AD25"/>
    <mergeCell ref="X22:AD22"/>
    <mergeCell ref="X23:AD23"/>
    <mergeCell ref="X36:AD36"/>
    <mergeCell ref="X37:AD37"/>
    <mergeCell ref="X34:AD34"/>
    <mergeCell ref="X35:AD35"/>
    <mergeCell ref="X32:AD32"/>
    <mergeCell ref="X33:AD33"/>
    <mergeCell ref="X30:AD30"/>
    <mergeCell ref="X31:AD31"/>
    <mergeCell ref="X28:AD28"/>
    <mergeCell ref="X29:AD29"/>
  </mergeCells>
  <pageMargins left="0.52999994886203072" right="0.52999994886203072" top="0.52999994886203072" bottom="0.68999998212799307" header="0" footer="0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AA1003"/>
  <sheetViews>
    <sheetView showGridLines="0" topLeftCell="B1" zoomScale="70" zoomScaleNormal="70" workbookViewId="0">
      <pane ySplit="2" topLeftCell="A3" activePane="bottomLeft" state="frozen"/>
      <selection pane="bottomLeft" activeCell="I22" sqref="I22"/>
    </sheetView>
  </sheetViews>
  <sheetFormatPr defaultColWidth="14.42578125" defaultRowHeight="15" customHeight="1" outlineLevelCol="1" x14ac:dyDescent="0.25"/>
  <cols>
    <col min="1" max="1" width="52.28515625" bestFit="1" customWidth="1"/>
    <col min="2" max="2" width="23.7109375" customWidth="1"/>
    <col min="3" max="3" width="25.28515625" customWidth="1" collapsed="1"/>
    <col min="4" max="4" width="23.28515625" style="28" hidden="1" customWidth="1" outlineLevel="1"/>
    <col min="5" max="5" width="1.85546875" style="28" hidden="1" customWidth="1" outlineLevel="1"/>
    <col min="6" max="6" width="24.5703125" customWidth="1"/>
    <col min="7" max="7" width="14.28515625" style="28" customWidth="1" outlineLevel="1"/>
    <col min="8" max="8" width="20" style="28" customWidth="1" outlineLevel="1"/>
    <col min="9" max="9" width="21.7109375" customWidth="1"/>
    <col min="10" max="10" width="14.28515625" style="28" customWidth="1"/>
    <col min="11" max="11" width="25.5703125" style="241" customWidth="1"/>
    <col min="12" max="12" width="30.7109375" customWidth="1"/>
    <col min="13" max="13" width="19.28515625" bestFit="1" customWidth="1"/>
    <col min="14" max="14" width="19.28515625" customWidth="1"/>
    <col min="15" max="15" width="20.140625" bestFit="1" customWidth="1"/>
    <col min="16" max="16" width="17.7109375" customWidth="1"/>
    <col min="17" max="17" width="11.7109375" customWidth="1"/>
    <col min="18" max="18" width="17.85546875" customWidth="1"/>
    <col min="19" max="19" width="11.42578125" customWidth="1"/>
    <col min="20" max="20" width="15.7109375" bestFit="1" customWidth="1"/>
    <col min="21" max="23" width="9.140625" customWidth="1"/>
    <col min="24" max="24" width="15.140625" bestFit="1" customWidth="1"/>
    <col min="25" max="27" width="9.140625" customWidth="1"/>
  </cols>
  <sheetData>
    <row r="1" spans="1:27" ht="19.899999999999999" customHeight="1" x14ac:dyDescent="0.25">
      <c r="B1" s="498" t="s">
        <v>871</v>
      </c>
      <c r="C1" s="499"/>
      <c r="D1" s="499"/>
      <c r="E1" s="499"/>
      <c r="F1" s="498" t="s">
        <v>830</v>
      </c>
      <c r="G1" s="499"/>
      <c r="H1" s="500"/>
      <c r="I1" s="495" t="s">
        <v>828</v>
      </c>
      <c r="J1" s="496"/>
      <c r="K1" s="497" t="s">
        <v>829</v>
      </c>
    </row>
    <row r="2" spans="1:27" s="28" customFormat="1" ht="22.5" customHeight="1" thickBot="1" x14ac:dyDescent="0.3">
      <c r="A2" s="56" t="s">
        <v>0</v>
      </c>
      <c r="B2" s="56" t="s">
        <v>16</v>
      </c>
      <c r="C2" s="56" t="s">
        <v>1086</v>
      </c>
      <c r="D2" s="56" t="s">
        <v>17</v>
      </c>
      <c r="E2" s="56" t="s">
        <v>3</v>
      </c>
      <c r="F2" s="56" t="s">
        <v>16</v>
      </c>
      <c r="G2" s="56" t="s">
        <v>17</v>
      </c>
      <c r="H2" s="56" t="s">
        <v>3</v>
      </c>
      <c r="I2" s="56" t="s">
        <v>828</v>
      </c>
      <c r="J2" s="242" t="s">
        <v>17</v>
      </c>
      <c r="K2" s="497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spans="1:27" ht="22.5" customHeight="1" thickBot="1" x14ac:dyDescent="0.3">
      <c r="A3" s="8" t="s">
        <v>18</v>
      </c>
      <c r="B3" s="73">
        <v>2289625.9</v>
      </c>
      <c r="C3" s="73">
        <f>B3*$F$22/$B$22</f>
        <v>2398506.5973772784</v>
      </c>
      <c r="D3" s="9">
        <f>B3/B$21</f>
        <v>9.5850080321478903E-2</v>
      </c>
      <c r="E3" s="77">
        <f>B3/$B$23</f>
        <v>310</v>
      </c>
      <c r="F3" s="73">
        <f>Relatório!X51</f>
        <v>3411276.8600000003</v>
      </c>
      <c r="G3" s="9">
        <f t="shared" ref="G3:G20" si="0">F3/F$21</f>
        <v>0.13286035427742124</v>
      </c>
      <c r="H3" s="77">
        <f>F3/ORÇAMENTO_EXECUTIVO!N$3</f>
        <v>462.59744947912856</v>
      </c>
      <c r="I3" s="73">
        <f>F3-C3</f>
        <v>1012770.262622722</v>
      </c>
      <c r="J3" s="9">
        <f>-(1-F3/C3)</f>
        <v>0.42225035517107479</v>
      </c>
      <c r="K3" s="239"/>
      <c r="L3" s="7" t="s">
        <v>1043</v>
      </c>
      <c r="M3" s="31" t="s">
        <v>26</v>
      </c>
      <c r="N3" s="32">
        <v>7374.18</v>
      </c>
      <c r="O3" s="33" t="s">
        <v>27</v>
      </c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ht="22.5" customHeight="1" thickBot="1" x14ac:dyDescent="0.3">
      <c r="A4" s="2" t="s">
        <v>4</v>
      </c>
      <c r="B4" s="69">
        <v>239687.72425816159</v>
      </c>
      <c r="C4" s="69">
        <f>B4*$F$22/$B$22</f>
        <v>251085.81622156984</v>
      </c>
      <c r="D4" s="11">
        <f>B4/B$21</f>
        <v>1.0033991850903361E-2</v>
      </c>
      <c r="E4" s="76">
        <f>B4/$B$23</f>
        <v>32.452111290333541</v>
      </c>
      <c r="F4" s="69">
        <f>Relatório!X15</f>
        <v>117226.62</v>
      </c>
      <c r="G4" s="11">
        <f t="shared" si="0"/>
        <v>4.5656717127159916E-3</v>
      </c>
      <c r="H4" s="76">
        <f>F4/ORÇAMENTO_EXECUTIVO!N$3</f>
        <v>15.896902435253816</v>
      </c>
      <c r="I4" s="69">
        <f t="shared" ref="I4:I20" si="1">F4-C4</f>
        <v>-133859.19622156984</v>
      </c>
      <c r="J4" s="11">
        <f t="shared" ref="J4:J20" si="2">-(1-F4/C4)</f>
        <v>-0.53312129787309948</v>
      </c>
      <c r="K4" s="257"/>
      <c r="L4" s="7"/>
      <c r="M4" s="31" t="s">
        <v>26</v>
      </c>
      <c r="N4" s="32">
        <v>7374.18</v>
      </c>
      <c r="O4" s="33" t="s">
        <v>27</v>
      </c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19.5" customHeight="1" x14ac:dyDescent="0.25">
      <c r="A5" s="8" t="s">
        <v>836</v>
      </c>
      <c r="B5" s="73">
        <v>0</v>
      </c>
      <c r="C5" s="73">
        <v>0</v>
      </c>
      <c r="D5" s="9"/>
      <c r="E5" s="77"/>
      <c r="F5" s="73">
        <f>Relatório!X16</f>
        <v>422085.8</v>
      </c>
      <c r="G5" s="9">
        <f t="shared" si="0"/>
        <v>1.6439143237253616E-2</v>
      </c>
      <c r="H5" s="77">
        <f>F5/ORÇAMENTO_EXECUTIVO!N$3</f>
        <v>57.238337008318211</v>
      </c>
      <c r="I5" s="73">
        <f t="shared" si="1"/>
        <v>422085.8</v>
      </c>
      <c r="J5" s="9">
        <f>IFERROR(-(1-F5/C5),1)</f>
        <v>1</v>
      </c>
      <c r="K5" s="239"/>
      <c r="L5" s="7"/>
      <c r="M5" s="12"/>
      <c r="N5" s="12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ht="19.5" customHeight="1" thickBot="1" x14ac:dyDescent="0.3">
      <c r="A6" s="2" t="s">
        <v>5</v>
      </c>
      <c r="B6" s="69">
        <v>1500018.3</v>
      </c>
      <c r="C6" s="69">
        <f t="shared" ref="C6:C20" si="3">B6*$F$22/$B$22</f>
        <v>1571350.0571148542</v>
      </c>
      <c r="D6" s="11">
        <f t="shared" ref="D6:D20" si="4">B6/B$21</f>
        <v>6.2794919702248403E-2</v>
      </c>
      <c r="E6" s="76">
        <f t="shared" ref="E6:E20" si="5">B6/$B$23</f>
        <v>203.0924235264809</v>
      </c>
      <c r="F6" s="69">
        <f>Relatório!X17</f>
        <v>1278806.1499999999</v>
      </c>
      <c r="G6" s="11">
        <f t="shared" si="0"/>
        <v>4.9806170860357851E-2</v>
      </c>
      <c r="H6" s="76">
        <f>F6/ORÇAMENTO_EXECUTIVO!N$3</f>
        <v>173.41672565627633</v>
      </c>
      <c r="I6" s="69">
        <f t="shared" si="1"/>
        <v>-292543.90711485432</v>
      </c>
      <c r="J6" s="11">
        <f t="shared" si="2"/>
        <v>-0.18617360644132497</v>
      </c>
      <c r="K6" s="238"/>
      <c r="L6" s="7"/>
      <c r="M6" s="12"/>
      <c r="N6" s="12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19.5" customHeight="1" thickBot="1" x14ac:dyDescent="0.3">
      <c r="A7" s="8" t="s">
        <v>6</v>
      </c>
      <c r="B7" s="73">
        <v>4913547.75</v>
      </c>
      <c r="C7" s="73">
        <f t="shared" si="3"/>
        <v>5147206.2291500466</v>
      </c>
      <c r="D7" s="9">
        <f t="shared" si="4"/>
        <v>0.20569471480075496</v>
      </c>
      <c r="E7" s="77">
        <f t="shared" si="5"/>
        <v>665.26143091760093</v>
      </c>
      <c r="F7" s="73">
        <f>Relatório!X18</f>
        <v>5154482.22</v>
      </c>
      <c r="G7" s="9">
        <f t="shared" si="0"/>
        <v>0.20075366555438967</v>
      </c>
      <c r="H7" s="77">
        <f>F7/ORÇAMENTO_EXECUTIVO!N$3</f>
        <v>698.99056166244918</v>
      </c>
      <c r="I7" s="73">
        <f t="shared" si="1"/>
        <v>7275.9908499531448</v>
      </c>
      <c r="J7" s="9">
        <f t="shared" si="2"/>
        <v>1.4135805961585923E-3</v>
      </c>
      <c r="K7" s="239"/>
      <c r="L7" s="7"/>
      <c r="M7" s="475" t="s">
        <v>71</v>
      </c>
      <c r="N7" s="476"/>
      <c r="O7" s="144"/>
      <c r="P7" s="487" t="s">
        <v>39</v>
      </c>
      <c r="Q7" s="488"/>
      <c r="R7" s="491" t="s">
        <v>46</v>
      </c>
      <c r="S7" s="492"/>
      <c r="T7" s="483" t="s">
        <v>55</v>
      </c>
      <c r="U7" s="484"/>
      <c r="V7" s="139"/>
      <c r="W7" s="139"/>
      <c r="X7" s="493" t="s">
        <v>45</v>
      </c>
      <c r="Y7" s="494"/>
      <c r="Z7" s="493" t="s">
        <v>38</v>
      </c>
      <c r="AA7" s="494"/>
    </row>
    <row r="8" spans="1:27" ht="19.5" customHeight="1" thickBot="1" x14ac:dyDescent="0.3">
      <c r="A8" s="2" t="s">
        <v>7</v>
      </c>
      <c r="B8" s="69">
        <v>976885.48124999995</v>
      </c>
      <c r="C8" s="69">
        <f t="shared" si="3"/>
        <v>1023340.2197538918</v>
      </c>
      <c r="D8" s="11">
        <f t="shared" si="4"/>
        <v>4.0895131314988648E-2</v>
      </c>
      <c r="E8" s="76">
        <f t="shared" si="5"/>
        <v>132.26374631222507</v>
      </c>
      <c r="F8" s="69">
        <f>Relatório!X19</f>
        <v>910813.58</v>
      </c>
      <c r="G8" s="11">
        <f t="shared" si="0"/>
        <v>3.54738181290528E-2</v>
      </c>
      <c r="H8" s="76">
        <f>F8/ORÇAMENTO_EXECUTIVO!N$3</f>
        <v>123.51387950931492</v>
      </c>
      <c r="I8" s="69">
        <f t="shared" si="1"/>
        <v>-112526.63975389185</v>
      </c>
      <c r="J8" s="11">
        <f t="shared" si="2"/>
        <v>-0.10996014578705204</v>
      </c>
      <c r="K8" s="238"/>
      <c r="L8" s="7"/>
      <c r="M8" s="477">
        <v>8692.89</v>
      </c>
      <c r="N8" s="478"/>
      <c r="O8" s="161" t="s">
        <v>56</v>
      </c>
      <c r="P8" s="485">
        <v>8692.89</v>
      </c>
      <c r="Q8" s="486"/>
      <c r="R8" s="489">
        <v>7919.8600000000006</v>
      </c>
      <c r="S8" s="490"/>
      <c r="T8" s="483">
        <v>9941.17</v>
      </c>
      <c r="U8" s="484"/>
      <c r="V8" s="140"/>
      <c r="W8" s="140"/>
      <c r="X8" s="481">
        <v>7078.1</v>
      </c>
      <c r="Y8" s="482"/>
      <c r="Z8" s="481">
        <v>5064.4199999999992</v>
      </c>
      <c r="AA8" s="482"/>
    </row>
    <row r="9" spans="1:27" ht="19.5" customHeight="1" x14ac:dyDescent="0.25">
      <c r="A9" s="8" t="s">
        <v>8</v>
      </c>
      <c r="B9" s="73">
        <v>2460414.25</v>
      </c>
      <c r="C9" s="73">
        <f t="shared" si="3"/>
        <v>2577416.6036932357</v>
      </c>
      <c r="D9" s="9">
        <f t="shared" si="4"/>
        <v>0.10299975357835149</v>
      </c>
      <c r="E9" s="77">
        <f t="shared" si="5"/>
        <v>333.12359783316566</v>
      </c>
      <c r="F9" s="73">
        <f>SUM(Relatório!X21:AD24,Relatório!X32)</f>
        <v>2870107.33</v>
      </c>
      <c r="G9" s="9">
        <f t="shared" si="0"/>
        <v>0.11178320972693594</v>
      </c>
      <c r="H9" s="77">
        <f>F9/ORÇAMENTO_EXECUTIVO!N$3</f>
        <v>389.21037050899218</v>
      </c>
      <c r="I9" s="73">
        <f t="shared" si="1"/>
        <v>292690.72630676441</v>
      </c>
      <c r="J9" s="9">
        <f t="shared" si="2"/>
        <v>0.11355972716531793</v>
      </c>
      <c r="K9" s="239"/>
      <c r="L9" s="7"/>
      <c r="M9" s="213">
        <v>193128.65203400003</v>
      </c>
      <c r="N9" s="214">
        <f>M9/$P$8</f>
        <v>22.216852167000852</v>
      </c>
      <c r="O9" s="162" t="s">
        <v>48</v>
      </c>
      <c r="P9" s="188">
        <v>193128.65203400003</v>
      </c>
      <c r="Q9" s="189">
        <f>P9/$P$8</f>
        <v>22.216852167000852</v>
      </c>
      <c r="R9" s="174">
        <v>179830.76907699998</v>
      </c>
      <c r="S9" s="209">
        <f>R9/$R$8</f>
        <v>22.706306560595763</v>
      </c>
      <c r="T9" s="210">
        <f>[2]ORÇAMENTO_EXECUTIVO_COMENTADO!$F$500</f>
        <v>178294.88394999999</v>
      </c>
      <c r="U9" s="163">
        <f>T9/$T$8</f>
        <v>17.934999999999999</v>
      </c>
      <c r="V9" s="93"/>
      <c r="W9" s="93"/>
      <c r="X9" s="86">
        <v>184222.96651999996</v>
      </c>
      <c r="Y9" s="87">
        <f>X9/$X$8</f>
        <v>26.027177705881513</v>
      </c>
      <c r="Z9" s="86">
        <v>93668.000000000015</v>
      </c>
      <c r="AA9" s="87">
        <f>Z9/$Z$8</f>
        <v>18.495306471422204</v>
      </c>
    </row>
    <row r="10" spans="1:27" ht="19.5" customHeight="1" x14ac:dyDescent="0.25">
      <c r="A10" s="2" t="s">
        <v>23</v>
      </c>
      <c r="B10" s="69">
        <v>1080588.3500000001</v>
      </c>
      <c r="C10" s="69">
        <f t="shared" si="3"/>
        <v>1131974.5669037146</v>
      </c>
      <c r="D10" s="11">
        <f t="shared" si="4"/>
        <v>4.5236420561959208E-2</v>
      </c>
      <c r="E10" s="76">
        <f t="shared" si="5"/>
        <v>146.30441964340113</v>
      </c>
      <c r="F10" s="69">
        <f>Relatório!X26+Relatório!X25</f>
        <v>1034381.32</v>
      </c>
      <c r="G10" s="11">
        <f t="shared" si="0"/>
        <v>4.0286459960082684E-2</v>
      </c>
      <c r="H10" s="76">
        <f>F10/ORÇAMENTO_EXECUTIVO!N$3</f>
        <v>140.27069043608915</v>
      </c>
      <c r="I10" s="69">
        <f t="shared" si="1"/>
        <v>-97593.246903714607</v>
      </c>
      <c r="J10" s="11">
        <f t="shared" si="2"/>
        <v>-8.621505266735896E-2</v>
      </c>
      <c r="K10" s="238"/>
      <c r="L10" s="7"/>
      <c r="M10" s="215">
        <v>90826.803266200004</v>
      </c>
      <c r="N10" s="216">
        <f t="shared" ref="N10:N11" si="6">M10/$P$8</f>
        <v>10.448401310289215</v>
      </c>
      <c r="O10" s="145" t="s">
        <v>49</v>
      </c>
      <c r="P10" s="190">
        <v>90826.803266200004</v>
      </c>
      <c r="Q10" s="191">
        <f t="shared" ref="Q10:Q11" si="7">P10/$P$8</f>
        <v>10.448401310289215</v>
      </c>
      <c r="R10" s="175">
        <v>260753.97175616998</v>
      </c>
      <c r="S10" s="150">
        <f>R10/$R$8</f>
        <v>32.924063273362151</v>
      </c>
      <c r="T10" s="211">
        <f>[2]ORÇAMENTO_EXECUTIVO_COMENTADO!$F$501</f>
        <v>143344.87599999999</v>
      </c>
      <c r="U10" s="156">
        <f>T10/$T$8</f>
        <v>14.419316438608332</v>
      </c>
      <c r="V10" s="96"/>
      <c r="W10" s="96"/>
      <c r="X10" s="80">
        <v>432041.61000399996</v>
      </c>
      <c r="Y10" s="81">
        <f>X10/$X$8</f>
        <v>61.039206849860832</v>
      </c>
      <c r="Z10" s="80">
        <v>100631.15000000001</v>
      </c>
      <c r="AA10" s="81">
        <f>Z10/$Z$8</f>
        <v>19.870222058991953</v>
      </c>
    </row>
    <row r="11" spans="1:27" ht="19.5" customHeight="1" x14ac:dyDescent="0.25">
      <c r="A11" s="8" t="s">
        <v>9</v>
      </c>
      <c r="B11" s="73">
        <v>412732.29300000001</v>
      </c>
      <c r="C11" s="73">
        <f t="shared" si="3"/>
        <v>432359.33333526319</v>
      </c>
      <c r="D11" s="9">
        <f t="shared" si="4"/>
        <v>1.7278116671949843E-2</v>
      </c>
      <c r="E11" s="77">
        <f t="shared" si="5"/>
        <v>55.881186018204978</v>
      </c>
      <c r="F11" s="73">
        <f>Relatório!X20</f>
        <v>482376.84</v>
      </c>
      <c r="G11" s="9">
        <f t="shared" si="0"/>
        <v>1.8787322310046373E-2</v>
      </c>
      <c r="H11" s="77">
        <f>F11/ORÇAMENTO_EXECUTIVO!N$3</f>
        <v>65.414302335988538</v>
      </c>
      <c r="I11" s="73">
        <f t="shared" si="1"/>
        <v>50017.506664736837</v>
      </c>
      <c r="J11" s="9">
        <f t="shared" si="2"/>
        <v>0.11568503975361599</v>
      </c>
      <c r="K11" s="239"/>
      <c r="L11" s="7"/>
      <c r="M11" s="215">
        <v>813763.73300000001</v>
      </c>
      <c r="N11" s="216">
        <f t="shared" si="6"/>
        <v>93.612565326375929</v>
      </c>
      <c r="O11" s="146" t="s">
        <v>50</v>
      </c>
      <c r="P11" s="190">
        <v>813763.73300000001</v>
      </c>
      <c r="Q11" s="191">
        <f t="shared" si="7"/>
        <v>93.612565326375929</v>
      </c>
      <c r="R11" s="175">
        <v>961385.86990000005</v>
      </c>
      <c r="S11" s="150">
        <f>R11/$R$8</f>
        <v>121.38925055493405</v>
      </c>
      <c r="T11" s="211">
        <f>[2]ORÇAMENTO_EXECUTIVO_COMENTADO!$F$510</f>
        <v>1818368.987</v>
      </c>
      <c r="U11" s="156">
        <f>T11/$T$8</f>
        <v>182.91297573625639</v>
      </c>
      <c r="V11" s="96"/>
      <c r="W11" s="96"/>
      <c r="X11" s="80">
        <v>970056.14000000013</v>
      </c>
      <c r="Y11" s="81">
        <f>X11/$X$8</f>
        <v>137.05035814696035</v>
      </c>
      <c r="Z11" s="80">
        <v>425523.35</v>
      </c>
      <c r="AA11" s="81">
        <f>Z11/$Z$8</f>
        <v>84.022128891363678</v>
      </c>
    </row>
    <row r="12" spans="1:27" ht="19.5" customHeight="1" thickBot="1" x14ac:dyDescent="0.3">
      <c r="A12" s="2" t="s">
        <v>19</v>
      </c>
      <c r="B12" s="69">
        <v>1113794.7525000002</v>
      </c>
      <c r="C12" s="69">
        <f t="shared" si="3"/>
        <v>1166760.0641639505</v>
      </c>
      <c r="D12" s="11">
        <f t="shared" si="4"/>
        <v>4.6626532521651998E-2</v>
      </c>
      <c r="E12" s="76">
        <f t="shared" si="5"/>
        <v>150.80034396667159</v>
      </c>
      <c r="F12" s="69">
        <f>SUMIF(Planilha1!AF:AF,1,Planilha1!AC:AC)</f>
        <v>1137180.2600000002</v>
      </c>
      <c r="G12" s="11">
        <f t="shared" si="0"/>
        <v>4.4290211091482616E-2</v>
      </c>
      <c r="H12" s="76">
        <f>F12/ORÇAMENTO_EXECUTIVO!N$3</f>
        <v>154.21107974039151</v>
      </c>
      <c r="I12" s="69">
        <f t="shared" si="1"/>
        <v>-29579.804163950263</v>
      </c>
      <c r="J12" s="11">
        <f t="shared" si="2"/>
        <v>-2.5352088293445152E-2</v>
      </c>
      <c r="K12" s="238"/>
      <c r="L12" s="7"/>
      <c r="M12" s="217"/>
      <c r="N12" s="218"/>
      <c r="O12" s="164"/>
      <c r="P12" s="192"/>
      <c r="Q12" s="193"/>
      <c r="R12" s="177"/>
      <c r="S12" s="151"/>
      <c r="T12" s="212"/>
      <c r="U12" s="165"/>
      <c r="V12" s="141"/>
      <c r="W12" s="141"/>
      <c r="X12" s="82" t="s">
        <v>51</v>
      </c>
      <c r="Y12" s="89"/>
      <c r="Z12" s="82"/>
      <c r="AA12" s="89"/>
    </row>
    <row r="13" spans="1:27" ht="19.5" customHeight="1" thickBot="1" x14ac:dyDescent="0.3">
      <c r="A13" s="8" t="s">
        <v>20</v>
      </c>
      <c r="B13" s="73">
        <v>860184.98599999992</v>
      </c>
      <c r="C13" s="73">
        <f t="shared" si="3"/>
        <v>901090.15795369959</v>
      </c>
      <c r="D13" s="9">
        <f t="shared" si="4"/>
        <v>3.6009725431316177E-2</v>
      </c>
      <c r="E13" s="77">
        <f t="shared" si="5"/>
        <v>116.46328147318737</v>
      </c>
      <c r="F13" s="73">
        <f>Relatório!X28</f>
        <v>405459.35</v>
      </c>
      <c r="G13" s="9">
        <f t="shared" si="0"/>
        <v>1.5791586287749428E-2</v>
      </c>
      <c r="H13" s="77">
        <f>F13/ORÇAMENTO_EXECUTIVO!N$3</f>
        <v>54.98365241965886</v>
      </c>
      <c r="I13" s="73">
        <f t="shared" si="1"/>
        <v>-495630.80795369961</v>
      </c>
      <c r="J13" s="9">
        <f t="shared" si="2"/>
        <v>-0.55003464811915803</v>
      </c>
      <c r="K13" s="256"/>
      <c r="L13" s="7"/>
      <c r="M13" s="479">
        <f>N3</f>
        <v>7374.18</v>
      </c>
      <c r="N13" s="480"/>
      <c r="O13" s="161" t="s">
        <v>47</v>
      </c>
      <c r="P13" s="469">
        <v>10520.39</v>
      </c>
      <c r="Q13" s="470"/>
      <c r="R13" s="473">
        <v>12518.96</v>
      </c>
      <c r="S13" s="474"/>
      <c r="T13" s="471">
        <v>13434.29</v>
      </c>
      <c r="U13" s="472"/>
      <c r="V13" s="139"/>
      <c r="W13" s="139"/>
      <c r="X13" s="90"/>
      <c r="Y13" s="88">
        <v>10661.12</v>
      </c>
      <c r="Z13" s="90"/>
      <c r="AA13" s="88">
        <v>5233.0200000000004</v>
      </c>
    </row>
    <row r="14" spans="1:27" ht="19.5" customHeight="1" x14ac:dyDescent="0.25">
      <c r="A14" s="2" t="s">
        <v>10</v>
      </c>
      <c r="B14" s="69">
        <v>1461063.35</v>
      </c>
      <c r="C14" s="69">
        <f t="shared" si="3"/>
        <v>1530542.646360328</v>
      </c>
      <c r="D14" s="11">
        <f t="shared" si="4"/>
        <v>6.116415762604234E-2</v>
      </c>
      <c r="E14" s="76">
        <f t="shared" si="5"/>
        <v>197.81818440296294</v>
      </c>
      <c r="F14" s="69">
        <f>SUMIF(Planilha1!AF:AF,2,Planilha1!AC:AC)</f>
        <v>1784513.6700000002</v>
      </c>
      <c r="G14" s="11">
        <f t="shared" si="0"/>
        <v>6.9502162427561257E-2</v>
      </c>
      <c r="H14" s="76">
        <f>F14/ORÇAMENTO_EXECUTIVO!N$3</f>
        <v>241.99486180158337</v>
      </c>
      <c r="I14" s="69">
        <f t="shared" si="1"/>
        <v>253971.0236396722</v>
      </c>
      <c r="J14" s="11">
        <f t="shared" si="2"/>
        <v>0.16593528069513264</v>
      </c>
      <c r="K14" s="257"/>
      <c r="L14" s="7"/>
      <c r="M14" s="213">
        <v>2161.52</v>
      </c>
      <c r="N14" s="219">
        <f>M14/M13</f>
        <v>0.29312004860201402</v>
      </c>
      <c r="O14" s="162" t="s">
        <v>52</v>
      </c>
      <c r="P14" s="188">
        <v>2161.52</v>
      </c>
      <c r="Q14" s="194">
        <f>P14/P13</f>
        <v>0.20546006374288406</v>
      </c>
      <c r="R14" s="174">
        <v>2511.5000000000005</v>
      </c>
      <c r="S14" s="179">
        <f>R$14/R13</f>
        <v>0.20061570609699214</v>
      </c>
      <c r="T14" s="172">
        <v>3305.65</v>
      </c>
      <c r="U14" s="166">
        <f>T14/T13</f>
        <v>0.24606064034645669</v>
      </c>
      <c r="V14" s="142"/>
      <c r="W14" s="142"/>
      <c r="X14" s="83">
        <v>3222.12</v>
      </c>
      <c r="Y14" s="84">
        <f>X14/Y13</f>
        <v>0.30223091007323805</v>
      </c>
      <c r="Z14" s="80">
        <v>1260.01</v>
      </c>
      <c r="AA14" s="84">
        <f>Z14/AA13</f>
        <v>0.24078065820501351</v>
      </c>
    </row>
    <row r="15" spans="1:27" ht="19.5" customHeight="1" x14ac:dyDescent="0.25">
      <c r="A15" s="8" t="s">
        <v>11</v>
      </c>
      <c r="B15" s="73">
        <v>876494.55</v>
      </c>
      <c r="C15" s="73">
        <f t="shared" si="3"/>
        <v>918175.30573017569</v>
      </c>
      <c r="D15" s="9">
        <f t="shared" si="4"/>
        <v>3.6692488942773799E-2</v>
      </c>
      <c r="E15" s="77">
        <f t="shared" si="5"/>
        <v>118.67148711935867</v>
      </c>
      <c r="F15" s="73">
        <f>Relatório!X30</f>
        <v>995637.62</v>
      </c>
      <c r="G15" s="9">
        <f t="shared" si="0"/>
        <v>3.877749369341088E-2</v>
      </c>
      <c r="H15" s="77">
        <f>F15/ORÇAMENTO_EXECUTIVO!N$3</f>
        <v>135.01672321532698</v>
      </c>
      <c r="I15" s="73">
        <f t="shared" si="1"/>
        <v>77462.314269824303</v>
      </c>
      <c r="J15" s="9">
        <f t="shared" si="2"/>
        <v>8.4365495114489875E-2</v>
      </c>
      <c r="K15" s="239"/>
      <c r="L15" s="7"/>
      <c r="M15" s="215">
        <v>171316.89999999997</v>
      </c>
      <c r="N15" s="220">
        <f>M15/M14</f>
        <v>79.257605758910387</v>
      </c>
      <c r="O15" s="146" t="s">
        <v>53</v>
      </c>
      <c r="P15" s="190">
        <v>171316.89999999997</v>
      </c>
      <c r="Q15" s="195">
        <f>P15/P14</f>
        <v>79.257605758910387</v>
      </c>
      <c r="R15" s="175">
        <v>215788</v>
      </c>
      <c r="S15" s="180">
        <f>R15/R14</f>
        <v>85.91996814652596</v>
      </c>
      <c r="T15" s="157">
        <v>327766.40000000002</v>
      </c>
      <c r="U15" s="152">
        <f>T15/T14</f>
        <v>99.153388894771084</v>
      </c>
      <c r="V15" s="142"/>
      <c r="W15" s="142"/>
      <c r="X15" s="83">
        <v>350367</v>
      </c>
      <c r="Y15" s="84">
        <f>X15/X14</f>
        <v>108.7380358273435</v>
      </c>
      <c r="Z15" s="80">
        <v>87519</v>
      </c>
      <c r="AA15" s="84">
        <f>Z15/Z14</f>
        <v>69.458972547836922</v>
      </c>
    </row>
    <row r="16" spans="1:27" ht="19.5" customHeight="1" thickBot="1" x14ac:dyDescent="0.3">
      <c r="A16" s="2" t="s">
        <v>12</v>
      </c>
      <c r="B16" s="69">
        <v>2361298.1</v>
      </c>
      <c r="C16" s="69">
        <f t="shared" si="3"/>
        <v>2473587.0917709447</v>
      </c>
      <c r="D16" s="11">
        <f t="shared" si="4"/>
        <v>9.885047707922745E-2</v>
      </c>
      <c r="E16" s="76">
        <f t="shared" si="5"/>
        <v>319.70393547697029</v>
      </c>
      <c r="F16" s="69">
        <f>Relatório!X31</f>
        <v>3047560.2</v>
      </c>
      <c r="G16" s="11">
        <f t="shared" si="0"/>
        <v>0.11869453711059051</v>
      </c>
      <c r="H16" s="76">
        <f>F16/ORÇAMENTO_EXECUTIVO!N$3</f>
        <v>413.27445221027966</v>
      </c>
      <c r="I16" s="69">
        <f t="shared" si="1"/>
        <v>573973.10822905554</v>
      </c>
      <c r="J16" s="11">
        <f t="shared" si="2"/>
        <v>0.23204079215101503</v>
      </c>
      <c r="K16" s="238"/>
      <c r="L16" s="7"/>
      <c r="M16" s="221">
        <v>25304.58</v>
      </c>
      <c r="N16" s="222">
        <f>M16/M14</f>
        <v>11.706845183019357</v>
      </c>
      <c r="O16" s="147" t="s">
        <v>54</v>
      </c>
      <c r="P16" s="196">
        <v>25304.58</v>
      </c>
      <c r="Q16" s="197">
        <f>P16/P14</f>
        <v>11.706845183019357</v>
      </c>
      <c r="R16" s="181">
        <v>26310.100000000002</v>
      </c>
      <c r="S16" s="182">
        <f>R16/R14</f>
        <v>10.475851085008959</v>
      </c>
      <c r="T16" s="159">
        <v>33585.725000000006</v>
      </c>
      <c r="U16" s="167">
        <f>T16/T14</f>
        <v>10.160097106469228</v>
      </c>
      <c r="V16" s="143"/>
      <c r="W16" s="143"/>
      <c r="X16" s="82"/>
      <c r="Y16" s="85"/>
      <c r="Z16" s="82"/>
      <c r="AA16" s="85"/>
    </row>
    <row r="17" spans="1:27" ht="19.5" customHeight="1" thickBot="1" x14ac:dyDescent="0.3">
      <c r="A17" s="8" t="s">
        <v>22</v>
      </c>
      <c r="B17" s="73">
        <v>12000</v>
      </c>
      <c r="C17" s="73">
        <f t="shared" si="3"/>
        <v>12570.647095024275</v>
      </c>
      <c r="D17" s="9">
        <f t="shared" si="4"/>
        <v>5.0235322890859453E-4</v>
      </c>
      <c r="E17" s="77">
        <f t="shared" si="5"/>
        <v>1.6247195666331342</v>
      </c>
      <c r="F17" s="73">
        <f>Relatório!X33</f>
        <v>14404.72</v>
      </c>
      <c r="G17" s="9">
        <f t="shared" si="0"/>
        <v>5.6102634908004943E-4</v>
      </c>
      <c r="H17" s="77">
        <f>F17/ORÇAMENTO_EXECUTIVO!N$3</f>
        <v>1.9533995644261462</v>
      </c>
      <c r="I17" s="73">
        <f t="shared" si="1"/>
        <v>1834.0729049757247</v>
      </c>
      <c r="J17" s="9">
        <f t="shared" si="2"/>
        <v>0.14590123253891107</v>
      </c>
      <c r="K17" s="239"/>
      <c r="L17" s="7"/>
      <c r="M17" s="223"/>
      <c r="N17" s="224"/>
      <c r="O17" s="146"/>
      <c r="P17" s="198"/>
      <c r="Q17" s="199"/>
      <c r="R17" s="183"/>
      <c r="S17" s="184"/>
      <c r="T17" s="153"/>
      <c r="U17" s="154"/>
      <c r="V17" s="7"/>
      <c r="W17" s="7"/>
      <c r="X17" s="7"/>
      <c r="Y17" s="7"/>
      <c r="Z17" s="7"/>
      <c r="AA17" s="7"/>
    </row>
    <row r="18" spans="1:27" ht="19.5" customHeight="1" x14ac:dyDescent="0.25">
      <c r="A18" s="2" t="s">
        <v>13</v>
      </c>
      <c r="B18" s="69">
        <v>667221.89999999991</v>
      </c>
      <c r="C18" s="69">
        <f t="shared" si="3"/>
        <v>698950.91991429788</v>
      </c>
      <c r="D18" s="11">
        <f t="shared" si="4"/>
        <v>2.793175632196061E-2</v>
      </c>
      <c r="E18" s="76">
        <f t="shared" si="5"/>
        <v>90.337373018011348</v>
      </c>
      <c r="F18" s="69">
        <f>Relatório!X34</f>
        <v>420905.94</v>
      </c>
      <c r="G18" s="11">
        <f t="shared" si="0"/>
        <v>1.639319076138282E-2</v>
      </c>
      <c r="H18" s="76">
        <f>F18/ORÇAMENTO_EXECUTIVO!N$3</f>
        <v>57.078338201671237</v>
      </c>
      <c r="I18" s="69">
        <f t="shared" si="1"/>
        <v>-278044.97991429787</v>
      </c>
      <c r="J18" s="11">
        <f t="shared" si="2"/>
        <v>-0.3978032963292909</v>
      </c>
      <c r="K18" s="238"/>
      <c r="L18" s="7"/>
      <c r="M18" s="225">
        <f>[3]ORÇAMENTO_EXECUTIVO!$G$418</f>
        <v>1091325.71</v>
      </c>
      <c r="N18" s="226">
        <f>M18/$P$13</f>
        <v>103.73433969653216</v>
      </c>
      <c r="O18" s="162" t="s">
        <v>57</v>
      </c>
      <c r="P18" s="200">
        <f>[3]ORÇAMENTO_EXECUTIVO!$G$418</f>
        <v>1091325.71</v>
      </c>
      <c r="Q18" s="201">
        <f>P18/$P$13</f>
        <v>103.73433969653216</v>
      </c>
      <c r="R18" s="174">
        <f>[4]ORÇAMENTO_EXECUTIVO!$F$495</f>
        <v>2000291.6800000002</v>
      </c>
      <c r="S18" s="185">
        <f>R18/$N$3</f>
        <v>271.25615051436228</v>
      </c>
      <c r="T18" s="169">
        <f>[5]ORÇAMENTO_EXECUTIVO_COMENTADO!$F$254</f>
        <v>2057578.1100182501</v>
      </c>
      <c r="U18" s="163">
        <f>T18/$T$13</f>
        <v>153.15867902347276</v>
      </c>
      <c r="V18" s="92"/>
      <c r="W18" s="92"/>
      <c r="X18" s="92">
        <f>[6]ORÇAMENTO_EXECUTIVO_COMENTADO!$F$303</f>
        <v>1419545.358</v>
      </c>
      <c r="Y18" s="92">
        <f>X18/$Y$13</f>
        <v>133.15161615289949</v>
      </c>
      <c r="Z18" s="94"/>
      <c r="AA18" s="94"/>
    </row>
    <row r="19" spans="1:27" ht="19.5" customHeight="1" x14ac:dyDescent="0.25">
      <c r="A19" s="8" t="s">
        <v>14</v>
      </c>
      <c r="B19" s="73">
        <v>2170877.9299999997</v>
      </c>
      <c r="C19" s="73">
        <f t="shared" si="3"/>
        <v>2274111.6953672338</v>
      </c>
      <c r="D19" s="9">
        <f t="shared" si="4"/>
        <v>9.0878961475158809E-2</v>
      </c>
      <c r="E19" s="77">
        <f t="shared" si="5"/>
        <v>293.92232080358622</v>
      </c>
      <c r="F19" s="73">
        <f>Relatório!X35</f>
        <v>1488758.11</v>
      </c>
      <c r="G19" s="9">
        <f t="shared" si="0"/>
        <v>5.7983253205658607E-2</v>
      </c>
      <c r="H19" s="77">
        <f>F19/ORÇAMENTO_EXECUTIVO!N$3</f>
        <v>201.88795364365936</v>
      </c>
      <c r="I19" s="73">
        <f t="shared" si="1"/>
        <v>-785353.58536723373</v>
      </c>
      <c r="J19" s="9">
        <f t="shared" si="2"/>
        <v>-0.34534521192038958</v>
      </c>
      <c r="K19" s="239"/>
      <c r="L19" s="7"/>
      <c r="M19" s="227">
        <f>[3]ORÇAMENTO_EXECUTIVO!$G$512</f>
        <v>2062487.33</v>
      </c>
      <c r="N19" s="228">
        <f>M19/$P$13</f>
        <v>196.04666081770733</v>
      </c>
      <c r="O19" s="146" t="s">
        <v>58</v>
      </c>
      <c r="P19" s="202">
        <f>[3]ORÇAMENTO_EXECUTIVO!$G$512</f>
        <v>2062487.33</v>
      </c>
      <c r="Q19" s="203">
        <f>P19/$P$13</f>
        <v>196.04666081770733</v>
      </c>
      <c r="R19" s="175">
        <f>[4]ORÇAMENTO_EXECUTIVO!$F$606</f>
        <v>1748574.4988999998</v>
      </c>
      <c r="S19" s="186">
        <f>R19/$N$3</f>
        <v>237.12121197204294</v>
      </c>
      <c r="T19" s="155">
        <f>[5]ORÇAMENTO_EXECUTIVO_COMENTADO!$F$238</f>
        <v>1461799.3071000001</v>
      </c>
      <c r="U19" s="156">
        <f>T19/$T$13</f>
        <v>108.81105790480926</v>
      </c>
      <c r="V19" s="95"/>
      <c r="W19" s="95"/>
      <c r="X19" s="95">
        <f>[6]ORÇAMENTO_EXECUTIVO_COMENTADO!$F$289</f>
        <v>778425.73699999996</v>
      </c>
      <c r="Y19" s="95">
        <f>X19/$Y$13</f>
        <v>73.015380841787717</v>
      </c>
      <c r="Z19" s="97"/>
      <c r="AA19" s="97"/>
    </row>
    <row r="20" spans="1:27" ht="19.5" customHeight="1" thickBot="1" x14ac:dyDescent="0.3">
      <c r="A20" s="2" t="s">
        <v>21</v>
      </c>
      <c r="B20" s="69">
        <v>491138.52294716332</v>
      </c>
      <c r="C20" s="69">
        <f t="shared" si="3"/>
        <v>514494.08722835593</v>
      </c>
      <c r="D20" s="11">
        <f t="shared" si="4"/>
        <v>2.0560418570325447E-2</v>
      </c>
      <c r="E20" s="76">
        <f t="shared" si="5"/>
        <v>66.496864013296062</v>
      </c>
      <c r="F20" s="69">
        <f>Relatório!X36</f>
        <v>699680.21938218456</v>
      </c>
      <c r="G20" s="11">
        <f t="shared" si="0"/>
        <v>2.7250723304827518E-2</v>
      </c>
      <c r="H20" s="76">
        <f>F20/ORÇAMENTO_EXECUTIVO!N$3</f>
        <v>94.882443794724907</v>
      </c>
      <c r="I20" s="69">
        <f t="shared" si="1"/>
        <v>185186.13215382863</v>
      </c>
      <c r="J20" s="11">
        <f t="shared" si="2"/>
        <v>0.35993830978981611</v>
      </c>
      <c r="K20" s="238"/>
      <c r="L20" s="7"/>
      <c r="M20" s="229">
        <f>[3]ORÇAMENTO_EXECUTIVO!$G$602</f>
        <v>311725.07</v>
      </c>
      <c r="N20" s="230">
        <f>M20/$P$13</f>
        <v>29.630562174976404</v>
      </c>
      <c r="O20" s="147" t="s">
        <v>59</v>
      </c>
      <c r="P20" s="204">
        <f>[3]ORÇAMENTO_EXECUTIVO!$G$602</f>
        <v>311725.07</v>
      </c>
      <c r="Q20" s="205">
        <f>P20/$P$13</f>
        <v>29.630562174976404</v>
      </c>
      <c r="R20" s="181">
        <f>[4]ORÇAMENTO_EXECUTIVO!$F$704</f>
        <v>585043.91</v>
      </c>
      <c r="S20" s="187">
        <f>R20/$N$3</f>
        <v>79.336808974014744</v>
      </c>
      <c r="T20" s="170">
        <f>[5]ORÇAMENTO_EXECUTIVO_COMENTADO!$F$274+[5]ORÇAMENTO_EXECUTIVO_COMENTADO!$F$286</f>
        <v>626453.64000000013</v>
      </c>
      <c r="U20" s="171">
        <f>T20/$T$13</f>
        <v>46.630945141127675</v>
      </c>
      <c r="V20" s="98"/>
      <c r="W20" s="98"/>
      <c r="X20" s="98">
        <f>[6]ORÇAMENTO_EXECUTIVO_COMENTADO!$F$330</f>
        <v>408416.91493333335</v>
      </c>
      <c r="Y20" s="98">
        <f>X20/$Y$13</f>
        <v>38.309006458358347</v>
      </c>
      <c r="Z20" s="99"/>
      <c r="AA20" s="99"/>
    </row>
    <row r="21" spans="1:27" ht="19.5" customHeight="1" thickBot="1" x14ac:dyDescent="0.3">
      <c r="A21" s="55" t="s">
        <v>15</v>
      </c>
      <c r="B21" s="74">
        <f t="shared" ref="B21:I21" si="8">SUM(B3:B20)</f>
        <v>23887574.139955323</v>
      </c>
      <c r="C21" s="74">
        <f t="shared" si="8"/>
        <v>25023522.039133862</v>
      </c>
      <c r="D21" s="58">
        <f t="shared" si="8"/>
        <v>1</v>
      </c>
      <c r="E21" s="75">
        <f t="shared" si="8"/>
        <v>3234.2174253820899</v>
      </c>
      <c r="F21" s="74">
        <f t="shared" si="8"/>
        <v>25675656.809382189</v>
      </c>
      <c r="G21" s="58">
        <f t="shared" si="8"/>
        <v>0.99999999999999978</v>
      </c>
      <c r="H21" s="75">
        <f t="shared" si="8"/>
        <v>3481.8321236235333</v>
      </c>
      <c r="I21" s="74">
        <f>SUM(I3:I20)</f>
        <v>652134.77024832065</v>
      </c>
      <c r="J21" s="319">
        <f>F21/C21-1</f>
        <v>2.6060870617192311E-2</v>
      </c>
      <c r="K21" s="237"/>
      <c r="L21" s="7"/>
      <c r="M21" s="223"/>
      <c r="N21" s="224"/>
      <c r="O21" s="146"/>
      <c r="P21" s="198"/>
      <c r="Q21" s="199"/>
      <c r="R21" s="183"/>
      <c r="S21" s="176"/>
      <c r="T21" s="153"/>
      <c r="U21" s="154"/>
      <c r="V21" s="7"/>
      <c r="W21" s="7"/>
      <c r="X21" s="7"/>
      <c r="Y21" s="7"/>
      <c r="Z21" s="7"/>
      <c r="AA21" s="7"/>
    </row>
    <row r="22" spans="1:27" ht="22.5" customHeight="1" x14ac:dyDescent="0.25">
      <c r="A22" s="55" t="s">
        <v>41</v>
      </c>
      <c r="B22" s="75">
        <v>2632.38</v>
      </c>
      <c r="C22" s="75"/>
      <c r="D22" s="60">
        <v>44835</v>
      </c>
      <c r="E22" s="65">
        <f>+E21/B22</f>
        <v>1.2286286270911075</v>
      </c>
      <c r="F22" s="75">
        <v>2757.56</v>
      </c>
      <c r="G22" s="60">
        <v>45383</v>
      </c>
      <c r="H22" s="65">
        <f>+H21/F22</f>
        <v>1.2626496335976491</v>
      </c>
      <c r="I22" s="75"/>
      <c r="J22" s="60"/>
      <c r="K22" s="237"/>
      <c r="L22" s="7"/>
      <c r="M22" s="225">
        <f>[3]ORÇAMENTO_EXECUTIVO!$G$145+[3]ORÇAMENTO_EXECUTIVO!$G$169+[3]ORÇAMENTO_EXECUTIVO!$G$191+[3]ORÇAMENTO_EXECUTIVO!$G$212+[3]ORÇAMENTO_EXECUTIVO!$G$233+[3]ORÇAMENTO_EXECUTIVO!$G$254+[3]ORÇAMENTO_EXECUTIVO!$G$273+[3]ORÇAMENTO_EXECUTIVO!$G$289</f>
        <v>1448895.5507000003</v>
      </c>
      <c r="N22" s="231">
        <f>M22/$P$13</f>
        <v>137.72260825881932</v>
      </c>
      <c r="O22" s="162" t="s">
        <v>54</v>
      </c>
      <c r="P22" s="200">
        <f>[3]ORÇAMENTO_EXECUTIVO!$G$145+[3]ORÇAMENTO_EXECUTIVO!$G$169+[3]ORÇAMENTO_EXECUTIVO!$G$191+[3]ORÇAMENTO_EXECUTIVO!$G$212+[3]ORÇAMENTO_EXECUTIVO!$G$233+[3]ORÇAMENTO_EXECUTIVO!$G$254+[3]ORÇAMENTO_EXECUTIVO!$G$273+[3]ORÇAMENTO_EXECUTIVO!$G$289</f>
        <v>1448895.5507000003</v>
      </c>
      <c r="Q22" s="168">
        <f>P22/$P$13</f>
        <v>137.72260825881932</v>
      </c>
      <c r="R22" s="174">
        <f>[4]ORÇAMENTO_EXECUTIVO!$F$165+[4]ORÇAMENTO_EXECUTIVO!$F$187+[4]ORÇAMENTO_EXECUTIVO!$F$211+[4]ORÇAMENTO_EXECUTIVO!$F$233+[4]ORÇAMENTO_EXECUTIVO!$F$255+[4]ORÇAMENTO_EXECUTIVO!$F$276+[4]ORÇAMENTO_EXECUTIVO!$F$297+[4]ORÇAMENTO_EXECUTIVO!$F$318+[4]ORÇAMENTO_EXECUTIVO!$F$338</f>
        <v>1363402.3981629999</v>
      </c>
      <c r="S22" s="207">
        <f>R22/$R$13</f>
        <v>108.90700171284196</v>
      </c>
      <c r="T22" s="172">
        <v>689058.06642355002</v>
      </c>
      <c r="U22" s="173">
        <f>T22/$T$13</f>
        <v>51.29099240998594</v>
      </c>
      <c r="V22" s="94"/>
      <c r="W22" s="94"/>
      <c r="X22" s="92">
        <f>[6]ORÇAMENTO_EXECUTIVO_COMENTADO!$F$188+[6]ORÇAMENTO_EXECUTIVO_COMENTADO!$F$217</f>
        <v>660936.06780856545</v>
      </c>
      <c r="Y22" s="92">
        <f>X22/$Y$13</f>
        <v>61.994993753804984</v>
      </c>
      <c r="Z22" s="94"/>
      <c r="AA22" s="94"/>
    </row>
    <row r="23" spans="1:27" ht="22.5" customHeight="1" x14ac:dyDescent="0.25">
      <c r="A23" s="7"/>
      <c r="B23" s="7">
        <v>7385.89</v>
      </c>
      <c r="C23" s="321"/>
      <c r="D23" s="14"/>
      <c r="E23" s="14"/>
      <c r="F23" s="7">
        <f>F22/B22</f>
        <v>1.0475539245853562</v>
      </c>
      <c r="G23" s="14"/>
      <c r="H23" s="14"/>
      <c r="I23" s="7"/>
      <c r="J23" s="14"/>
      <c r="K23" s="240"/>
      <c r="L23" s="7"/>
      <c r="M23" s="227">
        <f>[3]ORÇAMENTO_EXECUTIVO!$G$283+[3]ORÇAMENTO_EXECUTIVO!$G$266+[3]ORÇAMENTO_EXECUTIVO!$G$245+[3]ORÇAMENTO_EXECUTIVO!$G$224+[3]ORÇAMENTO_EXECUTIVO!$G$203+[3]ORÇAMENTO_EXECUTIVO!$G$182+[3]ORÇAMENTO_EXECUTIVO!$G$160+[3]ORÇAMENTO_EXECUTIVO!$G$137</f>
        <v>1147056.3630000001</v>
      </c>
      <c r="N23" s="232">
        <f>M23/$P$13</f>
        <v>109.03173389959879</v>
      </c>
      <c r="O23" s="146" t="s">
        <v>60</v>
      </c>
      <c r="P23" s="202">
        <f>[3]ORÇAMENTO_EXECUTIVO!$G$283+[3]ORÇAMENTO_EXECUTIVO!$G$266+[3]ORÇAMENTO_EXECUTIVO!$G$245+[3]ORÇAMENTO_EXECUTIVO!$G$224+[3]ORÇAMENTO_EXECUTIVO!$G$203+[3]ORÇAMENTO_EXECUTIVO!$G$182+[3]ORÇAMENTO_EXECUTIVO!$G$160+[3]ORÇAMENTO_EXECUTIVO!$G$137</f>
        <v>1147056.3630000001</v>
      </c>
      <c r="Q23" s="148">
        <f>P23/$P$13</f>
        <v>109.03173389959879</v>
      </c>
      <c r="R23" s="175">
        <f>[4]ORÇAMENTO_EXECUTIVO!$F$329+[4]ORÇAMENTO_EXECUTIVO!$F$309+[4]ORÇAMENTO_EXECUTIVO!$F$288+[4]ORÇAMENTO_EXECUTIVO!$F$267+[4]ORÇAMENTO_EXECUTIVO!$F$246+[4]ORÇAMENTO_EXECUTIVO!$F$224+[4]ORÇAMENTO_EXECUTIVO!$F$202+[4]ORÇAMENTO_EXECUTIVO!$F$178+[4]ORÇAMENTO_EXECUTIVO!$F$156</f>
        <v>1749204.9577200001</v>
      </c>
      <c r="S23" s="208">
        <f t="shared" ref="S23:S25" si="9">R23/$R$13</f>
        <v>139.72446255279993</v>
      </c>
      <c r="T23" s="157">
        <v>2489883.8876</v>
      </c>
      <c r="U23" s="158">
        <f>T23/$T$13</f>
        <v>185.33795887985147</v>
      </c>
      <c r="V23" s="97"/>
      <c r="W23" s="97"/>
      <c r="X23" s="95">
        <f>[6]ORÇAMENTO_EXECUTIVO_COMENTADO!$F$226+[6]ORÇAMENTO_EXECUTIVO_COMENTADO!$F$197</f>
        <v>2678932.8032800001</v>
      </c>
      <c r="Y23" s="95">
        <f>X23/$Y$13</f>
        <v>251.28061622793851</v>
      </c>
      <c r="Z23" s="97"/>
      <c r="AA23" s="97"/>
    </row>
    <row r="24" spans="1:27" ht="15" customHeight="1" x14ac:dyDescent="0.25">
      <c r="A24" s="7"/>
      <c r="B24" s="13"/>
      <c r="C24" s="13"/>
      <c r="D24" s="14"/>
      <c r="E24" s="14"/>
      <c r="F24" s="13">
        <f>F23*B21</f>
        <v>25023522.039133865</v>
      </c>
      <c r="G24" s="14"/>
      <c r="H24" s="14"/>
      <c r="I24" s="13"/>
      <c r="J24" s="14"/>
      <c r="K24" s="240"/>
      <c r="L24" s="7"/>
      <c r="M24" s="227">
        <f>[3]ORÇAMENTO_EXECUTIVO!$G$152+[3]ORÇAMENTO_EXECUTIVO!$G$154+[3]ORÇAMENTO_EXECUTIVO!$G$177+[3]ORÇAMENTO_EXECUTIVO!$G$197+[3]ORÇAMENTO_EXECUTIVO!$G$218+[3]ORÇAMENTO_EXECUTIVO!$G$239+[3]ORÇAMENTO_EXECUTIVO!$G$260+[3]ORÇAMENTO_EXECUTIVO!$G$278+[3]ORÇAMENTO_EXECUTIVO!$G$293</f>
        <v>1866626.0200000003</v>
      </c>
      <c r="N24" s="232">
        <f>M24/$P$13</f>
        <v>177.42935575582277</v>
      </c>
      <c r="O24" s="146" t="s">
        <v>61</v>
      </c>
      <c r="P24" s="202">
        <f>[3]ORÇAMENTO_EXECUTIVO!$G$152+[3]ORÇAMENTO_EXECUTIVO!$G$154+[3]ORÇAMENTO_EXECUTIVO!$G$177+[3]ORÇAMENTO_EXECUTIVO!$G$197+[3]ORÇAMENTO_EXECUTIVO!$G$218+[3]ORÇAMENTO_EXECUTIVO!$G$239+[3]ORÇAMENTO_EXECUTIVO!$G$260+[3]ORÇAMENTO_EXECUTIVO!$G$278+[3]ORÇAMENTO_EXECUTIVO!$G$293</f>
        <v>1866626.0200000003</v>
      </c>
      <c r="Q24" s="148">
        <f>P24/$P$13</f>
        <v>177.42935575582277</v>
      </c>
      <c r="R24" s="175">
        <f>[4]ORÇAMENTO_EXECUTIVO!$F$170+[4]ORÇAMENTO_EXECUTIVO!$F$172+[4]ORÇAMENTO_EXECUTIVO!$F$195+[4]ORÇAMENTO_EXECUTIVO!$F$217+[4]ORÇAMENTO_EXECUTIVO!$F$239+[4]ORÇAMENTO_EXECUTIVO!$F$261+[4]ORÇAMENTO_EXECUTIVO!$F$282+[4]ORÇAMENTO_EXECUTIVO!$F$303+[4]ORÇAMENTO_EXECUTIVO!$F$324+[4]ORÇAMENTO_EXECUTIVO!$F$343</f>
        <v>1847471.4070800003</v>
      </c>
      <c r="S24" s="208">
        <f t="shared" si="9"/>
        <v>147.57387251656689</v>
      </c>
      <c r="T24" s="157">
        <v>1972646.6375</v>
      </c>
      <c r="U24" s="158">
        <f>T24/$T$13</f>
        <v>146.83668712674805</v>
      </c>
      <c r="V24" s="97"/>
      <c r="W24" s="97"/>
      <c r="X24" s="95">
        <f>[6]ORÇAMENTO_EXECUTIVO_COMENTADO!$F$207+[6]ORÇAMENTO_EXECUTIVO_COMENTADO!$F$236</f>
        <v>2023491.3600000006</v>
      </c>
      <c r="Y24" s="95">
        <f>X24/$Y$13</f>
        <v>189.80101152599354</v>
      </c>
      <c r="Z24" s="97"/>
      <c r="AA24" s="97"/>
    </row>
    <row r="25" spans="1:27" ht="19.5" customHeight="1" x14ac:dyDescent="0.25">
      <c r="A25" s="244" t="s">
        <v>831</v>
      </c>
      <c r="B25" t="s">
        <v>833</v>
      </c>
      <c r="D25"/>
      <c r="E25" s="14"/>
      <c r="F25" s="7"/>
      <c r="G25" s="14"/>
      <c r="H25" s="14"/>
      <c r="I25" s="7"/>
      <c r="J25" s="14"/>
      <c r="K25" s="240"/>
      <c r="L25" s="7"/>
      <c r="M25" s="227">
        <f>[3]ORÇAMENTO_EXECUTIVO!$G$295+[3]ORÇAMENTO_EXECUTIVO!$G$280+[3]ORÇAMENTO_EXECUTIVO!$G$262+[3]ORÇAMENTO_EXECUTIVO!$G$241+[3]ORÇAMENTO_EXECUTIVO!$G$220+[3]ORÇAMENTO_EXECUTIVO!$G$199+[3]ORÇAMENTO_EXECUTIVO!$G$179+[3]ORÇAMENTO_EXECUTIVO!$G$156</f>
        <v>2364585.8000000003</v>
      </c>
      <c r="N25" s="232">
        <f>M25/$P$13</f>
        <v>224.76218086972065</v>
      </c>
      <c r="O25" s="146" t="s">
        <v>62</v>
      </c>
      <c r="P25" s="202">
        <f>[3]ORÇAMENTO_EXECUTIVO!$G$295+[3]ORÇAMENTO_EXECUTIVO!$G$280+[3]ORÇAMENTO_EXECUTIVO!$G$262+[3]ORÇAMENTO_EXECUTIVO!$G$241+[3]ORÇAMENTO_EXECUTIVO!$G$220+[3]ORÇAMENTO_EXECUTIVO!$G$199+[3]ORÇAMENTO_EXECUTIVO!$G$179+[3]ORÇAMENTO_EXECUTIVO!$G$156</f>
        <v>2364585.8000000003</v>
      </c>
      <c r="Q25" s="148">
        <f>P25/$P$13</f>
        <v>224.76218086972065</v>
      </c>
      <c r="R25" s="175">
        <f>[4]ORÇAMENTO_EXECUTIVO!$F$345+[4]ORÇAMENTO_EXECUTIVO!$F$326+[4]ORÇAMENTO_EXECUTIVO!$F$305+[4]ORÇAMENTO_EXECUTIVO!$F$284+[4]ORÇAMENTO_EXECUTIVO!$F$263+[4]ORÇAMENTO_EXECUTIVO!$F$242+[4]ORÇAMENTO_EXECUTIVO!$F$220+[4]ORÇAMENTO_EXECUTIVO!$F$198+[4]ORÇAMENTO_EXECUTIVO!$F$174</f>
        <v>3239820</v>
      </c>
      <c r="S25" s="208">
        <f t="shared" si="9"/>
        <v>258.79306268252316</v>
      </c>
      <c r="T25" s="157">
        <v>2830171.1</v>
      </c>
      <c r="U25" s="158">
        <f>T25/$T$13</f>
        <v>210.66770927231732</v>
      </c>
      <c r="V25" s="97"/>
      <c r="W25" s="97"/>
      <c r="X25" s="95">
        <f>[6]ORÇAMENTO_EXECUTIVO_COMENTADO!$F$240+[6]ORÇAMENTO_EXECUTIVO_COMENTADO!$F$214</f>
        <v>2665280</v>
      </c>
      <c r="Y25" s="95">
        <f>X25/$Y$13</f>
        <v>249.99999999999997</v>
      </c>
      <c r="Z25" s="97"/>
      <c r="AA25" s="97"/>
    </row>
    <row r="26" spans="1:27" ht="19.5" customHeight="1" thickBot="1" x14ac:dyDescent="0.3">
      <c r="A26" s="245" t="s">
        <v>6</v>
      </c>
      <c r="B26" s="246">
        <v>0.19774220828158187</v>
      </c>
      <c r="C26" s="246"/>
      <c r="D26"/>
      <c r="F26" s="7"/>
      <c r="G26" s="14"/>
      <c r="I26" s="7"/>
      <c r="J26" s="14"/>
      <c r="K26" s="240"/>
      <c r="L26" s="7"/>
      <c r="M26" s="233"/>
      <c r="N26" s="234"/>
      <c r="O26" s="147" t="s">
        <v>72</v>
      </c>
      <c r="P26" s="206"/>
      <c r="Q26" s="149"/>
      <c r="R26" s="181"/>
      <c r="S26" s="178"/>
      <c r="T26" s="159">
        <v>600845.25199999998</v>
      </c>
      <c r="U26" s="160">
        <f>T26/$T$13</f>
        <v>44.72474927964187</v>
      </c>
      <c r="V26" s="99"/>
      <c r="W26" s="99"/>
      <c r="X26" s="98">
        <f>[6]ORÇAMENTO_EXECUTIVO_COMENTADO!$F$209+[6]ORÇAMENTO_EXECUTIVO_COMENTADO!$F$238</f>
        <v>532048.71092505706</v>
      </c>
      <c r="Y26" s="98">
        <f>X26/$Y$13</f>
        <v>49.905517518333632</v>
      </c>
      <c r="Z26" s="99"/>
      <c r="AA26" s="99"/>
    </row>
    <row r="27" spans="1:27" ht="19.5" customHeight="1" x14ac:dyDescent="0.25">
      <c r="A27" s="245" t="s">
        <v>12</v>
      </c>
      <c r="B27" s="246">
        <v>0.11621611317717528</v>
      </c>
      <c r="C27" s="246"/>
      <c r="D27"/>
      <c r="E27" s="14"/>
      <c r="F27" s="7"/>
      <c r="G27" s="14"/>
      <c r="H27" s="14"/>
      <c r="I27" s="7"/>
      <c r="J27" s="14"/>
      <c r="K27" s="240"/>
      <c r="M27" s="18"/>
      <c r="N27" s="18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ht="19.5" customHeight="1" x14ac:dyDescent="0.45">
      <c r="A28" s="245" t="s">
        <v>18</v>
      </c>
      <c r="B28" s="246">
        <v>0.11419498673027023</v>
      </c>
      <c r="C28" s="246"/>
      <c r="D28"/>
      <c r="E28" s="14"/>
      <c r="F28" s="7"/>
      <c r="G28" s="14"/>
      <c r="H28" s="14"/>
      <c r="I28" s="7"/>
      <c r="J28" s="14"/>
      <c r="K28" s="240"/>
      <c r="L28" s="16"/>
      <c r="M28" s="18"/>
      <c r="N28" s="18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ht="19.5" customHeight="1" x14ac:dyDescent="0.25">
      <c r="A29" s="245" t="s">
        <v>8</v>
      </c>
      <c r="B29" s="246">
        <v>0.11166839059170644</v>
      </c>
      <c r="C29" s="246"/>
      <c r="D29"/>
      <c r="E29" s="14"/>
      <c r="F29" s="7"/>
      <c r="G29" s="14"/>
      <c r="H29" s="14"/>
      <c r="I29" s="7"/>
      <c r="J29" s="14"/>
      <c r="K29" s="240"/>
      <c r="L29" s="17"/>
      <c r="M29" s="7"/>
      <c r="N29" s="7"/>
      <c r="O29" s="7" t="s">
        <v>63</v>
      </c>
      <c r="P29" s="7">
        <f>P8</f>
        <v>8692.89</v>
      </c>
      <c r="Q29" s="7"/>
      <c r="R29" s="7">
        <f>R8</f>
        <v>7919.8600000000006</v>
      </c>
      <c r="S29" s="7"/>
      <c r="T29" s="7"/>
      <c r="U29" s="7"/>
      <c r="V29" s="7"/>
      <c r="W29" s="7"/>
      <c r="X29" s="7">
        <f>X8</f>
        <v>7078.1</v>
      </c>
      <c r="Y29" s="7"/>
      <c r="Z29" s="7">
        <f>Z8</f>
        <v>5064.4199999999992</v>
      </c>
      <c r="AA29" s="7"/>
    </row>
    <row r="30" spans="1:27" ht="19.5" customHeight="1" x14ac:dyDescent="0.25">
      <c r="A30" s="245" t="s">
        <v>10</v>
      </c>
      <c r="B30" s="246">
        <v>7.4009087231033915E-2</v>
      </c>
      <c r="C30" s="246"/>
      <c r="D30"/>
      <c r="E30" s="14"/>
      <c r="F30" s="7"/>
      <c r="G30" s="14"/>
      <c r="H30" s="14"/>
      <c r="I30" s="7"/>
      <c r="J30" s="14"/>
      <c r="K30" s="240"/>
      <c r="L30" s="7"/>
      <c r="M30" s="7"/>
      <c r="N30" s="7"/>
      <c r="O30" s="7" t="s">
        <v>64</v>
      </c>
      <c r="P30" s="7">
        <v>1347.94</v>
      </c>
      <c r="Q30" s="7"/>
      <c r="R30" s="7">
        <v>1521.6</v>
      </c>
      <c r="S30" s="7"/>
      <c r="T30" s="7"/>
      <c r="U30" s="7"/>
      <c r="V30" s="7"/>
      <c r="W30" s="7"/>
      <c r="X30" s="18">
        <v>1768.6</v>
      </c>
      <c r="Y30" s="7"/>
      <c r="Z30" s="7">
        <v>932.58199999999999</v>
      </c>
      <c r="AA30" s="7"/>
    </row>
    <row r="31" spans="1:27" ht="19.5" customHeight="1" x14ac:dyDescent="0.25">
      <c r="A31" s="245" t="s">
        <v>14</v>
      </c>
      <c r="B31" s="246">
        <v>6.1743224880367084E-2</v>
      </c>
      <c r="C31" s="246"/>
      <c r="D31"/>
      <c r="E31" s="14"/>
      <c r="F31" s="7"/>
      <c r="G31" s="14"/>
      <c r="H31" s="14"/>
      <c r="I31" s="7"/>
      <c r="J31" s="14"/>
      <c r="K31" s="240"/>
      <c r="L31" s="7"/>
      <c r="M31" s="13"/>
      <c r="N31" s="13"/>
      <c r="O31" s="7"/>
      <c r="P31" s="7">
        <f>P30/P29</f>
        <v>0.15506235555724276</v>
      </c>
      <c r="Q31" s="7"/>
      <c r="R31" s="7">
        <f>R30/R29</f>
        <v>0.19212460826327735</v>
      </c>
      <c r="S31" s="7"/>
      <c r="T31" s="7"/>
      <c r="U31" s="7"/>
      <c r="V31" s="7"/>
      <c r="W31" s="7"/>
      <c r="X31" s="7">
        <f>X30/X29</f>
        <v>0.24986931521170933</v>
      </c>
      <c r="Y31" s="7"/>
      <c r="Z31" s="7">
        <f>Z30/Z29</f>
        <v>0.18414389011969784</v>
      </c>
      <c r="AA31" s="7"/>
    </row>
    <row r="32" spans="1:27" ht="19.5" customHeight="1" x14ac:dyDescent="0.25">
      <c r="A32" s="245" t="s">
        <v>5</v>
      </c>
      <c r="B32" s="246">
        <v>5.1473031206866887E-2</v>
      </c>
      <c r="C32" s="246"/>
      <c r="D32"/>
      <c r="E32" s="14"/>
      <c r="F32" s="7"/>
      <c r="G32" s="14"/>
      <c r="H32" s="14"/>
      <c r="I32" s="7"/>
      <c r="J32" s="14"/>
      <c r="K32" s="240"/>
      <c r="L32" s="7"/>
      <c r="M32" s="7"/>
      <c r="N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19.5" customHeight="1" x14ac:dyDescent="0.25">
      <c r="A33" s="245" t="s">
        <v>19</v>
      </c>
      <c r="B33" s="246">
        <v>4.7162246204451787E-2</v>
      </c>
      <c r="C33" s="246"/>
      <c r="D33"/>
      <c r="E33" s="14"/>
      <c r="F33" s="7"/>
      <c r="G33" s="14"/>
      <c r="H33" s="14"/>
      <c r="I33" s="7"/>
      <c r="J33" s="14"/>
      <c r="K33" s="240"/>
      <c r="L33" s="7"/>
      <c r="M33" s="13"/>
      <c r="N33" s="13"/>
      <c r="O33" s="7" t="s">
        <v>68</v>
      </c>
      <c r="P33" s="7"/>
      <c r="Q33" s="7"/>
      <c r="R33" s="91">
        <f>[4]ORÇAMENTO_EXECUTIVO!$D$790+[4]ORÇAMENTO_EXECUTIVO!$D$836+[4]ORÇAMENTO_EXECUTIVO!$D$870+[4]ORÇAMENTO_EXECUTIVO!$D$886+[4]ORÇAMENTO_EXECUTIVO!$D$898</f>
        <v>837.72</v>
      </c>
      <c r="S33" s="108">
        <f>R33/N3</f>
        <v>0.11360178352033717</v>
      </c>
      <c r="T33" s="7"/>
      <c r="U33" s="7"/>
      <c r="V33" s="7"/>
      <c r="W33" s="7"/>
      <c r="X33" s="7"/>
      <c r="Y33" s="7"/>
      <c r="Z33" s="7">
        <f>[7]Sheet1!$K$1904+[7]Sheet1!$K$2018+[7]Sheet1!$K$2080</f>
        <v>795.91000000000008</v>
      </c>
      <c r="AA33" s="7">
        <f>Z33/AA13</f>
        <v>0.1520938196299651</v>
      </c>
    </row>
    <row r="34" spans="1:27" ht="19.5" customHeight="1" x14ac:dyDescent="0.25">
      <c r="A34" s="245" t="s">
        <v>23</v>
      </c>
      <c r="B34" s="246">
        <v>4.2898868542728501E-2</v>
      </c>
      <c r="C34" s="246"/>
      <c r="D34"/>
      <c r="F34" s="7"/>
      <c r="I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ht="19.5" customHeight="1" x14ac:dyDescent="0.25">
      <c r="A35" s="245" t="s">
        <v>11</v>
      </c>
      <c r="B35" s="246">
        <v>4.129205211920791E-2</v>
      </c>
      <c r="C35" s="246"/>
      <c r="D35"/>
      <c r="E35" s="14"/>
      <c r="F35" s="7"/>
      <c r="G35" s="14"/>
      <c r="H35" s="14"/>
      <c r="I35" s="7"/>
      <c r="J35" s="14"/>
      <c r="K35" s="240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ht="19.5" customHeight="1" x14ac:dyDescent="0.25">
      <c r="A36" s="245" t="s">
        <v>7</v>
      </c>
      <c r="B36" s="246">
        <v>3.7774146999630588E-2</v>
      </c>
      <c r="C36" s="246"/>
      <c r="D36"/>
      <c r="E36" s="14"/>
      <c r="F36" s="7"/>
      <c r="G36" s="14"/>
      <c r="H36" s="14"/>
      <c r="I36" s="7"/>
      <c r="J36" s="14"/>
      <c r="K36" s="240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ht="19.5" customHeight="1" x14ac:dyDescent="0.25">
      <c r="A37" s="245" t="s">
        <v>21</v>
      </c>
      <c r="B37" s="246">
        <v>2.805950619469812E-2</v>
      </c>
      <c r="C37" s="246"/>
      <c r="D37"/>
      <c r="E37" s="14"/>
      <c r="F37" s="7"/>
      <c r="G37" s="14"/>
      <c r="H37" s="14"/>
      <c r="I37" s="7"/>
      <c r="J37" s="14"/>
      <c r="K37" s="240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ht="19.5" customHeight="1" x14ac:dyDescent="0.25">
      <c r="A38" s="245" t="s">
        <v>9</v>
      </c>
      <c r="B38" s="246">
        <v>2.0005601654926233E-2</v>
      </c>
      <c r="C38" s="246"/>
      <c r="D38"/>
      <c r="E38" s="14"/>
      <c r="F38" s="7"/>
      <c r="G38" s="14"/>
      <c r="H38" s="14"/>
      <c r="I38" s="7"/>
      <c r="J38" s="14"/>
      <c r="K38" s="240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ht="19.5" customHeight="1" x14ac:dyDescent="0.25">
      <c r="A39" s="245" t="s">
        <v>13</v>
      </c>
      <c r="B39" s="246">
        <v>1.7456220679733053E-2</v>
      </c>
      <c r="C39" s="246"/>
      <c r="D39"/>
      <c r="E39" s="14"/>
      <c r="F39" s="7"/>
      <c r="G39" s="14"/>
      <c r="H39" s="14"/>
      <c r="I39" s="7"/>
      <c r="J39" s="14"/>
      <c r="K39" s="240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19.5" customHeight="1" x14ac:dyDescent="0.25">
      <c r="A40" s="245" t="s">
        <v>20</v>
      </c>
      <c r="B40" s="246">
        <v>1.6815604669920128E-2</v>
      </c>
      <c r="C40" s="246"/>
      <c r="D40"/>
      <c r="E40" s="14"/>
      <c r="F40" s="7"/>
      <c r="G40" s="14"/>
      <c r="H40" s="14"/>
      <c r="I40" s="7"/>
      <c r="J40" s="14"/>
      <c r="K40" s="240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ht="19.5" customHeight="1" x14ac:dyDescent="0.25">
      <c r="A41" s="245" t="s">
        <v>836</v>
      </c>
      <c r="B41" s="246">
        <v>1.6029567827625209E-2</v>
      </c>
      <c r="C41" s="246"/>
      <c r="D41"/>
      <c r="E41" s="14"/>
      <c r="F41" s="7"/>
      <c r="G41" s="14"/>
      <c r="H41" s="14"/>
      <c r="I41" s="7"/>
      <c r="J41" s="14"/>
      <c r="K41" s="240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19.5" customHeight="1" x14ac:dyDescent="0.25">
      <c r="A42" s="245" t="s">
        <v>4</v>
      </c>
      <c r="B42" s="246">
        <v>4.8617364446299051E-3</v>
      </c>
      <c r="C42" s="246"/>
      <c r="D42"/>
      <c r="E42" s="14"/>
      <c r="F42" s="7"/>
      <c r="G42" s="14"/>
      <c r="H42" s="14"/>
      <c r="I42" s="7"/>
      <c r="J42" s="14"/>
      <c r="K42" s="240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ht="19.5" x14ac:dyDescent="0.25">
      <c r="A43" s="245" t="s">
        <v>22</v>
      </c>
      <c r="B43" s="246">
        <v>5.974065634468458E-4</v>
      </c>
      <c r="C43" s="246"/>
      <c r="D43" s="14"/>
      <c r="E43" s="14"/>
      <c r="F43" s="7"/>
      <c r="G43" s="14"/>
      <c r="H43" s="14"/>
      <c r="I43" s="7"/>
      <c r="J43" s="14"/>
      <c r="K43" s="240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19.5" x14ac:dyDescent="0.25">
      <c r="A44" s="245" t="s">
        <v>832</v>
      </c>
      <c r="B44" s="246">
        <v>1</v>
      </c>
      <c r="C44" s="246"/>
      <c r="D44" s="14"/>
      <c r="E44" s="14"/>
      <c r="F44" s="7"/>
      <c r="G44" s="14"/>
      <c r="H44" s="14"/>
      <c r="I44" s="7"/>
      <c r="J44" s="14"/>
      <c r="K44" s="240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ht="19.5" customHeight="1" x14ac:dyDescent="0.25">
      <c r="A45" s="7"/>
      <c r="B45" s="7"/>
      <c r="C45" s="7"/>
      <c r="D45" s="14"/>
      <c r="E45" s="14"/>
      <c r="F45" s="7"/>
      <c r="G45" s="14"/>
      <c r="H45" s="14"/>
      <c r="I45" s="7"/>
      <c r="J45" s="14"/>
      <c r="K45" s="240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19.5" customHeight="1" x14ac:dyDescent="0.25">
      <c r="A46" s="7"/>
      <c r="B46" s="7"/>
      <c r="C46" s="7"/>
      <c r="D46" s="14"/>
      <c r="E46" s="14"/>
      <c r="F46" s="7"/>
      <c r="G46" s="14"/>
      <c r="H46" s="14"/>
      <c r="I46" s="7"/>
      <c r="J46" s="14"/>
      <c r="K46" s="240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19.5" customHeight="1" x14ac:dyDescent="0.25">
      <c r="A47" s="7"/>
      <c r="B47" s="7"/>
      <c r="C47" s="7"/>
      <c r="D47" s="14"/>
      <c r="E47" s="14"/>
      <c r="F47" s="7"/>
      <c r="G47" s="14"/>
      <c r="H47" s="14"/>
      <c r="I47" s="7"/>
      <c r="J47" s="14"/>
      <c r="K47" s="240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19.5" customHeight="1" x14ac:dyDescent="0.25">
      <c r="A48" s="7"/>
      <c r="B48" s="7"/>
      <c r="C48" s="7"/>
      <c r="D48" s="14"/>
      <c r="E48" s="14"/>
      <c r="F48" s="7"/>
      <c r="G48" s="14"/>
      <c r="H48" s="14"/>
      <c r="I48" s="7"/>
      <c r="J48" s="14"/>
      <c r="K48" s="240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19.5" customHeight="1" x14ac:dyDescent="0.25">
      <c r="A49" s="7"/>
      <c r="B49" s="7"/>
      <c r="C49" s="7"/>
      <c r="D49" s="14"/>
      <c r="E49" s="14"/>
      <c r="F49" s="7"/>
      <c r="G49" s="14"/>
      <c r="H49" s="14"/>
      <c r="I49" s="7"/>
      <c r="J49" s="14"/>
      <c r="K49" s="240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19.5" customHeight="1" x14ac:dyDescent="0.25">
      <c r="A50" s="7"/>
      <c r="B50" s="7"/>
      <c r="C50" s="7"/>
      <c r="D50" s="14"/>
      <c r="E50" s="14"/>
      <c r="F50" s="7"/>
      <c r="G50" s="14"/>
      <c r="H50" s="14"/>
      <c r="I50" s="7"/>
      <c r="J50" s="14"/>
      <c r="K50" s="240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19.5" customHeight="1" x14ac:dyDescent="0.25">
      <c r="A51" s="7"/>
      <c r="B51" s="7"/>
      <c r="C51" s="7"/>
      <c r="D51" s="14"/>
      <c r="E51" s="14"/>
      <c r="F51" s="7"/>
      <c r="G51" s="14"/>
      <c r="H51" s="14"/>
      <c r="I51" s="7"/>
      <c r="J51" s="14"/>
      <c r="K51" s="240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19.5" customHeight="1" x14ac:dyDescent="0.25">
      <c r="A52" s="7"/>
      <c r="B52" s="7"/>
      <c r="C52" s="7"/>
      <c r="D52" s="14"/>
      <c r="E52" s="14"/>
      <c r="F52" s="7"/>
      <c r="G52" s="14"/>
      <c r="H52" s="14"/>
      <c r="I52" s="7"/>
      <c r="J52" s="14"/>
      <c r="K52" s="240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ht="19.5" customHeight="1" x14ac:dyDescent="0.25">
      <c r="A53" s="7"/>
      <c r="B53" s="7"/>
      <c r="C53" s="7"/>
      <c r="D53" s="14"/>
      <c r="E53" s="14"/>
      <c r="F53" s="7"/>
      <c r="G53" s="14"/>
      <c r="H53" s="14"/>
      <c r="I53" s="7"/>
      <c r="J53" s="14"/>
      <c r="K53" s="240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19.5" customHeight="1" x14ac:dyDescent="0.25">
      <c r="A54" s="7"/>
      <c r="B54" s="7"/>
      <c r="C54" s="7"/>
      <c r="D54" s="14"/>
      <c r="E54" s="14"/>
      <c r="F54" s="7"/>
      <c r="G54" s="14"/>
      <c r="H54" s="14"/>
      <c r="I54" s="7"/>
      <c r="J54" s="14"/>
      <c r="K54" s="240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ht="19.5" customHeight="1" x14ac:dyDescent="0.25">
      <c r="A55" s="7"/>
      <c r="B55" s="7"/>
      <c r="C55" s="7"/>
      <c r="D55" s="14"/>
      <c r="E55" s="14"/>
      <c r="F55" s="7"/>
      <c r="G55" s="14"/>
      <c r="H55" s="14"/>
      <c r="I55" s="7"/>
      <c r="J55" s="14"/>
      <c r="K55" s="240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ht="19.5" customHeight="1" x14ac:dyDescent="0.25">
      <c r="A56" s="7"/>
      <c r="B56" s="7"/>
      <c r="C56" s="7"/>
      <c r="D56" s="14"/>
      <c r="E56" s="14"/>
      <c r="F56" s="7"/>
      <c r="G56" s="14"/>
      <c r="H56" s="14"/>
      <c r="I56" s="7"/>
      <c r="J56" s="14"/>
      <c r="K56" s="240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ht="19.5" customHeight="1" x14ac:dyDescent="0.25">
      <c r="A57" s="7"/>
      <c r="B57" s="7"/>
      <c r="C57" s="7"/>
      <c r="D57" s="14"/>
      <c r="E57" s="14"/>
      <c r="F57" s="7"/>
      <c r="G57" s="14"/>
      <c r="H57" s="14"/>
      <c r="I57" s="7"/>
      <c r="J57" s="14"/>
      <c r="K57" s="240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19.5" customHeight="1" x14ac:dyDescent="0.25">
      <c r="A58" s="7"/>
      <c r="B58" s="7"/>
      <c r="C58" s="7"/>
      <c r="D58" s="14"/>
      <c r="E58" s="14"/>
      <c r="F58" s="7"/>
      <c r="G58" s="14"/>
      <c r="H58" s="14"/>
      <c r="I58" s="7"/>
      <c r="J58" s="14"/>
      <c r="K58" s="240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19.5" customHeight="1" x14ac:dyDescent="0.25">
      <c r="A59" s="7"/>
      <c r="B59" s="7"/>
      <c r="C59" s="7"/>
      <c r="D59" s="14"/>
      <c r="E59" s="14"/>
      <c r="F59" s="7"/>
      <c r="G59" s="14"/>
      <c r="H59" s="14"/>
      <c r="I59" s="7"/>
      <c r="J59" s="14"/>
      <c r="K59" s="240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19.5" customHeight="1" x14ac:dyDescent="0.25">
      <c r="A60" s="7"/>
      <c r="B60" s="7"/>
      <c r="C60" s="7"/>
      <c r="D60" s="14"/>
      <c r="E60" s="14"/>
      <c r="F60" s="7"/>
      <c r="G60" s="14"/>
      <c r="H60" s="14"/>
      <c r="I60" s="7"/>
      <c r="J60" s="14"/>
      <c r="K60" s="240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ht="19.5" customHeight="1" x14ac:dyDescent="0.25">
      <c r="A61" s="7"/>
      <c r="B61" s="7"/>
      <c r="C61" s="7"/>
      <c r="D61" s="14"/>
      <c r="E61" s="14"/>
      <c r="F61" s="7"/>
      <c r="G61" s="14"/>
      <c r="H61" s="14"/>
      <c r="I61" s="7"/>
      <c r="J61" s="14"/>
      <c r="K61" s="240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19.5" customHeight="1" x14ac:dyDescent="0.25">
      <c r="A62" s="7"/>
      <c r="B62" s="7"/>
      <c r="C62" s="7"/>
      <c r="D62" s="14"/>
      <c r="E62" s="14"/>
      <c r="F62" s="7"/>
      <c r="G62" s="14"/>
      <c r="H62" s="14"/>
      <c r="I62" s="7"/>
      <c r="J62" s="14"/>
      <c r="K62" s="240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19.5" customHeight="1" x14ac:dyDescent="0.25">
      <c r="A63" s="7"/>
      <c r="B63" s="7"/>
      <c r="C63" s="7"/>
      <c r="D63" s="14"/>
      <c r="E63" s="14"/>
      <c r="F63" s="7"/>
      <c r="G63" s="14"/>
      <c r="H63" s="14"/>
      <c r="I63" s="7"/>
      <c r="J63" s="14"/>
      <c r="K63" s="240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19.5" customHeight="1" x14ac:dyDescent="0.25">
      <c r="A64" s="7"/>
      <c r="B64" s="7"/>
      <c r="C64" s="7"/>
      <c r="D64" s="14"/>
      <c r="E64" s="14"/>
      <c r="F64" s="7"/>
      <c r="G64" s="14"/>
      <c r="H64" s="14"/>
      <c r="I64" s="7"/>
      <c r="J64" s="14"/>
      <c r="K64" s="240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19.5" customHeight="1" x14ac:dyDescent="0.25">
      <c r="A65" s="7"/>
      <c r="B65" s="7"/>
      <c r="C65" s="7"/>
      <c r="D65" s="14"/>
      <c r="E65" s="14"/>
      <c r="F65" s="7"/>
      <c r="G65" s="14"/>
      <c r="H65" s="14"/>
      <c r="I65" s="7"/>
      <c r="J65" s="14"/>
      <c r="K65" s="240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19.5" customHeight="1" x14ac:dyDescent="0.25">
      <c r="A66" s="7"/>
      <c r="B66" s="7"/>
      <c r="C66" s="7"/>
      <c r="D66" s="14"/>
      <c r="E66" s="14"/>
      <c r="F66" s="7"/>
      <c r="G66" s="14"/>
      <c r="H66" s="14"/>
      <c r="I66" s="7"/>
      <c r="J66" s="14"/>
      <c r="K66" s="240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ht="19.5" customHeight="1" x14ac:dyDescent="0.25">
      <c r="A67" s="7"/>
      <c r="B67" s="7"/>
      <c r="C67" s="7"/>
      <c r="D67" s="14"/>
      <c r="E67" s="14"/>
      <c r="F67" s="7"/>
      <c r="G67" s="14"/>
      <c r="H67" s="14"/>
      <c r="I67" s="7"/>
      <c r="J67" s="14"/>
      <c r="K67" s="240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9.5" customHeight="1" x14ac:dyDescent="0.25">
      <c r="A68" s="7"/>
      <c r="B68" s="7"/>
      <c r="C68" s="7"/>
      <c r="D68" s="14"/>
      <c r="E68" s="14"/>
      <c r="F68" s="7"/>
      <c r="G68" s="14"/>
      <c r="H68" s="14"/>
      <c r="I68" s="7"/>
      <c r="J68" s="14"/>
      <c r="K68" s="240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9.5" customHeight="1" x14ac:dyDescent="0.25">
      <c r="A69" s="7"/>
      <c r="B69" s="7"/>
      <c r="C69" s="7"/>
      <c r="D69" s="14"/>
      <c r="E69" s="14"/>
      <c r="F69" s="7"/>
      <c r="G69" s="14"/>
      <c r="H69" s="14"/>
      <c r="I69" s="7"/>
      <c r="J69" s="14"/>
      <c r="K69" s="240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9.5" customHeight="1" x14ac:dyDescent="0.25">
      <c r="A70" s="7"/>
      <c r="B70" s="7"/>
      <c r="C70" s="7"/>
      <c r="D70" s="14"/>
      <c r="E70" s="14"/>
      <c r="F70" s="7"/>
      <c r="G70" s="14"/>
      <c r="H70" s="14"/>
      <c r="I70" s="7"/>
      <c r="J70" s="14"/>
      <c r="K70" s="240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9.5" customHeight="1" x14ac:dyDescent="0.25">
      <c r="A71" s="7"/>
      <c r="B71" s="7"/>
      <c r="C71" s="7"/>
      <c r="D71" s="14"/>
      <c r="E71" s="14"/>
      <c r="F71" s="7"/>
      <c r="G71" s="14"/>
      <c r="H71" s="14"/>
      <c r="I71" s="7"/>
      <c r="J71" s="14"/>
      <c r="K71" s="240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9.5" customHeight="1" x14ac:dyDescent="0.25">
      <c r="A72" s="7"/>
      <c r="B72" s="7"/>
      <c r="C72" s="7"/>
      <c r="D72" s="14"/>
      <c r="E72" s="14"/>
      <c r="F72" s="7"/>
      <c r="G72" s="14"/>
      <c r="H72" s="14"/>
      <c r="I72" s="7"/>
      <c r="J72" s="14"/>
      <c r="K72" s="240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9.5" customHeight="1" x14ac:dyDescent="0.25">
      <c r="A73" s="7"/>
      <c r="B73" s="7"/>
      <c r="C73" s="7"/>
      <c r="D73" s="14"/>
      <c r="E73" s="14"/>
      <c r="F73" s="7"/>
      <c r="G73" s="14"/>
      <c r="H73" s="14"/>
      <c r="I73" s="7"/>
      <c r="J73" s="14"/>
      <c r="K73" s="240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9.5" customHeight="1" x14ac:dyDescent="0.25">
      <c r="A74" s="7"/>
      <c r="B74" s="7"/>
      <c r="C74" s="7"/>
      <c r="D74" s="14"/>
      <c r="E74" s="14"/>
      <c r="F74" s="7"/>
      <c r="G74" s="14"/>
      <c r="H74" s="14"/>
      <c r="I74" s="7"/>
      <c r="J74" s="14"/>
      <c r="K74" s="240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9.5" customHeight="1" x14ac:dyDescent="0.25">
      <c r="A75" s="7"/>
      <c r="B75" s="7"/>
      <c r="C75" s="7"/>
      <c r="D75" s="14"/>
      <c r="E75" s="14"/>
      <c r="F75" s="7"/>
      <c r="G75" s="14"/>
      <c r="H75" s="14"/>
      <c r="I75" s="7"/>
      <c r="J75" s="14"/>
      <c r="K75" s="240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9.5" customHeight="1" x14ac:dyDescent="0.25">
      <c r="A76" s="7"/>
      <c r="B76" s="7"/>
      <c r="C76" s="7"/>
      <c r="D76" s="14"/>
      <c r="E76" s="14"/>
      <c r="F76" s="7"/>
      <c r="G76" s="14"/>
      <c r="H76" s="14"/>
      <c r="I76" s="7"/>
      <c r="J76" s="14"/>
      <c r="K76" s="240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9.5" customHeight="1" x14ac:dyDescent="0.25">
      <c r="A77" s="7"/>
      <c r="B77" s="7"/>
      <c r="C77" s="7"/>
      <c r="D77" s="14"/>
      <c r="E77" s="14"/>
      <c r="F77" s="7"/>
      <c r="G77" s="14"/>
      <c r="H77" s="14"/>
      <c r="I77" s="7"/>
      <c r="J77" s="14"/>
      <c r="K77" s="240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19.5" customHeight="1" x14ac:dyDescent="0.25">
      <c r="A78" s="7"/>
      <c r="B78" s="7"/>
      <c r="C78" s="7"/>
      <c r="D78" s="14"/>
      <c r="E78" s="14"/>
      <c r="F78" s="7"/>
      <c r="G78" s="14"/>
      <c r="H78" s="14"/>
      <c r="I78" s="7"/>
      <c r="J78" s="14"/>
      <c r="K78" s="240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19.5" customHeight="1" x14ac:dyDescent="0.25">
      <c r="A79" s="7"/>
      <c r="B79" s="7"/>
      <c r="C79" s="7"/>
      <c r="D79" s="14"/>
      <c r="E79" s="14"/>
      <c r="F79" s="7"/>
      <c r="G79" s="14"/>
      <c r="H79" s="14"/>
      <c r="I79" s="7"/>
      <c r="J79" s="14"/>
      <c r="K79" s="240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9.5" customHeight="1" x14ac:dyDescent="0.25">
      <c r="A80" s="7"/>
      <c r="B80" s="7"/>
      <c r="C80" s="7"/>
      <c r="D80" s="14"/>
      <c r="E80" s="14"/>
      <c r="F80" s="7"/>
      <c r="G80" s="14"/>
      <c r="H80" s="14"/>
      <c r="I80" s="7"/>
      <c r="J80" s="14"/>
      <c r="K80" s="240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9.5" customHeight="1" x14ac:dyDescent="0.25">
      <c r="A81" s="7"/>
      <c r="B81" s="7"/>
      <c r="C81" s="7"/>
      <c r="D81" s="14"/>
      <c r="E81" s="14"/>
      <c r="F81" s="7"/>
      <c r="G81" s="14"/>
      <c r="H81" s="14"/>
      <c r="I81" s="7"/>
      <c r="J81" s="14"/>
      <c r="K81" s="240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9.5" customHeight="1" x14ac:dyDescent="0.25">
      <c r="A82" s="7"/>
      <c r="B82" s="7"/>
      <c r="C82" s="7"/>
      <c r="D82" s="14"/>
      <c r="E82" s="14"/>
      <c r="F82" s="7"/>
      <c r="G82" s="14"/>
      <c r="H82" s="14"/>
      <c r="I82" s="7"/>
      <c r="J82" s="14"/>
      <c r="K82" s="240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9.5" customHeight="1" x14ac:dyDescent="0.25">
      <c r="A83" s="7"/>
      <c r="B83" s="7"/>
      <c r="C83" s="7"/>
      <c r="D83" s="14"/>
      <c r="E83" s="14"/>
      <c r="F83" s="7"/>
      <c r="G83" s="14"/>
      <c r="H83" s="14"/>
      <c r="I83" s="7"/>
      <c r="J83" s="14"/>
      <c r="K83" s="240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9.5" customHeight="1" x14ac:dyDescent="0.25">
      <c r="A84" s="7"/>
      <c r="B84" s="7"/>
      <c r="C84" s="7"/>
      <c r="D84" s="14"/>
      <c r="E84" s="14"/>
      <c r="F84" s="7"/>
      <c r="G84" s="14"/>
      <c r="H84" s="14"/>
      <c r="I84" s="7"/>
      <c r="J84" s="14"/>
      <c r="K84" s="240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9.5" customHeight="1" x14ac:dyDescent="0.25">
      <c r="A85" s="7"/>
      <c r="B85" s="7"/>
      <c r="C85" s="7"/>
      <c r="D85" s="14"/>
      <c r="E85" s="14"/>
      <c r="F85" s="7"/>
      <c r="G85" s="14"/>
      <c r="H85" s="14"/>
      <c r="I85" s="7"/>
      <c r="J85" s="14"/>
      <c r="K85" s="240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9.5" customHeight="1" x14ac:dyDescent="0.25">
      <c r="A86" s="7"/>
      <c r="B86" s="7"/>
      <c r="C86" s="7"/>
      <c r="D86" s="14"/>
      <c r="E86" s="14"/>
      <c r="F86" s="7"/>
      <c r="G86" s="14"/>
      <c r="H86" s="14"/>
      <c r="I86" s="7"/>
      <c r="J86" s="14"/>
      <c r="K86" s="240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19.5" customHeight="1" x14ac:dyDescent="0.25">
      <c r="A87" s="7"/>
      <c r="B87" s="7"/>
      <c r="C87" s="7"/>
      <c r="D87" s="14"/>
      <c r="E87" s="14"/>
      <c r="F87" s="7"/>
      <c r="G87" s="14"/>
      <c r="H87" s="14"/>
      <c r="I87" s="7"/>
      <c r="J87" s="14"/>
      <c r="K87" s="240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9.5" customHeight="1" x14ac:dyDescent="0.25">
      <c r="A88" s="7"/>
      <c r="B88" s="7"/>
      <c r="C88" s="7"/>
      <c r="D88" s="14"/>
      <c r="E88" s="14"/>
      <c r="F88" s="7"/>
      <c r="G88" s="14"/>
      <c r="H88" s="14"/>
      <c r="I88" s="7"/>
      <c r="J88" s="14"/>
      <c r="K88" s="240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19.5" customHeight="1" x14ac:dyDescent="0.25">
      <c r="A89" s="7"/>
      <c r="B89" s="7"/>
      <c r="C89" s="7"/>
      <c r="D89" s="14"/>
      <c r="E89" s="14"/>
      <c r="F89" s="7"/>
      <c r="G89" s="14"/>
      <c r="H89" s="14"/>
      <c r="I89" s="7"/>
      <c r="J89" s="14"/>
      <c r="K89" s="240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9.5" customHeight="1" x14ac:dyDescent="0.25">
      <c r="A90" s="7"/>
      <c r="B90" s="7"/>
      <c r="C90" s="7"/>
      <c r="D90" s="14"/>
      <c r="E90" s="14"/>
      <c r="F90" s="7"/>
      <c r="G90" s="14"/>
      <c r="H90" s="14"/>
      <c r="I90" s="7"/>
      <c r="J90" s="14"/>
      <c r="K90" s="240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19.5" customHeight="1" x14ac:dyDescent="0.25">
      <c r="A91" s="7"/>
      <c r="B91" s="7"/>
      <c r="C91" s="7"/>
      <c r="D91" s="14"/>
      <c r="E91" s="14"/>
      <c r="F91" s="7"/>
      <c r="G91" s="14"/>
      <c r="H91" s="14"/>
      <c r="I91" s="7"/>
      <c r="J91" s="14"/>
      <c r="K91" s="240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9.5" customHeight="1" x14ac:dyDescent="0.25">
      <c r="A92" s="7"/>
      <c r="B92" s="7"/>
      <c r="C92" s="7"/>
      <c r="D92" s="14"/>
      <c r="E92" s="14"/>
      <c r="F92" s="7"/>
      <c r="G92" s="14"/>
      <c r="H92" s="14"/>
      <c r="I92" s="7"/>
      <c r="J92" s="14"/>
      <c r="K92" s="240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19.5" customHeight="1" x14ac:dyDescent="0.25">
      <c r="A93" s="7"/>
      <c r="B93" s="7"/>
      <c r="C93" s="7"/>
      <c r="D93" s="14"/>
      <c r="E93" s="14"/>
      <c r="F93" s="7"/>
      <c r="G93" s="14"/>
      <c r="H93" s="14"/>
      <c r="I93" s="7"/>
      <c r="J93" s="14"/>
      <c r="K93" s="240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19.5" customHeight="1" x14ac:dyDescent="0.25">
      <c r="A94" s="7"/>
      <c r="B94" s="7"/>
      <c r="C94" s="7"/>
      <c r="D94" s="14"/>
      <c r="E94" s="14"/>
      <c r="F94" s="7"/>
      <c r="G94" s="14"/>
      <c r="H94" s="14"/>
      <c r="I94" s="7"/>
      <c r="J94" s="14"/>
      <c r="K94" s="240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19.5" customHeight="1" x14ac:dyDescent="0.25">
      <c r="A95" s="7"/>
      <c r="B95" s="7"/>
      <c r="C95" s="7"/>
      <c r="D95" s="14"/>
      <c r="E95" s="14"/>
      <c r="F95" s="7"/>
      <c r="G95" s="14"/>
      <c r="H95" s="14"/>
      <c r="I95" s="7"/>
      <c r="J95" s="14"/>
      <c r="K95" s="240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19.5" customHeight="1" x14ac:dyDescent="0.25">
      <c r="A96" s="7"/>
      <c r="B96" s="7"/>
      <c r="C96" s="7"/>
      <c r="D96" s="14"/>
      <c r="E96" s="14"/>
      <c r="F96" s="7"/>
      <c r="G96" s="14"/>
      <c r="H96" s="14"/>
      <c r="I96" s="7"/>
      <c r="J96" s="14"/>
      <c r="K96" s="240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19.5" customHeight="1" x14ac:dyDescent="0.25">
      <c r="A97" s="7"/>
      <c r="B97" s="7"/>
      <c r="C97" s="7"/>
      <c r="D97" s="14"/>
      <c r="E97" s="14"/>
      <c r="F97" s="7"/>
      <c r="G97" s="14"/>
      <c r="H97" s="14"/>
      <c r="I97" s="7"/>
      <c r="J97" s="14"/>
      <c r="K97" s="240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9.5" customHeight="1" x14ac:dyDescent="0.25">
      <c r="A98" s="7"/>
      <c r="B98" s="7"/>
      <c r="C98" s="7"/>
      <c r="D98" s="14"/>
      <c r="E98" s="14"/>
      <c r="F98" s="7"/>
      <c r="G98" s="14"/>
      <c r="H98" s="14"/>
      <c r="I98" s="7"/>
      <c r="J98" s="14"/>
      <c r="K98" s="240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19.5" customHeight="1" x14ac:dyDescent="0.25">
      <c r="A99" s="7"/>
      <c r="B99" s="7"/>
      <c r="C99" s="7"/>
      <c r="D99" s="14"/>
      <c r="E99" s="14"/>
      <c r="F99" s="7"/>
      <c r="G99" s="14"/>
      <c r="H99" s="14"/>
      <c r="I99" s="7"/>
      <c r="J99" s="14"/>
      <c r="K99" s="240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9.5" customHeight="1" x14ac:dyDescent="0.25">
      <c r="A100" s="7"/>
      <c r="B100" s="7"/>
      <c r="C100" s="7"/>
      <c r="D100" s="14"/>
      <c r="E100" s="14"/>
      <c r="F100" s="7"/>
      <c r="G100" s="14"/>
      <c r="H100" s="14"/>
      <c r="I100" s="7"/>
      <c r="J100" s="14"/>
      <c r="K100" s="240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19.5" customHeight="1" x14ac:dyDescent="0.25">
      <c r="A101" s="7"/>
      <c r="B101" s="7"/>
      <c r="C101" s="7"/>
      <c r="D101" s="14"/>
      <c r="E101" s="14"/>
      <c r="F101" s="7"/>
      <c r="G101" s="14"/>
      <c r="H101" s="14"/>
      <c r="I101" s="7"/>
      <c r="J101" s="14"/>
      <c r="K101" s="240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9.5" customHeight="1" x14ac:dyDescent="0.25">
      <c r="A102" s="7"/>
      <c r="B102" s="7"/>
      <c r="C102" s="7"/>
      <c r="D102" s="14"/>
      <c r="E102" s="14"/>
      <c r="F102" s="7"/>
      <c r="G102" s="14"/>
      <c r="H102" s="14"/>
      <c r="I102" s="7"/>
      <c r="J102" s="14"/>
      <c r="K102" s="240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19.5" customHeight="1" x14ac:dyDescent="0.25">
      <c r="A103" s="7"/>
      <c r="B103" s="7"/>
      <c r="C103" s="7"/>
      <c r="D103" s="14"/>
      <c r="E103" s="14"/>
      <c r="F103" s="7"/>
      <c r="G103" s="14"/>
      <c r="H103" s="14"/>
      <c r="I103" s="7"/>
      <c r="J103" s="14"/>
      <c r="K103" s="240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9.5" customHeight="1" x14ac:dyDescent="0.25">
      <c r="A104" s="7"/>
      <c r="B104" s="7"/>
      <c r="C104" s="7"/>
      <c r="D104" s="14"/>
      <c r="E104" s="14"/>
      <c r="F104" s="7"/>
      <c r="G104" s="14"/>
      <c r="H104" s="14"/>
      <c r="I104" s="7"/>
      <c r="J104" s="14"/>
      <c r="K104" s="240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19.5" customHeight="1" x14ac:dyDescent="0.25">
      <c r="A105" s="7"/>
      <c r="B105" s="7"/>
      <c r="C105" s="7"/>
      <c r="D105" s="14"/>
      <c r="E105" s="14"/>
      <c r="F105" s="7"/>
      <c r="G105" s="14"/>
      <c r="H105" s="14"/>
      <c r="I105" s="7"/>
      <c r="J105" s="14"/>
      <c r="K105" s="240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19.5" customHeight="1" x14ac:dyDescent="0.25">
      <c r="A106" s="7"/>
      <c r="B106" s="7"/>
      <c r="C106" s="7"/>
      <c r="D106" s="14"/>
      <c r="E106" s="14"/>
      <c r="F106" s="7"/>
      <c r="G106" s="14"/>
      <c r="H106" s="14"/>
      <c r="I106" s="7"/>
      <c r="J106" s="14"/>
      <c r="K106" s="240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19.5" customHeight="1" x14ac:dyDescent="0.25">
      <c r="A107" s="7"/>
      <c r="B107" s="7"/>
      <c r="C107" s="7"/>
      <c r="D107" s="14"/>
      <c r="E107" s="14"/>
      <c r="F107" s="7"/>
      <c r="G107" s="14"/>
      <c r="H107" s="14"/>
      <c r="I107" s="7"/>
      <c r="J107" s="14"/>
      <c r="K107" s="240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19.5" customHeight="1" x14ac:dyDescent="0.25">
      <c r="A108" s="7"/>
      <c r="B108" s="7"/>
      <c r="C108" s="7"/>
      <c r="D108" s="14"/>
      <c r="E108" s="14"/>
      <c r="F108" s="7"/>
      <c r="G108" s="14"/>
      <c r="H108" s="14"/>
      <c r="I108" s="7"/>
      <c r="J108" s="14"/>
      <c r="K108" s="240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19.5" customHeight="1" x14ac:dyDescent="0.25">
      <c r="A109" s="7"/>
      <c r="B109" s="7"/>
      <c r="C109" s="7"/>
      <c r="D109" s="14"/>
      <c r="E109" s="14"/>
      <c r="F109" s="7"/>
      <c r="G109" s="14"/>
      <c r="H109" s="14"/>
      <c r="I109" s="7"/>
      <c r="J109" s="14"/>
      <c r="K109" s="240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19.5" customHeight="1" x14ac:dyDescent="0.25">
      <c r="A110" s="7"/>
      <c r="B110" s="7"/>
      <c r="C110" s="7"/>
      <c r="D110" s="14"/>
      <c r="E110" s="14"/>
      <c r="F110" s="7"/>
      <c r="G110" s="14"/>
      <c r="H110" s="14"/>
      <c r="I110" s="7"/>
      <c r="J110" s="14"/>
      <c r="K110" s="240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19.5" customHeight="1" x14ac:dyDescent="0.25">
      <c r="A111" s="7"/>
      <c r="B111" s="7"/>
      <c r="C111" s="7"/>
      <c r="D111" s="14"/>
      <c r="E111" s="14"/>
      <c r="F111" s="7"/>
      <c r="G111" s="14"/>
      <c r="H111" s="14"/>
      <c r="I111" s="7"/>
      <c r="J111" s="14"/>
      <c r="K111" s="240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19.5" customHeight="1" x14ac:dyDescent="0.25">
      <c r="A112" s="7"/>
      <c r="B112" s="7"/>
      <c r="C112" s="7"/>
      <c r="D112" s="14"/>
      <c r="E112" s="14"/>
      <c r="F112" s="7"/>
      <c r="G112" s="14"/>
      <c r="H112" s="14"/>
      <c r="I112" s="7"/>
      <c r="J112" s="14"/>
      <c r="K112" s="240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19.5" customHeight="1" x14ac:dyDescent="0.25">
      <c r="A113" s="7"/>
      <c r="B113" s="7"/>
      <c r="C113" s="7"/>
      <c r="D113" s="14"/>
      <c r="E113" s="14"/>
      <c r="F113" s="7"/>
      <c r="G113" s="14"/>
      <c r="H113" s="14"/>
      <c r="I113" s="7"/>
      <c r="J113" s="14"/>
      <c r="K113" s="240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19.5" customHeight="1" x14ac:dyDescent="0.25">
      <c r="A114" s="7"/>
      <c r="B114" s="7"/>
      <c r="C114" s="7"/>
      <c r="D114" s="14"/>
      <c r="E114" s="14"/>
      <c r="F114" s="7"/>
      <c r="G114" s="14"/>
      <c r="H114" s="14"/>
      <c r="I114" s="7"/>
      <c r="J114" s="14"/>
      <c r="K114" s="240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19.5" customHeight="1" x14ac:dyDescent="0.25">
      <c r="A115" s="7"/>
      <c r="B115" s="7"/>
      <c r="C115" s="7"/>
      <c r="D115" s="14"/>
      <c r="E115" s="14"/>
      <c r="F115" s="7"/>
      <c r="G115" s="14"/>
      <c r="H115" s="14"/>
      <c r="I115" s="7"/>
      <c r="J115" s="14"/>
      <c r="K115" s="240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ht="19.5" customHeight="1" x14ac:dyDescent="0.25">
      <c r="A116" s="7"/>
      <c r="B116" s="7"/>
      <c r="C116" s="7"/>
      <c r="D116" s="14"/>
      <c r="E116" s="14"/>
      <c r="F116" s="7"/>
      <c r="G116" s="14"/>
      <c r="H116" s="14"/>
      <c r="I116" s="7"/>
      <c r="J116" s="14"/>
      <c r="K116" s="240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ht="19.5" customHeight="1" x14ac:dyDescent="0.25">
      <c r="A117" s="7"/>
      <c r="B117" s="7"/>
      <c r="C117" s="7"/>
      <c r="D117" s="14"/>
      <c r="E117" s="14"/>
      <c r="F117" s="7"/>
      <c r="G117" s="14"/>
      <c r="H117" s="14"/>
      <c r="I117" s="7"/>
      <c r="J117" s="14"/>
      <c r="K117" s="240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19.5" customHeight="1" x14ac:dyDescent="0.25">
      <c r="A118" s="7"/>
      <c r="B118" s="7"/>
      <c r="C118" s="7"/>
      <c r="D118" s="14"/>
      <c r="E118" s="14"/>
      <c r="F118" s="7"/>
      <c r="G118" s="14"/>
      <c r="H118" s="14"/>
      <c r="I118" s="7"/>
      <c r="J118" s="14"/>
      <c r="K118" s="240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ht="19.5" customHeight="1" x14ac:dyDescent="0.25">
      <c r="A119" s="7"/>
      <c r="B119" s="7"/>
      <c r="C119" s="7"/>
      <c r="D119" s="14"/>
      <c r="E119" s="14"/>
      <c r="F119" s="7"/>
      <c r="G119" s="14"/>
      <c r="H119" s="14"/>
      <c r="I119" s="7"/>
      <c r="J119" s="14"/>
      <c r="K119" s="240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19.5" customHeight="1" x14ac:dyDescent="0.25">
      <c r="A120" s="7"/>
      <c r="B120" s="7"/>
      <c r="C120" s="7"/>
      <c r="D120" s="14"/>
      <c r="E120" s="14"/>
      <c r="F120" s="7"/>
      <c r="G120" s="14"/>
      <c r="H120" s="14"/>
      <c r="I120" s="7"/>
      <c r="J120" s="14"/>
      <c r="K120" s="240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19.5" customHeight="1" x14ac:dyDescent="0.25">
      <c r="A121" s="7"/>
      <c r="B121" s="7"/>
      <c r="C121" s="7"/>
      <c r="D121" s="14"/>
      <c r="E121" s="14"/>
      <c r="F121" s="7"/>
      <c r="G121" s="14"/>
      <c r="H121" s="14"/>
      <c r="I121" s="7"/>
      <c r="J121" s="14"/>
      <c r="K121" s="240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19.5" customHeight="1" x14ac:dyDescent="0.25">
      <c r="A122" s="7"/>
      <c r="B122" s="7"/>
      <c r="C122" s="7"/>
      <c r="D122" s="14"/>
      <c r="E122" s="14"/>
      <c r="F122" s="7"/>
      <c r="G122" s="14"/>
      <c r="H122" s="14"/>
      <c r="I122" s="7"/>
      <c r="J122" s="14"/>
      <c r="K122" s="240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19.5" customHeight="1" x14ac:dyDescent="0.25">
      <c r="A123" s="7"/>
      <c r="B123" s="7"/>
      <c r="C123" s="7"/>
      <c r="D123" s="14"/>
      <c r="E123" s="14"/>
      <c r="F123" s="7"/>
      <c r="G123" s="14"/>
      <c r="H123" s="14"/>
      <c r="I123" s="7"/>
      <c r="J123" s="14"/>
      <c r="K123" s="240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19.5" customHeight="1" x14ac:dyDescent="0.25">
      <c r="A124" s="7"/>
      <c r="B124" s="7"/>
      <c r="C124" s="7"/>
      <c r="D124" s="14"/>
      <c r="E124" s="14"/>
      <c r="F124" s="7"/>
      <c r="G124" s="14"/>
      <c r="H124" s="14"/>
      <c r="I124" s="7"/>
      <c r="J124" s="14"/>
      <c r="K124" s="240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ht="19.5" customHeight="1" x14ac:dyDescent="0.25">
      <c r="A125" s="7"/>
      <c r="B125" s="7"/>
      <c r="C125" s="7"/>
      <c r="D125" s="14"/>
      <c r="E125" s="14"/>
      <c r="F125" s="7"/>
      <c r="G125" s="14"/>
      <c r="H125" s="14"/>
      <c r="I125" s="7"/>
      <c r="J125" s="14"/>
      <c r="K125" s="240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19.5" customHeight="1" x14ac:dyDescent="0.25">
      <c r="A126" s="7"/>
      <c r="B126" s="7"/>
      <c r="C126" s="7"/>
      <c r="D126" s="14"/>
      <c r="E126" s="14"/>
      <c r="F126" s="7"/>
      <c r="G126" s="14"/>
      <c r="H126" s="14"/>
      <c r="I126" s="7"/>
      <c r="J126" s="14"/>
      <c r="K126" s="240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ht="19.5" customHeight="1" x14ac:dyDescent="0.25">
      <c r="A127" s="7"/>
      <c r="B127" s="7"/>
      <c r="C127" s="7"/>
      <c r="D127" s="14"/>
      <c r="E127" s="14"/>
      <c r="F127" s="7"/>
      <c r="G127" s="14"/>
      <c r="H127" s="14"/>
      <c r="I127" s="7"/>
      <c r="J127" s="14"/>
      <c r="K127" s="240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19.5" customHeight="1" x14ac:dyDescent="0.25">
      <c r="A128" s="7"/>
      <c r="B128" s="7"/>
      <c r="C128" s="7"/>
      <c r="D128" s="14"/>
      <c r="E128" s="14"/>
      <c r="F128" s="7"/>
      <c r="G128" s="14"/>
      <c r="H128" s="14"/>
      <c r="I128" s="7"/>
      <c r="J128" s="14"/>
      <c r="K128" s="240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ht="19.5" customHeight="1" x14ac:dyDescent="0.25">
      <c r="A129" s="7"/>
      <c r="B129" s="7"/>
      <c r="C129" s="7"/>
      <c r="D129" s="14"/>
      <c r="E129" s="14"/>
      <c r="F129" s="7"/>
      <c r="G129" s="14"/>
      <c r="H129" s="14"/>
      <c r="I129" s="7"/>
      <c r="J129" s="14"/>
      <c r="K129" s="240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19.5" customHeight="1" x14ac:dyDescent="0.25">
      <c r="A130" s="7"/>
      <c r="B130" s="7"/>
      <c r="C130" s="7"/>
      <c r="D130" s="14"/>
      <c r="E130" s="14"/>
      <c r="F130" s="7"/>
      <c r="G130" s="14"/>
      <c r="H130" s="14"/>
      <c r="I130" s="7"/>
      <c r="J130" s="14"/>
      <c r="K130" s="240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ht="19.5" customHeight="1" x14ac:dyDescent="0.25">
      <c r="A131" s="7"/>
      <c r="B131" s="7"/>
      <c r="C131" s="7"/>
      <c r="D131" s="14"/>
      <c r="E131" s="14"/>
      <c r="F131" s="7"/>
      <c r="G131" s="14"/>
      <c r="H131" s="14"/>
      <c r="I131" s="7"/>
      <c r="J131" s="14"/>
      <c r="K131" s="240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19.5" customHeight="1" x14ac:dyDescent="0.25">
      <c r="A132" s="7"/>
      <c r="B132" s="7"/>
      <c r="C132" s="7"/>
      <c r="D132" s="14"/>
      <c r="E132" s="14"/>
      <c r="F132" s="7"/>
      <c r="G132" s="14"/>
      <c r="H132" s="14"/>
      <c r="I132" s="7"/>
      <c r="J132" s="14"/>
      <c r="K132" s="240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19.5" customHeight="1" x14ac:dyDescent="0.25">
      <c r="A133" s="7"/>
      <c r="B133" s="7"/>
      <c r="C133" s="7"/>
      <c r="D133" s="14"/>
      <c r="E133" s="14"/>
      <c r="F133" s="7"/>
      <c r="G133" s="14"/>
      <c r="H133" s="14"/>
      <c r="I133" s="7"/>
      <c r="J133" s="14"/>
      <c r="K133" s="240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19.5" customHeight="1" x14ac:dyDescent="0.25">
      <c r="A134" s="7"/>
      <c r="B134" s="7"/>
      <c r="C134" s="7"/>
      <c r="D134" s="14"/>
      <c r="E134" s="14"/>
      <c r="F134" s="7"/>
      <c r="G134" s="14"/>
      <c r="H134" s="14"/>
      <c r="I134" s="7"/>
      <c r="J134" s="14"/>
      <c r="K134" s="240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ht="19.5" customHeight="1" x14ac:dyDescent="0.25">
      <c r="A135" s="7"/>
      <c r="B135" s="7"/>
      <c r="C135" s="7"/>
      <c r="D135" s="14"/>
      <c r="E135" s="14"/>
      <c r="F135" s="7"/>
      <c r="G135" s="14"/>
      <c r="H135" s="14"/>
      <c r="I135" s="7"/>
      <c r="J135" s="14"/>
      <c r="K135" s="240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19.5" customHeight="1" x14ac:dyDescent="0.25">
      <c r="A136" s="7"/>
      <c r="B136" s="7"/>
      <c r="C136" s="7"/>
      <c r="D136" s="14"/>
      <c r="E136" s="14"/>
      <c r="F136" s="7"/>
      <c r="G136" s="14"/>
      <c r="H136" s="14"/>
      <c r="I136" s="7"/>
      <c r="J136" s="14"/>
      <c r="K136" s="240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ht="19.5" customHeight="1" x14ac:dyDescent="0.25">
      <c r="A137" s="7"/>
      <c r="B137" s="7"/>
      <c r="C137" s="7"/>
      <c r="D137" s="14"/>
      <c r="E137" s="14"/>
      <c r="F137" s="7"/>
      <c r="G137" s="14"/>
      <c r="H137" s="14"/>
      <c r="I137" s="7"/>
      <c r="J137" s="14"/>
      <c r="K137" s="240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19.5" customHeight="1" x14ac:dyDescent="0.25">
      <c r="A138" s="7"/>
      <c r="B138" s="7"/>
      <c r="C138" s="7"/>
      <c r="D138" s="14"/>
      <c r="E138" s="14"/>
      <c r="F138" s="7"/>
      <c r="G138" s="14"/>
      <c r="H138" s="14"/>
      <c r="I138" s="7"/>
      <c r="J138" s="14"/>
      <c r="K138" s="240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ht="19.5" customHeight="1" x14ac:dyDescent="0.25">
      <c r="A139" s="7"/>
      <c r="B139" s="7"/>
      <c r="C139" s="7"/>
      <c r="D139" s="14"/>
      <c r="E139" s="14"/>
      <c r="F139" s="7"/>
      <c r="G139" s="14"/>
      <c r="H139" s="14"/>
      <c r="I139" s="7"/>
      <c r="J139" s="14"/>
      <c r="K139" s="240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19.5" customHeight="1" x14ac:dyDescent="0.25">
      <c r="A140" s="7"/>
      <c r="B140" s="7"/>
      <c r="C140" s="7"/>
      <c r="D140" s="14"/>
      <c r="E140" s="14"/>
      <c r="F140" s="7"/>
      <c r="G140" s="14"/>
      <c r="H140" s="14"/>
      <c r="I140" s="7"/>
      <c r="J140" s="14"/>
      <c r="K140" s="240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ht="19.5" customHeight="1" x14ac:dyDescent="0.25">
      <c r="A141" s="7"/>
      <c r="B141" s="7"/>
      <c r="C141" s="7"/>
      <c r="D141" s="14"/>
      <c r="E141" s="14"/>
      <c r="F141" s="7"/>
      <c r="G141" s="14"/>
      <c r="H141" s="14"/>
      <c r="I141" s="7"/>
      <c r="J141" s="14"/>
      <c r="K141" s="240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19.5" customHeight="1" x14ac:dyDescent="0.25">
      <c r="A142" s="7"/>
      <c r="B142" s="7"/>
      <c r="C142" s="7"/>
      <c r="D142" s="14"/>
      <c r="E142" s="14"/>
      <c r="F142" s="7"/>
      <c r="G142" s="14"/>
      <c r="H142" s="14"/>
      <c r="I142" s="7"/>
      <c r="J142" s="14"/>
      <c r="K142" s="240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ht="19.5" customHeight="1" x14ac:dyDescent="0.25">
      <c r="A143" s="7"/>
      <c r="B143" s="7"/>
      <c r="C143" s="7"/>
      <c r="D143" s="14"/>
      <c r="E143" s="14"/>
      <c r="F143" s="7"/>
      <c r="G143" s="14"/>
      <c r="H143" s="14"/>
      <c r="I143" s="7"/>
      <c r="J143" s="14"/>
      <c r="K143" s="240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19.5" customHeight="1" x14ac:dyDescent="0.25">
      <c r="A144" s="7"/>
      <c r="B144" s="7"/>
      <c r="C144" s="7"/>
      <c r="D144" s="14"/>
      <c r="E144" s="14"/>
      <c r="F144" s="7"/>
      <c r="G144" s="14"/>
      <c r="H144" s="14"/>
      <c r="I144" s="7"/>
      <c r="J144" s="14"/>
      <c r="K144" s="240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ht="19.5" customHeight="1" x14ac:dyDescent="0.25">
      <c r="A145" s="7"/>
      <c r="B145" s="7"/>
      <c r="C145" s="7"/>
      <c r="D145" s="14"/>
      <c r="E145" s="14"/>
      <c r="F145" s="7"/>
      <c r="G145" s="14"/>
      <c r="H145" s="14"/>
      <c r="I145" s="7"/>
      <c r="J145" s="14"/>
      <c r="K145" s="240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19.5" customHeight="1" x14ac:dyDescent="0.25">
      <c r="A146" s="7"/>
      <c r="B146" s="7"/>
      <c r="C146" s="7"/>
      <c r="D146" s="14"/>
      <c r="E146" s="14"/>
      <c r="F146" s="7"/>
      <c r="G146" s="14"/>
      <c r="H146" s="14"/>
      <c r="I146" s="7"/>
      <c r="J146" s="14"/>
      <c r="K146" s="240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19.5" customHeight="1" x14ac:dyDescent="0.25">
      <c r="A147" s="7"/>
      <c r="B147" s="7"/>
      <c r="C147" s="7"/>
      <c r="D147" s="14"/>
      <c r="E147" s="14"/>
      <c r="F147" s="7"/>
      <c r="G147" s="14"/>
      <c r="H147" s="14"/>
      <c r="I147" s="7"/>
      <c r="J147" s="14"/>
      <c r="K147" s="240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19.5" customHeight="1" x14ac:dyDescent="0.25">
      <c r="A148" s="7"/>
      <c r="B148" s="7"/>
      <c r="C148" s="7"/>
      <c r="D148" s="14"/>
      <c r="E148" s="14"/>
      <c r="F148" s="7"/>
      <c r="G148" s="14"/>
      <c r="H148" s="14"/>
      <c r="I148" s="7"/>
      <c r="J148" s="14"/>
      <c r="K148" s="240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19.5" customHeight="1" x14ac:dyDescent="0.25">
      <c r="A149" s="7"/>
      <c r="B149" s="7"/>
      <c r="C149" s="7"/>
      <c r="D149" s="14"/>
      <c r="E149" s="14"/>
      <c r="F149" s="7"/>
      <c r="G149" s="14"/>
      <c r="H149" s="14"/>
      <c r="I149" s="7"/>
      <c r="J149" s="14"/>
      <c r="K149" s="240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19.5" customHeight="1" x14ac:dyDescent="0.25">
      <c r="A150" s="7"/>
      <c r="B150" s="7"/>
      <c r="C150" s="7"/>
      <c r="D150" s="14"/>
      <c r="E150" s="14"/>
      <c r="F150" s="7"/>
      <c r="G150" s="14"/>
      <c r="H150" s="14"/>
      <c r="I150" s="7"/>
      <c r="J150" s="14"/>
      <c r="K150" s="240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19.5" customHeight="1" x14ac:dyDescent="0.25">
      <c r="A151" s="7"/>
      <c r="B151" s="7"/>
      <c r="C151" s="7"/>
      <c r="D151" s="14"/>
      <c r="E151" s="14"/>
      <c r="F151" s="7"/>
      <c r="G151" s="14"/>
      <c r="H151" s="14"/>
      <c r="I151" s="7"/>
      <c r="J151" s="14"/>
      <c r="K151" s="240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19.5" customHeight="1" x14ac:dyDescent="0.25">
      <c r="A152" s="7"/>
      <c r="B152" s="7"/>
      <c r="C152" s="7"/>
      <c r="D152" s="14"/>
      <c r="E152" s="14"/>
      <c r="F152" s="7"/>
      <c r="G152" s="14"/>
      <c r="H152" s="14"/>
      <c r="I152" s="7"/>
      <c r="J152" s="14"/>
      <c r="K152" s="240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19.5" customHeight="1" x14ac:dyDescent="0.25">
      <c r="A153" s="7"/>
      <c r="B153" s="7"/>
      <c r="C153" s="7"/>
      <c r="D153" s="14"/>
      <c r="E153" s="14"/>
      <c r="F153" s="7"/>
      <c r="G153" s="14"/>
      <c r="H153" s="14"/>
      <c r="I153" s="7"/>
      <c r="J153" s="14"/>
      <c r="K153" s="240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19.5" customHeight="1" x14ac:dyDescent="0.25">
      <c r="A154" s="7"/>
      <c r="B154" s="7"/>
      <c r="C154" s="7"/>
      <c r="D154" s="14"/>
      <c r="E154" s="14"/>
      <c r="F154" s="7"/>
      <c r="G154" s="14"/>
      <c r="H154" s="14"/>
      <c r="I154" s="7"/>
      <c r="J154" s="14"/>
      <c r="K154" s="240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19.5" customHeight="1" x14ac:dyDescent="0.25">
      <c r="A155" s="7"/>
      <c r="B155" s="7"/>
      <c r="C155" s="7"/>
      <c r="D155" s="14"/>
      <c r="E155" s="14"/>
      <c r="F155" s="7"/>
      <c r="G155" s="14"/>
      <c r="H155" s="14"/>
      <c r="I155" s="7"/>
      <c r="J155" s="14"/>
      <c r="K155" s="240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19.5" customHeight="1" x14ac:dyDescent="0.25">
      <c r="A156" s="7"/>
      <c r="B156" s="7"/>
      <c r="C156" s="7"/>
      <c r="D156" s="14"/>
      <c r="E156" s="14"/>
      <c r="F156" s="7"/>
      <c r="G156" s="14"/>
      <c r="H156" s="14"/>
      <c r="I156" s="7"/>
      <c r="J156" s="14"/>
      <c r="K156" s="240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19.5" customHeight="1" x14ac:dyDescent="0.25">
      <c r="A157" s="7"/>
      <c r="B157" s="7"/>
      <c r="C157" s="7"/>
      <c r="D157" s="14"/>
      <c r="E157" s="14"/>
      <c r="F157" s="7"/>
      <c r="G157" s="14"/>
      <c r="H157" s="14"/>
      <c r="I157" s="7"/>
      <c r="J157" s="14"/>
      <c r="K157" s="240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19.5" customHeight="1" x14ac:dyDescent="0.25">
      <c r="A158" s="7"/>
      <c r="B158" s="7"/>
      <c r="C158" s="7"/>
      <c r="D158" s="14"/>
      <c r="E158" s="14"/>
      <c r="F158" s="7"/>
      <c r="G158" s="14"/>
      <c r="H158" s="14"/>
      <c r="I158" s="7"/>
      <c r="J158" s="14"/>
      <c r="K158" s="240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19.5" customHeight="1" x14ac:dyDescent="0.25">
      <c r="A159" s="7"/>
      <c r="B159" s="7"/>
      <c r="C159" s="7"/>
      <c r="D159" s="14"/>
      <c r="E159" s="14"/>
      <c r="F159" s="7"/>
      <c r="G159" s="14"/>
      <c r="H159" s="14"/>
      <c r="I159" s="7"/>
      <c r="J159" s="14"/>
      <c r="K159" s="240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19.5" customHeight="1" x14ac:dyDescent="0.25">
      <c r="A160" s="7"/>
      <c r="B160" s="7"/>
      <c r="C160" s="7"/>
      <c r="D160" s="14"/>
      <c r="E160" s="14"/>
      <c r="F160" s="7"/>
      <c r="G160" s="14"/>
      <c r="H160" s="14"/>
      <c r="I160" s="7"/>
      <c r="J160" s="14"/>
      <c r="K160" s="240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19.5" customHeight="1" x14ac:dyDescent="0.25">
      <c r="A161" s="7"/>
      <c r="B161" s="7"/>
      <c r="C161" s="7"/>
      <c r="D161" s="14"/>
      <c r="E161" s="14"/>
      <c r="F161" s="7"/>
      <c r="G161" s="14"/>
      <c r="H161" s="14"/>
      <c r="I161" s="7"/>
      <c r="J161" s="14"/>
      <c r="K161" s="240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19.5" customHeight="1" x14ac:dyDescent="0.25">
      <c r="A162" s="7"/>
      <c r="B162" s="7"/>
      <c r="C162" s="7"/>
      <c r="D162" s="14"/>
      <c r="E162" s="14"/>
      <c r="F162" s="7"/>
      <c r="G162" s="14"/>
      <c r="H162" s="14"/>
      <c r="I162" s="7"/>
      <c r="J162" s="14"/>
      <c r="K162" s="240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19.5" customHeight="1" x14ac:dyDescent="0.25">
      <c r="A163" s="7"/>
      <c r="B163" s="7"/>
      <c r="C163" s="7"/>
      <c r="D163" s="14"/>
      <c r="E163" s="14"/>
      <c r="F163" s="7"/>
      <c r="G163" s="14"/>
      <c r="H163" s="14"/>
      <c r="I163" s="7"/>
      <c r="J163" s="14"/>
      <c r="K163" s="240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19.5" customHeight="1" x14ac:dyDescent="0.25">
      <c r="A164" s="7"/>
      <c r="B164" s="7"/>
      <c r="C164" s="7"/>
      <c r="D164" s="14"/>
      <c r="E164" s="14"/>
      <c r="F164" s="7"/>
      <c r="G164" s="14"/>
      <c r="H164" s="14"/>
      <c r="I164" s="7"/>
      <c r="J164" s="14"/>
      <c r="K164" s="240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19.5" customHeight="1" x14ac:dyDescent="0.25">
      <c r="A165" s="7"/>
      <c r="B165" s="7"/>
      <c r="C165" s="7"/>
      <c r="D165" s="14"/>
      <c r="E165" s="14"/>
      <c r="F165" s="7"/>
      <c r="G165" s="14"/>
      <c r="H165" s="14"/>
      <c r="I165" s="7"/>
      <c r="J165" s="14"/>
      <c r="K165" s="240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19.5" customHeight="1" x14ac:dyDescent="0.25">
      <c r="A166" s="7"/>
      <c r="B166" s="7"/>
      <c r="C166" s="7"/>
      <c r="D166" s="14"/>
      <c r="E166" s="14"/>
      <c r="F166" s="7"/>
      <c r="G166" s="14"/>
      <c r="H166" s="14"/>
      <c r="I166" s="7"/>
      <c r="J166" s="14"/>
      <c r="K166" s="240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19.5" customHeight="1" x14ac:dyDescent="0.25">
      <c r="A167" s="7"/>
      <c r="B167" s="7"/>
      <c r="C167" s="7"/>
      <c r="D167" s="14"/>
      <c r="E167" s="14"/>
      <c r="F167" s="7"/>
      <c r="G167" s="14"/>
      <c r="H167" s="14"/>
      <c r="I167" s="7"/>
      <c r="J167" s="14"/>
      <c r="K167" s="240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19.5" customHeight="1" x14ac:dyDescent="0.25">
      <c r="A168" s="7"/>
      <c r="B168" s="7"/>
      <c r="C168" s="7"/>
      <c r="D168" s="14"/>
      <c r="E168" s="14"/>
      <c r="F168" s="7"/>
      <c r="G168" s="14"/>
      <c r="H168" s="14"/>
      <c r="I168" s="7"/>
      <c r="J168" s="14"/>
      <c r="K168" s="240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19.5" customHeight="1" x14ac:dyDescent="0.25">
      <c r="A169" s="7"/>
      <c r="B169" s="7"/>
      <c r="C169" s="7"/>
      <c r="D169" s="14"/>
      <c r="E169" s="14"/>
      <c r="F169" s="7"/>
      <c r="G169" s="14"/>
      <c r="H169" s="14"/>
      <c r="I169" s="7"/>
      <c r="J169" s="14"/>
      <c r="K169" s="240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19.5" customHeight="1" x14ac:dyDescent="0.25">
      <c r="A170" s="7"/>
      <c r="B170" s="7"/>
      <c r="C170" s="7"/>
      <c r="D170" s="14"/>
      <c r="E170" s="14"/>
      <c r="F170" s="7"/>
      <c r="G170" s="14"/>
      <c r="H170" s="14"/>
      <c r="I170" s="7"/>
      <c r="J170" s="14"/>
      <c r="K170" s="240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19.5" customHeight="1" x14ac:dyDescent="0.25">
      <c r="A171" s="7"/>
      <c r="B171" s="7"/>
      <c r="C171" s="7"/>
      <c r="D171" s="14"/>
      <c r="E171" s="14"/>
      <c r="F171" s="7"/>
      <c r="G171" s="14"/>
      <c r="H171" s="14"/>
      <c r="I171" s="7"/>
      <c r="J171" s="14"/>
      <c r="K171" s="240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19.5" customHeight="1" x14ac:dyDescent="0.25">
      <c r="A172" s="7"/>
      <c r="B172" s="7"/>
      <c r="C172" s="7"/>
      <c r="D172" s="14"/>
      <c r="E172" s="14"/>
      <c r="F172" s="7"/>
      <c r="G172" s="14"/>
      <c r="H172" s="14"/>
      <c r="I172" s="7"/>
      <c r="J172" s="14"/>
      <c r="K172" s="240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19.5" customHeight="1" x14ac:dyDescent="0.25">
      <c r="A173" s="7"/>
      <c r="B173" s="7"/>
      <c r="C173" s="7"/>
      <c r="D173" s="14"/>
      <c r="E173" s="14"/>
      <c r="F173" s="7"/>
      <c r="G173" s="14"/>
      <c r="H173" s="14"/>
      <c r="I173" s="7"/>
      <c r="J173" s="14"/>
      <c r="K173" s="240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19.5" customHeight="1" x14ac:dyDescent="0.25">
      <c r="A174" s="7"/>
      <c r="B174" s="7"/>
      <c r="C174" s="7"/>
      <c r="D174" s="14"/>
      <c r="E174" s="14"/>
      <c r="F174" s="7"/>
      <c r="G174" s="14"/>
      <c r="H174" s="14"/>
      <c r="I174" s="7"/>
      <c r="J174" s="14"/>
      <c r="K174" s="240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19.5" customHeight="1" x14ac:dyDescent="0.25">
      <c r="A175" s="7"/>
      <c r="B175" s="7"/>
      <c r="C175" s="7"/>
      <c r="D175" s="14"/>
      <c r="E175" s="14"/>
      <c r="F175" s="7"/>
      <c r="G175" s="14"/>
      <c r="H175" s="14"/>
      <c r="I175" s="7"/>
      <c r="J175" s="14"/>
      <c r="K175" s="240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19.5" customHeight="1" x14ac:dyDescent="0.25">
      <c r="A176" s="7"/>
      <c r="B176" s="7"/>
      <c r="C176" s="7"/>
      <c r="D176" s="14"/>
      <c r="E176" s="14"/>
      <c r="F176" s="7"/>
      <c r="G176" s="14"/>
      <c r="H176" s="14"/>
      <c r="I176" s="7"/>
      <c r="J176" s="14"/>
      <c r="K176" s="240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19.5" customHeight="1" x14ac:dyDescent="0.25">
      <c r="A177" s="7"/>
      <c r="B177" s="7"/>
      <c r="C177" s="7"/>
      <c r="D177" s="14"/>
      <c r="E177" s="14"/>
      <c r="F177" s="7"/>
      <c r="G177" s="14"/>
      <c r="H177" s="14"/>
      <c r="I177" s="7"/>
      <c r="J177" s="14"/>
      <c r="K177" s="240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19.5" customHeight="1" x14ac:dyDescent="0.25">
      <c r="A178" s="7"/>
      <c r="B178" s="7"/>
      <c r="C178" s="7"/>
      <c r="D178" s="14"/>
      <c r="E178" s="14"/>
      <c r="F178" s="7"/>
      <c r="G178" s="14"/>
      <c r="H178" s="14"/>
      <c r="I178" s="7"/>
      <c r="J178" s="14"/>
      <c r="K178" s="240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19.5" customHeight="1" x14ac:dyDescent="0.25">
      <c r="A179" s="7"/>
      <c r="B179" s="7"/>
      <c r="C179" s="7"/>
      <c r="D179" s="14"/>
      <c r="E179" s="14"/>
      <c r="F179" s="7"/>
      <c r="G179" s="14"/>
      <c r="H179" s="14"/>
      <c r="I179" s="7"/>
      <c r="J179" s="14"/>
      <c r="K179" s="240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19.5" customHeight="1" x14ac:dyDescent="0.25">
      <c r="A180" s="7"/>
      <c r="B180" s="7"/>
      <c r="C180" s="7"/>
      <c r="D180" s="14"/>
      <c r="E180" s="14"/>
      <c r="F180" s="7"/>
      <c r="G180" s="14"/>
      <c r="H180" s="14"/>
      <c r="I180" s="7"/>
      <c r="J180" s="14"/>
      <c r="K180" s="240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19.5" customHeight="1" x14ac:dyDescent="0.25">
      <c r="A181" s="7"/>
      <c r="B181" s="7"/>
      <c r="C181" s="7"/>
      <c r="D181" s="14"/>
      <c r="E181" s="14"/>
      <c r="F181" s="7"/>
      <c r="G181" s="14"/>
      <c r="H181" s="14"/>
      <c r="I181" s="7"/>
      <c r="J181" s="14"/>
      <c r="K181" s="240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19.5" customHeight="1" x14ac:dyDescent="0.25">
      <c r="A182" s="7"/>
      <c r="B182" s="7"/>
      <c r="C182" s="7"/>
      <c r="D182" s="14"/>
      <c r="E182" s="14"/>
      <c r="F182" s="7"/>
      <c r="G182" s="14"/>
      <c r="H182" s="14"/>
      <c r="I182" s="7"/>
      <c r="J182" s="14"/>
      <c r="K182" s="240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19.5" customHeight="1" x14ac:dyDescent="0.25">
      <c r="A183" s="7"/>
      <c r="B183" s="7"/>
      <c r="C183" s="7"/>
      <c r="D183" s="14"/>
      <c r="E183" s="14"/>
      <c r="F183" s="7"/>
      <c r="G183" s="14"/>
      <c r="H183" s="14"/>
      <c r="I183" s="7"/>
      <c r="J183" s="14"/>
      <c r="K183" s="240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19.5" customHeight="1" x14ac:dyDescent="0.25">
      <c r="A184" s="7"/>
      <c r="B184" s="7"/>
      <c r="C184" s="7"/>
      <c r="D184" s="14"/>
      <c r="E184" s="14"/>
      <c r="F184" s="7"/>
      <c r="G184" s="14"/>
      <c r="H184" s="14"/>
      <c r="I184" s="7"/>
      <c r="J184" s="14"/>
      <c r="K184" s="240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19.5" customHeight="1" x14ac:dyDescent="0.25">
      <c r="A185" s="7"/>
      <c r="B185" s="7"/>
      <c r="C185" s="7"/>
      <c r="D185" s="14"/>
      <c r="E185" s="14"/>
      <c r="F185" s="7"/>
      <c r="G185" s="14"/>
      <c r="H185" s="14"/>
      <c r="I185" s="7"/>
      <c r="J185" s="14"/>
      <c r="K185" s="240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19.5" customHeight="1" x14ac:dyDescent="0.25">
      <c r="A186" s="7"/>
      <c r="B186" s="7"/>
      <c r="C186" s="7"/>
      <c r="D186" s="14"/>
      <c r="E186" s="14"/>
      <c r="F186" s="7"/>
      <c r="G186" s="14"/>
      <c r="H186" s="14"/>
      <c r="I186" s="7"/>
      <c r="J186" s="14"/>
      <c r="K186" s="240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19.5" customHeight="1" x14ac:dyDescent="0.25">
      <c r="A187" s="7"/>
      <c r="B187" s="7"/>
      <c r="C187" s="7"/>
      <c r="D187" s="14"/>
      <c r="E187" s="14"/>
      <c r="F187" s="7"/>
      <c r="G187" s="14"/>
      <c r="H187" s="14"/>
      <c r="I187" s="7"/>
      <c r="J187" s="14"/>
      <c r="K187" s="240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19.5" customHeight="1" x14ac:dyDescent="0.25">
      <c r="A188" s="7"/>
      <c r="B188" s="7"/>
      <c r="C188" s="7"/>
      <c r="D188" s="14"/>
      <c r="E188" s="14"/>
      <c r="F188" s="7"/>
      <c r="G188" s="14"/>
      <c r="H188" s="14"/>
      <c r="I188" s="7"/>
      <c r="J188" s="14"/>
      <c r="K188" s="240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19.5" customHeight="1" x14ac:dyDescent="0.25">
      <c r="A189" s="7"/>
      <c r="B189" s="7"/>
      <c r="C189" s="7"/>
      <c r="D189" s="14"/>
      <c r="E189" s="14"/>
      <c r="F189" s="7"/>
      <c r="G189" s="14"/>
      <c r="H189" s="14"/>
      <c r="I189" s="7"/>
      <c r="J189" s="14"/>
      <c r="K189" s="240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19.5" customHeight="1" x14ac:dyDescent="0.25">
      <c r="A190" s="7"/>
      <c r="B190" s="7"/>
      <c r="C190" s="7"/>
      <c r="D190" s="14"/>
      <c r="E190" s="14"/>
      <c r="F190" s="7"/>
      <c r="G190" s="14"/>
      <c r="H190" s="14"/>
      <c r="I190" s="7"/>
      <c r="J190" s="14"/>
      <c r="K190" s="240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19.5" customHeight="1" x14ac:dyDescent="0.25">
      <c r="A191" s="7"/>
      <c r="B191" s="7"/>
      <c r="C191" s="7"/>
      <c r="D191" s="14"/>
      <c r="E191" s="14"/>
      <c r="F191" s="7"/>
      <c r="G191" s="14"/>
      <c r="H191" s="14"/>
      <c r="I191" s="7"/>
      <c r="J191" s="14"/>
      <c r="K191" s="240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19.5" customHeight="1" x14ac:dyDescent="0.25">
      <c r="A192" s="7"/>
      <c r="B192" s="7"/>
      <c r="C192" s="7"/>
      <c r="D192" s="14"/>
      <c r="E192" s="14"/>
      <c r="F192" s="7"/>
      <c r="G192" s="14"/>
      <c r="H192" s="14"/>
      <c r="I192" s="7"/>
      <c r="J192" s="14"/>
      <c r="K192" s="240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19.5" customHeight="1" x14ac:dyDescent="0.25">
      <c r="A193" s="7"/>
      <c r="B193" s="7"/>
      <c r="C193" s="7"/>
      <c r="D193" s="14"/>
      <c r="E193" s="14"/>
      <c r="F193" s="7"/>
      <c r="G193" s="14"/>
      <c r="H193" s="14"/>
      <c r="I193" s="7"/>
      <c r="J193" s="14"/>
      <c r="K193" s="240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19.5" customHeight="1" x14ac:dyDescent="0.25">
      <c r="A194" s="7"/>
      <c r="B194" s="7"/>
      <c r="C194" s="7"/>
      <c r="D194" s="14"/>
      <c r="E194" s="14"/>
      <c r="F194" s="7"/>
      <c r="G194" s="14"/>
      <c r="H194" s="14"/>
      <c r="I194" s="7"/>
      <c r="J194" s="14"/>
      <c r="K194" s="240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19.5" customHeight="1" x14ac:dyDescent="0.25">
      <c r="A195" s="7"/>
      <c r="B195" s="7"/>
      <c r="C195" s="7"/>
      <c r="D195" s="14"/>
      <c r="E195" s="14"/>
      <c r="F195" s="7"/>
      <c r="G195" s="14"/>
      <c r="H195" s="14"/>
      <c r="I195" s="7"/>
      <c r="J195" s="14"/>
      <c r="K195" s="240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19.5" customHeight="1" x14ac:dyDescent="0.25">
      <c r="A196" s="7"/>
      <c r="B196" s="7"/>
      <c r="C196" s="7"/>
      <c r="D196" s="14"/>
      <c r="E196" s="14"/>
      <c r="F196" s="7"/>
      <c r="G196" s="14"/>
      <c r="H196" s="14"/>
      <c r="I196" s="7"/>
      <c r="J196" s="14"/>
      <c r="K196" s="240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19.5" customHeight="1" x14ac:dyDescent="0.25">
      <c r="A197" s="7"/>
      <c r="B197" s="7"/>
      <c r="C197" s="7"/>
      <c r="D197" s="14"/>
      <c r="E197" s="14"/>
      <c r="F197" s="7"/>
      <c r="G197" s="14"/>
      <c r="H197" s="14"/>
      <c r="I197" s="7"/>
      <c r="J197" s="14"/>
      <c r="K197" s="240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19.5" customHeight="1" x14ac:dyDescent="0.25">
      <c r="A198" s="7"/>
      <c r="B198" s="7"/>
      <c r="C198" s="7"/>
      <c r="D198" s="14"/>
      <c r="E198" s="14"/>
      <c r="F198" s="7"/>
      <c r="G198" s="14"/>
      <c r="H198" s="14"/>
      <c r="I198" s="7"/>
      <c r="J198" s="14"/>
      <c r="K198" s="240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19.5" customHeight="1" x14ac:dyDescent="0.25">
      <c r="A199" s="7"/>
      <c r="B199" s="7"/>
      <c r="C199" s="7"/>
      <c r="D199" s="14"/>
      <c r="E199" s="14"/>
      <c r="F199" s="7"/>
      <c r="G199" s="14"/>
      <c r="H199" s="14"/>
      <c r="I199" s="7"/>
      <c r="J199" s="14"/>
      <c r="K199" s="240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19.5" customHeight="1" x14ac:dyDescent="0.25">
      <c r="A200" s="7"/>
      <c r="B200" s="7"/>
      <c r="C200" s="7"/>
      <c r="D200" s="14"/>
      <c r="E200" s="14"/>
      <c r="F200" s="7"/>
      <c r="G200" s="14"/>
      <c r="H200" s="14"/>
      <c r="I200" s="7"/>
      <c r="J200" s="14"/>
      <c r="K200" s="240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19.5" customHeight="1" x14ac:dyDescent="0.25">
      <c r="A201" s="7"/>
      <c r="B201" s="7"/>
      <c r="C201" s="7"/>
      <c r="D201" s="14"/>
      <c r="E201" s="14"/>
      <c r="F201" s="7"/>
      <c r="G201" s="14"/>
      <c r="H201" s="14"/>
      <c r="I201" s="7"/>
      <c r="J201" s="14"/>
      <c r="K201" s="240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19.5" customHeight="1" x14ac:dyDescent="0.25">
      <c r="A202" s="7"/>
      <c r="B202" s="7"/>
      <c r="C202" s="7"/>
      <c r="D202" s="14"/>
      <c r="E202" s="14"/>
      <c r="F202" s="7"/>
      <c r="G202" s="14"/>
      <c r="H202" s="14"/>
      <c r="I202" s="7"/>
      <c r="J202" s="14"/>
      <c r="K202" s="240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19.5" customHeight="1" x14ac:dyDescent="0.25">
      <c r="A203" s="7"/>
      <c r="B203" s="7"/>
      <c r="C203" s="7"/>
      <c r="D203" s="14"/>
      <c r="E203" s="14"/>
      <c r="F203" s="7"/>
      <c r="G203" s="14"/>
      <c r="H203" s="14"/>
      <c r="I203" s="7"/>
      <c r="J203" s="14"/>
      <c r="K203" s="240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19.5" customHeight="1" x14ac:dyDescent="0.25">
      <c r="A204" s="7"/>
      <c r="B204" s="7"/>
      <c r="C204" s="7"/>
      <c r="D204" s="14"/>
      <c r="E204" s="14"/>
      <c r="F204" s="7"/>
      <c r="G204" s="14"/>
      <c r="H204" s="14"/>
      <c r="I204" s="7"/>
      <c r="J204" s="14"/>
      <c r="K204" s="240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19.5" customHeight="1" x14ac:dyDescent="0.25">
      <c r="A205" s="7"/>
      <c r="B205" s="7"/>
      <c r="C205" s="7"/>
      <c r="D205" s="14"/>
      <c r="E205" s="14"/>
      <c r="F205" s="7"/>
      <c r="G205" s="14"/>
      <c r="H205" s="14"/>
      <c r="I205" s="7"/>
      <c r="J205" s="14"/>
      <c r="K205" s="240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19.5" customHeight="1" x14ac:dyDescent="0.25">
      <c r="A206" s="7"/>
      <c r="B206" s="7"/>
      <c r="C206" s="7"/>
      <c r="D206" s="14"/>
      <c r="E206" s="14"/>
      <c r="F206" s="7"/>
      <c r="G206" s="14"/>
      <c r="H206" s="14"/>
      <c r="I206" s="7"/>
      <c r="J206" s="14"/>
      <c r="K206" s="240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19.5" customHeight="1" x14ac:dyDescent="0.25">
      <c r="A207" s="7"/>
      <c r="B207" s="7"/>
      <c r="C207" s="7"/>
      <c r="D207" s="14"/>
      <c r="E207" s="14"/>
      <c r="F207" s="7"/>
      <c r="G207" s="14"/>
      <c r="H207" s="14"/>
      <c r="I207" s="7"/>
      <c r="J207" s="14"/>
      <c r="K207" s="240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19.5" customHeight="1" x14ac:dyDescent="0.25">
      <c r="A208" s="7"/>
      <c r="B208" s="7"/>
      <c r="C208" s="7"/>
      <c r="D208" s="14"/>
      <c r="E208" s="14"/>
      <c r="F208" s="7"/>
      <c r="G208" s="14"/>
      <c r="H208" s="14"/>
      <c r="I208" s="7"/>
      <c r="J208" s="14"/>
      <c r="K208" s="240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19.5" customHeight="1" x14ac:dyDescent="0.25">
      <c r="A209" s="7"/>
      <c r="B209" s="7"/>
      <c r="C209" s="7"/>
      <c r="D209" s="14"/>
      <c r="E209" s="14"/>
      <c r="F209" s="7"/>
      <c r="G209" s="14"/>
      <c r="H209" s="14"/>
      <c r="I209" s="7"/>
      <c r="J209" s="14"/>
      <c r="K209" s="240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19.5" customHeight="1" x14ac:dyDescent="0.25">
      <c r="A210" s="7"/>
      <c r="B210" s="7"/>
      <c r="C210" s="7"/>
      <c r="D210" s="14"/>
      <c r="E210" s="14"/>
      <c r="F210" s="7"/>
      <c r="G210" s="14"/>
      <c r="H210" s="14"/>
      <c r="I210" s="7"/>
      <c r="J210" s="14"/>
      <c r="K210" s="240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19.5" customHeight="1" x14ac:dyDescent="0.25">
      <c r="A211" s="7"/>
      <c r="B211" s="7"/>
      <c r="C211" s="7"/>
      <c r="D211" s="14"/>
      <c r="E211" s="14"/>
      <c r="F211" s="7"/>
      <c r="G211" s="14"/>
      <c r="H211" s="14"/>
      <c r="I211" s="7"/>
      <c r="J211" s="14"/>
      <c r="K211" s="240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19.5" customHeight="1" x14ac:dyDescent="0.25">
      <c r="A212" s="7"/>
      <c r="B212" s="7"/>
      <c r="C212" s="7"/>
      <c r="D212" s="14"/>
      <c r="E212" s="14"/>
      <c r="F212" s="7"/>
      <c r="G212" s="14"/>
      <c r="H212" s="14"/>
      <c r="I212" s="7"/>
      <c r="J212" s="14"/>
      <c r="K212" s="240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19.5" customHeight="1" x14ac:dyDescent="0.25">
      <c r="A213" s="7"/>
      <c r="B213" s="7"/>
      <c r="C213" s="7"/>
      <c r="D213" s="14"/>
      <c r="E213" s="14"/>
      <c r="F213" s="7"/>
      <c r="G213" s="14"/>
      <c r="H213" s="14"/>
      <c r="I213" s="7"/>
      <c r="J213" s="14"/>
      <c r="K213" s="240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19.5" customHeight="1" x14ac:dyDescent="0.25">
      <c r="A214" s="7"/>
      <c r="B214" s="7"/>
      <c r="C214" s="7"/>
      <c r="D214" s="14"/>
      <c r="E214" s="14"/>
      <c r="F214" s="7"/>
      <c r="G214" s="14"/>
      <c r="H214" s="14"/>
      <c r="I214" s="7"/>
      <c r="J214" s="14"/>
      <c r="K214" s="240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19.5" customHeight="1" x14ac:dyDescent="0.25">
      <c r="A215" s="7"/>
      <c r="B215" s="7"/>
      <c r="C215" s="7"/>
      <c r="D215" s="14"/>
      <c r="E215" s="14"/>
      <c r="F215" s="7"/>
      <c r="G215" s="14"/>
      <c r="H215" s="14"/>
      <c r="I215" s="7"/>
      <c r="J215" s="14"/>
      <c r="K215" s="240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19.5" customHeight="1" x14ac:dyDescent="0.25">
      <c r="A216" s="7"/>
      <c r="B216" s="7"/>
      <c r="C216" s="7"/>
      <c r="D216" s="14"/>
      <c r="E216" s="14"/>
      <c r="F216" s="7"/>
      <c r="G216" s="14"/>
      <c r="H216" s="14"/>
      <c r="I216" s="7"/>
      <c r="J216" s="14"/>
      <c r="K216" s="240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19.5" customHeight="1" x14ac:dyDescent="0.25">
      <c r="A217" s="7"/>
      <c r="B217" s="7"/>
      <c r="C217" s="7"/>
      <c r="D217" s="14"/>
      <c r="E217" s="14"/>
      <c r="F217" s="7"/>
      <c r="G217" s="14"/>
      <c r="H217" s="14"/>
      <c r="I217" s="7"/>
      <c r="J217" s="14"/>
      <c r="K217" s="240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19.5" customHeight="1" x14ac:dyDescent="0.25">
      <c r="A218" s="7"/>
      <c r="B218" s="7"/>
      <c r="C218" s="7"/>
      <c r="D218" s="14"/>
      <c r="E218" s="14"/>
      <c r="F218" s="7"/>
      <c r="G218" s="14"/>
      <c r="H218" s="14"/>
      <c r="I218" s="7"/>
      <c r="J218" s="14"/>
      <c r="K218" s="240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19.5" customHeight="1" x14ac:dyDescent="0.25">
      <c r="A219" s="7"/>
      <c r="B219" s="7"/>
      <c r="C219" s="7"/>
      <c r="D219" s="14"/>
      <c r="E219" s="14"/>
      <c r="F219" s="7"/>
      <c r="G219" s="14"/>
      <c r="H219" s="14"/>
      <c r="I219" s="7"/>
      <c r="J219" s="14"/>
      <c r="K219" s="240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19.5" customHeight="1" x14ac:dyDescent="0.25">
      <c r="A220" s="7"/>
      <c r="B220" s="7"/>
      <c r="C220" s="7"/>
      <c r="D220" s="14"/>
      <c r="E220" s="14"/>
      <c r="F220" s="7"/>
      <c r="G220" s="14"/>
      <c r="H220" s="14"/>
      <c r="I220" s="7"/>
      <c r="J220" s="14"/>
      <c r="K220" s="240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19.5" customHeight="1" x14ac:dyDescent="0.25">
      <c r="A221" s="7"/>
      <c r="B221" s="7"/>
      <c r="C221" s="7"/>
      <c r="D221" s="14"/>
      <c r="E221" s="14"/>
      <c r="F221" s="7"/>
      <c r="G221" s="14"/>
      <c r="H221" s="14"/>
      <c r="I221" s="7"/>
      <c r="J221" s="14"/>
      <c r="K221" s="240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ht="19.5" customHeight="1" x14ac:dyDescent="0.25">
      <c r="A222" s="7"/>
      <c r="B222" s="7"/>
      <c r="C222" s="7"/>
      <c r="D222" s="14"/>
      <c r="E222" s="14"/>
      <c r="F222" s="7"/>
      <c r="G222" s="14"/>
      <c r="H222" s="14"/>
      <c r="I222" s="7"/>
      <c r="J222" s="14"/>
      <c r="K222" s="240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ht="19.5" customHeight="1" x14ac:dyDescent="0.25">
      <c r="A223" s="7"/>
      <c r="B223" s="7"/>
      <c r="C223" s="7"/>
      <c r="D223" s="14"/>
      <c r="E223" s="14"/>
      <c r="F223" s="7"/>
      <c r="G223" s="14"/>
      <c r="H223" s="14"/>
      <c r="I223" s="7"/>
      <c r="J223" s="14"/>
      <c r="K223" s="240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ht="19.5" customHeight="1" x14ac:dyDescent="0.25">
      <c r="A224" s="7"/>
      <c r="B224" s="7"/>
      <c r="C224" s="7"/>
      <c r="D224" s="14"/>
      <c r="E224" s="14"/>
      <c r="F224" s="7"/>
      <c r="G224" s="14"/>
      <c r="H224" s="14"/>
      <c r="I224" s="7"/>
      <c r="J224" s="14"/>
      <c r="K224" s="240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ht="19.5" customHeight="1" x14ac:dyDescent="0.25">
      <c r="A225" s="7"/>
      <c r="B225" s="7"/>
      <c r="C225" s="7"/>
      <c r="D225" s="14"/>
      <c r="E225" s="14"/>
      <c r="F225" s="7"/>
      <c r="G225" s="14"/>
      <c r="H225" s="14"/>
      <c r="I225" s="7"/>
      <c r="J225" s="14"/>
      <c r="K225" s="240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ht="19.5" customHeight="1" x14ac:dyDescent="0.25">
      <c r="A226" s="7"/>
      <c r="B226" s="7"/>
      <c r="C226" s="7"/>
      <c r="D226" s="14"/>
      <c r="E226" s="14"/>
      <c r="F226" s="7"/>
      <c r="G226" s="14"/>
      <c r="H226" s="14"/>
      <c r="I226" s="7"/>
      <c r="J226" s="14"/>
      <c r="K226" s="240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ht="19.5" customHeight="1" x14ac:dyDescent="0.25">
      <c r="A227" s="7"/>
      <c r="B227" s="7"/>
      <c r="C227" s="7"/>
      <c r="D227" s="14"/>
      <c r="E227" s="14"/>
      <c r="F227" s="7"/>
      <c r="G227" s="14"/>
      <c r="H227" s="14"/>
      <c r="I227" s="7"/>
      <c r="J227" s="14"/>
      <c r="K227" s="240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ht="19.5" customHeight="1" x14ac:dyDescent="0.25">
      <c r="A228" s="7"/>
      <c r="B228" s="7"/>
      <c r="C228" s="7"/>
      <c r="D228" s="14"/>
      <c r="E228" s="14"/>
      <c r="F228" s="7"/>
      <c r="G228" s="14"/>
      <c r="H228" s="14"/>
      <c r="I228" s="7"/>
      <c r="J228" s="14"/>
      <c r="K228" s="240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ht="19.5" customHeight="1" x14ac:dyDescent="0.25">
      <c r="A229" s="7"/>
      <c r="B229" s="7"/>
      <c r="C229" s="7"/>
      <c r="D229" s="14"/>
      <c r="E229" s="14"/>
      <c r="F229" s="7"/>
      <c r="G229" s="14"/>
      <c r="H229" s="14"/>
      <c r="I229" s="7"/>
      <c r="J229" s="14"/>
      <c r="K229" s="240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ht="19.5" customHeight="1" x14ac:dyDescent="0.25">
      <c r="A230" s="7"/>
      <c r="B230" s="7"/>
      <c r="C230" s="7"/>
      <c r="D230" s="14"/>
      <c r="E230" s="14"/>
      <c r="F230" s="7"/>
      <c r="G230" s="14"/>
      <c r="H230" s="14"/>
      <c r="I230" s="7"/>
      <c r="J230" s="14"/>
      <c r="K230" s="240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ht="19.5" customHeight="1" x14ac:dyDescent="0.25">
      <c r="A231" s="7"/>
      <c r="B231" s="7"/>
      <c r="C231" s="7"/>
      <c r="D231" s="14"/>
      <c r="E231" s="14"/>
      <c r="F231" s="7"/>
      <c r="G231" s="14"/>
      <c r="H231" s="14"/>
      <c r="I231" s="7"/>
      <c r="J231" s="14"/>
      <c r="K231" s="240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ht="19.5" customHeight="1" x14ac:dyDescent="0.25">
      <c r="A232" s="7"/>
      <c r="B232" s="7"/>
      <c r="C232" s="7"/>
      <c r="D232" s="14"/>
      <c r="E232" s="14"/>
      <c r="F232" s="7"/>
      <c r="G232" s="14"/>
      <c r="H232" s="14"/>
      <c r="I232" s="7"/>
      <c r="J232" s="14"/>
      <c r="K232" s="240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ht="19.5" customHeight="1" x14ac:dyDescent="0.25">
      <c r="A233" s="7"/>
      <c r="B233" s="7"/>
      <c r="C233" s="7"/>
      <c r="D233" s="14"/>
      <c r="E233" s="14"/>
      <c r="F233" s="7"/>
      <c r="G233" s="14"/>
      <c r="H233" s="14"/>
      <c r="I233" s="7"/>
      <c r="J233" s="14"/>
      <c r="K233" s="240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ht="19.5" customHeight="1" x14ac:dyDescent="0.25">
      <c r="A234" s="7"/>
      <c r="B234" s="7"/>
      <c r="C234" s="7"/>
      <c r="D234" s="14"/>
      <c r="E234" s="14"/>
      <c r="F234" s="7"/>
      <c r="G234" s="14"/>
      <c r="H234" s="14"/>
      <c r="I234" s="7"/>
      <c r="J234" s="14"/>
      <c r="K234" s="240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ht="19.5" customHeight="1" x14ac:dyDescent="0.25">
      <c r="A235" s="7"/>
      <c r="B235" s="7"/>
      <c r="C235" s="7"/>
      <c r="D235" s="14"/>
      <c r="E235" s="14"/>
      <c r="F235" s="7"/>
      <c r="G235" s="14"/>
      <c r="H235" s="14"/>
      <c r="I235" s="7"/>
      <c r="J235" s="14"/>
      <c r="K235" s="240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ht="19.5" customHeight="1" x14ac:dyDescent="0.25">
      <c r="A236" s="7"/>
      <c r="B236" s="7"/>
      <c r="C236" s="7"/>
      <c r="D236" s="14"/>
      <c r="E236" s="14"/>
      <c r="F236" s="7"/>
      <c r="G236" s="14"/>
      <c r="H236" s="14"/>
      <c r="I236" s="7"/>
      <c r="J236" s="14"/>
      <c r="K236" s="240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ht="19.5" customHeight="1" x14ac:dyDescent="0.25">
      <c r="A237" s="7"/>
      <c r="B237" s="7"/>
      <c r="C237" s="7"/>
      <c r="D237" s="14"/>
      <c r="E237" s="14"/>
      <c r="F237" s="7"/>
      <c r="G237" s="14"/>
      <c r="H237" s="14"/>
      <c r="I237" s="7"/>
      <c r="J237" s="14"/>
      <c r="K237" s="240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ht="19.5" customHeight="1" x14ac:dyDescent="0.25">
      <c r="A238" s="7"/>
      <c r="B238" s="7"/>
      <c r="C238" s="7"/>
      <c r="D238" s="14"/>
      <c r="E238" s="14"/>
      <c r="F238" s="7"/>
      <c r="G238" s="14"/>
      <c r="H238" s="14"/>
      <c r="I238" s="7"/>
      <c r="J238" s="14"/>
      <c r="K238" s="240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ht="19.5" customHeight="1" x14ac:dyDescent="0.25">
      <c r="A239" s="7"/>
      <c r="B239" s="7"/>
      <c r="C239" s="7"/>
      <c r="D239" s="14"/>
      <c r="E239" s="14"/>
      <c r="F239" s="7"/>
      <c r="G239" s="14"/>
      <c r="H239" s="14"/>
      <c r="I239" s="7"/>
      <c r="J239" s="14"/>
      <c r="K239" s="240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ht="19.5" customHeight="1" x14ac:dyDescent="0.25">
      <c r="A240" s="7"/>
      <c r="B240" s="7"/>
      <c r="C240" s="7"/>
      <c r="D240" s="14"/>
      <c r="E240" s="14"/>
      <c r="F240" s="7"/>
      <c r="G240" s="14"/>
      <c r="H240" s="14"/>
      <c r="I240" s="7"/>
      <c r="J240" s="14"/>
      <c r="K240" s="240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ht="19.5" customHeight="1" x14ac:dyDescent="0.25">
      <c r="A241" s="7"/>
      <c r="B241" s="7"/>
      <c r="C241" s="7"/>
      <c r="D241" s="14"/>
      <c r="E241" s="14"/>
      <c r="F241" s="7"/>
      <c r="G241" s="14"/>
      <c r="H241" s="14"/>
      <c r="I241" s="7"/>
      <c r="J241" s="14"/>
      <c r="K241" s="240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ht="19.5" customHeight="1" x14ac:dyDescent="0.25">
      <c r="A242" s="7"/>
      <c r="B242" s="7"/>
      <c r="C242" s="7"/>
      <c r="D242" s="14"/>
      <c r="E242" s="14"/>
      <c r="F242" s="7"/>
      <c r="G242" s="14"/>
      <c r="H242" s="14"/>
      <c r="I242" s="7"/>
      <c r="J242" s="14"/>
      <c r="K242" s="240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ht="19.5" customHeight="1" x14ac:dyDescent="0.25">
      <c r="A243" s="7"/>
      <c r="B243" s="7"/>
      <c r="C243" s="7"/>
      <c r="D243" s="14"/>
      <c r="E243" s="14"/>
      <c r="F243" s="7"/>
      <c r="G243" s="14"/>
      <c r="H243" s="14"/>
      <c r="I243" s="7"/>
      <c r="J243" s="14"/>
      <c r="K243" s="240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ht="19.5" customHeight="1" x14ac:dyDescent="0.25">
      <c r="A244" s="7"/>
      <c r="B244" s="7"/>
      <c r="C244" s="7"/>
      <c r="D244" s="14"/>
      <c r="E244" s="14"/>
      <c r="F244" s="7"/>
      <c r="G244" s="14"/>
      <c r="H244" s="14"/>
      <c r="I244" s="7"/>
      <c r="J244" s="14"/>
      <c r="K244" s="240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ht="19.5" customHeight="1" x14ac:dyDescent="0.25">
      <c r="A245" s="7"/>
      <c r="B245" s="7"/>
      <c r="C245" s="7"/>
      <c r="D245" s="14"/>
      <c r="E245" s="14"/>
      <c r="F245" s="7"/>
      <c r="G245" s="14"/>
      <c r="H245" s="14"/>
      <c r="I245" s="7"/>
      <c r="J245" s="14"/>
      <c r="K245" s="240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ht="19.5" customHeight="1" x14ac:dyDescent="0.25">
      <c r="A246" s="7"/>
      <c r="B246" s="7"/>
      <c r="C246" s="7"/>
      <c r="D246" s="14"/>
      <c r="E246" s="14"/>
      <c r="F246" s="7"/>
      <c r="G246" s="14"/>
      <c r="H246" s="14"/>
      <c r="I246" s="7"/>
      <c r="J246" s="14"/>
      <c r="K246" s="240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ht="19.5" customHeight="1" x14ac:dyDescent="0.25">
      <c r="A247" s="7"/>
      <c r="B247" s="7"/>
      <c r="C247" s="7"/>
      <c r="D247" s="14"/>
      <c r="E247" s="14"/>
      <c r="F247" s="7"/>
      <c r="G247" s="14"/>
      <c r="H247" s="14"/>
      <c r="I247" s="7"/>
      <c r="J247" s="14"/>
      <c r="K247" s="240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ht="19.5" customHeight="1" x14ac:dyDescent="0.25">
      <c r="A248" s="7"/>
      <c r="B248" s="7"/>
      <c r="C248" s="7"/>
      <c r="D248" s="14"/>
      <c r="E248" s="14"/>
      <c r="F248" s="7"/>
      <c r="G248" s="14"/>
      <c r="H248" s="14"/>
      <c r="I248" s="7"/>
      <c r="J248" s="14"/>
      <c r="K248" s="240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ht="19.5" customHeight="1" x14ac:dyDescent="0.25">
      <c r="A249" s="7"/>
      <c r="B249" s="7"/>
      <c r="C249" s="7"/>
      <c r="D249" s="14"/>
      <c r="E249" s="14"/>
      <c r="F249" s="7"/>
      <c r="G249" s="14"/>
      <c r="H249" s="14"/>
      <c r="I249" s="7"/>
      <c r="J249" s="14"/>
      <c r="K249" s="240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ht="19.5" customHeight="1" x14ac:dyDescent="0.25">
      <c r="A250" s="7"/>
      <c r="B250" s="7"/>
      <c r="C250" s="7"/>
      <c r="D250" s="14"/>
      <c r="E250" s="14"/>
      <c r="F250" s="7"/>
      <c r="G250" s="14"/>
      <c r="H250" s="14"/>
      <c r="I250" s="7"/>
      <c r="J250" s="14"/>
      <c r="K250" s="240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ht="19.5" customHeight="1" x14ac:dyDescent="0.25">
      <c r="A251" s="7"/>
      <c r="B251" s="7"/>
      <c r="C251" s="7"/>
      <c r="D251" s="14"/>
      <c r="E251" s="14"/>
      <c r="F251" s="7"/>
      <c r="G251" s="14"/>
      <c r="H251" s="14"/>
      <c r="I251" s="7"/>
      <c r="J251" s="14"/>
      <c r="K251" s="240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ht="19.5" customHeight="1" x14ac:dyDescent="0.25">
      <c r="A252" s="7"/>
      <c r="B252" s="7"/>
      <c r="C252" s="7"/>
      <c r="D252" s="14"/>
      <c r="E252" s="14"/>
      <c r="F252" s="7"/>
      <c r="G252" s="14"/>
      <c r="H252" s="14"/>
      <c r="I252" s="7"/>
      <c r="J252" s="14"/>
      <c r="K252" s="240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ht="19.5" customHeight="1" x14ac:dyDescent="0.25">
      <c r="A253" s="7"/>
      <c r="B253" s="7"/>
      <c r="C253" s="7"/>
      <c r="D253" s="14"/>
      <c r="E253" s="14"/>
      <c r="F253" s="7"/>
      <c r="G253" s="14"/>
      <c r="H253" s="14"/>
      <c r="I253" s="7"/>
      <c r="J253" s="14"/>
      <c r="K253" s="240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ht="19.5" customHeight="1" x14ac:dyDescent="0.25">
      <c r="A254" s="7"/>
      <c r="B254" s="7"/>
      <c r="C254" s="7"/>
      <c r="D254" s="14"/>
      <c r="E254" s="14"/>
      <c r="F254" s="7"/>
      <c r="G254" s="14"/>
      <c r="H254" s="14"/>
      <c r="I254" s="7"/>
      <c r="J254" s="14"/>
      <c r="K254" s="240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ht="19.5" customHeight="1" x14ac:dyDescent="0.25">
      <c r="A255" s="7"/>
      <c r="B255" s="7"/>
      <c r="C255" s="7"/>
      <c r="D255" s="14"/>
      <c r="E255" s="14"/>
      <c r="F255" s="7"/>
      <c r="G255" s="14"/>
      <c r="H255" s="14"/>
      <c r="I255" s="7"/>
      <c r="J255" s="14"/>
      <c r="K255" s="240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ht="19.5" customHeight="1" x14ac:dyDescent="0.25">
      <c r="A256" s="7"/>
      <c r="B256" s="7"/>
      <c r="C256" s="7"/>
      <c r="D256" s="14"/>
      <c r="E256" s="14"/>
      <c r="F256" s="7"/>
      <c r="G256" s="14"/>
      <c r="H256" s="14"/>
      <c r="I256" s="7"/>
      <c r="J256" s="14"/>
      <c r="K256" s="240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ht="19.5" customHeight="1" x14ac:dyDescent="0.25">
      <c r="A257" s="7"/>
      <c r="B257" s="7"/>
      <c r="C257" s="7"/>
      <c r="D257" s="14"/>
      <c r="E257" s="14"/>
      <c r="F257" s="7"/>
      <c r="G257" s="14"/>
      <c r="H257" s="14"/>
      <c r="I257" s="7"/>
      <c r="J257" s="14"/>
      <c r="K257" s="240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ht="19.5" customHeight="1" x14ac:dyDescent="0.25">
      <c r="A258" s="7"/>
      <c r="B258" s="7"/>
      <c r="C258" s="7"/>
      <c r="D258" s="14"/>
      <c r="E258" s="14"/>
      <c r="F258" s="7"/>
      <c r="G258" s="14"/>
      <c r="H258" s="14"/>
      <c r="I258" s="7"/>
      <c r="J258" s="14"/>
      <c r="K258" s="240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ht="19.5" customHeight="1" x14ac:dyDescent="0.25">
      <c r="A259" s="7"/>
      <c r="B259" s="7"/>
      <c r="C259" s="7"/>
      <c r="D259" s="14"/>
      <c r="E259" s="14"/>
      <c r="F259" s="7"/>
      <c r="G259" s="14"/>
      <c r="H259" s="14"/>
      <c r="I259" s="7"/>
      <c r="J259" s="14"/>
      <c r="K259" s="240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ht="19.5" customHeight="1" x14ac:dyDescent="0.25">
      <c r="A260" s="7"/>
      <c r="B260" s="7"/>
      <c r="C260" s="7"/>
      <c r="D260" s="14"/>
      <c r="E260" s="14"/>
      <c r="F260" s="7"/>
      <c r="G260" s="14"/>
      <c r="H260" s="14"/>
      <c r="I260" s="7"/>
      <c r="J260" s="14"/>
      <c r="K260" s="240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ht="19.5" customHeight="1" x14ac:dyDescent="0.25">
      <c r="A261" s="7"/>
      <c r="B261" s="7"/>
      <c r="C261" s="7"/>
      <c r="D261" s="14"/>
      <c r="E261" s="14"/>
      <c r="F261" s="7"/>
      <c r="G261" s="14"/>
      <c r="H261" s="14"/>
      <c r="I261" s="7"/>
      <c r="J261" s="14"/>
      <c r="K261" s="240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ht="19.5" customHeight="1" x14ac:dyDescent="0.25">
      <c r="A262" s="7"/>
      <c r="B262" s="7"/>
      <c r="C262" s="7"/>
      <c r="D262" s="14"/>
      <c r="E262" s="14"/>
      <c r="F262" s="7"/>
      <c r="G262" s="14"/>
      <c r="H262" s="14"/>
      <c r="I262" s="7"/>
      <c r="J262" s="14"/>
      <c r="K262" s="240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ht="19.5" customHeight="1" x14ac:dyDescent="0.25">
      <c r="A263" s="7"/>
      <c r="B263" s="7"/>
      <c r="C263" s="7"/>
      <c r="D263" s="14"/>
      <c r="E263" s="14"/>
      <c r="F263" s="7"/>
      <c r="G263" s="14"/>
      <c r="H263" s="14"/>
      <c r="I263" s="7"/>
      <c r="J263" s="14"/>
      <c r="K263" s="240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ht="19.5" customHeight="1" x14ac:dyDescent="0.25">
      <c r="A264" s="7"/>
      <c r="B264" s="7"/>
      <c r="C264" s="7"/>
      <c r="D264" s="14"/>
      <c r="E264" s="14"/>
      <c r="F264" s="7"/>
      <c r="G264" s="14"/>
      <c r="H264" s="14"/>
      <c r="I264" s="7"/>
      <c r="J264" s="14"/>
      <c r="K264" s="240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ht="19.5" customHeight="1" x14ac:dyDescent="0.25">
      <c r="A265" s="7"/>
      <c r="B265" s="7"/>
      <c r="C265" s="7"/>
      <c r="D265" s="14"/>
      <c r="E265" s="14"/>
      <c r="F265" s="7"/>
      <c r="G265" s="14"/>
      <c r="H265" s="14"/>
      <c r="I265" s="7"/>
      <c r="J265" s="14"/>
      <c r="K265" s="240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ht="19.5" customHeight="1" x14ac:dyDescent="0.25">
      <c r="A266" s="7"/>
      <c r="B266" s="7"/>
      <c r="C266" s="7"/>
      <c r="D266" s="14"/>
      <c r="E266" s="14"/>
      <c r="F266" s="7"/>
      <c r="G266" s="14"/>
      <c r="H266" s="14"/>
      <c r="I266" s="7"/>
      <c r="J266" s="14"/>
      <c r="K266" s="240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ht="19.5" customHeight="1" x14ac:dyDescent="0.25">
      <c r="A267" s="7"/>
      <c r="B267" s="7"/>
      <c r="C267" s="7"/>
      <c r="D267" s="14"/>
      <c r="E267" s="14"/>
      <c r="F267" s="7"/>
      <c r="G267" s="14"/>
      <c r="H267" s="14"/>
      <c r="I267" s="7"/>
      <c r="J267" s="14"/>
      <c r="K267" s="240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ht="19.5" customHeight="1" x14ac:dyDescent="0.25">
      <c r="A268" s="7"/>
      <c r="B268" s="7"/>
      <c r="C268" s="7"/>
      <c r="D268" s="14"/>
      <c r="E268" s="14"/>
      <c r="F268" s="7"/>
      <c r="G268" s="14"/>
      <c r="H268" s="14"/>
      <c r="I268" s="7"/>
      <c r="J268" s="14"/>
      <c r="K268" s="240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ht="19.5" customHeight="1" x14ac:dyDescent="0.25">
      <c r="A269" s="7"/>
      <c r="B269" s="7"/>
      <c r="C269" s="7"/>
      <c r="D269" s="14"/>
      <c r="E269" s="14"/>
      <c r="F269" s="7"/>
      <c r="G269" s="14"/>
      <c r="H269" s="14"/>
      <c r="I269" s="7"/>
      <c r="J269" s="14"/>
      <c r="K269" s="240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ht="19.5" customHeight="1" x14ac:dyDescent="0.25">
      <c r="A270" s="7"/>
      <c r="B270" s="7"/>
      <c r="C270" s="7"/>
      <c r="D270" s="14"/>
      <c r="E270" s="14"/>
      <c r="F270" s="7"/>
      <c r="G270" s="14"/>
      <c r="H270" s="14"/>
      <c r="I270" s="7"/>
      <c r="J270" s="14"/>
      <c r="K270" s="240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ht="19.5" customHeight="1" x14ac:dyDescent="0.25">
      <c r="A271" s="7"/>
      <c r="B271" s="7"/>
      <c r="C271" s="7"/>
      <c r="D271" s="14"/>
      <c r="E271" s="14"/>
      <c r="F271" s="7"/>
      <c r="G271" s="14"/>
      <c r="H271" s="14"/>
      <c r="I271" s="7"/>
      <c r="J271" s="14"/>
      <c r="K271" s="240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ht="19.5" customHeight="1" x14ac:dyDescent="0.25">
      <c r="A272" s="7"/>
      <c r="B272" s="7"/>
      <c r="C272" s="7"/>
      <c r="D272" s="14"/>
      <c r="E272" s="14"/>
      <c r="F272" s="7"/>
      <c r="G272" s="14"/>
      <c r="H272" s="14"/>
      <c r="I272" s="7"/>
      <c r="J272" s="14"/>
      <c r="K272" s="240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ht="19.5" customHeight="1" x14ac:dyDescent="0.25">
      <c r="A273" s="7"/>
      <c r="B273" s="7"/>
      <c r="C273" s="7"/>
      <c r="D273" s="14"/>
      <c r="E273" s="14"/>
      <c r="F273" s="7"/>
      <c r="G273" s="14"/>
      <c r="H273" s="14"/>
      <c r="I273" s="7"/>
      <c r="J273" s="14"/>
      <c r="K273" s="240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ht="19.5" customHeight="1" x14ac:dyDescent="0.25">
      <c r="A274" s="7"/>
      <c r="B274" s="7"/>
      <c r="C274" s="7"/>
      <c r="D274" s="14"/>
      <c r="E274" s="14"/>
      <c r="F274" s="7"/>
      <c r="G274" s="14"/>
      <c r="H274" s="14"/>
      <c r="I274" s="7"/>
      <c r="J274" s="14"/>
      <c r="K274" s="240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ht="19.5" customHeight="1" x14ac:dyDescent="0.25">
      <c r="A275" s="7"/>
      <c r="B275" s="7"/>
      <c r="C275" s="7"/>
      <c r="D275" s="14"/>
      <c r="E275" s="14"/>
      <c r="F275" s="7"/>
      <c r="G275" s="14"/>
      <c r="H275" s="14"/>
      <c r="I275" s="7"/>
      <c r="J275" s="14"/>
      <c r="K275" s="240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ht="19.5" customHeight="1" x14ac:dyDescent="0.25">
      <c r="A276" s="7"/>
      <c r="B276" s="7"/>
      <c r="C276" s="7"/>
      <c r="D276" s="14"/>
      <c r="E276" s="14"/>
      <c r="F276" s="7"/>
      <c r="G276" s="14"/>
      <c r="H276" s="14"/>
      <c r="I276" s="7"/>
      <c r="J276" s="14"/>
      <c r="K276" s="240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ht="19.5" customHeight="1" x14ac:dyDescent="0.25">
      <c r="A277" s="7"/>
      <c r="B277" s="7"/>
      <c r="C277" s="7"/>
      <c r="D277" s="14"/>
      <c r="E277" s="14"/>
      <c r="F277" s="7"/>
      <c r="G277" s="14"/>
      <c r="H277" s="14"/>
      <c r="I277" s="7"/>
      <c r="J277" s="14"/>
      <c r="K277" s="240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ht="19.5" customHeight="1" x14ac:dyDescent="0.25">
      <c r="A278" s="7"/>
      <c r="B278" s="7"/>
      <c r="C278" s="7"/>
      <c r="D278" s="14"/>
      <c r="E278" s="14"/>
      <c r="F278" s="7"/>
      <c r="G278" s="14"/>
      <c r="H278" s="14"/>
      <c r="I278" s="7"/>
      <c r="J278" s="14"/>
      <c r="K278" s="240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ht="19.5" customHeight="1" x14ac:dyDescent="0.25">
      <c r="A279" s="7"/>
      <c r="B279" s="7"/>
      <c r="C279" s="7"/>
      <c r="D279" s="14"/>
      <c r="E279" s="14"/>
      <c r="F279" s="7"/>
      <c r="G279" s="14"/>
      <c r="H279" s="14"/>
      <c r="I279" s="7"/>
      <c r="J279" s="14"/>
      <c r="K279" s="240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ht="19.5" customHeight="1" x14ac:dyDescent="0.25">
      <c r="A280" s="7"/>
      <c r="B280" s="7"/>
      <c r="C280" s="7"/>
      <c r="D280" s="14"/>
      <c r="E280" s="14"/>
      <c r="F280" s="7"/>
      <c r="G280" s="14"/>
      <c r="H280" s="14"/>
      <c r="I280" s="7"/>
      <c r="J280" s="14"/>
      <c r="K280" s="240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ht="19.5" customHeight="1" x14ac:dyDescent="0.25">
      <c r="A281" s="7"/>
      <c r="B281" s="7"/>
      <c r="C281" s="7"/>
      <c r="D281" s="14"/>
      <c r="E281" s="14"/>
      <c r="F281" s="7"/>
      <c r="G281" s="14"/>
      <c r="H281" s="14"/>
      <c r="I281" s="7"/>
      <c r="J281" s="14"/>
      <c r="K281" s="240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ht="19.5" customHeight="1" x14ac:dyDescent="0.25">
      <c r="A282" s="7"/>
      <c r="B282" s="7"/>
      <c r="C282" s="7"/>
      <c r="D282" s="14"/>
      <c r="E282" s="14"/>
      <c r="F282" s="7"/>
      <c r="G282" s="14"/>
      <c r="H282" s="14"/>
      <c r="I282" s="7"/>
      <c r="J282" s="14"/>
      <c r="K282" s="240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ht="19.5" customHeight="1" x14ac:dyDescent="0.25">
      <c r="A283" s="7"/>
      <c r="B283" s="7"/>
      <c r="C283" s="7"/>
      <c r="D283" s="14"/>
      <c r="E283" s="14"/>
      <c r="F283" s="7"/>
      <c r="G283" s="14"/>
      <c r="H283" s="14"/>
      <c r="I283" s="7"/>
      <c r="J283" s="14"/>
      <c r="K283" s="240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ht="19.5" customHeight="1" x14ac:dyDescent="0.25">
      <c r="A284" s="7"/>
      <c r="B284" s="7"/>
      <c r="C284" s="7"/>
      <c r="D284" s="14"/>
      <c r="E284" s="14"/>
      <c r="F284" s="7"/>
      <c r="G284" s="14"/>
      <c r="H284" s="14"/>
      <c r="I284" s="7"/>
      <c r="J284" s="14"/>
      <c r="K284" s="240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ht="19.5" customHeight="1" x14ac:dyDescent="0.25">
      <c r="A285" s="7"/>
      <c r="B285" s="7"/>
      <c r="C285" s="7"/>
      <c r="D285" s="14"/>
      <c r="E285" s="14"/>
      <c r="F285" s="7"/>
      <c r="G285" s="14"/>
      <c r="H285" s="14"/>
      <c r="I285" s="7"/>
      <c r="J285" s="14"/>
      <c r="K285" s="240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ht="19.5" customHeight="1" x14ac:dyDescent="0.25">
      <c r="A286" s="7"/>
      <c r="B286" s="7"/>
      <c r="C286" s="7"/>
      <c r="D286" s="14"/>
      <c r="E286" s="14"/>
      <c r="F286" s="7"/>
      <c r="G286" s="14"/>
      <c r="H286" s="14"/>
      <c r="I286" s="7"/>
      <c r="J286" s="14"/>
      <c r="K286" s="240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ht="19.5" customHeight="1" x14ac:dyDescent="0.25">
      <c r="A287" s="7"/>
      <c r="B287" s="7"/>
      <c r="C287" s="7"/>
      <c r="D287" s="14"/>
      <c r="E287" s="14"/>
      <c r="F287" s="7"/>
      <c r="G287" s="14"/>
      <c r="H287" s="14"/>
      <c r="I287" s="7"/>
      <c r="J287" s="14"/>
      <c r="K287" s="240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ht="19.5" customHeight="1" x14ac:dyDescent="0.25">
      <c r="A288" s="7"/>
      <c r="B288" s="7"/>
      <c r="C288" s="7"/>
      <c r="D288" s="14"/>
      <c r="E288" s="14"/>
      <c r="F288" s="7"/>
      <c r="G288" s="14"/>
      <c r="H288" s="14"/>
      <c r="I288" s="7"/>
      <c r="J288" s="14"/>
      <c r="K288" s="240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ht="19.5" customHeight="1" x14ac:dyDescent="0.25">
      <c r="A289" s="7"/>
      <c r="B289" s="7"/>
      <c r="C289" s="7"/>
      <c r="D289" s="14"/>
      <c r="E289" s="14"/>
      <c r="F289" s="7"/>
      <c r="G289" s="14"/>
      <c r="H289" s="14"/>
      <c r="I289" s="7"/>
      <c r="J289" s="14"/>
      <c r="K289" s="240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ht="19.5" customHeight="1" x14ac:dyDescent="0.25">
      <c r="A290" s="7"/>
      <c r="B290" s="7"/>
      <c r="C290" s="7"/>
      <c r="D290" s="14"/>
      <c r="E290" s="14"/>
      <c r="F290" s="7"/>
      <c r="G290" s="14"/>
      <c r="H290" s="14"/>
      <c r="I290" s="7"/>
      <c r="J290" s="14"/>
      <c r="K290" s="240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ht="19.5" customHeight="1" x14ac:dyDescent="0.25">
      <c r="A291" s="7"/>
      <c r="B291" s="7"/>
      <c r="C291" s="7"/>
      <c r="D291" s="14"/>
      <c r="E291" s="14"/>
      <c r="F291" s="7"/>
      <c r="G291" s="14"/>
      <c r="H291" s="14"/>
      <c r="I291" s="7"/>
      <c r="J291" s="14"/>
      <c r="K291" s="240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ht="19.5" customHeight="1" x14ac:dyDescent="0.25">
      <c r="A292" s="7"/>
      <c r="B292" s="7"/>
      <c r="C292" s="7"/>
      <c r="D292" s="14"/>
      <c r="E292" s="14"/>
      <c r="F292" s="7"/>
      <c r="G292" s="14"/>
      <c r="H292" s="14"/>
      <c r="I292" s="7"/>
      <c r="J292" s="14"/>
      <c r="K292" s="240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ht="19.5" customHeight="1" x14ac:dyDescent="0.25">
      <c r="A293" s="7"/>
      <c r="B293" s="7"/>
      <c r="C293" s="7"/>
      <c r="D293" s="14"/>
      <c r="E293" s="14"/>
      <c r="F293" s="7"/>
      <c r="G293" s="14"/>
      <c r="H293" s="14"/>
      <c r="I293" s="7"/>
      <c r="J293" s="14"/>
      <c r="K293" s="240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ht="19.5" customHeight="1" x14ac:dyDescent="0.25">
      <c r="A294" s="7"/>
      <c r="B294" s="7"/>
      <c r="C294" s="7"/>
      <c r="D294" s="14"/>
      <c r="E294" s="14"/>
      <c r="F294" s="7"/>
      <c r="G294" s="14"/>
      <c r="H294" s="14"/>
      <c r="I294" s="7"/>
      <c r="J294" s="14"/>
      <c r="K294" s="240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ht="19.5" customHeight="1" x14ac:dyDescent="0.25">
      <c r="A295" s="7"/>
      <c r="B295" s="7"/>
      <c r="C295" s="7"/>
      <c r="D295" s="14"/>
      <c r="E295" s="14"/>
      <c r="F295" s="7"/>
      <c r="G295" s="14"/>
      <c r="H295" s="14"/>
      <c r="I295" s="7"/>
      <c r="J295" s="14"/>
      <c r="K295" s="240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ht="19.5" customHeight="1" x14ac:dyDescent="0.25">
      <c r="A296" s="7"/>
      <c r="B296" s="7"/>
      <c r="C296" s="7"/>
      <c r="D296" s="14"/>
      <c r="E296" s="14"/>
      <c r="F296" s="7"/>
      <c r="G296" s="14"/>
      <c r="H296" s="14"/>
      <c r="I296" s="7"/>
      <c r="J296" s="14"/>
      <c r="K296" s="240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ht="19.5" customHeight="1" x14ac:dyDescent="0.25">
      <c r="A297" s="7"/>
      <c r="B297" s="7"/>
      <c r="C297" s="7"/>
      <c r="D297" s="14"/>
      <c r="E297" s="14"/>
      <c r="F297" s="7"/>
      <c r="G297" s="14"/>
      <c r="H297" s="14"/>
      <c r="I297" s="7"/>
      <c r="J297" s="14"/>
      <c r="K297" s="240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ht="19.5" customHeight="1" x14ac:dyDescent="0.25">
      <c r="A298" s="7"/>
      <c r="B298" s="7"/>
      <c r="C298" s="7"/>
      <c r="D298" s="14"/>
      <c r="E298" s="14"/>
      <c r="F298" s="7"/>
      <c r="G298" s="14"/>
      <c r="H298" s="14"/>
      <c r="I298" s="7"/>
      <c r="J298" s="14"/>
      <c r="K298" s="240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ht="19.5" customHeight="1" x14ac:dyDescent="0.25">
      <c r="A299" s="7"/>
      <c r="B299" s="7"/>
      <c r="C299" s="7"/>
      <c r="D299" s="14"/>
      <c r="E299" s="14"/>
      <c r="F299" s="7"/>
      <c r="G299" s="14"/>
      <c r="H299" s="14"/>
      <c r="I299" s="7"/>
      <c r="J299" s="14"/>
      <c r="K299" s="240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ht="19.5" customHeight="1" x14ac:dyDescent="0.25">
      <c r="A300" s="7"/>
      <c r="B300" s="7"/>
      <c r="C300" s="7"/>
      <c r="D300" s="14"/>
      <c r="E300" s="14"/>
      <c r="F300" s="7"/>
      <c r="G300" s="14"/>
      <c r="H300" s="14"/>
      <c r="I300" s="7"/>
      <c r="J300" s="14"/>
      <c r="K300" s="240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ht="19.5" customHeight="1" x14ac:dyDescent="0.25">
      <c r="A301" s="7"/>
      <c r="B301" s="7"/>
      <c r="C301" s="7"/>
      <c r="D301" s="14"/>
      <c r="E301" s="14"/>
      <c r="F301" s="7"/>
      <c r="G301" s="14"/>
      <c r="H301" s="14"/>
      <c r="I301" s="7"/>
      <c r="J301" s="14"/>
      <c r="K301" s="240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ht="19.5" customHeight="1" x14ac:dyDescent="0.25">
      <c r="A302" s="7"/>
      <c r="B302" s="7"/>
      <c r="C302" s="7"/>
      <c r="D302" s="14"/>
      <c r="E302" s="14"/>
      <c r="F302" s="7"/>
      <c r="G302" s="14"/>
      <c r="H302" s="14"/>
      <c r="I302" s="7"/>
      <c r="J302" s="14"/>
      <c r="K302" s="240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ht="19.5" customHeight="1" x14ac:dyDescent="0.25">
      <c r="A303" s="7"/>
      <c r="B303" s="7"/>
      <c r="C303" s="7"/>
      <c r="D303" s="14"/>
      <c r="E303" s="14"/>
      <c r="F303" s="7"/>
      <c r="G303" s="14"/>
      <c r="H303" s="14"/>
      <c r="I303" s="7"/>
      <c r="J303" s="14"/>
      <c r="K303" s="240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ht="19.5" customHeight="1" x14ac:dyDescent="0.25">
      <c r="A304" s="7"/>
      <c r="B304" s="7"/>
      <c r="C304" s="7"/>
      <c r="D304" s="14"/>
      <c r="E304" s="14"/>
      <c r="F304" s="7"/>
      <c r="G304" s="14"/>
      <c r="H304" s="14"/>
      <c r="I304" s="7"/>
      <c r="J304" s="14"/>
      <c r="K304" s="240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ht="19.5" customHeight="1" x14ac:dyDescent="0.25">
      <c r="A305" s="7"/>
      <c r="B305" s="7"/>
      <c r="C305" s="7"/>
      <c r="D305" s="14"/>
      <c r="E305" s="14"/>
      <c r="F305" s="7"/>
      <c r="G305" s="14"/>
      <c r="H305" s="14"/>
      <c r="I305" s="7"/>
      <c r="J305" s="14"/>
      <c r="K305" s="240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ht="19.5" customHeight="1" x14ac:dyDescent="0.25">
      <c r="A306" s="7"/>
      <c r="B306" s="7"/>
      <c r="C306" s="7"/>
      <c r="D306" s="14"/>
      <c r="E306" s="14"/>
      <c r="F306" s="7"/>
      <c r="G306" s="14"/>
      <c r="H306" s="14"/>
      <c r="I306" s="7"/>
      <c r="J306" s="14"/>
      <c r="K306" s="240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ht="19.5" customHeight="1" x14ac:dyDescent="0.25">
      <c r="A307" s="7"/>
      <c r="B307" s="7"/>
      <c r="C307" s="7"/>
      <c r="D307" s="14"/>
      <c r="E307" s="14"/>
      <c r="F307" s="7"/>
      <c r="G307" s="14"/>
      <c r="H307" s="14"/>
      <c r="I307" s="7"/>
      <c r="J307" s="14"/>
      <c r="K307" s="240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ht="19.5" customHeight="1" x14ac:dyDescent="0.25">
      <c r="A308" s="7"/>
      <c r="B308" s="7"/>
      <c r="C308" s="7"/>
      <c r="D308" s="14"/>
      <c r="E308" s="14"/>
      <c r="F308" s="7"/>
      <c r="G308" s="14"/>
      <c r="H308" s="14"/>
      <c r="I308" s="7"/>
      <c r="J308" s="14"/>
      <c r="K308" s="240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ht="19.5" customHeight="1" x14ac:dyDescent="0.25">
      <c r="A309" s="7"/>
      <c r="B309" s="7"/>
      <c r="C309" s="7"/>
      <c r="D309" s="14"/>
      <c r="E309" s="14"/>
      <c r="F309" s="7"/>
      <c r="G309" s="14"/>
      <c r="H309" s="14"/>
      <c r="I309" s="7"/>
      <c r="J309" s="14"/>
      <c r="K309" s="240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ht="19.5" customHeight="1" x14ac:dyDescent="0.25">
      <c r="A310" s="7"/>
      <c r="B310" s="7"/>
      <c r="C310" s="7"/>
      <c r="D310" s="14"/>
      <c r="E310" s="14"/>
      <c r="F310" s="7"/>
      <c r="G310" s="14"/>
      <c r="H310" s="14"/>
      <c r="I310" s="7"/>
      <c r="J310" s="14"/>
      <c r="K310" s="240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ht="19.5" customHeight="1" x14ac:dyDescent="0.25">
      <c r="A311" s="7"/>
      <c r="B311" s="7"/>
      <c r="C311" s="7"/>
      <c r="D311" s="14"/>
      <c r="E311" s="14"/>
      <c r="F311" s="7"/>
      <c r="G311" s="14"/>
      <c r="H311" s="14"/>
      <c r="I311" s="7"/>
      <c r="J311" s="14"/>
      <c r="K311" s="240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ht="19.5" customHeight="1" x14ac:dyDescent="0.25">
      <c r="A312" s="7"/>
      <c r="B312" s="7"/>
      <c r="C312" s="7"/>
      <c r="D312" s="14"/>
      <c r="E312" s="14"/>
      <c r="F312" s="7"/>
      <c r="G312" s="14"/>
      <c r="H312" s="14"/>
      <c r="I312" s="7"/>
      <c r="J312" s="14"/>
      <c r="K312" s="240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ht="19.5" customHeight="1" x14ac:dyDescent="0.25">
      <c r="A313" s="7"/>
      <c r="B313" s="7"/>
      <c r="C313" s="7"/>
      <c r="D313" s="14"/>
      <c r="E313" s="14"/>
      <c r="F313" s="7"/>
      <c r="G313" s="14"/>
      <c r="H313" s="14"/>
      <c r="I313" s="7"/>
      <c r="J313" s="14"/>
      <c r="K313" s="240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ht="19.5" customHeight="1" x14ac:dyDescent="0.25">
      <c r="A314" s="7"/>
      <c r="B314" s="7"/>
      <c r="C314" s="7"/>
      <c r="D314" s="14"/>
      <c r="E314" s="14"/>
      <c r="F314" s="7"/>
      <c r="G314" s="14"/>
      <c r="H314" s="14"/>
      <c r="I314" s="7"/>
      <c r="J314" s="14"/>
      <c r="K314" s="240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ht="19.5" customHeight="1" x14ac:dyDescent="0.25">
      <c r="A315" s="7"/>
      <c r="B315" s="7"/>
      <c r="C315" s="7"/>
      <c r="D315" s="14"/>
      <c r="E315" s="14"/>
      <c r="F315" s="7"/>
      <c r="G315" s="14"/>
      <c r="H315" s="14"/>
      <c r="I315" s="7"/>
      <c r="J315" s="14"/>
      <c r="K315" s="240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ht="19.5" customHeight="1" x14ac:dyDescent="0.25">
      <c r="A316" s="7"/>
      <c r="B316" s="7"/>
      <c r="C316" s="7"/>
      <c r="D316" s="14"/>
      <c r="E316" s="14"/>
      <c r="F316" s="7"/>
      <c r="G316" s="14"/>
      <c r="H316" s="14"/>
      <c r="I316" s="7"/>
      <c r="J316" s="14"/>
      <c r="K316" s="240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ht="19.5" customHeight="1" x14ac:dyDescent="0.25">
      <c r="A317" s="7"/>
      <c r="B317" s="7"/>
      <c r="C317" s="7"/>
      <c r="D317" s="14"/>
      <c r="E317" s="14"/>
      <c r="F317" s="7"/>
      <c r="G317" s="14"/>
      <c r="H317" s="14"/>
      <c r="I317" s="7"/>
      <c r="J317" s="14"/>
      <c r="K317" s="240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ht="19.5" customHeight="1" x14ac:dyDescent="0.25">
      <c r="A318" s="7"/>
      <c r="B318" s="7"/>
      <c r="C318" s="7"/>
      <c r="D318" s="14"/>
      <c r="E318" s="14"/>
      <c r="F318" s="7"/>
      <c r="G318" s="14"/>
      <c r="H318" s="14"/>
      <c r="I318" s="7"/>
      <c r="J318" s="14"/>
      <c r="K318" s="240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ht="19.5" customHeight="1" x14ac:dyDescent="0.25">
      <c r="A319" s="7"/>
      <c r="B319" s="7"/>
      <c r="C319" s="7"/>
      <c r="D319" s="14"/>
      <c r="E319" s="14"/>
      <c r="F319" s="7"/>
      <c r="G319" s="14"/>
      <c r="H319" s="14"/>
      <c r="I319" s="7"/>
      <c r="J319" s="14"/>
      <c r="K319" s="240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ht="19.5" customHeight="1" x14ac:dyDescent="0.25">
      <c r="A320" s="7"/>
      <c r="B320" s="7"/>
      <c r="C320" s="7"/>
      <c r="D320" s="14"/>
      <c r="E320" s="14"/>
      <c r="F320" s="7"/>
      <c r="G320" s="14"/>
      <c r="H320" s="14"/>
      <c r="I320" s="7"/>
      <c r="J320" s="14"/>
      <c r="K320" s="240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ht="19.5" customHeight="1" x14ac:dyDescent="0.25">
      <c r="A321" s="7"/>
      <c r="B321" s="7"/>
      <c r="C321" s="7"/>
      <c r="D321" s="14"/>
      <c r="E321" s="14"/>
      <c r="F321" s="7"/>
      <c r="G321" s="14"/>
      <c r="H321" s="14"/>
      <c r="I321" s="7"/>
      <c r="J321" s="14"/>
      <c r="K321" s="240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ht="19.5" customHeight="1" x14ac:dyDescent="0.25">
      <c r="A322" s="7"/>
      <c r="B322" s="7"/>
      <c r="C322" s="7"/>
      <c r="D322" s="14"/>
      <c r="E322" s="14"/>
      <c r="F322" s="7"/>
      <c r="G322" s="14"/>
      <c r="H322" s="14"/>
      <c r="I322" s="7"/>
      <c r="J322" s="14"/>
      <c r="K322" s="240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ht="19.5" customHeight="1" x14ac:dyDescent="0.25">
      <c r="A323" s="7"/>
      <c r="B323" s="7"/>
      <c r="C323" s="7"/>
      <c r="D323" s="14"/>
      <c r="E323" s="14"/>
      <c r="F323" s="7"/>
      <c r="G323" s="14"/>
      <c r="H323" s="14"/>
      <c r="I323" s="7"/>
      <c r="J323" s="14"/>
      <c r="K323" s="240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ht="19.5" customHeight="1" x14ac:dyDescent="0.25">
      <c r="A324" s="7"/>
      <c r="B324" s="7"/>
      <c r="C324" s="7"/>
      <c r="D324" s="14"/>
      <c r="E324" s="14"/>
      <c r="F324" s="7"/>
      <c r="G324" s="14"/>
      <c r="H324" s="14"/>
      <c r="I324" s="7"/>
      <c r="J324" s="14"/>
      <c r="K324" s="240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ht="19.5" customHeight="1" x14ac:dyDescent="0.25">
      <c r="A325" s="7"/>
      <c r="B325" s="7"/>
      <c r="C325" s="7"/>
      <c r="D325" s="14"/>
      <c r="E325" s="14"/>
      <c r="F325" s="7"/>
      <c r="G325" s="14"/>
      <c r="H325" s="14"/>
      <c r="I325" s="7"/>
      <c r="J325" s="14"/>
      <c r="K325" s="240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ht="19.5" customHeight="1" x14ac:dyDescent="0.25">
      <c r="A326" s="7"/>
      <c r="B326" s="7"/>
      <c r="C326" s="7"/>
      <c r="D326" s="14"/>
      <c r="E326" s="14"/>
      <c r="F326" s="7"/>
      <c r="G326" s="14"/>
      <c r="H326" s="14"/>
      <c r="I326" s="7"/>
      <c r="J326" s="14"/>
      <c r="K326" s="240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ht="19.5" customHeight="1" x14ac:dyDescent="0.25">
      <c r="A327" s="7"/>
      <c r="B327" s="7"/>
      <c r="C327" s="7"/>
      <c r="D327" s="14"/>
      <c r="E327" s="14"/>
      <c r="F327" s="7"/>
      <c r="G327" s="14"/>
      <c r="H327" s="14"/>
      <c r="I327" s="7"/>
      <c r="J327" s="14"/>
      <c r="K327" s="240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ht="19.5" customHeight="1" x14ac:dyDescent="0.25">
      <c r="A328" s="7"/>
      <c r="B328" s="7"/>
      <c r="C328" s="7"/>
      <c r="D328" s="14"/>
      <c r="E328" s="14"/>
      <c r="F328" s="7"/>
      <c r="G328" s="14"/>
      <c r="H328" s="14"/>
      <c r="I328" s="7"/>
      <c r="J328" s="14"/>
      <c r="K328" s="240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ht="19.5" customHeight="1" x14ac:dyDescent="0.25">
      <c r="A329" s="7"/>
      <c r="B329" s="7"/>
      <c r="C329" s="7"/>
      <c r="D329" s="14"/>
      <c r="E329" s="14"/>
      <c r="F329" s="7"/>
      <c r="G329" s="14"/>
      <c r="H329" s="14"/>
      <c r="I329" s="7"/>
      <c r="J329" s="14"/>
      <c r="K329" s="240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ht="19.5" customHeight="1" x14ac:dyDescent="0.25">
      <c r="A330" s="7"/>
      <c r="B330" s="7"/>
      <c r="C330" s="7"/>
      <c r="D330" s="14"/>
      <c r="E330" s="14"/>
      <c r="F330" s="7"/>
      <c r="G330" s="14"/>
      <c r="H330" s="14"/>
      <c r="I330" s="7"/>
      <c r="J330" s="14"/>
      <c r="K330" s="240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ht="19.5" customHeight="1" x14ac:dyDescent="0.25">
      <c r="A331" s="7"/>
      <c r="B331" s="7"/>
      <c r="C331" s="7"/>
      <c r="D331" s="14"/>
      <c r="E331" s="14"/>
      <c r="F331" s="7"/>
      <c r="G331" s="14"/>
      <c r="H331" s="14"/>
      <c r="I331" s="7"/>
      <c r="J331" s="14"/>
      <c r="K331" s="240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ht="19.5" customHeight="1" x14ac:dyDescent="0.25">
      <c r="A332" s="7"/>
      <c r="B332" s="7"/>
      <c r="C332" s="7"/>
      <c r="D332" s="14"/>
      <c r="E332" s="14"/>
      <c r="F332" s="7"/>
      <c r="G332" s="14"/>
      <c r="H332" s="14"/>
      <c r="I332" s="7"/>
      <c r="J332" s="14"/>
      <c r="K332" s="240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ht="19.5" customHeight="1" x14ac:dyDescent="0.25">
      <c r="A333" s="7"/>
      <c r="B333" s="7"/>
      <c r="C333" s="7"/>
      <c r="D333" s="14"/>
      <c r="E333" s="14"/>
      <c r="F333" s="7"/>
      <c r="G333" s="14"/>
      <c r="H333" s="14"/>
      <c r="I333" s="7"/>
      <c r="J333" s="14"/>
      <c r="K333" s="240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ht="19.5" customHeight="1" x14ac:dyDescent="0.25">
      <c r="A334" s="7"/>
      <c r="B334" s="7"/>
      <c r="C334" s="7"/>
      <c r="D334" s="14"/>
      <c r="E334" s="14"/>
      <c r="F334" s="7"/>
      <c r="G334" s="14"/>
      <c r="H334" s="14"/>
      <c r="I334" s="7"/>
      <c r="J334" s="14"/>
      <c r="K334" s="240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ht="19.5" customHeight="1" x14ac:dyDescent="0.25">
      <c r="A335" s="7"/>
      <c r="B335" s="7"/>
      <c r="C335" s="7"/>
      <c r="D335" s="14"/>
      <c r="E335" s="14"/>
      <c r="F335" s="7"/>
      <c r="G335" s="14"/>
      <c r="H335" s="14"/>
      <c r="I335" s="7"/>
      <c r="J335" s="14"/>
      <c r="K335" s="240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ht="19.5" customHeight="1" x14ac:dyDescent="0.25">
      <c r="A336" s="7"/>
      <c r="B336" s="7"/>
      <c r="C336" s="7"/>
      <c r="D336" s="14"/>
      <c r="E336" s="14"/>
      <c r="F336" s="7"/>
      <c r="G336" s="14"/>
      <c r="H336" s="14"/>
      <c r="I336" s="7"/>
      <c r="J336" s="14"/>
      <c r="K336" s="240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ht="19.5" customHeight="1" x14ac:dyDescent="0.25">
      <c r="A337" s="7"/>
      <c r="B337" s="7"/>
      <c r="C337" s="7"/>
      <c r="D337" s="14"/>
      <c r="E337" s="14"/>
      <c r="F337" s="7"/>
      <c r="G337" s="14"/>
      <c r="H337" s="14"/>
      <c r="I337" s="7"/>
      <c r="J337" s="14"/>
      <c r="K337" s="240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ht="19.5" customHeight="1" x14ac:dyDescent="0.25">
      <c r="A338" s="7"/>
      <c r="B338" s="7"/>
      <c r="C338" s="7"/>
      <c r="D338" s="14"/>
      <c r="E338" s="14"/>
      <c r="F338" s="7"/>
      <c r="G338" s="14"/>
      <c r="H338" s="14"/>
      <c r="I338" s="7"/>
      <c r="J338" s="14"/>
      <c r="K338" s="240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ht="19.5" customHeight="1" x14ac:dyDescent="0.25">
      <c r="A339" s="7"/>
      <c r="B339" s="7"/>
      <c r="C339" s="7"/>
      <c r="D339" s="14"/>
      <c r="E339" s="14"/>
      <c r="F339" s="7"/>
      <c r="G339" s="14"/>
      <c r="H339" s="14"/>
      <c r="I339" s="7"/>
      <c r="J339" s="14"/>
      <c r="K339" s="240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ht="19.5" customHeight="1" x14ac:dyDescent="0.25">
      <c r="A340" s="7"/>
      <c r="B340" s="7"/>
      <c r="C340" s="7"/>
      <c r="D340" s="14"/>
      <c r="E340" s="14"/>
      <c r="F340" s="7"/>
      <c r="G340" s="14"/>
      <c r="H340" s="14"/>
      <c r="I340" s="7"/>
      <c r="J340" s="14"/>
      <c r="K340" s="240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ht="19.5" customHeight="1" x14ac:dyDescent="0.25">
      <c r="A341" s="7"/>
      <c r="B341" s="7"/>
      <c r="C341" s="7"/>
      <c r="D341" s="14"/>
      <c r="E341" s="14"/>
      <c r="F341" s="7"/>
      <c r="G341" s="14"/>
      <c r="H341" s="14"/>
      <c r="I341" s="7"/>
      <c r="J341" s="14"/>
      <c r="K341" s="240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ht="19.5" customHeight="1" x14ac:dyDescent="0.25">
      <c r="A342" s="7"/>
      <c r="B342" s="7"/>
      <c r="C342" s="7"/>
      <c r="D342" s="14"/>
      <c r="E342" s="14"/>
      <c r="F342" s="7"/>
      <c r="G342" s="14"/>
      <c r="H342" s="14"/>
      <c r="I342" s="7"/>
      <c r="J342" s="14"/>
      <c r="K342" s="240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ht="19.5" customHeight="1" x14ac:dyDescent="0.25">
      <c r="A343" s="7"/>
      <c r="B343" s="7"/>
      <c r="C343" s="7"/>
      <c r="D343" s="14"/>
      <c r="E343" s="14"/>
      <c r="F343" s="7"/>
      <c r="G343" s="14"/>
      <c r="H343" s="14"/>
      <c r="I343" s="7"/>
      <c r="J343" s="14"/>
      <c r="K343" s="240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ht="19.5" customHeight="1" x14ac:dyDescent="0.25">
      <c r="A344" s="7"/>
      <c r="B344" s="7"/>
      <c r="C344" s="7"/>
      <c r="D344" s="14"/>
      <c r="E344" s="14"/>
      <c r="F344" s="7"/>
      <c r="G344" s="14"/>
      <c r="H344" s="14"/>
      <c r="I344" s="7"/>
      <c r="J344" s="14"/>
      <c r="K344" s="240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ht="19.5" customHeight="1" x14ac:dyDescent="0.25">
      <c r="A345" s="7"/>
      <c r="B345" s="7"/>
      <c r="C345" s="7"/>
      <c r="D345" s="14"/>
      <c r="E345" s="14"/>
      <c r="F345" s="7"/>
      <c r="G345" s="14"/>
      <c r="H345" s="14"/>
      <c r="I345" s="7"/>
      <c r="J345" s="14"/>
      <c r="K345" s="240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ht="19.5" customHeight="1" x14ac:dyDescent="0.25">
      <c r="A346" s="7"/>
      <c r="B346" s="7"/>
      <c r="C346" s="7"/>
      <c r="D346" s="14"/>
      <c r="E346" s="14"/>
      <c r="F346" s="7"/>
      <c r="G346" s="14"/>
      <c r="H346" s="14"/>
      <c r="I346" s="7"/>
      <c r="J346" s="14"/>
      <c r="K346" s="240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ht="19.5" customHeight="1" x14ac:dyDescent="0.25">
      <c r="A347" s="7"/>
      <c r="B347" s="7"/>
      <c r="C347" s="7"/>
      <c r="D347" s="14"/>
      <c r="E347" s="14"/>
      <c r="F347" s="7"/>
      <c r="G347" s="14"/>
      <c r="H347" s="14"/>
      <c r="I347" s="7"/>
      <c r="J347" s="14"/>
      <c r="K347" s="240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ht="19.5" customHeight="1" x14ac:dyDescent="0.25">
      <c r="A348" s="7"/>
      <c r="B348" s="7"/>
      <c r="C348" s="7"/>
      <c r="D348" s="14"/>
      <c r="E348" s="14"/>
      <c r="F348" s="7"/>
      <c r="G348" s="14"/>
      <c r="H348" s="14"/>
      <c r="I348" s="7"/>
      <c r="J348" s="14"/>
      <c r="K348" s="240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ht="19.5" customHeight="1" x14ac:dyDescent="0.25">
      <c r="A349" s="7"/>
      <c r="B349" s="7"/>
      <c r="C349" s="7"/>
      <c r="D349" s="14"/>
      <c r="E349" s="14"/>
      <c r="F349" s="7"/>
      <c r="G349" s="14"/>
      <c r="H349" s="14"/>
      <c r="I349" s="7"/>
      <c r="J349" s="14"/>
      <c r="K349" s="240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ht="19.5" customHeight="1" x14ac:dyDescent="0.25">
      <c r="A350" s="7"/>
      <c r="B350" s="7"/>
      <c r="C350" s="7"/>
      <c r="D350" s="14"/>
      <c r="E350" s="14"/>
      <c r="F350" s="7"/>
      <c r="G350" s="14"/>
      <c r="H350" s="14"/>
      <c r="I350" s="7"/>
      <c r="J350" s="14"/>
      <c r="K350" s="240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ht="19.5" customHeight="1" x14ac:dyDescent="0.25">
      <c r="A351" s="7"/>
      <c r="B351" s="7"/>
      <c r="C351" s="7"/>
      <c r="D351" s="14"/>
      <c r="E351" s="14"/>
      <c r="F351" s="7"/>
      <c r="G351" s="14"/>
      <c r="H351" s="14"/>
      <c r="I351" s="7"/>
      <c r="J351" s="14"/>
      <c r="K351" s="240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ht="19.5" customHeight="1" x14ac:dyDescent="0.25">
      <c r="A352" s="7"/>
      <c r="B352" s="7"/>
      <c r="C352" s="7"/>
      <c r="D352" s="14"/>
      <c r="E352" s="14"/>
      <c r="F352" s="7"/>
      <c r="G352" s="14"/>
      <c r="H352" s="14"/>
      <c r="I352" s="7"/>
      <c r="J352" s="14"/>
      <c r="K352" s="240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ht="19.5" customHeight="1" x14ac:dyDescent="0.25">
      <c r="A353" s="7"/>
      <c r="B353" s="7"/>
      <c r="C353" s="7"/>
      <c r="D353" s="14"/>
      <c r="E353" s="14"/>
      <c r="F353" s="7"/>
      <c r="G353" s="14"/>
      <c r="H353" s="14"/>
      <c r="I353" s="7"/>
      <c r="J353" s="14"/>
      <c r="K353" s="240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ht="19.5" customHeight="1" x14ac:dyDescent="0.25">
      <c r="A354" s="7"/>
      <c r="B354" s="7"/>
      <c r="C354" s="7"/>
      <c r="D354" s="14"/>
      <c r="E354" s="14"/>
      <c r="F354" s="7"/>
      <c r="G354" s="14"/>
      <c r="H354" s="14"/>
      <c r="I354" s="7"/>
      <c r="J354" s="14"/>
      <c r="K354" s="240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ht="19.5" customHeight="1" x14ac:dyDescent="0.25">
      <c r="A355" s="7"/>
      <c r="B355" s="7"/>
      <c r="C355" s="7"/>
      <c r="D355" s="14"/>
      <c r="E355" s="14"/>
      <c r="F355" s="7"/>
      <c r="G355" s="14"/>
      <c r="H355" s="14"/>
      <c r="I355" s="7"/>
      <c r="J355" s="14"/>
      <c r="K355" s="240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ht="19.5" customHeight="1" x14ac:dyDescent="0.25">
      <c r="A356" s="7"/>
      <c r="B356" s="7"/>
      <c r="C356" s="7"/>
      <c r="D356" s="14"/>
      <c r="E356" s="14"/>
      <c r="F356" s="7"/>
      <c r="G356" s="14"/>
      <c r="H356" s="14"/>
      <c r="I356" s="7"/>
      <c r="J356" s="14"/>
      <c r="K356" s="240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ht="19.5" customHeight="1" x14ac:dyDescent="0.25">
      <c r="A357" s="7"/>
      <c r="B357" s="7"/>
      <c r="C357" s="7"/>
      <c r="D357" s="14"/>
      <c r="E357" s="14"/>
      <c r="F357" s="7"/>
      <c r="G357" s="14"/>
      <c r="H357" s="14"/>
      <c r="I357" s="7"/>
      <c r="J357" s="14"/>
      <c r="K357" s="240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ht="19.5" customHeight="1" x14ac:dyDescent="0.25">
      <c r="A358" s="7"/>
      <c r="B358" s="7"/>
      <c r="C358" s="7"/>
      <c r="D358" s="14"/>
      <c r="E358" s="14"/>
      <c r="F358" s="7"/>
      <c r="G358" s="14"/>
      <c r="H358" s="14"/>
      <c r="I358" s="7"/>
      <c r="J358" s="14"/>
      <c r="K358" s="240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ht="19.5" customHeight="1" x14ac:dyDescent="0.25">
      <c r="A359" s="7"/>
      <c r="B359" s="7"/>
      <c r="C359" s="7"/>
      <c r="D359" s="14"/>
      <c r="E359" s="14"/>
      <c r="F359" s="7"/>
      <c r="G359" s="14"/>
      <c r="H359" s="14"/>
      <c r="I359" s="7"/>
      <c r="J359" s="14"/>
      <c r="K359" s="240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ht="19.5" customHeight="1" x14ac:dyDescent="0.25">
      <c r="A360" s="7"/>
      <c r="B360" s="7"/>
      <c r="C360" s="7"/>
      <c r="D360" s="14"/>
      <c r="E360" s="14"/>
      <c r="F360" s="7"/>
      <c r="G360" s="14"/>
      <c r="H360" s="14"/>
      <c r="I360" s="7"/>
      <c r="J360" s="14"/>
      <c r="K360" s="240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ht="19.5" customHeight="1" x14ac:dyDescent="0.25">
      <c r="A361" s="7"/>
      <c r="B361" s="7"/>
      <c r="C361" s="7"/>
      <c r="D361" s="14"/>
      <c r="E361" s="14"/>
      <c r="F361" s="7"/>
      <c r="G361" s="14"/>
      <c r="H361" s="14"/>
      <c r="I361" s="7"/>
      <c r="J361" s="14"/>
      <c r="K361" s="240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ht="19.5" customHeight="1" x14ac:dyDescent="0.25">
      <c r="A362" s="7"/>
      <c r="B362" s="7"/>
      <c r="C362" s="7"/>
      <c r="D362" s="14"/>
      <c r="E362" s="14"/>
      <c r="F362" s="7"/>
      <c r="G362" s="14"/>
      <c r="H362" s="14"/>
      <c r="I362" s="7"/>
      <c r="J362" s="14"/>
      <c r="K362" s="240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ht="19.5" customHeight="1" x14ac:dyDescent="0.25">
      <c r="A363" s="7"/>
      <c r="B363" s="7"/>
      <c r="C363" s="7"/>
      <c r="D363" s="14"/>
      <c r="E363" s="14"/>
      <c r="F363" s="7"/>
      <c r="G363" s="14"/>
      <c r="H363" s="14"/>
      <c r="I363" s="7"/>
      <c r="J363" s="14"/>
      <c r="K363" s="240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ht="19.5" customHeight="1" x14ac:dyDescent="0.25">
      <c r="A364" s="7"/>
      <c r="B364" s="7"/>
      <c r="C364" s="7"/>
      <c r="D364" s="14"/>
      <c r="E364" s="14"/>
      <c r="F364" s="7"/>
      <c r="G364" s="14"/>
      <c r="H364" s="14"/>
      <c r="I364" s="7"/>
      <c r="J364" s="14"/>
      <c r="K364" s="240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ht="19.5" customHeight="1" x14ac:dyDescent="0.25">
      <c r="A365" s="7"/>
      <c r="B365" s="7"/>
      <c r="C365" s="7"/>
      <c r="D365" s="14"/>
      <c r="E365" s="14"/>
      <c r="F365" s="7"/>
      <c r="G365" s="14"/>
      <c r="H365" s="14"/>
      <c r="I365" s="7"/>
      <c r="J365" s="14"/>
      <c r="K365" s="240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ht="19.5" customHeight="1" x14ac:dyDescent="0.25">
      <c r="A366" s="7"/>
      <c r="B366" s="7"/>
      <c r="C366" s="7"/>
      <c r="D366" s="14"/>
      <c r="E366" s="14"/>
      <c r="F366" s="7"/>
      <c r="G366" s="14"/>
      <c r="H366" s="14"/>
      <c r="I366" s="7"/>
      <c r="J366" s="14"/>
      <c r="K366" s="240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ht="19.5" customHeight="1" x14ac:dyDescent="0.25">
      <c r="A367" s="7"/>
      <c r="B367" s="7"/>
      <c r="C367" s="7"/>
      <c r="D367" s="14"/>
      <c r="E367" s="14"/>
      <c r="F367" s="7"/>
      <c r="G367" s="14"/>
      <c r="H367" s="14"/>
      <c r="I367" s="7"/>
      <c r="J367" s="14"/>
      <c r="K367" s="240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ht="19.5" customHeight="1" x14ac:dyDescent="0.25">
      <c r="A368" s="7"/>
      <c r="B368" s="7"/>
      <c r="C368" s="7"/>
      <c r="D368" s="14"/>
      <c r="E368" s="14"/>
      <c r="F368" s="7"/>
      <c r="G368" s="14"/>
      <c r="H368" s="14"/>
      <c r="I368" s="7"/>
      <c r="J368" s="14"/>
      <c r="K368" s="240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ht="19.5" customHeight="1" x14ac:dyDescent="0.25">
      <c r="A369" s="7"/>
      <c r="B369" s="7"/>
      <c r="C369" s="7"/>
      <c r="D369" s="14"/>
      <c r="E369" s="14"/>
      <c r="F369" s="7"/>
      <c r="G369" s="14"/>
      <c r="H369" s="14"/>
      <c r="I369" s="7"/>
      <c r="J369" s="14"/>
      <c r="K369" s="240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ht="19.5" customHeight="1" x14ac:dyDescent="0.25">
      <c r="A370" s="7"/>
      <c r="B370" s="7"/>
      <c r="C370" s="7"/>
      <c r="D370" s="14"/>
      <c r="E370" s="14"/>
      <c r="F370" s="7"/>
      <c r="G370" s="14"/>
      <c r="H370" s="14"/>
      <c r="I370" s="7"/>
      <c r="J370" s="14"/>
      <c r="K370" s="240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ht="19.5" customHeight="1" x14ac:dyDescent="0.25">
      <c r="A371" s="7"/>
      <c r="B371" s="7"/>
      <c r="C371" s="7"/>
      <c r="D371" s="14"/>
      <c r="E371" s="14"/>
      <c r="F371" s="7"/>
      <c r="G371" s="14"/>
      <c r="H371" s="14"/>
      <c r="I371" s="7"/>
      <c r="J371" s="14"/>
      <c r="K371" s="240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ht="19.5" customHeight="1" x14ac:dyDescent="0.25">
      <c r="A372" s="7"/>
      <c r="B372" s="7"/>
      <c r="C372" s="7"/>
      <c r="D372" s="14"/>
      <c r="E372" s="14"/>
      <c r="F372" s="7"/>
      <c r="G372" s="14"/>
      <c r="H372" s="14"/>
      <c r="I372" s="7"/>
      <c r="J372" s="14"/>
      <c r="K372" s="240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ht="19.5" customHeight="1" x14ac:dyDescent="0.25">
      <c r="A373" s="7"/>
      <c r="B373" s="7"/>
      <c r="C373" s="7"/>
      <c r="D373" s="14"/>
      <c r="E373" s="14"/>
      <c r="F373" s="7"/>
      <c r="G373" s="14"/>
      <c r="H373" s="14"/>
      <c r="I373" s="7"/>
      <c r="J373" s="14"/>
      <c r="K373" s="240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ht="19.5" customHeight="1" x14ac:dyDescent="0.25">
      <c r="A374" s="7"/>
      <c r="B374" s="7"/>
      <c r="C374" s="7"/>
      <c r="D374" s="14"/>
      <c r="E374" s="14"/>
      <c r="F374" s="7"/>
      <c r="G374" s="14"/>
      <c r="H374" s="14"/>
      <c r="I374" s="7"/>
      <c r="J374" s="14"/>
      <c r="K374" s="240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ht="19.5" customHeight="1" x14ac:dyDescent="0.25">
      <c r="A375" s="7"/>
      <c r="B375" s="7"/>
      <c r="C375" s="7"/>
      <c r="D375" s="14"/>
      <c r="E375" s="14"/>
      <c r="F375" s="7"/>
      <c r="G375" s="14"/>
      <c r="H375" s="14"/>
      <c r="I375" s="7"/>
      <c r="J375" s="14"/>
      <c r="K375" s="240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ht="19.5" customHeight="1" x14ac:dyDescent="0.25">
      <c r="A376" s="7"/>
      <c r="B376" s="7"/>
      <c r="C376" s="7"/>
      <c r="D376" s="14"/>
      <c r="E376" s="14"/>
      <c r="F376" s="7"/>
      <c r="G376" s="14"/>
      <c r="H376" s="14"/>
      <c r="I376" s="7"/>
      <c r="J376" s="14"/>
      <c r="K376" s="240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ht="19.5" customHeight="1" x14ac:dyDescent="0.25">
      <c r="A377" s="7"/>
      <c r="B377" s="7"/>
      <c r="C377" s="7"/>
      <c r="D377" s="14"/>
      <c r="E377" s="14"/>
      <c r="F377" s="7"/>
      <c r="G377" s="14"/>
      <c r="H377" s="14"/>
      <c r="I377" s="7"/>
      <c r="J377" s="14"/>
      <c r="K377" s="240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ht="19.5" customHeight="1" x14ac:dyDescent="0.25">
      <c r="A378" s="7"/>
      <c r="B378" s="7"/>
      <c r="C378" s="7"/>
      <c r="D378" s="14"/>
      <c r="E378" s="14"/>
      <c r="F378" s="7"/>
      <c r="G378" s="14"/>
      <c r="H378" s="14"/>
      <c r="I378" s="7"/>
      <c r="J378" s="14"/>
      <c r="K378" s="240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ht="19.5" customHeight="1" x14ac:dyDescent="0.25">
      <c r="A379" s="7"/>
      <c r="B379" s="7"/>
      <c r="C379" s="7"/>
      <c r="D379" s="14"/>
      <c r="E379" s="14"/>
      <c r="F379" s="7"/>
      <c r="G379" s="14"/>
      <c r="H379" s="14"/>
      <c r="I379" s="7"/>
      <c r="J379" s="14"/>
      <c r="K379" s="240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ht="19.5" customHeight="1" x14ac:dyDescent="0.25">
      <c r="A380" s="7"/>
      <c r="B380" s="7"/>
      <c r="C380" s="7"/>
      <c r="D380" s="14"/>
      <c r="E380" s="14"/>
      <c r="F380" s="7"/>
      <c r="G380" s="14"/>
      <c r="H380" s="14"/>
      <c r="I380" s="7"/>
      <c r="J380" s="14"/>
      <c r="K380" s="240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ht="19.5" customHeight="1" x14ac:dyDescent="0.25">
      <c r="A381" s="7"/>
      <c r="B381" s="7"/>
      <c r="C381" s="7"/>
      <c r="D381" s="14"/>
      <c r="E381" s="14"/>
      <c r="F381" s="7"/>
      <c r="G381" s="14"/>
      <c r="H381" s="14"/>
      <c r="I381" s="7"/>
      <c r="J381" s="14"/>
      <c r="K381" s="240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ht="19.5" customHeight="1" x14ac:dyDescent="0.25">
      <c r="A382" s="7"/>
      <c r="B382" s="7"/>
      <c r="C382" s="7"/>
      <c r="D382" s="14"/>
      <c r="E382" s="14"/>
      <c r="F382" s="7"/>
      <c r="G382" s="14"/>
      <c r="H382" s="14"/>
      <c r="I382" s="7"/>
      <c r="J382" s="14"/>
      <c r="K382" s="240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ht="19.5" customHeight="1" x14ac:dyDescent="0.25">
      <c r="A383" s="7"/>
      <c r="B383" s="7"/>
      <c r="C383" s="7"/>
      <c r="D383" s="14"/>
      <c r="E383" s="14"/>
      <c r="F383" s="7"/>
      <c r="G383" s="14"/>
      <c r="H383" s="14"/>
      <c r="I383" s="7"/>
      <c r="J383" s="14"/>
      <c r="K383" s="240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ht="19.5" customHeight="1" x14ac:dyDescent="0.25">
      <c r="A384" s="7"/>
      <c r="B384" s="7"/>
      <c r="C384" s="7"/>
      <c r="D384" s="14"/>
      <c r="E384" s="14"/>
      <c r="F384" s="7"/>
      <c r="G384" s="14"/>
      <c r="H384" s="14"/>
      <c r="I384" s="7"/>
      <c r="J384" s="14"/>
      <c r="K384" s="240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ht="19.5" customHeight="1" x14ac:dyDescent="0.25">
      <c r="A385" s="7"/>
      <c r="B385" s="7"/>
      <c r="C385" s="7"/>
      <c r="D385" s="14"/>
      <c r="E385" s="14"/>
      <c r="F385" s="7"/>
      <c r="G385" s="14"/>
      <c r="H385" s="14"/>
      <c r="I385" s="7"/>
      <c r="J385" s="14"/>
      <c r="K385" s="240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ht="19.5" customHeight="1" x14ac:dyDescent="0.25">
      <c r="A386" s="7"/>
      <c r="B386" s="7"/>
      <c r="C386" s="7"/>
      <c r="D386" s="14"/>
      <c r="E386" s="14"/>
      <c r="F386" s="7"/>
      <c r="G386" s="14"/>
      <c r="H386" s="14"/>
      <c r="I386" s="7"/>
      <c r="J386" s="14"/>
      <c r="K386" s="240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ht="19.5" customHeight="1" x14ac:dyDescent="0.25">
      <c r="A387" s="7"/>
      <c r="B387" s="7"/>
      <c r="C387" s="7"/>
      <c r="D387" s="14"/>
      <c r="E387" s="14"/>
      <c r="F387" s="7"/>
      <c r="G387" s="14"/>
      <c r="H387" s="14"/>
      <c r="I387" s="7"/>
      <c r="J387" s="14"/>
      <c r="K387" s="240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ht="19.5" customHeight="1" x14ac:dyDescent="0.25">
      <c r="A388" s="7"/>
      <c r="B388" s="7"/>
      <c r="C388" s="7"/>
      <c r="D388" s="14"/>
      <c r="E388" s="14"/>
      <c r="F388" s="7"/>
      <c r="G388" s="14"/>
      <c r="H388" s="14"/>
      <c r="I388" s="7"/>
      <c r="J388" s="14"/>
      <c r="K388" s="240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ht="19.5" customHeight="1" x14ac:dyDescent="0.25">
      <c r="A389" s="7"/>
      <c r="B389" s="7"/>
      <c r="C389" s="7"/>
      <c r="D389" s="14"/>
      <c r="E389" s="14"/>
      <c r="F389" s="7"/>
      <c r="G389" s="14"/>
      <c r="H389" s="14"/>
      <c r="I389" s="7"/>
      <c r="J389" s="14"/>
      <c r="K389" s="240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ht="19.5" customHeight="1" x14ac:dyDescent="0.25">
      <c r="A390" s="7"/>
      <c r="B390" s="7"/>
      <c r="C390" s="7"/>
      <c r="D390" s="14"/>
      <c r="E390" s="14"/>
      <c r="F390" s="7"/>
      <c r="G390" s="14"/>
      <c r="H390" s="14"/>
      <c r="I390" s="7"/>
      <c r="J390" s="14"/>
      <c r="K390" s="240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ht="19.5" customHeight="1" x14ac:dyDescent="0.25">
      <c r="A391" s="7"/>
      <c r="B391" s="7"/>
      <c r="C391" s="7"/>
      <c r="D391" s="14"/>
      <c r="E391" s="14"/>
      <c r="F391" s="7"/>
      <c r="G391" s="14"/>
      <c r="H391" s="14"/>
      <c r="I391" s="7"/>
      <c r="J391" s="14"/>
      <c r="K391" s="240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ht="19.5" customHeight="1" x14ac:dyDescent="0.25">
      <c r="A392" s="7"/>
      <c r="B392" s="7"/>
      <c r="C392" s="7"/>
      <c r="D392" s="14"/>
      <c r="E392" s="14"/>
      <c r="F392" s="7"/>
      <c r="G392" s="14"/>
      <c r="H392" s="14"/>
      <c r="I392" s="7"/>
      <c r="J392" s="14"/>
      <c r="K392" s="240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ht="19.5" customHeight="1" x14ac:dyDescent="0.25">
      <c r="A393" s="7"/>
      <c r="B393" s="7"/>
      <c r="C393" s="7"/>
      <c r="D393" s="14"/>
      <c r="E393" s="14"/>
      <c r="F393" s="7"/>
      <c r="G393" s="14"/>
      <c r="H393" s="14"/>
      <c r="I393" s="7"/>
      <c r="J393" s="14"/>
      <c r="K393" s="240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ht="19.5" customHeight="1" x14ac:dyDescent="0.25">
      <c r="A394" s="7"/>
      <c r="B394" s="7"/>
      <c r="C394" s="7"/>
      <c r="D394" s="14"/>
      <c r="E394" s="14"/>
      <c r="F394" s="7"/>
      <c r="G394" s="14"/>
      <c r="H394" s="14"/>
      <c r="I394" s="7"/>
      <c r="J394" s="14"/>
      <c r="K394" s="240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ht="19.5" customHeight="1" x14ac:dyDescent="0.25">
      <c r="A395" s="7"/>
      <c r="B395" s="7"/>
      <c r="C395" s="7"/>
      <c r="D395" s="14"/>
      <c r="E395" s="14"/>
      <c r="F395" s="7"/>
      <c r="G395" s="14"/>
      <c r="H395" s="14"/>
      <c r="I395" s="7"/>
      <c r="J395" s="14"/>
      <c r="K395" s="240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ht="19.5" customHeight="1" x14ac:dyDescent="0.25">
      <c r="A396" s="7"/>
      <c r="B396" s="7"/>
      <c r="C396" s="7"/>
      <c r="D396" s="14"/>
      <c r="E396" s="14"/>
      <c r="F396" s="7"/>
      <c r="G396" s="14"/>
      <c r="H396" s="14"/>
      <c r="I396" s="7"/>
      <c r="J396" s="14"/>
      <c r="K396" s="240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ht="19.5" customHeight="1" x14ac:dyDescent="0.25">
      <c r="A397" s="7"/>
      <c r="B397" s="7"/>
      <c r="C397" s="7"/>
      <c r="D397" s="14"/>
      <c r="E397" s="14"/>
      <c r="F397" s="7"/>
      <c r="G397" s="14"/>
      <c r="H397" s="14"/>
      <c r="I397" s="7"/>
      <c r="J397" s="14"/>
      <c r="K397" s="240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ht="19.5" customHeight="1" x14ac:dyDescent="0.25">
      <c r="A398" s="7"/>
      <c r="B398" s="7"/>
      <c r="C398" s="7"/>
      <c r="D398" s="14"/>
      <c r="E398" s="14"/>
      <c r="F398" s="7"/>
      <c r="G398" s="14"/>
      <c r="H398" s="14"/>
      <c r="I398" s="7"/>
      <c r="J398" s="14"/>
      <c r="K398" s="240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ht="19.5" customHeight="1" x14ac:dyDescent="0.25">
      <c r="A399" s="7"/>
      <c r="B399" s="7"/>
      <c r="C399" s="7"/>
      <c r="D399" s="14"/>
      <c r="E399" s="14"/>
      <c r="F399" s="7"/>
      <c r="G399" s="14"/>
      <c r="H399" s="14"/>
      <c r="I399" s="7"/>
      <c r="J399" s="14"/>
      <c r="K399" s="240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ht="19.5" customHeight="1" x14ac:dyDescent="0.25">
      <c r="A400" s="7"/>
      <c r="B400" s="7"/>
      <c r="C400" s="7"/>
      <c r="D400" s="14"/>
      <c r="E400" s="14"/>
      <c r="F400" s="7"/>
      <c r="G400" s="14"/>
      <c r="H400" s="14"/>
      <c r="I400" s="7"/>
      <c r="J400" s="14"/>
      <c r="K400" s="240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ht="19.5" customHeight="1" x14ac:dyDescent="0.25">
      <c r="A401" s="7"/>
      <c r="B401" s="7"/>
      <c r="C401" s="7"/>
      <c r="D401" s="14"/>
      <c r="E401" s="14"/>
      <c r="F401" s="7"/>
      <c r="G401" s="14"/>
      <c r="H401" s="14"/>
      <c r="I401" s="7"/>
      <c r="J401" s="14"/>
      <c r="K401" s="240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ht="19.5" customHeight="1" x14ac:dyDescent="0.25">
      <c r="A402" s="7"/>
      <c r="B402" s="7"/>
      <c r="C402" s="7"/>
      <c r="D402" s="14"/>
      <c r="E402" s="14"/>
      <c r="F402" s="7"/>
      <c r="G402" s="14"/>
      <c r="H402" s="14"/>
      <c r="I402" s="7"/>
      <c r="J402" s="14"/>
      <c r="K402" s="240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ht="19.5" customHeight="1" x14ac:dyDescent="0.25">
      <c r="A403" s="7"/>
      <c r="B403" s="7"/>
      <c r="C403" s="7"/>
      <c r="D403" s="14"/>
      <c r="E403" s="14"/>
      <c r="F403" s="7"/>
      <c r="G403" s="14"/>
      <c r="H403" s="14"/>
      <c r="I403" s="7"/>
      <c r="J403" s="14"/>
      <c r="K403" s="240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ht="19.5" customHeight="1" x14ac:dyDescent="0.25">
      <c r="A404" s="7"/>
      <c r="B404" s="7"/>
      <c r="C404" s="7"/>
      <c r="D404" s="14"/>
      <c r="E404" s="14"/>
      <c r="F404" s="7"/>
      <c r="G404" s="14"/>
      <c r="H404" s="14"/>
      <c r="I404" s="7"/>
      <c r="J404" s="14"/>
      <c r="K404" s="240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ht="19.5" customHeight="1" x14ac:dyDescent="0.25">
      <c r="A405" s="7"/>
      <c r="B405" s="7"/>
      <c r="C405" s="7"/>
      <c r="D405" s="14"/>
      <c r="E405" s="14"/>
      <c r="F405" s="7"/>
      <c r="G405" s="14"/>
      <c r="H405" s="14"/>
      <c r="I405" s="7"/>
      <c r="J405" s="14"/>
      <c r="K405" s="240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ht="19.5" customHeight="1" x14ac:dyDescent="0.25">
      <c r="A406" s="7"/>
      <c r="B406" s="7"/>
      <c r="C406" s="7"/>
      <c r="D406" s="14"/>
      <c r="E406" s="14"/>
      <c r="F406" s="7"/>
      <c r="G406" s="14"/>
      <c r="H406" s="14"/>
      <c r="I406" s="7"/>
      <c r="J406" s="14"/>
      <c r="K406" s="240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ht="19.5" customHeight="1" x14ac:dyDescent="0.25">
      <c r="A407" s="7"/>
      <c r="B407" s="7"/>
      <c r="C407" s="7"/>
      <c r="D407" s="14"/>
      <c r="E407" s="14"/>
      <c r="F407" s="7"/>
      <c r="G407" s="14"/>
      <c r="H407" s="14"/>
      <c r="I407" s="7"/>
      <c r="J407" s="14"/>
      <c r="K407" s="240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ht="19.5" customHeight="1" x14ac:dyDescent="0.25">
      <c r="A408" s="7"/>
      <c r="B408" s="7"/>
      <c r="C408" s="7"/>
      <c r="D408" s="14"/>
      <c r="E408" s="14"/>
      <c r="F408" s="7"/>
      <c r="G408" s="14"/>
      <c r="H408" s="14"/>
      <c r="I408" s="7"/>
      <c r="J408" s="14"/>
      <c r="K408" s="240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ht="19.5" customHeight="1" x14ac:dyDescent="0.25">
      <c r="A409" s="7"/>
      <c r="B409" s="7"/>
      <c r="C409" s="7"/>
      <c r="D409" s="14"/>
      <c r="E409" s="14"/>
      <c r="F409" s="7"/>
      <c r="G409" s="14"/>
      <c r="H409" s="14"/>
      <c r="I409" s="7"/>
      <c r="J409" s="14"/>
      <c r="K409" s="240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ht="19.5" customHeight="1" x14ac:dyDescent="0.25">
      <c r="A410" s="7"/>
      <c r="B410" s="7"/>
      <c r="C410" s="7"/>
      <c r="D410" s="14"/>
      <c r="E410" s="14"/>
      <c r="F410" s="7"/>
      <c r="G410" s="14"/>
      <c r="H410" s="14"/>
      <c r="I410" s="7"/>
      <c r="J410" s="14"/>
      <c r="K410" s="240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ht="19.5" customHeight="1" x14ac:dyDescent="0.25">
      <c r="A411" s="7"/>
      <c r="B411" s="7"/>
      <c r="C411" s="7"/>
      <c r="D411" s="14"/>
      <c r="E411" s="14"/>
      <c r="F411" s="7"/>
      <c r="G411" s="14"/>
      <c r="H411" s="14"/>
      <c r="I411" s="7"/>
      <c r="J411" s="14"/>
      <c r="K411" s="240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ht="19.5" customHeight="1" x14ac:dyDescent="0.25">
      <c r="A412" s="7"/>
      <c r="B412" s="7"/>
      <c r="C412" s="7"/>
      <c r="D412" s="14"/>
      <c r="E412" s="14"/>
      <c r="F412" s="7"/>
      <c r="G412" s="14"/>
      <c r="H412" s="14"/>
      <c r="I412" s="7"/>
      <c r="J412" s="14"/>
      <c r="K412" s="240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ht="19.5" customHeight="1" x14ac:dyDescent="0.25">
      <c r="A413" s="7"/>
      <c r="B413" s="7"/>
      <c r="C413" s="7"/>
      <c r="D413" s="14"/>
      <c r="E413" s="14"/>
      <c r="F413" s="7"/>
      <c r="G413" s="14"/>
      <c r="H413" s="14"/>
      <c r="I413" s="7"/>
      <c r="J413" s="14"/>
      <c r="K413" s="240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ht="19.5" customHeight="1" x14ac:dyDescent="0.25">
      <c r="A414" s="7"/>
      <c r="B414" s="7"/>
      <c r="C414" s="7"/>
      <c r="D414" s="14"/>
      <c r="E414" s="14"/>
      <c r="F414" s="7"/>
      <c r="G414" s="14"/>
      <c r="H414" s="14"/>
      <c r="I414" s="7"/>
      <c r="J414" s="14"/>
      <c r="K414" s="240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ht="19.5" customHeight="1" x14ac:dyDescent="0.25">
      <c r="A415" s="7"/>
      <c r="B415" s="7"/>
      <c r="C415" s="7"/>
      <c r="D415" s="14"/>
      <c r="E415" s="14"/>
      <c r="F415" s="7"/>
      <c r="G415" s="14"/>
      <c r="H415" s="14"/>
      <c r="I415" s="7"/>
      <c r="J415" s="14"/>
      <c r="K415" s="240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ht="19.5" customHeight="1" x14ac:dyDescent="0.25">
      <c r="A416" s="7"/>
      <c r="B416" s="7"/>
      <c r="C416" s="7"/>
      <c r="D416" s="14"/>
      <c r="E416" s="14"/>
      <c r="F416" s="7"/>
      <c r="G416" s="14"/>
      <c r="H416" s="14"/>
      <c r="I416" s="7"/>
      <c r="J416" s="14"/>
      <c r="K416" s="240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ht="19.5" customHeight="1" x14ac:dyDescent="0.25">
      <c r="A417" s="7"/>
      <c r="B417" s="7"/>
      <c r="C417" s="7"/>
      <c r="D417" s="14"/>
      <c r="E417" s="14"/>
      <c r="F417" s="7"/>
      <c r="G417" s="14"/>
      <c r="H417" s="14"/>
      <c r="I417" s="7"/>
      <c r="J417" s="14"/>
      <c r="K417" s="240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ht="19.5" customHeight="1" x14ac:dyDescent="0.25">
      <c r="A418" s="7"/>
      <c r="B418" s="7"/>
      <c r="C418" s="7"/>
      <c r="D418" s="14"/>
      <c r="E418" s="14"/>
      <c r="F418" s="7"/>
      <c r="G418" s="14"/>
      <c r="H418" s="14"/>
      <c r="I418" s="7"/>
      <c r="J418" s="14"/>
      <c r="K418" s="240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ht="19.5" customHeight="1" x14ac:dyDescent="0.25">
      <c r="A419" s="7"/>
      <c r="B419" s="7"/>
      <c r="C419" s="7"/>
      <c r="D419" s="14"/>
      <c r="E419" s="14"/>
      <c r="F419" s="7"/>
      <c r="G419" s="14"/>
      <c r="H419" s="14"/>
      <c r="I419" s="7"/>
      <c r="J419" s="14"/>
      <c r="K419" s="240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ht="19.5" customHeight="1" x14ac:dyDescent="0.25">
      <c r="A420" s="7"/>
      <c r="B420" s="7"/>
      <c r="C420" s="7"/>
      <c r="D420" s="14"/>
      <c r="E420" s="14"/>
      <c r="F420" s="7"/>
      <c r="G420" s="14"/>
      <c r="H420" s="14"/>
      <c r="I420" s="7"/>
      <c r="J420" s="14"/>
      <c r="K420" s="240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ht="19.5" customHeight="1" x14ac:dyDescent="0.25">
      <c r="A421" s="7"/>
      <c r="B421" s="7"/>
      <c r="C421" s="7"/>
      <c r="D421" s="14"/>
      <c r="E421" s="14"/>
      <c r="F421" s="7"/>
      <c r="G421" s="14"/>
      <c r="H421" s="14"/>
      <c r="I421" s="7"/>
      <c r="J421" s="14"/>
      <c r="K421" s="240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ht="19.5" customHeight="1" x14ac:dyDescent="0.25">
      <c r="A422" s="7"/>
      <c r="B422" s="7"/>
      <c r="C422" s="7"/>
      <c r="D422" s="14"/>
      <c r="E422" s="14"/>
      <c r="F422" s="7"/>
      <c r="G422" s="14"/>
      <c r="H422" s="14"/>
      <c r="I422" s="7"/>
      <c r="J422" s="14"/>
      <c r="K422" s="240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ht="19.5" customHeight="1" x14ac:dyDescent="0.25">
      <c r="A423" s="7"/>
      <c r="B423" s="7"/>
      <c r="C423" s="7"/>
      <c r="D423" s="14"/>
      <c r="E423" s="14"/>
      <c r="F423" s="7"/>
      <c r="G423" s="14"/>
      <c r="H423" s="14"/>
      <c r="I423" s="7"/>
      <c r="J423" s="14"/>
      <c r="K423" s="240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ht="19.5" customHeight="1" x14ac:dyDescent="0.25">
      <c r="A424" s="7"/>
      <c r="B424" s="7"/>
      <c r="C424" s="7"/>
      <c r="D424" s="14"/>
      <c r="E424" s="14"/>
      <c r="F424" s="7"/>
      <c r="G424" s="14"/>
      <c r="H424" s="14"/>
      <c r="I424" s="7"/>
      <c r="J424" s="14"/>
      <c r="K424" s="240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ht="19.5" customHeight="1" x14ac:dyDescent="0.25">
      <c r="A425" s="7"/>
      <c r="B425" s="7"/>
      <c r="C425" s="7"/>
      <c r="D425" s="14"/>
      <c r="E425" s="14"/>
      <c r="F425" s="7"/>
      <c r="G425" s="14"/>
      <c r="H425" s="14"/>
      <c r="I425" s="7"/>
      <c r="J425" s="14"/>
      <c r="K425" s="240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ht="19.5" customHeight="1" x14ac:dyDescent="0.25">
      <c r="A426" s="7"/>
      <c r="B426" s="7"/>
      <c r="C426" s="7"/>
      <c r="D426" s="14"/>
      <c r="E426" s="14"/>
      <c r="F426" s="7"/>
      <c r="G426" s="14"/>
      <c r="H426" s="14"/>
      <c r="I426" s="7"/>
      <c r="J426" s="14"/>
      <c r="K426" s="240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ht="19.5" customHeight="1" x14ac:dyDescent="0.25">
      <c r="A427" s="7"/>
      <c r="B427" s="7"/>
      <c r="C427" s="7"/>
      <c r="D427" s="14"/>
      <c r="E427" s="14"/>
      <c r="F427" s="7"/>
      <c r="G427" s="14"/>
      <c r="H427" s="14"/>
      <c r="I427" s="7"/>
      <c r="J427" s="14"/>
      <c r="K427" s="240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ht="19.5" customHeight="1" x14ac:dyDescent="0.25">
      <c r="A428" s="7"/>
      <c r="B428" s="7"/>
      <c r="C428" s="7"/>
      <c r="D428" s="14"/>
      <c r="E428" s="14"/>
      <c r="F428" s="7"/>
      <c r="G428" s="14"/>
      <c r="H428" s="14"/>
      <c r="I428" s="7"/>
      <c r="J428" s="14"/>
      <c r="K428" s="240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ht="19.5" customHeight="1" x14ac:dyDescent="0.25">
      <c r="A429" s="7"/>
      <c r="B429" s="7"/>
      <c r="C429" s="7"/>
      <c r="D429" s="14"/>
      <c r="E429" s="14"/>
      <c r="F429" s="7"/>
      <c r="G429" s="14"/>
      <c r="H429" s="14"/>
      <c r="I429" s="7"/>
      <c r="J429" s="14"/>
      <c r="K429" s="240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ht="19.5" customHeight="1" x14ac:dyDescent="0.25">
      <c r="A430" s="7"/>
      <c r="B430" s="7"/>
      <c r="C430" s="7"/>
      <c r="D430" s="14"/>
      <c r="E430" s="14"/>
      <c r="F430" s="7"/>
      <c r="G430" s="14"/>
      <c r="H430" s="14"/>
      <c r="I430" s="7"/>
      <c r="J430" s="14"/>
      <c r="K430" s="240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ht="19.5" customHeight="1" x14ac:dyDescent="0.25">
      <c r="A431" s="7"/>
      <c r="B431" s="7"/>
      <c r="C431" s="7"/>
      <c r="D431" s="14"/>
      <c r="E431" s="14"/>
      <c r="F431" s="7"/>
      <c r="G431" s="14"/>
      <c r="H431" s="14"/>
      <c r="I431" s="7"/>
      <c r="J431" s="14"/>
      <c r="K431" s="240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ht="19.5" customHeight="1" x14ac:dyDescent="0.25">
      <c r="A432" s="7"/>
      <c r="B432" s="7"/>
      <c r="C432" s="7"/>
      <c r="D432" s="14"/>
      <c r="E432" s="14"/>
      <c r="F432" s="7"/>
      <c r="G432" s="14"/>
      <c r="H432" s="14"/>
      <c r="I432" s="7"/>
      <c r="J432" s="14"/>
      <c r="K432" s="240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ht="19.5" customHeight="1" x14ac:dyDescent="0.25">
      <c r="A433" s="7"/>
      <c r="B433" s="7"/>
      <c r="C433" s="7"/>
      <c r="D433" s="14"/>
      <c r="E433" s="14"/>
      <c r="F433" s="7"/>
      <c r="G433" s="14"/>
      <c r="H433" s="14"/>
      <c r="I433" s="7"/>
      <c r="J433" s="14"/>
      <c r="K433" s="240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ht="19.5" customHeight="1" x14ac:dyDescent="0.25">
      <c r="A434" s="7"/>
      <c r="B434" s="7"/>
      <c r="C434" s="7"/>
      <c r="D434" s="14"/>
      <c r="E434" s="14"/>
      <c r="F434" s="7"/>
      <c r="G434" s="14"/>
      <c r="H434" s="14"/>
      <c r="I434" s="7"/>
      <c r="J434" s="14"/>
      <c r="K434" s="240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ht="19.5" customHeight="1" x14ac:dyDescent="0.25">
      <c r="A435" s="7"/>
      <c r="B435" s="7"/>
      <c r="C435" s="7"/>
      <c r="D435" s="14"/>
      <c r="E435" s="14"/>
      <c r="F435" s="7"/>
      <c r="G435" s="14"/>
      <c r="H435" s="14"/>
      <c r="I435" s="7"/>
      <c r="J435" s="14"/>
      <c r="K435" s="240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ht="19.5" customHeight="1" x14ac:dyDescent="0.25">
      <c r="A436" s="7"/>
      <c r="B436" s="7"/>
      <c r="C436" s="7"/>
      <c r="D436" s="14"/>
      <c r="E436" s="14"/>
      <c r="F436" s="7"/>
      <c r="G436" s="14"/>
      <c r="H436" s="14"/>
      <c r="I436" s="7"/>
      <c r="J436" s="14"/>
      <c r="K436" s="240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ht="19.5" customHeight="1" x14ac:dyDescent="0.25">
      <c r="A437" s="7"/>
      <c r="B437" s="7"/>
      <c r="C437" s="7"/>
      <c r="D437" s="14"/>
      <c r="E437" s="14"/>
      <c r="F437" s="7"/>
      <c r="G437" s="14"/>
      <c r="H437" s="14"/>
      <c r="I437" s="7"/>
      <c r="J437" s="14"/>
      <c r="K437" s="240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ht="19.5" customHeight="1" x14ac:dyDescent="0.25">
      <c r="A438" s="7"/>
      <c r="B438" s="7"/>
      <c r="C438" s="7"/>
      <c r="D438" s="14"/>
      <c r="E438" s="14"/>
      <c r="F438" s="7"/>
      <c r="G438" s="14"/>
      <c r="H438" s="14"/>
      <c r="I438" s="7"/>
      <c r="J438" s="14"/>
      <c r="K438" s="240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ht="19.5" customHeight="1" x14ac:dyDescent="0.25">
      <c r="A439" s="7"/>
      <c r="B439" s="7"/>
      <c r="C439" s="7"/>
      <c r="D439" s="14"/>
      <c r="E439" s="14"/>
      <c r="F439" s="7"/>
      <c r="G439" s="14"/>
      <c r="H439" s="14"/>
      <c r="I439" s="7"/>
      <c r="J439" s="14"/>
      <c r="K439" s="240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ht="19.5" customHeight="1" x14ac:dyDescent="0.25">
      <c r="A440" s="7"/>
      <c r="B440" s="7"/>
      <c r="C440" s="7"/>
      <c r="D440" s="14"/>
      <c r="E440" s="14"/>
      <c r="F440" s="7"/>
      <c r="G440" s="14"/>
      <c r="H440" s="14"/>
      <c r="I440" s="7"/>
      <c r="J440" s="14"/>
      <c r="K440" s="240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ht="19.5" customHeight="1" x14ac:dyDescent="0.25">
      <c r="A441" s="7"/>
      <c r="B441" s="7"/>
      <c r="C441" s="7"/>
      <c r="D441" s="14"/>
      <c r="E441" s="14"/>
      <c r="F441" s="7"/>
      <c r="G441" s="14"/>
      <c r="H441" s="14"/>
      <c r="I441" s="7"/>
      <c r="J441" s="14"/>
      <c r="K441" s="240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ht="19.5" customHeight="1" x14ac:dyDescent="0.25">
      <c r="A442" s="7"/>
      <c r="B442" s="7"/>
      <c r="C442" s="7"/>
      <c r="D442" s="14"/>
      <c r="E442" s="14"/>
      <c r="F442" s="7"/>
      <c r="G442" s="14"/>
      <c r="H442" s="14"/>
      <c r="I442" s="7"/>
      <c r="J442" s="14"/>
      <c r="K442" s="240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ht="19.5" customHeight="1" x14ac:dyDescent="0.25">
      <c r="A443" s="7"/>
      <c r="B443" s="7"/>
      <c r="C443" s="7"/>
      <c r="D443" s="14"/>
      <c r="E443" s="14"/>
      <c r="F443" s="7"/>
      <c r="G443" s="14"/>
      <c r="H443" s="14"/>
      <c r="I443" s="7"/>
      <c r="J443" s="14"/>
      <c r="K443" s="240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ht="19.5" customHeight="1" x14ac:dyDescent="0.25">
      <c r="A444" s="7"/>
      <c r="B444" s="7"/>
      <c r="C444" s="7"/>
      <c r="D444" s="14"/>
      <c r="E444" s="14"/>
      <c r="F444" s="7"/>
      <c r="G444" s="14"/>
      <c r="H444" s="14"/>
      <c r="I444" s="7"/>
      <c r="J444" s="14"/>
      <c r="K444" s="240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ht="19.5" customHeight="1" x14ac:dyDescent="0.25">
      <c r="A445" s="7"/>
      <c r="B445" s="7"/>
      <c r="C445" s="7"/>
      <c r="D445" s="14"/>
      <c r="E445" s="14"/>
      <c r="F445" s="7"/>
      <c r="G445" s="14"/>
      <c r="H445" s="14"/>
      <c r="I445" s="7"/>
      <c r="J445" s="14"/>
      <c r="K445" s="240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ht="19.5" customHeight="1" x14ac:dyDescent="0.25">
      <c r="A446" s="7"/>
      <c r="B446" s="7"/>
      <c r="C446" s="7"/>
      <c r="D446" s="14"/>
      <c r="E446" s="14"/>
      <c r="F446" s="7"/>
      <c r="G446" s="14"/>
      <c r="H446" s="14"/>
      <c r="I446" s="7"/>
      <c r="J446" s="14"/>
      <c r="K446" s="240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ht="19.5" customHeight="1" x14ac:dyDescent="0.25">
      <c r="A447" s="7"/>
      <c r="B447" s="7"/>
      <c r="C447" s="7"/>
      <c r="D447" s="14"/>
      <c r="E447" s="14"/>
      <c r="F447" s="7"/>
      <c r="G447" s="14"/>
      <c r="H447" s="14"/>
      <c r="I447" s="7"/>
      <c r="J447" s="14"/>
      <c r="K447" s="240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ht="19.5" customHeight="1" x14ac:dyDescent="0.25">
      <c r="A448" s="7"/>
      <c r="B448" s="7"/>
      <c r="C448" s="7"/>
      <c r="D448" s="14"/>
      <c r="E448" s="14"/>
      <c r="F448" s="7"/>
      <c r="G448" s="14"/>
      <c r="H448" s="14"/>
      <c r="I448" s="7"/>
      <c r="J448" s="14"/>
      <c r="K448" s="240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ht="19.5" customHeight="1" x14ac:dyDescent="0.25">
      <c r="A449" s="7"/>
      <c r="B449" s="7"/>
      <c r="C449" s="7"/>
      <c r="D449" s="14"/>
      <c r="E449" s="14"/>
      <c r="F449" s="7"/>
      <c r="G449" s="14"/>
      <c r="H449" s="14"/>
      <c r="I449" s="7"/>
      <c r="J449" s="14"/>
      <c r="K449" s="240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ht="19.5" customHeight="1" x14ac:dyDescent="0.25">
      <c r="A450" s="7"/>
      <c r="B450" s="7"/>
      <c r="C450" s="7"/>
      <c r="D450" s="14"/>
      <c r="E450" s="14"/>
      <c r="F450" s="7"/>
      <c r="G450" s="14"/>
      <c r="H450" s="14"/>
      <c r="I450" s="7"/>
      <c r="J450" s="14"/>
      <c r="K450" s="240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 ht="19.5" customHeight="1" x14ac:dyDescent="0.25">
      <c r="A451" s="7"/>
      <c r="B451" s="7"/>
      <c r="C451" s="7"/>
      <c r="D451" s="14"/>
      <c r="E451" s="14"/>
      <c r="F451" s="7"/>
      <c r="G451" s="14"/>
      <c r="H451" s="14"/>
      <c r="I451" s="7"/>
      <c r="J451" s="14"/>
      <c r="K451" s="240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 ht="19.5" customHeight="1" x14ac:dyDescent="0.25">
      <c r="A452" s="7"/>
      <c r="B452" s="7"/>
      <c r="C452" s="7"/>
      <c r="D452" s="14"/>
      <c r="E452" s="14"/>
      <c r="F452" s="7"/>
      <c r="G452" s="14"/>
      <c r="H452" s="14"/>
      <c r="I452" s="7"/>
      <c r="J452" s="14"/>
      <c r="K452" s="240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ht="19.5" customHeight="1" x14ac:dyDescent="0.25">
      <c r="A453" s="7"/>
      <c r="B453" s="7"/>
      <c r="C453" s="7"/>
      <c r="D453" s="14"/>
      <c r="E453" s="14"/>
      <c r="F453" s="7"/>
      <c r="G453" s="14"/>
      <c r="H453" s="14"/>
      <c r="I453" s="7"/>
      <c r="J453" s="14"/>
      <c r="K453" s="240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ht="19.5" customHeight="1" x14ac:dyDescent="0.25">
      <c r="A454" s="7"/>
      <c r="B454" s="7"/>
      <c r="C454" s="7"/>
      <c r="D454" s="14"/>
      <c r="E454" s="14"/>
      <c r="F454" s="7"/>
      <c r="G454" s="14"/>
      <c r="H454" s="14"/>
      <c r="I454" s="7"/>
      <c r="J454" s="14"/>
      <c r="K454" s="240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ht="19.5" customHeight="1" x14ac:dyDescent="0.25">
      <c r="A455" s="7"/>
      <c r="B455" s="7"/>
      <c r="C455" s="7"/>
      <c r="D455" s="14"/>
      <c r="E455" s="14"/>
      <c r="F455" s="7"/>
      <c r="G455" s="14"/>
      <c r="H455" s="14"/>
      <c r="I455" s="7"/>
      <c r="J455" s="14"/>
      <c r="K455" s="240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ht="19.5" customHeight="1" x14ac:dyDescent="0.25">
      <c r="A456" s="7"/>
      <c r="B456" s="7"/>
      <c r="C456" s="7"/>
      <c r="D456" s="14"/>
      <c r="E456" s="14"/>
      <c r="F456" s="7"/>
      <c r="G456" s="14"/>
      <c r="H456" s="14"/>
      <c r="I456" s="7"/>
      <c r="J456" s="14"/>
      <c r="K456" s="240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ht="19.5" customHeight="1" x14ac:dyDescent="0.25">
      <c r="A457" s="7"/>
      <c r="B457" s="7"/>
      <c r="C457" s="7"/>
      <c r="D457" s="14"/>
      <c r="E457" s="14"/>
      <c r="F457" s="7"/>
      <c r="G457" s="14"/>
      <c r="H457" s="14"/>
      <c r="I457" s="7"/>
      <c r="J457" s="14"/>
      <c r="K457" s="240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ht="19.5" customHeight="1" x14ac:dyDescent="0.25">
      <c r="A458" s="7"/>
      <c r="B458" s="7"/>
      <c r="C458" s="7"/>
      <c r="D458" s="14"/>
      <c r="E458" s="14"/>
      <c r="F458" s="7"/>
      <c r="G458" s="14"/>
      <c r="H458" s="14"/>
      <c r="I458" s="7"/>
      <c r="J458" s="14"/>
      <c r="K458" s="240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ht="19.5" customHeight="1" x14ac:dyDescent="0.25">
      <c r="A459" s="7"/>
      <c r="B459" s="7"/>
      <c r="C459" s="7"/>
      <c r="D459" s="14"/>
      <c r="E459" s="14"/>
      <c r="F459" s="7"/>
      <c r="G459" s="14"/>
      <c r="H459" s="14"/>
      <c r="I459" s="7"/>
      <c r="J459" s="14"/>
      <c r="K459" s="240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ht="19.5" customHeight="1" x14ac:dyDescent="0.25">
      <c r="A460" s="7"/>
      <c r="B460" s="7"/>
      <c r="C460" s="7"/>
      <c r="D460" s="14"/>
      <c r="E460" s="14"/>
      <c r="F460" s="7"/>
      <c r="G460" s="14"/>
      <c r="H460" s="14"/>
      <c r="I460" s="7"/>
      <c r="J460" s="14"/>
      <c r="K460" s="240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ht="19.5" customHeight="1" x14ac:dyDescent="0.25">
      <c r="A461" s="7"/>
      <c r="B461" s="7"/>
      <c r="C461" s="7"/>
      <c r="D461" s="14"/>
      <c r="E461" s="14"/>
      <c r="F461" s="7"/>
      <c r="G461" s="14"/>
      <c r="H461" s="14"/>
      <c r="I461" s="7"/>
      <c r="J461" s="14"/>
      <c r="K461" s="240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ht="19.5" customHeight="1" x14ac:dyDescent="0.25">
      <c r="A462" s="7"/>
      <c r="B462" s="7"/>
      <c r="C462" s="7"/>
      <c r="D462" s="14"/>
      <c r="E462" s="14"/>
      <c r="F462" s="7"/>
      <c r="G462" s="14"/>
      <c r="H462" s="14"/>
      <c r="I462" s="7"/>
      <c r="J462" s="14"/>
      <c r="K462" s="240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 ht="19.5" customHeight="1" x14ac:dyDescent="0.25">
      <c r="A463" s="7"/>
      <c r="B463" s="7"/>
      <c r="C463" s="7"/>
      <c r="D463" s="14"/>
      <c r="E463" s="14"/>
      <c r="F463" s="7"/>
      <c r="G463" s="14"/>
      <c r="H463" s="14"/>
      <c r="I463" s="7"/>
      <c r="J463" s="14"/>
      <c r="K463" s="240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ht="19.5" customHeight="1" x14ac:dyDescent="0.25">
      <c r="A464" s="7"/>
      <c r="B464" s="7"/>
      <c r="C464" s="7"/>
      <c r="D464" s="14"/>
      <c r="E464" s="14"/>
      <c r="F464" s="7"/>
      <c r="G464" s="14"/>
      <c r="H464" s="14"/>
      <c r="I464" s="7"/>
      <c r="J464" s="14"/>
      <c r="K464" s="240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ht="19.5" customHeight="1" x14ac:dyDescent="0.25">
      <c r="A465" s="7"/>
      <c r="B465" s="7"/>
      <c r="C465" s="7"/>
      <c r="D465" s="14"/>
      <c r="E465" s="14"/>
      <c r="F465" s="7"/>
      <c r="G465" s="14"/>
      <c r="H465" s="14"/>
      <c r="I465" s="7"/>
      <c r="J465" s="14"/>
      <c r="K465" s="240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ht="19.5" customHeight="1" x14ac:dyDescent="0.25">
      <c r="A466" s="7"/>
      <c r="B466" s="7"/>
      <c r="C466" s="7"/>
      <c r="D466" s="14"/>
      <c r="E466" s="14"/>
      <c r="F466" s="7"/>
      <c r="G466" s="14"/>
      <c r="H466" s="14"/>
      <c r="I466" s="7"/>
      <c r="J466" s="14"/>
      <c r="K466" s="240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ht="19.5" customHeight="1" x14ac:dyDescent="0.25">
      <c r="A467" s="7"/>
      <c r="B467" s="7"/>
      <c r="C467" s="7"/>
      <c r="D467" s="14"/>
      <c r="E467" s="14"/>
      <c r="F467" s="7"/>
      <c r="G467" s="14"/>
      <c r="H467" s="14"/>
      <c r="I467" s="7"/>
      <c r="J467" s="14"/>
      <c r="K467" s="240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ht="19.5" customHeight="1" x14ac:dyDescent="0.25">
      <c r="A468" s="7"/>
      <c r="B468" s="7"/>
      <c r="C468" s="7"/>
      <c r="D468" s="14"/>
      <c r="E468" s="14"/>
      <c r="F468" s="7"/>
      <c r="G468" s="14"/>
      <c r="H468" s="14"/>
      <c r="I468" s="7"/>
      <c r="J468" s="14"/>
      <c r="K468" s="240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ht="19.5" customHeight="1" x14ac:dyDescent="0.25">
      <c r="A469" s="7"/>
      <c r="B469" s="7"/>
      <c r="C469" s="7"/>
      <c r="D469" s="14"/>
      <c r="E469" s="14"/>
      <c r="F469" s="7"/>
      <c r="G469" s="14"/>
      <c r="H469" s="14"/>
      <c r="I469" s="7"/>
      <c r="J469" s="14"/>
      <c r="K469" s="240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ht="19.5" customHeight="1" x14ac:dyDescent="0.25">
      <c r="A470" s="7"/>
      <c r="B470" s="7"/>
      <c r="C470" s="7"/>
      <c r="D470" s="14"/>
      <c r="E470" s="14"/>
      <c r="F470" s="7"/>
      <c r="G470" s="14"/>
      <c r="H470" s="14"/>
      <c r="I470" s="7"/>
      <c r="J470" s="14"/>
      <c r="K470" s="240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 ht="19.5" customHeight="1" x14ac:dyDescent="0.25">
      <c r="A471" s="7"/>
      <c r="B471" s="7"/>
      <c r="C471" s="7"/>
      <c r="D471" s="14"/>
      <c r="E471" s="14"/>
      <c r="F471" s="7"/>
      <c r="G471" s="14"/>
      <c r="H471" s="14"/>
      <c r="I471" s="7"/>
      <c r="J471" s="14"/>
      <c r="K471" s="240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ht="19.5" customHeight="1" x14ac:dyDescent="0.25">
      <c r="A472" s="7"/>
      <c r="B472" s="7"/>
      <c r="C472" s="7"/>
      <c r="D472" s="14"/>
      <c r="E472" s="14"/>
      <c r="F472" s="7"/>
      <c r="G472" s="14"/>
      <c r="H472" s="14"/>
      <c r="I472" s="7"/>
      <c r="J472" s="14"/>
      <c r="K472" s="240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 ht="19.5" customHeight="1" x14ac:dyDescent="0.25">
      <c r="A473" s="7"/>
      <c r="B473" s="7"/>
      <c r="C473" s="7"/>
      <c r="D473" s="14"/>
      <c r="E473" s="14"/>
      <c r="F473" s="7"/>
      <c r="G473" s="14"/>
      <c r="H473" s="14"/>
      <c r="I473" s="7"/>
      <c r="J473" s="14"/>
      <c r="K473" s="240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ht="19.5" customHeight="1" x14ac:dyDescent="0.25">
      <c r="A474" s="7"/>
      <c r="B474" s="7"/>
      <c r="C474" s="7"/>
      <c r="D474" s="14"/>
      <c r="E474" s="14"/>
      <c r="F474" s="7"/>
      <c r="G474" s="14"/>
      <c r="H474" s="14"/>
      <c r="I474" s="7"/>
      <c r="J474" s="14"/>
      <c r="K474" s="240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ht="19.5" customHeight="1" x14ac:dyDescent="0.25">
      <c r="A475" s="7"/>
      <c r="B475" s="7"/>
      <c r="C475" s="7"/>
      <c r="D475" s="14"/>
      <c r="E475" s="14"/>
      <c r="F475" s="7"/>
      <c r="G475" s="14"/>
      <c r="H475" s="14"/>
      <c r="I475" s="7"/>
      <c r="J475" s="14"/>
      <c r="K475" s="240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ht="19.5" customHeight="1" x14ac:dyDescent="0.25">
      <c r="A476" s="7"/>
      <c r="B476" s="7"/>
      <c r="C476" s="7"/>
      <c r="D476" s="14"/>
      <c r="E476" s="14"/>
      <c r="F476" s="7"/>
      <c r="G476" s="14"/>
      <c r="H476" s="14"/>
      <c r="I476" s="7"/>
      <c r="J476" s="14"/>
      <c r="K476" s="240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ht="19.5" customHeight="1" x14ac:dyDescent="0.25">
      <c r="A477" s="7"/>
      <c r="B477" s="7"/>
      <c r="C477" s="7"/>
      <c r="D477" s="14"/>
      <c r="E477" s="14"/>
      <c r="F477" s="7"/>
      <c r="G477" s="14"/>
      <c r="H477" s="14"/>
      <c r="I477" s="7"/>
      <c r="J477" s="14"/>
      <c r="K477" s="240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ht="19.5" customHeight="1" x14ac:dyDescent="0.25">
      <c r="A478" s="7"/>
      <c r="B478" s="7"/>
      <c r="C478" s="7"/>
      <c r="D478" s="14"/>
      <c r="E478" s="14"/>
      <c r="F478" s="7"/>
      <c r="G478" s="14"/>
      <c r="H478" s="14"/>
      <c r="I478" s="7"/>
      <c r="J478" s="14"/>
      <c r="K478" s="240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 ht="19.5" customHeight="1" x14ac:dyDescent="0.25">
      <c r="A479" s="7"/>
      <c r="B479" s="7"/>
      <c r="C479" s="7"/>
      <c r="D479" s="14"/>
      <c r="E479" s="14"/>
      <c r="F479" s="7"/>
      <c r="G479" s="14"/>
      <c r="H479" s="14"/>
      <c r="I479" s="7"/>
      <c r="J479" s="14"/>
      <c r="K479" s="240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ht="19.5" customHeight="1" x14ac:dyDescent="0.25">
      <c r="A480" s="7"/>
      <c r="B480" s="7"/>
      <c r="C480" s="7"/>
      <c r="D480" s="14"/>
      <c r="E480" s="14"/>
      <c r="F480" s="7"/>
      <c r="G480" s="14"/>
      <c r="H480" s="14"/>
      <c r="I480" s="7"/>
      <c r="J480" s="14"/>
      <c r="K480" s="240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ht="19.5" customHeight="1" x14ac:dyDescent="0.25">
      <c r="A481" s="7"/>
      <c r="B481" s="7"/>
      <c r="C481" s="7"/>
      <c r="D481" s="14"/>
      <c r="E481" s="14"/>
      <c r="F481" s="7"/>
      <c r="G481" s="14"/>
      <c r="H481" s="14"/>
      <c r="I481" s="7"/>
      <c r="J481" s="14"/>
      <c r="K481" s="240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ht="19.5" customHeight="1" x14ac:dyDescent="0.25">
      <c r="A482" s="7"/>
      <c r="B482" s="7"/>
      <c r="C482" s="7"/>
      <c r="D482" s="14"/>
      <c r="E482" s="14"/>
      <c r="F482" s="7"/>
      <c r="G482" s="14"/>
      <c r="H482" s="14"/>
      <c r="I482" s="7"/>
      <c r="J482" s="14"/>
      <c r="K482" s="240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ht="19.5" customHeight="1" x14ac:dyDescent="0.25">
      <c r="A483" s="7"/>
      <c r="B483" s="7"/>
      <c r="C483" s="7"/>
      <c r="D483" s="14"/>
      <c r="E483" s="14"/>
      <c r="F483" s="7"/>
      <c r="G483" s="14"/>
      <c r="H483" s="14"/>
      <c r="I483" s="7"/>
      <c r="J483" s="14"/>
      <c r="K483" s="240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ht="19.5" customHeight="1" x14ac:dyDescent="0.25">
      <c r="A484" s="7"/>
      <c r="B484" s="7"/>
      <c r="C484" s="7"/>
      <c r="D484" s="14"/>
      <c r="E484" s="14"/>
      <c r="F484" s="7"/>
      <c r="G484" s="14"/>
      <c r="H484" s="14"/>
      <c r="I484" s="7"/>
      <c r="J484" s="14"/>
      <c r="K484" s="240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ht="19.5" customHeight="1" x14ac:dyDescent="0.25">
      <c r="A485" s="7"/>
      <c r="B485" s="7"/>
      <c r="C485" s="7"/>
      <c r="D485" s="14"/>
      <c r="E485" s="14"/>
      <c r="F485" s="7"/>
      <c r="G485" s="14"/>
      <c r="H485" s="14"/>
      <c r="I485" s="7"/>
      <c r="J485" s="14"/>
      <c r="K485" s="240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ht="19.5" customHeight="1" x14ac:dyDescent="0.25">
      <c r="A486" s="7"/>
      <c r="B486" s="7"/>
      <c r="C486" s="7"/>
      <c r="D486" s="14"/>
      <c r="E486" s="14"/>
      <c r="F486" s="7"/>
      <c r="G486" s="14"/>
      <c r="H486" s="14"/>
      <c r="I486" s="7"/>
      <c r="J486" s="14"/>
      <c r="K486" s="240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ht="19.5" customHeight="1" x14ac:dyDescent="0.25">
      <c r="A487" s="7"/>
      <c r="B487" s="7"/>
      <c r="C487" s="7"/>
      <c r="D487" s="14"/>
      <c r="E487" s="14"/>
      <c r="F487" s="7"/>
      <c r="G487" s="14"/>
      <c r="H487" s="14"/>
      <c r="I487" s="7"/>
      <c r="J487" s="14"/>
      <c r="K487" s="240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ht="19.5" customHeight="1" x14ac:dyDescent="0.25">
      <c r="A488" s="7"/>
      <c r="B488" s="7"/>
      <c r="C488" s="7"/>
      <c r="D488" s="14"/>
      <c r="E488" s="14"/>
      <c r="F488" s="7"/>
      <c r="G488" s="14"/>
      <c r="H488" s="14"/>
      <c r="I488" s="7"/>
      <c r="J488" s="14"/>
      <c r="K488" s="240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ht="19.5" customHeight="1" x14ac:dyDescent="0.25">
      <c r="A489" s="7"/>
      <c r="B489" s="7"/>
      <c r="C489" s="7"/>
      <c r="D489" s="14"/>
      <c r="E489" s="14"/>
      <c r="F489" s="7"/>
      <c r="G489" s="14"/>
      <c r="H489" s="14"/>
      <c r="I489" s="7"/>
      <c r="J489" s="14"/>
      <c r="K489" s="240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ht="19.5" customHeight="1" x14ac:dyDescent="0.25">
      <c r="A490" s="7"/>
      <c r="B490" s="7"/>
      <c r="C490" s="7"/>
      <c r="D490" s="14"/>
      <c r="E490" s="14"/>
      <c r="F490" s="7"/>
      <c r="G490" s="14"/>
      <c r="H490" s="14"/>
      <c r="I490" s="7"/>
      <c r="J490" s="14"/>
      <c r="K490" s="240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ht="19.5" customHeight="1" x14ac:dyDescent="0.25">
      <c r="A491" s="7"/>
      <c r="B491" s="7"/>
      <c r="C491" s="7"/>
      <c r="D491" s="14"/>
      <c r="E491" s="14"/>
      <c r="F491" s="7"/>
      <c r="G491" s="14"/>
      <c r="H491" s="14"/>
      <c r="I491" s="7"/>
      <c r="J491" s="14"/>
      <c r="K491" s="240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ht="19.5" customHeight="1" x14ac:dyDescent="0.25">
      <c r="A492" s="7"/>
      <c r="B492" s="7"/>
      <c r="C492" s="7"/>
      <c r="D492" s="14"/>
      <c r="E492" s="14"/>
      <c r="F492" s="7"/>
      <c r="G492" s="14"/>
      <c r="H492" s="14"/>
      <c r="I492" s="7"/>
      <c r="J492" s="14"/>
      <c r="K492" s="240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ht="19.5" customHeight="1" x14ac:dyDescent="0.25">
      <c r="A493" s="7"/>
      <c r="B493" s="7"/>
      <c r="C493" s="7"/>
      <c r="D493" s="14"/>
      <c r="E493" s="14"/>
      <c r="F493" s="7"/>
      <c r="G493" s="14"/>
      <c r="H493" s="14"/>
      <c r="I493" s="7"/>
      <c r="J493" s="14"/>
      <c r="K493" s="240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ht="19.5" customHeight="1" x14ac:dyDescent="0.25">
      <c r="A494" s="7"/>
      <c r="B494" s="7"/>
      <c r="C494" s="7"/>
      <c r="D494" s="14"/>
      <c r="E494" s="14"/>
      <c r="F494" s="7"/>
      <c r="G494" s="14"/>
      <c r="H494" s="14"/>
      <c r="I494" s="7"/>
      <c r="J494" s="14"/>
      <c r="K494" s="240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ht="19.5" customHeight="1" x14ac:dyDescent="0.25">
      <c r="A495" s="7"/>
      <c r="B495" s="7"/>
      <c r="C495" s="7"/>
      <c r="D495" s="14"/>
      <c r="E495" s="14"/>
      <c r="F495" s="7"/>
      <c r="G495" s="14"/>
      <c r="H495" s="14"/>
      <c r="I495" s="7"/>
      <c r="J495" s="14"/>
      <c r="K495" s="240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 ht="19.5" customHeight="1" x14ac:dyDescent="0.25">
      <c r="A496" s="7"/>
      <c r="B496" s="7"/>
      <c r="C496" s="7"/>
      <c r="D496" s="14"/>
      <c r="E496" s="14"/>
      <c r="F496" s="7"/>
      <c r="G496" s="14"/>
      <c r="H496" s="14"/>
      <c r="I496" s="7"/>
      <c r="J496" s="14"/>
      <c r="K496" s="240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 ht="19.5" customHeight="1" x14ac:dyDescent="0.25">
      <c r="A497" s="7"/>
      <c r="B497" s="7"/>
      <c r="C497" s="7"/>
      <c r="D497" s="14"/>
      <c r="E497" s="14"/>
      <c r="F497" s="7"/>
      <c r="G497" s="14"/>
      <c r="H497" s="14"/>
      <c r="I497" s="7"/>
      <c r="J497" s="14"/>
      <c r="K497" s="240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ht="19.5" customHeight="1" x14ac:dyDescent="0.25">
      <c r="A498" s="7"/>
      <c r="B498" s="7"/>
      <c r="C498" s="7"/>
      <c r="D498" s="14"/>
      <c r="E498" s="14"/>
      <c r="F498" s="7"/>
      <c r="G498" s="14"/>
      <c r="H498" s="14"/>
      <c r="I498" s="7"/>
      <c r="J498" s="14"/>
      <c r="K498" s="240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 ht="19.5" customHeight="1" x14ac:dyDescent="0.25">
      <c r="A499" s="7"/>
      <c r="B499" s="7"/>
      <c r="C499" s="7"/>
      <c r="D499" s="14"/>
      <c r="E499" s="14"/>
      <c r="F499" s="7"/>
      <c r="G499" s="14"/>
      <c r="H499" s="14"/>
      <c r="I499" s="7"/>
      <c r="J499" s="14"/>
      <c r="K499" s="240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 ht="19.5" customHeight="1" x14ac:dyDescent="0.25">
      <c r="A500" s="7"/>
      <c r="B500" s="7"/>
      <c r="C500" s="7"/>
      <c r="D500" s="14"/>
      <c r="E500" s="14"/>
      <c r="F500" s="7"/>
      <c r="G500" s="14"/>
      <c r="H500" s="14"/>
      <c r="I500" s="7"/>
      <c r="J500" s="14"/>
      <c r="K500" s="240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 ht="19.5" customHeight="1" x14ac:dyDescent="0.25">
      <c r="A501" s="7"/>
      <c r="B501" s="7"/>
      <c r="C501" s="7"/>
      <c r="D501" s="14"/>
      <c r="E501" s="14"/>
      <c r="F501" s="7"/>
      <c r="G501" s="14"/>
      <c r="H501" s="14"/>
      <c r="I501" s="7"/>
      <c r="J501" s="14"/>
      <c r="K501" s="240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 ht="19.5" customHeight="1" x14ac:dyDescent="0.25">
      <c r="A502" s="7"/>
      <c r="B502" s="7"/>
      <c r="C502" s="7"/>
      <c r="D502" s="14"/>
      <c r="E502" s="14"/>
      <c r="F502" s="7"/>
      <c r="G502" s="14"/>
      <c r="H502" s="14"/>
      <c r="I502" s="7"/>
      <c r="J502" s="14"/>
      <c r="K502" s="240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 ht="19.5" customHeight="1" x14ac:dyDescent="0.25">
      <c r="A503" s="7"/>
      <c r="B503" s="7"/>
      <c r="C503" s="7"/>
      <c r="D503" s="14"/>
      <c r="E503" s="14"/>
      <c r="F503" s="7"/>
      <c r="G503" s="14"/>
      <c r="H503" s="14"/>
      <c r="I503" s="7"/>
      <c r="J503" s="14"/>
      <c r="K503" s="240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 ht="19.5" customHeight="1" x14ac:dyDescent="0.25">
      <c r="A504" s="7"/>
      <c r="B504" s="7"/>
      <c r="C504" s="7"/>
      <c r="D504" s="14"/>
      <c r="E504" s="14"/>
      <c r="F504" s="7"/>
      <c r="G504" s="14"/>
      <c r="H504" s="14"/>
      <c r="I504" s="7"/>
      <c r="J504" s="14"/>
      <c r="K504" s="240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 ht="19.5" customHeight="1" x14ac:dyDescent="0.25">
      <c r="A505" s="7"/>
      <c r="B505" s="7"/>
      <c r="C505" s="7"/>
      <c r="D505" s="14"/>
      <c r="E505" s="14"/>
      <c r="F505" s="7"/>
      <c r="G505" s="14"/>
      <c r="H505" s="14"/>
      <c r="I505" s="7"/>
      <c r="J505" s="14"/>
      <c r="K505" s="240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 ht="19.5" customHeight="1" x14ac:dyDescent="0.25">
      <c r="A506" s="7"/>
      <c r="B506" s="7"/>
      <c r="C506" s="7"/>
      <c r="D506" s="14"/>
      <c r="E506" s="14"/>
      <c r="F506" s="7"/>
      <c r="G506" s="14"/>
      <c r="H506" s="14"/>
      <c r="I506" s="7"/>
      <c r="J506" s="14"/>
      <c r="K506" s="240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 ht="19.5" customHeight="1" x14ac:dyDescent="0.25">
      <c r="A507" s="7"/>
      <c r="B507" s="7"/>
      <c r="C507" s="7"/>
      <c r="D507" s="14"/>
      <c r="E507" s="14"/>
      <c r="F507" s="7"/>
      <c r="G507" s="14"/>
      <c r="H507" s="14"/>
      <c r="I507" s="7"/>
      <c r="J507" s="14"/>
      <c r="K507" s="240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 ht="19.5" customHeight="1" x14ac:dyDescent="0.25">
      <c r="A508" s="7"/>
      <c r="B508" s="7"/>
      <c r="C508" s="7"/>
      <c r="D508" s="14"/>
      <c r="E508" s="14"/>
      <c r="F508" s="7"/>
      <c r="G508" s="14"/>
      <c r="H508" s="14"/>
      <c r="I508" s="7"/>
      <c r="J508" s="14"/>
      <c r="K508" s="240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 ht="19.5" customHeight="1" x14ac:dyDescent="0.25">
      <c r="A509" s="7"/>
      <c r="B509" s="7"/>
      <c r="C509" s="7"/>
      <c r="D509" s="14"/>
      <c r="E509" s="14"/>
      <c r="F509" s="7"/>
      <c r="G509" s="14"/>
      <c r="H509" s="14"/>
      <c r="I509" s="7"/>
      <c r="J509" s="14"/>
      <c r="K509" s="240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1:27" ht="19.5" customHeight="1" x14ac:dyDescent="0.25">
      <c r="A510" s="7"/>
      <c r="B510" s="7"/>
      <c r="C510" s="7"/>
      <c r="D510" s="14"/>
      <c r="E510" s="14"/>
      <c r="F510" s="7"/>
      <c r="G510" s="14"/>
      <c r="H510" s="14"/>
      <c r="I510" s="7"/>
      <c r="J510" s="14"/>
      <c r="K510" s="240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 ht="19.5" customHeight="1" x14ac:dyDescent="0.25">
      <c r="A511" s="7"/>
      <c r="B511" s="7"/>
      <c r="C511" s="7"/>
      <c r="D511" s="14"/>
      <c r="E511" s="14"/>
      <c r="F511" s="7"/>
      <c r="G511" s="14"/>
      <c r="H511" s="14"/>
      <c r="I511" s="7"/>
      <c r="J511" s="14"/>
      <c r="K511" s="240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 ht="19.5" customHeight="1" x14ac:dyDescent="0.25">
      <c r="A512" s="7"/>
      <c r="B512" s="7"/>
      <c r="C512" s="7"/>
      <c r="D512" s="14"/>
      <c r="E512" s="14"/>
      <c r="F512" s="7"/>
      <c r="G512" s="14"/>
      <c r="H512" s="14"/>
      <c r="I512" s="7"/>
      <c r="J512" s="14"/>
      <c r="K512" s="240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 ht="19.5" customHeight="1" x14ac:dyDescent="0.25">
      <c r="A513" s="7"/>
      <c r="B513" s="7"/>
      <c r="C513" s="7"/>
      <c r="D513" s="14"/>
      <c r="E513" s="14"/>
      <c r="F513" s="7"/>
      <c r="G513" s="14"/>
      <c r="H513" s="14"/>
      <c r="I513" s="7"/>
      <c r="J513" s="14"/>
      <c r="K513" s="240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 ht="19.5" customHeight="1" x14ac:dyDescent="0.25">
      <c r="A514" s="7"/>
      <c r="B514" s="7"/>
      <c r="C514" s="7"/>
      <c r="D514" s="14"/>
      <c r="E514" s="14"/>
      <c r="F514" s="7"/>
      <c r="G514" s="14"/>
      <c r="H514" s="14"/>
      <c r="I514" s="7"/>
      <c r="J514" s="14"/>
      <c r="K514" s="240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 ht="19.5" customHeight="1" x14ac:dyDescent="0.25">
      <c r="A515" s="7"/>
      <c r="B515" s="7"/>
      <c r="C515" s="7"/>
      <c r="D515" s="14"/>
      <c r="E515" s="14"/>
      <c r="F515" s="7"/>
      <c r="G515" s="14"/>
      <c r="H515" s="14"/>
      <c r="I515" s="7"/>
      <c r="J515" s="14"/>
      <c r="K515" s="240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 ht="19.5" customHeight="1" x14ac:dyDescent="0.25">
      <c r="A516" s="7"/>
      <c r="B516" s="7"/>
      <c r="C516" s="7"/>
      <c r="D516" s="14"/>
      <c r="E516" s="14"/>
      <c r="F516" s="7"/>
      <c r="G516" s="14"/>
      <c r="H516" s="14"/>
      <c r="I516" s="7"/>
      <c r="J516" s="14"/>
      <c r="K516" s="240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 ht="19.5" customHeight="1" x14ac:dyDescent="0.25">
      <c r="A517" s="7"/>
      <c r="B517" s="7"/>
      <c r="C517" s="7"/>
      <c r="D517" s="14"/>
      <c r="E517" s="14"/>
      <c r="F517" s="7"/>
      <c r="G517" s="14"/>
      <c r="H517" s="14"/>
      <c r="I517" s="7"/>
      <c r="J517" s="14"/>
      <c r="K517" s="240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 ht="19.5" customHeight="1" x14ac:dyDescent="0.25">
      <c r="A518" s="7"/>
      <c r="B518" s="7"/>
      <c r="C518" s="7"/>
      <c r="D518" s="14"/>
      <c r="E518" s="14"/>
      <c r="F518" s="7"/>
      <c r="G518" s="14"/>
      <c r="H518" s="14"/>
      <c r="I518" s="7"/>
      <c r="J518" s="14"/>
      <c r="K518" s="240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 ht="19.5" customHeight="1" x14ac:dyDescent="0.25">
      <c r="A519" s="7"/>
      <c r="B519" s="7"/>
      <c r="C519" s="7"/>
      <c r="D519" s="14"/>
      <c r="E519" s="14"/>
      <c r="F519" s="7"/>
      <c r="G519" s="14"/>
      <c r="H519" s="14"/>
      <c r="I519" s="7"/>
      <c r="J519" s="14"/>
      <c r="K519" s="240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 ht="19.5" customHeight="1" x14ac:dyDescent="0.25">
      <c r="A520" s="7"/>
      <c r="B520" s="7"/>
      <c r="C520" s="7"/>
      <c r="D520" s="14"/>
      <c r="E520" s="14"/>
      <c r="F520" s="7"/>
      <c r="G520" s="14"/>
      <c r="H520" s="14"/>
      <c r="I520" s="7"/>
      <c r="J520" s="14"/>
      <c r="K520" s="240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 ht="19.5" customHeight="1" x14ac:dyDescent="0.25">
      <c r="A521" s="7"/>
      <c r="B521" s="7"/>
      <c r="C521" s="7"/>
      <c r="D521" s="14"/>
      <c r="E521" s="14"/>
      <c r="F521" s="7"/>
      <c r="G521" s="14"/>
      <c r="H521" s="14"/>
      <c r="I521" s="7"/>
      <c r="J521" s="14"/>
      <c r="K521" s="240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 ht="19.5" customHeight="1" x14ac:dyDescent="0.25">
      <c r="A522" s="7"/>
      <c r="B522" s="7"/>
      <c r="C522" s="7"/>
      <c r="D522" s="14"/>
      <c r="E522" s="14"/>
      <c r="F522" s="7"/>
      <c r="G522" s="14"/>
      <c r="H522" s="14"/>
      <c r="I522" s="7"/>
      <c r="J522" s="14"/>
      <c r="K522" s="240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1:27" ht="19.5" customHeight="1" x14ac:dyDescent="0.25">
      <c r="A523" s="7"/>
      <c r="B523" s="7"/>
      <c r="C523" s="7"/>
      <c r="D523" s="14"/>
      <c r="E523" s="14"/>
      <c r="F523" s="7"/>
      <c r="G523" s="14"/>
      <c r="H523" s="14"/>
      <c r="I523" s="7"/>
      <c r="J523" s="14"/>
      <c r="K523" s="240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1:27" ht="19.5" customHeight="1" x14ac:dyDescent="0.25">
      <c r="A524" s="7"/>
      <c r="B524" s="7"/>
      <c r="C524" s="7"/>
      <c r="D524" s="14"/>
      <c r="E524" s="14"/>
      <c r="F524" s="7"/>
      <c r="G524" s="14"/>
      <c r="H524" s="14"/>
      <c r="I524" s="7"/>
      <c r="J524" s="14"/>
      <c r="K524" s="240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1:27" ht="19.5" customHeight="1" x14ac:dyDescent="0.25">
      <c r="A525" s="7"/>
      <c r="B525" s="7"/>
      <c r="C525" s="7"/>
      <c r="D525" s="14"/>
      <c r="E525" s="14"/>
      <c r="F525" s="7"/>
      <c r="G525" s="14"/>
      <c r="H525" s="14"/>
      <c r="I525" s="7"/>
      <c r="J525" s="14"/>
      <c r="K525" s="240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1:27" ht="19.5" customHeight="1" x14ac:dyDescent="0.25">
      <c r="A526" s="7"/>
      <c r="B526" s="7"/>
      <c r="C526" s="7"/>
      <c r="D526" s="14"/>
      <c r="E526" s="14"/>
      <c r="F526" s="7"/>
      <c r="G526" s="14"/>
      <c r="H526" s="14"/>
      <c r="I526" s="7"/>
      <c r="J526" s="14"/>
      <c r="K526" s="240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7" ht="19.5" customHeight="1" x14ac:dyDescent="0.25">
      <c r="A527" s="7"/>
      <c r="B527" s="7"/>
      <c r="C527" s="7"/>
      <c r="D527" s="14"/>
      <c r="E527" s="14"/>
      <c r="F527" s="7"/>
      <c r="G527" s="14"/>
      <c r="H527" s="14"/>
      <c r="I527" s="7"/>
      <c r="J527" s="14"/>
      <c r="K527" s="240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7" ht="19.5" customHeight="1" x14ac:dyDescent="0.25">
      <c r="A528" s="7"/>
      <c r="B528" s="7"/>
      <c r="C528" s="7"/>
      <c r="D528" s="14"/>
      <c r="E528" s="14"/>
      <c r="F528" s="7"/>
      <c r="G528" s="14"/>
      <c r="H528" s="14"/>
      <c r="I528" s="7"/>
      <c r="J528" s="14"/>
      <c r="K528" s="240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 ht="19.5" customHeight="1" x14ac:dyDescent="0.25">
      <c r="A529" s="7"/>
      <c r="B529" s="7"/>
      <c r="C529" s="7"/>
      <c r="D529" s="14"/>
      <c r="E529" s="14"/>
      <c r="F529" s="7"/>
      <c r="G529" s="14"/>
      <c r="H529" s="14"/>
      <c r="I529" s="7"/>
      <c r="J529" s="14"/>
      <c r="K529" s="240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 ht="19.5" customHeight="1" x14ac:dyDescent="0.25">
      <c r="A530" s="7"/>
      <c r="B530" s="7"/>
      <c r="C530" s="7"/>
      <c r="D530" s="14"/>
      <c r="E530" s="14"/>
      <c r="F530" s="7"/>
      <c r="G530" s="14"/>
      <c r="H530" s="14"/>
      <c r="I530" s="7"/>
      <c r="J530" s="14"/>
      <c r="K530" s="240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1:27" ht="19.5" customHeight="1" x14ac:dyDescent="0.25">
      <c r="A531" s="7"/>
      <c r="B531" s="7"/>
      <c r="C531" s="7"/>
      <c r="D531" s="14"/>
      <c r="E531" s="14"/>
      <c r="F531" s="7"/>
      <c r="G531" s="14"/>
      <c r="H531" s="14"/>
      <c r="I531" s="7"/>
      <c r="J531" s="14"/>
      <c r="K531" s="240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 ht="19.5" customHeight="1" x14ac:dyDescent="0.25">
      <c r="A532" s="7"/>
      <c r="B532" s="7"/>
      <c r="C532" s="7"/>
      <c r="D532" s="14"/>
      <c r="E532" s="14"/>
      <c r="F532" s="7"/>
      <c r="G532" s="14"/>
      <c r="H532" s="14"/>
      <c r="I532" s="7"/>
      <c r="J532" s="14"/>
      <c r="K532" s="240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1:27" ht="19.5" customHeight="1" x14ac:dyDescent="0.25">
      <c r="A533" s="7"/>
      <c r="B533" s="7"/>
      <c r="C533" s="7"/>
      <c r="D533" s="14"/>
      <c r="E533" s="14"/>
      <c r="F533" s="7"/>
      <c r="G533" s="14"/>
      <c r="H533" s="14"/>
      <c r="I533" s="7"/>
      <c r="J533" s="14"/>
      <c r="K533" s="240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1:27" ht="19.5" customHeight="1" x14ac:dyDescent="0.25">
      <c r="A534" s="7"/>
      <c r="B534" s="7"/>
      <c r="C534" s="7"/>
      <c r="D534" s="14"/>
      <c r="E534" s="14"/>
      <c r="F534" s="7"/>
      <c r="G534" s="14"/>
      <c r="H534" s="14"/>
      <c r="I534" s="7"/>
      <c r="J534" s="14"/>
      <c r="K534" s="240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spans="1:27" ht="19.5" customHeight="1" x14ac:dyDescent="0.25">
      <c r="A535" s="7"/>
      <c r="B535" s="7"/>
      <c r="C535" s="7"/>
      <c r="D535" s="14"/>
      <c r="E535" s="14"/>
      <c r="F535" s="7"/>
      <c r="G535" s="14"/>
      <c r="H535" s="14"/>
      <c r="I535" s="7"/>
      <c r="J535" s="14"/>
      <c r="K535" s="240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 ht="19.5" customHeight="1" x14ac:dyDescent="0.25">
      <c r="A536" s="7"/>
      <c r="B536" s="7"/>
      <c r="C536" s="7"/>
      <c r="D536" s="14"/>
      <c r="E536" s="14"/>
      <c r="F536" s="7"/>
      <c r="G536" s="14"/>
      <c r="H536" s="14"/>
      <c r="I536" s="7"/>
      <c r="J536" s="14"/>
      <c r="K536" s="240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 ht="19.5" customHeight="1" x14ac:dyDescent="0.25">
      <c r="A537" s="7"/>
      <c r="B537" s="7"/>
      <c r="C537" s="7"/>
      <c r="D537" s="14"/>
      <c r="E537" s="14"/>
      <c r="F537" s="7"/>
      <c r="G537" s="14"/>
      <c r="H537" s="14"/>
      <c r="I537" s="7"/>
      <c r="J537" s="14"/>
      <c r="K537" s="240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 ht="19.5" customHeight="1" x14ac:dyDescent="0.25">
      <c r="A538" s="7"/>
      <c r="B538" s="7"/>
      <c r="C538" s="7"/>
      <c r="D538" s="14"/>
      <c r="E538" s="14"/>
      <c r="F538" s="7"/>
      <c r="G538" s="14"/>
      <c r="H538" s="14"/>
      <c r="I538" s="7"/>
      <c r="J538" s="14"/>
      <c r="K538" s="240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 ht="19.5" customHeight="1" x14ac:dyDescent="0.25">
      <c r="A539" s="7"/>
      <c r="B539" s="7"/>
      <c r="C539" s="7"/>
      <c r="D539" s="14"/>
      <c r="E539" s="14"/>
      <c r="F539" s="7"/>
      <c r="G539" s="14"/>
      <c r="H539" s="14"/>
      <c r="I539" s="7"/>
      <c r="J539" s="14"/>
      <c r="K539" s="240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 ht="19.5" customHeight="1" x14ac:dyDescent="0.25">
      <c r="A540" s="7"/>
      <c r="B540" s="7"/>
      <c r="C540" s="7"/>
      <c r="D540" s="14"/>
      <c r="E540" s="14"/>
      <c r="F540" s="7"/>
      <c r="G540" s="14"/>
      <c r="H540" s="14"/>
      <c r="I540" s="7"/>
      <c r="J540" s="14"/>
      <c r="K540" s="240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 ht="19.5" customHeight="1" x14ac:dyDescent="0.25">
      <c r="A541" s="7"/>
      <c r="B541" s="7"/>
      <c r="C541" s="7"/>
      <c r="D541" s="14"/>
      <c r="E541" s="14"/>
      <c r="F541" s="7"/>
      <c r="G541" s="14"/>
      <c r="H541" s="14"/>
      <c r="I541" s="7"/>
      <c r="J541" s="14"/>
      <c r="K541" s="240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 ht="19.5" customHeight="1" x14ac:dyDescent="0.25">
      <c r="A542" s="7"/>
      <c r="B542" s="7"/>
      <c r="C542" s="7"/>
      <c r="D542" s="14"/>
      <c r="E542" s="14"/>
      <c r="F542" s="7"/>
      <c r="G542" s="14"/>
      <c r="H542" s="14"/>
      <c r="I542" s="7"/>
      <c r="J542" s="14"/>
      <c r="K542" s="240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spans="1:27" ht="19.5" customHeight="1" x14ac:dyDescent="0.25">
      <c r="A543" s="7"/>
      <c r="B543" s="7"/>
      <c r="C543" s="7"/>
      <c r="D543" s="14"/>
      <c r="E543" s="14"/>
      <c r="F543" s="7"/>
      <c r="G543" s="14"/>
      <c r="H543" s="14"/>
      <c r="I543" s="7"/>
      <c r="J543" s="14"/>
      <c r="K543" s="240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 ht="19.5" customHeight="1" x14ac:dyDescent="0.25">
      <c r="A544" s="7"/>
      <c r="B544" s="7"/>
      <c r="C544" s="7"/>
      <c r="D544" s="14"/>
      <c r="E544" s="14"/>
      <c r="F544" s="7"/>
      <c r="G544" s="14"/>
      <c r="H544" s="14"/>
      <c r="I544" s="7"/>
      <c r="J544" s="14"/>
      <c r="K544" s="240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1:27" ht="19.5" customHeight="1" x14ac:dyDescent="0.25">
      <c r="A545" s="7"/>
      <c r="B545" s="7"/>
      <c r="C545" s="7"/>
      <c r="D545" s="14"/>
      <c r="E545" s="14"/>
      <c r="F545" s="7"/>
      <c r="G545" s="14"/>
      <c r="H545" s="14"/>
      <c r="I545" s="7"/>
      <c r="J545" s="14"/>
      <c r="K545" s="240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 ht="19.5" customHeight="1" x14ac:dyDescent="0.25">
      <c r="A546" s="7"/>
      <c r="B546" s="7"/>
      <c r="C546" s="7"/>
      <c r="D546" s="14"/>
      <c r="E546" s="14"/>
      <c r="F546" s="7"/>
      <c r="G546" s="14"/>
      <c r="H546" s="14"/>
      <c r="I546" s="7"/>
      <c r="J546" s="14"/>
      <c r="K546" s="240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 ht="19.5" customHeight="1" x14ac:dyDescent="0.25">
      <c r="A547" s="7"/>
      <c r="B547" s="7"/>
      <c r="C547" s="7"/>
      <c r="D547" s="14"/>
      <c r="E547" s="14"/>
      <c r="F547" s="7"/>
      <c r="G547" s="14"/>
      <c r="H547" s="14"/>
      <c r="I547" s="7"/>
      <c r="J547" s="14"/>
      <c r="K547" s="240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 ht="19.5" customHeight="1" x14ac:dyDescent="0.25">
      <c r="A548" s="7"/>
      <c r="B548" s="7"/>
      <c r="C548" s="7"/>
      <c r="D548" s="14"/>
      <c r="E548" s="14"/>
      <c r="F548" s="7"/>
      <c r="G548" s="14"/>
      <c r="H548" s="14"/>
      <c r="I548" s="7"/>
      <c r="J548" s="14"/>
      <c r="K548" s="240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spans="1:27" ht="19.5" customHeight="1" x14ac:dyDescent="0.25">
      <c r="A549" s="7"/>
      <c r="B549" s="7"/>
      <c r="C549" s="7"/>
      <c r="D549" s="14"/>
      <c r="E549" s="14"/>
      <c r="F549" s="7"/>
      <c r="G549" s="14"/>
      <c r="H549" s="14"/>
      <c r="I549" s="7"/>
      <c r="J549" s="14"/>
      <c r="K549" s="240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1:27" ht="19.5" customHeight="1" x14ac:dyDescent="0.25">
      <c r="A550" s="7"/>
      <c r="B550" s="7"/>
      <c r="C550" s="7"/>
      <c r="D550" s="14"/>
      <c r="E550" s="14"/>
      <c r="F550" s="7"/>
      <c r="G550" s="14"/>
      <c r="H550" s="14"/>
      <c r="I550" s="7"/>
      <c r="J550" s="14"/>
      <c r="K550" s="240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1:27" ht="19.5" customHeight="1" x14ac:dyDescent="0.25">
      <c r="A551" s="7"/>
      <c r="B551" s="7"/>
      <c r="C551" s="7"/>
      <c r="D551" s="14"/>
      <c r="E551" s="14"/>
      <c r="F551" s="7"/>
      <c r="G551" s="14"/>
      <c r="H551" s="14"/>
      <c r="I551" s="7"/>
      <c r="J551" s="14"/>
      <c r="K551" s="240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1:27" ht="19.5" customHeight="1" x14ac:dyDescent="0.25">
      <c r="A552" s="7"/>
      <c r="B552" s="7"/>
      <c r="C552" s="7"/>
      <c r="D552" s="14"/>
      <c r="E552" s="14"/>
      <c r="F552" s="7"/>
      <c r="G552" s="14"/>
      <c r="H552" s="14"/>
      <c r="I552" s="7"/>
      <c r="J552" s="14"/>
      <c r="K552" s="240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spans="1:27" ht="19.5" customHeight="1" x14ac:dyDescent="0.25">
      <c r="A553" s="7"/>
      <c r="B553" s="7"/>
      <c r="C553" s="7"/>
      <c r="D553" s="14"/>
      <c r="E553" s="14"/>
      <c r="F553" s="7"/>
      <c r="G553" s="14"/>
      <c r="H553" s="14"/>
      <c r="I553" s="7"/>
      <c r="J553" s="14"/>
      <c r="K553" s="240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 ht="19.5" customHeight="1" x14ac:dyDescent="0.25">
      <c r="A554" s="7"/>
      <c r="B554" s="7"/>
      <c r="C554" s="7"/>
      <c r="D554" s="14"/>
      <c r="E554" s="14"/>
      <c r="F554" s="7"/>
      <c r="G554" s="14"/>
      <c r="H554" s="14"/>
      <c r="I554" s="7"/>
      <c r="J554" s="14"/>
      <c r="K554" s="240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1:27" ht="19.5" customHeight="1" x14ac:dyDescent="0.25">
      <c r="A555" s="7"/>
      <c r="B555" s="7"/>
      <c r="C555" s="7"/>
      <c r="D555" s="14"/>
      <c r="E555" s="14"/>
      <c r="F555" s="7"/>
      <c r="G555" s="14"/>
      <c r="H555" s="14"/>
      <c r="I555" s="7"/>
      <c r="J555" s="14"/>
      <c r="K555" s="240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1:27" ht="19.5" customHeight="1" x14ac:dyDescent="0.25">
      <c r="A556" s="7"/>
      <c r="B556" s="7"/>
      <c r="C556" s="7"/>
      <c r="D556" s="14"/>
      <c r="E556" s="14"/>
      <c r="F556" s="7"/>
      <c r="G556" s="14"/>
      <c r="H556" s="14"/>
      <c r="I556" s="7"/>
      <c r="J556" s="14"/>
      <c r="K556" s="240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1:27" ht="19.5" customHeight="1" x14ac:dyDescent="0.25">
      <c r="A557" s="7"/>
      <c r="B557" s="7"/>
      <c r="C557" s="7"/>
      <c r="D557" s="14"/>
      <c r="E557" s="14"/>
      <c r="F557" s="7"/>
      <c r="G557" s="14"/>
      <c r="H557" s="14"/>
      <c r="I557" s="7"/>
      <c r="J557" s="14"/>
      <c r="K557" s="240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1:27" ht="19.5" customHeight="1" x14ac:dyDescent="0.25">
      <c r="A558" s="7"/>
      <c r="B558" s="7"/>
      <c r="C558" s="7"/>
      <c r="D558" s="14"/>
      <c r="E558" s="14"/>
      <c r="F558" s="7"/>
      <c r="G558" s="14"/>
      <c r="H558" s="14"/>
      <c r="I558" s="7"/>
      <c r="J558" s="14"/>
      <c r="K558" s="240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1:27" ht="19.5" customHeight="1" x14ac:dyDescent="0.25">
      <c r="A559" s="7"/>
      <c r="B559" s="7"/>
      <c r="C559" s="7"/>
      <c r="D559" s="14"/>
      <c r="E559" s="14"/>
      <c r="F559" s="7"/>
      <c r="G559" s="14"/>
      <c r="H559" s="14"/>
      <c r="I559" s="7"/>
      <c r="J559" s="14"/>
      <c r="K559" s="240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 ht="19.5" customHeight="1" x14ac:dyDescent="0.25">
      <c r="A560" s="7"/>
      <c r="B560" s="7"/>
      <c r="C560" s="7"/>
      <c r="D560" s="14"/>
      <c r="E560" s="14"/>
      <c r="F560" s="7"/>
      <c r="G560" s="14"/>
      <c r="H560" s="14"/>
      <c r="I560" s="7"/>
      <c r="J560" s="14"/>
      <c r="K560" s="240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1:27" ht="19.5" customHeight="1" x14ac:dyDescent="0.25">
      <c r="A561" s="7"/>
      <c r="B561" s="7"/>
      <c r="C561" s="7"/>
      <c r="D561" s="14"/>
      <c r="E561" s="14"/>
      <c r="F561" s="7"/>
      <c r="G561" s="14"/>
      <c r="H561" s="14"/>
      <c r="I561" s="7"/>
      <c r="J561" s="14"/>
      <c r="K561" s="240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 ht="19.5" customHeight="1" x14ac:dyDescent="0.25">
      <c r="A562" s="7"/>
      <c r="B562" s="7"/>
      <c r="C562" s="7"/>
      <c r="D562" s="14"/>
      <c r="E562" s="14"/>
      <c r="F562" s="7"/>
      <c r="G562" s="14"/>
      <c r="H562" s="14"/>
      <c r="I562" s="7"/>
      <c r="J562" s="14"/>
      <c r="K562" s="240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 ht="19.5" customHeight="1" x14ac:dyDescent="0.25">
      <c r="A563" s="7"/>
      <c r="B563" s="7"/>
      <c r="C563" s="7"/>
      <c r="D563" s="14"/>
      <c r="E563" s="14"/>
      <c r="F563" s="7"/>
      <c r="G563" s="14"/>
      <c r="H563" s="14"/>
      <c r="I563" s="7"/>
      <c r="J563" s="14"/>
      <c r="K563" s="240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 ht="19.5" customHeight="1" x14ac:dyDescent="0.25">
      <c r="A564" s="7"/>
      <c r="B564" s="7"/>
      <c r="C564" s="7"/>
      <c r="D564" s="14"/>
      <c r="E564" s="14"/>
      <c r="F564" s="7"/>
      <c r="G564" s="14"/>
      <c r="H564" s="14"/>
      <c r="I564" s="7"/>
      <c r="J564" s="14"/>
      <c r="K564" s="240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 ht="19.5" customHeight="1" x14ac:dyDescent="0.25">
      <c r="A565" s="7"/>
      <c r="B565" s="7"/>
      <c r="C565" s="7"/>
      <c r="D565" s="14"/>
      <c r="E565" s="14"/>
      <c r="F565" s="7"/>
      <c r="G565" s="14"/>
      <c r="H565" s="14"/>
      <c r="I565" s="7"/>
      <c r="J565" s="14"/>
      <c r="K565" s="240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 ht="19.5" customHeight="1" x14ac:dyDescent="0.25">
      <c r="A566" s="7"/>
      <c r="B566" s="7"/>
      <c r="C566" s="7"/>
      <c r="D566" s="14"/>
      <c r="E566" s="14"/>
      <c r="F566" s="7"/>
      <c r="G566" s="14"/>
      <c r="H566" s="14"/>
      <c r="I566" s="7"/>
      <c r="J566" s="14"/>
      <c r="K566" s="240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 ht="19.5" customHeight="1" x14ac:dyDescent="0.25">
      <c r="A567" s="7"/>
      <c r="B567" s="7"/>
      <c r="C567" s="7"/>
      <c r="D567" s="14"/>
      <c r="E567" s="14"/>
      <c r="F567" s="7"/>
      <c r="G567" s="14"/>
      <c r="H567" s="14"/>
      <c r="I567" s="7"/>
      <c r="J567" s="14"/>
      <c r="K567" s="240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 ht="19.5" customHeight="1" x14ac:dyDescent="0.25">
      <c r="A568" s="7"/>
      <c r="B568" s="7"/>
      <c r="C568" s="7"/>
      <c r="D568" s="14"/>
      <c r="E568" s="14"/>
      <c r="F568" s="7"/>
      <c r="G568" s="14"/>
      <c r="H568" s="14"/>
      <c r="I568" s="7"/>
      <c r="J568" s="14"/>
      <c r="K568" s="240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1:27" ht="19.5" customHeight="1" x14ac:dyDescent="0.25">
      <c r="A569" s="7"/>
      <c r="B569" s="7"/>
      <c r="C569" s="7"/>
      <c r="D569" s="14"/>
      <c r="E569" s="14"/>
      <c r="F569" s="7"/>
      <c r="G569" s="14"/>
      <c r="H569" s="14"/>
      <c r="I569" s="7"/>
      <c r="J569" s="14"/>
      <c r="K569" s="240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1:27" ht="19.5" customHeight="1" x14ac:dyDescent="0.25">
      <c r="A570" s="7"/>
      <c r="B570" s="7"/>
      <c r="C570" s="7"/>
      <c r="D570" s="14"/>
      <c r="E570" s="14"/>
      <c r="F570" s="7"/>
      <c r="G570" s="14"/>
      <c r="H570" s="14"/>
      <c r="I570" s="7"/>
      <c r="J570" s="14"/>
      <c r="K570" s="240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1:27" ht="19.5" customHeight="1" x14ac:dyDescent="0.25">
      <c r="A571" s="7"/>
      <c r="B571" s="7"/>
      <c r="C571" s="7"/>
      <c r="D571" s="14"/>
      <c r="E571" s="14"/>
      <c r="F571" s="7"/>
      <c r="G571" s="14"/>
      <c r="H571" s="14"/>
      <c r="I571" s="7"/>
      <c r="J571" s="14"/>
      <c r="K571" s="240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1:27" ht="19.5" customHeight="1" x14ac:dyDescent="0.25">
      <c r="A572" s="7"/>
      <c r="B572" s="7"/>
      <c r="C572" s="7"/>
      <c r="D572" s="14"/>
      <c r="E572" s="14"/>
      <c r="F572" s="7"/>
      <c r="G572" s="14"/>
      <c r="H572" s="14"/>
      <c r="I572" s="7"/>
      <c r="J572" s="14"/>
      <c r="K572" s="240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1:27" ht="19.5" customHeight="1" x14ac:dyDescent="0.25">
      <c r="A573" s="7"/>
      <c r="B573" s="7"/>
      <c r="C573" s="7"/>
      <c r="D573" s="14"/>
      <c r="E573" s="14"/>
      <c r="F573" s="7"/>
      <c r="G573" s="14"/>
      <c r="H573" s="14"/>
      <c r="I573" s="7"/>
      <c r="J573" s="14"/>
      <c r="K573" s="240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 ht="19.5" customHeight="1" x14ac:dyDescent="0.25">
      <c r="A574" s="7"/>
      <c r="B574" s="7"/>
      <c r="C574" s="7"/>
      <c r="D574" s="14"/>
      <c r="E574" s="14"/>
      <c r="F574" s="7"/>
      <c r="G574" s="14"/>
      <c r="H574" s="14"/>
      <c r="I574" s="7"/>
      <c r="J574" s="14"/>
      <c r="K574" s="240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spans="1:27" ht="19.5" customHeight="1" x14ac:dyDescent="0.25">
      <c r="A575" s="7"/>
      <c r="B575" s="7"/>
      <c r="C575" s="7"/>
      <c r="D575" s="14"/>
      <c r="E575" s="14"/>
      <c r="F575" s="7"/>
      <c r="G575" s="14"/>
      <c r="H575" s="14"/>
      <c r="I575" s="7"/>
      <c r="J575" s="14"/>
      <c r="K575" s="240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 ht="19.5" customHeight="1" x14ac:dyDescent="0.25">
      <c r="A576" s="7"/>
      <c r="B576" s="7"/>
      <c r="C576" s="7"/>
      <c r="D576" s="14"/>
      <c r="E576" s="14"/>
      <c r="F576" s="7"/>
      <c r="G576" s="14"/>
      <c r="H576" s="14"/>
      <c r="I576" s="7"/>
      <c r="J576" s="14"/>
      <c r="K576" s="240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1:27" ht="19.5" customHeight="1" x14ac:dyDescent="0.25">
      <c r="A577" s="7"/>
      <c r="B577" s="7"/>
      <c r="C577" s="7"/>
      <c r="D577" s="14"/>
      <c r="E577" s="14"/>
      <c r="F577" s="7"/>
      <c r="G577" s="14"/>
      <c r="H577" s="14"/>
      <c r="I577" s="7"/>
      <c r="J577" s="14"/>
      <c r="K577" s="240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 ht="19.5" customHeight="1" x14ac:dyDescent="0.25">
      <c r="A578" s="7"/>
      <c r="B578" s="7"/>
      <c r="C578" s="7"/>
      <c r="D578" s="14"/>
      <c r="E578" s="14"/>
      <c r="F578" s="7"/>
      <c r="G578" s="14"/>
      <c r="H578" s="14"/>
      <c r="I578" s="7"/>
      <c r="J578" s="14"/>
      <c r="K578" s="240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spans="1:27" ht="19.5" customHeight="1" x14ac:dyDescent="0.25">
      <c r="A579" s="7"/>
      <c r="B579" s="7"/>
      <c r="C579" s="7"/>
      <c r="D579" s="14"/>
      <c r="E579" s="14"/>
      <c r="F579" s="7"/>
      <c r="G579" s="14"/>
      <c r="H579" s="14"/>
      <c r="I579" s="7"/>
      <c r="J579" s="14"/>
      <c r="K579" s="240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 ht="19.5" customHeight="1" x14ac:dyDescent="0.25">
      <c r="A580" s="7"/>
      <c r="B580" s="7"/>
      <c r="C580" s="7"/>
      <c r="D580" s="14"/>
      <c r="E580" s="14"/>
      <c r="F580" s="7"/>
      <c r="G580" s="14"/>
      <c r="H580" s="14"/>
      <c r="I580" s="7"/>
      <c r="J580" s="14"/>
      <c r="K580" s="240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spans="1:27" ht="19.5" customHeight="1" x14ac:dyDescent="0.25">
      <c r="A581" s="7"/>
      <c r="B581" s="7"/>
      <c r="C581" s="7"/>
      <c r="D581" s="14"/>
      <c r="E581" s="14"/>
      <c r="F581" s="7"/>
      <c r="G581" s="14"/>
      <c r="H581" s="14"/>
      <c r="I581" s="7"/>
      <c r="J581" s="14"/>
      <c r="K581" s="240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1:27" ht="19.5" customHeight="1" x14ac:dyDescent="0.25">
      <c r="A582" s="7"/>
      <c r="B582" s="7"/>
      <c r="C582" s="7"/>
      <c r="D582" s="14"/>
      <c r="E582" s="14"/>
      <c r="F582" s="7"/>
      <c r="G582" s="14"/>
      <c r="H582" s="14"/>
      <c r="I582" s="7"/>
      <c r="J582" s="14"/>
      <c r="K582" s="240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1:27" ht="19.5" customHeight="1" x14ac:dyDescent="0.25">
      <c r="A583" s="7"/>
      <c r="B583" s="7"/>
      <c r="C583" s="7"/>
      <c r="D583" s="14"/>
      <c r="E583" s="14"/>
      <c r="F583" s="7"/>
      <c r="G583" s="14"/>
      <c r="H583" s="14"/>
      <c r="I583" s="7"/>
      <c r="J583" s="14"/>
      <c r="K583" s="240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spans="1:27" ht="19.5" customHeight="1" x14ac:dyDescent="0.25">
      <c r="A584" s="7"/>
      <c r="B584" s="7"/>
      <c r="C584" s="7"/>
      <c r="D584" s="14"/>
      <c r="E584" s="14"/>
      <c r="F584" s="7"/>
      <c r="G584" s="14"/>
      <c r="H584" s="14"/>
      <c r="I584" s="7"/>
      <c r="J584" s="14"/>
      <c r="K584" s="240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1:27" ht="19.5" customHeight="1" x14ac:dyDescent="0.25">
      <c r="A585" s="7"/>
      <c r="B585" s="7"/>
      <c r="C585" s="7"/>
      <c r="D585" s="14"/>
      <c r="E585" s="14"/>
      <c r="F585" s="7"/>
      <c r="G585" s="14"/>
      <c r="H585" s="14"/>
      <c r="I585" s="7"/>
      <c r="J585" s="14"/>
      <c r="K585" s="240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spans="1:27" ht="19.5" customHeight="1" x14ac:dyDescent="0.25">
      <c r="A586" s="7"/>
      <c r="B586" s="7"/>
      <c r="C586" s="7"/>
      <c r="D586" s="14"/>
      <c r="E586" s="14"/>
      <c r="F586" s="7"/>
      <c r="G586" s="14"/>
      <c r="H586" s="14"/>
      <c r="I586" s="7"/>
      <c r="J586" s="14"/>
      <c r="K586" s="240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1:27" ht="19.5" customHeight="1" x14ac:dyDescent="0.25">
      <c r="A587" s="7"/>
      <c r="B587" s="7"/>
      <c r="C587" s="7"/>
      <c r="D587" s="14"/>
      <c r="E587" s="14"/>
      <c r="F587" s="7"/>
      <c r="G587" s="14"/>
      <c r="H587" s="14"/>
      <c r="I587" s="7"/>
      <c r="J587" s="14"/>
      <c r="K587" s="240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1:27" ht="19.5" customHeight="1" x14ac:dyDescent="0.25">
      <c r="A588" s="7"/>
      <c r="B588" s="7"/>
      <c r="C588" s="7"/>
      <c r="D588" s="14"/>
      <c r="E588" s="14"/>
      <c r="F588" s="7"/>
      <c r="G588" s="14"/>
      <c r="H588" s="14"/>
      <c r="I588" s="7"/>
      <c r="J588" s="14"/>
      <c r="K588" s="240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spans="1:27" ht="19.5" customHeight="1" x14ac:dyDescent="0.25">
      <c r="A589" s="7"/>
      <c r="B589" s="7"/>
      <c r="C589" s="7"/>
      <c r="D589" s="14"/>
      <c r="E589" s="14"/>
      <c r="F589" s="7"/>
      <c r="G589" s="14"/>
      <c r="H589" s="14"/>
      <c r="I589" s="7"/>
      <c r="J589" s="14"/>
      <c r="K589" s="240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1:27" ht="19.5" customHeight="1" x14ac:dyDescent="0.25">
      <c r="A590" s="7"/>
      <c r="B590" s="7"/>
      <c r="C590" s="7"/>
      <c r="D590" s="14"/>
      <c r="E590" s="14"/>
      <c r="F590" s="7"/>
      <c r="G590" s="14"/>
      <c r="H590" s="14"/>
      <c r="I590" s="7"/>
      <c r="J590" s="14"/>
      <c r="K590" s="240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spans="1:27" ht="19.5" customHeight="1" x14ac:dyDescent="0.25">
      <c r="A591" s="7"/>
      <c r="B591" s="7"/>
      <c r="C591" s="7"/>
      <c r="D591" s="14"/>
      <c r="E591" s="14"/>
      <c r="F591" s="7"/>
      <c r="G591" s="14"/>
      <c r="H591" s="14"/>
      <c r="I591" s="7"/>
      <c r="J591" s="14"/>
      <c r="K591" s="240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spans="1:27" ht="19.5" customHeight="1" x14ac:dyDescent="0.25">
      <c r="A592" s="7"/>
      <c r="B592" s="7"/>
      <c r="C592" s="7"/>
      <c r="D592" s="14"/>
      <c r="E592" s="14"/>
      <c r="F592" s="7"/>
      <c r="G592" s="14"/>
      <c r="H592" s="14"/>
      <c r="I592" s="7"/>
      <c r="J592" s="14"/>
      <c r="K592" s="240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spans="1:27" ht="19.5" customHeight="1" x14ac:dyDescent="0.25">
      <c r="A593" s="7"/>
      <c r="B593" s="7"/>
      <c r="C593" s="7"/>
      <c r="D593" s="14"/>
      <c r="E593" s="14"/>
      <c r="F593" s="7"/>
      <c r="G593" s="14"/>
      <c r="H593" s="14"/>
      <c r="I593" s="7"/>
      <c r="J593" s="14"/>
      <c r="K593" s="240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spans="1:27" ht="19.5" customHeight="1" x14ac:dyDescent="0.25">
      <c r="A594" s="7"/>
      <c r="B594" s="7"/>
      <c r="C594" s="7"/>
      <c r="D594" s="14"/>
      <c r="E594" s="14"/>
      <c r="F594" s="7"/>
      <c r="G594" s="14"/>
      <c r="H594" s="14"/>
      <c r="I594" s="7"/>
      <c r="J594" s="14"/>
      <c r="K594" s="240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spans="1:27" ht="19.5" customHeight="1" x14ac:dyDescent="0.25">
      <c r="A595" s="7"/>
      <c r="B595" s="7"/>
      <c r="C595" s="7"/>
      <c r="D595" s="14"/>
      <c r="E595" s="14"/>
      <c r="F595" s="7"/>
      <c r="G595" s="14"/>
      <c r="H595" s="14"/>
      <c r="I595" s="7"/>
      <c r="J595" s="14"/>
      <c r="K595" s="240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1:27" ht="19.5" customHeight="1" x14ac:dyDescent="0.25">
      <c r="A596" s="7"/>
      <c r="B596" s="7"/>
      <c r="C596" s="7"/>
      <c r="D596" s="14"/>
      <c r="E596" s="14"/>
      <c r="F596" s="7"/>
      <c r="G596" s="14"/>
      <c r="H596" s="14"/>
      <c r="I596" s="7"/>
      <c r="J596" s="14"/>
      <c r="K596" s="240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spans="1:27" ht="19.5" customHeight="1" x14ac:dyDescent="0.25">
      <c r="A597" s="7"/>
      <c r="B597" s="7"/>
      <c r="C597" s="7"/>
      <c r="D597" s="14"/>
      <c r="E597" s="14"/>
      <c r="F597" s="7"/>
      <c r="G597" s="14"/>
      <c r="H597" s="14"/>
      <c r="I597" s="7"/>
      <c r="J597" s="14"/>
      <c r="K597" s="240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1:27" ht="19.5" customHeight="1" x14ac:dyDescent="0.25">
      <c r="A598" s="7"/>
      <c r="B598" s="7"/>
      <c r="C598" s="7"/>
      <c r="D598" s="14"/>
      <c r="E598" s="14"/>
      <c r="F598" s="7"/>
      <c r="G598" s="14"/>
      <c r="H598" s="14"/>
      <c r="I598" s="7"/>
      <c r="J598" s="14"/>
      <c r="K598" s="240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1:27" ht="19.5" customHeight="1" x14ac:dyDescent="0.25">
      <c r="A599" s="7"/>
      <c r="B599" s="7"/>
      <c r="C599" s="7"/>
      <c r="D599" s="14"/>
      <c r="E599" s="14"/>
      <c r="F599" s="7"/>
      <c r="G599" s="14"/>
      <c r="H599" s="14"/>
      <c r="I599" s="7"/>
      <c r="J599" s="14"/>
      <c r="K599" s="240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spans="1:27" ht="19.5" customHeight="1" x14ac:dyDescent="0.25">
      <c r="A600" s="7"/>
      <c r="B600" s="7"/>
      <c r="C600" s="7"/>
      <c r="D600" s="14"/>
      <c r="E600" s="14"/>
      <c r="F600" s="7"/>
      <c r="G600" s="14"/>
      <c r="H600" s="14"/>
      <c r="I600" s="7"/>
      <c r="J600" s="14"/>
      <c r="K600" s="240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spans="1:27" ht="19.5" customHeight="1" x14ac:dyDescent="0.25">
      <c r="A601" s="7"/>
      <c r="B601" s="7"/>
      <c r="C601" s="7"/>
      <c r="D601" s="14"/>
      <c r="E601" s="14"/>
      <c r="F601" s="7"/>
      <c r="G601" s="14"/>
      <c r="H601" s="14"/>
      <c r="I601" s="7"/>
      <c r="J601" s="14"/>
      <c r="K601" s="240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1:27" ht="19.5" customHeight="1" x14ac:dyDescent="0.25">
      <c r="A602" s="7"/>
      <c r="B602" s="7"/>
      <c r="C602" s="7"/>
      <c r="D602" s="14"/>
      <c r="E602" s="14"/>
      <c r="F602" s="7"/>
      <c r="G602" s="14"/>
      <c r="H602" s="14"/>
      <c r="I602" s="7"/>
      <c r="J602" s="14"/>
      <c r="K602" s="240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spans="1:27" ht="19.5" customHeight="1" x14ac:dyDescent="0.25">
      <c r="A603" s="7"/>
      <c r="B603" s="7"/>
      <c r="C603" s="7"/>
      <c r="D603" s="14"/>
      <c r="E603" s="14"/>
      <c r="F603" s="7"/>
      <c r="G603" s="14"/>
      <c r="H603" s="14"/>
      <c r="I603" s="7"/>
      <c r="J603" s="14"/>
      <c r="K603" s="240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1:27" ht="19.5" customHeight="1" x14ac:dyDescent="0.25">
      <c r="A604" s="7"/>
      <c r="B604" s="7"/>
      <c r="C604" s="7"/>
      <c r="D604" s="14"/>
      <c r="E604" s="14"/>
      <c r="F604" s="7"/>
      <c r="G604" s="14"/>
      <c r="H604" s="14"/>
      <c r="I604" s="7"/>
      <c r="J604" s="14"/>
      <c r="K604" s="240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spans="1:27" ht="19.5" customHeight="1" x14ac:dyDescent="0.25">
      <c r="A605" s="7"/>
      <c r="B605" s="7"/>
      <c r="C605" s="7"/>
      <c r="D605" s="14"/>
      <c r="E605" s="14"/>
      <c r="F605" s="7"/>
      <c r="G605" s="14"/>
      <c r="H605" s="14"/>
      <c r="I605" s="7"/>
      <c r="J605" s="14"/>
      <c r="K605" s="240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1:27" ht="19.5" customHeight="1" x14ac:dyDescent="0.25">
      <c r="A606" s="7"/>
      <c r="B606" s="7"/>
      <c r="C606" s="7"/>
      <c r="D606" s="14"/>
      <c r="E606" s="14"/>
      <c r="F606" s="7"/>
      <c r="G606" s="14"/>
      <c r="H606" s="14"/>
      <c r="I606" s="7"/>
      <c r="J606" s="14"/>
      <c r="K606" s="240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spans="1:27" ht="19.5" customHeight="1" x14ac:dyDescent="0.25">
      <c r="A607" s="7"/>
      <c r="B607" s="7"/>
      <c r="C607" s="7"/>
      <c r="D607" s="14"/>
      <c r="E607" s="14"/>
      <c r="F607" s="7"/>
      <c r="G607" s="14"/>
      <c r="H607" s="14"/>
      <c r="I607" s="7"/>
      <c r="J607" s="14"/>
      <c r="K607" s="240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spans="1:27" ht="19.5" customHeight="1" x14ac:dyDescent="0.25">
      <c r="A608" s="7"/>
      <c r="B608" s="7"/>
      <c r="C608" s="7"/>
      <c r="D608" s="14"/>
      <c r="E608" s="14"/>
      <c r="F608" s="7"/>
      <c r="G608" s="14"/>
      <c r="H608" s="14"/>
      <c r="I608" s="7"/>
      <c r="J608" s="14"/>
      <c r="K608" s="240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1:27" ht="19.5" customHeight="1" x14ac:dyDescent="0.25">
      <c r="A609" s="7"/>
      <c r="B609" s="7"/>
      <c r="C609" s="7"/>
      <c r="D609" s="14"/>
      <c r="E609" s="14"/>
      <c r="F609" s="7"/>
      <c r="G609" s="14"/>
      <c r="H609" s="14"/>
      <c r="I609" s="7"/>
      <c r="J609" s="14"/>
      <c r="K609" s="240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1:27" ht="19.5" customHeight="1" x14ac:dyDescent="0.25">
      <c r="A610" s="7"/>
      <c r="B610" s="7"/>
      <c r="C610" s="7"/>
      <c r="D610" s="14"/>
      <c r="E610" s="14"/>
      <c r="F610" s="7"/>
      <c r="G610" s="14"/>
      <c r="H610" s="14"/>
      <c r="I610" s="7"/>
      <c r="J610" s="14"/>
      <c r="K610" s="240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1:27" ht="19.5" customHeight="1" x14ac:dyDescent="0.25">
      <c r="A611" s="7"/>
      <c r="B611" s="7"/>
      <c r="C611" s="7"/>
      <c r="D611" s="14"/>
      <c r="E611" s="14"/>
      <c r="F611" s="7"/>
      <c r="G611" s="14"/>
      <c r="H611" s="14"/>
      <c r="I611" s="7"/>
      <c r="J611" s="14"/>
      <c r="K611" s="240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1:27" ht="19.5" customHeight="1" x14ac:dyDescent="0.25">
      <c r="A612" s="7"/>
      <c r="B612" s="7"/>
      <c r="C612" s="7"/>
      <c r="D612" s="14"/>
      <c r="E612" s="14"/>
      <c r="F612" s="7"/>
      <c r="G612" s="14"/>
      <c r="H612" s="14"/>
      <c r="I612" s="7"/>
      <c r="J612" s="14"/>
      <c r="K612" s="240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spans="1:27" ht="19.5" customHeight="1" x14ac:dyDescent="0.25">
      <c r="A613" s="7"/>
      <c r="B613" s="7"/>
      <c r="C613" s="7"/>
      <c r="D613" s="14"/>
      <c r="E613" s="14"/>
      <c r="F613" s="7"/>
      <c r="G613" s="14"/>
      <c r="H613" s="14"/>
      <c r="I613" s="7"/>
      <c r="J613" s="14"/>
      <c r="K613" s="240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 ht="19.5" customHeight="1" x14ac:dyDescent="0.25">
      <c r="A614" s="7"/>
      <c r="B614" s="7"/>
      <c r="C614" s="7"/>
      <c r="D614" s="14"/>
      <c r="E614" s="14"/>
      <c r="F614" s="7"/>
      <c r="G614" s="14"/>
      <c r="H614" s="14"/>
      <c r="I614" s="7"/>
      <c r="J614" s="14"/>
      <c r="K614" s="240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1:27" ht="19.5" customHeight="1" x14ac:dyDescent="0.25">
      <c r="A615" s="7"/>
      <c r="B615" s="7"/>
      <c r="C615" s="7"/>
      <c r="D615" s="14"/>
      <c r="E615" s="14"/>
      <c r="F615" s="7"/>
      <c r="G615" s="14"/>
      <c r="H615" s="14"/>
      <c r="I615" s="7"/>
      <c r="J615" s="14"/>
      <c r="K615" s="240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spans="1:27" ht="19.5" customHeight="1" x14ac:dyDescent="0.25">
      <c r="A616" s="7"/>
      <c r="B616" s="7"/>
      <c r="C616" s="7"/>
      <c r="D616" s="14"/>
      <c r="E616" s="14"/>
      <c r="F616" s="7"/>
      <c r="G616" s="14"/>
      <c r="H616" s="14"/>
      <c r="I616" s="7"/>
      <c r="J616" s="14"/>
      <c r="K616" s="240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spans="1:27" ht="19.5" customHeight="1" x14ac:dyDescent="0.25">
      <c r="A617" s="7"/>
      <c r="B617" s="7"/>
      <c r="C617" s="7"/>
      <c r="D617" s="14"/>
      <c r="E617" s="14"/>
      <c r="F617" s="7"/>
      <c r="G617" s="14"/>
      <c r="H617" s="14"/>
      <c r="I617" s="7"/>
      <c r="J617" s="14"/>
      <c r="K617" s="240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spans="1:27" ht="19.5" customHeight="1" x14ac:dyDescent="0.25">
      <c r="A618" s="7"/>
      <c r="B618" s="7"/>
      <c r="C618" s="7"/>
      <c r="D618" s="14"/>
      <c r="E618" s="14"/>
      <c r="F618" s="7"/>
      <c r="G618" s="14"/>
      <c r="H618" s="14"/>
      <c r="I618" s="7"/>
      <c r="J618" s="14"/>
      <c r="K618" s="240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spans="1:27" ht="19.5" customHeight="1" x14ac:dyDescent="0.25">
      <c r="A619" s="7"/>
      <c r="B619" s="7"/>
      <c r="C619" s="7"/>
      <c r="D619" s="14"/>
      <c r="E619" s="14"/>
      <c r="F619" s="7"/>
      <c r="G619" s="14"/>
      <c r="H619" s="14"/>
      <c r="I619" s="7"/>
      <c r="J619" s="14"/>
      <c r="K619" s="240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spans="1:27" ht="19.5" customHeight="1" x14ac:dyDescent="0.25">
      <c r="A620" s="7"/>
      <c r="B620" s="7"/>
      <c r="C620" s="7"/>
      <c r="D620" s="14"/>
      <c r="E620" s="14"/>
      <c r="F620" s="7"/>
      <c r="G620" s="14"/>
      <c r="H620" s="14"/>
      <c r="I620" s="7"/>
      <c r="J620" s="14"/>
      <c r="K620" s="240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spans="1:27" ht="19.5" customHeight="1" x14ac:dyDescent="0.25">
      <c r="A621" s="7"/>
      <c r="B621" s="7"/>
      <c r="C621" s="7"/>
      <c r="D621" s="14"/>
      <c r="E621" s="14"/>
      <c r="F621" s="7"/>
      <c r="G621" s="14"/>
      <c r="H621" s="14"/>
      <c r="I621" s="7"/>
      <c r="J621" s="14"/>
      <c r="K621" s="240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spans="1:27" ht="19.5" customHeight="1" x14ac:dyDescent="0.25">
      <c r="A622" s="7"/>
      <c r="B622" s="7"/>
      <c r="C622" s="7"/>
      <c r="D622" s="14"/>
      <c r="E622" s="14"/>
      <c r="F622" s="7"/>
      <c r="G622" s="14"/>
      <c r="H622" s="14"/>
      <c r="I622" s="7"/>
      <c r="J622" s="14"/>
      <c r="K622" s="240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spans="1:27" ht="19.5" customHeight="1" x14ac:dyDescent="0.25">
      <c r="A623" s="7"/>
      <c r="B623" s="7"/>
      <c r="C623" s="7"/>
      <c r="D623" s="14"/>
      <c r="E623" s="14"/>
      <c r="F623" s="7"/>
      <c r="G623" s="14"/>
      <c r="H623" s="14"/>
      <c r="I623" s="7"/>
      <c r="J623" s="14"/>
      <c r="K623" s="240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spans="1:27" ht="19.5" customHeight="1" x14ac:dyDescent="0.25">
      <c r="A624" s="7"/>
      <c r="B624" s="7"/>
      <c r="C624" s="7"/>
      <c r="D624" s="14"/>
      <c r="E624" s="14"/>
      <c r="F624" s="7"/>
      <c r="G624" s="14"/>
      <c r="H624" s="14"/>
      <c r="I624" s="7"/>
      <c r="J624" s="14"/>
      <c r="K624" s="240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spans="1:27" ht="19.5" customHeight="1" x14ac:dyDescent="0.25">
      <c r="A625" s="7"/>
      <c r="B625" s="7"/>
      <c r="C625" s="7"/>
      <c r="D625" s="14"/>
      <c r="E625" s="14"/>
      <c r="F625" s="7"/>
      <c r="G625" s="14"/>
      <c r="H625" s="14"/>
      <c r="I625" s="7"/>
      <c r="J625" s="14"/>
      <c r="K625" s="240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spans="1:27" ht="19.5" customHeight="1" x14ac:dyDescent="0.25">
      <c r="A626" s="7"/>
      <c r="B626" s="7"/>
      <c r="C626" s="7"/>
      <c r="D626" s="14"/>
      <c r="E626" s="14"/>
      <c r="F626" s="7"/>
      <c r="G626" s="14"/>
      <c r="H626" s="14"/>
      <c r="I626" s="7"/>
      <c r="J626" s="14"/>
      <c r="K626" s="240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spans="1:27" ht="19.5" customHeight="1" x14ac:dyDescent="0.25">
      <c r="A627" s="7"/>
      <c r="B627" s="7"/>
      <c r="C627" s="7"/>
      <c r="D627" s="14"/>
      <c r="E627" s="14"/>
      <c r="F627" s="7"/>
      <c r="G627" s="14"/>
      <c r="H627" s="14"/>
      <c r="I627" s="7"/>
      <c r="J627" s="14"/>
      <c r="K627" s="240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spans="1:27" ht="19.5" customHeight="1" x14ac:dyDescent="0.25">
      <c r="A628" s="7"/>
      <c r="B628" s="7"/>
      <c r="C628" s="7"/>
      <c r="D628" s="14"/>
      <c r="E628" s="14"/>
      <c r="F628" s="7"/>
      <c r="G628" s="14"/>
      <c r="H628" s="14"/>
      <c r="I628" s="7"/>
      <c r="J628" s="14"/>
      <c r="K628" s="240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spans="1:27" ht="19.5" customHeight="1" x14ac:dyDescent="0.25">
      <c r="A629" s="7"/>
      <c r="B629" s="7"/>
      <c r="C629" s="7"/>
      <c r="D629" s="14"/>
      <c r="E629" s="14"/>
      <c r="F629" s="7"/>
      <c r="G629" s="14"/>
      <c r="H629" s="14"/>
      <c r="I629" s="7"/>
      <c r="J629" s="14"/>
      <c r="K629" s="240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spans="1:27" ht="19.5" customHeight="1" x14ac:dyDescent="0.25">
      <c r="A630" s="7"/>
      <c r="B630" s="7"/>
      <c r="C630" s="7"/>
      <c r="D630" s="14"/>
      <c r="E630" s="14"/>
      <c r="F630" s="7"/>
      <c r="G630" s="14"/>
      <c r="H630" s="14"/>
      <c r="I630" s="7"/>
      <c r="J630" s="14"/>
      <c r="K630" s="240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spans="1:27" ht="19.5" customHeight="1" x14ac:dyDescent="0.25">
      <c r="A631" s="7"/>
      <c r="B631" s="7"/>
      <c r="C631" s="7"/>
      <c r="D631" s="14"/>
      <c r="E631" s="14"/>
      <c r="F631" s="7"/>
      <c r="G631" s="14"/>
      <c r="H631" s="14"/>
      <c r="I631" s="7"/>
      <c r="J631" s="14"/>
      <c r="K631" s="240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1:27" ht="19.5" customHeight="1" x14ac:dyDescent="0.25">
      <c r="A632" s="7"/>
      <c r="B632" s="7"/>
      <c r="C632" s="7"/>
      <c r="D632" s="14"/>
      <c r="E632" s="14"/>
      <c r="F632" s="7"/>
      <c r="G632" s="14"/>
      <c r="H632" s="14"/>
      <c r="I632" s="7"/>
      <c r="J632" s="14"/>
      <c r="K632" s="240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spans="1:27" ht="19.5" customHeight="1" x14ac:dyDescent="0.25">
      <c r="A633" s="7"/>
      <c r="B633" s="7"/>
      <c r="C633" s="7"/>
      <c r="D633" s="14"/>
      <c r="E633" s="14"/>
      <c r="F633" s="7"/>
      <c r="G633" s="14"/>
      <c r="H633" s="14"/>
      <c r="I633" s="7"/>
      <c r="J633" s="14"/>
      <c r="K633" s="240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1:27" ht="19.5" customHeight="1" x14ac:dyDescent="0.25">
      <c r="A634" s="7"/>
      <c r="B634" s="7"/>
      <c r="C634" s="7"/>
      <c r="D634" s="14"/>
      <c r="E634" s="14"/>
      <c r="F634" s="7"/>
      <c r="G634" s="14"/>
      <c r="H634" s="14"/>
      <c r="I634" s="7"/>
      <c r="J634" s="14"/>
      <c r="K634" s="240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spans="1:27" ht="19.5" customHeight="1" x14ac:dyDescent="0.25">
      <c r="A635" s="7"/>
      <c r="B635" s="7"/>
      <c r="C635" s="7"/>
      <c r="D635" s="14"/>
      <c r="E635" s="14"/>
      <c r="F635" s="7"/>
      <c r="G635" s="14"/>
      <c r="H635" s="14"/>
      <c r="I635" s="7"/>
      <c r="J635" s="14"/>
      <c r="K635" s="240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spans="1:27" ht="19.5" customHeight="1" x14ac:dyDescent="0.25">
      <c r="A636" s="7"/>
      <c r="B636" s="7"/>
      <c r="C636" s="7"/>
      <c r="D636" s="14"/>
      <c r="E636" s="14"/>
      <c r="F636" s="7"/>
      <c r="G636" s="14"/>
      <c r="H636" s="14"/>
      <c r="I636" s="7"/>
      <c r="J636" s="14"/>
      <c r="K636" s="240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1:27" ht="19.5" customHeight="1" x14ac:dyDescent="0.25">
      <c r="A637" s="7"/>
      <c r="B637" s="7"/>
      <c r="C637" s="7"/>
      <c r="D637" s="14"/>
      <c r="E637" s="14"/>
      <c r="F637" s="7"/>
      <c r="G637" s="14"/>
      <c r="H637" s="14"/>
      <c r="I637" s="7"/>
      <c r="J637" s="14"/>
      <c r="K637" s="240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spans="1:27" ht="19.5" customHeight="1" x14ac:dyDescent="0.25">
      <c r="A638" s="7"/>
      <c r="B638" s="7"/>
      <c r="C638" s="7"/>
      <c r="D638" s="14"/>
      <c r="E638" s="14"/>
      <c r="F638" s="7"/>
      <c r="G638" s="14"/>
      <c r="H638" s="14"/>
      <c r="I638" s="7"/>
      <c r="J638" s="14"/>
      <c r="K638" s="240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spans="1:27" ht="19.5" customHeight="1" x14ac:dyDescent="0.25">
      <c r="A639" s="7"/>
      <c r="B639" s="7"/>
      <c r="C639" s="7"/>
      <c r="D639" s="14"/>
      <c r="E639" s="14"/>
      <c r="F639" s="7"/>
      <c r="G639" s="14"/>
      <c r="H639" s="14"/>
      <c r="I639" s="7"/>
      <c r="J639" s="14"/>
      <c r="K639" s="240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spans="1:27" ht="19.5" customHeight="1" x14ac:dyDescent="0.25">
      <c r="A640" s="7"/>
      <c r="B640" s="7"/>
      <c r="C640" s="7"/>
      <c r="D640" s="14"/>
      <c r="E640" s="14"/>
      <c r="F640" s="7"/>
      <c r="G640" s="14"/>
      <c r="H640" s="14"/>
      <c r="I640" s="7"/>
      <c r="J640" s="14"/>
      <c r="K640" s="240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spans="1:27" ht="19.5" customHeight="1" x14ac:dyDescent="0.25">
      <c r="A641" s="7"/>
      <c r="B641" s="7"/>
      <c r="C641" s="7"/>
      <c r="D641" s="14"/>
      <c r="E641" s="14"/>
      <c r="F641" s="7"/>
      <c r="G641" s="14"/>
      <c r="H641" s="14"/>
      <c r="I641" s="7"/>
      <c r="J641" s="14"/>
      <c r="K641" s="240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spans="1:27" ht="19.5" customHeight="1" x14ac:dyDescent="0.25">
      <c r="A642" s="7"/>
      <c r="B642" s="7"/>
      <c r="C642" s="7"/>
      <c r="D642" s="14"/>
      <c r="E642" s="14"/>
      <c r="F642" s="7"/>
      <c r="G642" s="14"/>
      <c r="H642" s="14"/>
      <c r="I642" s="7"/>
      <c r="J642" s="14"/>
      <c r="K642" s="240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spans="1:27" ht="19.5" customHeight="1" x14ac:dyDescent="0.25">
      <c r="A643" s="7"/>
      <c r="B643" s="7"/>
      <c r="C643" s="7"/>
      <c r="D643" s="14"/>
      <c r="E643" s="14"/>
      <c r="F643" s="7"/>
      <c r="G643" s="14"/>
      <c r="H643" s="14"/>
      <c r="I643" s="7"/>
      <c r="J643" s="14"/>
      <c r="K643" s="240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spans="1:27" ht="19.5" customHeight="1" x14ac:dyDescent="0.25">
      <c r="A644" s="7"/>
      <c r="B644" s="7"/>
      <c r="C644" s="7"/>
      <c r="D644" s="14"/>
      <c r="E644" s="14"/>
      <c r="F644" s="7"/>
      <c r="G644" s="14"/>
      <c r="H644" s="14"/>
      <c r="I644" s="7"/>
      <c r="J644" s="14"/>
      <c r="K644" s="240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spans="1:27" ht="19.5" customHeight="1" x14ac:dyDescent="0.25">
      <c r="A645" s="7"/>
      <c r="B645" s="7"/>
      <c r="C645" s="7"/>
      <c r="D645" s="14"/>
      <c r="E645" s="14"/>
      <c r="F645" s="7"/>
      <c r="G645" s="14"/>
      <c r="H645" s="14"/>
      <c r="I645" s="7"/>
      <c r="J645" s="14"/>
      <c r="K645" s="240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spans="1:27" ht="19.5" customHeight="1" x14ac:dyDescent="0.25">
      <c r="A646" s="7"/>
      <c r="B646" s="7"/>
      <c r="C646" s="7"/>
      <c r="D646" s="14"/>
      <c r="E646" s="14"/>
      <c r="F646" s="7"/>
      <c r="G646" s="14"/>
      <c r="H646" s="14"/>
      <c r="I646" s="7"/>
      <c r="J646" s="14"/>
      <c r="K646" s="240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spans="1:27" ht="19.5" customHeight="1" x14ac:dyDescent="0.25">
      <c r="A647" s="7"/>
      <c r="B647" s="7"/>
      <c r="C647" s="7"/>
      <c r="D647" s="14"/>
      <c r="E647" s="14"/>
      <c r="F647" s="7"/>
      <c r="G647" s="14"/>
      <c r="H647" s="14"/>
      <c r="I647" s="7"/>
      <c r="J647" s="14"/>
      <c r="K647" s="240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spans="1:27" ht="19.5" customHeight="1" x14ac:dyDescent="0.25">
      <c r="A648" s="7"/>
      <c r="B648" s="7"/>
      <c r="C648" s="7"/>
      <c r="D648" s="14"/>
      <c r="E648" s="14"/>
      <c r="F648" s="7"/>
      <c r="G648" s="14"/>
      <c r="H648" s="14"/>
      <c r="I648" s="7"/>
      <c r="J648" s="14"/>
      <c r="K648" s="240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spans="1:27" ht="19.5" customHeight="1" x14ac:dyDescent="0.25">
      <c r="A649" s="7"/>
      <c r="B649" s="7"/>
      <c r="C649" s="7"/>
      <c r="D649" s="14"/>
      <c r="E649" s="14"/>
      <c r="F649" s="7"/>
      <c r="G649" s="14"/>
      <c r="H649" s="14"/>
      <c r="I649" s="7"/>
      <c r="J649" s="14"/>
      <c r="K649" s="240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1:27" ht="19.5" customHeight="1" x14ac:dyDescent="0.25">
      <c r="A650" s="7"/>
      <c r="B650" s="7"/>
      <c r="C650" s="7"/>
      <c r="D650" s="14"/>
      <c r="E650" s="14"/>
      <c r="F650" s="7"/>
      <c r="G650" s="14"/>
      <c r="H650" s="14"/>
      <c r="I650" s="7"/>
      <c r="J650" s="14"/>
      <c r="K650" s="240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spans="1:27" ht="19.5" customHeight="1" x14ac:dyDescent="0.25">
      <c r="A651" s="7"/>
      <c r="B651" s="7"/>
      <c r="C651" s="7"/>
      <c r="D651" s="14"/>
      <c r="E651" s="14"/>
      <c r="F651" s="7"/>
      <c r="G651" s="14"/>
      <c r="H651" s="14"/>
      <c r="I651" s="7"/>
      <c r="J651" s="14"/>
      <c r="K651" s="240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spans="1:27" ht="19.5" customHeight="1" x14ac:dyDescent="0.25">
      <c r="A652" s="7"/>
      <c r="B652" s="7"/>
      <c r="C652" s="7"/>
      <c r="D652" s="14"/>
      <c r="E652" s="14"/>
      <c r="F652" s="7"/>
      <c r="G652" s="14"/>
      <c r="H652" s="14"/>
      <c r="I652" s="7"/>
      <c r="J652" s="14"/>
      <c r="K652" s="240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spans="1:27" ht="19.5" customHeight="1" x14ac:dyDescent="0.25">
      <c r="A653" s="7"/>
      <c r="B653" s="7"/>
      <c r="C653" s="7"/>
      <c r="D653" s="14"/>
      <c r="E653" s="14"/>
      <c r="F653" s="7"/>
      <c r="G653" s="14"/>
      <c r="H653" s="14"/>
      <c r="I653" s="7"/>
      <c r="J653" s="14"/>
      <c r="K653" s="240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spans="1:27" ht="19.5" customHeight="1" x14ac:dyDescent="0.25">
      <c r="A654" s="7"/>
      <c r="B654" s="7"/>
      <c r="C654" s="7"/>
      <c r="D654" s="14"/>
      <c r="E654" s="14"/>
      <c r="F654" s="7"/>
      <c r="G654" s="14"/>
      <c r="H654" s="14"/>
      <c r="I654" s="7"/>
      <c r="J654" s="14"/>
      <c r="K654" s="240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spans="1:27" ht="19.5" customHeight="1" x14ac:dyDescent="0.25">
      <c r="A655" s="7"/>
      <c r="B655" s="7"/>
      <c r="C655" s="7"/>
      <c r="D655" s="14"/>
      <c r="E655" s="14"/>
      <c r="F655" s="7"/>
      <c r="G655" s="14"/>
      <c r="H655" s="14"/>
      <c r="I655" s="7"/>
      <c r="J655" s="14"/>
      <c r="K655" s="240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1:27" ht="19.5" customHeight="1" x14ac:dyDescent="0.25">
      <c r="A656" s="7"/>
      <c r="B656" s="7"/>
      <c r="C656" s="7"/>
      <c r="D656" s="14"/>
      <c r="E656" s="14"/>
      <c r="F656" s="7"/>
      <c r="G656" s="14"/>
      <c r="H656" s="14"/>
      <c r="I656" s="7"/>
      <c r="J656" s="14"/>
      <c r="K656" s="240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spans="1:27" ht="19.5" customHeight="1" x14ac:dyDescent="0.25">
      <c r="A657" s="7"/>
      <c r="B657" s="7"/>
      <c r="C657" s="7"/>
      <c r="D657" s="14"/>
      <c r="E657" s="14"/>
      <c r="F657" s="7"/>
      <c r="G657" s="14"/>
      <c r="H657" s="14"/>
      <c r="I657" s="7"/>
      <c r="J657" s="14"/>
      <c r="K657" s="240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1:27" ht="19.5" customHeight="1" x14ac:dyDescent="0.25">
      <c r="A658" s="7"/>
      <c r="B658" s="7"/>
      <c r="C658" s="7"/>
      <c r="D658" s="14"/>
      <c r="E658" s="14"/>
      <c r="F658" s="7"/>
      <c r="G658" s="14"/>
      <c r="H658" s="14"/>
      <c r="I658" s="7"/>
      <c r="J658" s="14"/>
      <c r="K658" s="240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spans="1:27" ht="19.5" customHeight="1" x14ac:dyDescent="0.25">
      <c r="A659" s="7"/>
      <c r="B659" s="7"/>
      <c r="C659" s="7"/>
      <c r="D659" s="14"/>
      <c r="E659" s="14"/>
      <c r="F659" s="7"/>
      <c r="G659" s="14"/>
      <c r="H659" s="14"/>
      <c r="I659" s="7"/>
      <c r="J659" s="14"/>
      <c r="K659" s="240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1:27" ht="19.5" customHeight="1" x14ac:dyDescent="0.25">
      <c r="A660" s="7"/>
      <c r="B660" s="7"/>
      <c r="C660" s="7"/>
      <c r="D660" s="14"/>
      <c r="E660" s="14"/>
      <c r="F660" s="7"/>
      <c r="G660" s="14"/>
      <c r="H660" s="14"/>
      <c r="I660" s="7"/>
      <c r="J660" s="14"/>
      <c r="K660" s="240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spans="1:27" ht="19.5" customHeight="1" x14ac:dyDescent="0.25">
      <c r="A661" s="7"/>
      <c r="B661" s="7"/>
      <c r="C661" s="7"/>
      <c r="D661" s="14"/>
      <c r="E661" s="14"/>
      <c r="F661" s="7"/>
      <c r="G661" s="14"/>
      <c r="H661" s="14"/>
      <c r="I661" s="7"/>
      <c r="J661" s="14"/>
      <c r="K661" s="240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spans="1:27" ht="19.5" customHeight="1" x14ac:dyDescent="0.25">
      <c r="A662" s="7"/>
      <c r="B662" s="7"/>
      <c r="C662" s="7"/>
      <c r="D662" s="14"/>
      <c r="E662" s="14"/>
      <c r="F662" s="7"/>
      <c r="G662" s="14"/>
      <c r="H662" s="14"/>
      <c r="I662" s="7"/>
      <c r="J662" s="14"/>
      <c r="K662" s="240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spans="1:27" ht="19.5" customHeight="1" x14ac:dyDescent="0.25">
      <c r="A663" s="7"/>
      <c r="B663" s="7"/>
      <c r="C663" s="7"/>
      <c r="D663" s="14"/>
      <c r="E663" s="14"/>
      <c r="F663" s="7"/>
      <c r="G663" s="14"/>
      <c r="H663" s="14"/>
      <c r="I663" s="7"/>
      <c r="J663" s="14"/>
      <c r="K663" s="240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spans="1:27" ht="19.5" customHeight="1" x14ac:dyDescent="0.25">
      <c r="A664" s="7"/>
      <c r="B664" s="7"/>
      <c r="C664" s="7"/>
      <c r="D664" s="14"/>
      <c r="E664" s="14"/>
      <c r="F664" s="7"/>
      <c r="G664" s="14"/>
      <c r="H664" s="14"/>
      <c r="I664" s="7"/>
      <c r="J664" s="14"/>
      <c r="K664" s="240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spans="1:27" ht="19.5" customHeight="1" x14ac:dyDescent="0.25">
      <c r="A665" s="7"/>
      <c r="B665" s="7"/>
      <c r="C665" s="7"/>
      <c r="D665" s="14"/>
      <c r="E665" s="14"/>
      <c r="F665" s="7"/>
      <c r="G665" s="14"/>
      <c r="H665" s="14"/>
      <c r="I665" s="7"/>
      <c r="J665" s="14"/>
      <c r="K665" s="240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spans="1:27" ht="19.5" customHeight="1" x14ac:dyDescent="0.25">
      <c r="A666" s="7"/>
      <c r="B666" s="7"/>
      <c r="C666" s="7"/>
      <c r="D666" s="14"/>
      <c r="E666" s="14"/>
      <c r="F666" s="7"/>
      <c r="G666" s="14"/>
      <c r="H666" s="14"/>
      <c r="I666" s="7"/>
      <c r="J666" s="14"/>
      <c r="K666" s="240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spans="1:27" ht="19.5" customHeight="1" x14ac:dyDescent="0.25">
      <c r="A667" s="7"/>
      <c r="B667" s="7"/>
      <c r="C667" s="7"/>
      <c r="D667" s="14"/>
      <c r="E667" s="14"/>
      <c r="F667" s="7"/>
      <c r="G667" s="14"/>
      <c r="H667" s="14"/>
      <c r="I667" s="7"/>
      <c r="J667" s="14"/>
      <c r="K667" s="240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spans="1:27" ht="19.5" customHeight="1" x14ac:dyDescent="0.25">
      <c r="A668" s="7"/>
      <c r="B668" s="7"/>
      <c r="C668" s="7"/>
      <c r="D668" s="14"/>
      <c r="E668" s="14"/>
      <c r="F668" s="7"/>
      <c r="G668" s="14"/>
      <c r="H668" s="14"/>
      <c r="I668" s="7"/>
      <c r="J668" s="14"/>
      <c r="K668" s="240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spans="1:27" ht="19.5" customHeight="1" x14ac:dyDescent="0.25">
      <c r="A669" s="7"/>
      <c r="B669" s="7"/>
      <c r="C669" s="7"/>
      <c r="D669" s="14"/>
      <c r="E669" s="14"/>
      <c r="F669" s="7"/>
      <c r="G669" s="14"/>
      <c r="H669" s="14"/>
      <c r="I669" s="7"/>
      <c r="J669" s="14"/>
      <c r="K669" s="240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spans="1:27" ht="19.5" customHeight="1" x14ac:dyDescent="0.25">
      <c r="A670" s="7"/>
      <c r="B670" s="7"/>
      <c r="C670" s="7"/>
      <c r="D670" s="14"/>
      <c r="E670" s="14"/>
      <c r="F670" s="7"/>
      <c r="G670" s="14"/>
      <c r="H670" s="14"/>
      <c r="I670" s="7"/>
      <c r="J670" s="14"/>
      <c r="K670" s="240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spans="1:27" ht="19.5" customHeight="1" x14ac:dyDescent="0.25">
      <c r="A671" s="7"/>
      <c r="B671" s="7"/>
      <c r="C671" s="7"/>
      <c r="D671" s="14"/>
      <c r="E671" s="14"/>
      <c r="F671" s="7"/>
      <c r="G671" s="14"/>
      <c r="H671" s="14"/>
      <c r="I671" s="7"/>
      <c r="J671" s="14"/>
      <c r="K671" s="240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spans="1:27" ht="19.5" customHeight="1" x14ac:dyDescent="0.25">
      <c r="A672" s="7"/>
      <c r="B672" s="7"/>
      <c r="C672" s="7"/>
      <c r="D672" s="14"/>
      <c r="E672" s="14"/>
      <c r="F672" s="7"/>
      <c r="G672" s="14"/>
      <c r="H672" s="14"/>
      <c r="I672" s="7"/>
      <c r="J672" s="14"/>
      <c r="K672" s="240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spans="1:27" ht="19.5" customHeight="1" x14ac:dyDescent="0.25">
      <c r="A673" s="7"/>
      <c r="B673" s="7"/>
      <c r="C673" s="7"/>
      <c r="D673" s="14"/>
      <c r="E673" s="14"/>
      <c r="F673" s="7"/>
      <c r="G673" s="14"/>
      <c r="H673" s="14"/>
      <c r="I673" s="7"/>
      <c r="J673" s="14"/>
      <c r="K673" s="240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spans="1:27" ht="19.5" customHeight="1" x14ac:dyDescent="0.25">
      <c r="A674" s="7"/>
      <c r="B674" s="7"/>
      <c r="C674" s="7"/>
      <c r="D674" s="14"/>
      <c r="E674" s="14"/>
      <c r="F674" s="7"/>
      <c r="G674" s="14"/>
      <c r="H674" s="14"/>
      <c r="I674" s="7"/>
      <c r="J674" s="14"/>
      <c r="K674" s="240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spans="1:27" ht="19.5" customHeight="1" x14ac:dyDescent="0.25">
      <c r="A675" s="7"/>
      <c r="B675" s="7"/>
      <c r="C675" s="7"/>
      <c r="D675" s="14"/>
      <c r="E675" s="14"/>
      <c r="F675" s="7"/>
      <c r="G675" s="14"/>
      <c r="H675" s="14"/>
      <c r="I675" s="7"/>
      <c r="J675" s="14"/>
      <c r="K675" s="240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spans="1:27" ht="19.5" customHeight="1" x14ac:dyDescent="0.25">
      <c r="A676" s="7"/>
      <c r="B676" s="7"/>
      <c r="C676" s="7"/>
      <c r="D676" s="14"/>
      <c r="E676" s="14"/>
      <c r="F676" s="7"/>
      <c r="G676" s="14"/>
      <c r="H676" s="14"/>
      <c r="I676" s="7"/>
      <c r="J676" s="14"/>
      <c r="K676" s="240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spans="1:27" ht="19.5" customHeight="1" x14ac:dyDescent="0.25">
      <c r="A677" s="7"/>
      <c r="B677" s="7"/>
      <c r="C677" s="7"/>
      <c r="D677" s="14"/>
      <c r="E677" s="14"/>
      <c r="F677" s="7"/>
      <c r="G677" s="14"/>
      <c r="H677" s="14"/>
      <c r="I677" s="7"/>
      <c r="J677" s="14"/>
      <c r="K677" s="240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spans="1:27" ht="19.5" customHeight="1" x14ac:dyDescent="0.25">
      <c r="A678" s="7"/>
      <c r="B678" s="7"/>
      <c r="C678" s="7"/>
      <c r="D678" s="14"/>
      <c r="E678" s="14"/>
      <c r="F678" s="7"/>
      <c r="G678" s="14"/>
      <c r="H678" s="14"/>
      <c r="I678" s="7"/>
      <c r="J678" s="14"/>
      <c r="K678" s="240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1:27" ht="19.5" customHeight="1" x14ac:dyDescent="0.25">
      <c r="A679" s="7"/>
      <c r="B679" s="7"/>
      <c r="C679" s="7"/>
      <c r="D679" s="14"/>
      <c r="E679" s="14"/>
      <c r="F679" s="7"/>
      <c r="G679" s="14"/>
      <c r="H679" s="14"/>
      <c r="I679" s="7"/>
      <c r="J679" s="14"/>
      <c r="K679" s="240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1:27" ht="19.5" customHeight="1" x14ac:dyDescent="0.25">
      <c r="A680" s="7"/>
      <c r="B680" s="7"/>
      <c r="C680" s="7"/>
      <c r="D680" s="14"/>
      <c r="E680" s="14"/>
      <c r="F680" s="7"/>
      <c r="G680" s="14"/>
      <c r="H680" s="14"/>
      <c r="I680" s="7"/>
      <c r="J680" s="14"/>
      <c r="K680" s="240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1:27" ht="19.5" customHeight="1" x14ac:dyDescent="0.25">
      <c r="A681" s="7"/>
      <c r="B681" s="7"/>
      <c r="C681" s="7"/>
      <c r="D681" s="14"/>
      <c r="E681" s="14"/>
      <c r="F681" s="7"/>
      <c r="G681" s="14"/>
      <c r="H681" s="14"/>
      <c r="I681" s="7"/>
      <c r="J681" s="14"/>
      <c r="K681" s="240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7" ht="19.5" customHeight="1" x14ac:dyDescent="0.25">
      <c r="A682" s="7"/>
      <c r="B682" s="7"/>
      <c r="C682" s="7"/>
      <c r="D682" s="14"/>
      <c r="E682" s="14"/>
      <c r="F682" s="7"/>
      <c r="G682" s="14"/>
      <c r="H682" s="14"/>
      <c r="I682" s="7"/>
      <c r="J682" s="14"/>
      <c r="K682" s="240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1:27" ht="19.5" customHeight="1" x14ac:dyDescent="0.25">
      <c r="A683" s="7"/>
      <c r="B683" s="7"/>
      <c r="C683" s="7"/>
      <c r="D683" s="14"/>
      <c r="E683" s="14"/>
      <c r="F683" s="7"/>
      <c r="G683" s="14"/>
      <c r="H683" s="14"/>
      <c r="I683" s="7"/>
      <c r="J683" s="14"/>
      <c r="K683" s="240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 ht="19.5" customHeight="1" x14ac:dyDescent="0.25">
      <c r="A684" s="7"/>
      <c r="B684" s="7"/>
      <c r="C684" s="7"/>
      <c r="D684" s="14"/>
      <c r="E684" s="14"/>
      <c r="F684" s="7"/>
      <c r="G684" s="14"/>
      <c r="H684" s="14"/>
      <c r="I684" s="7"/>
      <c r="J684" s="14"/>
      <c r="K684" s="240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1:27" ht="19.5" customHeight="1" x14ac:dyDescent="0.25">
      <c r="A685" s="7"/>
      <c r="B685" s="7"/>
      <c r="C685" s="7"/>
      <c r="D685" s="14"/>
      <c r="E685" s="14"/>
      <c r="F685" s="7"/>
      <c r="G685" s="14"/>
      <c r="H685" s="14"/>
      <c r="I685" s="7"/>
      <c r="J685" s="14"/>
      <c r="K685" s="240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spans="1:27" ht="19.5" customHeight="1" x14ac:dyDescent="0.25">
      <c r="A686" s="7"/>
      <c r="B686" s="7"/>
      <c r="C686" s="7"/>
      <c r="D686" s="14"/>
      <c r="E686" s="14"/>
      <c r="F686" s="7"/>
      <c r="G686" s="14"/>
      <c r="H686" s="14"/>
      <c r="I686" s="7"/>
      <c r="J686" s="14"/>
      <c r="K686" s="240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spans="1:27" ht="19.5" customHeight="1" x14ac:dyDescent="0.25">
      <c r="A687" s="7"/>
      <c r="B687" s="7"/>
      <c r="C687" s="7"/>
      <c r="D687" s="14"/>
      <c r="E687" s="14"/>
      <c r="F687" s="7"/>
      <c r="G687" s="14"/>
      <c r="H687" s="14"/>
      <c r="I687" s="7"/>
      <c r="J687" s="14"/>
      <c r="K687" s="240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spans="1:27" ht="19.5" customHeight="1" x14ac:dyDescent="0.25">
      <c r="A688" s="7"/>
      <c r="B688" s="7"/>
      <c r="C688" s="7"/>
      <c r="D688" s="14"/>
      <c r="E688" s="14"/>
      <c r="F688" s="7"/>
      <c r="G688" s="14"/>
      <c r="H688" s="14"/>
      <c r="I688" s="7"/>
      <c r="J688" s="14"/>
      <c r="K688" s="240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spans="1:27" ht="19.5" customHeight="1" x14ac:dyDescent="0.25">
      <c r="A689" s="7"/>
      <c r="B689" s="7"/>
      <c r="C689" s="7"/>
      <c r="D689" s="14"/>
      <c r="E689" s="14"/>
      <c r="F689" s="7"/>
      <c r="G689" s="14"/>
      <c r="H689" s="14"/>
      <c r="I689" s="7"/>
      <c r="J689" s="14"/>
      <c r="K689" s="240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spans="1:27" ht="19.5" customHeight="1" x14ac:dyDescent="0.25">
      <c r="A690" s="7"/>
      <c r="B690" s="7"/>
      <c r="C690" s="7"/>
      <c r="D690" s="14"/>
      <c r="E690" s="14"/>
      <c r="F690" s="7"/>
      <c r="G690" s="14"/>
      <c r="H690" s="14"/>
      <c r="I690" s="7"/>
      <c r="J690" s="14"/>
      <c r="K690" s="240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spans="1:27" ht="19.5" customHeight="1" x14ac:dyDescent="0.25">
      <c r="A691" s="7"/>
      <c r="B691" s="7"/>
      <c r="C691" s="7"/>
      <c r="D691" s="14"/>
      <c r="E691" s="14"/>
      <c r="F691" s="7"/>
      <c r="G691" s="14"/>
      <c r="H691" s="14"/>
      <c r="I691" s="7"/>
      <c r="J691" s="14"/>
      <c r="K691" s="240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spans="1:27" ht="19.5" customHeight="1" x14ac:dyDescent="0.25">
      <c r="A692" s="7"/>
      <c r="B692" s="7"/>
      <c r="C692" s="7"/>
      <c r="D692" s="14"/>
      <c r="E692" s="14"/>
      <c r="F692" s="7"/>
      <c r="G692" s="14"/>
      <c r="H692" s="14"/>
      <c r="I692" s="7"/>
      <c r="J692" s="14"/>
      <c r="K692" s="240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spans="1:27" ht="19.5" customHeight="1" x14ac:dyDescent="0.25">
      <c r="A693" s="7"/>
      <c r="B693" s="7"/>
      <c r="C693" s="7"/>
      <c r="D693" s="14"/>
      <c r="E693" s="14"/>
      <c r="F693" s="7"/>
      <c r="G693" s="14"/>
      <c r="H693" s="14"/>
      <c r="I693" s="7"/>
      <c r="J693" s="14"/>
      <c r="K693" s="240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spans="1:27" ht="19.5" customHeight="1" x14ac:dyDescent="0.25">
      <c r="A694" s="7"/>
      <c r="B694" s="7"/>
      <c r="C694" s="7"/>
      <c r="D694" s="14"/>
      <c r="E694" s="14"/>
      <c r="F694" s="7"/>
      <c r="G694" s="14"/>
      <c r="H694" s="14"/>
      <c r="I694" s="7"/>
      <c r="J694" s="14"/>
      <c r="K694" s="240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spans="1:27" ht="19.5" customHeight="1" x14ac:dyDescent="0.25">
      <c r="A695" s="7"/>
      <c r="B695" s="7"/>
      <c r="C695" s="7"/>
      <c r="D695" s="14"/>
      <c r="E695" s="14"/>
      <c r="F695" s="7"/>
      <c r="G695" s="14"/>
      <c r="H695" s="14"/>
      <c r="I695" s="7"/>
      <c r="J695" s="14"/>
      <c r="K695" s="240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spans="1:27" ht="19.5" customHeight="1" x14ac:dyDescent="0.25">
      <c r="A696" s="7"/>
      <c r="B696" s="7"/>
      <c r="C696" s="7"/>
      <c r="D696" s="14"/>
      <c r="E696" s="14"/>
      <c r="F696" s="7"/>
      <c r="G696" s="14"/>
      <c r="H696" s="14"/>
      <c r="I696" s="7"/>
      <c r="J696" s="14"/>
      <c r="K696" s="240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spans="1:27" ht="19.5" customHeight="1" x14ac:dyDescent="0.25">
      <c r="A697" s="7"/>
      <c r="B697" s="7"/>
      <c r="C697" s="7"/>
      <c r="D697" s="14"/>
      <c r="E697" s="14"/>
      <c r="F697" s="7"/>
      <c r="G697" s="14"/>
      <c r="H697" s="14"/>
      <c r="I697" s="7"/>
      <c r="J697" s="14"/>
      <c r="K697" s="240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spans="1:27" ht="19.5" customHeight="1" x14ac:dyDescent="0.25">
      <c r="A698" s="7"/>
      <c r="B698" s="7"/>
      <c r="C698" s="7"/>
      <c r="D698" s="14"/>
      <c r="E698" s="14"/>
      <c r="F698" s="7"/>
      <c r="G698" s="14"/>
      <c r="H698" s="14"/>
      <c r="I698" s="7"/>
      <c r="J698" s="14"/>
      <c r="K698" s="240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spans="1:27" ht="19.5" customHeight="1" x14ac:dyDescent="0.25">
      <c r="A699" s="7"/>
      <c r="B699" s="7"/>
      <c r="C699" s="7"/>
      <c r="D699" s="14"/>
      <c r="E699" s="14"/>
      <c r="F699" s="7"/>
      <c r="G699" s="14"/>
      <c r="H699" s="14"/>
      <c r="I699" s="7"/>
      <c r="J699" s="14"/>
      <c r="K699" s="240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spans="1:27" ht="19.5" customHeight="1" x14ac:dyDescent="0.25">
      <c r="A700" s="7"/>
      <c r="B700" s="7"/>
      <c r="C700" s="7"/>
      <c r="D700" s="14"/>
      <c r="E700" s="14"/>
      <c r="F700" s="7"/>
      <c r="G700" s="14"/>
      <c r="H700" s="14"/>
      <c r="I700" s="7"/>
      <c r="J700" s="14"/>
      <c r="K700" s="240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spans="1:27" ht="19.5" customHeight="1" x14ac:dyDescent="0.25">
      <c r="A701" s="7"/>
      <c r="B701" s="7"/>
      <c r="C701" s="7"/>
      <c r="D701" s="14"/>
      <c r="E701" s="14"/>
      <c r="F701" s="7"/>
      <c r="G701" s="14"/>
      <c r="H701" s="14"/>
      <c r="I701" s="7"/>
      <c r="J701" s="14"/>
      <c r="K701" s="240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1:27" ht="19.5" customHeight="1" x14ac:dyDescent="0.25">
      <c r="A702" s="7"/>
      <c r="B702" s="7"/>
      <c r="C702" s="7"/>
      <c r="D702" s="14"/>
      <c r="E702" s="14"/>
      <c r="F702" s="7"/>
      <c r="G702" s="14"/>
      <c r="H702" s="14"/>
      <c r="I702" s="7"/>
      <c r="J702" s="14"/>
      <c r="K702" s="240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1:27" ht="19.5" customHeight="1" x14ac:dyDescent="0.25">
      <c r="A703" s="7"/>
      <c r="B703" s="7"/>
      <c r="C703" s="7"/>
      <c r="D703" s="14"/>
      <c r="E703" s="14"/>
      <c r="F703" s="7"/>
      <c r="G703" s="14"/>
      <c r="H703" s="14"/>
      <c r="I703" s="7"/>
      <c r="J703" s="14"/>
      <c r="K703" s="240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1:27" ht="19.5" customHeight="1" x14ac:dyDescent="0.25">
      <c r="A704" s="7"/>
      <c r="B704" s="7"/>
      <c r="C704" s="7"/>
      <c r="D704" s="14"/>
      <c r="E704" s="14"/>
      <c r="F704" s="7"/>
      <c r="G704" s="14"/>
      <c r="H704" s="14"/>
      <c r="I704" s="7"/>
      <c r="J704" s="14"/>
      <c r="K704" s="240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spans="1:27" ht="19.5" customHeight="1" x14ac:dyDescent="0.25">
      <c r="A705" s="7"/>
      <c r="B705" s="7"/>
      <c r="C705" s="7"/>
      <c r="D705" s="14"/>
      <c r="E705" s="14"/>
      <c r="F705" s="7"/>
      <c r="G705" s="14"/>
      <c r="H705" s="14"/>
      <c r="I705" s="7"/>
      <c r="J705" s="14"/>
      <c r="K705" s="240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1:27" ht="19.5" customHeight="1" x14ac:dyDescent="0.25">
      <c r="A706" s="7"/>
      <c r="B706" s="7"/>
      <c r="C706" s="7"/>
      <c r="D706" s="14"/>
      <c r="E706" s="14"/>
      <c r="F706" s="7"/>
      <c r="G706" s="14"/>
      <c r="H706" s="14"/>
      <c r="I706" s="7"/>
      <c r="J706" s="14"/>
      <c r="K706" s="240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1:27" ht="19.5" customHeight="1" x14ac:dyDescent="0.25">
      <c r="A707" s="7"/>
      <c r="B707" s="7"/>
      <c r="C707" s="7"/>
      <c r="D707" s="14"/>
      <c r="E707" s="14"/>
      <c r="F707" s="7"/>
      <c r="G707" s="14"/>
      <c r="H707" s="14"/>
      <c r="I707" s="7"/>
      <c r="J707" s="14"/>
      <c r="K707" s="240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1:27" ht="19.5" customHeight="1" x14ac:dyDescent="0.25">
      <c r="A708" s="7"/>
      <c r="B708" s="7"/>
      <c r="C708" s="7"/>
      <c r="D708" s="14"/>
      <c r="E708" s="14"/>
      <c r="F708" s="7"/>
      <c r="G708" s="14"/>
      <c r="H708" s="14"/>
      <c r="I708" s="7"/>
      <c r="J708" s="14"/>
      <c r="K708" s="240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spans="1:27" ht="19.5" customHeight="1" x14ac:dyDescent="0.25">
      <c r="A709" s="7"/>
      <c r="B709" s="7"/>
      <c r="C709" s="7"/>
      <c r="D709" s="14"/>
      <c r="E709" s="14"/>
      <c r="F709" s="7"/>
      <c r="G709" s="14"/>
      <c r="H709" s="14"/>
      <c r="I709" s="7"/>
      <c r="J709" s="14"/>
      <c r="K709" s="240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spans="1:27" ht="19.5" customHeight="1" x14ac:dyDescent="0.25">
      <c r="A710" s="7"/>
      <c r="B710" s="7"/>
      <c r="C710" s="7"/>
      <c r="D710" s="14"/>
      <c r="E710" s="14"/>
      <c r="F710" s="7"/>
      <c r="G710" s="14"/>
      <c r="H710" s="14"/>
      <c r="I710" s="7"/>
      <c r="J710" s="14"/>
      <c r="K710" s="240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spans="1:27" ht="19.5" customHeight="1" x14ac:dyDescent="0.25">
      <c r="A711" s="7"/>
      <c r="B711" s="7"/>
      <c r="C711" s="7"/>
      <c r="D711" s="14"/>
      <c r="E711" s="14"/>
      <c r="F711" s="7"/>
      <c r="G711" s="14"/>
      <c r="H711" s="14"/>
      <c r="I711" s="7"/>
      <c r="J711" s="14"/>
      <c r="K711" s="240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spans="1:27" ht="19.5" customHeight="1" x14ac:dyDescent="0.25">
      <c r="A712" s="7"/>
      <c r="B712" s="7"/>
      <c r="C712" s="7"/>
      <c r="D712" s="14"/>
      <c r="E712" s="14"/>
      <c r="F712" s="7"/>
      <c r="G712" s="14"/>
      <c r="H712" s="14"/>
      <c r="I712" s="7"/>
      <c r="J712" s="14"/>
      <c r="K712" s="240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spans="1:27" ht="19.5" customHeight="1" x14ac:dyDescent="0.25">
      <c r="A713" s="7"/>
      <c r="B713" s="7"/>
      <c r="C713" s="7"/>
      <c r="D713" s="14"/>
      <c r="E713" s="14"/>
      <c r="F713" s="7"/>
      <c r="G713" s="14"/>
      <c r="H713" s="14"/>
      <c r="I713" s="7"/>
      <c r="J713" s="14"/>
      <c r="K713" s="240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spans="1:27" ht="19.5" customHeight="1" x14ac:dyDescent="0.25">
      <c r="A714" s="7"/>
      <c r="B714" s="7"/>
      <c r="C714" s="7"/>
      <c r="D714" s="14"/>
      <c r="E714" s="14"/>
      <c r="F714" s="7"/>
      <c r="G714" s="14"/>
      <c r="H714" s="14"/>
      <c r="I714" s="7"/>
      <c r="J714" s="14"/>
      <c r="K714" s="240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spans="1:27" ht="19.5" customHeight="1" x14ac:dyDescent="0.25">
      <c r="A715" s="7"/>
      <c r="B715" s="7"/>
      <c r="C715" s="7"/>
      <c r="D715" s="14"/>
      <c r="E715" s="14"/>
      <c r="F715" s="7"/>
      <c r="G715" s="14"/>
      <c r="H715" s="14"/>
      <c r="I715" s="7"/>
      <c r="J715" s="14"/>
      <c r="K715" s="240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spans="1:27" ht="19.5" customHeight="1" x14ac:dyDescent="0.25">
      <c r="A716" s="7"/>
      <c r="B716" s="7"/>
      <c r="C716" s="7"/>
      <c r="D716" s="14"/>
      <c r="E716" s="14"/>
      <c r="F716" s="7"/>
      <c r="G716" s="14"/>
      <c r="H716" s="14"/>
      <c r="I716" s="7"/>
      <c r="J716" s="14"/>
      <c r="K716" s="240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spans="1:27" ht="19.5" customHeight="1" x14ac:dyDescent="0.25">
      <c r="A717" s="7"/>
      <c r="B717" s="7"/>
      <c r="C717" s="7"/>
      <c r="D717" s="14"/>
      <c r="E717" s="14"/>
      <c r="F717" s="7"/>
      <c r="G717" s="14"/>
      <c r="H717" s="14"/>
      <c r="I717" s="7"/>
      <c r="J717" s="14"/>
      <c r="K717" s="240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spans="1:27" ht="19.5" customHeight="1" x14ac:dyDescent="0.25">
      <c r="A718" s="7"/>
      <c r="B718" s="7"/>
      <c r="C718" s="7"/>
      <c r="D718" s="14"/>
      <c r="E718" s="14"/>
      <c r="F718" s="7"/>
      <c r="G718" s="14"/>
      <c r="H718" s="14"/>
      <c r="I718" s="7"/>
      <c r="J718" s="14"/>
      <c r="K718" s="240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spans="1:27" ht="19.5" customHeight="1" x14ac:dyDescent="0.25">
      <c r="A719" s="7"/>
      <c r="B719" s="7"/>
      <c r="C719" s="7"/>
      <c r="D719" s="14"/>
      <c r="E719" s="14"/>
      <c r="F719" s="7"/>
      <c r="G719" s="14"/>
      <c r="H719" s="14"/>
      <c r="I719" s="7"/>
      <c r="J719" s="14"/>
      <c r="K719" s="240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spans="1:27" ht="19.5" customHeight="1" x14ac:dyDescent="0.25">
      <c r="A720" s="7"/>
      <c r="B720" s="7"/>
      <c r="C720" s="7"/>
      <c r="D720" s="14"/>
      <c r="E720" s="14"/>
      <c r="F720" s="7"/>
      <c r="G720" s="14"/>
      <c r="H720" s="14"/>
      <c r="I720" s="7"/>
      <c r="J720" s="14"/>
      <c r="K720" s="240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spans="1:27" ht="19.5" customHeight="1" x14ac:dyDescent="0.25">
      <c r="A721" s="7"/>
      <c r="B721" s="7"/>
      <c r="C721" s="7"/>
      <c r="D721" s="14"/>
      <c r="E721" s="14"/>
      <c r="F721" s="7"/>
      <c r="G721" s="14"/>
      <c r="H721" s="14"/>
      <c r="I721" s="7"/>
      <c r="J721" s="14"/>
      <c r="K721" s="240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spans="1:27" ht="19.5" customHeight="1" x14ac:dyDescent="0.25">
      <c r="A722" s="7"/>
      <c r="B722" s="7"/>
      <c r="C722" s="7"/>
      <c r="D722" s="14"/>
      <c r="E722" s="14"/>
      <c r="F722" s="7"/>
      <c r="G722" s="14"/>
      <c r="H722" s="14"/>
      <c r="I722" s="7"/>
      <c r="J722" s="14"/>
      <c r="K722" s="240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spans="1:27" ht="19.5" customHeight="1" x14ac:dyDescent="0.25">
      <c r="A723" s="7"/>
      <c r="B723" s="7"/>
      <c r="C723" s="7"/>
      <c r="D723" s="14"/>
      <c r="E723" s="14"/>
      <c r="F723" s="7"/>
      <c r="G723" s="14"/>
      <c r="H723" s="14"/>
      <c r="I723" s="7"/>
      <c r="J723" s="14"/>
      <c r="K723" s="240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spans="1:27" ht="19.5" customHeight="1" x14ac:dyDescent="0.25">
      <c r="A724" s="7"/>
      <c r="B724" s="7"/>
      <c r="C724" s="7"/>
      <c r="D724" s="14"/>
      <c r="E724" s="14"/>
      <c r="F724" s="7"/>
      <c r="G724" s="14"/>
      <c r="H724" s="14"/>
      <c r="I724" s="7"/>
      <c r="J724" s="14"/>
      <c r="K724" s="240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spans="1:27" ht="19.5" customHeight="1" x14ac:dyDescent="0.25">
      <c r="A725" s="7"/>
      <c r="B725" s="7"/>
      <c r="C725" s="7"/>
      <c r="D725" s="14"/>
      <c r="E725" s="14"/>
      <c r="F725" s="7"/>
      <c r="G725" s="14"/>
      <c r="H725" s="14"/>
      <c r="I725" s="7"/>
      <c r="J725" s="14"/>
      <c r="K725" s="240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1:27" ht="19.5" customHeight="1" x14ac:dyDescent="0.25">
      <c r="A726" s="7"/>
      <c r="B726" s="7"/>
      <c r="C726" s="7"/>
      <c r="D726" s="14"/>
      <c r="E726" s="14"/>
      <c r="F726" s="7"/>
      <c r="G726" s="14"/>
      <c r="H726" s="14"/>
      <c r="I726" s="7"/>
      <c r="J726" s="14"/>
      <c r="K726" s="240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1:27" ht="19.5" customHeight="1" x14ac:dyDescent="0.25">
      <c r="A727" s="7"/>
      <c r="B727" s="7"/>
      <c r="C727" s="7"/>
      <c r="D727" s="14"/>
      <c r="E727" s="14"/>
      <c r="F727" s="7"/>
      <c r="G727" s="14"/>
      <c r="H727" s="14"/>
      <c r="I727" s="7"/>
      <c r="J727" s="14"/>
      <c r="K727" s="240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1:27" ht="19.5" customHeight="1" x14ac:dyDescent="0.25">
      <c r="A728" s="7"/>
      <c r="B728" s="7"/>
      <c r="C728" s="7"/>
      <c r="D728" s="14"/>
      <c r="E728" s="14"/>
      <c r="F728" s="7"/>
      <c r="G728" s="14"/>
      <c r="H728" s="14"/>
      <c r="I728" s="7"/>
      <c r="J728" s="14"/>
      <c r="K728" s="240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1:27" ht="19.5" customHeight="1" x14ac:dyDescent="0.25">
      <c r="A729" s="7"/>
      <c r="B729" s="7"/>
      <c r="C729" s="7"/>
      <c r="D729" s="14"/>
      <c r="E729" s="14"/>
      <c r="F729" s="7"/>
      <c r="G729" s="14"/>
      <c r="H729" s="14"/>
      <c r="I729" s="7"/>
      <c r="J729" s="14"/>
      <c r="K729" s="240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spans="1:27" ht="19.5" customHeight="1" x14ac:dyDescent="0.25">
      <c r="A730" s="7"/>
      <c r="B730" s="7"/>
      <c r="C730" s="7"/>
      <c r="D730" s="14"/>
      <c r="E730" s="14"/>
      <c r="F730" s="7"/>
      <c r="G730" s="14"/>
      <c r="H730" s="14"/>
      <c r="I730" s="7"/>
      <c r="J730" s="14"/>
      <c r="K730" s="240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1:27" ht="19.5" customHeight="1" x14ac:dyDescent="0.25">
      <c r="A731" s="7"/>
      <c r="B731" s="7"/>
      <c r="C731" s="7"/>
      <c r="D731" s="14"/>
      <c r="E731" s="14"/>
      <c r="F731" s="7"/>
      <c r="G731" s="14"/>
      <c r="H731" s="14"/>
      <c r="I731" s="7"/>
      <c r="J731" s="14"/>
      <c r="K731" s="240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spans="1:27" ht="19.5" customHeight="1" x14ac:dyDescent="0.25">
      <c r="A732" s="7"/>
      <c r="B732" s="7"/>
      <c r="C732" s="7"/>
      <c r="D732" s="14"/>
      <c r="E732" s="14"/>
      <c r="F732" s="7"/>
      <c r="G732" s="14"/>
      <c r="H732" s="14"/>
      <c r="I732" s="7"/>
      <c r="J732" s="14"/>
      <c r="K732" s="240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1:27" ht="19.5" customHeight="1" x14ac:dyDescent="0.25">
      <c r="A733" s="7"/>
      <c r="B733" s="7"/>
      <c r="C733" s="7"/>
      <c r="D733" s="14"/>
      <c r="E733" s="14"/>
      <c r="F733" s="7"/>
      <c r="G733" s="14"/>
      <c r="H733" s="14"/>
      <c r="I733" s="7"/>
      <c r="J733" s="14"/>
      <c r="K733" s="240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spans="1:27" ht="19.5" customHeight="1" x14ac:dyDescent="0.25">
      <c r="A734" s="7"/>
      <c r="B734" s="7"/>
      <c r="C734" s="7"/>
      <c r="D734" s="14"/>
      <c r="E734" s="14"/>
      <c r="F734" s="7"/>
      <c r="G734" s="14"/>
      <c r="H734" s="14"/>
      <c r="I734" s="7"/>
      <c r="J734" s="14"/>
      <c r="K734" s="240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spans="1:27" ht="19.5" customHeight="1" x14ac:dyDescent="0.25">
      <c r="A735" s="7"/>
      <c r="B735" s="7"/>
      <c r="C735" s="7"/>
      <c r="D735" s="14"/>
      <c r="E735" s="14"/>
      <c r="F735" s="7"/>
      <c r="G735" s="14"/>
      <c r="H735" s="14"/>
      <c r="I735" s="7"/>
      <c r="J735" s="14"/>
      <c r="K735" s="240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spans="1:27" ht="19.5" customHeight="1" x14ac:dyDescent="0.25">
      <c r="A736" s="7"/>
      <c r="B736" s="7"/>
      <c r="C736" s="7"/>
      <c r="D736" s="14"/>
      <c r="E736" s="14"/>
      <c r="F736" s="7"/>
      <c r="G736" s="14"/>
      <c r="H736" s="14"/>
      <c r="I736" s="7"/>
      <c r="J736" s="14"/>
      <c r="K736" s="240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spans="1:27" ht="19.5" customHeight="1" x14ac:dyDescent="0.25">
      <c r="A737" s="7"/>
      <c r="B737" s="7"/>
      <c r="C737" s="7"/>
      <c r="D737" s="14"/>
      <c r="E737" s="14"/>
      <c r="F737" s="7"/>
      <c r="G737" s="14"/>
      <c r="H737" s="14"/>
      <c r="I737" s="7"/>
      <c r="J737" s="14"/>
      <c r="K737" s="240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spans="1:27" ht="19.5" customHeight="1" x14ac:dyDescent="0.25">
      <c r="A738" s="7"/>
      <c r="B738" s="7"/>
      <c r="C738" s="7"/>
      <c r="D738" s="14"/>
      <c r="E738" s="14"/>
      <c r="F738" s="7"/>
      <c r="G738" s="14"/>
      <c r="H738" s="14"/>
      <c r="I738" s="7"/>
      <c r="J738" s="14"/>
      <c r="K738" s="240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spans="1:27" ht="19.5" customHeight="1" x14ac:dyDescent="0.25">
      <c r="A739" s="7"/>
      <c r="B739" s="7"/>
      <c r="C739" s="7"/>
      <c r="D739" s="14"/>
      <c r="E739" s="14"/>
      <c r="F739" s="7"/>
      <c r="G739" s="14"/>
      <c r="H739" s="14"/>
      <c r="I739" s="7"/>
      <c r="J739" s="14"/>
      <c r="K739" s="240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spans="1:27" ht="19.5" customHeight="1" x14ac:dyDescent="0.25">
      <c r="A740" s="7"/>
      <c r="B740" s="7"/>
      <c r="C740" s="7"/>
      <c r="D740" s="14"/>
      <c r="E740" s="14"/>
      <c r="F740" s="7"/>
      <c r="G740" s="14"/>
      <c r="H740" s="14"/>
      <c r="I740" s="7"/>
      <c r="J740" s="14"/>
      <c r="K740" s="240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spans="1:27" ht="19.5" customHeight="1" x14ac:dyDescent="0.25">
      <c r="A741" s="7"/>
      <c r="B741" s="7"/>
      <c r="C741" s="7"/>
      <c r="D741" s="14"/>
      <c r="E741" s="14"/>
      <c r="F741" s="7"/>
      <c r="G741" s="14"/>
      <c r="H741" s="14"/>
      <c r="I741" s="7"/>
      <c r="J741" s="14"/>
      <c r="K741" s="240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spans="1:27" ht="19.5" customHeight="1" x14ac:dyDescent="0.25">
      <c r="A742" s="7"/>
      <c r="B742" s="7"/>
      <c r="C742" s="7"/>
      <c r="D742" s="14"/>
      <c r="E742" s="14"/>
      <c r="F742" s="7"/>
      <c r="G742" s="14"/>
      <c r="H742" s="14"/>
      <c r="I742" s="7"/>
      <c r="J742" s="14"/>
      <c r="K742" s="240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spans="1:27" ht="19.5" customHeight="1" x14ac:dyDescent="0.25">
      <c r="A743" s="7"/>
      <c r="B743" s="7"/>
      <c r="C743" s="7"/>
      <c r="D743" s="14"/>
      <c r="E743" s="14"/>
      <c r="F743" s="7"/>
      <c r="G743" s="14"/>
      <c r="H743" s="14"/>
      <c r="I743" s="7"/>
      <c r="J743" s="14"/>
      <c r="K743" s="240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spans="1:27" ht="19.5" customHeight="1" x14ac:dyDescent="0.25">
      <c r="A744" s="7"/>
      <c r="B744" s="7"/>
      <c r="C744" s="7"/>
      <c r="D744" s="14"/>
      <c r="E744" s="14"/>
      <c r="F744" s="7"/>
      <c r="G744" s="14"/>
      <c r="H744" s="14"/>
      <c r="I744" s="7"/>
      <c r="J744" s="14"/>
      <c r="K744" s="240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spans="1:27" ht="19.5" customHeight="1" x14ac:dyDescent="0.25">
      <c r="A745" s="7"/>
      <c r="B745" s="7"/>
      <c r="C745" s="7"/>
      <c r="D745" s="14"/>
      <c r="E745" s="14"/>
      <c r="F745" s="7"/>
      <c r="G745" s="14"/>
      <c r="H745" s="14"/>
      <c r="I745" s="7"/>
      <c r="J745" s="14"/>
      <c r="K745" s="240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spans="1:27" ht="19.5" customHeight="1" x14ac:dyDescent="0.25">
      <c r="A746" s="7"/>
      <c r="B746" s="7"/>
      <c r="C746" s="7"/>
      <c r="D746" s="14"/>
      <c r="E746" s="14"/>
      <c r="F746" s="7"/>
      <c r="G746" s="14"/>
      <c r="H746" s="14"/>
      <c r="I746" s="7"/>
      <c r="J746" s="14"/>
      <c r="K746" s="240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spans="1:27" ht="19.5" customHeight="1" x14ac:dyDescent="0.25">
      <c r="A747" s="7"/>
      <c r="B747" s="7"/>
      <c r="C747" s="7"/>
      <c r="D747" s="14"/>
      <c r="E747" s="14"/>
      <c r="F747" s="7"/>
      <c r="G747" s="14"/>
      <c r="H747" s="14"/>
      <c r="I747" s="7"/>
      <c r="J747" s="14"/>
      <c r="K747" s="240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spans="1:27" ht="19.5" customHeight="1" x14ac:dyDescent="0.25">
      <c r="A748" s="7"/>
      <c r="B748" s="7"/>
      <c r="C748" s="7"/>
      <c r="D748" s="14"/>
      <c r="E748" s="14"/>
      <c r="F748" s="7"/>
      <c r="G748" s="14"/>
      <c r="H748" s="14"/>
      <c r="I748" s="7"/>
      <c r="J748" s="14"/>
      <c r="K748" s="240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spans="1:27" ht="19.5" customHeight="1" x14ac:dyDescent="0.25">
      <c r="A749" s="7"/>
      <c r="B749" s="7"/>
      <c r="C749" s="7"/>
      <c r="D749" s="14"/>
      <c r="E749" s="14"/>
      <c r="F749" s="7"/>
      <c r="G749" s="14"/>
      <c r="H749" s="14"/>
      <c r="I749" s="7"/>
      <c r="J749" s="14"/>
      <c r="K749" s="240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spans="1:27" ht="19.5" customHeight="1" x14ac:dyDescent="0.25">
      <c r="A750" s="7"/>
      <c r="B750" s="7"/>
      <c r="C750" s="7"/>
      <c r="D750" s="14"/>
      <c r="E750" s="14"/>
      <c r="F750" s="7"/>
      <c r="G750" s="14"/>
      <c r="H750" s="14"/>
      <c r="I750" s="7"/>
      <c r="J750" s="14"/>
      <c r="K750" s="240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spans="1:27" ht="19.5" customHeight="1" x14ac:dyDescent="0.25">
      <c r="A751" s="7"/>
      <c r="B751" s="7"/>
      <c r="C751" s="7"/>
      <c r="D751" s="14"/>
      <c r="E751" s="14"/>
      <c r="F751" s="7"/>
      <c r="G751" s="14"/>
      <c r="H751" s="14"/>
      <c r="I751" s="7"/>
      <c r="J751" s="14"/>
      <c r="K751" s="240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1:27" ht="19.5" customHeight="1" x14ac:dyDescent="0.25">
      <c r="A752" s="7"/>
      <c r="B752" s="7"/>
      <c r="C752" s="7"/>
      <c r="D752" s="14"/>
      <c r="E752" s="14"/>
      <c r="F752" s="7"/>
      <c r="G752" s="14"/>
      <c r="H752" s="14"/>
      <c r="I752" s="7"/>
      <c r="J752" s="14"/>
      <c r="K752" s="240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spans="1:27" ht="19.5" customHeight="1" x14ac:dyDescent="0.25">
      <c r="A753" s="7"/>
      <c r="B753" s="7"/>
      <c r="C753" s="7"/>
      <c r="D753" s="14"/>
      <c r="E753" s="14"/>
      <c r="F753" s="7"/>
      <c r="G753" s="14"/>
      <c r="H753" s="14"/>
      <c r="I753" s="7"/>
      <c r="J753" s="14"/>
      <c r="K753" s="240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1:27" ht="19.5" customHeight="1" x14ac:dyDescent="0.25">
      <c r="A754" s="7"/>
      <c r="B754" s="7"/>
      <c r="C754" s="7"/>
      <c r="D754" s="14"/>
      <c r="E754" s="14"/>
      <c r="F754" s="7"/>
      <c r="G754" s="14"/>
      <c r="H754" s="14"/>
      <c r="I754" s="7"/>
      <c r="J754" s="14"/>
      <c r="K754" s="240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spans="1:27" ht="19.5" customHeight="1" x14ac:dyDescent="0.25">
      <c r="A755" s="7"/>
      <c r="B755" s="7"/>
      <c r="C755" s="7"/>
      <c r="D755" s="14"/>
      <c r="E755" s="14"/>
      <c r="F755" s="7"/>
      <c r="G755" s="14"/>
      <c r="H755" s="14"/>
      <c r="I755" s="7"/>
      <c r="J755" s="14"/>
      <c r="K755" s="240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spans="1:27" ht="19.5" customHeight="1" x14ac:dyDescent="0.25">
      <c r="A756" s="7"/>
      <c r="B756" s="7"/>
      <c r="C756" s="7"/>
      <c r="D756" s="14"/>
      <c r="E756" s="14"/>
      <c r="F756" s="7"/>
      <c r="G756" s="14"/>
      <c r="H756" s="14"/>
      <c r="I756" s="7"/>
      <c r="J756" s="14"/>
      <c r="K756" s="240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spans="1:27" ht="19.5" customHeight="1" x14ac:dyDescent="0.25">
      <c r="A757" s="7"/>
      <c r="B757" s="7"/>
      <c r="C757" s="7"/>
      <c r="D757" s="14"/>
      <c r="E757" s="14"/>
      <c r="F757" s="7"/>
      <c r="G757" s="14"/>
      <c r="H757" s="14"/>
      <c r="I757" s="7"/>
      <c r="J757" s="14"/>
      <c r="K757" s="240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1:27" ht="19.5" customHeight="1" x14ac:dyDescent="0.25">
      <c r="A758" s="7"/>
      <c r="B758" s="7"/>
      <c r="C758" s="7"/>
      <c r="D758" s="14"/>
      <c r="E758" s="14"/>
      <c r="F758" s="7"/>
      <c r="G758" s="14"/>
      <c r="H758" s="14"/>
      <c r="I758" s="7"/>
      <c r="J758" s="14"/>
      <c r="K758" s="240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spans="1:27" ht="19.5" customHeight="1" x14ac:dyDescent="0.25">
      <c r="A759" s="7"/>
      <c r="B759" s="7"/>
      <c r="C759" s="7"/>
      <c r="D759" s="14"/>
      <c r="E759" s="14"/>
      <c r="F759" s="7"/>
      <c r="G759" s="14"/>
      <c r="H759" s="14"/>
      <c r="I759" s="7"/>
      <c r="J759" s="14"/>
      <c r="K759" s="240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1:27" ht="19.5" customHeight="1" x14ac:dyDescent="0.25">
      <c r="A760" s="7"/>
      <c r="B760" s="7"/>
      <c r="C760" s="7"/>
      <c r="D760" s="14"/>
      <c r="E760" s="14"/>
      <c r="F760" s="7"/>
      <c r="G760" s="14"/>
      <c r="H760" s="14"/>
      <c r="I760" s="7"/>
      <c r="J760" s="14"/>
      <c r="K760" s="240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1:27" ht="19.5" customHeight="1" x14ac:dyDescent="0.25">
      <c r="A761" s="7"/>
      <c r="B761" s="7"/>
      <c r="C761" s="7"/>
      <c r="D761" s="14"/>
      <c r="E761" s="14"/>
      <c r="F761" s="7"/>
      <c r="G761" s="14"/>
      <c r="H761" s="14"/>
      <c r="I761" s="7"/>
      <c r="J761" s="14"/>
      <c r="K761" s="240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1:27" ht="19.5" customHeight="1" x14ac:dyDescent="0.25">
      <c r="A762" s="7"/>
      <c r="B762" s="7"/>
      <c r="C762" s="7"/>
      <c r="D762" s="14"/>
      <c r="E762" s="14"/>
      <c r="F762" s="7"/>
      <c r="G762" s="14"/>
      <c r="H762" s="14"/>
      <c r="I762" s="7"/>
      <c r="J762" s="14"/>
      <c r="K762" s="240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spans="1:27" ht="19.5" customHeight="1" x14ac:dyDescent="0.25">
      <c r="A763" s="7"/>
      <c r="B763" s="7"/>
      <c r="C763" s="7"/>
      <c r="D763" s="14"/>
      <c r="E763" s="14"/>
      <c r="F763" s="7"/>
      <c r="G763" s="14"/>
      <c r="H763" s="14"/>
      <c r="I763" s="7"/>
      <c r="J763" s="14"/>
      <c r="K763" s="240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1:27" ht="19.5" customHeight="1" x14ac:dyDescent="0.25">
      <c r="A764" s="7"/>
      <c r="B764" s="7"/>
      <c r="C764" s="7"/>
      <c r="D764" s="14"/>
      <c r="E764" s="14"/>
      <c r="F764" s="7"/>
      <c r="G764" s="14"/>
      <c r="H764" s="14"/>
      <c r="I764" s="7"/>
      <c r="J764" s="14"/>
      <c r="K764" s="240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spans="1:27" ht="19.5" customHeight="1" x14ac:dyDescent="0.25">
      <c r="A765" s="7"/>
      <c r="B765" s="7"/>
      <c r="C765" s="7"/>
      <c r="D765" s="14"/>
      <c r="E765" s="14"/>
      <c r="F765" s="7"/>
      <c r="G765" s="14"/>
      <c r="H765" s="14"/>
      <c r="I765" s="7"/>
      <c r="J765" s="14"/>
      <c r="K765" s="240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1:27" ht="19.5" customHeight="1" x14ac:dyDescent="0.25">
      <c r="A766" s="7"/>
      <c r="B766" s="7"/>
      <c r="C766" s="7"/>
      <c r="D766" s="14"/>
      <c r="E766" s="14"/>
      <c r="F766" s="7"/>
      <c r="G766" s="14"/>
      <c r="H766" s="14"/>
      <c r="I766" s="7"/>
      <c r="J766" s="14"/>
      <c r="K766" s="240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spans="1:27" ht="19.5" customHeight="1" x14ac:dyDescent="0.25">
      <c r="A767" s="7"/>
      <c r="B767" s="7"/>
      <c r="C767" s="7"/>
      <c r="D767" s="14"/>
      <c r="E767" s="14"/>
      <c r="F767" s="7"/>
      <c r="G767" s="14"/>
      <c r="H767" s="14"/>
      <c r="I767" s="7"/>
      <c r="J767" s="14"/>
      <c r="K767" s="240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spans="1:27" ht="19.5" customHeight="1" x14ac:dyDescent="0.25">
      <c r="A768" s="7"/>
      <c r="B768" s="7"/>
      <c r="C768" s="7"/>
      <c r="D768" s="14"/>
      <c r="E768" s="14"/>
      <c r="F768" s="7"/>
      <c r="G768" s="14"/>
      <c r="H768" s="14"/>
      <c r="I768" s="7"/>
      <c r="J768" s="14"/>
      <c r="K768" s="240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spans="1:27" ht="19.5" customHeight="1" x14ac:dyDescent="0.25">
      <c r="A769" s="7"/>
      <c r="B769" s="7"/>
      <c r="C769" s="7"/>
      <c r="D769" s="14"/>
      <c r="E769" s="14"/>
      <c r="F769" s="7"/>
      <c r="G769" s="14"/>
      <c r="H769" s="14"/>
      <c r="I769" s="7"/>
      <c r="J769" s="14"/>
      <c r="K769" s="240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spans="1:27" ht="19.5" customHeight="1" x14ac:dyDescent="0.25">
      <c r="A770" s="7"/>
      <c r="B770" s="7"/>
      <c r="C770" s="7"/>
      <c r="D770" s="14"/>
      <c r="E770" s="14"/>
      <c r="F770" s="7"/>
      <c r="G770" s="14"/>
      <c r="H770" s="14"/>
      <c r="I770" s="7"/>
      <c r="J770" s="14"/>
      <c r="K770" s="240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spans="1:27" ht="19.5" customHeight="1" x14ac:dyDescent="0.25">
      <c r="A771" s="7"/>
      <c r="B771" s="7"/>
      <c r="C771" s="7"/>
      <c r="D771" s="14"/>
      <c r="E771" s="14"/>
      <c r="F771" s="7"/>
      <c r="G771" s="14"/>
      <c r="H771" s="14"/>
      <c r="I771" s="7"/>
      <c r="J771" s="14"/>
      <c r="K771" s="240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spans="1:27" ht="19.5" customHeight="1" x14ac:dyDescent="0.25">
      <c r="A772" s="7"/>
      <c r="B772" s="7"/>
      <c r="C772" s="7"/>
      <c r="D772" s="14"/>
      <c r="E772" s="14"/>
      <c r="F772" s="7"/>
      <c r="G772" s="14"/>
      <c r="H772" s="14"/>
      <c r="I772" s="7"/>
      <c r="J772" s="14"/>
      <c r="K772" s="240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spans="1:27" ht="19.5" customHeight="1" x14ac:dyDescent="0.25">
      <c r="A773" s="7"/>
      <c r="B773" s="7"/>
      <c r="C773" s="7"/>
      <c r="D773" s="14"/>
      <c r="E773" s="14"/>
      <c r="F773" s="7"/>
      <c r="G773" s="14"/>
      <c r="H773" s="14"/>
      <c r="I773" s="7"/>
      <c r="J773" s="14"/>
      <c r="K773" s="240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spans="1:27" ht="19.5" customHeight="1" x14ac:dyDescent="0.25">
      <c r="A774" s="7"/>
      <c r="B774" s="7"/>
      <c r="C774" s="7"/>
      <c r="D774" s="14"/>
      <c r="E774" s="14"/>
      <c r="F774" s="7"/>
      <c r="G774" s="14"/>
      <c r="H774" s="14"/>
      <c r="I774" s="7"/>
      <c r="J774" s="14"/>
      <c r="K774" s="240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spans="1:27" ht="19.5" customHeight="1" x14ac:dyDescent="0.25">
      <c r="A775" s="7"/>
      <c r="B775" s="7"/>
      <c r="C775" s="7"/>
      <c r="D775" s="14"/>
      <c r="E775" s="14"/>
      <c r="F775" s="7"/>
      <c r="G775" s="14"/>
      <c r="H775" s="14"/>
      <c r="I775" s="7"/>
      <c r="J775" s="14"/>
      <c r="K775" s="240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spans="1:27" ht="19.5" customHeight="1" x14ac:dyDescent="0.25">
      <c r="A776" s="7"/>
      <c r="B776" s="7"/>
      <c r="C776" s="7"/>
      <c r="D776" s="14"/>
      <c r="E776" s="14"/>
      <c r="F776" s="7"/>
      <c r="G776" s="14"/>
      <c r="H776" s="14"/>
      <c r="I776" s="7"/>
      <c r="J776" s="14"/>
      <c r="K776" s="240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spans="1:27" ht="19.5" customHeight="1" x14ac:dyDescent="0.25">
      <c r="A777" s="7"/>
      <c r="B777" s="7"/>
      <c r="C777" s="7"/>
      <c r="D777" s="14"/>
      <c r="E777" s="14"/>
      <c r="F777" s="7"/>
      <c r="G777" s="14"/>
      <c r="H777" s="14"/>
      <c r="I777" s="7"/>
      <c r="J777" s="14"/>
      <c r="K777" s="240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1:27" ht="19.5" customHeight="1" x14ac:dyDescent="0.25">
      <c r="A778" s="7"/>
      <c r="B778" s="7"/>
      <c r="C778" s="7"/>
      <c r="D778" s="14"/>
      <c r="E778" s="14"/>
      <c r="F778" s="7"/>
      <c r="G778" s="14"/>
      <c r="H778" s="14"/>
      <c r="I778" s="7"/>
      <c r="J778" s="14"/>
      <c r="K778" s="240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spans="1:27" ht="19.5" customHeight="1" x14ac:dyDescent="0.25">
      <c r="A779" s="7"/>
      <c r="B779" s="7"/>
      <c r="C779" s="7"/>
      <c r="D779" s="14"/>
      <c r="E779" s="14"/>
      <c r="F779" s="7"/>
      <c r="G779" s="14"/>
      <c r="H779" s="14"/>
      <c r="I779" s="7"/>
      <c r="J779" s="14"/>
      <c r="K779" s="240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spans="1:27" ht="19.5" customHeight="1" x14ac:dyDescent="0.25">
      <c r="A780" s="7"/>
      <c r="B780" s="7"/>
      <c r="C780" s="7"/>
      <c r="D780" s="14"/>
      <c r="E780" s="14"/>
      <c r="F780" s="7"/>
      <c r="G780" s="14"/>
      <c r="H780" s="14"/>
      <c r="I780" s="7"/>
      <c r="J780" s="14"/>
      <c r="K780" s="240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spans="1:27" ht="19.5" customHeight="1" x14ac:dyDescent="0.25">
      <c r="A781" s="7"/>
      <c r="B781" s="7"/>
      <c r="C781" s="7"/>
      <c r="D781" s="14"/>
      <c r="E781" s="14"/>
      <c r="F781" s="7"/>
      <c r="G781" s="14"/>
      <c r="H781" s="14"/>
      <c r="I781" s="7"/>
      <c r="J781" s="14"/>
      <c r="K781" s="240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spans="1:27" ht="19.5" customHeight="1" x14ac:dyDescent="0.25">
      <c r="A782" s="7"/>
      <c r="B782" s="7"/>
      <c r="C782" s="7"/>
      <c r="D782" s="14"/>
      <c r="E782" s="14"/>
      <c r="F782" s="7"/>
      <c r="G782" s="14"/>
      <c r="H782" s="14"/>
      <c r="I782" s="7"/>
      <c r="J782" s="14"/>
      <c r="K782" s="240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spans="1:27" ht="19.5" customHeight="1" x14ac:dyDescent="0.25">
      <c r="A783" s="7"/>
      <c r="B783" s="7"/>
      <c r="C783" s="7"/>
      <c r="D783" s="14"/>
      <c r="E783" s="14"/>
      <c r="F783" s="7"/>
      <c r="G783" s="14"/>
      <c r="H783" s="14"/>
      <c r="I783" s="7"/>
      <c r="J783" s="14"/>
      <c r="K783" s="240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spans="1:27" ht="19.5" customHeight="1" x14ac:dyDescent="0.25">
      <c r="A784" s="7"/>
      <c r="B784" s="7"/>
      <c r="C784" s="7"/>
      <c r="D784" s="14"/>
      <c r="E784" s="14"/>
      <c r="F784" s="7"/>
      <c r="G784" s="14"/>
      <c r="H784" s="14"/>
      <c r="I784" s="7"/>
      <c r="J784" s="14"/>
      <c r="K784" s="240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spans="1:27" ht="19.5" customHeight="1" x14ac:dyDescent="0.25">
      <c r="A785" s="7"/>
      <c r="B785" s="7"/>
      <c r="C785" s="7"/>
      <c r="D785" s="14"/>
      <c r="E785" s="14"/>
      <c r="F785" s="7"/>
      <c r="G785" s="14"/>
      <c r="H785" s="14"/>
      <c r="I785" s="7"/>
      <c r="J785" s="14"/>
      <c r="K785" s="240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1:27" ht="19.5" customHeight="1" x14ac:dyDescent="0.25">
      <c r="A786" s="7"/>
      <c r="B786" s="7"/>
      <c r="C786" s="7"/>
      <c r="D786" s="14"/>
      <c r="E786" s="14"/>
      <c r="F786" s="7"/>
      <c r="G786" s="14"/>
      <c r="H786" s="14"/>
      <c r="I786" s="7"/>
      <c r="J786" s="14"/>
      <c r="K786" s="240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spans="1:27" ht="19.5" customHeight="1" x14ac:dyDescent="0.25">
      <c r="A787" s="7"/>
      <c r="B787" s="7"/>
      <c r="C787" s="7"/>
      <c r="D787" s="14"/>
      <c r="E787" s="14"/>
      <c r="F787" s="7"/>
      <c r="G787" s="14"/>
      <c r="H787" s="14"/>
      <c r="I787" s="7"/>
      <c r="J787" s="14"/>
      <c r="K787" s="240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1:27" ht="19.5" customHeight="1" x14ac:dyDescent="0.25">
      <c r="A788" s="7"/>
      <c r="B788" s="7"/>
      <c r="C788" s="7"/>
      <c r="D788" s="14"/>
      <c r="E788" s="14"/>
      <c r="F788" s="7"/>
      <c r="G788" s="14"/>
      <c r="H788" s="14"/>
      <c r="I788" s="7"/>
      <c r="J788" s="14"/>
      <c r="K788" s="240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spans="1:27" ht="19.5" customHeight="1" x14ac:dyDescent="0.25">
      <c r="A789" s="7"/>
      <c r="B789" s="7"/>
      <c r="C789" s="7"/>
      <c r="D789" s="14"/>
      <c r="E789" s="14"/>
      <c r="F789" s="7"/>
      <c r="G789" s="14"/>
      <c r="H789" s="14"/>
      <c r="I789" s="7"/>
      <c r="J789" s="14"/>
      <c r="K789" s="240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1:27" ht="19.5" customHeight="1" x14ac:dyDescent="0.25">
      <c r="A790" s="7"/>
      <c r="B790" s="7"/>
      <c r="C790" s="7"/>
      <c r="D790" s="14"/>
      <c r="E790" s="14"/>
      <c r="F790" s="7"/>
      <c r="G790" s="14"/>
      <c r="H790" s="14"/>
      <c r="I790" s="7"/>
      <c r="J790" s="14"/>
      <c r="K790" s="240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spans="1:27" ht="19.5" customHeight="1" x14ac:dyDescent="0.25">
      <c r="A791" s="7"/>
      <c r="B791" s="7"/>
      <c r="C791" s="7"/>
      <c r="D791" s="14"/>
      <c r="E791" s="14"/>
      <c r="F791" s="7"/>
      <c r="G791" s="14"/>
      <c r="H791" s="14"/>
      <c r="I791" s="7"/>
      <c r="J791" s="14"/>
      <c r="K791" s="240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spans="1:27" ht="19.5" customHeight="1" x14ac:dyDescent="0.25">
      <c r="A792" s="7"/>
      <c r="B792" s="7"/>
      <c r="C792" s="7"/>
      <c r="D792" s="14"/>
      <c r="E792" s="14"/>
      <c r="F792" s="7"/>
      <c r="G792" s="14"/>
      <c r="H792" s="14"/>
      <c r="I792" s="7"/>
      <c r="J792" s="14"/>
      <c r="K792" s="240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spans="1:27" ht="19.5" customHeight="1" x14ac:dyDescent="0.25">
      <c r="A793" s="7"/>
      <c r="B793" s="7"/>
      <c r="C793" s="7"/>
      <c r="D793" s="14"/>
      <c r="E793" s="14"/>
      <c r="F793" s="7"/>
      <c r="G793" s="14"/>
      <c r="H793" s="14"/>
      <c r="I793" s="7"/>
      <c r="J793" s="14"/>
      <c r="K793" s="240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spans="1:27" ht="19.5" customHeight="1" x14ac:dyDescent="0.25">
      <c r="A794" s="7"/>
      <c r="B794" s="7"/>
      <c r="C794" s="7"/>
      <c r="D794" s="14"/>
      <c r="E794" s="14"/>
      <c r="F794" s="7"/>
      <c r="G794" s="14"/>
      <c r="H794" s="14"/>
      <c r="I794" s="7"/>
      <c r="J794" s="14"/>
      <c r="K794" s="240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spans="1:27" ht="19.5" customHeight="1" x14ac:dyDescent="0.25">
      <c r="A795" s="7"/>
      <c r="B795" s="7"/>
      <c r="C795" s="7"/>
      <c r="D795" s="14"/>
      <c r="E795" s="14"/>
      <c r="F795" s="7"/>
      <c r="G795" s="14"/>
      <c r="H795" s="14"/>
      <c r="I795" s="7"/>
      <c r="J795" s="14"/>
      <c r="K795" s="240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1:27" ht="19.5" customHeight="1" x14ac:dyDescent="0.25">
      <c r="A796" s="7"/>
      <c r="B796" s="7"/>
      <c r="C796" s="7"/>
      <c r="D796" s="14"/>
      <c r="E796" s="14"/>
      <c r="F796" s="7"/>
      <c r="G796" s="14"/>
      <c r="H796" s="14"/>
      <c r="I796" s="7"/>
      <c r="J796" s="14"/>
      <c r="K796" s="240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spans="1:27" ht="19.5" customHeight="1" x14ac:dyDescent="0.25">
      <c r="A797" s="7"/>
      <c r="B797" s="7"/>
      <c r="C797" s="7"/>
      <c r="D797" s="14"/>
      <c r="E797" s="14"/>
      <c r="F797" s="7"/>
      <c r="G797" s="14"/>
      <c r="H797" s="14"/>
      <c r="I797" s="7"/>
      <c r="J797" s="14"/>
      <c r="K797" s="240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spans="1:27" ht="19.5" customHeight="1" x14ac:dyDescent="0.25">
      <c r="A798" s="7"/>
      <c r="B798" s="7"/>
      <c r="C798" s="7"/>
      <c r="D798" s="14"/>
      <c r="E798" s="14"/>
      <c r="F798" s="7"/>
      <c r="G798" s="14"/>
      <c r="H798" s="14"/>
      <c r="I798" s="7"/>
      <c r="J798" s="14"/>
      <c r="K798" s="240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spans="1:27" ht="19.5" customHeight="1" x14ac:dyDescent="0.25">
      <c r="A799" s="7"/>
      <c r="B799" s="7"/>
      <c r="C799" s="7"/>
      <c r="D799" s="14"/>
      <c r="E799" s="14"/>
      <c r="F799" s="7"/>
      <c r="G799" s="14"/>
      <c r="H799" s="14"/>
      <c r="I799" s="7"/>
      <c r="J799" s="14"/>
      <c r="K799" s="240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spans="1:27" ht="19.5" customHeight="1" x14ac:dyDescent="0.25">
      <c r="A800" s="7"/>
      <c r="B800" s="7"/>
      <c r="C800" s="7"/>
      <c r="D800" s="14"/>
      <c r="E800" s="14"/>
      <c r="F800" s="7"/>
      <c r="G800" s="14"/>
      <c r="H800" s="14"/>
      <c r="I800" s="7"/>
      <c r="J800" s="14"/>
      <c r="K800" s="240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spans="1:27" ht="19.5" customHeight="1" x14ac:dyDescent="0.25">
      <c r="A801" s="7"/>
      <c r="B801" s="7"/>
      <c r="C801" s="7"/>
      <c r="D801" s="14"/>
      <c r="E801" s="14"/>
      <c r="F801" s="7"/>
      <c r="G801" s="14"/>
      <c r="H801" s="14"/>
      <c r="I801" s="7"/>
      <c r="J801" s="14"/>
      <c r="K801" s="240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spans="1:27" ht="19.5" customHeight="1" x14ac:dyDescent="0.25">
      <c r="A802" s="7"/>
      <c r="B802" s="7"/>
      <c r="C802" s="7"/>
      <c r="D802" s="14"/>
      <c r="E802" s="14"/>
      <c r="F802" s="7"/>
      <c r="G802" s="14"/>
      <c r="H802" s="14"/>
      <c r="I802" s="7"/>
      <c r="J802" s="14"/>
      <c r="K802" s="240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spans="1:27" ht="19.5" customHeight="1" x14ac:dyDescent="0.25">
      <c r="A803" s="7"/>
      <c r="B803" s="7"/>
      <c r="C803" s="7"/>
      <c r="D803" s="14"/>
      <c r="E803" s="14"/>
      <c r="F803" s="7"/>
      <c r="G803" s="14"/>
      <c r="H803" s="14"/>
      <c r="I803" s="7"/>
      <c r="J803" s="14"/>
      <c r="K803" s="240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spans="1:27" ht="19.5" customHeight="1" x14ac:dyDescent="0.25">
      <c r="A804" s="7"/>
      <c r="B804" s="7"/>
      <c r="C804" s="7"/>
      <c r="D804" s="14"/>
      <c r="E804" s="14"/>
      <c r="F804" s="7"/>
      <c r="G804" s="14"/>
      <c r="H804" s="14"/>
      <c r="I804" s="7"/>
      <c r="J804" s="14"/>
      <c r="K804" s="240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1:27" ht="19.5" customHeight="1" x14ac:dyDescent="0.25">
      <c r="A805" s="7"/>
      <c r="B805" s="7"/>
      <c r="C805" s="7"/>
      <c r="D805" s="14"/>
      <c r="E805" s="14"/>
      <c r="F805" s="7"/>
      <c r="G805" s="14"/>
      <c r="H805" s="14"/>
      <c r="I805" s="7"/>
      <c r="J805" s="14"/>
      <c r="K805" s="240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1:27" ht="19.5" customHeight="1" x14ac:dyDescent="0.25">
      <c r="A806" s="7"/>
      <c r="B806" s="7"/>
      <c r="C806" s="7"/>
      <c r="D806" s="14"/>
      <c r="E806" s="14"/>
      <c r="F806" s="7"/>
      <c r="G806" s="14"/>
      <c r="H806" s="14"/>
      <c r="I806" s="7"/>
      <c r="J806" s="14"/>
      <c r="K806" s="240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spans="1:27" ht="19.5" customHeight="1" x14ac:dyDescent="0.25">
      <c r="A807" s="7"/>
      <c r="B807" s="7"/>
      <c r="C807" s="7"/>
      <c r="D807" s="14"/>
      <c r="E807" s="14"/>
      <c r="F807" s="7"/>
      <c r="G807" s="14"/>
      <c r="H807" s="14"/>
      <c r="I807" s="7"/>
      <c r="J807" s="14"/>
      <c r="K807" s="240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spans="1:27" ht="19.5" customHeight="1" x14ac:dyDescent="0.25">
      <c r="A808" s="7"/>
      <c r="B808" s="7"/>
      <c r="C808" s="7"/>
      <c r="D808" s="14"/>
      <c r="E808" s="14"/>
      <c r="F808" s="7"/>
      <c r="G808" s="14"/>
      <c r="H808" s="14"/>
      <c r="I808" s="7"/>
      <c r="J808" s="14"/>
      <c r="K808" s="240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spans="1:27" ht="19.5" customHeight="1" x14ac:dyDescent="0.25">
      <c r="A809" s="7"/>
      <c r="B809" s="7"/>
      <c r="C809" s="7"/>
      <c r="D809" s="14"/>
      <c r="E809" s="14"/>
      <c r="F809" s="7"/>
      <c r="G809" s="14"/>
      <c r="H809" s="14"/>
      <c r="I809" s="7"/>
      <c r="J809" s="14"/>
      <c r="K809" s="240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1:27" ht="19.5" customHeight="1" x14ac:dyDescent="0.25">
      <c r="A810" s="7"/>
      <c r="B810" s="7"/>
      <c r="C810" s="7"/>
      <c r="D810" s="14"/>
      <c r="E810" s="14"/>
      <c r="F810" s="7"/>
      <c r="G810" s="14"/>
      <c r="H810" s="14"/>
      <c r="I810" s="7"/>
      <c r="J810" s="14"/>
      <c r="K810" s="240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spans="1:27" ht="19.5" customHeight="1" x14ac:dyDescent="0.25">
      <c r="A811" s="7"/>
      <c r="B811" s="7"/>
      <c r="C811" s="7"/>
      <c r="D811" s="14"/>
      <c r="E811" s="14"/>
      <c r="F811" s="7"/>
      <c r="G811" s="14"/>
      <c r="H811" s="14"/>
      <c r="I811" s="7"/>
      <c r="J811" s="14"/>
      <c r="K811" s="240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1:27" ht="19.5" customHeight="1" x14ac:dyDescent="0.25">
      <c r="A812" s="7"/>
      <c r="B812" s="7"/>
      <c r="C812" s="7"/>
      <c r="D812" s="14"/>
      <c r="E812" s="14"/>
      <c r="F812" s="7"/>
      <c r="G812" s="14"/>
      <c r="H812" s="14"/>
      <c r="I812" s="7"/>
      <c r="J812" s="14"/>
      <c r="K812" s="240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spans="1:27" ht="19.5" customHeight="1" x14ac:dyDescent="0.25">
      <c r="A813" s="7"/>
      <c r="B813" s="7"/>
      <c r="C813" s="7"/>
      <c r="D813" s="14"/>
      <c r="E813" s="14"/>
      <c r="F813" s="7"/>
      <c r="G813" s="14"/>
      <c r="H813" s="14"/>
      <c r="I813" s="7"/>
      <c r="J813" s="14"/>
      <c r="K813" s="240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spans="1:27" ht="19.5" customHeight="1" x14ac:dyDescent="0.25">
      <c r="A814" s="7"/>
      <c r="B814" s="7"/>
      <c r="C814" s="7"/>
      <c r="D814" s="14"/>
      <c r="E814" s="14"/>
      <c r="F814" s="7"/>
      <c r="G814" s="14"/>
      <c r="H814" s="14"/>
      <c r="I814" s="7"/>
      <c r="J814" s="14"/>
      <c r="K814" s="240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spans="1:27" ht="19.5" customHeight="1" x14ac:dyDescent="0.25">
      <c r="A815" s="7"/>
      <c r="B815" s="7"/>
      <c r="C815" s="7"/>
      <c r="D815" s="14"/>
      <c r="E815" s="14"/>
      <c r="F815" s="7"/>
      <c r="G815" s="14"/>
      <c r="H815" s="14"/>
      <c r="I815" s="7"/>
      <c r="J815" s="14"/>
      <c r="K815" s="240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spans="1:27" ht="19.5" customHeight="1" x14ac:dyDescent="0.25">
      <c r="A816" s="7"/>
      <c r="B816" s="7"/>
      <c r="C816" s="7"/>
      <c r="D816" s="14"/>
      <c r="E816" s="14"/>
      <c r="F816" s="7"/>
      <c r="G816" s="14"/>
      <c r="H816" s="14"/>
      <c r="I816" s="7"/>
      <c r="J816" s="14"/>
      <c r="K816" s="240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spans="1:27" ht="19.5" customHeight="1" x14ac:dyDescent="0.25">
      <c r="A817" s="7"/>
      <c r="B817" s="7"/>
      <c r="C817" s="7"/>
      <c r="D817" s="14"/>
      <c r="E817" s="14"/>
      <c r="F817" s="7"/>
      <c r="G817" s="14"/>
      <c r="H817" s="14"/>
      <c r="I817" s="7"/>
      <c r="J817" s="14"/>
      <c r="K817" s="240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spans="1:27" ht="19.5" customHeight="1" x14ac:dyDescent="0.25">
      <c r="A818" s="7"/>
      <c r="B818" s="7"/>
      <c r="C818" s="7"/>
      <c r="D818" s="14"/>
      <c r="E818" s="14"/>
      <c r="F818" s="7"/>
      <c r="G818" s="14"/>
      <c r="H818" s="14"/>
      <c r="I818" s="7"/>
      <c r="J818" s="14"/>
      <c r="K818" s="240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spans="1:27" ht="19.5" customHeight="1" x14ac:dyDescent="0.25">
      <c r="A819" s="7"/>
      <c r="B819" s="7"/>
      <c r="C819" s="7"/>
      <c r="D819" s="14"/>
      <c r="E819" s="14"/>
      <c r="F819" s="7"/>
      <c r="G819" s="14"/>
      <c r="H819" s="14"/>
      <c r="I819" s="7"/>
      <c r="J819" s="14"/>
      <c r="K819" s="240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spans="1:27" ht="19.5" customHeight="1" x14ac:dyDescent="0.25">
      <c r="A820" s="7"/>
      <c r="B820" s="7"/>
      <c r="C820" s="7"/>
      <c r="D820" s="14"/>
      <c r="E820" s="14"/>
      <c r="F820" s="7"/>
      <c r="G820" s="14"/>
      <c r="H820" s="14"/>
      <c r="I820" s="7"/>
      <c r="J820" s="14"/>
      <c r="K820" s="240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1:27" ht="19.5" customHeight="1" x14ac:dyDescent="0.25">
      <c r="A821" s="7"/>
      <c r="B821" s="7"/>
      <c r="C821" s="7"/>
      <c r="D821" s="14"/>
      <c r="E821" s="14"/>
      <c r="F821" s="7"/>
      <c r="G821" s="14"/>
      <c r="H821" s="14"/>
      <c r="I821" s="7"/>
      <c r="J821" s="14"/>
      <c r="K821" s="240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1:27" ht="19.5" customHeight="1" x14ac:dyDescent="0.25">
      <c r="A822" s="7"/>
      <c r="B822" s="7"/>
      <c r="C822" s="7"/>
      <c r="D822" s="14"/>
      <c r="E822" s="14"/>
      <c r="F822" s="7"/>
      <c r="G822" s="14"/>
      <c r="H822" s="14"/>
      <c r="I822" s="7"/>
      <c r="J822" s="14"/>
      <c r="K822" s="240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spans="1:27" ht="19.5" customHeight="1" x14ac:dyDescent="0.25">
      <c r="A823" s="7"/>
      <c r="B823" s="7"/>
      <c r="C823" s="7"/>
      <c r="D823" s="14"/>
      <c r="E823" s="14"/>
      <c r="F823" s="7"/>
      <c r="G823" s="14"/>
      <c r="H823" s="14"/>
      <c r="I823" s="7"/>
      <c r="J823" s="14"/>
      <c r="K823" s="240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1:27" ht="19.5" customHeight="1" x14ac:dyDescent="0.25">
      <c r="A824" s="7"/>
      <c r="B824" s="7"/>
      <c r="C824" s="7"/>
      <c r="D824" s="14"/>
      <c r="E824" s="14"/>
      <c r="F824" s="7"/>
      <c r="G824" s="14"/>
      <c r="H824" s="14"/>
      <c r="I824" s="7"/>
      <c r="J824" s="14"/>
      <c r="K824" s="240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spans="1:27" ht="19.5" customHeight="1" x14ac:dyDescent="0.25">
      <c r="A825" s="7"/>
      <c r="B825" s="7"/>
      <c r="C825" s="7"/>
      <c r="D825" s="14"/>
      <c r="E825" s="14"/>
      <c r="F825" s="7"/>
      <c r="G825" s="14"/>
      <c r="H825" s="14"/>
      <c r="I825" s="7"/>
      <c r="J825" s="14"/>
      <c r="K825" s="240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1:27" ht="19.5" customHeight="1" x14ac:dyDescent="0.25">
      <c r="A826" s="7"/>
      <c r="B826" s="7"/>
      <c r="C826" s="7"/>
      <c r="D826" s="14"/>
      <c r="E826" s="14"/>
      <c r="F826" s="7"/>
      <c r="G826" s="14"/>
      <c r="H826" s="14"/>
      <c r="I826" s="7"/>
      <c r="J826" s="14"/>
      <c r="K826" s="240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1:27" ht="19.5" customHeight="1" x14ac:dyDescent="0.25">
      <c r="A827" s="7"/>
      <c r="B827" s="7"/>
      <c r="C827" s="7"/>
      <c r="D827" s="14"/>
      <c r="E827" s="14"/>
      <c r="F827" s="7"/>
      <c r="G827" s="14"/>
      <c r="H827" s="14"/>
      <c r="I827" s="7"/>
      <c r="J827" s="14"/>
      <c r="K827" s="240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1:27" ht="19.5" customHeight="1" x14ac:dyDescent="0.25">
      <c r="A828" s="7"/>
      <c r="B828" s="7"/>
      <c r="C828" s="7"/>
      <c r="D828" s="14"/>
      <c r="E828" s="14"/>
      <c r="F828" s="7"/>
      <c r="G828" s="14"/>
      <c r="H828" s="14"/>
      <c r="I828" s="7"/>
      <c r="J828" s="14"/>
      <c r="K828" s="240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spans="1:27" ht="19.5" customHeight="1" x14ac:dyDescent="0.25">
      <c r="A829" s="7"/>
      <c r="B829" s="7"/>
      <c r="C829" s="7"/>
      <c r="D829" s="14"/>
      <c r="E829" s="14"/>
      <c r="F829" s="7"/>
      <c r="G829" s="14"/>
      <c r="H829" s="14"/>
      <c r="I829" s="7"/>
      <c r="J829" s="14"/>
      <c r="K829" s="240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1:27" ht="19.5" customHeight="1" x14ac:dyDescent="0.25">
      <c r="A830" s="7"/>
      <c r="B830" s="7"/>
      <c r="C830" s="7"/>
      <c r="D830" s="14"/>
      <c r="E830" s="14"/>
      <c r="F830" s="7"/>
      <c r="G830" s="14"/>
      <c r="H830" s="14"/>
      <c r="I830" s="7"/>
      <c r="J830" s="14"/>
      <c r="K830" s="240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1:27" ht="19.5" customHeight="1" x14ac:dyDescent="0.25">
      <c r="A831" s="7"/>
      <c r="B831" s="7"/>
      <c r="C831" s="7"/>
      <c r="D831" s="14"/>
      <c r="E831" s="14"/>
      <c r="F831" s="7"/>
      <c r="G831" s="14"/>
      <c r="H831" s="14"/>
      <c r="I831" s="7"/>
      <c r="J831" s="14"/>
      <c r="K831" s="240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1:27" ht="19.5" customHeight="1" x14ac:dyDescent="0.25">
      <c r="A832" s="7"/>
      <c r="B832" s="7"/>
      <c r="C832" s="7"/>
      <c r="D832" s="14"/>
      <c r="E832" s="14"/>
      <c r="F832" s="7"/>
      <c r="G832" s="14"/>
      <c r="H832" s="14"/>
      <c r="I832" s="7"/>
      <c r="J832" s="14"/>
      <c r="K832" s="240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spans="1:27" ht="19.5" customHeight="1" x14ac:dyDescent="0.25">
      <c r="A833" s="7"/>
      <c r="B833" s="7"/>
      <c r="C833" s="7"/>
      <c r="D833" s="14"/>
      <c r="E833" s="14"/>
      <c r="F833" s="7"/>
      <c r="G833" s="14"/>
      <c r="H833" s="14"/>
      <c r="I833" s="7"/>
      <c r="J833" s="14"/>
      <c r="K833" s="240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1:27" ht="19.5" customHeight="1" x14ac:dyDescent="0.25">
      <c r="A834" s="7"/>
      <c r="B834" s="7"/>
      <c r="C834" s="7"/>
      <c r="D834" s="14"/>
      <c r="E834" s="14"/>
      <c r="F834" s="7"/>
      <c r="G834" s="14"/>
      <c r="H834" s="14"/>
      <c r="I834" s="7"/>
      <c r="J834" s="14"/>
      <c r="K834" s="240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spans="1:27" ht="19.5" customHeight="1" x14ac:dyDescent="0.25">
      <c r="A835" s="7"/>
      <c r="B835" s="7"/>
      <c r="C835" s="7"/>
      <c r="D835" s="14"/>
      <c r="E835" s="14"/>
      <c r="F835" s="7"/>
      <c r="G835" s="14"/>
      <c r="H835" s="14"/>
      <c r="I835" s="7"/>
      <c r="J835" s="14"/>
      <c r="K835" s="240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spans="1:27" ht="19.5" customHeight="1" x14ac:dyDescent="0.25">
      <c r="A836" s="7"/>
      <c r="B836" s="7"/>
      <c r="C836" s="7"/>
      <c r="D836" s="14"/>
      <c r="E836" s="14"/>
      <c r="F836" s="7"/>
      <c r="G836" s="14"/>
      <c r="H836" s="14"/>
      <c r="I836" s="7"/>
      <c r="J836" s="14"/>
      <c r="K836" s="240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spans="1:27" ht="19.5" customHeight="1" x14ac:dyDescent="0.25">
      <c r="A837" s="7"/>
      <c r="B837" s="7"/>
      <c r="C837" s="7"/>
      <c r="D837" s="14"/>
      <c r="E837" s="14"/>
      <c r="F837" s="7"/>
      <c r="G837" s="14"/>
      <c r="H837" s="14"/>
      <c r="I837" s="7"/>
      <c r="J837" s="14"/>
      <c r="K837" s="240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spans="1:27" ht="19.5" customHeight="1" x14ac:dyDescent="0.25">
      <c r="A838" s="7"/>
      <c r="B838" s="7"/>
      <c r="C838" s="7"/>
      <c r="D838" s="14"/>
      <c r="E838" s="14"/>
      <c r="F838" s="7"/>
      <c r="G838" s="14"/>
      <c r="H838" s="14"/>
      <c r="I838" s="7"/>
      <c r="J838" s="14"/>
      <c r="K838" s="240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spans="1:27" ht="19.5" customHeight="1" x14ac:dyDescent="0.25">
      <c r="A839" s="7"/>
      <c r="B839" s="7"/>
      <c r="C839" s="7"/>
      <c r="D839" s="14"/>
      <c r="E839" s="14"/>
      <c r="F839" s="7"/>
      <c r="G839" s="14"/>
      <c r="H839" s="14"/>
      <c r="I839" s="7"/>
      <c r="J839" s="14"/>
      <c r="K839" s="240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spans="1:27" ht="19.5" customHeight="1" x14ac:dyDescent="0.25">
      <c r="A840" s="7"/>
      <c r="B840" s="7"/>
      <c r="C840" s="7"/>
      <c r="D840" s="14"/>
      <c r="E840" s="14"/>
      <c r="F840" s="7"/>
      <c r="G840" s="14"/>
      <c r="H840" s="14"/>
      <c r="I840" s="7"/>
      <c r="J840" s="14"/>
      <c r="K840" s="240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spans="1:27" ht="19.5" customHeight="1" x14ac:dyDescent="0.25">
      <c r="A841" s="7"/>
      <c r="B841" s="7"/>
      <c r="C841" s="7"/>
      <c r="D841" s="14"/>
      <c r="E841" s="14"/>
      <c r="F841" s="7"/>
      <c r="G841" s="14"/>
      <c r="H841" s="14"/>
      <c r="I841" s="7"/>
      <c r="J841" s="14"/>
      <c r="K841" s="240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spans="1:27" ht="19.5" customHeight="1" x14ac:dyDescent="0.25">
      <c r="A842" s="7"/>
      <c r="B842" s="7"/>
      <c r="C842" s="7"/>
      <c r="D842" s="14"/>
      <c r="E842" s="14"/>
      <c r="F842" s="7"/>
      <c r="G842" s="14"/>
      <c r="H842" s="14"/>
      <c r="I842" s="7"/>
      <c r="J842" s="14"/>
      <c r="K842" s="240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spans="1:27" ht="19.5" customHeight="1" x14ac:dyDescent="0.25">
      <c r="A843" s="7"/>
      <c r="B843" s="7"/>
      <c r="C843" s="7"/>
      <c r="D843" s="14"/>
      <c r="E843" s="14"/>
      <c r="F843" s="7"/>
      <c r="G843" s="14"/>
      <c r="H843" s="14"/>
      <c r="I843" s="7"/>
      <c r="J843" s="14"/>
      <c r="K843" s="240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spans="1:27" ht="19.5" customHeight="1" x14ac:dyDescent="0.25">
      <c r="A844" s="7"/>
      <c r="B844" s="7"/>
      <c r="C844" s="7"/>
      <c r="D844" s="14"/>
      <c r="E844" s="14"/>
      <c r="F844" s="7"/>
      <c r="G844" s="14"/>
      <c r="H844" s="14"/>
      <c r="I844" s="7"/>
      <c r="J844" s="14"/>
      <c r="K844" s="240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spans="1:27" ht="19.5" customHeight="1" x14ac:dyDescent="0.25">
      <c r="A845" s="7"/>
      <c r="B845" s="7"/>
      <c r="C845" s="7"/>
      <c r="D845" s="14"/>
      <c r="E845" s="14"/>
      <c r="F845" s="7"/>
      <c r="G845" s="14"/>
      <c r="H845" s="14"/>
      <c r="I845" s="7"/>
      <c r="J845" s="14"/>
      <c r="K845" s="240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spans="1:27" ht="19.5" customHeight="1" x14ac:dyDescent="0.25">
      <c r="A846" s="7"/>
      <c r="B846" s="7"/>
      <c r="C846" s="7"/>
      <c r="D846" s="14"/>
      <c r="E846" s="14"/>
      <c r="F846" s="7"/>
      <c r="G846" s="14"/>
      <c r="H846" s="14"/>
      <c r="I846" s="7"/>
      <c r="J846" s="14"/>
      <c r="K846" s="240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spans="1:27" ht="19.5" customHeight="1" x14ac:dyDescent="0.25">
      <c r="A847" s="7"/>
      <c r="B847" s="7"/>
      <c r="C847" s="7"/>
      <c r="D847" s="14"/>
      <c r="E847" s="14"/>
      <c r="F847" s="7"/>
      <c r="G847" s="14"/>
      <c r="H847" s="14"/>
      <c r="I847" s="7"/>
      <c r="J847" s="14"/>
      <c r="K847" s="240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spans="1:27" ht="19.5" customHeight="1" x14ac:dyDescent="0.25">
      <c r="A848" s="7"/>
      <c r="B848" s="7"/>
      <c r="C848" s="7"/>
      <c r="D848" s="14"/>
      <c r="E848" s="14"/>
      <c r="F848" s="7"/>
      <c r="G848" s="14"/>
      <c r="H848" s="14"/>
      <c r="I848" s="7"/>
      <c r="J848" s="14"/>
      <c r="K848" s="240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spans="1:27" ht="19.5" customHeight="1" x14ac:dyDescent="0.25">
      <c r="A849" s="7"/>
      <c r="B849" s="7"/>
      <c r="C849" s="7"/>
      <c r="D849" s="14"/>
      <c r="E849" s="14"/>
      <c r="F849" s="7"/>
      <c r="G849" s="14"/>
      <c r="H849" s="14"/>
      <c r="I849" s="7"/>
      <c r="J849" s="14"/>
      <c r="K849" s="240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spans="1:27" ht="19.5" customHeight="1" x14ac:dyDescent="0.25">
      <c r="A850" s="7"/>
      <c r="B850" s="7"/>
      <c r="C850" s="7"/>
      <c r="D850" s="14"/>
      <c r="E850" s="14"/>
      <c r="F850" s="7"/>
      <c r="G850" s="14"/>
      <c r="H850" s="14"/>
      <c r="I850" s="7"/>
      <c r="J850" s="14"/>
      <c r="K850" s="240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spans="1:27" ht="19.5" customHeight="1" x14ac:dyDescent="0.25">
      <c r="A851" s="7"/>
      <c r="B851" s="7"/>
      <c r="C851" s="7"/>
      <c r="D851" s="14"/>
      <c r="E851" s="14"/>
      <c r="F851" s="7"/>
      <c r="G851" s="14"/>
      <c r="H851" s="14"/>
      <c r="I851" s="7"/>
      <c r="J851" s="14"/>
      <c r="K851" s="240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spans="1:27" ht="19.5" customHeight="1" x14ac:dyDescent="0.25">
      <c r="A852" s="7"/>
      <c r="B852" s="7"/>
      <c r="C852" s="7"/>
      <c r="D852" s="14"/>
      <c r="E852" s="14"/>
      <c r="F852" s="7"/>
      <c r="G852" s="14"/>
      <c r="H852" s="14"/>
      <c r="I852" s="7"/>
      <c r="J852" s="14"/>
      <c r="K852" s="240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spans="1:27" ht="19.5" customHeight="1" x14ac:dyDescent="0.25">
      <c r="A853" s="7"/>
      <c r="B853" s="7"/>
      <c r="C853" s="7"/>
      <c r="D853" s="14"/>
      <c r="E853" s="14"/>
      <c r="F853" s="7"/>
      <c r="G853" s="14"/>
      <c r="H853" s="14"/>
      <c r="I853" s="7"/>
      <c r="J853" s="14"/>
      <c r="K853" s="240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spans="1:27" ht="19.5" customHeight="1" x14ac:dyDescent="0.25">
      <c r="A854" s="7"/>
      <c r="B854" s="7"/>
      <c r="C854" s="7"/>
      <c r="D854" s="14"/>
      <c r="E854" s="14"/>
      <c r="F854" s="7"/>
      <c r="G854" s="14"/>
      <c r="H854" s="14"/>
      <c r="I854" s="7"/>
      <c r="J854" s="14"/>
      <c r="K854" s="240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spans="1:27" ht="19.5" customHeight="1" x14ac:dyDescent="0.25">
      <c r="A855" s="7"/>
      <c r="B855" s="7"/>
      <c r="C855" s="7"/>
      <c r="D855" s="14"/>
      <c r="E855" s="14"/>
      <c r="F855" s="7"/>
      <c r="G855" s="14"/>
      <c r="H855" s="14"/>
      <c r="I855" s="7"/>
      <c r="J855" s="14"/>
      <c r="K855" s="240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spans="1:27" ht="19.5" customHeight="1" x14ac:dyDescent="0.25">
      <c r="A856" s="7"/>
      <c r="B856" s="7"/>
      <c r="C856" s="7"/>
      <c r="D856" s="14"/>
      <c r="E856" s="14"/>
      <c r="F856" s="7"/>
      <c r="G856" s="14"/>
      <c r="H856" s="14"/>
      <c r="I856" s="7"/>
      <c r="J856" s="14"/>
      <c r="K856" s="240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spans="1:27" ht="19.5" customHeight="1" x14ac:dyDescent="0.25">
      <c r="A857" s="7"/>
      <c r="B857" s="7"/>
      <c r="C857" s="7"/>
      <c r="D857" s="14"/>
      <c r="E857" s="14"/>
      <c r="F857" s="7"/>
      <c r="G857" s="14"/>
      <c r="H857" s="14"/>
      <c r="I857" s="7"/>
      <c r="J857" s="14"/>
      <c r="K857" s="240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spans="1:27" ht="19.5" customHeight="1" x14ac:dyDescent="0.25">
      <c r="A858" s="7"/>
      <c r="B858" s="7"/>
      <c r="C858" s="7"/>
      <c r="D858" s="14"/>
      <c r="E858" s="14"/>
      <c r="F858" s="7"/>
      <c r="G858" s="14"/>
      <c r="H858" s="14"/>
      <c r="I858" s="7"/>
      <c r="J858" s="14"/>
      <c r="K858" s="240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spans="1:27" ht="19.5" customHeight="1" x14ac:dyDescent="0.25">
      <c r="A859" s="7"/>
      <c r="B859" s="7"/>
      <c r="C859" s="7"/>
      <c r="D859" s="14"/>
      <c r="E859" s="14"/>
      <c r="F859" s="7"/>
      <c r="G859" s="14"/>
      <c r="H859" s="14"/>
      <c r="I859" s="7"/>
      <c r="J859" s="14"/>
      <c r="K859" s="240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spans="1:27" ht="19.5" customHeight="1" x14ac:dyDescent="0.25">
      <c r="A860" s="7"/>
      <c r="B860" s="7"/>
      <c r="C860" s="7"/>
      <c r="D860" s="14"/>
      <c r="E860" s="14"/>
      <c r="F860" s="7"/>
      <c r="G860" s="14"/>
      <c r="H860" s="14"/>
      <c r="I860" s="7"/>
      <c r="J860" s="14"/>
      <c r="K860" s="240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spans="1:27" ht="19.5" customHeight="1" x14ac:dyDescent="0.25">
      <c r="A861" s="7"/>
      <c r="B861" s="7"/>
      <c r="C861" s="7"/>
      <c r="D861" s="14"/>
      <c r="E861" s="14"/>
      <c r="F861" s="7"/>
      <c r="G861" s="14"/>
      <c r="H861" s="14"/>
      <c r="I861" s="7"/>
      <c r="J861" s="14"/>
      <c r="K861" s="240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spans="1:27" ht="19.5" customHeight="1" x14ac:dyDescent="0.25">
      <c r="A862" s="7"/>
      <c r="B862" s="7"/>
      <c r="C862" s="7"/>
      <c r="D862" s="14"/>
      <c r="E862" s="14"/>
      <c r="F862" s="7"/>
      <c r="G862" s="14"/>
      <c r="H862" s="14"/>
      <c r="I862" s="7"/>
      <c r="J862" s="14"/>
      <c r="K862" s="240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spans="1:27" ht="19.5" customHeight="1" x14ac:dyDescent="0.25">
      <c r="A863" s="7"/>
      <c r="B863" s="7"/>
      <c r="C863" s="7"/>
      <c r="D863" s="14"/>
      <c r="E863" s="14"/>
      <c r="F863" s="7"/>
      <c r="G863" s="14"/>
      <c r="H863" s="14"/>
      <c r="I863" s="7"/>
      <c r="J863" s="14"/>
      <c r="K863" s="240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spans="1:27" ht="19.5" customHeight="1" x14ac:dyDescent="0.25">
      <c r="A864" s="7"/>
      <c r="B864" s="7"/>
      <c r="C864" s="7"/>
      <c r="D864" s="14"/>
      <c r="E864" s="14"/>
      <c r="F864" s="7"/>
      <c r="G864" s="14"/>
      <c r="H864" s="14"/>
      <c r="I864" s="7"/>
      <c r="J864" s="14"/>
      <c r="K864" s="240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spans="1:27" ht="19.5" customHeight="1" x14ac:dyDescent="0.25">
      <c r="A865" s="7"/>
      <c r="B865" s="7"/>
      <c r="C865" s="7"/>
      <c r="D865" s="14"/>
      <c r="E865" s="14"/>
      <c r="F865" s="7"/>
      <c r="G865" s="14"/>
      <c r="H865" s="14"/>
      <c r="I865" s="7"/>
      <c r="J865" s="14"/>
      <c r="K865" s="240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spans="1:27" ht="19.5" customHeight="1" x14ac:dyDescent="0.25">
      <c r="A866" s="7"/>
      <c r="B866" s="7"/>
      <c r="C866" s="7"/>
      <c r="D866" s="14"/>
      <c r="E866" s="14"/>
      <c r="F866" s="7"/>
      <c r="G866" s="14"/>
      <c r="H866" s="14"/>
      <c r="I866" s="7"/>
      <c r="J866" s="14"/>
      <c r="K866" s="240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spans="1:27" ht="19.5" customHeight="1" x14ac:dyDescent="0.25">
      <c r="A867" s="7"/>
      <c r="B867" s="7"/>
      <c r="C867" s="7"/>
      <c r="D867" s="14"/>
      <c r="E867" s="14"/>
      <c r="F867" s="7"/>
      <c r="G867" s="14"/>
      <c r="H867" s="14"/>
      <c r="I867" s="7"/>
      <c r="J867" s="14"/>
      <c r="K867" s="240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spans="1:27" ht="19.5" customHeight="1" x14ac:dyDescent="0.25">
      <c r="A868" s="7"/>
      <c r="B868" s="7"/>
      <c r="C868" s="7"/>
      <c r="D868" s="14"/>
      <c r="E868" s="14"/>
      <c r="F868" s="7"/>
      <c r="G868" s="14"/>
      <c r="H868" s="14"/>
      <c r="I868" s="7"/>
      <c r="J868" s="14"/>
      <c r="K868" s="240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spans="1:27" ht="19.5" customHeight="1" x14ac:dyDescent="0.25">
      <c r="A869" s="7"/>
      <c r="B869" s="7"/>
      <c r="C869" s="7"/>
      <c r="D869" s="14"/>
      <c r="E869" s="14"/>
      <c r="F869" s="7"/>
      <c r="G869" s="14"/>
      <c r="H869" s="14"/>
      <c r="I869" s="7"/>
      <c r="J869" s="14"/>
      <c r="K869" s="240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spans="1:27" ht="19.5" customHeight="1" x14ac:dyDescent="0.25">
      <c r="A870" s="7"/>
      <c r="B870" s="7"/>
      <c r="C870" s="7"/>
      <c r="D870" s="14"/>
      <c r="E870" s="14"/>
      <c r="F870" s="7"/>
      <c r="G870" s="14"/>
      <c r="H870" s="14"/>
      <c r="I870" s="7"/>
      <c r="J870" s="14"/>
      <c r="K870" s="240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spans="1:27" ht="19.5" customHeight="1" x14ac:dyDescent="0.25">
      <c r="A871" s="7"/>
      <c r="B871" s="7"/>
      <c r="C871" s="7"/>
      <c r="D871" s="14"/>
      <c r="E871" s="14"/>
      <c r="F871" s="7"/>
      <c r="G871" s="14"/>
      <c r="H871" s="14"/>
      <c r="I871" s="7"/>
      <c r="J871" s="14"/>
      <c r="K871" s="240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spans="1:27" ht="19.5" customHeight="1" x14ac:dyDescent="0.25">
      <c r="A872" s="7"/>
      <c r="B872" s="7"/>
      <c r="C872" s="7"/>
      <c r="D872" s="14"/>
      <c r="E872" s="14"/>
      <c r="F872" s="7"/>
      <c r="G872" s="14"/>
      <c r="H872" s="14"/>
      <c r="I872" s="7"/>
      <c r="J872" s="14"/>
      <c r="K872" s="240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spans="1:27" ht="19.5" customHeight="1" x14ac:dyDescent="0.25">
      <c r="A873" s="7"/>
      <c r="B873" s="7"/>
      <c r="C873" s="7"/>
      <c r="D873" s="14"/>
      <c r="E873" s="14"/>
      <c r="F873" s="7"/>
      <c r="G873" s="14"/>
      <c r="H873" s="14"/>
      <c r="I873" s="7"/>
      <c r="J873" s="14"/>
      <c r="K873" s="240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spans="1:27" ht="19.5" customHeight="1" x14ac:dyDescent="0.25">
      <c r="A874" s="7"/>
      <c r="B874" s="7"/>
      <c r="C874" s="7"/>
      <c r="D874" s="14"/>
      <c r="E874" s="14"/>
      <c r="F874" s="7"/>
      <c r="G874" s="14"/>
      <c r="H874" s="14"/>
      <c r="I874" s="7"/>
      <c r="J874" s="14"/>
      <c r="K874" s="240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spans="1:27" ht="19.5" customHeight="1" x14ac:dyDescent="0.25">
      <c r="A875" s="7"/>
      <c r="B875" s="7"/>
      <c r="C875" s="7"/>
      <c r="D875" s="14"/>
      <c r="E875" s="14"/>
      <c r="F875" s="7"/>
      <c r="G875" s="14"/>
      <c r="H875" s="14"/>
      <c r="I875" s="7"/>
      <c r="J875" s="14"/>
      <c r="K875" s="240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spans="1:27" ht="19.5" customHeight="1" x14ac:dyDescent="0.25">
      <c r="A876" s="7"/>
      <c r="B876" s="7"/>
      <c r="C876" s="7"/>
      <c r="D876" s="14"/>
      <c r="E876" s="14"/>
      <c r="F876" s="7"/>
      <c r="G876" s="14"/>
      <c r="H876" s="14"/>
      <c r="I876" s="7"/>
      <c r="J876" s="14"/>
      <c r="K876" s="240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spans="1:27" ht="19.5" customHeight="1" x14ac:dyDescent="0.25">
      <c r="A877" s="7"/>
      <c r="B877" s="7"/>
      <c r="C877" s="7"/>
      <c r="D877" s="14"/>
      <c r="E877" s="14"/>
      <c r="F877" s="7"/>
      <c r="G877" s="14"/>
      <c r="H877" s="14"/>
      <c r="I877" s="7"/>
      <c r="J877" s="14"/>
      <c r="K877" s="240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spans="1:27" ht="19.5" customHeight="1" x14ac:dyDescent="0.25">
      <c r="A878" s="7"/>
      <c r="B878" s="7"/>
      <c r="C878" s="7"/>
      <c r="D878" s="14"/>
      <c r="E878" s="14"/>
      <c r="F878" s="7"/>
      <c r="G878" s="14"/>
      <c r="H878" s="14"/>
      <c r="I878" s="7"/>
      <c r="J878" s="14"/>
      <c r="K878" s="240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spans="1:27" ht="19.5" customHeight="1" x14ac:dyDescent="0.25">
      <c r="A879" s="7"/>
      <c r="B879" s="7"/>
      <c r="C879" s="7"/>
      <c r="D879" s="14"/>
      <c r="E879" s="14"/>
      <c r="F879" s="7"/>
      <c r="G879" s="14"/>
      <c r="H879" s="14"/>
      <c r="I879" s="7"/>
      <c r="J879" s="14"/>
      <c r="K879" s="240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spans="1:27" ht="19.5" customHeight="1" x14ac:dyDescent="0.25">
      <c r="A880" s="7"/>
      <c r="B880" s="7"/>
      <c r="C880" s="7"/>
      <c r="D880" s="14"/>
      <c r="E880" s="14"/>
      <c r="F880" s="7"/>
      <c r="G880" s="14"/>
      <c r="H880" s="14"/>
      <c r="I880" s="7"/>
      <c r="J880" s="14"/>
      <c r="K880" s="240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spans="1:27" ht="19.5" customHeight="1" x14ac:dyDescent="0.25">
      <c r="A881" s="7"/>
      <c r="B881" s="7"/>
      <c r="C881" s="7"/>
      <c r="D881" s="14"/>
      <c r="E881" s="14"/>
      <c r="F881" s="7"/>
      <c r="G881" s="14"/>
      <c r="H881" s="14"/>
      <c r="I881" s="7"/>
      <c r="J881" s="14"/>
      <c r="K881" s="240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spans="1:27" ht="19.5" customHeight="1" x14ac:dyDescent="0.25">
      <c r="A882" s="7"/>
      <c r="B882" s="7"/>
      <c r="C882" s="7"/>
      <c r="D882" s="14"/>
      <c r="E882" s="14"/>
      <c r="F882" s="7"/>
      <c r="G882" s="14"/>
      <c r="H882" s="14"/>
      <c r="I882" s="7"/>
      <c r="J882" s="14"/>
      <c r="K882" s="240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spans="1:27" ht="19.5" customHeight="1" x14ac:dyDescent="0.25">
      <c r="A883" s="7"/>
      <c r="B883" s="7"/>
      <c r="C883" s="7"/>
      <c r="D883" s="14"/>
      <c r="E883" s="14"/>
      <c r="F883" s="7"/>
      <c r="G883" s="14"/>
      <c r="H883" s="14"/>
      <c r="I883" s="7"/>
      <c r="J883" s="14"/>
      <c r="K883" s="240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spans="1:27" ht="19.5" customHeight="1" x14ac:dyDescent="0.25">
      <c r="A884" s="7"/>
      <c r="B884" s="7"/>
      <c r="C884" s="7"/>
      <c r="D884" s="14"/>
      <c r="E884" s="14"/>
      <c r="F884" s="7"/>
      <c r="G884" s="14"/>
      <c r="H884" s="14"/>
      <c r="I884" s="7"/>
      <c r="J884" s="14"/>
      <c r="K884" s="240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spans="1:27" ht="19.5" customHeight="1" x14ac:dyDescent="0.25">
      <c r="A885" s="7"/>
      <c r="B885" s="7"/>
      <c r="C885" s="7"/>
      <c r="D885" s="14"/>
      <c r="E885" s="14"/>
      <c r="F885" s="7"/>
      <c r="G885" s="14"/>
      <c r="H885" s="14"/>
      <c r="I885" s="7"/>
      <c r="J885" s="14"/>
      <c r="K885" s="240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spans="1:27" ht="19.5" customHeight="1" x14ac:dyDescent="0.25">
      <c r="A886" s="7"/>
      <c r="B886" s="7"/>
      <c r="C886" s="7"/>
      <c r="D886" s="14"/>
      <c r="E886" s="14"/>
      <c r="F886" s="7"/>
      <c r="G886" s="14"/>
      <c r="H886" s="14"/>
      <c r="I886" s="7"/>
      <c r="J886" s="14"/>
      <c r="K886" s="240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spans="1:27" ht="19.5" customHeight="1" x14ac:dyDescent="0.25">
      <c r="A887" s="7"/>
      <c r="B887" s="7"/>
      <c r="C887" s="7"/>
      <c r="D887" s="14"/>
      <c r="E887" s="14"/>
      <c r="F887" s="7"/>
      <c r="G887" s="14"/>
      <c r="H887" s="14"/>
      <c r="I887" s="7"/>
      <c r="J887" s="14"/>
      <c r="K887" s="240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spans="1:27" ht="19.5" customHeight="1" x14ac:dyDescent="0.25">
      <c r="A888" s="7"/>
      <c r="B888" s="7"/>
      <c r="C888" s="7"/>
      <c r="D888" s="14"/>
      <c r="E888" s="14"/>
      <c r="F888" s="7"/>
      <c r="G888" s="14"/>
      <c r="H888" s="14"/>
      <c r="I888" s="7"/>
      <c r="J888" s="14"/>
      <c r="K888" s="240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spans="1:27" ht="19.5" customHeight="1" x14ac:dyDescent="0.25">
      <c r="A889" s="7"/>
      <c r="B889" s="7"/>
      <c r="C889" s="7"/>
      <c r="D889" s="14"/>
      <c r="E889" s="14"/>
      <c r="F889" s="7"/>
      <c r="G889" s="14"/>
      <c r="H889" s="14"/>
      <c r="I889" s="7"/>
      <c r="J889" s="14"/>
      <c r="K889" s="240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spans="1:27" ht="19.5" customHeight="1" x14ac:dyDescent="0.25">
      <c r="A890" s="7"/>
      <c r="B890" s="7"/>
      <c r="C890" s="7"/>
      <c r="D890" s="14"/>
      <c r="E890" s="14"/>
      <c r="F890" s="7"/>
      <c r="G890" s="14"/>
      <c r="H890" s="14"/>
      <c r="I890" s="7"/>
      <c r="J890" s="14"/>
      <c r="K890" s="240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spans="1:27" ht="19.5" customHeight="1" x14ac:dyDescent="0.25">
      <c r="A891" s="7"/>
      <c r="B891" s="7"/>
      <c r="C891" s="7"/>
      <c r="D891" s="14"/>
      <c r="E891" s="14"/>
      <c r="F891" s="7"/>
      <c r="G891" s="14"/>
      <c r="H891" s="14"/>
      <c r="I891" s="7"/>
      <c r="J891" s="14"/>
      <c r="K891" s="240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spans="1:27" ht="19.5" customHeight="1" x14ac:dyDescent="0.25">
      <c r="A892" s="7"/>
      <c r="B892" s="7"/>
      <c r="C892" s="7"/>
      <c r="D892" s="14"/>
      <c r="E892" s="14"/>
      <c r="F892" s="7"/>
      <c r="G892" s="14"/>
      <c r="H892" s="14"/>
      <c r="I892" s="7"/>
      <c r="J892" s="14"/>
      <c r="K892" s="240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spans="1:27" ht="19.5" customHeight="1" x14ac:dyDescent="0.25">
      <c r="A893" s="7"/>
      <c r="B893" s="7"/>
      <c r="C893" s="7"/>
      <c r="D893" s="14"/>
      <c r="E893" s="14"/>
      <c r="F893" s="7"/>
      <c r="G893" s="14"/>
      <c r="H893" s="14"/>
      <c r="I893" s="7"/>
      <c r="J893" s="14"/>
      <c r="K893" s="240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spans="1:27" ht="19.5" customHeight="1" x14ac:dyDescent="0.25">
      <c r="A894" s="7"/>
      <c r="B894" s="7"/>
      <c r="C894" s="7"/>
      <c r="D894" s="14"/>
      <c r="E894" s="14"/>
      <c r="F894" s="7"/>
      <c r="G894" s="14"/>
      <c r="H894" s="14"/>
      <c r="I894" s="7"/>
      <c r="J894" s="14"/>
      <c r="K894" s="240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spans="1:27" ht="19.5" customHeight="1" x14ac:dyDescent="0.25">
      <c r="A895" s="7"/>
      <c r="B895" s="7"/>
      <c r="C895" s="7"/>
      <c r="D895" s="14"/>
      <c r="E895" s="14"/>
      <c r="F895" s="7"/>
      <c r="G895" s="14"/>
      <c r="H895" s="14"/>
      <c r="I895" s="7"/>
      <c r="J895" s="14"/>
      <c r="K895" s="240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spans="1:27" ht="19.5" customHeight="1" x14ac:dyDescent="0.25">
      <c r="A896" s="7"/>
      <c r="B896" s="7"/>
      <c r="C896" s="7"/>
      <c r="D896" s="14"/>
      <c r="E896" s="14"/>
      <c r="F896" s="7"/>
      <c r="G896" s="14"/>
      <c r="H896" s="14"/>
      <c r="I896" s="7"/>
      <c r="J896" s="14"/>
      <c r="K896" s="240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spans="1:27" ht="19.5" customHeight="1" x14ac:dyDescent="0.25">
      <c r="A897" s="7"/>
      <c r="B897" s="7"/>
      <c r="C897" s="7"/>
      <c r="D897" s="14"/>
      <c r="E897" s="14"/>
      <c r="F897" s="7"/>
      <c r="G897" s="14"/>
      <c r="H897" s="14"/>
      <c r="I897" s="7"/>
      <c r="J897" s="14"/>
      <c r="K897" s="240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spans="1:27" ht="19.5" customHeight="1" x14ac:dyDescent="0.25">
      <c r="A898" s="7"/>
      <c r="B898" s="7"/>
      <c r="C898" s="7"/>
      <c r="D898" s="14"/>
      <c r="E898" s="14"/>
      <c r="F898" s="7"/>
      <c r="G898" s="14"/>
      <c r="H898" s="14"/>
      <c r="I898" s="7"/>
      <c r="J898" s="14"/>
      <c r="K898" s="240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spans="1:27" ht="19.5" customHeight="1" x14ac:dyDescent="0.25">
      <c r="A899" s="7"/>
      <c r="B899" s="7"/>
      <c r="C899" s="7"/>
      <c r="D899" s="14"/>
      <c r="E899" s="14"/>
      <c r="F899" s="7"/>
      <c r="G899" s="14"/>
      <c r="H899" s="14"/>
      <c r="I899" s="7"/>
      <c r="J899" s="14"/>
      <c r="K899" s="240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spans="1:27" ht="19.5" customHeight="1" x14ac:dyDescent="0.25">
      <c r="A900" s="7"/>
      <c r="B900" s="7"/>
      <c r="C900" s="7"/>
      <c r="D900" s="14"/>
      <c r="E900" s="14"/>
      <c r="F900" s="7"/>
      <c r="G900" s="14"/>
      <c r="H900" s="14"/>
      <c r="I900" s="7"/>
      <c r="J900" s="14"/>
      <c r="K900" s="240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spans="1:27" ht="19.5" customHeight="1" x14ac:dyDescent="0.25">
      <c r="A901" s="7"/>
      <c r="B901" s="7"/>
      <c r="C901" s="7"/>
      <c r="D901" s="14"/>
      <c r="E901" s="14"/>
      <c r="F901" s="7"/>
      <c r="G901" s="14"/>
      <c r="H901" s="14"/>
      <c r="I901" s="7"/>
      <c r="J901" s="14"/>
      <c r="K901" s="240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spans="1:27" ht="19.5" customHeight="1" x14ac:dyDescent="0.25">
      <c r="A902" s="7"/>
      <c r="B902" s="7"/>
      <c r="C902" s="7"/>
      <c r="D902" s="14"/>
      <c r="E902" s="14"/>
      <c r="F902" s="7"/>
      <c r="G902" s="14"/>
      <c r="H902" s="14"/>
      <c r="I902" s="7"/>
      <c r="J902" s="14"/>
      <c r="K902" s="240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spans="1:27" ht="19.5" customHeight="1" x14ac:dyDescent="0.25">
      <c r="A903" s="7"/>
      <c r="B903" s="7"/>
      <c r="C903" s="7"/>
      <c r="D903" s="14"/>
      <c r="E903" s="14"/>
      <c r="F903" s="7"/>
      <c r="G903" s="14"/>
      <c r="H903" s="14"/>
      <c r="I903" s="7"/>
      <c r="J903" s="14"/>
      <c r="K903" s="240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spans="1:27" ht="19.5" customHeight="1" x14ac:dyDescent="0.25">
      <c r="A904" s="7"/>
      <c r="B904" s="7"/>
      <c r="C904" s="7"/>
      <c r="D904" s="14"/>
      <c r="E904" s="14"/>
      <c r="F904" s="7"/>
      <c r="G904" s="14"/>
      <c r="H904" s="14"/>
      <c r="I904" s="7"/>
      <c r="J904" s="14"/>
      <c r="K904" s="240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spans="1:27" ht="19.5" customHeight="1" x14ac:dyDescent="0.25">
      <c r="A905" s="7"/>
      <c r="B905" s="7"/>
      <c r="C905" s="7"/>
      <c r="D905" s="14"/>
      <c r="E905" s="14"/>
      <c r="F905" s="7"/>
      <c r="G905" s="14"/>
      <c r="H905" s="14"/>
      <c r="I905" s="7"/>
      <c r="J905" s="14"/>
      <c r="K905" s="240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spans="1:27" ht="19.5" customHeight="1" x14ac:dyDescent="0.25">
      <c r="A906" s="7"/>
      <c r="B906" s="7"/>
      <c r="C906" s="7"/>
      <c r="D906" s="14"/>
      <c r="E906" s="14"/>
      <c r="F906" s="7"/>
      <c r="G906" s="14"/>
      <c r="H906" s="14"/>
      <c r="I906" s="7"/>
      <c r="J906" s="14"/>
      <c r="K906" s="240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spans="1:27" ht="19.5" customHeight="1" x14ac:dyDescent="0.25">
      <c r="A907" s="7"/>
      <c r="B907" s="7"/>
      <c r="C907" s="7"/>
      <c r="D907" s="14"/>
      <c r="E907" s="14"/>
      <c r="F907" s="7"/>
      <c r="G907" s="14"/>
      <c r="H907" s="14"/>
      <c r="I907" s="7"/>
      <c r="J907" s="14"/>
      <c r="K907" s="240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spans="1:27" ht="19.5" customHeight="1" x14ac:dyDescent="0.25">
      <c r="A908" s="7"/>
      <c r="B908" s="7"/>
      <c r="C908" s="7"/>
      <c r="D908" s="14"/>
      <c r="E908" s="14"/>
      <c r="F908" s="7"/>
      <c r="G908" s="14"/>
      <c r="H908" s="14"/>
      <c r="I908" s="7"/>
      <c r="J908" s="14"/>
      <c r="K908" s="240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spans="1:27" ht="19.5" customHeight="1" x14ac:dyDescent="0.25">
      <c r="A909" s="7"/>
      <c r="B909" s="7"/>
      <c r="C909" s="7"/>
      <c r="D909" s="14"/>
      <c r="E909" s="14"/>
      <c r="F909" s="7"/>
      <c r="G909" s="14"/>
      <c r="H909" s="14"/>
      <c r="I909" s="7"/>
      <c r="J909" s="14"/>
      <c r="K909" s="240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spans="1:27" ht="19.5" customHeight="1" x14ac:dyDescent="0.25">
      <c r="A910" s="7"/>
      <c r="B910" s="7"/>
      <c r="C910" s="7"/>
      <c r="D910" s="14"/>
      <c r="E910" s="14"/>
      <c r="F910" s="7"/>
      <c r="G910" s="14"/>
      <c r="H910" s="14"/>
      <c r="I910" s="7"/>
      <c r="J910" s="14"/>
      <c r="K910" s="240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spans="1:27" ht="19.5" customHeight="1" x14ac:dyDescent="0.25">
      <c r="A911" s="7"/>
      <c r="B911" s="7"/>
      <c r="C911" s="7"/>
      <c r="D911" s="14"/>
      <c r="E911" s="14"/>
      <c r="F911" s="7"/>
      <c r="G911" s="14"/>
      <c r="H911" s="14"/>
      <c r="I911" s="7"/>
      <c r="J911" s="14"/>
      <c r="K911" s="240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spans="1:27" ht="19.5" customHeight="1" x14ac:dyDescent="0.25">
      <c r="A912" s="7"/>
      <c r="B912" s="7"/>
      <c r="C912" s="7"/>
      <c r="D912" s="14"/>
      <c r="E912" s="14"/>
      <c r="F912" s="7"/>
      <c r="G912" s="14"/>
      <c r="H912" s="14"/>
      <c r="I912" s="7"/>
      <c r="J912" s="14"/>
      <c r="K912" s="240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spans="1:27" ht="19.5" customHeight="1" x14ac:dyDescent="0.25">
      <c r="A913" s="7"/>
      <c r="B913" s="7"/>
      <c r="C913" s="7"/>
      <c r="D913" s="14"/>
      <c r="E913" s="14"/>
      <c r="F913" s="7"/>
      <c r="G913" s="14"/>
      <c r="H913" s="14"/>
      <c r="I913" s="7"/>
      <c r="J913" s="14"/>
      <c r="K913" s="240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spans="1:27" ht="19.5" customHeight="1" x14ac:dyDescent="0.25">
      <c r="A914" s="7"/>
      <c r="B914" s="7"/>
      <c r="C914" s="7"/>
      <c r="D914" s="14"/>
      <c r="E914" s="14"/>
      <c r="F914" s="7"/>
      <c r="G914" s="14"/>
      <c r="H914" s="14"/>
      <c r="I914" s="7"/>
      <c r="J914" s="14"/>
      <c r="K914" s="240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spans="1:27" ht="19.5" customHeight="1" x14ac:dyDescent="0.25">
      <c r="A915" s="7"/>
      <c r="B915" s="7"/>
      <c r="C915" s="7"/>
      <c r="D915" s="14"/>
      <c r="E915" s="14"/>
      <c r="F915" s="7"/>
      <c r="G915" s="14"/>
      <c r="H915" s="14"/>
      <c r="I915" s="7"/>
      <c r="J915" s="14"/>
      <c r="K915" s="240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spans="1:27" ht="19.5" customHeight="1" x14ac:dyDescent="0.25">
      <c r="A916" s="7"/>
      <c r="B916" s="7"/>
      <c r="C916" s="7"/>
      <c r="D916" s="14"/>
      <c r="E916" s="14"/>
      <c r="F916" s="7"/>
      <c r="G916" s="14"/>
      <c r="H916" s="14"/>
      <c r="I916" s="7"/>
      <c r="J916" s="14"/>
      <c r="K916" s="240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spans="1:27" ht="19.5" customHeight="1" x14ac:dyDescent="0.25">
      <c r="A917" s="7"/>
      <c r="B917" s="7"/>
      <c r="C917" s="7"/>
      <c r="D917" s="14"/>
      <c r="E917" s="14"/>
      <c r="F917" s="7"/>
      <c r="G917" s="14"/>
      <c r="H917" s="14"/>
      <c r="I917" s="7"/>
      <c r="J917" s="14"/>
      <c r="K917" s="240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spans="1:27" ht="19.5" customHeight="1" x14ac:dyDescent="0.25">
      <c r="A918" s="7"/>
      <c r="B918" s="7"/>
      <c r="C918" s="7"/>
      <c r="D918" s="14"/>
      <c r="E918" s="14"/>
      <c r="F918" s="7"/>
      <c r="G918" s="14"/>
      <c r="H918" s="14"/>
      <c r="I918" s="7"/>
      <c r="J918" s="14"/>
      <c r="K918" s="240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spans="1:27" ht="19.5" customHeight="1" x14ac:dyDescent="0.25">
      <c r="A919" s="7"/>
      <c r="B919" s="7"/>
      <c r="C919" s="7"/>
      <c r="D919" s="14"/>
      <c r="E919" s="14"/>
      <c r="F919" s="7"/>
      <c r="G919" s="14"/>
      <c r="H919" s="14"/>
      <c r="I919" s="7"/>
      <c r="J919" s="14"/>
      <c r="K919" s="240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spans="1:27" ht="19.5" customHeight="1" x14ac:dyDescent="0.25">
      <c r="A920" s="7"/>
      <c r="B920" s="7"/>
      <c r="C920" s="7"/>
      <c r="D920" s="14"/>
      <c r="E920" s="14"/>
      <c r="F920" s="7"/>
      <c r="G920" s="14"/>
      <c r="H920" s="14"/>
      <c r="I920" s="7"/>
      <c r="J920" s="14"/>
      <c r="K920" s="240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spans="1:27" ht="19.5" customHeight="1" x14ac:dyDescent="0.25">
      <c r="A921" s="7"/>
      <c r="B921" s="7"/>
      <c r="C921" s="7"/>
      <c r="D921" s="14"/>
      <c r="E921" s="14"/>
      <c r="F921" s="7"/>
      <c r="G921" s="14"/>
      <c r="H921" s="14"/>
      <c r="I921" s="7"/>
      <c r="J921" s="14"/>
      <c r="K921" s="240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spans="1:27" ht="19.5" customHeight="1" x14ac:dyDescent="0.25">
      <c r="A922" s="7"/>
      <c r="B922" s="7"/>
      <c r="C922" s="7"/>
      <c r="D922" s="14"/>
      <c r="E922" s="14"/>
      <c r="F922" s="7"/>
      <c r="G922" s="14"/>
      <c r="H922" s="14"/>
      <c r="I922" s="7"/>
      <c r="J922" s="14"/>
      <c r="K922" s="240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spans="1:27" ht="19.5" customHeight="1" x14ac:dyDescent="0.25">
      <c r="A923" s="7"/>
      <c r="B923" s="7"/>
      <c r="C923" s="7"/>
      <c r="D923" s="14"/>
      <c r="E923" s="14"/>
      <c r="F923" s="7"/>
      <c r="G923" s="14"/>
      <c r="H923" s="14"/>
      <c r="I923" s="7"/>
      <c r="J923" s="14"/>
      <c r="K923" s="240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spans="1:27" ht="19.5" customHeight="1" x14ac:dyDescent="0.25">
      <c r="A924" s="7"/>
      <c r="B924" s="7"/>
      <c r="C924" s="7"/>
      <c r="D924" s="14"/>
      <c r="E924" s="14"/>
      <c r="F924" s="7"/>
      <c r="G924" s="14"/>
      <c r="H924" s="14"/>
      <c r="I924" s="7"/>
      <c r="J924" s="14"/>
      <c r="K924" s="240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spans="1:27" ht="19.5" customHeight="1" x14ac:dyDescent="0.25">
      <c r="A925" s="7"/>
      <c r="B925" s="7"/>
      <c r="C925" s="7"/>
      <c r="D925" s="14"/>
      <c r="E925" s="14"/>
      <c r="F925" s="7"/>
      <c r="G925" s="14"/>
      <c r="H925" s="14"/>
      <c r="I925" s="7"/>
      <c r="J925" s="14"/>
      <c r="K925" s="240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spans="1:27" ht="19.5" customHeight="1" x14ac:dyDescent="0.25">
      <c r="A926" s="7"/>
      <c r="B926" s="7"/>
      <c r="C926" s="7"/>
      <c r="D926" s="14"/>
      <c r="E926" s="14"/>
      <c r="F926" s="7"/>
      <c r="G926" s="14"/>
      <c r="H926" s="14"/>
      <c r="I926" s="7"/>
      <c r="J926" s="14"/>
      <c r="K926" s="240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spans="1:27" ht="19.5" customHeight="1" x14ac:dyDescent="0.25">
      <c r="A927" s="7"/>
      <c r="B927" s="7"/>
      <c r="C927" s="7"/>
      <c r="D927" s="14"/>
      <c r="E927" s="14"/>
      <c r="F927" s="7"/>
      <c r="G927" s="14"/>
      <c r="H927" s="14"/>
      <c r="I927" s="7"/>
      <c r="J927" s="14"/>
      <c r="K927" s="240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spans="1:27" ht="19.5" customHeight="1" x14ac:dyDescent="0.25">
      <c r="A928" s="7"/>
      <c r="B928" s="7"/>
      <c r="C928" s="7"/>
      <c r="D928" s="14"/>
      <c r="E928" s="14"/>
      <c r="F928" s="7"/>
      <c r="G928" s="14"/>
      <c r="H928" s="14"/>
      <c r="I928" s="7"/>
      <c r="J928" s="14"/>
      <c r="K928" s="240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spans="1:27" ht="19.5" customHeight="1" x14ac:dyDescent="0.25">
      <c r="A929" s="7"/>
      <c r="B929" s="7"/>
      <c r="C929" s="7"/>
      <c r="D929" s="14"/>
      <c r="E929" s="14"/>
      <c r="F929" s="7"/>
      <c r="G929" s="14"/>
      <c r="H929" s="14"/>
      <c r="I929" s="7"/>
      <c r="J929" s="14"/>
      <c r="K929" s="240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spans="1:27" ht="19.5" customHeight="1" x14ac:dyDescent="0.25">
      <c r="A930" s="7"/>
      <c r="B930" s="7"/>
      <c r="C930" s="7"/>
      <c r="D930" s="14"/>
      <c r="E930" s="14"/>
      <c r="F930" s="7"/>
      <c r="G930" s="14"/>
      <c r="H930" s="14"/>
      <c r="I930" s="7"/>
      <c r="J930" s="14"/>
      <c r="K930" s="240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spans="1:27" ht="19.5" customHeight="1" x14ac:dyDescent="0.25">
      <c r="A931" s="7"/>
      <c r="B931" s="7"/>
      <c r="C931" s="7"/>
      <c r="D931" s="14"/>
      <c r="E931" s="14"/>
      <c r="F931" s="7"/>
      <c r="G931" s="14"/>
      <c r="H931" s="14"/>
      <c r="I931" s="7"/>
      <c r="J931" s="14"/>
      <c r="K931" s="240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spans="1:27" ht="19.5" customHeight="1" x14ac:dyDescent="0.25">
      <c r="A932" s="7"/>
      <c r="B932" s="7"/>
      <c r="C932" s="7"/>
      <c r="D932" s="14"/>
      <c r="E932" s="14"/>
      <c r="F932" s="7"/>
      <c r="G932" s="14"/>
      <c r="H932" s="14"/>
      <c r="I932" s="7"/>
      <c r="J932" s="14"/>
      <c r="K932" s="240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spans="1:27" ht="19.5" customHeight="1" x14ac:dyDescent="0.25">
      <c r="A933" s="7"/>
      <c r="B933" s="7"/>
      <c r="C933" s="7"/>
      <c r="D933" s="14"/>
      <c r="E933" s="14"/>
      <c r="F933" s="7"/>
      <c r="G933" s="14"/>
      <c r="H933" s="14"/>
      <c r="I933" s="7"/>
      <c r="J933" s="14"/>
      <c r="K933" s="240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spans="1:27" ht="19.5" customHeight="1" x14ac:dyDescent="0.25">
      <c r="A934" s="7"/>
      <c r="B934" s="7"/>
      <c r="C934" s="7"/>
      <c r="D934" s="14"/>
      <c r="E934" s="14"/>
      <c r="F934" s="7"/>
      <c r="G934" s="14"/>
      <c r="H934" s="14"/>
      <c r="I934" s="7"/>
      <c r="J934" s="14"/>
      <c r="K934" s="240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spans="1:27" ht="19.5" customHeight="1" x14ac:dyDescent="0.25">
      <c r="A935" s="7"/>
      <c r="B935" s="7"/>
      <c r="C935" s="7"/>
      <c r="D935" s="14"/>
      <c r="E935" s="14"/>
      <c r="F935" s="7"/>
      <c r="G935" s="14"/>
      <c r="H935" s="14"/>
      <c r="I935" s="7"/>
      <c r="J935" s="14"/>
      <c r="K935" s="240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spans="1:27" ht="19.5" customHeight="1" x14ac:dyDescent="0.25">
      <c r="A936" s="7"/>
      <c r="B936" s="7"/>
      <c r="C936" s="7"/>
      <c r="D936" s="14"/>
      <c r="E936" s="14"/>
      <c r="F936" s="7"/>
      <c r="G936" s="14"/>
      <c r="H936" s="14"/>
      <c r="I936" s="7"/>
      <c r="J936" s="14"/>
      <c r="K936" s="240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spans="1:27" ht="19.5" customHeight="1" x14ac:dyDescent="0.25">
      <c r="A937" s="7"/>
      <c r="B937" s="7"/>
      <c r="C937" s="7"/>
      <c r="D937" s="14"/>
      <c r="E937" s="14"/>
      <c r="F937" s="7"/>
      <c r="G937" s="14"/>
      <c r="H937" s="14"/>
      <c r="I937" s="7"/>
      <c r="J937" s="14"/>
      <c r="K937" s="240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spans="1:27" ht="19.5" customHeight="1" x14ac:dyDescent="0.25">
      <c r="A938" s="7"/>
      <c r="B938" s="7"/>
      <c r="C938" s="7"/>
      <c r="D938" s="14"/>
      <c r="E938" s="14"/>
      <c r="F938" s="7"/>
      <c r="G938" s="14"/>
      <c r="H938" s="14"/>
      <c r="I938" s="7"/>
      <c r="J938" s="14"/>
      <c r="K938" s="240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spans="1:27" ht="19.5" customHeight="1" x14ac:dyDescent="0.25">
      <c r="A939" s="7"/>
      <c r="B939" s="7"/>
      <c r="C939" s="7"/>
      <c r="D939" s="14"/>
      <c r="E939" s="14"/>
      <c r="F939" s="7"/>
      <c r="G939" s="14"/>
      <c r="H939" s="14"/>
      <c r="I939" s="7"/>
      <c r="J939" s="14"/>
      <c r="K939" s="240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spans="1:27" ht="19.5" customHeight="1" x14ac:dyDescent="0.25">
      <c r="A940" s="7"/>
      <c r="B940" s="7"/>
      <c r="C940" s="7"/>
      <c r="D940" s="14"/>
      <c r="E940" s="14"/>
      <c r="F940" s="7"/>
      <c r="G940" s="14"/>
      <c r="H940" s="14"/>
      <c r="I940" s="7"/>
      <c r="J940" s="14"/>
      <c r="K940" s="240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spans="1:27" ht="19.5" customHeight="1" x14ac:dyDescent="0.25">
      <c r="A941" s="7"/>
      <c r="B941" s="7"/>
      <c r="C941" s="7"/>
      <c r="D941" s="14"/>
      <c r="E941" s="14"/>
      <c r="F941" s="7"/>
      <c r="G941" s="14"/>
      <c r="H941" s="14"/>
      <c r="I941" s="7"/>
      <c r="J941" s="14"/>
      <c r="K941" s="240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spans="1:27" ht="19.5" customHeight="1" x14ac:dyDescent="0.25">
      <c r="A942" s="7"/>
      <c r="B942" s="7"/>
      <c r="C942" s="7"/>
      <c r="D942" s="14"/>
      <c r="E942" s="14"/>
      <c r="F942" s="7"/>
      <c r="G942" s="14"/>
      <c r="H942" s="14"/>
      <c r="I942" s="7"/>
      <c r="J942" s="14"/>
      <c r="K942" s="240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spans="1:27" ht="19.5" customHeight="1" x14ac:dyDescent="0.25">
      <c r="A943" s="7"/>
      <c r="B943" s="7"/>
      <c r="C943" s="7"/>
      <c r="D943" s="14"/>
      <c r="E943" s="14"/>
      <c r="F943" s="7"/>
      <c r="G943" s="14"/>
      <c r="H943" s="14"/>
      <c r="I943" s="7"/>
      <c r="J943" s="14"/>
      <c r="K943" s="240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spans="1:27" ht="19.5" customHeight="1" x14ac:dyDescent="0.25">
      <c r="A944" s="7"/>
      <c r="B944" s="7"/>
      <c r="C944" s="7"/>
      <c r="D944" s="14"/>
      <c r="E944" s="14"/>
      <c r="F944" s="7"/>
      <c r="G944" s="14"/>
      <c r="H944" s="14"/>
      <c r="I944" s="7"/>
      <c r="J944" s="14"/>
      <c r="K944" s="240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spans="1:27" ht="19.5" customHeight="1" x14ac:dyDescent="0.25">
      <c r="A945" s="7"/>
      <c r="B945" s="7"/>
      <c r="C945" s="7"/>
      <c r="D945" s="14"/>
      <c r="E945" s="14"/>
      <c r="F945" s="7"/>
      <c r="G945" s="14"/>
      <c r="H945" s="14"/>
      <c r="I945" s="7"/>
      <c r="J945" s="14"/>
      <c r="K945" s="240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spans="1:27" ht="19.5" customHeight="1" x14ac:dyDescent="0.25">
      <c r="A946" s="7"/>
      <c r="B946" s="7"/>
      <c r="C946" s="7"/>
      <c r="D946" s="14"/>
      <c r="E946" s="14"/>
      <c r="F946" s="7"/>
      <c r="G946" s="14"/>
      <c r="H946" s="14"/>
      <c r="I946" s="7"/>
      <c r="J946" s="14"/>
      <c r="K946" s="240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spans="1:27" ht="19.5" customHeight="1" x14ac:dyDescent="0.25">
      <c r="A947" s="7"/>
      <c r="B947" s="7"/>
      <c r="C947" s="7"/>
      <c r="D947" s="14"/>
      <c r="E947" s="14"/>
      <c r="F947" s="7"/>
      <c r="G947" s="14"/>
      <c r="H947" s="14"/>
      <c r="I947" s="7"/>
      <c r="J947" s="14"/>
      <c r="K947" s="240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spans="1:27" ht="19.5" customHeight="1" x14ac:dyDescent="0.25">
      <c r="A948" s="7"/>
      <c r="B948" s="7"/>
      <c r="C948" s="7"/>
      <c r="D948" s="14"/>
      <c r="E948" s="14"/>
      <c r="F948" s="7"/>
      <c r="G948" s="14"/>
      <c r="H948" s="14"/>
      <c r="I948" s="7"/>
      <c r="J948" s="14"/>
      <c r="K948" s="240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spans="1:27" ht="19.5" customHeight="1" x14ac:dyDescent="0.25">
      <c r="A949" s="7"/>
      <c r="B949" s="7"/>
      <c r="C949" s="7"/>
      <c r="D949" s="14"/>
      <c r="E949" s="14"/>
      <c r="F949" s="7"/>
      <c r="G949" s="14"/>
      <c r="H949" s="14"/>
      <c r="I949" s="7"/>
      <c r="J949" s="14"/>
      <c r="K949" s="240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spans="1:27" ht="19.5" customHeight="1" x14ac:dyDescent="0.25">
      <c r="A950" s="7"/>
      <c r="B950" s="7"/>
      <c r="C950" s="7"/>
      <c r="D950" s="14"/>
      <c r="E950" s="14"/>
      <c r="F950" s="7"/>
      <c r="G950" s="14"/>
      <c r="H950" s="14"/>
      <c r="I950" s="7"/>
      <c r="J950" s="14"/>
      <c r="K950" s="240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spans="1:27" ht="19.5" customHeight="1" x14ac:dyDescent="0.25">
      <c r="A951" s="7"/>
      <c r="B951" s="7"/>
      <c r="C951" s="7"/>
      <c r="D951" s="14"/>
      <c r="E951" s="14"/>
      <c r="F951" s="7"/>
      <c r="G951" s="14"/>
      <c r="H951" s="14"/>
      <c r="I951" s="7"/>
      <c r="J951" s="14"/>
      <c r="K951" s="240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spans="1:27" ht="19.5" customHeight="1" x14ac:dyDescent="0.25">
      <c r="A952" s="7"/>
      <c r="B952" s="7"/>
      <c r="C952" s="7"/>
      <c r="D952" s="14"/>
      <c r="E952" s="14"/>
      <c r="F952" s="7"/>
      <c r="G952" s="14"/>
      <c r="H952" s="14"/>
      <c r="I952" s="7"/>
      <c r="J952" s="14"/>
      <c r="K952" s="240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spans="1:27" ht="19.5" customHeight="1" x14ac:dyDescent="0.25">
      <c r="A953" s="7"/>
      <c r="B953" s="7"/>
      <c r="C953" s="7"/>
      <c r="D953" s="14"/>
      <c r="E953" s="14"/>
      <c r="F953" s="7"/>
      <c r="G953" s="14"/>
      <c r="H953" s="14"/>
      <c r="I953" s="7"/>
      <c r="J953" s="14"/>
      <c r="K953" s="240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spans="1:27" ht="19.5" customHeight="1" x14ac:dyDescent="0.25">
      <c r="A954" s="7"/>
      <c r="B954" s="7"/>
      <c r="C954" s="7"/>
      <c r="D954" s="14"/>
      <c r="E954" s="14"/>
      <c r="F954" s="7"/>
      <c r="G954" s="14"/>
      <c r="H954" s="14"/>
      <c r="I954" s="7"/>
      <c r="J954" s="14"/>
      <c r="K954" s="240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spans="1:27" ht="19.5" customHeight="1" x14ac:dyDescent="0.25">
      <c r="A955" s="7"/>
      <c r="B955" s="7"/>
      <c r="C955" s="7"/>
      <c r="D955" s="14"/>
      <c r="E955" s="14"/>
      <c r="F955" s="7"/>
      <c r="G955" s="14"/>
      <c r="H955" s="14"/>
      <c r="I955" s="7"/>
      <c r="J955" s="14"/>
      <c r="K955" s="240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spans="1:27" ht="19.5" customHeight="1" x14ac:dyDescent="0.25">
      <c r="A956" s="7"/>
      <c r="B956" s="7"/>
      <c r="C956" s="7"/>
      <c r="D956" s="14"/>
      <c r="E956" s="14"/>
      <c r="F956" s="7"/>
      <c r="G956" s="14"/>
      <c r="H956" s="14"/>
      <c r="I956" s="7"/>
      <c r="J956" s="14"/>
      <c r="K956" s="240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spans="1:27" ht="19.5" customHeight="1" x14ac:dyDescent="0.25">
      <c r="A957" s="7"/>
      <c r="B957" s="7"/>
      <c r="C957" s="7"/>
      <c r="D957" s="14"/>
      <c r="E957" s="14"/>
      <c r="F957" s="7"/>
      <c r="G957" s="14"/>
      <c r="H957" s="14"/>
      <c r="I957" s="7"/>
      <c r="J957" s="14"/>
      <c r="K957" s="240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spans="1:27" ht="19.5" customHeight="1" x14ac:dyDescent="0.25">
      <c r="A958" s="7"/>
      <c r="B958" s="7"/>
      <c r="C958" s="7"/>
      <c r="D958" s="14"/>
      <c r="E958" s="14"/>
      <c r="F958" s="7"/>
      <c r="G958" s="14"/>
      <c r="H958" s="14"/>
      <c r="I958" s="7"/>
      <c r="J958" s="14"/>
      <c r="K958" s="240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spans="1:27" ht="19.5" customHeight="1" x14ac:dyDescent="0.25">
      <c r="A959" s="7"/>
      <c r="B959" s="7"/>
      <c r="C959" s="7"/>
      <c r="D959" s="14"/>
      <c r="E959" s="14"/>
      <c r="F959" s="7"/>
      <c r="G959" s="14"/>
      <c r="H959" s="14"/>
      <c r="I959" s="7"/>
      <c r="J959" s="14"/>
      <c r="K959" s="240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spans="1:27" ht="19.5" customHeight="1" x14ac:dyDescent="0.25">
      <c r="A960" s="7"/>
      <c r="B960" s="7"/>
      <c r="C960" s="7"/>
      <c r="D960" s="14"/>
      <c r="E960" s="14"/>
      <c r="F960" s="7"/>
      <c r="G960" s="14"/>
      <c r="H960" s="14"/>
      <c r="I960" s="7"/>
      <c r="J960" s="14"/>
      <c r="K960" s="240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spans="1:27" ht="19.5" customHeight="1" x14ac:dyDescent="0.25">
      <c r="A961" s="7"/>
      <c r="B961" s="7"/>
      <c r="C961" s="7"/>
      <c r="D961" s="14"/>
      <c r="E961" s="14"/>
      <c r="F961" s="7"/>
      <c r="G961" s="14"/>
      <c r="H961" s="14"/>
      <c r="I961" s="7"/>
      <c r="J961" s="14"/>
      <c r="K961" s="240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spans="1:27" ht="19.5" customHeight="1" x14ac:dyDescent="0.25">
      <c r="A962" s="7"/>
      <c r="B962" s="7"/>
      <c r="C962" s="7"/>
      <c r="D962" s="14"/>
      <c r="E962" s="14"/>
      <c r="F962" s="7"/>
      <c r="G962" s="14"/>
      <c r="H962" s="14"/>
      <c r="I962" s="7"/>
      <c r="J962" s="14"/>
      <c r="K962" s="240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spans="1:27" ht="19.5" customHeight="1" x14ac:dyDescent="0.25">
      <c r="A963" s="7"/>
      <c r="B963" s="7"/>
      <c r="C963" s="7"/>
      <c r="D963" s="14"/>
      <c r="E963" s="14"/>
      <c r="F963" s="7"/>
      <c r="G963" s="14"/>
      <c r="H963" s="14"/>
      <c r="I963" s="7"/>
      <c r="J963" s="14"/>
      <c r="K963" s="240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spans="1:27" ht="19.5" customHeight="1" x14ac:dyDescent="0.25">
      <c r="A964" s="7"/>
      <c r="B964" s="7"/>
      <c r="C964" s="7"/>
      <c r="D964" s="14"/>
      <c r="E964" s="14"/>
      <c r="F964" s="7"/>
      <c r="G964" s="14"/>
      <c r="H964" s="14"/>
      <c r="I964" s="7"/>
      <c r="J964" s="14"/>
      <c r="K964" s="240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spans="1:27" ht="19.5" customHeight="1" x14ac:dyDescent="0.25">
      <c r="A965" s="7"/>
      <c r="B965" s="7"/>
      <c r="C965" s="7"/>
      <c r="D965" s="14"/>
      <c r="E965" s="14"/>
      <c r="F965" s="7"/>
      <c r="G965" s="14"/>
      <c r="H965" s="14"/>
      <c r="I965" s="7"/>
      <c r="J965" s="14"/>
      <c r="K965" s="240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spans="1:27" ht="19.5" customHeight="1" x14ac:dyDescent="0.25">
      <c r="A966" s="7"/>
      <c r="B966" s="7"/>
      <c r="C966" s="7"/>
      <c r="D966" s="14"/>
      <c r="E966" s="14"/>
      <c r="F966" s="7"/>
      <c r="G966" s="14"/>
      <c r="H966" s="14"/>
      <c r="I966" s="7"/>
      <c r="J966" s="14"/>
      <c r="K966" s="240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spans="1:27" ht="19.5" customHeight="1" x14ac:dyDescent="0.25">
      <c r="A967" s="7"/>
      <c r="B967" s="7"/>
      <c r="C967" s="7"/>
      <c r="D967" s="14"/>
      <c r="E967" s="14"/>
      <c r="F967" s="7"/>
      <c r="G967" s="14"/>
      <c r="H967" s="14"/>
      <c r="I967" s="7"/>
      <c r="J967" s="14"/>
      <c r="K967" s="240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spans="1:27" ht="19.5" customHeight="1" x14ac:dyDescent="0.25">
      <c r="A968" s="7"/>
      <c r="B968" s="7"/>
      <c r="C968" s="7"/>
      <c r="D968" s="14"/>
      <c r="E968" s="14"/>
      <c r="F968" s="7"/>
      <c r="G968" s="14"/>
      <c r="H968" s="14"/>
      <c r="I968" s="7"/>
      <c r="J968" s="14"/>
      <c r="K968" s="240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spans="1:27" ht="19.5" customHeight="1" x14ac:dyDescent="0.25">
      <c r="A969" s="7"/>
      <c r="B969" s="7"/>
      <c r="C969" s="7"/>
      <c r="D969" s="14"/>
      <c r="E969" s="14"/>
      <c r="F969" s="7"/>
      <c r="G969" s="14"/>
      <c r="H969" s="14"/>
      <c r="I969" s="7"/>
      <c r="J969" s="14"/>
      <c r="K969" s="240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spans="1:27" ht="19.5" customHeight="1" x14ac:dyDescent="0.25">
      <c r="A970" s="7"/>
      <c r="B970" s="7"/>
      <c r="C970" s="7"/>
      <c r="D970" s="14"/>
      <c r="E970" s="14"/>
      <c r="F970" s="7"/>
      <c r="G970" s="14"/>
      <c r="H970" s="14"/>
      <c r="I970" s="7"/>
      <c r="J970" s="14"/>
      <c r="K970" s="240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spans="1:27" ht="19.5" customHeight="1" x14ac:dyDescent="0.25">
      <c r="A971" s="7"/>
      <c r="B971" s="7"/>
      <c r="C971" s="7"/>
      <c r="D971" s="14"/>
      <c r="E971" s="14"/>
      <c r="F971" s="7"/>
      <c r="G971" s="14"/>
      <c r="H971" s="14"/>
      <c r="I971" s="7"/>
      <c r="J971" s="14"/>
      <c r="K971" s="240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spans="1:27" ht="19.5" customHeight="1" x14ac:dyDescent="0.25">
      <c r="A972" s="7"/>
      <c r="B972" s="7"/>
      <c r="C972" s="7"/>
      <c r="D972" s="14"/>
      <c r="E972" s="14"/>
      <c r="F972" s="7"/>
      <c r="G972" s="14"/>
      <c r="H972" s="14"/>
      <c r="I972" s="7"/>
      <c r="J972" s="14"/>
      <c r="K972" s="240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spans="1:27" ht="19.5" customHeight="1" x14ac:dyDescent="0.25">
      <c r="A973" s="7"/>
      <c r="B973" s="7"/>
      <c r="C973" s="7"/>
      <c r="D973" s="14"/>
      <c r="E973" s="14"/>
      <c r="F973" s="7"/>
      <c r="G973" s="14"/>
      <c r="H973" s="14"/>
      <c r="I973" s="7"/>
      <c r="J973" s="14"/>
      <c r="K973" s="240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spans="1:27" ht="19.5" customHeight="1" x14ac:dyDescent="0.25">
      <c r="A974" s="7"/>
      <c r="B974" s="7"/>
      <c r="C974" s="7"/>
      <c r="D974" s="14"/>
      <c r="E974" s="14"/>
      <c r="F974" s="7"/>
      <c r="G974" s="14"/>
      <c r="H974" s="14"/>
      <c r="I974" s="7"/>
      <c r="J974" s="14"/>
      <c r="K974" s="240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spans="1:27" ht="19.5" customHeight="1" x14ac:dyDescent="0.25">
      <c r="A975" s="7"/>
      <c r="B975" s="7"/>
      <c r="C975" s="7"/>
      <c r="D975" s="14"/>
      <c r="E975" s="14"/>
      <c r="F975" s="7"/>
      <c r="G975" s="14"/>
      <c r="H975" s="14"/>
      <c r="I975" s="7"/>
      <c r="J975" s="14"/>
      <c r="K975" s="240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spans="1:27" ht="19.5" customHeight="1" x14ac:dyDescent="0.25">
      <c r="A976" s="7"/>
      <c r="B976" s="7"/>
      <c r="C976" s="7"/>
      <c r="D976" s="14"/>
      <c r="E976" s="14"/>
      <c r="F976" s="7"/>
      <c r="G976" s="14"/>
      <c r="H976" s="14"/>
      <c r="I976" s="7"/>
      <c r="J976" s="14"/>
      <c r="K976" s="240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spans="1:27" ht="19.5" customHeight="1" x14ac:dyDescent="0.25">
      <c r="A977" s="7"/>
      <c r="B977" s="7"/>
      <c r="C977" s="7"/>
      <c r="D977" s="14"/>
      <c r="E977" s="14"/>
      <c r="F977" s="7"/>
      <c r="G977" s="14"/>
      <c r="H977" s="14"/>
      <c r="I977" s="7"/>
      <c r="J977" s="14"/>
      <c r="K977" s="240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spans="1:27" ht="19.5" customHeight="1" x14ac:dyDescent="0.25">
      <c r="A978" s="7"/>
      <c r="B978" s="7"/>
      <c r="C978" s="7"/>
      <c r="D978" s="14"/>
      <c r="E978" s="14"/>
      <c r="F978" s="7"/>
      <c r="G978" s="14"/>
      <c r="H978" s="14"/>
      <c r="I978" s="7"/>
      <c r="J978" s="14"/>
      <c r="K978" s="240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spans="1:27" ht="19.5" customHeight="1" x14ac:dyDescent="0.25">
      <c r="A979" s="7"/>
      <c r="B979" s="7"/>
      <c r="C979" s="7"/>
      <c r="D979" s="14"/>
      <c r="E979" s="14"/>
      <c r="F979" s="7"/>
      <c r="G979" s="14"/>
      <c r="H979" s="14"/>
      <c r="I979" s="7"/>
      <c r="J979" s="14"/>
      <c r="K979" s="240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spans="1:27" ht="19.5" customHeight="1" x14ac:dyDescent="0.25">
      <c r="A980" s="7"/>
      <c r="B980" s="7"/>
      <c r="C980" s="7"/>
      <c r="D980" s="14"/>
      <c r="E980" s="14"/>
      <c r="F980" s="7"/>
      <c r="G980" s="14"/>
      <c r="H980" s="14"/>
      <c r="I980" s="7"/>
      <c r="J980" s="14"/>
      <c r="K980" s="240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spans="1:27" ht="19.5" customHeight="1" x14ac:dyDescent="0.25">
      <c r="A981" s="7"/>
      <c r="B981" s="7"/>
      <c r="C981" s="7"/>
      <c r="D981" s="14"/>
      <c r="E981" s="14"/>
      <c r="F981" s="7"/>
      <c r="G981" s="14"/>
      <c r="H981" s="14"/>
      <c r="I981" s="7"/>
      <c r="J981" s="14"/>
      <c r="K981" s="240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spans="1:27" ht="19.5" customHeight="1" x14ac:dyDescent="0.25">
      <c r="A982" s="7"/>
      <c r="B982" s="7"/>
      <c r="C982" s="7"/>
      <c r="D982" s="14"/>
      <c r="E982" s="14"/>
      <c r="F982" s="7"/>
      <c r="G982" s="14"/>
      <c r="H982" s="14"/>
      <c r="I982" s="7"/>
      <c r="J982" s="14"/>
      <c r="K982" s="240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spans="1:27" ht="19.5" customHeight="1" x14ac:dyDescent="0.25">
      <c r="A983" s="7"/>
      <c r="B983" s="7"/>
      <c r="C983" s="7"/>
      <c r="D983" s="14"/>
      <c r="E983" s="14"/>
      <c r="F983" s="7"/>
      <c r="G983" s="14"/>
      <c r="H983" s="14"/>
      <c r="I983" s="7"/>
      <c r="J983" s="14"/>
      <c r="K983" s="240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spans="1:27" ht="19.5" customHeight="1" x14ac:dyDescent="0.25">
      <c r="A984" s="7"/>
      <c r="B984" s="7"/>
      <c r="C984" s="7"/>
      <c r="D984" s="14"/>
      <c r="E984" s="14"/>
      <c r="F984" s="7"/>
      <c r="G984" s="14"/>
      <c r="H984" s="14"/>
      <c r="I984" s="7"/>
      <c r="J984" s="14"/>
      <c r="K984" s="240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spans="1:27" ht="19.5" customHeight="1" x14ac:dyDescent="0.25">
      <c r="A985" s="7"/>
      <c r="B985" s="7"/>
      <c r="C985" s="7"/>
      <c r="D985" s="14"/>
      <c r="E985" s="14"/>
      <c r="F985" s="7"/>
      <c r="G985" s="14"/>
      <c r="H985" s="14"/>
      <c r="I985" s="7"/>
      <c r="J985" s="14"/>
      <c r="K985" s="240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spans="1:27" ht="19.5" customHeight="1" x14ac:dyDescent="0.25">
      <c r="A986" s="7"/>
      <c r="B986" s="7"/>
      <c r="C986" s="7"/>
      <c r="D986" s="14"/>
      <c r="E986" s="14"/>
      <c r="F986" s="7"/>
      <c r="G986" s="14"/>
      <c r="H986" s="14"/>
      <c r="I986" s="7"/>
      <c r="J986" s="14"/>
      <c r="K986" s="240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spans="1:27" ht="19.5" customHeight="1" x14ac:dyDescent="0.25">
      <c r="A987" s="7"/>
      <c r="B987" s="7"/>
      <c r="C987" s="7"/>
      <c r="D987" s="14"/>
      <c r="E987" s="14"/>
      <c r="F987" s="7"/>
      <c r="G987" s="14"/>
      <c r="H987" s="14"/>
      <c r="I987" s="7"/>
      <c r="J987" s="14"/>
      <c r="K987" s="240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spans="1:27" ht="19.5" customHeight="1" x14ac:dyDescent="0.25">
      <c r="A988" s="7"/>
      <c r="B988" s="7"/>
      <c r="C988" s="7"/>
      <c r="D988" s="14"/>
      <c r="E988" s="14"/>
      <c r="F988" s="7"/>
      <c r="G988" s="14"/>
      <c r="H988" s="14"/>
      <c r="I988" s="7"/>
      <c r="J988" s="14"/>
      <c r="K988" s="240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spans="1:27" ht="19.5" customHeight="1" x14ac:dyDescent="0.25">
      <c r="A989" s="7"/>
      <c r="B989" s="7"/>
      <c r="C989" s="7"/>
      <c r="D989" s="14"/>
      <c r="E989" s="14"/>
      <c r="F989" s="7"/>
      <c r="G989" s="14"/>
      <c r="H989" s="14"/>
      <c r="I989" s="7"/>
      <c r="J989" s="14"/>
      <c r="K989" s="240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spans="1:27" ht="19.5" customHeight="1" x14ac:dyDescent="0.25">
      <c r="A990" s="7"/>
      <c r="B990" s="7"/>
      <c r="C990" s="7"/>
      <c r="D990" s="14"/>
      <c r="E990" s="14"/>
      <c r="F990" s="7"/>
      <c r="G990" s="14"/>
      <c r="H990" s="14"/>
      <c r="I990" s="7"/>
      <c r="J990" s="14"/>
      <c r="K990" s="240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spans="1:27" ht="19.5" customHeight="1" x14ac:dyDescent="0.25">
      <c r="A991" s="7"/>
      <c r="B991" s="7"/>
      <c r="C991" s="7"/>
      <c r="D991" s="14"/>
      <c r="E991" s="14"/>
      <c r="F991" s="7"/>
      <c r="G991" s="14"/>
      <c r="H991" s="14"/>
      <c r="I991" s="7"/>
      <c r="J991" s="14"/>
      <c r="K991" s="240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spans="1:27" ht="19.5" customHeight="1" x14ac:dyDescent="0.25">
      <c r="A992" s="7"/>
      <c r="B992" s="7"/>
      <c r="C992" s="7"/>
      <c r="D992" s="14"/>
      <c r="E992" s="14"/>
      <c r="F992" s="7"/>
      <c r="G992" s="14"/>
      <c r="H992" s="14"/>
      <c r="I992" s="7"/>
      <c r="J992" s="14"/>
      <c r="K992" s="240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spans="1:27" ht="19.5" customHeight="1" x14ac:dyDescent="0.25">
      <c r="A993" s="7"/>
      <c r="B993" s="7"/>
      <c r="C993" s="7"/>
      <c r="D993" s="14"/>
      <c r="E993" s="14"/>
      <c r="F993" s="7"/>
      <c r="G993" s="14"/>
      <c r="H993" s="14"/>
      <c r="I993" s="7"/>
      <c r="J993" s="14"/>
      <c r="K993" s="240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spans="1:27" ht="19.5" customHeight="1" x14ac:dyDescent="0.25">
      <c r="A994" s="7"/>
      <c r="B994" s="7"/>
      <c r="C994" s="7"/>
      <c r="D994" s="14"/>
      <c r="E994" s="14"/>
      <c r="F994" s="7"/>
      <c r="G994" s="14"/>
      <c r="H994" s="14"/>
      <c r="I994" s="7"/>
      <c r="J994" s="14"/>
      <c r="K994" s="240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spans="1:27" ht="19.5" customHeight="1" x14ac:dyDescent="0.25">
      <c r="A995" s="7"/>
      <c r="B995" s="7"/>
      <c r="C995" s="7"/>
      <c r="D995" s="14"/>
      <c r="E995" s="14"/>
      <c r="F995" s="7"/>
      <c r="G995" s="14"/>
      <c r="H995" s="14"/>
      <c r="I995" s="7"/>
      <c r="J995" s="14"/>
      <c r="K995" s="240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spans="1:27" ht="19.5" customHeight="1" x14ac:dyDescent="0.25">
      <c r="A996" s="7"/>
      <c r="B996" s="7"/>
      <c r="C996" s="7"/>
      <c r="D996" s="14"/>
      <c r="E996" s="14"/>
      <c r="F996" s="7"/>
      <c r="G996" s="14"/>
      <c r="H996" s="14"/>
      <c r="I996" s="7"/>
      <c r="J996" s="14"/>
      <c r="K996" s="240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spans="1:27" ht="19.5" customHeight="1" x14ac:dyDescent="0.25">
      <c r="A997" s="7"/>
      <c r="B997" s="7"/>
      <c r="C997" s="7"/>
      <c r="D997" s="14"/>
      <c r="E997" s="14"/>
      <c r="F997" s="7"/>
      <c r="G997" s="14"/>
      <c r="H997" s="14"/>
      <c r="I997" s="7"/>
      <c r="J997" s="14"/>
      <c r="K997" s="240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spans="1:27" ht="19.5" customHeight="1" x14ac:dyDescent="0.25">
      <c r="A998" s="7"/>
      <c r="B998" s="7"/>
      <c r="C998" s="7"/>
      <c r="D998" s="14"/>
      <c r="E998" s="14"/>
      <c r="F998" s="7"/>
      <c r="G998" s="14"/>
      <c r="H998" s="14"/>
      <c r="I998" s="7"/>
      <c r="J998" s="14"/>
      <c r="K998" s="240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spans="1:27" ht="19.5" customHeight="1" x14ac:dyDescent="0.25">
      <c r="A999" s="7"/>
      <c r="B999" s="7"/>
      <c r="C999" s="7"/>
      <c r="D999" s="14"/>
      <c r="E999" s="14"/>
      <c r="F999" s="7"/>
      <c r="G999" s="14"/>
      <c r="H999" s="14"/>
      <c r="I999" s="7"/>
      <c r="J999" s="14"/>
      <c r="K999" s="240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spans="1:27" ht="19.5" customHeight="1" x14ac:dyDescent="0.25">
      <c r="A1000" s="7"/>
      <c r="B1000" s="7"/>
      <c r="C1000" s="7"/>
      <c r="D1000" s="14"/>
      <c r="E1000" s="14"/>
      <c r="F1000" s="7"/>
      <c r="G1000" s="14"/>
      <c r="H1000" s="14"/>
      <c r="I1000" s="7"/>
      <c r="J1000" s="14"/>
      <c r="K1000" s="240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 spans="1:27" ht="19.5" customHeight="1" x14ac:dyDescent="0.25">
      <c r="A1001" s="7"/>
      <c r="B1001" s="7"/>
      <c r="C1001" s="7"/>
      <c r="D1001" s="14"/>
      <c r="E1001" s="14"/>
      <c r="F1001" s="7"/>
      <c r="G1001" s="14"/>
      <c r="H1001" s="14"/>
      <c r="I1001" s="7"/>
      <c r="J1001" s="14"/>
      <c r="K1001" s="240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  <row r="1002" spans="1:27" ht="15" customHeight="1" x14ac:dyDescent="0.25">
      <c r="A1002" s="7"/>
      <c r="B1002" s="7"/>
      <c r="C1002" s="7"/>
      <c r="D1002" s="14"/>
      <c r="E1002" s="14"/>
      <c r="F1002" s="7"/>
      <c r="G1002" s="14"/>
      <c r="H1002" s="14"/>
      <c r="I1002" s="7"/>
      <c r="J1002" s="14"/>
      <c r="K1002" s="240"/>
      <c r="L1002" s="7"/>
    </row>
    <row r="1003" spans="1:27" ht="15" customHeight="1" x14ac:dyDescent="0.25">
      <c r="L1003" s="7"/>
    </row>
  </sheetData>
  <mergeCells count="20">
    <mergeCell ref="I1:J1"/>
    <mergeCell ref="K1:K2"/>
    <mergeCell ref="B1:E1"/>
    <mergeCell ref="F1:H1"/>
    <mergeCell ref="Z7:AA7"/>
    <mergeCell ref="Z8:AA8"/>
    <mergeCell ref="T7:U7"/>
    <mergeCell ref="P8:Q8"/>
    <mergeCell ref="P7:Q7"/>
    <mergeCell ref="R8:S8"/>
    <mergeCell ref="R7:S7"/>
    <mergeCell ref="X8:Y8"/>
    <mergeCell ref="X7:Y7"/>
    <mergeCell ref="T8:U8"/>
    <mergeCell ref="P13:Q13"/>
    <mergeCell ref="T13:U13"/>
    <mergeCell ref="R13:S13"/>
    <mergeCell ref="M7:N7"/>
    <mergeCell ref="M8:N8"/>
    <mergeCell ref="M13:N13"/>
  </mergeCells>
  <pageMargins left="0.511811024" right="0.511811024" top="0.78740157499999996" bottom="0.78740157499999996" header="0" footer="0"/>
  <pageSetup paperSize="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AI952"/>
  <sheetViews>
    <sheetView showGridLines="0" tabSelected="1" zoomScale="70" zoomScaleNormal="70" workbookViewId="0">
      <pane ySplit="2" topLeftCell="A3" activePane="bottomLeft" state="frozen"/>
      <selection activeCell="X36" sqref="X36:AD36"/>
      <selection pane="bottomLeft" activeCell="D20" sqref="D4:D20"/>
    </sheetView>
  </sheetViews>
  <sheetFormatPr defaultColWidth="14.42578125" defaultRowHeight="15" customHeight="1" outlineLevelCol="1" x14ac:dyDescent="0.25"/>
  <cols>
    <col min="1" max="1" width="48.28515625" customWidth="1" collapsed="1"/>
    <col min="2" max="2" width="22.28515625" hidden="1" customWidth="1" outlineLevel="1"/>
    <col min="3" max="3" width="15.42578125" hidden="1" customWidth="1" outlineLevel="1"/>
    <col min="4" max="4" width="25" customWidth="1"/>
    <col min="5" max="5" width="16.85546875" customWidth="1" collapsed="1"/>
    <col min="6" max="6" width="21.7109375" hidden="1" customWidth="1" outlineLevel="1"/>
    <col min="7" max="7" width="24.140625" style="49" customWidth="1" collapsed="1"/>
    <col min="8" max="8" width="27.28515625" style="49" hidden="1" customWidth="1" outlineLevel="1"/>
    <col min="9" max="9" width="76.7109375" style="263" customWidth="1"/>
    <col min="10" max="10" width="27.85546875" customWidth="1"/>
    <col min="11" max="11" width="29.28515625" customWidth="1"/>
    <col min="12" max="12" width="11.7109375" customWidth="1"/>
    <col min="13" max="15" width="9.140625" customWidth="1"/>
    <col min="16" max="16" width="10.85546875" customWidth="1"/>
    <col min="17" max="28" width="9.140625" customWidth="1"/>
  </cols>
  <sheetData>
    <row r="1" spans="1:31" ht="21.6" customHeight="1" x14ac:dyDescent="0.6">
      <c r="A1" s="501" t="s">
        <v>0</v>
      </c>
      <c r="B1" s="503" t="s">
        <v>834</v>
      </c>
      <c r="C1" s="504"/>
      <c r="D1" s="503" t="s">
        <v>835</v>
      </c>
      <c r="E1" s="504"/>
      <c r="F1" s="497" t="s">
        <v>828</v>
      </c>
      <c r="G1" s="250" t="s">
        <v>1</v>
      </c>
      <c r="H1" s="250" t="s">
        <v>862</v>
      </c>
      <c r="I1" s="497" t="s">
        <v>829</v>
      </c>
      <c r="J1" s="1" t="s">
        <v>1085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31" ht="22.15" customHeight="1" x14ac:dyDescent="0.6">
      <c r="A2" s="502"/>
      <c r="B2" s="59" t="s">
        <v>2</v>
      </c>
      <c r="C2" s="56" t="s">
        <v>3</v>
      </c>
      <c r="D2" s="59" t="s">
        <v>2</v>
      </c>
      <c r="E2" s="56" t="s">
        <v>3</v>
      </c>
      <c r="F2" s="497"/>
      <c r="G2" s="251" t="s">
        <v>3</v>
      </c>
      <c r="H2" s="251" t="s">
        <v>3</v>
      </c>
      <c r="I2" s="49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 ht="19.5" customHeight="1" x14ac:dyDescent="0.25">
      <c r="A3" s="34" t="str">
        <f>ORÇAMENTO_EXECUTIVO!A3</f>
        <v>GERENCIAMENTO TÉCNICO E ADMINISTRATIVO</v>
      </c>
      <c r="B3" s="70">
        <f>ORÇAMENTO_EXECUTIVO!B3</f>
        <v>2289625.9</v>
      </c>
      <c r="C3" s="19">
        <f>ORÇAMENTO_EXECUTIVO!E3</f>
        <v>310</v>
      </c>
      <c r="D3" s="70">
        <f>ORÇAMENTO_EXECUTIVO!F3</f>
        <v>3411276.8600000003</v>
      </c>
      <c r="E3" s="19">
        <f>ORÇAMENTO_EXECUTIVO!H3</f>
        <v>462.59744947912856</v>
      </c>
      <c r="F3" s="247">
        <f>D3-B3</f>
        <v>1121650.9600000004</v>
      </c>
      <c r="G3" s="252" t="str">
        <f>FIXED(CÁLCULO_MÉDIAS!N8,2,FALSE)&amp;" "&amp;"-"&amp;FIXED(CÁLCULO_MÉDIAS!O8,2,FALSE)</f>
        <v>330,00 -380,00</v>
      </c>
      <c r="H3" s="252"/>
      <c r="I3" s="254" t="s">
        <v>863</v>
      </c>
      <c r="J3" s="7"/>
      <c r="K3" s="3"/>
      <c r="L3" s="4"/>
      <c r="M3" s="5"/>
      <c r="N3" s="3"/>
      <c r="O3" s="4"/>
      <c r="P3" s="4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31" ht="19.5" customHeight="1" x14ac:dyDescent="0.25">
      <c r="A4" s="35" t="str">
        <f>ORÇAMENTO_EXECUTIVO!A4</f>
        <v>MOVIMENTAÇÃO DE TERRA</v>
      </c>
      <c r="B4" s="69">
        <f>ORÇAMENTO_EXECUTIVO!B4</f>
        <v>239687.72425816159</v>
      </c>
      <c r="C4" s="20">
        <f>ORÇAMENTO_EXECUTIVO!E4</f>
        <v>32.452111290333541</v>
      </c>
      <c r="D4" s="69">
        <f>ORÇAMENTO_EXECUTIVO!F4</f>
        <v>117226.62</v>
      </c>
      <c r="E4" s="20">
        <f>ORÇAMENTO_EXECUTIVO!H4</f>
        <v>15.896902435253816</v>
      </c>
      <c r="F4" s="248">
        <f t="shared" ref="F4:F19" si="0">D4-B4</f>
        <v>-122461.10425816159</v>
      </c>
      <c r="G4" s="248" t="str">
        <f>FIXED(CÁLCULO_MÉDIAS!N9,2,FALSE)&amp;" "&amp;"-"&amp;FIXED(CÁLCULO_MÉDIAS!O9,2,FALSE)</f>
        <v>6,00 -20,00</v>
      </c>
      <c r="H4" s="248" t="s">
        <v>992</v>
      </c>
      <c r="I4" s="253" t="s">
        <v>863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31" ht="19.5" customHeight="1" x14ac:dyDescent="0.25">
      <c r="A5" s="34" t="str">
        <f>ORÇAMENTO_EXECUTIVO!A5</f>
        <v xml:space="preserve">	CONTENÇÃO</v>
      </c>
      <c r="B5" s="70">
        <f>ORÇAMENTO_EXECUTIVO!B5</f>
        <v>0</v>
      </c>
      <c r="C5" s="19">
        <f>ORÇAMENTO_EXECUTIVO!E5</f>
        <v>0</v>
      </c>
      <c r="D5" s="70">
        <f>ORÇAMENTO_EXECUTIVO!F5</f>
        <v>422085.8</v>
      </c>
      <c r="E5" s="19">
        <f>ORÇAMENTO_EXECUTIVO!H5</f>
        <v>57.238337008318211</v>
      </c>
      <c r="F5" s="247">
        <f t="shared" ref="F5" si="1">D5-B5</f>
        <v>422085.8</v>
      </c>
      <c r="G5" s="252" t="s">
        <v>991</v>
      </c>
      <c r="H5" s="252"/>
      <c r="I5" s="254" t="s">
        <v>863</v>
      </c>
      <c r="J5" s="3" t="s">
        <v>1009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31" ht="19.5" customHeight="1" x14ac:dyDescent="0.25">
      <c r="A6" s="35" t="str">
        <f>ORÇAMENTO_EXECUTIVO!A6</f>
        <v>INFRAESTRUTURA</v>
      </c>
      <c r="B6" s="69">
        <f>ORÇAMENTO_EXECUTIVO!B6</f>
        <v>1500018.3</v>
      </c>
      <c r="C6" s="20">
        <f>ORÇAMENTO_EXECUTIVO!E6</f>
        <v>203.0924235264809</v>
      </c>
      <c r="D6" s="69">
        <f>ORÇAMENTO_EXECUTIVO!F6</f>
        <v>1278806.1499999999</v>
      </c>
      <c r="E6" s="20">
        <f>ORÇAMENTO_EXECUTIVO!H6</f>
        <v>173.41672565627633</v>
      </c>
      <c r="F6" s="248">
        <f t="shared" si="0"/>
        <v>-221212.15000000014</v>
      </c>
      <c r="G6" s="248" t="str">
        <f>FIXED(CÁLCULO_MÉDIAS!N10,2,FALSE)&amp;" "&amp;"-"&amp;FIXED(CÁLCULO_MÉDIAS!O10,2,FALSE)</f>
        <v>160,00 -180,00</v>
      </c>
      <c r="H6" s="248" t="s">
        <v>993</v>
      </c>
      <c r="I6" s="253" t="s">
        <v>863</v>
      </c>
      <c r="J6" s="7"/>
      <c r="K6" s="3"/>
      <c r="L6" s="4"/>
      <c r="M6" s="5"/>
      <c r="N6" s="3"/>
      <c r="O6" s="4"/>
      <c r="P6" s="4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31" ht="19.5" customHeight="1" x14ac:dyDescent="0.25">
      <c r="A7" s="34" t="str">
        <f>ORÇAMENTO_EXECUTIVO!A7</f>
        <v>SUPRAESTRUTURA</v>
      </c>
      <c r="B7" s="70">
        <f>ORÇAMENTO_EXECUTIVO!B7</f>
        <v>4913547.75</v>
      </c>
      <c r="C7" s="19">
        <f>ORÇAMENTO_EXECUTIVO!E7</f>
        <v>665.26143091760093</v>
      </c>
      <c r="D7" s="70">
        <f>ORÇAMENTO_EXECUTIVO!F7</f>
        <v>5154482.22</v>
      </c>
      <c r="E7" s="19">
        <f>ORÇAMENTO_EXECUTIVO!H7</f>
        <v>698.99056166244918</v>
      </c>
      <c r="F7" s="247">
        <f t="shared" si="0"/>
        <v>240934.46999999974</v>
      </c>
      <c r="G7" s="252" t="str">
        <f>FIXED(CÁLCULO_MÉDIAS!N11,2,FALSE)&amp;" "&amp;"-"&amp;FIXED(CÁLCULO_MÉDIAS!O11,2,FALSE)</f>
        <v>640,00 -670,00</v>
      </c>
      <c r="H7" s="252" t="s">
        <v>994</v>
      </c>
      <c r="I7" s="254" t="s">
        <v>863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31" ht="19.149999999999999" customHeight="1" x14ac:dyDescent="0.25">
      <c r="A8" s="35" t="str">
        <f>ORÇAMENTO_EXECUTIVO!A8</f>
        <v>ALVENARIA</v>
      </c>
      <c r="B8" s="69">
        <f>ORÇAMENTO_EXECUTIVO!B8</f>
        <v>976885.48124999995</v>
      </c>
      <c r="C8" s="20">
        <f>ORÇAMENTO_EXECUTIVO!E8</f>
        <v>132.26374631222507</v>
      </c>
      <c r="D8" s="69">
        <f>ORÇAMENTO_EXECUTIVO!F8</f>
        <v>910813.58</v>
      </c>
      <c r="E8" s="20">
        <f>ORÇAMENTO_EXECUTIVO!H8</f>
        <v>123.51387950931492</v>
      </c>
      <c r="F8" s="248">
        <f t="shared" si="0"/>
        <v>-66071.901249999995</v>
      </c>
      <c r="G8" s="248" t="str">
        <f>FIXED(CÁLCULO_MÉDIAS!N12,2,FALSE)&amp;" "&amp;"-"&amp;FIXED(CÁLCULO_MÉDIAS!O12,2,FALSE)</f>
        <v>115,00 -150,00</v>
      </c>
      <c r="H8" s="248" t="s">
        <v>995</v>
      </c>
      <c r="I8" s="253" t="s">
        <v>863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31" ht="19.5" customHeight="1" x14ac:dyDescent="0.25">
      <c r="A9" s="34" t="str">
        <f>ORÇAMENTO_EXECUTIVO!A9</f>
        <v>INSTALAÇÕES ELÉTRICAS, HIDRÁULICAS, GLP E PREVENTIVAS</v>
      </c>
      <c r="B9" s="70">
        <f>ORÇAMENTO_EXECUTIVO!B9</f>
        <v>2460414.25</v>
      </c>
      <c r="C9" s="19">
        <f>ORÇAMENTO_EXECUTIVO!E9</f>
        <v>333.12359783316566</v>
      </c>
      <c r="D9" s="70">
        <f>ORÇAMENTO_EXECUTIVO!F9</f>
        <v>2870107.33</v>
      </c>
      <c r="E9" s="19">
        <f>ORÇAMENTO_EXECUTIVO!H9</f>
        <v>389.21037050899218</v>
      </c>
      <c r="F9" s="247">
        <f t="shared" si="0"/>
        <v>409693.08000000007</v>
      </c>
      <c r="G9" s="252" t="str">
        <f>FIXED(CÁLCULO_MÉDIAS!N13,2,FALSE)&amp;" "&amp;"-"&amp;FIXED(CÁLCULO_MÉDIAS!O13,2,FALSE)</f>
        <v>330,00 -350,00</v>
      </c>
      <c r="H9" s="252" t="s">
        <v>996</v>
      </c>
      <c r="I9" s="254" t="s">
        <v>1041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E9" t="s">
        <v>34</v>
      </c>
    </row>
    <row r="10" spans="1:31" ht="19.5" customHeight="1" x14ac:dyDescent="0.25">
      <c r="A10" s="35" t="str">
        <f>ORÇAMENTO_EXECUTIVO!A10</f>
        <v>EQUIPAMENTOS E SISTEMAS ESPECIAIS</v>
      </c>
      <c r="B10" s="71">
        <f>ORÇAMENTO_EXECUTIVO!B10</f>
        <v>1080588.3500000001</v>
      </c>
      <c r="C10" s="20">
        <f>ORÇAMENTO_EXECUTIVO!E10</f>
        <v>146.30441964340113</v>
      </c>
      <c r="D10" s="71">
        <f>ORÇAMENTO_EXECUTIVO!F10</f>
        <v>1034381.32</v>
      </c>
      <c r="E10" s="20">
        <f>ORÇAMENTO_EXECUTIVO!H10</f>
        <v>140.27069043608915</v>
      </c>
      <c r="F10" s="248">
        <f t="shared" si="0"/>
        <v>-46207.030000000144</v>
      </c>
      <c r="G10" s="248" t="str">
        <f>FIXED(CÁLCULO_MÉDIAS!N14,2,FALSE)&amp;" "&amp;"-"&amp;FIXED(CÁLCULO_MÉDIAS!O14,2,FALSE)</f>
        <v>120,00 -165,00</v>
      </c>
      <c r="H10" s="248" t="s">
        <v>997</v>
      </c>
      <c r="I10" s="253" t="s">
        <v>863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E10" t="s">
        <v>35</v>
      </c>
    </row>
    <row r="11" spans="1:31" ht="19.5" customHeight="1" x14ac:dyDescent="0.25">
      <c r="A11" s="34" t="str">
        <f>ORÇAMENTO_EXECUTIVO!A11</f>
        <v>IMPERMEABILIZAÇÃO</v>
      </c>
      <c r="B11" s="70">
        <f>ORÇAMENTO_EXECUTIVO!B11</f>
        <v>412732.29300000001</v>
      </c>
      <c r="C11" s="19">
        <f>ORÇAMENTO_EXECUTIVO!E11</f>
        <v>55.881186018204978</v>
      </c>
      <c r="D11" s="70">
        <f>ORÇAMENTO_EXECUTIVO!F11</f>
        <v>482376.84</v>
      </c>
      <c r="E11" s="19">
        <f>ORÇAMENTO_EXECUTIVO!H11</f>
        <v>65.414302335988538</v>
      </c>
      <c r="F11" s="247">
        <f t="shared" si="0"/>
        <v>69644.54700000002</v>
      </c>
      <c r="G11" s="252" t="str">
        <f>FIXED(CÁLCULO_MÉDIAS!N15,2,FALSE)&amp;" "&amp;"-"&amp;FIXED(CÁLCULO_MÉDIAS!O15,2,FALSE)</f>
        <v>40,00 -75,00</v>
      </c>
      <c r="H11" s="252" t="s">
        <v>998</v>
      </c>
      <c r="I11" s="254" t="s">
        <v>863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31" ht="19.5" customHeight="1" x14ac:dyDescent="0.25">
      <c r="A12" s="35" t="str">
        <f>ORÇAMENTO_EXECUTIVO!A12</f>
        <v>REVESTIMENTOS INTERNOS EM PISO E PAREDE</v>
      </c>
      <c r="B12" s="69">
        <f>ORÇAMENTO_EXECUTIVO!B12</f>
        <v>1113794.7525000002</v>
      </c>
      <c r="C12" s="20">
        <f>ORÇAMENTO_EXECUTIVO!E12</f>
        <v>150.80034396667159</v>
      </c>
      <c r="D12" s="69">
        <f>ORÇAMENTO_EXECUTIVO!F12</f>
        <v>1137180.2600000002</v>
      </c>
      <c r="E12" s="20">
        <f>ORÇAMENTO_EXECUTIVO!H12</f>
        <v>154.21107974039151</v>
      </c>
      <c r="F12" s="248">
        <f t="shared" si="0"/>
        <v>23385.507500000065</v>
      </c>
      <c r="G12" s="248" t="str">
        <f>FIXED(CÁLCULO_MÉDIAS!N16,2,FALSE)&amp;" "&amp;"-"&amp;FIXED(CÁLCULO_MÉDIAS!O16,2,FALSE)</f>
        <v>140,00 -170,00</v>
      </c>
      <c r="H12" s="248" t="s">
        <v>999</v>
      </c>
      <c r="I12" s="253" t="s">
        <v>863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31" ht="19.5" customHeight="1" x14ac:dyDescent="0.25">
      <c r="A13" s="34" t="str">
        <f>ORÇAMENTO_EXECUTIVO!A13</f>
        <v>REVESTIMENTOS E ACABAMENTOS INTERNOS EM TETO</v>
      </c>
      <c r="B13" s="70">
        <f>ORÇAMENTO_EXECUTIVO!B13</f>
        <v>860184.98599999992</v>
      </c>
      <c r="C13" s="19">
        <f>ORÇAMENTO_EXECUTIVO!E13</f>
        <v>116.46328147318737</v>
      </c>
      <c r="D13" s="70">
        <f>ORÇAMENTO_EXECUTIVO!F13</f>
        <v>405459.35</v>
      </c>
      <c r="E13" s="19">
        <f>ORÇAMENTO_EXECUTIVO!H13</f>
        <v>54.98365241965886</v>
      </c>
      <c r="F13" s="247">
        <f t="shared" si="0"/>
        <v>-454725.63599999994</v>
      </c>
      <c r="G13" s="252" t="str">
        <f>FIXED(CÁLCULO_MÉDIAS!N17,2,FALSE)&amp;" "&amp;"-"&amp;FIXED(CÁLCULO_MÉDIAS!O17,2,FALSE)</f>
        <v>50,00 -65,00</v>
      </c>
      <c r="H13" s="252" t="s">
        <v>1000</v>
      </c>
      <c r="I13" s="254" t="s">
        <v>863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31" ht="19.5" customHeight="1" x14ac:dyDescent="0.25">
      <c r="A14" s="35" t="str">
        <f>ORÇAMENTO_EXECUTIVO!A14</f>
        <v>ACABAMENTOS EM PISO E PAREDE</v>
      </c>
      <c r="B14" s="69">
        <f>ORÇAMENTO_EXECUTIVO!B14</f>
        <v>1461063.35</v>
      </c>
      <c r="C14" s="20">
        <f>ORÇAMENTO_EXECUTIVO!E14</f>
        <v>197.81818440296294</v>
      </c>
      <c r="D14" s="69">
        <f>ORÇAMENTO_EXECUTIVO!F14</f>
        <v>1784513.6700000002</v>
      </c>
      <c r="E14" s="20">
        <f>ORÇAMENTO_EXECUTIVO!H14</f>
        <v>241.99486180158337</v>
      </c>
      <c r="F14" s="248">
        <f t="shared" si="0"/>
        <v>323450.32000000007</v>
      </c>
      <c r="G14" s="248" t="str">
        <f>FIXED(CÁLCULO_MÉDIAS!N18,2,FALSE)&amp;" "&amp;"-"&amp;FIXED(CÁLCULO_MÉDIAS!O18,2,FALSE)</f>
        <v>140,00 -210,00</v>
      </c>
      <c r="H14" s="248" t="s">
        <v>1001</v>
      </c>
      <c r="I14" s="253" t="s">
        <v>861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31" ht="19.5" customHeight="1" x14ac:dyDescent="0.25">
      <c r="A15" s="34" t="str">
        <f>ORÇAMENTO_EXECUTIVO!A15</f>
        <v>PINTURA INTERNA</v>
      </c>
      <c r="B15" s="70">
        <f>ORÇAMENTO_EXECUTIVO!B15</f>
        <v>876494.55</v>
      </c>
      <c r="C15" s="19">
        <f>ORÇAMENTO_EXECUTIVO!E15</f>
        <v>118.67148711935867</v>
      </c>
      <c r="D15" s="70">
        <f>ORÇAMENTO_EXECUTIVO!F15</f>
        <v>995637.62</v>
      </c>
      <c r="E15" s="19">
        <f>ORÇAMENTO_EXECUTIVO!H15</f>
        <v>135.01672321532698</v>
      </c>
      <c r="F15" s="247">
        <f t="shared" si="0"/>
        <v>119143.06999999995</v>
      </c>
      <c r="G15" s="252" t="str">
        <f>FIXED(CÁLCULO_MÉDIAS!N19,2,FALSE)&amp;" "&amp;"-"&amp;FIXED(CÁLCULO_MÉDIAS!O19,2,FALSE)</f>
        <v>120,00 -150,00</v>
      </c>
      <c r="H15" s="252" t="s">
        <v>1002</v>
      </c>
      <c r="I15" s="254"/>
      <c r="J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31" ht="19.5" customHeight="1" x14ac:dyDescent="0.25">
      <c r="A16" s="35" t="str">
        <f>ORÇAMENTO_EXECUTIVO!A16</f>
        <v>ESQUADRIAS, VIDROS E FERRAGENS</v>
      </c>
      <c r="B16" s="69">
        <f>ORÇAMENTO_EXECUTIVO!B16</f>
        <v>2361298.1</v>
      </c>
      <c r="C16" s="20">
        <f>ORÇAMENTO_EXECUTIVO!E16</f>
        <v>319.70393547697029</v>
      </c>
      <c r="D16" s="69">
        <f>ORÇAMENTO_EXECUTIVO!F16</f>
        <v>3047560.2</v>
      </c>
      <c r="E16" s="20">
        <f>ORÇAMENTO_EXECUTIVO!H16</f>
        <v>413.27445221027966</v>
      </c>
      <c r="F16" s="248">
        <f t="shared" si="0"/>
        <v>686262.10000000009</v>
      </c>
      <c r="G16" s="248" t="str">
        <f>FIXED(CÁLCULO_MÉDIAS!N20,2,FALSE)&amp;" "&amp;"-"&amp;FIXED(CÁLCULO_MÉDIAS!O20,2,FALSE)</f>
        <v>210,00 -335,00</v>
      </c>
      <c r="H16" s="248" t="s">
        <v>1003</v>
      </c>
      <c r="I16" s="253" t="s">
        <v>1008</v>
      </c>
      <c r="J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ht="19.5" customHeight="1" x14ac:dyDescent="0.25">
      <c r="A17" s="34" t="str">
        <f>ORÇAMENTO_EXECUTIVO!A17</f>
        <v>COBERTURA</v>
      </c>
      <c r="B17" s="70">
        <f>ORÇAMENTO_EXECUTIVO!B17</f>
        <v>12000</v>
      </c>
      <c r="C17" s="19">
        <f>ORÇAMENTO_EXECUTIVO!E17</f>
        <v>1.6247195666331342</v>
      </c>
      <c r="D17" s="70">
        <f>ORÇAMENTO_EXECUTIVO!F17</f>
        <v>14404.72</v>
      </c>
      <c r="E17" s="19">
        <f>ORÇAMENTO_EXECUTIVO!H17</f>
        <v>1.9533995644261462</v>
      </c>
      <c r="F17" s="247">
        <f t="shared" si="0"/>
        <v>2404.7199999999993</v>
      </c>
      <c r="G17" s="252" t="str">
        <f>FIXED(CÁLCULO_MÉDIAS!N21,2,FALSE)&amp;" "&amp;"-"&amp;FIXED(CÁLCULO_MÉDIAS!O21,2,FALSE)</f>
        <v>5,00 -12,00</v>
      </c>
      <c r="H17" s="252" t="s">
        <v>1004</v>
      </c>
      <c r="I17" s="254" t="s">
        <v>860</v>
      </c>
      <c r="J17" s="78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ht="19.5" customHeight="1" x14ac:dyDescent="0.25">
      <c r="A18" s="35" t="str">
        <f>ORÇAMENTO_EXECUTIVO!A18</f>
        <v>REVESTIMENTOS E ACABAMENTOS DE FACHADA</v>
      </c>
      <c r="B18" s="69">
        <f>ORÇAMENTO_EXECUTIVO!B18</f>
        <v>667221.89999999991</v>
      </c>
      <c r="C18" s="20">
        <f>ORÇAMENTO_EXECUTIVO!E18</f>
        <v>90.337373018011348</v>
      </c>
      <c r="D18" s="69">
        <f>ORÇAMENTO_EXECUTIVO!F18</f>
        <v>420905.94</v>
      </c>
      <c r="E18" s="20">
        <f>ORÇAMENTO_EXECUTIVO!H18</f>
        <v>57.078338201671237</v>
      </c>
      <c r="F18" s="248">
        <f t="shared" si="0"/>
        <v>-246315.9599999999</v>
      </c>
      <c r="G18" s="248" t="str">
        <f>FIXED(CÁLCULO_MÉDIAS!N22,2,FALSE)&amp;" "&amp;"-"&amp;FIXED(CÁLCULO_MÉDIAS!O22,2,FALSE)</f>
        <v>100,00 -170,00</v>
      </c>
      <c r="H18" s="248" t="s">
        <v>1005</v>
      </c>
      <c r="I18" s="284" t="s">
        <v>1042</v>
      </c>
      <c r="J18" s="78" t="s">
        <v>1007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ht="19.5" customHeight="1" x14ac:dyDescent="0.25">
      <c r="A19" s="61" t="str">
        <f>ORÇAMENTO_EXECUTIVO!A19</f>
        <v>SERVIÇOS COMPLEMENTARES</v>
      </c>
      <c r="B19" s="72">
        <f>ORÇAMENTO_EXECUTIVO!B19</f>
        <v>2170877.9299999997</v>
      </c>
      <c r="C19" s="62">
        <f>ORÇAMENTO_EXECUTIVO!E19</f>
        <v>293.92232080358622</v>
      </c>
      <c r="D19" s="72">
        <f>ORÇAMENTO_EXECUTIVO!F19</f>
        <v>1488758.11</v>
      </c>
      <c r="E19" s="62">
        <f>ORÇAMENTO_EXECUTIVO!H19</f>
        <v>201.88795364365936</v>
      </c>
      <c r="F19" s="249">
        <f t="shared" si="0"/>
        <v>-682119.8199999996</v>
      </c>
      <c r="G19" s="282" t="str">
        <f>FIXED(CÁLCULO_MÉDIAS!N23,2,FALSE)&amp;" "&amp;"-"&amp;FIXED(CÁLCULO_MÉDIAS!O23,2,FALSE)</f>
        <v>157,00 -210,00</v>
      </c>
      <c r="H19" s="282" t="s">
        <v>1006</v>
      </c>
      <c r="I19" s="287" t="s">
        <v>863</v>
      </c>
      <c r="J19" s="3" t="s">
        <v>1010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ht="19.5" customHeight="1" x14ac:dyDescent="0.25">
      <c r="A20" s="35" t="str">
        <f>ORÇAMENTO_EXECUTIVO!A20</f>
        <v>IMPREVISTOS E CONTINGENCIAS</v>
      </c>
      <c r="B20" s="69">
        <f>ORÇAMENTO_EXECUTIVO!B20</f>
        <v>491138.52294716332</v>
      </c>
      <c r="C20" s="20">
        <f>ORÇAMENTO_EXECUTIVO!E20</f>
        <v>66.496864013296062</v>
      </c>
      <c r="D20" s="69">
        <f>ORÇAMENTO_EXECUTIVO!F20</f>
        <v>699680.21938218456</v>
      </c>
      <c r="E20" s="20">
        <f>ORÇAMENTO_EXECUTIVO!H20</f>
        <v>94.882443794724907</v>
      </c>
      <c r="F20" s="248">
        <f t="shared" ref="F20" si="2">D20-B20</f>
        <v>208541.69643502124</v>
      </c>
      <c r="G20" s="248" t="s">
        <v>1084</v>
      </c>
      <c r="H20" s="248" t="s">
        <v>1005</v>
      </c>
      <c r="I20" s="284"/>
      <c r="J20" s="78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s="263" customFormat="1" ht="19.5" customHeight="1" thickBot="1" x14ac:dyDescent="0.3">
      <c r="A21" s="258" t="s">
        <v>15</v>
      </c>
      <c r="B21" s="259">
        <f>SUM(B3:B19)</f>
        <v>23396435.617008161</v>
      </c>
      <c r="C21" s="260">
        <f>SUM(C3:C19)</f>
        <v>3167.7205613687938</v>
      </c>
      <c r="D21" s="259">
        <f>SUM(D3:D20)</f>
        <v>25675656.809382189</v>
      </c>
      <c r="E21" s="260">
        <f>SUM(E3:E20)</f>
        <v>3481.8321236235333</v>
      </c>
      <c r="F21" s="261"/>
      <c r="G21" s="262" t="str">
        <f>FIXED(CÁLCULO_MÉDIAS!N24,2,FALSE)&amp;" "&amp;"-"&amp;FIXED(CÁLCULO_MÉDIAS!O24,2,FALSE)</f>
        <v>2.663,00 -3.312,00</v>
      </c>
      <c r="H21" s="262" t="str">
        <f>FIXED(CÁLCULO_MÉDIAS!O24,2,FALSE)&amp;" "&amp;"-"&amp;FIXED(CÁLCULO_MÉDIAS!P24,2,FALSE)</f>
        <v>3.312,00 -0,00</v>
      </c>
      <c r="I21" s="59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ht="21.75" customHeight="1" x14ac:dyDescent="0.6">
      <c r="A22" s="1"/>
      <c r="B22" s="6"/>
      <c r="C22" s="1"/>
      <c r="D22" s="6"/>
      <c r="E22" s="1"/>
      <c r="F22" s="1"/>
      <c r="G22" s="54"/>
      <c r="H22" s="54"/>
      <c r="I22" s="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21.75" customHeight="1" x14ac:dyDescent="0.6">
      <c r="A23" s="1"/>
      <c r="B23" s="6"/>
      <c r="C23" s="1"/>
      <c r="D23" s="6"/>
      <c r="E23" s="1"/>
      <c r="F23" s="1"/>
      <c r="G23" s="54"/>
      <c r="H23" s="54"/>
      <c r="I23" s="3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21.75" customHeight="1" x14ac:dyDescent="0.6">
      <c r="A24" s="1" t="s">
        <v>52</v>
      </c>
      <c r="B24" s="6"/>
      <c r="C24" s="79"/>
      <c r="D24" s="6"/>
      <c r="E24" s="79"/>
      <c r="F24" s="79"/>
      <c r="G24" s="54"/>
      <c r="H24" s="54"/>
      <c r="I24" s="28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21.75" customHeight="1" x14ac:dyDescent="0.6">
      <c r="A25" s="1" t="s">
        <v>53</v>
      </c>
      <c r="B25" s="6"/>
      <c r="C25" s="1"/>
      <c r="D25" s="6"/>
      <c r="E25" s="1"/>
      <c r="F25" s="1"/>
      <c r="G25" s="54"/>
      <c r="H25" s="54"/>
      <c r="I25" s="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21.75" customHeight="1" x14ac:dyDescent="0.6">
      <c r="A26" s="1" t="s">
        <v>54</v>
      </c>
      <c r="B26" s="6"/>
      <c r="C26" s="79"/>
      <c r="D26" s="6"/>
      <c r="E26" s="79"/>
      <c r="F26" s="79"/>
      <c r="G26" s="54"/>
      <c r="H26" s="54"/>
      <c r="I26" s="28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21.75" customHeight="1" x14ac:dyDescent="0.6">
      <c r="A27" s="1"/>
      <c r="B27" s="6"/>
      <c r="C27" s="1"/>
      <c r="D27" s="6"/>
      <c r="E27" s="1"/>
      <c r="F27" s="1"/>
      <c r="G27" s="54"/>
      <c r="H27" s="54"/>
      <c r="I27" s="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21.75" customHeight="1" x14ac:dyDescent="0.6">
      <c r="A28" s="1"/>
      <c r="B28" s="6"/>
      <c r="C28" s="1"/>
      <c r="D28" s="6"/>
      <c r="E28" s="1"/>
      <c r="F28" s="1"/>
      <c r="G28" s="54"/>
      <c r="H28" s="54"/>
      <c r="I28" s="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21.75" customHeight="1" x14ac:dyDescent="0.6">
      <c r="A29" s="1"/>
      <c r="B29" s="6"/>
      <c r="C29" s="1"/>
      <c r="D29" s="6"/>
      <c r="E29" s="1"/>
      <c r="F29" s="1"/>
      <c r="G29" s="54"/>
      <c r="H29" s="54"/>
      <c r="I29" s="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21.75" customHeight="1" x14ac:dyDescent="0.6">
      <c r="A30" s="1"/>
      <c r="B30" s="6"/>
      <c r="C30" s="1"/>
      <c r="D30" s="6"/>
      <c r="E30" s="1"/>
      <c r="F30" s="1"/>
      <c r="G30" s="54"/>
      <c r="H30" s="54"/>
      <c r="I30" s="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21.75" customHeight="1" x14ac:dyDescent="0.6">
      <c r="A31" s="1"/>
      <c r="B31" s="6"/>
      <c r="C31" s="1"/>
      <c r="D31" s="6"/>
      <c r="E31" s="1"/>
      <c r="F31" s="1"/>
      <c r="G31" s="54"/>
      <c r="H31" s="54"/>
      <c r="I31" s="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21.75" customHeight="1" x14ac:dyDescent="0.6">
      <c r="A32" s="1"/>
      <c r="B32" s="6"/>
      <c r="C32" s="1"/>
      <c r="D32" s="6"/>
      <c r="E32" s="1"/>
      <c r="F32" s="1"/>
      <c r="G32" s="54"/>
      <c r="H32" s="54"/>
      <c r="I32" s="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21.75" customHeight="1" x14ac:dyDescent="0.6">
      <c r="A33" s="1"/>
      <c r="B33" s="6"/>
      <c r="C33" s="1"/>
      <c r="D33" s="6"/>
      <c r="E33" s="1"/>
      <c r="F33" s="1"/>
      <c r="G33" s="54"/>
      <c r="H33" s="54"/>
      <c r="I33" s="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21.75" customHeight="1" x14ac:dyDescent="0.6">
      <c r="A34" s="1"/>
      <c r="B34" s="6"/>
      <c r="C34" s="1"/>
      <c r="D34" s="6"/>
      <c r="E34" s="1"/>
      <c r="F34" s="1"/>
      <c r="G34" s="54"/>
      <c r="H34" s="54"/>
      <c r="I34" s="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21.75" customHeight="1" x14ac:dyDescent="0.6">
      <c r="A35" s="1"/>
      <c r="B35" s="6"/>
      <c r="C35" s="1"/>
      <c r="D35" s="6"/>
      <c r="E35" s="1"/>
      <c r="F35" s="1"/>
      <c r="G35" s="54"/>
      <c r="H35" s="54"/>
      <c r="I35" s="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21.75" customHeight="1" x14ac:dyDescent="0.6">
      <c r="A36" s="1"/>
      <c r="B36" s="6"/>
      <c r="C36" s="1"/>
      <c r="D36" s="6"/>
      <c r="E36" s="1"/>
      <c r="F36" s="1"/>
      <c r="G36" s="54"/>
      <c r="H36" s="54"/>
      <c r="I36" s="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21.75" customHeight="1" x14ac:dyDescent="0.6">
      <c r="A37" s="1"/>
      <c r="B37" s="6"/>
      <c r="C37" s="1"/>
      <c r="D37" s="6"/>
      <c r="E37" s="1"/>
      <c r="F37" s="1"/>
      <c r="G37" s="54"/>
      <c r="H37" s="54"/>
      <c r="I37" s="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21.75" customHeight="1" x14ac:dyDescent="0.6">
      <c r="A38" s="1"/>
      <c r="B38" s="6"/>
      <c r="C38" s="1"/>
      <c r="D38" s="6"/>
      <c r="E38" s="1"/>
      <c r="F38" s="1"/>
      <c r="G38" s="54"/>
      <c r="H38" s="54"/>
      <c r="I38" s="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21.75" customHeight="1" x14ac:dyDescent="0.6">
      <c r="A39" s="1"/>
      <c r="B39" s="6"/>
      <c r="C39" s="1"/>
      <c r="D39" s="6"/>
      <c r="E39" s="1"/>
      <c r="F39" s="1"/>
      <c r="G39" s="54"/>
      <c r="H39" s="54"/>
      <c r="I39" s="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21.75" customHeight="1" x14ac:dyDescent="0.6">
      <c r="A40" s="1"/>
      <c r="B40" s="6"/>
      <c r="C40" s="1"/>
      <c r="D40" s="6"/>
      <c r="E40" s="1"/>
      <c r="F40" s="1"/>
      <c r="G40" s="54"/>
      <c r="H40" s="54"/>
      <c r="I40" s="3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21.75" customHeight="1" x14ac:dyDescent="0.6">
      <c r="A41" s="1"/>
      <c r="B41" s="6"/>
      <c r="C41" s="1"/>
      <c r="D41" s="6"/>
      <c r="E41" s="1"/>
      <c r="F41" s="1"/>
      <c r="G41" s="54"/>
      <c r="H41" s="54"/>
      <c r="I41" s="3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21.75" customHeight="1" x14ac:dyDescent="0.6">
      <c r="A42" s="1"/>
      <c r="B42" s="6"/>
      <c r="C42" s="1"/>
      <c r="D42" s="6"/>
      <c r="E42" s="1"/>
      <c r="F42" s="1"/>
      <c r="G42" s="54"/>
      <c r="H42" s="54"/>
      <c r="I42" s="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21.75" customHeight="1" x14ac:dyDescent="0.6">
      <c r="A43" s="1"/>
      <c r="B43" s="6"/>
      <c r="C43" s="1"/>
      <c r="D43" s="6"/>
      <c r="E43" s="1"/>
      <c r="F43" s="1"/>
      <c r="G43" s="54"/>
      <c r="H43" s="54"/>
      <c r="I43" s="3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21.75" customHeight="1" x14ac:dyDescent="0.6">
      <c r="A44" s="1"/>
      <c r="B44" s="6"/>
      <c r="C44" s="1"/>
      <c r="D44" s="6"/>
      <c r="E44" s="1"/>
      <c r="F44" s="1"/>
      <c r="G44" s="54"/>
      <c r="H44" s="54"/>
      <c r="I44" s="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21.75" customHeight="1" x14ac:dyDescent="0.6">
      <c r="A45" s="1"/>
      <c r="B45" s="6"/>
      <c r="C45" s="1"/>
      <c r="D45" s="6"/>
      <c r="E45" s="1"/>
      <c r="F45" s="1"/>
      <c r="G45" s="54"/>
      <c r="H45" s="54"/>
      <c r="I45" s="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21.75" customHeight="1" x14ac:dyDescent="0.6">
      <c r="A46" s="1"/>
      <c r="B46" s="6"/>
      <c r="C46" s="1"/>
      <c r="D46" s="6"/>
      <c r="E46" s="1"/>
      <c r="F46" s="1"/>
      <c r="G46" s="54"/>
      <c r="H46" s="54"/>
      <c r="I46" s="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21.75" customHeight="1" x14ac:dyDescent="0.6">
      <c r="A47" s="1"/>
      <c r="B47" s="6"/>
      <c r="C47" s="1"/>
      <c r="D47" s="6"/>
      <c r="E47" s="1"/>
      <c r="F47" s="1"/>
      <c r="G47" s="54"/>
      <c r="H47" s="54"/>
      <c r="I47" s="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21.75" customHeight="1" x14ac:dyDescent="0.6">
      <c r="A48" s="1"/>
      <c r="B48" s="6"/>
      <c r="C48" s="1"/>
      <c r="D48" s="6"/>
      <c r="E48" s="1"/>
      <c r="F48" s="1"/>
      <c r="G48" s="54"/>
      <c r="H48" s="54"/>
      <c r="I48" s="3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21.75" customHeight="1" x14ac:dyDescent="0.6">
      <c r="A49" s="1"/>
      <c r="B49" s="6"/>
      <c r="C49" s="1"/>
      <c r="D49" s="6"/>
      <c r="E49" s="1"/>
      <c r="F49" s="1"/>
      <c r="G49" s="54"/>
      <c r="H49" s="54"/>
      <c r="I49" s="3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21.75" customHeight="1" x14ac:dyDescent="0.6">
      <c r="A50" s="1"/>
      <c r="B50" s="6"/>
      <c r="C50" s="1"/>
      <c r="D50" s="6"/>
      <c r="E50" s="1"/>
      <c r="F50" s="1"/>
      <c r="G50" s="54"/>
      <c r="H50" s="54"/>
      <c r="I50" s="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21.75" customHeight="1" x14ac:dyDescent="0.6">
      <c r="A51" s="1"/>
      <c r="B51" s="6"/>
      <c r="C51" s="1"/>
      <c r="D51" s="6"/>
      <c r="E51" s="1"/>
      <c r="F51" s="1"/>
      <c r="G51" s="54"/>
      <c r="H51" s="54"/>
      <c r="I51" s="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21.75" customHeight="1" x14ac:dyDescent="0.6">
      <c r="A52" s="1"/>
      <c r="B52" s="6"/>
      <c r="C52" s="1"/>
      <c r="D52" s="6"/>
      <c r="E52" s="1"/>
      <c r="F52" s="1"/>
      <c r="G52" s="54"/>
      <c r="H52" s="54"/>
      <c r="I52" s="3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21.75" customHeight="1" x14ac:dyDescent="0.6">
      <c r="A53" s="1"/>
      <c r="B53" s="6"/>
      <c r="C53" s="1"/>
      <c r="D53" s="6"/>
      <c r="E53" s="1"/>
      <c r="F53" s="1"/>
      <c r="G53" s="54"/>
      <c r="H53" s="54"/>
      <c r="I53" s="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21.75" customHeight="1" x14ac:dyDescent="0.6">
      <c r="A54" s="1"/>
      <c r="B54" s="6"/>
      <c r="C54" s="1"/>
      <c r="D54" s="6"/>
      <c r="E54" s="1"/>
      <c r="F54" s="1"/>
      <c r="G54" s="54"/>
      <c r="H54" s="54"/>
      <c r="I54" s="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21.75" customHeight="1" x14ac:dyDescent="0.6">
      <c r="A55" s="1"/>
      <c r="B55" s="6"/>
      <c r="C55" s="1"/>
      <c r="D55" s="6"/>
      <c r="E55" s="1"/>
      <c r="F55" s="1"/>
      <c r="G55" s="54"/>
      <c r="H55" s="54"/>
      <c r="I55" s="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21.75" customHeight="1" x14ac:dyDescent="0.6">
      <c r="A56" s="1"/>
      <c r="B56" s="6"/>
      <c r="C56" s="1"/>
      <c r="D56" s="6"/>
      <c r="E56" s="1"/>
      <c r="F56" s="1"/>
      <c r="G56" s="54"/>
      <c r="H56" s="54"/>
      <c r="I56" s="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21.75" customHeight="1" x14ac:dyDescent="0.6">
      <c r="A57" s="1"/>
      <c r="B57" s="6"/>
      <c r="C57" s="1"/>
      <c r="D57" s="6"/>
      <c r="E57" s="1"/>
      <c r="F57" s="1"/>
      <c r="G57" s="54"/>
      <c r="H57" s="54"/>
      <c r="I57" s="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21.75" customHeight="1" x14ac:dyDescent="0.6">
      <c r="A58" s="1"/>
      <c r="B58" s="6"/>
      <c r="C58" s="1"/>
      <c r="D58" s="6"/>
      <c r="E58" s="1"/>
      <c r="F58" s="1"/>
      <c r="G58" s="54"/>
      <c r="H58" s="54"/>
      <c r="I58" s="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21.75" customHeight="1" x14ac:dyDescent="0.6">
      <c r="A59" s="1"/>
      <c r="B59" s="6"/>
      <c r="C59" s="1"/>
      <c r="D59" s="6"/>
      <c r="E59" s="1"/>
      <c r="F59" s="1"/>
      <c r="G59" s="54"/>
      <c r="H59" s="54"/>
      <c r="I59" s="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21.75" customHeight="1" x14ac:dyDescent="0.6">
      <c r="A60" s="1"/>
      <c r="B60" s="6"/>
      <c r="C60" s="1"/>
      <c r="D60" s="6"/>
      <c r="E60" s="1"/>
      <c r="F60" s="1"/>
      <c r="G60" s="54"/>
      <c r="H60" s="54"/>
      <c r="I60" s="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21.75" customHeight="1" x14ac:dyDescent="0.6">
      <c r="A61" s="1"/>
      <c r="B61" s="6"/>
      <c r="C61" s="1"/>
      <c r="D61" s="6"/>
      <c r="E61" s="1"/>
      <c r="F61" s="1"/>
      <c r="G61" s="54"/>
      <c r="H61" s="54"/>
      <c r="I61" s="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21.75" customHeight="1" x14ac:dyDescent="0.6">
      <c r="A62" s="1"/>
      <c r="B62" s="6"/>
      <c r="C62" s="1"/>
      <c r="D62" s="6"/>
      <c r="E62" s="1"/>
      <c r="F62" s="1"/>
      <c r="G62" s="54"/>
      <c r="H62" s="54"/>
      <c r="I62" s="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21.75" customHeight="1" x14ac:dyDescent="0.6">
      <c r="A63" s="1"/>
      <c r="B63" s="6"/>
      <c r="C63" s="1"/>
      <c r="D63" s="6"/>
      <c r="E63" s="1"/>
      <c r="F63" s="1"/>
      <c r="G63" s="54"/>
      <c r="H63" s="54"/>
      <c r="I63" s="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21.75" customHeight="1" x14ac:dyDescent="0.6">
      <c r="A64" s="1"/>
      <c r="B64" s="6"/>
      <c r="C64" s="1"/>
      <c r="D64" s="6"/>
      <c r="E64" s="1"/>
      <c r="F64" s="1"/>
      <c r="G64" s="54"/>
      <c r="H64" s="54"/>
      <c r="I64" s="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21.75" customHeight="1" x14ac:dyDescent="0.6">
      <c r="A65" s="1"/>
      <c r="B65" s="6"/>
      <c r="C65" s="1"/>
      <c r="D65" s="6"/>
      <c r="E65" s="1"/>
      <c r="F65" s="1"/>
      <c r="G65" s="54"/>
      <c r="H65" s="54"/>
      <c r="I65" s="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21.75" customHeight="1" x14ac:dyDescent="0.6">
      <c r="A66" s="1"/>
      <c r="B66" s="6"/>
      <c r="C66" s="1"/>
      <c r="D66" s="6"/>
      <c r="E66" s="1"/>
      <c r="F66" s="1"/>
      <c r="G66" s="54"/>
      <c r="H66" s="54"/>
      <c r="I66" s="3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21.75" customHeight="1" x14ac:dyDescent="0.6">
      <c r="A67" s="1"/>
      <c r="B67" s="6"/>
      <c r="C67" s="1"/>
      <c r="D67" s="6"/>
      <c r="E67" s="1"/>
      <c r="F67" s="1"/>
      <c r="G67" s="54"/>
      <c r="H67" s="54"/>
      <c r="I67" s="3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21.75" customHeight="1" x14ac:dyDescent="0.6">
      <c r="A68" s="1"/>
      <c r="B68" s="6"/>
      <c r="C68" s="1"/>
      <c r="D68" s="6"/>
      <c r="E68" s="1"/>
      <c r="F68" s="1"/>
      <c r="G68" s="54"/>
      <c r="H68" s="54"/>
      <c r="I68" s="3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21.75" customHeight="1" x14ac:dyDescent="0.6">
      <c r="A69" s="1"/>
      <c r="B69" s="6"/>
      <c r="C69" s="1"/>
      <c r="D69" s="6"/>
      <c r="E69" s="1"/>
      <c r="F69" s="1"/>
      <c r="G69" s="54"/>
      <c r="H69" s="54"/>
      <c r="I69" s="3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21.75" customHeight="1" x14ac:dyDescent="0.6">
      <c r="A70" s="1"/>
      <c r="B70" s="6"/>
      <c r="C70" s="1"/>
      <c r="D70" s="6"/>
      <c r="E70" s="1"/>
      <c r="F70" s="1"/>
      <c r="G70" s="54"/>
      <c r="H70" s="54"/>
      <c r="I70" s="3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21.75" customHeight="1" x14ac:dyDescent="0.6">
      <c r="A71" s="1"/>
      <c r="B71" s="6"/>
      <c r="C71" s="1"/>
      <c r="D71" s="6"/>
      <c r="E71" s="1"/>
      <c r="F71" s="1"/>
      <c r="G71" s="54"/>
      <c r="H71" s="54"/>
      <c r="I71" s="3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21.75" customHeight="1" x14ac:dyDescent="0.6">
      <c r="A72" s="1"/>
      <c r="B72" s="6"/>
      <c r="C72" s="1"/>
      <c r="D72" s="6"/>
      <c r="E72" s="1"/>
      <c r="F72" s="1"/>
      <c r="G72" s="54"/>
      <c r="H72" s="54"/>
      <c r="I72" s="3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21.75" customHeight="1" x14ac:dyDescent="0.6">
      <c r="A73" s="1"/>
      <c r="B73" s="6"/>
      <c r="C73" s="1"/>
      <c r="D73" s="6"/>
      <c r="E73" s="1"/>
      <c r="F73" s="1"/>
      <c r="G73" s="54"/>
      <c r="H73" s="54"/>
      <c r="I73" s="3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21.75" customHeight="1" x14ac:dyDescent="0.6">
      <c r="A74" s="1"/>
      <c r="B74" s="6"/>
      <c r="C74" s="1"/>
      <c r="D74" s="6"/>
      <c r="E74" s="1"/>
      <c r="F74" s="1"/>
      <c r="G74" s="54"/>
      <c r="H74" s="54"/>
      <c r="I74" s="3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21.75" customHeight="1" x14ac:dyDescent="0.6">
      <c r="A75" s="1"/>
      <c r="B75" s="6"/>
      <c r="C75" s="1"/>
      <c r="D75" s="6"/>
      <c r="E75" s="1"/>
      <c r="F75" s="1"/>
      <c r="G75" s="54"/>
      <c r="H75" s="54"/>
      <c r="I75" s="3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21.75" customHeight="1" x14ac:dyDescent="0.6">
      <c r="A76" s="1"/>
      <c r="B76" s="6"/>
      <c r="C76" s="1"/>
      <c r="D76" s="6"/>
      <c r="E76" s="1"/>
      <c r="F76" s="1"/>
      <c r="G76" s="54"/>
      <c r="H76" s="54"/>
      <c r="I76" s="3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21.75" customHeight="1" x14ac:dyDescent="0.6">
      <c r="A77" s="1"/>
      <c r="B77" s="6"/>
      <c r="C77" s="1"/>
      <c r="D77" s="6"/>
      <c r="E77" s="1"/>
      <c r="F77" s="1"/>
      <c r="G77" s="54"/>
      <c r="H77" s="54"/>
      <c r="I77" s="3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21.75" customHeight="1" x14ac:dyDescent="0.6">
      <c r="A78" s="1"/>
      <c r="B78" s="6"/>
      <c r="C78" s="1"/>
      <c r="D78" s="6"/>
      <c r="E78" s="1"/>
      <c r="F78" s="1"/>
      <c r="G78" s="54"/>
      <c r="H78" s="54"/>
      <c r="I78" s="3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21.75" customHeight="1" x14ac:dyDescent="0.6">
      <c r="A79" s="1"/>
      <c r="B79" s="6"/>
      <c r="C79" s="1"/>
      <c r="D79" s="6"/>
      <c r="E79" s="1"/>
      <c r="F79" s="1"/>
      <c r="G79" s="54"/>
      <c r="H79" s="54"/>
      <c r="I79" s="3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21.75" customHeight="1" x14ac:dyDescent="0.6">
      <c r="A80" s="1"/>
      <c r="B80" s="6"/>
      <c r="C80" s="1"/>
      <c r="D80" s="6"/>
      <c r="E80" s="1"/>
      <c r="F80" s="1"/>
      <c r="G80" s="54"/>
      <c r="H80" s="54"/>
      <c r="I80" s="3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21.75" customHeight="1" x14ac:dyDescent="0.6">
      <c r="A81" s="1"/>
      <c r="B81" s="6"/>
      <c r="C81" s="1"/>
      <c r="D81" s="6"/>
      <c r="E81" s="1"/>
      <c r="F81" s="1"/>
      <c r="G81" s="54"/>
      <c r="H81" s="54"/>
      <c r="I81" s="3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21.75" customHeight="1" x14ac:dyDescent="0.6">
      <c r="A82" s="1"/>
      <c r="B82" s="6"/>
      <c r="C82" s="1"/>
      <c r="D82" s="6"/>
      <c r="E82" s="1"/>
      <c r="F82" s="1"/>
      <c r="G82" s="54"/>
      <c r="H82" s="54"/>
      <c r="I82" s="3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21.75" customHeight="1" x14ac:dyDescent="0.6">
      <c r="A83" s="1"/>
      <c r="B83" s="6"/>
      <c r="C83" s="1"/>
      <c r="D83" s="6"/>
      <c r="E83" s="1"/>
      <c r="F83" s="1"/>
      <c r="G83" s="54"/>
      <c r="H83" s="54"/>
      <c r="I83" s="3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21.75" customHeight="1" x14ac:dyDescent="0.6">
      <c r="A84" s="1"/>
      <c r="B84" s="6"/>
      <c r="C84" s="1"/>
      <c r="D84" s="6"/>
      <c r="E84" s="1"/>
      <c r="F84" s="1"/>
      <c r="G84" s="54"/>
      <c r="H84" s="54"/>
      <c r="I84" s="3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21.75" customHeight="1" x14ac:dyDescent="0.6">
      <c r="A85" s="1"/>
      <c r="B85" s="6"/>
      <c r="C85" s="1"/>
      <c r="D85" s="6"/>
      <c r="E85" s="1"/>
      <c r="F85" s="1"/>
      <c r="G85" s="54"/>
      <c r="H85" s="54"/>
      <c r="I85" s="3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21.75" customHeight="1" x14ac:dyDescent="0.6">
      <c r="A86" s="1"/>
      <c r="B86" s="6"/>
      <c r="C86" s="1"/>
      <c r="D86" s="6"/>
      <c r="E86" s="1"/>
      <c r="F86" s="1"/>
      <c r="G86" s="54"/>
      <c r="H86" s="54"/>
      <c r="I86" s="3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21.75" customHeight="1" x14ac:dyDescent="0.6">
      <c r="A87" s="1"/>
      <c r="B87" s="6"/>
      <c r="C87" s="1"/>
      <c r="D87" s="6"/>
      <c r="E87" s="1"/>
      <c r="F87" s="1"/>
      <c r="G87" s="54"/>
      <c r="H87" s="54"/>
      <c r="I87" s="3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21.75" customHeight="1" x14ac:dyDescent="0.6">
      <c r="A88" s="1"/>
      <c r="B88" s="6"/>
      <c r="C88" s="1"/>
      <c r="D88" s="6"/>
      <c r="E88" s="1"/>
      <c r="F88" s="1"/>
      <c r="G88" s="54"/>
      <c r="H88" s="54"/>
      <c r="I88" s="3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21.75" customHeight="1" x14ac:dyDescent="0.6">
      <c r="A89" s="1"/>
      <c r="B89" s="6"/>
      <c r="C89" s="1"/>
      <c r="D89" s="6"/>
      <c r="E89" s="1"/>
      <c r="F89" s="1"/>
      <c r="G89" s="54"/>
      <c r="H89" s="54"/>
      <c r="I89" s="3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21.75" customHeight="1" x14ac:dyDescent="0.6">
      <c r="A90" s="1"/>
      <c r="B90" s="6"/>
      <c r="C90" s="1"/>
      <c r="D90" s="6"/>
      <c r="E90" s="1"/>
      <c r="F90" s="1"/>
      <c r="G90" s="54"/>
      <c r="H90" s="54"/>
      <c r="I90" s="3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21.75" customHeight="1" x14ac:dyDescent="0.6">
      <c r="A91" s="1"/>
      <c r="B91" s="6"/>
      <c r="C91" s="1"/>
      <c r="D91" s="6"/>
      <c r="E91" s="1"/>
      <c r="F91" s="1"/>
      <c r="G91" s="54"/>
      <c r="H91" s="54"/>
      <c r="I91" s="3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21.75" customHeight="1" x14ac:dyDescent="0.6">
      <c r="A92" s="1"/>
      <c r="B92" s="6"/>
      <c r="C92" s="1"/>
      <c r="D92" s="6"/>
      <c r="E92" s="1"/>
      <c r="F92" s="1"/>
      <c r="G92" s="54"/>
      <c r="H92" s="54"/>
      <c r="I92" s="3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21.75" customHeight="1" x14ac:dyDescent="0.6">
      <c r="A93" s="1"/>
      <c r="B93" s="6"/>
      <c r="C93" s="1"/>
      <c r="D93" s="6"/>
      <c r="E93" s="1"/>
      <c r="F93" s="1"/>
      <c r="G93" s="54"/>
      <c r="H93" s="54"/>
      <c r="I93" s="3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21.75" customHeight="1" x14ac:dyDescent="0.6">
      <c r="A94" s="1"/>
      <c r="B94" s="6"/>
      <c r="C94" s="1"/>
      <c r="D94" s="6"/>
      <c r="E94" s="1"/>
      <c r="F94" s="1"/>
      <c r="G94" s="54"/>
      <c r="H94" s="54"/>
      <c r="I94" s="3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21.75" customHeight="1" x14ac:dyDescent="0.6">
      <c r="A95" s="1"/>
      <c r="B95" s="6"/>
      <c r="C95" s="1"/>
      <c r="D95" s="6"/>
      <c r="E95" s="1"/>
      <c r="F95" s="1"/>
      <c r="G95" s="54"/>
      <c r="H95" s="54"/>
      <c r="I95" s="3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21.75" customHeight="1" x14ac:dyDescent="0.6">
      <c r="A96" s="1"/>
      <c r="B96" s="6"/>
      <c r="C96" s="1"/>
      <c r="D96" s="6"/>
      <c r="E96" s="1"/>
      <c r="F96" s="1"/>
      <c r="G96" s="54"/>
      <c r="H96" s="54"/>
      <c r="I96" s="3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21.75" customHeight="1" x14ac:dyDescent="0.6">
      <c r="A97" s="1"/>
      <c r="B97" s="6"/>
      <c r="C97" s="1"/>
      <c r="D97" s="6"/>
      <c r="E97" s="1"/>
      <c r="F97" s="1"/>
      <c r="G97" s="54"/>
      <c r="H97" s="54"/>
      <c r="I97" s="3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21.75" customHeight="1" x14ac:dyDescent="0.6">
      <c r="A98" s="1"/>
      <c r="B98" s="6"/>
      <c r="C98" s="1"/>
      <c r="D98" s="6"/>
      <c r="E98" s="1"/>
      <c r="F98" s="1"/>
      <c r="G98" s="54"/>
      <c r="H98" s="54"/>
      <c r="I98" s="3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21.75" customHeight="1" x14ac:dyDescent="0.6">
      <c r="A99" s="1"/>
      <c r="B99" s="6"/>
      <c r="C99" s="1"/>
      <c r="D99" s="6"/>
      <c r="E99" s="1"/>
      <c r="F99" s="1"/>
      <c r="G99" s="54"/>
      <c r="H99" s="54"/>
      <c r="I99" s="3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21.75" customHeight="1" x14ac:dyDescent="0.6">
      <c r="A100" s="1"/>
      <c r="B100" s="6"/>
      <c r="C100" s="1"/>
      <c r="D100" s="6"/>
      <c r="E100" s="1"/>
      <c r="F100" s="1"/>
      <c r="G100" s="54"/>
      <c r="H100" s="54"/>
      <c r="I100" s="3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21.75" customHeight="1" x14ac:dyDescent="0.6">
      <c r="A101" s="1"/>
      <c r="B101" s="6"/>
      <c r="C101" s="1"/>
      <c r="D101" s="6"/>
      <c r="E101" s="1"/>
      <c r="F101" s="1"/>
      <c r="G101" s="54"/>
      <c r="H101" s="54"/>
      <c r="I101" s="3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21.75" customHeight="1" x14ac:dyDescent="0.6">
      <c r="A102" s="1"/>
      <c r="B102" s="6"/>
      <c r="C102" s="1"/>
      <c r="D102" s="6"/>
      <c r="E102" s="1"/>
      <c r="F102" s="1"/>
      <c r="G102" s="54"/>
      <c r="H102" s="54"/>
      <c r="I102" s="3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21.75" customHeight="1" x14ac:dyDescent="0.6">
      <c r="A103" s="1"/>
      <c r="B103" s="6"/>
      <c r="C103" s="1"/>
      <c r="D103" s="6"/>
      <c r="E103" s="1"/>
      <c r="F103" s="1"/>
      <c r="G103" s="54"/>
      <c r="H103" s="54"/>
      <c r="I103" s="3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21.75" customHeight="1" x14ac:dyDescent="0.6">
      <c r="A104" s="1"/>
      <c r="B104" s="6"/>
      <c r="C104" s="1"/>
      <c r="D104" s="6"/>
      <c r="E104" s="1"/>
      <c r="F104" s="1"/>
      <c r="G104" s="54"/>
      <c r="H104" s="54"/>
      <c r="I104" s="3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21.75" customHeight="1" x14ac:dyDescent="0.6">
      <c r="A105" s="1"/>
      <c r="B105" s="6"/>
      <c r="C105" s="1"/>
      <c r="D105" s="6"/>
      <c r="E105" s="1"/>
      <c r="F105" s="1"/>
      <c r="G105" s="54"/>
      <c r="H105" s="54"/>
      <c r="I105" s="3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21.75" customHeight="1" x14ac:dyDescent="0.6">
      <c r="A106" s="1"/>
      <c r="B106" s="6"/>
      <c r="C106" s="1"/>
      <c r="D106" s="6"/>
      <c r="E106" s="1"/>
      <c r="F106" s="1"/>
      <c r="G106" s="54"/>
      <c r="H106" s="54"/>
      <c r="I106" s="3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21.75" customHeight="1" x14ac:dyDescent="0.6">
      <c r="A107" s="1"/>
      <c r="B107" s="6"/>
      <c r="C107" s="1"/>
      <c r="D107" s="6"/>
      <c r="E107" s="1"/>
      <c r="F107" s="1"/>
      <c r="G107" s="54"/>
      <c r="H107" s="54"/>
      <c r="I107" s="3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21.75" customHeight="1" x14ac:dyDescent="0.6">
      <c r="A108" s="1"/>
      <c r="B108" s="6"/>
      <c r="C108" s="1"/>
      <c r="D108" s="6"/>
      <c r="E108" s="1"/>
      <c r="F108" s="1"/>
      <c r="G108" s="54"/>
      <c r="H108" s="54"/>
      <c r="I108" s="3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21.75" customHeight="1" x14ac:dyDescent="0.6">
      <c r="A109" s="1"/>
      <c r="B109" s="6"/>
      <c r="C109" s="1"/>
      <c r="D109" s="6"/>
      <c r="E109" s="1"/>
      <c r="F109" s="1"/>
      <c r="G109" s="54"/>
      <c r="H109" s="54"/>
      <c r="I109" s="3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21.75" customHeight="1" x14ac:dyDescent="0.6">
      <c r="A110" s="1"/>
      <c r="B110" s="6"/>
      <c r="C110" s="1"/>
      <c r="D110" s="6"/>
      <c r="E110" s="1"/>
      <c r="F110" s="1"/>
      <c r="G110" s="54"/>
      <c r="H110" s="54"/>
      <c r="I110" s="3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21.75" customHeight="1" x14ac:dyDescent="0.6">
      <c r="A111" s="1"/>
      <c r="B111" s="6"/>
      <c r="C111" s="1"/>
      <c r="D111" s="6"/>
      <c r="E111" s="1"/>
      <c r="F111" s="1"/>
      <c r="G111" s="54"/>
      <c r="H111" s="54"/>
      <c r="I111" s="3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21.75" customHeight="1" x14ac:dyDescent="0.6">
      <c r="A112" s="1"/>
      <c r="B112" s="6"/>
      <c r="C112" s="1"/>
      <c r="D112" s="6"/>
      <c r="E112" s="1"/>
      <c r="F112" s="1"/>
      <c r="G112" s="54"/>
      <c r="H112" s="54"/>
      <c r="I112" s="3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21.75" customHeight="1" x14ac:dyDescent="0.6">
      <c r="A113" s="1"/>
      <c r="B113" s="6"/>
      <c r="C113" s="1"/>
      <c r="D113" s="6"/>
      <c r="E113" s="1"/>
      <c r="F113" s="1"/>
      <c r="G113" s="54"/>
      <c r="H113" s="54"/>
      <c r="I113" s="3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21.75" customHeight="1" x14ac:dyDescent="0.6">
      <c r="A114" s="1"/>
      <c r="B114" s="6"/>
      <c r="C114" s="1"/>
      <c r="D114" s="6"/>
      <c r="E114" s="1"/>
      <c r="F114" s="1"/>
      <c r="G114" s="54"/>
      <c r="H114" s="54"/>
      <c r="I114" s="3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21.75" customHeight="1" x14ac:dyDescent="0.6">
      <c r="A115" s="1"/>
      <c r="B115" s="6"/>
      <c r="C115" s="1"/>
      <c r="D115" s="6"/>
      <c r="E115" s="1"/>
      <c r="F115" s="1"/>
      <c r="G115" s="54"/>
      <c r="H115" s="54"/>
      <c r="I115" s="3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21.75" customHeight="1" x14ac:dyDescent="0.6">
      <c r="A116" s="1"/>
      <c r="B116" s="6"/>
      <c r="C116" s="1"/>
      <c r="D116" s="6"/>
      <c r="E116" s="1"/>
      <c r="F116" s="1"/>
      <c r="G116" s="54"/>
      <c r="H116" s="54"/>
      <c r="I116" s="3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21.75" customHeight="1" x14ac:dyDescent="0.6">
      <c r="A117" s="1"/>
      <c r="B117" s="6"/>
      <c r="C117" s="1"/>
      <c r="D117" s="6"/>
      <c r="E117" s="1"/>
      <c r="F117" s="1"/>
      <c r="G117" s="54"/>
      <c r="H117" s="54"/>
      <c r="I117" s="3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21.75" customHeight="1" x14ac:dyDescent="0.6">
      <c r="A118" s="1"/>
      <c r="B118" s="6"/>
      <c r="C118" s="1"/>
      <c r="D118" s="6"/>
      <c r="E118" s="1"/>
      <c r="F118" s="1"/>
      <c r="G118" s="54"/>
      <c r="H118" s="54"/>
      <c r="I118" s="3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21.75" customHeight="1" x14ac:dyDescent="0.6">
      <c r="A119" s="1"/>
      <c r="B119" s="6"/>
      <c r="C119" s="1"/>
      <c r="D119" s="6"/>
      <c r="E119" s="1"/>
      <c r="F119" s="1"/>
      <c r="G119" s="54"/>
      <c r="H119" s="54"/>
      <c r="I119" s="3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21.75" customHeight="1" x14ac:dyDescent="0.6">
      <c r="A120" s="1"/>
      <c r="B120" s="6"/>
      <c r="C120" s="1"/>
      <c r="D120" s="6"/>
      <c r="E120" s="1"/>
      <c r="F120" s="1"/>
      <c r="G120" s="54"/>
      <c r="H120" s="54"/>
      <c r="I120" s="3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21.75" customHeight="1" x14ac:dyDescent="0.6">
      <c r="A121" s="1"/>
      <c r="B121" s="6"/>
      <c r="C121" s="1"/>
      <c r="D121" s="6"/>
      <c r="E121" s="1"/>
      <c r="F121" s="1"/>
      <c r="G121" s="54"/>
      <c r="H121" s="54"/>
      <c r="I121" s="3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21.75" customHeight="1" x14ac:dyDescent="0.6">
      <c r="A122" s="1"/>
      <c r="B122" s="6"/>
      <c r="C122" s="1"/>
      <c r="D122" s="6"/>
      <c r="E122" s="1"/>
      <c r="F122" s="1"/>
      <c r="G122" s="54"/>
      <c r="H122" s="54"/>
      <c r="I122" s="3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21.75" customHeight="1" x14ac:dyDescent="0.6">
      <c r="A123" s="1"/>
      <c r="B123" s="6"/>
      <c r="C123" s="1"/>
      <c r="D123" s="6"/>
      <c r="E123" s="1"/>
      <c r="F123" s="1"/>
      <c r="G123" s="54"/>
      <c r="H123" s="54"/>
      <c r="I123" s="3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21.75" customHeight="1" x14ac:dyDescent="0.6">
      <c r="A124" s="1"/>
      <c r="B124" s="6"/>
      <c r="C124" s="1"/>
      <c r="D124" s="6"/>
      <c r="E124" s="1"/>
      <c r="F124" s="1"/>
      <c r="G124" s="54"/>
      <c r="H124" s="54"/>
      <c r="I124" s="3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21.75" customHeight="1" x14ac:dyDescent="0.6">
      <c r="A125" s="1"/>
      <c r="B125" s="6"/>
      <c r="C125" s="1"/>
      <c r="D125" s="6"/>
      <c r="E125" s="1"/>
      <c r="F125" s="1"/>
      <c r="G125" s="54"/>
      <c r="H125" s="54"/>
      <c r="I125" s="3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21.75" customHeight="1" x14ac:dyDescent="0.6">
      <c r="A126" s="1"/>
      <c r="B126" s="6"/>
      <c r="C126" s="1"/>
      <c r="D126" s="6"/>
      <c r="E126" s="1"/>
      <c r="F126" s="1"/>
      <c r="G126" s="54"/>
      <c r="H126" s="54"/>
      <c r="I126" s="3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21.75" customHeight="1" x14ac:dyDescent="0.6">
      <c r="A127" s="1"/>
      <c r="B127" s="6"/>
      <c r="C127" s="1"/>
      <c r="D127" s="6"/>
      <c r="E127" s="1"/>
      <c r="F127" s="1"/>
      <c r="G127" s="54"/>
      <c r="H127" s="54"/>
      <c r="I127" s="3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21.75" customHeight="1" x14ac:dyDescent="0.6">
      <c r="A128" s="1"/>
      <c r="B128" s="6"/>
      <c r="C128" s="1"/>
      <c r="D128" s="6"/>
      <c r="E128" s="1"/>
      <c r="F128" s="1"/>
      <c r="G128" s="54"/>
      <c r="H128" s="54"/>
      <c r="I128" s="3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21.75" customHeight="1" x14ac:dyDescent="0.6">
      <c r="A129" s="1"/>
      <c r="B129" s="6"/>
      <c r="C129" s="1"/>
      <c r="D129" s="6"/>
      <c r="E129" s="1"/>
      <c r="F129" s="1"/>
      <c r="G129" s="54"/>
      <c r="H129" s="54"/>
      <c r="I129" s="3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21.75" customHeight="1" x14ac:dyDescent="0.6">
      <c r="A130" s="1"/>
      <c r="B130" s="6"/>
      <c r="C130" s="1"/>
      <c r="D130" s="6"/>
      <c r="E130" s="1"/>
      <c r="F130" s="1"/>
      <c r="G130" s="54"/>
      <c r="H130" s="54"/>
      <c r="I130" s="3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21.75" customHeight="1" x14ac:dyDescent="0.6">
      <c r="A131" s="1"/>
      <c r="B131" s="6"/>
      <c r="C131" s="1"/>
      <c r="D131" s="6"/>
      <c r="E131" s="1"/>
      <c r="F131" s="1"/>
      <c r="G131" s="54"/>
      <c r="H131" s="54"/>
      <c r="I131" s="3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21.75" customHeight="1" x14ac:dyDescent="0.6">
      <c r="A132" s="1"/>
      <c r="B132" s="6"/>
      <c r="C132" s="1"/>
      <c r="D132" s="6"/>
      <c r="E132" s="1"/>
      <c r="F132" s="1"/>
      <c r="G132" s="54"/>
      <c r="H132" s="54"/>
      <c r="I132" s="3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21.75" customHeight="1" x14ac:dyDescent="0.6">
      <c r="A133" s="1"/>
      <c r="B133" s="6"/>
      <c r="C133" s="1"/>
      <c r="D133" s="6"/>
      <c r="E133" s="1"/>
      <c r="F133" s="1"/>
      <c r="G133" s="54"/>
      <c r="H133" s="54"/>
      <c r="I133" s="3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21.75" customHeight="1" x14ac:dyDescent="0.6">
      <c r="A134" s="1"/>
      <c r="B134" s="6"/>
      <c r="C134" s="1"/>
      <c r="D134" s="6"/>
      <c r="E134" s="1"/>
      <c r="F134" s="1"/>
      <c r="G134" s="54"/>
      <c r="H134" s="54"/>
      <c r="I134" s="3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21.75" customHeight="1" x14ac:dyDescent="0.6">
      <c r="A135" s="1"/>
      <c r="B135" s="6"/>
      <c r="C135" s="1"/>
      <c r="D135" s="6"/>
      <c r="E135" s="1"/>
      <c r="F135" s="1"/>
      <c r="G135" s="54"/>
      <c r="H135" s="54"/>
      <c r="I135" s="3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21.75" customHeight="1" x14ac:dyDescent="0.6">
      <c r="A136" s="1"/>
      <c r="B136" s="6"/>
      <c r="C136" s="1"/>
      <c r="D136" s="6"/>
      <c r="E136" s="1"/>
      <c r="F136" s="1"/>
      <c r="G136" s="54"/>
      <c r="H136" s="54"/>
      <c r="I136" s="3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21.75" customHeight="1" x14ac:dyDescent="0.6">
      <c r="A137" s="1"/>
      <c r="B137" s="6"/>
      <c r="C137" s="1"/>
      <c r="D137" s="6"/>
      <c r="E137" s="1"/>
      <c r="F137" s="1"/>
      <c r="G137" s="54"/>
      <c r="H137" s="54"/>
      <c r="I137" s="3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21.75" customHeight="1" x14ac:dyDescent="0.6">
      <c r="A138" s="1"/>
      <c r="B138" s="6"/>
      <c r="C138" s="1"/>
      <c r="D138" s="6"/>
      <c r="E138" s="1"/>
      <c r="F138" s="1"/>
      <c r="G138" s="54"/>
      <c r="H138" s="54"/>
      <c r="I138" s="3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21.75" customHeight="1" x14ac:dyDescent="0.6">
      <c r="A139" s="1"/>
      <c r="B139" s="6"/>
      <c r="C139" s="1"/>
      <c r="D139" s="6"/>
      <c r="E139" s="1"/>
      <c r="F139" s="1"/>
      <c r="G139" s="54"/>
      <c r="H139" s="54"/>
      <c r="I139" s="3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21.75" customHeight="1" x14ac:dyDescent="0.6">
      <c r="A140" s="1"/>
      <c r="B140" s="6"/>
      <c r="C140" s="1"/>
      <c r="D140" s="6"/>
      <c r="E140" s="1"/>
      <c r="F140" s="1"/>
      <c r="G140" s="54"/>
      <c r="H140" s="54"/>
      <c r="I140" s="3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21.75" customHeight="1" x14ac:dyDescent="0.6">
      <c r="A141" s="1"/>
      <c r="B141" s="6"/>
      <c r="C141" s="1"/>
      <c r="D141" s="6"/>
      <c r="E141" s="1"/>
      <c r="F141" s="1"/>
      <c r="G141" s="54"/>
      <c r="H141" s="54"/>
      <c r="I141" s="3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21.75" customHeight="1" x14ac:dyDescent="0.6">
      <c r="A142" s="1"/>
      <c r="B142" s="6"/>
      <c r="C142" s="1"/>
      <c r="D142" s="6"/>
      <c r="E142" s="1"/>
      <c r="F142" s="1"/>
      <c r="G142" s="54"/>
      <c r="H142" s="54"/>
      <c r="I142" s="3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21.75" customHeight="1" x14ac:dyDescent="0.6">
      <c r="A143" s="1"/>
      <c r="B143" s="6"/>
      <c r="C143" s="1"/>
      <c r="D143" s="6"/>
      <c r="E143" s="1"/>
      <c r="F143" s="1"/>
      <c r="G143" s="54"/>
      <c r="H143" s="54"/>
      <c r="I143" s="3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21.75" customHeight="1" x14ac:dyDescent="0.6">
      <c r="A144" s="1"/>
      <c r="B144" s="6"/>
      <c r="C144" s="1"/>
      <c r="D144" s="6"/>
      <c r="E144" s="1"/>
      <c r="F144" s="1"/>
      <c r="G144" s="54"/>
      <c r="H144" s="54"/>
      <c r="I144" s="3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21.75" customHeight="1" x14ac:dyDescent="0.6">
      <c r="A145" s="1"/>
      <c r="B145" s="6"/>
      <c r="C145" s="1"/>
      <c r="D145" s="6"/>
      <c r="E145" s="1"/>
      <c r="F145" s="1"/>
      <c r="G145" s="54"/>
      <c r="H145" s="54"/>
      <c r="I145" s="3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21.75" customHeight="1" x14ac:dyDescent="0.6">
      <c r="A146" s="1"/>
      <c r="B146" s="6"/>
      <c r="C146" s="1"/>
      <c r="D146" s="6"/>
      <c r="E146" s="1"/>
      <c r="F146" s="1"/>
      <c r="G146" s="54"/>
      <c r="H146" s="54"/>
      <c r="I146" s="3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21.75" customHeight="1" x14ac:dyDescent="0.6">
      <c r="A147" s="1"/>
      <c r="B147" s="6"/>
      <c r="C147" s="1"/>
      <c r="D147" s="6"/>
      <c r="E147" s="1"/>
      <c r="F147" s="1"/>
      <c r="G147" s="54"/>
      <c r="H147" s="54"/>
      <c r="I147" s="3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21.75" customHeight="1" x14ac:dyDescent="0.6">
      <c r="A148" s="1"/>
      <c r="B148" s="6"/>
      <c r="C148" s="1"/>
      <c r="D148" s="6"/>
      <c r="E148" s="1"/>
      <c r="F148" s="1"/>
      <c r="G148" s="54"/>
      <c r="H148" s="54"/>
      <c r="I148" s="3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21.75" customHeight="1" x14ac:dyDescent="0.6">
      <c r="A149" s="1"/>
      <c r="B149" s="6"/>
      <c r="C149" s="1"/>
      <c r="D149" s="6"/>
      <c r="E149" s="1"/>
      <c r="F149" s="1"/>
      <c r="G149" s="54"/>
      <c r="H149" s="54"/>
      <c r="I149" s="3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21.75" customHeight="1" x14ac:dyDescent="0.6">
      <c r="A150" s="1"/>
      <c r="B150" s="6"/>
      <c r="C150" s="1"/>
      <c r="D150" s="6"/>
      <c r="E150" s="1"/>
      <c r="F150" s="1"/>
      <c r="G150" s="54"/>
      <c r="H150" s="54"/>
      <c r="I150" s="3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21.75" customHeight="1" x14ac:dyDescent="0.6">
      <c r="A151" s="1"/>
      <c r="B151" s="6"/>
      <c r="C151" s="1"/>
      <c r="D151" s="6"/>
      <c r="E151" s="1"/>
      <c r="F151" s="1"/>
      <c r="G151" s="54"/>
      <c r="H151" s="54"/>
      <c r="I151" s="3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21.75" customHeight="1" x14ac:dyDescent="0.6">
      <c r="A152" s="1"/>
      <c r="B152" s="6"/>
      <c r="C152" s="1"/>
      <c r="D152" s="6"/>
      <c r="E152" s="1"/>
      <c r="F152" s="1"/>
      <c r="G152" s="54"/>
      <c r="H152" s="54"/>
      <c r="I152" s="3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21.75" customHeight="1" x14ac:dyDescent="0.6">
      <c r="A153" s="1"/>
      <c r="B153" s="6"/>
      <c r="C153" s="1"/>
      <c r="D153" s="6"/>
      <c r="E153" s="1"/>
      <c r="F153" s="1"/>
      <c r="G153" s="54"/>
      <c r="H153" s="54"/>
      <c r="I153" s="3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21.75" customHeight="1" x14ac:dyDescent="0.6">
      <c r="A154" s="1"/>
      <c r="B154" s="6"/>
      <c r="C154" s="1"/>
      <c r="D154" s="6"/>
      <c r="E154" s="1"/>
      <c r="F154" s="1"/>
      <c r="G154" s="54"/>
      <c r="H154" s="54"/>
      <c r="I154" s="3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21.75" customHeight="1" x14ac:dyDescent="0.6">
      <c r="A155" s="1"/>
      <c r="B155" s="6"/>
      <c r="C155" s="1"/>
      <c r="D155" s="6"/>
      <c r="E155" s="1"/>
      <c r="F155" s="1"/>
      <c r="G155" s="54"/>
      <c r="H155" s="54"/>
      <c r="I155" s="3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21.75" customHeight="1" x14ac:dyDescent="0.6">
      <c r="A156" s="1"/>
      <c r="B156" s="6"/>
      <c r="C156" s="1"/>
      <c r="D156" s="6"/>
      <c r="E156" s="1"/>
      <c r="F156" s="1"/>
      <c r="G156" s="54"/>
      <c r="H156" s="54"/>
      <c r="I156" s="3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21.75" customHeight="1" x14ac:dyDescent="0.6">
      <c r="A157" s="1"/>
      <c r="B157" s="6"/>
      <c r="C157" s="1"/>
      <c r="D157" s="6"/>
      <c r="E157" s="1"/>
      <c r="F157" s="1"/>
      <c r="G157" s="54"/>
      <c r="H157" s="54"/>
      <c r="I157" s="3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21.75" customHeight="1" x14ac:dyDescent="0.6">
      <c r="A158" s="1"/>
      <c r="B158" s="6"/>
      <c r="C158" s="1"/>
      <c r="D158" s="6"/>
      <c r="E158" s="1"/>
      <c r="F158" s="1"/>
      <c r="G158" s="54"/>
      <c r="H158" s="54"/>
      <c r="I158" s="3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21.75" customHeight="1" x14ac:dyDescent="0.6">
      <c r="A159" s="1"/>
      <c r="B159" s="6"/>
      <c r="C159" s="1"/>
      <c r="D159" s="6"/>
      <c r="E159" s="1"/>
      <c r="F159" s="1"/>
      <c r="G159" s="54"/>
      <c r="H159" s="54"/>
      <c r="I159" s="3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21.75" customHeight="1" x14ac:dyDescent="0.6">
      <c r="A160" s="1"/>
      <c r="B160" s="6"/>
      <c r="C160" s="1"/>
      <c r="D160" s="6"/>
      <c r="E160" s="1"/>
      <c r="F160" s="1"/>
      <c r="G160" s="54"/>
      <c r="H160" s="54"/>
      <c r="I160" s="3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21.75" customHeight="1" x14ac:dyDescent="0.6">
      <c r="A161" s="1"/>
      <c r="B161" s="6"/>
      <c r="C161" s="1"/>
      <c r="D161" s="6"/>
      <c r="E161" s="1"/>
      <c r="F161" s="1"/>
      <c r="G161" s="54"/>
      <c r="H161" s="54"/>
      <c r="I161" s="3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21.75" customHeight="1" x14ac:dyDescent="0.6">
      <c r="A162" s="1"/>
      <c r="B162" s="6"/>
      <c r="C162" s="1"/>
      <c r="D162" s="6"/>
      <c r="E162" s="1"/>
      <c r="F162" s="1"/>
      <c r="G162" s="54"/>
      <c r="H162" s="54"/>
      <c r="I162" s="3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21.75" customHeight="1" x14ac:dyDescent="0.6">
      <c r="A163" s="1"/>
      <c r="B163" s="6"/>
      <c r="C163" s="1"/>
      <c r="D163" s="6"/>
      <c r="E163" s="1"/>
      <c r="F163" s="1"/>
      <c r="G163" s="54"/>
      <c r="H163" s="54"/>
      <c r="I163" s="3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21.75" customHeight="1" x14ac:dyDescent="0.6">
      <c r="A164" s="1"/>
      <c r="B164" s="6"/>
      <c r="C164" s="1"/>
      <c r="D164" s="6"/>
      <c r="E164" s="1"/>
      <c r="F164" s="1"/>
      <c r="G164" s="54"/>
      <c r="H164" s="54"/>
      <c r="I164" s="3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21.75" customHeight="1" x14ac:dyDescent="0.6">
      <c r="A165" s="1"/>
      <c r="B165" s="6"/>
      <c r="C165" s="1"/>
      <c r="D165" s="6"/>
      <c r="E165" s="1"/>
      <c r="F165" s="1"/>
      <c r="G165" s="54"/>
      <c r="H165" s="54"/>
      <c r="I165" s="3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21.75" customHeight="1" x14ac:dyDescent="0.6">
      <c r="A166" s="1"/>
      <c r="B166" s="6"/>
      <c r="C166" s="1"/>
      <c r="D166" s="6"/>
      <c r="E166" s="1"/>
      <c r="F166" s="1"/>
      <c r="G166" s="54"/>
      <c r="H166" s="54"/>
      <c r="I166" s="3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21.75" customHeight="1" x14ac:dyDescent="0.6">
      <c r="A167" s="1"/>
      <c r="B167" s="6"/>
      <c r="C167" s="1"/>
      <c r="D167" s="6"/>
      <c r="E167" s="1"/>
      <c r="F167" s="1"/>
      <c r="G167" s="54"/>
      <c r="H167" s="54"/>
      <c r="I167" s="3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21.75" customHeight="1" x14ac:dyDescent="0.6">
      <c r="A168" s="1"/>
      <c r="B168" s="6"/>
      <c r="C168" s="1"/>
      <c r="D168" s="6"/>
      <c r="E168" s="1"/>
      <c r="F168" s="1"/>
      <c r="G168" s="54"/>
      <c r="H168" s="54"/>
      <c r="I168" s="3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21.75" customHeight="1" x14ac:dyDescent="0.6">
      <c r="A169" s="1"/>
      <c r="B169" s="6"/>
      <c r="C169" s="1"/>
      <c r="D169" s="6"/>
      <c r="E169" s="1"/>
      <c r="F169" s="1"/>
      <c r="G169" s="54"/>
      <c r="H169" s="54"/>
      <c r="I169" s="3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21.75" customHeight="1" x14ac:dyDescent="0.6">
      <c r="A170" s="1"/>
      <c r="B170" s="6"/>
      <c r="C170" s="1"/>
      <c r="D170" s="6"/>
      <c r="E170" s="1"/>
      <c r="F170" s="1"/>
      <c r="G170" s="54"/>
      <c r="H170" s="54"/>
      <c r="I170" s="3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21.75" customHeight="1" x14ac:dyDescent="0.6">
      <c r="A171" s="1"/>
      <c r="B171" s="6"/>
      <c r="C171" s="1"/>
      <c r="D171" s="6"/>
      <c r="E171" s="1"/>
      <c r="F171" s="1"/>
      <c r="G171" s="54"/>
      <c r="H171" s="54"/>
      <c r="I171" s="3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21.75" customHeight="1" x14ac:dyDescent="0.6">
      <c r="A172" s="1"/>
      <c r="B172" s="6"/>
      <c r="C172" s="1"/>
      <c r="D172" s="6"/>
      <c r="E172" s="1"/>
      <c r="F172" s="1"/>
      <c r="G172" s="54"/>
      <c r="H172" s="54"/>
      <c r="I172" s="3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21.75" customHeight="1" x14ac:dyDescent="0.6">
      <c r="A173" s="1"/>
      <c r="B173" s="6"/>
      <c r="C173" s="1"/>
      <c r="D173" s="6"/>
      <c r="E173" s="1"/>
      <c r="F173" s="1"/>
      <c r="G173" s="54"/>
      <c r="H173" s="54"/>
      <c r="I173" s="3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21.75" customHeight="1" x14ac:dyDescent="0.6">
      <c r="A174" s="1"/>
      <c r="B174" s="6"/>
      <c r="C174" s="1"/>
      <c r="D174" s="6"/>
      <c r="E174" s="1"/>
      <c r="F174" s="1"/>
      <c r="G174" s="54"/>
      <c r="H174" s="54"/>
      <c r="I174" s="3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21.75" customHeight="1" x14ac:dyDescent="0.6">
      <c r="A175" s="1"/>
      <c r="B175" s="6"/>
      <c r="C175" s="1"/>
      <c r="D175" s="6"/>
      <c r="E175" s="1"/>
      <c r="F175" s="1"/>
      <c r="G175" s="54"/>
      <c r="H175" s="54"/>
      <c r="I175" s="3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21.75" customHeight="1" x14ac:dyDescent="0.6">
      <c r="A176" s="1"/>
      <c r="B176" s="6"/>
      <c r="C176" s="1"/>
      <c r="D176" s="6"/>
      <c r="E176" s="1"/>
      <c r="F176" s="1"/>
      <c r="G176" s="54"/>
      <c r="H176" s="54"/>
      <c r="I176" s="3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21.75" customHeight="1" x14ac:dyDescent="0.6">
      <c r="A177" s="1"/>
      <c r="B177" s="6"/>
      <c r="C177" s="1"/>
      <c r="D177" s="6"/>
      <c r="E177" s="1"/>
      <c r="F177" s="1"/>
      <c r="G177" s="54"/>
      <c r="H177" s="54"/>
      <c r="I177" s="3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21.75" customHeight="1" x14ac:dyDescent="0.6">
      <c r="A178" s="1"/>
      <c r="B178" s="6"/>
      <c r="C178" s="1"/>
      <c r="D178" s="6"/>
      <c r="E178" s="1"/>
      <c r="F178" s="1"/>
      <c r="G178" s="54"/>
      <c r="H178" s="54"/>
      <c r="I178" s="3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21.75" customHeight="1" x14ac:dyDescent="0.6">
      <c r="A179" s="1"/>
      <c r="B179" s="6"/>
      <c r="C179" s="1"/>
      <c r="D179" s="6"/>
      <c r="E179" s="1"/>
      <c r="F179" s="1"/>
      <c r="G179" s="54"/>
      <c r="H179" s="54"/>
      <c r="I179" s="3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21.75" customHeight="1" x14ac:dyDescent="0.6">
      <c r="A180" s="1"/>
      <c r="B180" s="6"/>
      <c r="C180" s="1"/>
      <c r="D180" s="6"/>
      <c r="E180" s="1"/>
      <c r="F180" s="1"/>
      <c r="G180" s="54"/>
      <c r="H180" s="54"/>
      <c r="I180" s="3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21.75" customHeight="1" x14ac:dyDescent="0.6">
      <c r="A181" s="1"/>
      <c r="B181" s="6"/>
      <c r="C181" s="1"/>
      <c r="D181" s="6"/>
      <c r="E181" s="1"/>
      <c r="F181" s="1"/>
      <c r="G181" s="54"/>
      <c r="H181" s="54"/>
      <c r="I181" s="3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21.75" customHeight="1" x14ac:dyDescent="0.6">
      <c r="A182" s="1"/>
      <c r="B182" s="6"/>
      <c r="C182" s="1"/>
      <c r="D182" s="6"/>
      <c r="E182" s="1"/>
      <c r="F182" s="1"/>
      <c r="G182" s="54"/>
      <c r="H182" s="54"/>
      <c r="I182" s="3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21.75" customHeight="1" x14ac:dyDescent="0.6">
      <c r="A183" s="1"/>
      <c r="B183" s="6"/>
      <c r="C183" s="1"/>
      <c r="D183" s="6"/>
      <c r="E183" s="1"/>
      <c r="F183" s="1"/>
      <c r="G183" s="54"/>
      <c r="H183" s="54"/>
      <c r="I183" s="3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21.75" customHeight="1" x14ac:dyDescent="0.6">
      <c r="A184" s="1"/>
      <c r="B184" s="6"/>
      <c r="C184" s="1"/>
      <c r="D184" s="6"/>
      <c r="E184" s="1"/>
      <c r="F184" s="1"/>
      <c r="G184" s="54"/>
      <c r="H184" s="54"/>
      <c r="I184" s="3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21.75" customHeight="1" x14ac:dyDescent="0.6">
      <c r="A185" s="1"/>
      <c r="B185" s="6"/>
      <c r="C185" s="1"/>
      <c r="D185" s="6"/>
      <c r="E185" s="1"/>
      <c r="F185" s="1"/>
      <c r="G185" s="54"/>
      <c r="H185" s="54"/>
      <c r="I185" s="3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21.75" customHeight="1" x14ac:dyDescent="0.6">
      <c r="A186" s="1"/>
      <c r="B186" s="6"/>
      <c r="C186" s="1"/>
      <c r="D186" s="6"/>
      <c r="E186" s="1"/>
      <c r="F186" s="1"/>
      <c r="G186" s="54"/>
      <c r="H186" s="54"/>
      <c r="I186" s="3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21.75" customHeight="1" x14ac:dyDescent="0.6">
      <c r="A187" s="1"/>
      <c r="B187" s="6"/>
      <c r="C187" s="1"/>
      <c r="D187" s="6"/>
      <c r="E187" s="1"/>
      <c r="F187" s="1"/>
      <c r="G187" s="54"/>
      <c r="H187" s="54"/>
      <c r="I187" s="3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21.75" customHeight="1" x14ac:dyDescent="0.6">
      <c r="A188" s="1"/>
      <c r="B188" s="6"/>
      <c r="C188" s="1"/>
      <c r="D188" s="6"/>
      <c r="E188" s="1"/>
      <c r="F188" s="1"/>
      <c r="G188" s="54"/>
      <c r="H188" s="54"/>
      <c r="I188" s="3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21.75" customHeight="1" x14ac:dyDescent="0.6">
      <c r="A189" s="1"/>
      <c r="B189" s="6"/>
      <c r="C189" s="1"/>
      <c r="D189" s="6"/>
      <c r="E189" s="1"/>
      <c r="F189" s="1"/>
      <c r="G189" s="54"/>
      <c r="H189" s="54"/>
      <c r="I189" s="3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21.75" customHeight="1" x14ac:dyDescent="0.6">
      <c r="A190" s="1"/>
      <c r="B190" s="6"/>
      <c r="C190" s="1"/>
      <c r="D190" s="6"/>
      <c r="E190" s="1"/>
      <c r="F190" s="1"/>
      <c r="G190" s="54"/>
      <c r="H190" s="54"/>
      <c r="I190" s="3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21.75" customHeight="1" x14ac:dyDescent="0.6">
      <c r="A191" s="1"/>
      <c r="B191" s="6"/>
      <c r="C191" s="1"/>
      <c r="D191" s="6"/>
      <c r="E191" s="1"/>
      <c r="F191" s="1"/>
      <c r="G191" s="54"/>
      <c r="H191" s="54"/>
      <c r="I191" s="3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21.75" customHeight="1" x14ac:dyDescent="0.6">
      <c r="A192" s="1"/>
      <c r="B192" s="6"/>
      <c r="C192" s="1"/>
      <c r="D192" s="6"/>
      <c r="E192" s="1"/>
      <c r="F192" s="1"/>
      <c r="G192" s="54"/>
      <c r="H192" s="54"/>
      <c r="I192" s="3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21.75" customHeight="1" x14ac:dyDescent="0.6">
      <c r="A193" s="1"/>
      <c r="B193" s="6"/>
      <c r="C193" s="1"/>
      <c r="D193" s="6"/>
      <c r="E193" s="1"/>
      <c r="F193" s="1"/>
      <c r="G193" s="54"/>
      <c r="H193" s="54"/>
      <c r="I193" s="3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21.75" customHeight="1" x14ac:dyDescent="0.6">
      <c r="A194" s="1"/>
      <c r="B194" s="6"/>
      <c r="C194" s="1"/>
      <c r="D194" s="6"/>
      <c r="E194" s="1"/>
      <c r="F194" s="1"/>
      <c r="G194" s="54"/>
      <c r="H194" s="54"/>
      <c r="I194" s="3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21.75" customHeight="1" x14ac:dyDescent="0.6">
      <c r="A195" s="1"/>
      <c r="B195" s="6"/>
      <c r="C195" s="1"/>
      <c r="D195" s="6"/>
      <c r="E195" s="1"/>
      <c r="F195" s="1"/>
      <c r="G195" s="54"/>
      <c r="H195" s="54"/>
      <c r="I195" s="3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21.75" customHeight="1" x14ac:dyDescent="0.6">
      <c r="A196" s="1"/>
      <c r="B196" s="6"/>
      <c r="C196" s="1"/>
      <c r="D196" s="6"/>
      <c r="E196" s="1"/>
      <c r="F196" s="1"/>
      <c r="G196" s="54"/>
      <c r="H196" s="54"/>
      <c r="I196" s="3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21.75" customHeight="1" x14ac:dyDescent="0.6">
      <c r="A197" s="1"/>
      <c r="B197" s="6"/>
      <c r="C197" s="1"/>
      <c r="D197" s="6"/>
      <c r="E197" s="1"/>
      <c r="F197" s="1"/>
      <c r="G197" s="54"/>
      <c r="H197" s="54"/>
      <c r="I197" s="3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21.75" customHeight="1" x14ac:dyDescent="0.6">
      <c r="A198" s="1"/>
      <c r="B198" s="6"/>
      <c r="C198" s="1"/>
      <c r="D198" s="6"/>
      <c r="E198" s="1"/>
      <c r="F198" s="1"/>
      <c r="G198" s="54"/>
      <c r="H198" s="54"/>
      <c r="I198" s="3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21.75" customHeight="1" x14ac:dyDescent="0.6">
      <c r="A199" s="1"/>
      <c r="B199" s="6"/>
      <c r="C199" s="1"/>
      <c r="D199" s="6"/>
      <c r="E199" s="1"/>
      <c r="F199" s="1"/>
      <c r="G199" s="54"/>
      <c r="H199" s="54"/>
      <c r="I199" s="3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21.75" customHeight="1" x14ac:dyDescent="0.6">
      <c r="A200" s="1"/>
      <c r="B200" s="6"/>
      <c r="C200" s="1"/>
      <c r="D200" s="6"/>
      <c r="E200" s="1"/>
      <c r="F200" s="1"/>
      <c r="G200" s="54"/>
      <c r="H200" s="54"/>
      <c r="I200" s="3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21.75" customHeight="1" x14ac:dyDescent="0.6">
      <c r="A201" s="1"/>
      <c r="B201" s="6"/>
      <c r="C201" s="1"/>
      <c r="D201" s="6"/>
      <c r="E201" s="1"/>
      <c r="F201" s="1"/>
      <c r="G201" s="54"/>
      <c r="H201" s="54"/>
      <c r="I201" s="3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21.75" customHeight="1" x14ac:dyDescent="0.6">
      <c r="A202" s="1"/>
      <c r="B202" s="6"/>
      <c r="C202" s="1"/>
      <c r="D202" s="6"/>
      <c r="E202" s="1"/>
      <c r="F202" s="1"/>
      <c r="G202" s="54"/>
      <c r="H202" s="54"/>
      <c r="I202" s="3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21.75" customHeight="1" x14ac:dyDescent="0.6">
      <c r="A203" s="1"/>
      <c r="B203" s="6"/>
      <c r="C203" s="1"/>
      <c r="D203" s="6"/>
      <c r="E203" s="1"/>
      <c r="F203" s="1"/>
      <c r="G203" s="54"/>
      <c r="H203" s="54"/>
      <c r="I203" s="3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21.75" customHeight="1" x14ac:dyDescent="0.6">
      <c r="A204" s="1"/>
      <c r="B204" s="6"/>
      <c r="C204" s="1"/>
      <c r="D204" s="6"/>
      <c r="E204" s="1"/>
      <c r="F204" s="1"/>
      <c r="G204" s="54"/>
      <c r="H204" s="54"/>
      <c r="I204" s="3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21.75" customHeight="1" x14ac:dyDescent="0.6">
      <c r="A205" s="1"/>
      <c r="B205" s="6"/>
      <c r="C205" s="1"/>
      <c r="D205" s="6"/>
      <c r="E205" s="1"/>
      <c r="F205" s="1"/>
      <c r="G205" s="54"/>
      <c r="H205" s="54"/>
      <c r="I205" s="3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21.75" customHeight="1" x14ac:dyDescent="0.6">
      <c r="A206" s="1"/>
      <c r="B206" s="6"/>
      <c r="C206" s="1"/>
      <c r="D206" s="6"/>
      <c r="E206" s="1"/>
      <c r="F206" s="1"/>
      <c r="G206" s="54"/>
      <c r="H206" s="54"/>
      <c r="I206" s="3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21.75" customHeight="1" x14ac:dyDescent="0.6">
      <c r="A207" s="1"/>
      <c r="B207" s="6"/>
      <c r="C207" s="1"/>
      <c r="D207" s="6"/>
      <c r="E207" s="1"/>
      <c r="F207" s="1"/>
      <c r="G207" s="54"/>
      <c r="H207" s="54"/>
      <c r="I207" s="3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21.75" customHeight="1" x14ac:dyDescent="0.6">
      <c r="A208" s="1"/>
      <c r="B208" s="6"/>
      <c r="C208" s="1"/>
      <c r="D208" s="6"/>
      <c r="E208" s="1"/>
      <c r="F208" s="1"/>
      <c r="G208" s="54"/>
      <c r="H208" s="54"/>
      <c r="I208" s="3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21.75" customHeight="1" x14ac:dyDescent="0.6">
      <c r="A209" s="1"/>
      <c r="B209" s="6"/>
      <c r="C209" s="1"/>
      <c r="D209" s="6"/>
      <c r="E209" s="1"/>
      <c r="F209" s="1"/>
      <c r="G209" s="54"/>
      <c r="H209" s="54"/>
      <c r="I209" s="3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21.75" customHeight="1" x14ac:dyDescent="0.6">
      <c r="A210" s="1"/>
      <c r="B210" s="6"/>
      <c r="C210" s="1"/>
      <c r="D210" s="6"/>
      <c r="E210" s="1"/>
      <c r="F210" s="1"/>
      <c r="G210" s="54"/>
      <c r="H210" s="54"/>
      <c r="I210" s="3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21.75" customHeight="1" x14ac:dyDescent="0.6">
      <c r="A211" s="1"/>
      <c r="B211" s="6"/>
      <c r="C211" s="1"/>
      <c r="D211" s="6"/>
      <c r="E211" s="1"/>
      <c r="F211" s="1"/>
      <c r="G211" s="54"/>
      <c r="H211" s="54"/>
      <c r="I211" s="3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21.75" customHeight="1" x14ac:dyDescent="0.6">
      <c r="A212" s="1"/>
      <c r="B212" s="6"/>
      <c r="C212" s="1"/>
      <c r="D212" s="6"/>
      <c r="E212" s="1"/>
      <c r="F212" s="1"/>
      <c r="G212" s="54"/>
      <c r="H212" s="54"/>
      <c r="I212" s="3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21.75" customHeight="1" x14ac:dyDescent="0.6">
      <c r="A213" s="1"/>
      <c r="B213" s="6"/>
      <c r="C213" s="1"/>
      <c r="D213" s="6"/>
      <c r="E213" s="1"/>
      <c r="F213" s="1"/>
      <c r="G213" s="54"/>
      <c r="H213" s="54"/>
      <c r="I213" s="3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21.75" customHeight="1" x14ac:dyDescent="0.6">
      <c r="A214" s="1"/>
      <c r="B214" s="6"/>
      <c r="C214" s="1"/>
      <c r="D214" s="6"/>
      <c r="E214" s="1"/>
      <c r="F214" s="1"/>
      <c r="G214" s="54"/>
      <c r="H214" s="54"/>
      <c r="I214" s="3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21.75" customHeight="1" x14ac:dyDescent="0.6">
      <c r="A215" s="1"/>
      <c r="B215" s="6"/>
      <c r="C215" s="1"/>
      <c r="D215" s="6"/>
      <c r="E215" s="1"/>
      <c r="F215" s="1"/>
      <c r="G215" s="54"/>
      <c r="H215" s="54"/>
      <c r="I215" s="3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21.75" customHeight="1" x14ac:dyDescent="0.6">
      <c r="A216" s="1"/>
      <c r="B216" s="6"/>
      <c r="C216" s="1"/>
      <c r="D216" s="6"/>
      <c r="E216" s="1"/>
      <c r="F216" s="1"/>
      <c r="G216" s="54"/>
      <c r="H216" s="54"/>
      <c r="I216" s="3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21.75" customHeight="1" x14ac:dyDescent="0.6">
      <c r="A217" s="1"/>
      <c r="B217" s="6"/>
      <c r="C217" s="1"/>
      <c r="D217" s="6"/>
      <c r="E217" s="1"/>
      <c r="F217" s="1"/>
      <c r="G217" s="54"/>
      <c r="H217" s="54"/>
      <c r="I217" s="3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21.75" customHeight="1" x14ac:dyDescent="0.6">
      <c r="A218" s="1"/>
      <c r="B218" s="6"/>
      <c r="C218" s="1"/>
      <c r="D218" s="6"/>
      <c r="E218" s="1"/>
      <c r="F218" s="1"/>
      <c r="G218" s="54"/>
      <c r="H218" s="54"/>
      <c r="I218" s="3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21.75" customHeight="1" x14ac:dyDescent="0.6">
      <c r="A219" s="1"/>
      <c r="B219" s="6"/>
      <c r="C219" s="1"/>
      <c r="D219" s="6"/>
      <c r="E219" s="1"/>
      <c r="F219" s="1"/>
      <c r="G219" s="54"/>
      <c r="H219" s="54"/>
      <c r="I219" s="3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21.75" customHeight="1" x14ac:dyDescent="0.6">
      <c r="A220" s="1"/>
      <c r="B220" s="6"/>
      <c r="C220" s="1"/>
      <c r="D220" s="6"/>
      <c r="E220" s="1"/>
      <c r="F220" s="1"/>
      <c r="G220" s="54"/>
      <c r="H220" s="54"/>
      <c r="I220" s="3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21.75" customHeight="1" x14ac:dyDescent="0.6">
      <c r="A221" s="1"/>
      <c r="B221" s="6"/>
      <c r="C221" s="1"/>
      <c r="D221" s="6"/>
      <c r="E221" s="1"/>
      <c r="F221" s="1"/>
      <c r="G221" s="54"/>
      <c r="H221" s="54"/>
      <c r="I221" s="3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21.75" customHeight="1" x14ac:dyDescent="0.6">
      <c r="A222" s="1"/>
      <c r="B222" s="6"/>
      <c r="C222" s="1"/>
      <c r="D222" s="6"/>
      <c r="E222" s="1"/>
      <c r="F222" s="1"/>
      <c r="G222" s="54"/>
      <c r="H222" s="54"/>
      <c r="I222" s="3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21.75" customHeight="1" x14ac:dyDescent="0.6">
      <c r="A223" s="1"/>
      <c r="B223" s="6"/>
      <c r="C223" s="1"/>
      <c r="D223" s="6"/>
      <c r="E223" s="1"/>
      <c r="F223" s="1"/>
      <c r="G223" s="54"/>
      <c r="H223" s="54"/>
      <c r="I223" s="3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21.75" customHeight="1" x14ac:dyDescent="0.6">
      <c r="A224" s="1"/>
      <c r="B224" s="6"/>
      <c r="C224" s="1"/>
      <c r="D224" s="6"/>
      <c r="E224" s="1"/>
      <c r="F224" s="1"/>
      <c r="G224" s="54"/>
      <c r="H224" s="54"/>
      <c r="I224" s="3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21.75" customHeight="1" x14ac:dyDescent="0.6">
      <c r="A225" s="1"/>
      <c r="B225" s="6"/>
      <c r="C225" s="1"/>
      <c r="D225" s="6"/>
      <c r="E225" s="1"/>
      <c r="F225" s="1"/>
      <c r="G225" s="54"/>
      <c r="H225" s="54"/>
      <c r="I225" s="3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21.75" customHeight="1" x14ac:dyDescent="0.6">
      <c r="A226" s="1"/>
      <c r="B226" s="6"/>
      <c r="C226" s="1"/>
      <c r="D226" s="6"/>
      <c r="E226" s="1"/>
      <c r="F226" s="1"/>
      <c r="G226" s="54"/>
      <c r="H226" s="54"/>
      <c r="I226" s="3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21.75" customHeight="1" x14ac:dyDescent="0.6">
      <c r="A227" s="1"/>
      <c r="B227" s="6"/>
      <c r="C227" s="1"/>
      <c r="D227" s="6"/>
      <c r="E227" s="1"/>
      <c r="F227" s="1"/>
      <c r="G227" s="54"/>
      <c r="H227" s="54"/>
      <c r="I227" s="3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21.75" customHeight="1" x14ac:dyDescent="0.6">
      <c r="A228" s="1"/>
      <c r="B228" s="6"/>
      <c r="C228" s="1"/>
      <c r="D228" s="6"/>
      <c r="E228" s="1"/>
      <c r="F228" s="1"/>
      <c r="G228" s="54"/>
      <c r="H228" s="54"/>
      <c r="I228" s="3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21.75" customHeight="1" x14ac:dyDescent="0.6">
      <c r="A229" s="1"/>
      <c r="B229" s="6"/>
      <c r="C229" s="1"/>
      <c r="D229" s="6"/>
      <c r="E229" s="1"/>
      <c r="F229" s="1"/>
      <c r="G229" s="54"/>
      <c r="H229" s="54"/>
      <c r="I229" s="3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21.75" customHeight="1" x14ac:dyDescent="0.6">
      <c r="A230" s="1"/>
      <c r="B230" s="6"/>
      <c r="C230" s="1"/>
      <c r="D230" s="6"/>
      <c r="E230" s="1"/>
      <c r="F230" s="1"/>
      <c r="G230" s="54"/>
      <c r="H230" s="54"/>
      <c r="I230" s="3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21.75" customHeight="1" x14ac:dyDescent="0.6">
      <c r="A231" s="1"/>
      <c r="B231" s="6"/>
      <c r="C231" s="1"/>
      <c r="D231" s="6"/>
      <c r="E231" s="1"/>
      <c r="F231" s="1"/>
      <c r="G231" s="54"/>
      <c r="H231" s="54"/>
      <c r="I231" s="3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21.75" customHeight="1" x14ac:dyDescent="0.6">
      <c r="A232" s="1"/>
      <c r="B232" s="6"/>
      <c r="C232" s="1"/>
      <c r="D232" s="6"/>
      <c r="E232" s="1"/>
      <c r="F232" s="1"/>
      <c r="G232" s="54"/>
      <c r="H232" s="54"/>
      <c r="I232" s="3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21.75" customHeight="1" x14ac:dyDescent="0.6">
      <c r="A233" s="1"/>
      <c r="B233" s="6"/>
      <c r="C233" s="1"/>
      <c r="D233" s="6"/>
      <c r="E233" s="1"/>
      <c r="F233" s="1"/>
      <c r="G233" s="54"/>
      <c r="H233" s="54"/>
      <c r="I233" s="3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21.75" customHeight="1" x14ac:dyDescent="0.6">
      <c r="A234" s="1"/>
      <c r="B234" s="6"/>
      <c r="C234" s="1"/>
      <c r="D234" s="6"/>
      <c r="E234" s="1"/>
      <c r="F234" s="1"/>
      <c r="G234" s="54"/>
      <c r="H234" s="54"/>
      <c r="I234" s="3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21.75" customHeight="1" x14ac:dyDescent="0.6">
      <c r="A235" s="1"/>
      <c r="B235" s="6"/>
      <c r="C235" s="1"/>
      <c r="D235" s="6"/>
      <c r="E235" s="1"/>
      <c r="F235" s="1"/>
      <c r="G235" s="54"/>
      <c r="H235" s="54"/>
      <c r="I235" s="3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21.75" customHeight="1" x14ac:dyDescent="0.6">
      <c r="A236" s="1"/>
      <c r="B236" s="6"/>
      <c r="C236" s="1"/>
      <c r="D236" s="6"/>
      <c r="E236" s="1"/>
      <c r="F236" s="1"/>
      <c r="G236" s="54"/>
      <c r="H236" s="54"/>
      <c r="I236" s="3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21.75" customHeight="1" x14ac:dyDescent="0.6">
      <c r="A237" s="1"/>
      <c r="B237" s="6"/>
      <c r="C237" s="1"/>
      <c r="D237" s="6"/>
      <c r="E237" s="1"/>
      <c r="F237" s="1"/>
      <c r="G237" s="54"/>
      <c r="H237" s="54"/>
      <c r="I237" s="3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21.75" customHeight="1" x14ac:dyDescent="0.6">
      <c r="A238" s="1"/>
      <c r="B238" s="6"/>
      <c r="C238" s="1"/>
      <c r="D238" s="6"/>
      <c r="E238" s="1"/>
      <c r="F238" s="1"/>
      <c r="G238" s="54"/>
      <c r="H238" s="54"/>
      <c r="I238" s="3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21.75" customHeight="1" x14ac:dyDescent="0.6">
      <c r="A239" s="1"/>
      <c r="B239" s="6"/>
      <c r="C239" s="1"/>
      <c r="D239" s="6"/>
      <c r="E239" s="1"/>
      <c r="F239" s="1"/>
      <c r="G239" s="54"/>
      <c r="H239" s="54"/>
      <c r="I239" s="3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21.75" customHeight="1" x14ac:dyDescent="0.6">
      <c r="A240" s="1"/>
      <c r="B240" s="6"/>
      <c r="C240" s="1"/>
      <c r="D240" s="6"/>
      <c r="E240" s="1"/>
      <c r="F240" s="1"/>
      <c r="G240" s="54"/>
      <c r="H240" s="54"/>
      <c r="I240" s="3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21.75" customHeight="1" x14ac:dyDescent="0.6">
      <c r="A241" s="1"/>
      <c r="B241" s="6"/>
      <c r="C241" s="1"/>
      <c r="D241" s="6"/>
      <c r="E241" s="1"/>
      <c r="F241" s="1"/>
      <c r="G241" s="54"/>
      <c r="H241" s="54"/>
      <c r="I241" s="3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21.75" customHeight="1" x14ac:dyDescent="0.6">
      <c r="A242" s="1"/>
      <c r="B242" s="6"/>
      <c r="C242" s="1"/>
      <c r="D242" s="6"/>
      <c r="E242" s="1"/>
      <c r="F242" s="1"/>
      <c r="G242" s="54"/>
      <c r="H242" s="54"/>
      <c r="I242" s="3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21.75" customHeight="1" x14ac:dyDescent="0.6">
      <c r="A243" s="1"/>
      <c r="B243" s="6"/>
      <c r="C243" s="1"/>
      <c r="D243" s="6"/>
      <c r="E243" s="1"/>
      <c r="F243" s="1"/>
      <c r="G243" s="54"/>
      <c r="H243" s="54"/>
      <c r="I243" s="3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21.75" customHeight="1" x14ac:dyDescent="0.6">
      <c r="A244" s="1"/>
      <c r="B244" s="6"/>
      <c r="C244" s="1"/>
      <c r="D244" s="6"/>
      <c r="E244" s="1"/>
      <c r="F244" s="1"/>
      <c r="G244" s="54"/>
      <c r="H244" s="54"/>
      <c r="I244" s="3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21.75" customHeight="1" x14ac:dyDescent="0.6">
      <c r="A245" s="1"/>
      <c r="B245" s="6"/>
      <c r="C245" s="1"/>
      <c r="D245" s="6"/>
      <c r="E245" s="1"/>
      <c r="F245" s="1"/>
      <c r="G245" s="54"/>
      <c r="H245" s="54"/>
      <c r="I245" s="3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21.75" customHeight="1" x14ac:dyDescent="0.6">
      <c r="A246" s="1"/>
      <c r="B246" s="6"/>
      <c r="C246" s="1"/>
      <c r="D246" s="6"/>
      <c r="E246" s="1"/>
      <c r="F246" s="1"/>
      <c r="G246" s="54"/>
      <c r="H246" s="54"/>
      <c r="I246" s="3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21.75" customHeight="1" x14ac:dyDescent="0.6">
      <c r="A247" s="1"/>
      <c r="B247" s="6"/>
      <c r="C247" s="1"/>
      <c r="D247" s="6"/>
      <c r="E247" s="1"/>
      <c r="F247" s="1"/>
      <c r="G247" s="54"/>
      <c r="H247" s="54"/>
      <c r="I247" s="3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21.75" customHeight="1" x14ac:dyDescent="0.6">
      <c r="A248" s="1"/>
      <c r="B248" s="6"/>
      <c r="C248" s="1"/>
      <c r="D248" s="6"/>
      <c r="E248" s="1"/>
      <c r="F248" s="1"/>
      <c r="G248" s="54"/>
      <c r="H248" s="54"/>
      <c r="I248" s="3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21.75" customHeight="1" x14ac:dyDescent="0.6">
      <c r="A249" s="1"/>
      <c r="B249" s="6"/>
      <c r="C249" s="1"/>
      <c r="D249" s="6"/>
      <c r="E249" s="1"/>
      <c r="F249" s="1"/>
      <c r="G249" s="54"/>
      <c r="H249" s="54"/>
      <c r="I249" s="3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21.75" customHeight="1" x14ac:dyDescent="0.6">
      <c r="A250" s="1"/>
      <c r="B250" s="6"/>
      <c r="C250" s="1"/>
      <c r="D250" s="6"/>
      <c r="E250" s="1"/>
      <c r="F250" s="1"/>
      <c r="G250" s="54"/>
      <c r="H250" s="54"/>
      <c r="I250" s="3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21.75" customHeight="1" x14ac:dyDescent="0.6">
      <c r="A251" s="1"/>
      <c r="B251" s="6"/>
      <c r="C251" s="1"/>
      <c r="D251" s="6"/>
      <c r="E251" s="1"/>
      <c r="F251" s="1"/>
      <c r="G251" s="54"/>
      <c r="H251" s="54"/>
      <c r="I251" s="3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21.75" customHeight="1" x14ac:dyDescent="0.6">
      <c r="A252" s="1"/>
      <c r="B252" s="6"/>
      <c r="C252" s="1"/>
      <c r="D252" s="6"/>
      <c r="E252" s="1"/>
      <c r="F252" s="1"/>
      <c r="G252" s="54"/>
      <c r="H252" s="54"/>
      <c r="I252" s="3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21.75" customHeight="1" x14ac:dyDescent="0.6">
      <c r="A253" s="1"/>
      <c r="B253" s="6"/>
      <c r="C253" s="1"/>
      <c r="D253" s="6"/>
      <c r="E253" s="1"/>
      <c r="F253" s="1"/>
      <c r="G253" s="54"/>
      <c r="H253" s="54"/>
      <c r="I253" s="3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21.75" customHeight="1" x14ac:dyDescent="0.6">
      <c r="A254" s="1"/>
      <c r="B254" s="6"/>
      <c r="C254" s="1"/>
      <c r="D254" s="6"/>
      <c r="E254" s="1"/>
      <c r="F254" s="1"/>
      <c r="G254" s="54"/>
      <c r="H254" s="54"/>
      <c r="I254" s="3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21.75" customHeight="1" x14ac:dyDescent="0.6">
      <c r="A255" s="1"/>
      <c r="B255" s="6"/>
      <c r="C255" s="1"/>
      <c r="D255" s="6"/>
      <c r="E255" s="1"/>
      <c r="F255" s="1"/>
      <c r="G255" s="54"/>
      <c r="H255" s="54"/>
      <c r="I255" s="3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21.75" customHeight="1" x14ac:dyDescent="0.6">
      <c r="A256" s="1"/>
      <c r="B256" s="6"/>
      <c r="C256" s="1"/>
      <c r="D256" s="6"/>
      <c r="E256" s="1"/>
      <c r="F256" s="1"/>
      <c r="G256" s="54"/>
      <c r="H256" s="54"/>
      <c r="I256" s="3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21.75" customHeight="1" x14ac:dyDescent="0.6">
      <c r="A257" s="1"/>
      <c r="B257" s="6"/>
      <c r="C257" s="1"/>
      <c r="D257" s="6"/>
      <c r="E257" s="1"/>
      <c r="F257" s="1"/>
      <c r="G257" s="54"/>
      <c r="H257" s="54"/>
      <c r="I257" s="3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21.75" customHeight="1" x14ac:dyDescent="0.6">
      <c r="A258" s="1"/>
      <c r="B258" s="6"/>
      <c r="C258" s="1"/>
      <c r="D258" s="6"/>
      <c r="E258" s="1"/>
      <c r="F258" s="1"/>
      <c r="G258" s="54"/>
      <c r="H258" s="54"/>
      <c r="I258" s="3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21.75" customHeight="1" x14ac:dyDescent="0.6">
      <c r="A259" s="1"/>
      <c r="B259" s="6"/>
      <c r="C259" s="1"/>
      <c r="D259" s="6"/>
      <c r="E259" s="1"/>
      <c r="F259" s="1"/>
      <c r="G259" s="54"/>
      <c r="H259" s="54"/>
      <c r="I259" s="3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21.75" customHeight="1" x14ac:dyDescent="0.6">
      <c r="A260" s="1"/>
      <c r="B260" s="6"/>
      <c r="C260" s="1"/>
      <c r="D260" s="6"/>
      <c r="E260" s="1"/>
      <c r="F260" s="1"/>
      <c r="G260" s="54"/>
      <c r="H260" s="54"/>
      <c r="I260" s="3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21.75" customHeight="1" x14ac:dyDescent="0.6">
      <c r="A261" s="1"/>
      <c r="B261" s="6"/>
      <c r="C261" s="1"/>
      <c r="D261" s="6"/>
      <c r="E261" s="1"/>
      <c r="F261" s="1"/>
      <c r="G261" s="54"/>
      <c r="H261" s="54"/>
      <c r="I261" s="3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21.75" customHeight="1" x14ac:dyDescent="0.6">
      <c r="A262" s="1"/>
      <c r="B262" s="6"/>
      <c r="C262" s="1"/>
      <c r="D262" s="6"/>
      <c r="E262" s="1"/>
      <c r="F262" s="1"/>
      <c r="G262" s="54"/>
      <c r="H262" s="54"/>
      <c r="I262" s="3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21.75" customHeight="1" x14ac:dyDescent="0.6">
      <c r="A263" s="1"/>
      <c r="B263" s="6"/>
      <c r="C263" s="1"/>
      <c r="D263" s="6"/>
      <c r="E263" s="1"/>
      <c r="F263" s="1"/>
      <c r="G263" s="54"/>
      <c r="H263" s="54"/>
      <c r="I263" s="3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21.75" customHeight="1" x14ac:dyDescent="0.6">
      <c r="A264" s="1"/>
      <c r="B264" s="6"/>
      <c r="C264" s="1"/>
      <c r="D264" s="6"/>
      <c r="E264" s="1"/>
      <c r="F264" s="1"/>
      <c r="G264" s="54"/>
      <c r="H264" s="54"/>
      <c r="I264" s="3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21.75" customHeight="1" x14ac:dyDescent="0.6">
      <c r="A265" s="1"/>
      <c r="B265" s="6"/>
      <c r="C265" s="1"/>
      <c r="D265" s="6"/>
      <c r="E265" s="1"/>
      <c r="F265" s="1"/>
      <c r="G265" s="54"/>
      <c r="H265" s="54"/>
      <c r="I265" s="3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21.75" customHeight="1" x14ac:dyDescent="0.6">
      <c r="A266" s="1"/>
      <c r="B266" s="6"/>
      <c r="C266" s="1"/>
      <c r="D266" s="6"/>
      <c r="E266" s="1"/>
      <c r="F266" s="1"/>
      <c r="G266" s="54"/>
      <c r="H266" s="54"/>
      <c r="I266" s="3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21.75" customHeight="1" x14ac:dyDescent="0.6">
      <c r="A267" s="1"/>
      <c r="B267" s="6"/>
      <c r="C267" s="1"/>
      <c r="D267" s="6"/>
      <c r="E267" s="1"/>
      <c r="F267" s="1"/>
      <c r="G267" s="54"/>
      <c r="H267" s="54"/>
      <c r="I267" s="3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21.75" customHeight="1" x14ac:dyDescent="0.6">
      <c r="A268" s="1"/>
      <c r="B268" s="6"/>
      <c r="C268" s="1"/>
      <c r="D268" s="6"/>
      <c r="E268" s="1"/>
      <c r="F268" s="1"/>
      <c r="G268" s="54"/>
      <c r="H268" s="54"/>
      <c r="I268" s="3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21.75" customHeight="1" x14ac:dyDescent="0.6">
      <c r="A269" s="1"/>
      <c r="B269" s="6"/>
      <c r="C269" s="1"/>
      <c r="D269" s="6"/>
      <c r="E269" s="1"/>
      <c r="F269" s="1"/>
      <c r="G269" s="54"/>
      <c r="H269" s="54"/>
      <c r="I269" s="3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21.75" customHeight="1" x14ac:dyDescent="0.6">
      <c r="A270" s="1"/>
      <c r="B270" s="6"/>
      <c r="C270" s="1"/>
      <c r="D270" s="6"/>
      <c r="E270" s="1"/>
      <c r="F270" s="1"/>
      <c r="G270" s="54"/>
      <c r="H270" s="54"/>
      <c r="I270" s="3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21.75" customHeight="1" x14ac:dyDescent="0.6">
      <c r="A271" s="1"/>
      <c r="B271" s="6"/>
      <c r="C271" s="1"/>
      <c r="D271" s="6"/>
      <c r="E271" s="1"/>
      <c r="F271" s="1"/>
      <c r="G271" s="54"/>
      <c r="H271" s="54"/>
      <c r="I271" s="3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21.75" customHeight="1" x14ac:dyDescent="0.6">
      <c r="A272" s="1"/>
      <c r="B272" s="6"/>
      <c r="C272" s="1"/>
      <c r="D272" s="6"/>
      <c r="E272" s="1"/>
      <c r="F272" s="1"/>
      <c r="G272" s="54"/>
      <c r="H272" s="54"/>
      <c r="I272" s="3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21.75" customHeight="1" x14ac:dyDescent="0.6">
      <c r="A273" s="1"/>
      <c r="B273" s="6"/>
      <c r="C273" s="1"/>
      <c r="D273" s="6"/>
      <c r="E273" s="1"/>
      <c r="F273" s="1"/>
      <c r="G273" s="54"/>
      <c r="H273" s="54"/>
      <c r="I273" s="3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21.75" customHeight="1" x14ac:dyDescent="0.6">
      <c r="A274" s="1"/>
      <c r="B274" s="6"/>
      <c r="C274" s="1"/>
      <c r="D274" s="6"/>
      <c r="E274" s="1"/>
      <c r="F274" s="1"/>
      <c r="G274" s="54"/>
      <c r="H274" s="54"/>
      <c r="I274" s="3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21.75" customHeight="1" x14ac:dyDescent="0.6">
      <c r="A275" s="1"/>
      <c r="B275" s="6"/>
      <c r="C275" s="1"/>
      <c r="D275" s="6"/>
      <c r="E275" s="1"/>
      <c r="F275" s="1"/>
      <c r="G275" s="54"/>
      <c r="H275" s="54"/>
      <c r="I275" s="3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21.75" customHeight="1" x14ac:dyDescent="0.6">
      <c r="A276" s="1"/>
      <c r="B276" s="6"/>
      <c r="C276" s="1"/>
      <c r="D276" s="6"/>
      <c r="E276" s="1"/>
      <c r="F276" s="1"/>
      <c r="G276" s="54"/>
      <c r="H276" s="54"/>
      <c r="I276" s="3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21.75" customHeight="1" x14ac:dyDescent="0.6">
      <c r="A277" s="1"/>
      <c r="B277" s="6"/>
      <c r="C277" s="1"/>
      <c r="D277" s="6"/>
      <c r="E277" s="1"/>
      <c r="F277" s="1"/>
      <c r="G277" s="54"/>
      <c r="H277" s="54"/>
      <c r="I277" s="3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21.75" customHeight="1" x14ac:dyDescent="0.6">
      <c r="A278" s="1"/>
      <c r="B278" s="6"/>
      <c r="C278" s="1"/>
      <c r="D278" s="6"/>
      <c r="E278" s="1"/>
      <c r="F278" s="1"/>
      <c r="G278" s="54"/>
      <c r="H278" s="54"/>
      <c r="I278" s="3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21.75" customHeight="1" x14ac:dyDescent="0.6">
      <c r="A279" s="1"/>
      <c r="B279" s="6"/>
      <c r="C279" s="1"/>
      <c r="D279" s="6"/>
      <c r="E279" s="1"/>
      <c r="F279" s="1"/>
      <c r="G279" s="54"/>
      <c r="H279" s="54"/>
      <c r="I279" s="3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21.75" customHeight="1" x14ac:dyDescent="0.6">
      <c r="A280" s="1"/>
      <c r="B280" s="6"/>
      <c r="C280" s="1"/>
      <c r="D280" s="6"/>
      <c r="E280" s="1"/>
      <c r="F280" s="1"/>
      <c r="G280" s="54"/>
      <c r="H280" s="54"/>
      <c r="I280" s="3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21.75" customHeight="1" x14ac:dyDescent="0.6">
      <c r="A281" s="1"/>
      <c r="B281" s="6"/>
      <c r="C281" s="1"/>
      <c r="D281" s="6"/>
      <c r="E281" s="1"/>
      <c r="F281" s="1"/>
      <c r="G281" s="54"/>
      <c r="H281" s="54"/>
      <c r="I281" s="3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21.75" customHeight="1" x14ac:dyDescent="0.6">
      <c r="A282" s="1"/>
      <c r="B282" s="6"/>
      <c r="C282" s="1"/>
      <c r="D282" s="6"/>
      <c r="E282" s="1"/>
      <c r="F282" s="1"/>
      <c r="G282" s="54"/>
      <c r="H282" s="54"/>
      <c r="I282" s="3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21.75" customHeight="1" x14ac:dyDescent="0.6">
      <c r="A283" s="1"/>
      <c r="B283" s="6"/>
      <c r="C283" s="1"/>
      <c r="D283" s="6"/>
      <c r="E283" s="1"/>
      <c r="F283" s="1"/>
      <c r="G283" s="54"/>
      <c r="H283" s="54"/>
      <c r="I283" s="3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21.75" customHeight="1" x14ac:dyDescent="0.6">
      <c r="A284" s="1"/>
      <c r="B284" s="6"/>
      <c r="C284" s="1"/>
      <c r="D284" s="6"/>
      <c r="E284" s="1"/>
      <c r="F284" s="1"/>
      <c r="G284" s="54"/>
      <c r="H284" s="54"/>
      <c r="I284" s="3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21.75" customHeight="1" x14ac:dyDescent="0.6">
      <c r="A285" s="1"/>
      <c r="B285" s="6"/>
      <c r="C285" s="1"/>
      <c r="D285" s="6"/>
      <c r="E285" s="1"/>
      <c r="F285" s="1"/>
      <c r="G285" s="54"/>
      <c r="H285" s="54"/>
      <c r="I285" s="3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21.75" customHeight="1" x14ac:dyDescent="0.6">
      <c r="A286" s="1"/>
      <c r="B286" s="6"/>
      <c r="C286" s="1"/>
      <c r="D286" s="6"/>
      <c r="E286" s="1"/>
      <c r="F286" s="1"/>
      <c r="G286" s="54"/>
      <c r="H286" s="54"/>
      <c r="I286" s="3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21.75" customHeight="1" x14ac:dyDescent="0.6">
      <c r="A287" s="1"/>
      <c r="B287" s="6"/>
      <c r="C287" s="1"/>
      <c r="D287" s="6"/>
      <c r="E287" s="1"/>
      <c r="F287" s="1"/>
      <c r="G287" s="54"/>
      <c r="H287" s="54"/>
      <c r="I287" s="3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21.75" customHeight="1" x14ac:dyDescent="0.6">
      <c r="A288" s="1"/>
      <c r="B288" s="6"/>
      <c r="C288" s="1"/>
      <c r="D288" s="6"/>
      <c r="E288" s="1"/>
      <c r="F288" s="1"/>
      <c r="G288" s="54"/>
      <c r="H288" s="54"/>
      <c r="I288" s="3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21.75" customHeight="1" x14ac:dyDescent="0.6">
      <c r="A289" s="1"/>
      <c r="B289" s="6"/>
      <c r="C289" s="1"/>
      <c r="D289" s="6"/>
      <c r="E289" s="1"/>
      <c r="F289" s="1"/>
      <c r="G289" s="54"/>
      <c r="H289" s="54"/>
      <c r="I289" s="3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21.75" customHeight="1" x14ac:dyDescent="0.6">
      <c r="A290" s="1"/>
      <c r="B290" s="6"/>
      <c r="C290" s="1"/>
      <c r="D290" s="6"/>
      <c r="E290" s="1"/>
      <c r="F290" s="1"/>
      <c r="G290" s="54"/>
      <c r="H290" s="54"/>
      <c r="I290" s="3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21.75" customHeight="1" x14ac:dyDescent="0.6">
      <c r="A291" s="1"/>
      <c r="B291" s="6"/>
      <c r="C291" s="1"/>
      <c r="D291" s="6"/>
      <c r="E291" s="1"/>
      <c r="F291" s="1"/>
      <c r="G291" s="54"/>
      <c r="H291" s="54"/>
      <c r="I291" s="3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21.75" customHeight="1" x14ac:dyDescent="0.6">
      <c r="A292" s="1"/>
      <c r="B292" s="6"/>
      <c r="C292" s="1"/>
      <c r="D292" s="6"/>
      <c r="E292" s="1"/>
      <c r="F292" s="1"/>
      <c r="G292" s="54"/>
      <c r="H292" s="54"/>
      <c r="I292" s="3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21.75" customHeight="1" x14ac:dyDescent="0.6">
      <c r="A293" s="1"/>
      <c r="B293" s="6"/>
      <c r="C293" s="1"/>
      <c r="D293" s="6"/>
      <c r="E293" s="1"/>
      <c r="F293" s="1"/>
      <c r="G293" s="54"/>
      <c r="H293" s="54"/>
      <c r="I293" s="3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21.75" customHeight="1" x14ac:dyDescent="0.6">
      <c r="A294" s="1"/>
      <c r="B294" s="6"/>
      <c r="C294" s="1"/>
      <c r="D294" s="6"/>
      <c r="E294" s="1"/>
      <c r="F294" s="1"/>
      <c r="G294" s="54"/>
      <c r="H294" s="54"/>
      <c r="I294" s="3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21.75" customHeight="1" x14ac:dyDescent="0.6">
      <c r="A295" s="1"/>
      <c r="B295" s="6"/>
      <c r="C295" s="1"/>
      <c r="D295" s="6"/>
      <c r="E295" s="1"/>
      <c r="F295" s="1"/>
      <c r="G295" s="54"/>
      <c r="H295" s="54"/>
      <c r="I295" s="3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21.75" customHeight="1" x14ac:dyDescent="0.6">
      <c r="A296" s="1"/>
      <c r="B296" s="6"/>
      <c r="C296" s="1"/>
      <c r="D296" s="6"/>
      <c r="E296" s="1"/>
      <c r="F296" s="1"/>
      <c r="G296" s="54"/>
      <c r="H296" s="54"/>
      <c r="I296" s="3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21.75" customHeight="1" x14ac:dyDescent="0.6">
      <c r="A297" s="1"/>
      <c r="B297" s="6"/>
      <c r="C297" s="1"/>
      <c r="D297" s="6"/>
      <c r="E297" s="1"/>
      <c r="F297" s="1"/>
      <c r="G297" s="54"/>
      <c r="H297" s="54"/>
      <c r="I297" s="3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21.75" customHeight="1" x14ac:dyDescent="0.6">
      <c r="A298" s="1"/>
      <c r="B298" s="6"/>
      <c r="C298" s="1"/>
      <c r="D298" s="6"/>
      <c r="E298" s="1"/>
      <c r="F298" s="1"/>
      <c r="G298" s="54"/>
      <c r="H298" s="54"/>
      <c r="I298" s="3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21.75" customHeight="1" x14ac:dyDescent="0.6">
      <c r="A299" s="1"/>
      <c r="B299" s="6"/>
      <c r="C299" s="1"/>
      <c r="D299" s="6"/>
      <c r="E299" s="1"/>
      <c r="F299" s="1"/>
      <c r="G299" s="54"/>
      <c r="H299" s="54"/>
      <c r="I299" s="3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21.75" customHeight="1" x14ac:dyDescent="0.6">
      <c r="A300" s="1"/>
      <c r="B300" s="6"/>
      <c r="C300" s="1"/>
      <c r="D300" s="6"/>
      <c r="E300" s="1"/>
      <c r="F300" s="1"/>
      <c r="G300" s="54"/>
      <c r="H300" s="54"/>
      <c r="I300" s="3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21.75" customHeight="1" x14ac:dyDescent="0.6">
      <c r="A301" s="1"/>
      <c r="B301" s="6"/>
      <c r="C301" s="1"/>
      <c r="D301" s="6"/>
      <c r="E301" s="1"/>
      <c r="F301" s="1"/>
      <c r="G301" s="54"/>
      <c r="H301" s="54"/>
      <c r="I301" s="3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21.75" customHeight="1" x14ac:dyDescent="0.6">
      <c r="A302" s="1"/>
      <c r="B302" s="6"/>
      <c r="C302" s="1"/>
      <c r="D302" s="6"/>
      <c r="E302" s="1"/>
      <c r="F302" s="1"/>
      <c r="G302" s="54"/>
      <c r="H302" s="54"/>
      <c r="I302" s="3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21.75" customHeight="1" x14ac:dyDescent="0.6">
      <c r="A303" s="1"/>
      <c r="B303" s="6"/>
      <c r="C303" s="1"/>
      <c r="D303" s="6"/>
      <c r="E303" s="1"/>
      <c r="F303" s="1"/>
      <c r="G303" s="54"/>
      <c r="H303" s="54"/>
      <c r="I303" s="3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21.75" customHeight="1" x14ac:dyDescent="0.6">
      <c r="A304" s="1"/>
      <c r="B304" s="6"/>
      <c r="C304" s="1"/>
      <c r="D304" s="6"/>
      <c r="E304" s="1"/>
      <c r="F304" s="1"/>
      <c r="G304" s="54"/>
      <c r="H304" s="54"/>
      <c r="I304" s="3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21.75" customHeight="1" x14ac:dyDescent="0.6">
      <c r="A305" s="1"/>
      <c r="B305" s="6"/>
      <c r="C305" s="1"/>
      <c r="D305" s="6"/>
      <c r="E305" s="1"/>
      <c r="F305" s="1"/>
      <c r="G305" s="54"/>
      <c r="H305" s="54"/>
      <c r="I305" s="3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21.75" customHeight="1" x14ac:dyDescent="0.6">
      <c r="A306" s="1"/>
      <c r="B306" s="6"/>
      <c r="C306" s="1"/>
      <c r="D306" s="6"/>
      <c r="E306" s="1"/>
      <c r="F306" s="1"/>
      <c r="G306" s="54"/>
      <c r="H306" s="54"/>
      <c r="I306" s="3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21.75" customHeight="1" x14ac:dyDescent="0.6">
      <c r="A307" s="1"/>
      <c r="B307" s="6"/>
      <c r="C307" s="1"/>
      <c r="D307" s="6"/>
      <c r="E307" s="1"/>
      <c r="F307" s="1"/>
      <c r="G307" s="54"/>
      <c r="H307" s="54"/>
      <c r="I307" s="3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21.75" customHeight="1" x14ac:dyDescent="0.6">
      <c r="A308" s="1"/>
      <c r="B308" s="6"/>
      <c r="C308" s="1"/>
      <c r="D308" s="6"/>
      <c r="E308" s="1"/>
      <c r="F308" s="1"/>
      <c r="G308" s="54"/>
      <c r="H308" s="54"/>
      <c r="I308" s="3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21.75" customHeight="1" x14ac:dyDescent="0.6">
      <c r="A309" s="1"/>
      <c r="B309" s="6"/>
      <c r="C309" s="1"/>
      <c r="D309" s="6"/>
      <c r="E309" s="1"/>
      <c r="F309" s="1"/>
      <c r="G309" s="54"/>
      <c r="H309" s="54"/>
      <c r="I309" s="3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21.75" customHeight="1" x14ac:dyDescent="0.6">
      <c r="A310" s="1"/>
      <c r="B310" s="6"/>
      <c r="C310" s="1"/>
      <c r="D310" s="6"/>
      <c r="E310" s="1"/>
      <c r="F310" s="1"/>
      <c r="G310" s="54"/>
      <c r="H310" s="54"/>
      <c r="I310" s="3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21.75" customHeight="1" x14ac:dyDescent="0.6">
      <c r="A311" s="1"/>
      <c r="B311" s="6"/>
      <c r="C311" s="1"/>
      <c r="D311" s="6"/>
      <c r="E311" s="1"/>
      <c r="F311" s="1"/>
      <c r="G311" s="54"/>
      <c r="H311" s="54"/>
      <c r="I311" s="3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21.75" customHeight="1" x14ac:dyDescent="0.6">
      <c r="A312" s="1"/>
      <c r="B312" s="6"/>
      <c r="C312" s="1"/>
      <c r="D312" s="6"/>
      <c r="E312" s="1"/>
      <c r="F312" s="1"/>
      <c r="G312" s="54"/>
      <c r="H312" s="54"/>
      <c r="I312" s="3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21.75" customHeight="1" x14ac:dyDescent="0.6">
      <c r="A313" s="1"/>
      <c r="B313" s="6"/>
      <c r="C313" s="1"/>
      <c r="D313" s="6"/>
      <c r="E313" s="1"/>
      <c r="F313" s="1"/>
      <c r="G313" s="54"/>
      <c r="H313" s="54"/>
      <c r="I313" s="3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21.75" customHeight="1" x14ac:dyDescent="0.6">
      <c r="A314" s="1"/>
      <c r="B314" s="6"/>
      <c r="C314" s="1"/>
      <c r="D314" s="6"/>
      <c r="E314" s="1"/>
      <c r="F314" s="1"/>
      <c r="G314" s="54"/>
      <c r="H314" s="54"/>
      <c r="I314" s="3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21.75" customHeight="1" x14ac:dyDescent="0.6">
      <c r="A315" s="1"/>
      <c r="B315" s="6"/>
      <c r="C315" s="1"/>
      <c r="D315" s="6"/>
      <c r="E315" s="1"/>
      <c r="F315" s="1"/>
      <c r="G315" s="54"/>
      <c r="H315" s="54"/>
      <c r="I315" s="3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21.75" customHeight="1" x14ac:dyDescent="0.6">
      <c r="A316" s="1"/>
      <c r="B316" s="6"/>
      <c r="C316" s="1"/>
      <c r="D316" s="6"/>
      <c r="E316" s="1"/>
      <c r="F316" s="1"/>
      <c r="G316" s="54"/>
      <c r="H316" s="54"/>
      <c r="I316" s="3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21.75" customHeight="1" x14ac:dyDescent="0.6">
      <c r="A317" s="1"/>
      <c r="B317" s="6"/>
      <c r="C317" s="1"/>
      <c r="D317" s="6"/>
      <c r="E317" s="1"/>
      <c r="F317" s="1"/>
      <c r="G317" s="54"/>
      <c r="H317" s="54"/>
      <c r="I317" s="3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21.75" customHeight="1" x14ac:dyDescent="0.6">
      <c r="A318" s="1"/>
      <c r="B318" s="6"/>
      <c r="C318" s="1"/>
      <c r="D318" s="6"/>
      <c r="E318" s="1"/>
      <c r="F318" s="1"/>
      <c r="G318" s="54"/>
      <c r="H318" s="54"/>
      <c r="I318" s="3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21.75" customHeight="1" x14ac:dyDescent="0.6">
      <c r="A319" s="1"/>
      <c r="B319" s="6"/>
      <c r="C319" s="1"/>
      <c r="D319" s="6"/>
      <c r="E319" s="1"/>
      <c r="F319" s="1"/>
      <c r="G319" s="54"/>
      <c r="H319" s="54"/>
      <c r="I319" s="3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21.75" customHeight="1" x14ac:dyDescent="0.6">
      <c r="A320" s="1"/>
      <c r="B320" s="6"/>
      <c r="C320" s="1"/>
      <c r="D320" s="6"/>
      <c r="E320" s="1"/>
      <c r="F320" s="1"/>
      <c r="G320" s="54"/>
      <c r="H320" s="54"/>
      <c r="I320" s="3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21.75" customHeight="1" x14ac:dyDescent="0.6">
      <c r="A321" s="1"/>
      <c r="B321" s="6"/>
      <c r="C321" s="1"/>
      <c r="D321" s="6"/>
      <c r="E321" s="1"/>
      <c r="F321" s="1"/>
      <c r="G321" s="54"/>
      <c r="H321" s="54"/>
      <c r="I321" s="3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21.75" customHeight="1" x14ac:dyDescent="0.6">
      <c r="A322" s="1"/>
      <c r="B322" s="6"/>
      <c r="C322" s="1"/>
      <c r="D322" s="6"/>
      <c r="E322" s="1"/>
      <c r="F322" s="1"/>
      <c r="G322" s="54"/>
      <c r="H322" s="54"/>
      <c r="I322" s="3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21.75" customHeight="1" x14ac:dyDescent="0.6">
      <c r="A323" s="1"/>
      <c r="B323" s="6"/>
      <c r="C323" s="1"/>
      <c r="D323" s="6"/>
      <c r="E323" s="1"/>
      <c r="F323" s="1"/>
      <c r="G323" s="54"/>
      <c r="H323" s="54"/>
      <c r="I323" s="3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21.75" customHeight="1" x14ac:dyDescent="0.6">
      <c r="A324" s="1"/>
      <c r="B324" s="6"/>
      <c r="C324" s="1"/>
      <c r="D324" s="6"/>
      <c r="E324" s="1"/>
      <c r="F324" s="1"/>
      <c r="G324" s="54"/>
      <c r="H324" s="54"/>
      <c r="I324" s="3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21.75" customHeight="1" x14ac:dyDescent="0.6">
      <c r="A325" s="1"/>
      <c r="B325" s="6"/>
      <c r="C325" s="1"/>
      <c r="D325" s="6"/>
      <c r="E325" s="1"/>
      <c r="F325" s="1"/>
      <c r="G325" s="54"/>
      <c r="H325" s="54"/>
      <c r="I325" s="3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21.75" customHeight="1" x14ac:dyDescent="0.6">
      <c r="A326" s="1"/>
      <c r="B326" s="6"/>
      <c r="C326" s="1"/>
      <c r="D326" s="6"/>
      <c r="E326" s="1"/>
      <c r="F326" s="1"/>
      <c r="G326" s="54"/>
      <c r="H326" s="54"/>
      <c r="I326" s="3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21.75" customHeight="1" x14ac:dyDescent="0.6">
      <c r="A327" s="1"/>
      <c r="B327" s="6"/>
      <c r="C327" s="1"/>
      <c r="D327" s="6"/>
      <c r="E327" s="1"/>
      <c r="F327" s="1"/>
      <c r="G327" s="54"/>
      <c r="H327" s="54"/>
      <c r="I327" s="3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21.75" customHeight="1" x14ac:dyDescent="0.6">
      <c r="A328" s="1"/>
      <c r="B328" s="6"/>
      <c r="C328" s="1"/>
      <c r="D328" s="6"/>
      <c r="E328" s="1"/>
      <c r="F328" s="1"/>
      <c r="G328" s="54"/>
      <c r="H328" s="54"/>
      <c r="I328" s="3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21.75" customHeight="1" x14ac:dyDescent="0.6">
      <c r="A329" s="1"/>
      <c r="B329" s="6"/>
      <c r="C329" s="1"/>
      <c r="D329" s="6"/>
      <c r="E329" s="1"/>
      <c r="F329" s="1"/>
      <c r="G329" s="54"/>
      <c r="H329" s="54"/>
      <c r="I329" s="3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21.75" customHeight="1" x14ac:dyDescent="0.6">
      <c r="A330" s="1"/>
      <c r="B330" s="6"/>
      <c r="C330" s="1"/>
      <c r="D330" s="6"/>
      <c r="E330" s="1"/>
      <c r="F330" s="1"/>
      <c r="G330" s="54"/>
      <c r="H330" s="54"/>
      <c r="I330" s="3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21.75" customHeight="1" x14ac:dyDescent="0.6">
      <c r="A331" s="1"/>
      <c r="B331" s="6"/>
      <c r="C331" s="1"/>
      <c r="D331" s="6"/>
      <c r="E331" s="1"/>
      <c r="F331" s="1"/>
      <c r="G331" s="54"/>
      <c r="H331" s="54"/>
      <c r="I331" s="3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21.75" customHeight="1" x14ac:dyDescent="0.6">
      <c r="A332" s="1"/>
      <c r="B332" s="6"/>
      <c r="C332" s="1"/>
      <c r="D332" s="6"/>
      <c r="E332" s="1"/>
      <c r="F332" s="1"/>
      <c r="G332" s="54"/>
      <c r="H332" s="54"/>
      <c r="I332" s="3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21.75" customHeight="1" x14ac:dyDescent="0.6">
      <c r="A333" s="1"/>
      <c r="B333" s="6"/>
      <c r="C333" s="1"/>
      <c r="D333" s="6"/>
      <c r="E333" s="1"/>
      <c r="F333" s="1"/>
      <c r="G333" s="54"/>
      <c r="H333" s="54"/>
      <c r="I333" s="3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21.75" customHeight="1" x14ac:dyDescent="0.6">
      <c r="A334" s="1"/>
      <c r="B334" s="6"/>
      <c r="C334" s="1"/>
      <c r="D334" s="6"/>
      <c r="E334" s="1"/>
      <c r="F334" s="1"/>
      <c r="G334" s="54"/>
      <c r="H334" s="54"/>
      <c r="I334" s="3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21.75" customHeight="1" x14ac:dyDescent="0.6">
      <c r="A335" s="1"/>
      <c r="B335" s="6"/>
      <c r="C335" s="1"/>
      <c r="D335" s="6"/>
      <c r="E335" s="1"/>
      <c r="F335" s="1"/>
      <c r="G335" s="54"/>
      <c r="H335" s="54"/>
      <c r="I335" s="3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21.75" customHeight="1" x14ac:dyDescent="0.6">
      <c r="A336" s="1"/>
      <c r="B336" s="6"/>
      <c r="C336" s="1"/>
      <c r="D336" s="6"/>
      <c r="E336" s="1"/>
      <c r="F336" s="1"/>
      <c r="G336" s="54"/>
      <c r="H336" s="54"/>
      <c r="I336" s="3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21.75" customHeight="1" x14ac:dyDescent="0.6">
      <c r="A337" s="1"/>
      <c r="B337" s="6"/>
      <c r="C337" s="1"/>
      <c r="D337" s="6"/>
      <c r="E337" s="1"/>
      <c r="F337" s="1"/>
      <c r="G337" s="54"/>
      <c r="H337" s="54"/>
      <c r="I337" s="3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21.75" customHeight="1" x14ac:dyDescent="0.6">
      <c r="A338" s="1"/>
      <c r="B338" s="6"/>
      <c r="C338" s="1"/>
      <c r="D338" s="6"/>
      <c r="E338" s="1"/>
      <c r="F338" s="1"/>
      <c r="G338" s="54"/>
      <c r="H338" s="54"/>
      <c r="I338" s="3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21.75" customHeight="1" x14ac:dyDescent="0.6">
      <c r="A339" s="1"/>
      <c r="B339" s="6"/>
      <c r="C339" s="1"/>
      <c r="D339" s="6"/>
      <c r="E339" s="1"/>
      <c r="F339" s="1"/>
      <c r="G339" s="54"/>
      <c r="H339" s="54"/>
      <c r="I339" s="3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21.75" customHeight="1" x14ac:dyDescent="0.6">
      <c r="A340" s="1"/>
      <c r="B340" s="6"/>
      <c r="C340" s="1"/>
      <c r="D340" s="6"/>
      <c r="E340" s="1"/>
      <c r="F340" s="1"/>
      <c r="G340" s="54"/>
      <c r="H340" s="54"/>
      <c r="I340" s="3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21.75" customHeight="1" x14ac:dyDescent="0.6">
      <c r="A341" s="1"/>
      <c r="B341" s="6"/>
      <c r="C341" s="1"/>
      <c r="D341" s="6"/>
      <c r="E341" s="1"/>
      <c r="F341" s="1"/>
      <c r="G341" s="54"/>
      <c r="H341" s="54"/>
      <c r="I341" s="3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21.75" customHeight="1" x14ac:dyDescent="0.6">
      <c r="A342" s="1"/>
      <c r="B342" s="6"/>
      <c r="C342" s="1"/>
      <c r="D342" s="6"/>
      <c r="E342" s="1"/>
      <c r="F342" s="1"/>
      <c r="G342" s="54"/>
      <c r="H342" s="54"/>
      <c r="I342" s="3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21.75" customHeight="1" x14ac:dyDescent="0.6">
      <c r="A343" s="1"/>
      <c r="B343" s="6"/>
      <c r="C343" s="1"/>
      <c r="D343" s="6"/>
      <c r="E343" s="1"/>
      <c r="F343" s="1"/>
      <c r="G343" s="54"/>
      <c r="H343" s="54"/>
      <c r="I343" s="3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21.75" customHeight="1" x14ac:dyDescent="0.6">
      <c r="A344" s="1"/>
      <c r="B344" s="6"/>
      <c r="C344" s="1"/>
      <c r="D344" s="6"/>
      <c r="E344" s="1"/>
      <c r="F344" s="1"/>
      <c r="G344" s="54"/>
      <c r="H344" s="54"/>
      <c r="I344" s="3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21.75" customHeight="1" x14ac:dyDescent="0.6">
      <c r="A345" s="1"/>
      <c r="B345" s="6"/>
      <c r="C345" s="1"/>
      <c r="D345" s="6"/>
      <c r="E345" s="1"/>
      <c r="F345" s="1"/>
      <c r="G345" s="54"/>
      <c r="H345" s="54"/>
      <c r="I345" s="3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21.75" customHeight="1" x14ac:dyDescent="0.6">
      <c r="A346" s="1"/>
      <c r="B346" s="6"/>
      <c r="C346" s="1"/>
      <c r="D346" s="6"/>
      <c r="E346" s="1"/>
      <c r="F346" s="1"/>
      <c r="G346" s="54"/>
      <c r="H346" s="54"/>
      <c r="I346" s="3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21.75" customHeight="1" x14ac:dyDescent="0.6">
      <c r="A347" s="1"/>
      <c r="B347" s="6"/>
      <c r="C347" s="1"/>
      <c r="D347" s="6"/>
      <c r="E347" s="1"/>
      <c r="F347" s="1"/>
      <c r="G347" s="54"/>
      <c r="H347" s="54"/>
      <c r="I347" s="3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21.75" customHeight="1" x14ac:dyDescent="0.6">
      <c r="A348" s="1"/>
      <c r="B348" s="6"/>
      <c r="C348" s="1"/>
      <c r="D348" s="6"/>
      <c r="E348" s="1"/>
      <c r="F348" s="1"/>
      <c r="G348" s="54"/>
      <c r="H348" s="54"/>
      <c r="I348" s="3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21.75" customHeight="1" x14ac:dyDescent="0.6">
      <c r="A349" s="1"/>
      <c r="B349" s="6"/>
      <c r="C349" s="1"/>
      <c r="D349" s="6"/>
      <c r="E349" s="1"/>
      <c r="F349" s="1"/>
      <c r="G349" s="54"/>
      <c r="H349" s="54"/>
      <c r="I349" s="3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21.75" customHeight="1" x14ac:dyDescent="0.6">
      <c r="A350" s="1"/>
      <c r="B350" s="6"/>
      <c r="C350" s="1"/>
      <c r="D350" s="6"/>
      <c r="E350" s="1"/>
      <c r="F350" s="1"/>
      <c r="G350" s="54"/>
      <c r="H350" s="54"/>
      <c r="I350" s="3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21.75" customHeight="1" x14ac:dyDescent="0.6">
      <c r="A351" s="1"/>
      <c r="B351" s="6"/>
      <c r="C351" s="1"/>
      <c r="D351" s="6"/>
      <c r="E351" s="1"/>
      <c r="F351" s="1"/>
      <c r="G351" s="54"/>
      <c r="H351" s="54"/>
      <c r="I351" s="3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21.75" customHeight="1" x14ac:dyDescent="0.6">
      <c r="A352" s="1"/>
      <c r="B352" s="6"/>
      <c r="C352" s="1"/>
      <c r="D352" s="6"/>
      <c r="E352" s="1"/>
      <c r="F352" s="1"/>
      <c r="G352" s="54"/>
      <c r="H352" s="54"/>
      <c r="I352" s="3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21.75" customHeight="1" x14ac:dyDescent="0.6">
      <c r="A353" s="1"/>
      <c r="B353" s="6"/>
      <c r="C353" s="1"/>
      <c r="D353" s="6"/>
      <c r="E353" s="1"/>
      <c r="F353" s="1"/>
      <c r="G353" s="54"/>
      <c r="H353" s="54"/>
      <c r="I353" s="3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21.75" customHeight="1" x14ac:dyDescent="0.6">
      <c r="A354" s="1"/>
      <c r="B354" s="6"/>
      <c r="C354" s="1"/>
      <c r="D354" s="6"/>
      <c r="E354" s="1"/>
      <c r="F354" s="1"/>
      <c r="G354" s="54"/>
      <c r="H354" s="54"/>
      <c r="I354" s="3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21.75" customHeight="1" x14ac:dyDescent="0.6">
      <c r="A355" s="1"/>
      <c r="B355" s="6"/>
      <c r="C355" s="1"/>
      <c r="D355" s="6"/>
      <c r="E355" s="1"/>
      <c r="F355" s="1"/>
      <c r="G355" s="54"/>
      <c r="H355" s="54"/>
      <c r="I355" s="3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21.75" customHeight="1" x14ac:dyDescent="0.6">
      <c r="A356" s="1"/>
      <c r="B356" s="6"/>
      <c r="C356" s="1"/>
      <c r="D356" s="6"/>
      <c r="E356" s="1"/>
      <c r="F356" s="1"/>
      <c r="G356" s="54"/>
      <c r="H356" s="54"/>
      <c r="I356" s="3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21.75" customHeight="1" x14ac:dyDescent="0.6">
      <c r="A357" s="1"/>
      <c r="B357" s="6"/>
      <c r="C357" s="1"/>
      <c r="D357" s="6"/>
      <c r="E357" s="1"/>
      <c r="F357" s="1"/>
      <c r="G357" s="54"/>
      <c r="H357" s="54"/>
      <c r="I357" s="3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21.75" customHeight="1" x14ac:dyDescent="0.6">
      <c r="A358" s="1"/>
      <c r="B358" s="6"/>
      <c r="C358" s="1"/>
      <c r="D358" s="6"/>
      <c r="E358" s="1"/>
      <c r="F358" s="1"/>
      <c r="G358" s="54"/>
      <c r="H358" s="54"/>
      <c r="I358" s="3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21.75" customHeight="1" x14ac:dyDescent="0.6">
      <c r="A359" s="1"/>
      <c r="B359" s="6"/>
      <c r="C359" s="1"/>
      <c r="D359" s="6"/>
      <c r="E359" s="1"/>
      <c r="F359" s="1"/>
      <c r="G359" s="54"/>
      <c r="H359" s="54"/>
      <c r="I359" s="3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21.75" customHeight="1" x14ac:dyDescent="0.6">
      <c r="A360" s="1"/>
      <c r="B360" s="6"/>
      <c r="C360" s="1"/>
      <c r="D360" s="6"/>
      <c r="E360" s="1"/>
      <c r="F360" s="1"/>
      <c r="G360" s="54"/>
      <c r="H360" s="54"/>
      <c r="I360" s="3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21.75" customHeight="1" x14ac:dyDescent="0.6">
      <c r="A361" s="1"/>
      <c r="B361" s="6"/>
      <c r="C361" s="1"/>
      <c r="D361" s="6"/>
      <c r="E361" s="1"/>
      <c r="F361" s="1"/>
      <c r="G361" s="54"/>
      <c r="H361" s="54"/>
      <c r="I361" s="3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21.75" customHeight="1" x14ac:dyDescent="0.6">
      <c r="A362" s="1"/>
      <c r="B362" s="6"/>
      <c r="C362" s="1"/>
      <c r="D362" s="6"/>
      <c r="E362" s="1"/>
      <c r="F362" s="1"/>
      <c r="G362" s="54"/>
      <c r="H362" s="54"/>
      <c r="I362" s="3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21.75" customHeight="1" x14ac:dyDescent="0.6">
      <c r="A363" s="1"/>
      <c r="B363" s="6"/>
      <c r="C363" s="1"/>
      <c r="D363" s="6"/>
      <c r="E363" s="1"/>
      <c r="F363" s="1"/>
      <c r="G363" s="54"/>
      <c r="H363" s="54"/>
      <c r="I363" s="3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21.75" customHeight="1" x14ac:dyDescent="0.6">
      <c r="A364" s="1"/>
      <c r="B364" s="6"/>
      <c r="C364" s="1"/>
      <c r="D364" s="6"/>
      <c r="E364" s="1"/>
      <c r="F364" s="1"/>
      <c r="G364" s="54"/>
      <c r="H364" s="54"/>
      <c r="I364" s="3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21.75" customHeight="1" x14ac:dyDescent="0.6">
      <c r="A365" s="1"/>
      <c r="B365" s="6"/>
      <c r="C365" s="1"/>
      <c r="D365" s="6"/>
      <c r="E365" s="1"/>
      <c r="F365" s="1"/>
      <c r="G365" s="54"/>
      <c r="H365" s="54"/>
      <c r="I365" s="3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21.75" customHeight="1" x14ac:dyDescent="0.6">
      <c r="A366" s="1"/>
      <c r="B366" s="6"/>
      <c r="C366" s="1"/>
      <c r="D366" s="6"/>
      <c r="E366" s="1"/>
      <c r="F366" s="1"/>
      <c r="G366" s="54"/>
      <c r="H366" s="54"/>
      <c r="I366" s="3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21.75" customHeight="1" x14ac:dyDescent="0.6">
      <c r="A367" s="1"/>
      <c r="B367" s="6"/>
      <c r="C367" s="1"/>
      <c r="D367" s="6"/>
      <c r="E367" s="1"/>
      <c r="F367" s="1"/>
      <c r="G367" s="54"/>
      <c r="H367" s="54"/>
      <c r="I367" s="3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21.75" customHeight="1" x14ac:dyDescent="0.6">
      <c r="A368" s="1"/>
      <c r="B368" s="6"/>
      <c r="C368" s="1"/>
      <c r="D368" s="6"/>
      <c r="E368" s="1"/>
      <c r="F368" s="1"/>
      <c r="G368" s="54"/>
      <c r="H368" s="54"/>
      <c r="I368" s="3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21.75" customHeight="1" x14ac:dyDescent="0.6">
      <c r="A369" s="1"/>
      <c r="B369" s="6"/>
      <c r="C369" s="1"/>
      <c r="D369" s="6"/>
      <c r="E369" s="1"/>
      <c r="F369" s="1"/>
      <c r="G369" s="54"/>
      <c r="H369" s="54"/>
      <c r="I369" s="3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21.75" customHeight="1" x14ac:dyDescent="0.6">
      <c r="A370" s="1"/>
      <c r="B370" s="6"/>
      <c r="C370" s="1"/>
      <c r="D370" s="6"/>
      <c r="E370" s="1"/>
      <c r="F370" s="1"/>
      <c r="G370" s="54"/>
      <c r="H370" s="54"/>
      <c r="I370" s="3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21.75" customHeight="1" x14ac:dyDescent="0.6">
      <c r="A371" s="1"/>
      <c r="B371" s="6"/>
      <c r="C371" s="1"/>
      <c r="D371" s="6"/>
      <c r="E371" s="1"/>
      <c r="F371" s="1"/>
      <c r="G371" s="54"/>
      <c r="H371" s="54"/>
      <c r="I371" s="3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21.75" customHeight="1" x14ac:dyDescent="0.6">
      <c r="A372" s="1"/>
      <c r="B372" s="6"/>
      <c r="C372" s="1"/>
      <c r="D372" s="6"/>
      <c r="E372" s="1"/>
      <c r="F372" s="1"/>
      <c r="G372" s="54"/>
      <c r="H372" s="54"/>
      <c r="I372" s="3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21.75" customHeight="1" x14ac:dyDescent="0.6">
      <c r="A373" s="1"/>
      <c r="B373" s="6"/>
      <c r="C373" s="1"/>
      <c r="D373" s="6"/>
      <c r="E373" s="1"/>
      <c r="F373" s="1"/>
      <c r="G373" s="54"/>
      <c r="H373" s="54"/>
      <c r="I373" s="3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21.75" customHeight="1" x14ac:dyDescent="0.6">
      <c r="A374" s="1"/>
      <c r="B374" s="6"/>
      <c r="C374" s="1"/>
      <c r="D374" s="6"/>
      <c r="E374" s="1"/>
      <c r="F374" s="1"/>
      <c r="G374" s="54"/>
      <c r="H374" s="54"/>
      <c r="I374" s="3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21.75" customHeight="1" x14ac:dyDescent="0.6">
      <c r="A375" s="1"/>
      <c r="B375" s="6"/>
      <c r="C375" s="1"/>
      <c r="D375" s="6"/>
      <c r="E375" s="1"/>
      <c r="F375" s="1"/>
      <c r="G375" s="54"/>
      <c r="H375" s="54"/>
      <c r="I375" s="3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21.75" customHeight="1" x14ac:dyDescent="0.6">
      <c r="A376" s="1"/>
      <c r="B376" s="6"/>
      <c r="C376" s="1"/>
      <c r="D376" s="6"/>
      <c r="E376" s="1"/>
      <c r="F376" s="1"/>
      <c r="G376" s="54"/>
      <c r="H376" s="54"/>
      <c r="I376" s="3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21.75" customHeight="1" x14ac:dyDescent="0.6">
      <c r="A377" s="1"/>
      <c r="B377" s="6"/>
      <c r="C377" s="1"/>
      <c r="D377" s="6"/>
      <c r="E377" s="1"/>
      <c r="F377" s="1"/>
      <c r="G377" s="54"/>
      <c r="H377" s="54"/>
      <c r="I377" s="3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21.75" customHeight="1" x14ac:dyDescent="0.6">
      <c r="A378" s="1"/>
      <c r="B378" s="6"/>
      <c r="C378" s="1"/>
      <c r="D378" s="6"/>
      <c r="E378" s="1"/>
      <c r="F378" s="1"/>
      <c r="G378" s="54"/>
      <c r="H378" s="54"/>
      <c r="I378" s="3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21.75" customHeight="1" x14ac:dyDescent="0.6">
      <c r="A379" s="1"/>
      <c r="B379" s="6"/>
      <c r="C379" s="1"/>
      <c r="D379" s="6"/>
      <c r="E379" s="1"/>
      <c r="F379" s="1"/>
      <c r="G379" s="54"/>
      <c r="H379" s="54"/>
      <c r="I379" s="3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21.75" customHeight="1" x14ac:dyDescent="0.6">
      <c r="A380" s="1"/>
      <c r="B380" s="6"/>
      <c r="C380" s="1"/>
      <c r="D380" s="6"/>
      <c r="E380" s="1"/>
      <c r="F380" s="1"/>
      <c r="G380" s="54"/>
      <c r="H380" s="54"/>
      <c r="I380" s="3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21.75" customHeight="1" x14ac:dyDescent="0.6">
      <c r="A381" s="1"/>
      <c r="B381" s="6"/>
      <c r="C381" s="1"/>
      <c r="D381" s="6"/>
      <c r="E381" s="1"/>
      <c r="F381" s="1"/>
      <c r="G381" s="54"/>
      <c r="H381" s="54"/>
      <c r="I381" s="3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21.75" customHeight="1" x14ac:dyDescent="0.6">
      <c r="A382" s="1"/>
      <c r="B382" s="6"/>
      <c r="C382" s="1"/>
      <c r="D382" s="6"/>
      <c r="E382" s="1"/>
      <c r="F382" s="1"/>
      <c r="G382" s="54"/>
      <c r="H382" s="54"/>
      <c r="I382" s="3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21.75" customHeight="1" x14ac:dyDescent="0.6">
      <c r="A383" s="1"/>
      <c r="B383" s="6"/>
      <c r="C383" s="1"/>
      <c r="D383" s="6"/>
      <c r="E383" s="1"/>
      <c r="F383" s="1"/>
      <c r="G383" s="54"/>
      <c r="H383" s="54"/>
      <c r="I383" s="3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21.75" customHeight="1" x14ac:dyDescent="0.6">
      <c r="A384" s="1"/>
      <c r="B384" s="6"/>
      <c r="C384" s="1"/>
      <c r="D384" s="6"/>
      <c r="E384" s="1"/>
      <c r="F384" s="1"/>
      <c r="G384" s="54"/>
      <c r="H384" s="54"/>
      <c r="I384" s="3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21.75" customHeight="1" x14ac:dyDescent="0.6">
      <c r="A385" s="1"/>
      <c r="B385" s="6"/>
      <c r="C385" s="1"/>
      <c r="D385" s="6"/>
      <c r="E385" s="1"/>
      <c r="F385" s="1"/>
      <c r="G385" s="54"/>
      <c r="H385" s="54"/>
      <c r="I385" s="3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21.75" customHeight="1" x14ac:dyDescent="0.6">
      <c r="A386" s="1"/>
      <c r="B386" s="6"/>
      <c r="C386" s="1"/>
      <c r="D386" s="6"/>
      <c r="E386" s="1"/>
      <c r="F386" s="1"/>
      <c r="G386" s="54"/>
      <c r="H386" s="54"/>
      <c r="I386" s="3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21.75" customHeight="1" x14ac:dyDescent="0.6">
      <c r="A387" s="1"/>
      <c r="B387" s="6"/>
      <c r="C387" s="1"/>
      <c r="D387" s="6"/>
      <c r="E387" s="1"/>
      <c r="F387" s="1"/>
      <c r="G387" s="54"/>
      <c r="H387" s="54"/>
      <c r="I387" s="3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21.75" customHeight="1" x14ac:dyDescent="0.6">
      <c r="A388" s="1"/>
      <c r="B388" s="6"/>
      <c r="C388" s="1"/>
      <c r="D388" s="6"/>
      <c r="E388" s="1"/>
      <c r="F388" s="1"/>
      <c r="G388" s="54"/>
      <c r="H388" s="54"/>
      <c r="I388" s="3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21.75" customHeight="1" x14ac:dyDescent="0.6">
      <c r="A389" s="1"/>
      <c r="B389" s="6"/>
      <c r="C389" s="1"/>
      <c r="D389" s="6"/>
      <c r="E389" s="1"/>
      <c r="F389" s="1"/>
      <c r="G389" s="54"/>
      <c r="H389" s="54"/>
      <c r="I389" s="3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21.75" customHeight="1" x14ac:dyDescent="0.6">
      <c r="A390" s="1"/>
      <c r="B390" s="6"/>
      <c r="C390" s="1"/>
      <c r="D390" s="6"/>
      <c r="E390" s="1"/>
      <c r="F390" s="1"/>
      <c r="G390" s="54"/>
      <c r="H390" s="54"/>
      <c r="I390" s="3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21.75" customHeight="1" x14ac:dyDescent="0.6">
      <c r="A391" s="1"/>
      <c r="B391" s="6"/>
      <c r="C391" s="1"/>
      <c r="D391" s="6"/>
      <c r="E391" s="1"/>
      <c r="F391" s="1"/>
      <c r="G391" s="54"/>
      <c r="H391" s="54"/>
      <c r="I391" s="3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21.75" customHeight="1" x14ac:dyDescent="0.6">
      <c r="A392" s="1"/>
      <c r="B392" s="6"/>
      <c r="C392" s="1"/>
      <c r="D392" s="6"/>
      <c r="E392" s="1"/>
      <c r="F392" s="1"/>
      <c r="G392" s="54"/>
      <c r="H392" s="54"/>
      <c r="I392" s="3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21.75" customHeight="1" x14ac:dyDescent="0.6">
      <c r="A393" s="1"/>
      <c r="B393" s="6"/>
      <c r="C393" s="1"/>
      <c r="D393" s="6"/>
      <c r="E393" s="1"/>
      <c r="F393" s="1"/>
      <c r="G393" s="54"/>
      <c r="H393" s="54"/>
      <c r="I393" s="3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21.75" customHeight="1" x14ac:dyDescent="0.6">
      <c r="A394" s="1"/>
      <c r="B394" s="6"/>
      <c r="C394" s="1"/>
      <c r="D394" s="6"/>
      <c r="E394" s="1"/>
      <c r="F394" s="1"/>
      <c r="G394" s="54"/>
      <c r="H394" s="54"/>
      <c r="I394" s="3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21.75" customHeight="1" x14ac:dyDescent="0.6">
      <c r="A395" s="1"/>
      <c r="B395" s="6"/>
      <c r="C395" s="1"/>
      <c r="D395" s="6"/>
      <c r="E395" s="1"/>
      <c r="F395" s="1"/>
      <c r="G395" s="54"/>
      <c r="H395" s="54"/>
      <c r="I395" s="3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21.75" customHeight="1" x14ac:dyDescent="0.6">
      <c r="A396" s="1"/>
      <c r="B396" s="6"/>
      <c r="C396" s="1"/>
      <c r="D396" s="6"/>
      <c r="E396" s="1"/>
      <c r="F396" s="1"/>
      <c r="G396" s="54"/>
      <c r="H396" s="54"/>
      <c r="I396" s="3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21.75" customHeight="1" x14ac:dyDescent="0.6">
      <c r="A397" s="1"/>
      <c r="B397" s="6"/>
      <c r="C397" s="1"/>
      <c r="D397" s="6"/>
      <c r="E397" s="1"/>
      <c r="F397" s="1"/>
      <c r="G397" s="54"/>
      <c r="H397" s="54"/>
      <c r="I397" s="3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21.75" customHeight="1" x14ac:dyDescent="0.6">
      <c r="A398" s="1"/>
      <c r="B398" s="6"/>
      <c r="C398" s="1"/>
      <c r="D398" s="6"/>
      <c r="E398" s="1"/>
      <c r="F398" s="1"/>
      <c r="G398" s="54"/>
      <c r="H398" s="54"/>
      <c r="I398" s="3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21.75" customHeight="1" x14ac:dyDescent="0.6">
      <c r="A399" s="1"/>
      <c r="B399" s="6"/>
      <c r="C399" s="1"/>
      <c r="D399" s="6"/>
      <c r="E399" s="1"/>
      <c r="F399" s="1"/>
      <c r="G399" s="54"/>
      <c r="H399" s="54"/>
      <c r="I399" s="3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21.75" customHeight="1" x14ac:dyDescent="0.6">
      <c r="A400" s="1"/>
      <c r="B400" s="6"/>
      <c r="C400" s="1"/>
      <c r="D400" s="6"/>
      <c r="E400" s="1"/>
      <c r="F400" s="1"/>
      <c r="G400" s="54"/>
      <c r="H400" s="54"/>
      <c r="I400" s="3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21.75" customHeight="1" x14ac:dyDescent="0.6">
      <c r="A401" s="1"/>
      <c r="B401" s="6"/>
      <c r="C401" s="1"/>
      <c r="D401" s="6"/>
      <c r="E401" s="1"/>
      <c r="F401" s="1"/>
      <c r="G401" s="54"/>
      <c r="H401" s="54"/>
      <c r="I401" s="3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21.75" customHeight="1" x14ac:dyDescent="0.6">
      <c r="A402" s="1"/>
      <c r="B402" s="6"/>
      <c r="C402" s="1"/>
      <c r="D402" s="6"/>
      <c r="E402" s="1"/>
      <c r="F402" s="1"/>
      <c r="G402" s="54"/>
      <c r="H402" s="54"/>
      <c r="I402" s="3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21.75" customHeight="1" x14ac:dyDescent="0.6">
      <c r="A403" s="1"/>
      <c r="B403" s="6"/>
      <c r="C403" s="1"/>
      <c r="D403" s="6"/>
      <c r="E403" s="1"/>
      <c r="F403" s="1"/>
      <c r="G403" s="54"/>
      <c r="H403" s="54"/>
      <c r="I403" s="3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21.75" customHeight="1" x14ac:dyDescent="0.6">
      <c r="A404" s="1"/>
      <c r="B404" s="6"/>
      <c r="C404" s="1"/>
      <c r="D404" s="6"/>
      <c r="E404" s="1"/>
      <c r="F404" s="1"/>
      <c r="G404" s="54"/>
      <c r="H404" s="54"/>
      <c r="I404" s="3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21.75" customHeight="1" x14ac:dyDescent="0.6">
      <c r="A405" s="1"/>
      <c r="B405" s="6"/>
      <c r="C405" s="1"/>
      <c r="D405" s="6"/>
      <c r="E405" s="1"/>
      <c r="F405" s="1"/>
      <c r="G405" s="54"/>
      <c r="H405" s="54"/>
      <c r="I405" s="3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21.75" customHeight="1" x14ac:dyDescent="0.6">
      <c r="A406" s="1"/>
      <c r="B406" s="6"/>
      <c r="C406" s="1"/>
      <c r="D406" s="6"/>
      <c r="E406" s="1"/>
      <c r="F406" s="1"/>
      <c r="G406" s="54"/>
      <c r="H406" s="54"/>
      <c r="I406" s="3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21.75" customHeight="1" x14ac:dyDescent="0.6">
      <c r="A407" s="1"/>
      <c r="B407" s="6"/>
      <c r="C407" s="1"/>
      <c r="D407" s="6"/>
      <c r="E407" s="1"/>
      <c r="F407" s="1"/>
      <c r="G407" s="54"/>
      <c r="H407" s="54"/>
      <c r="I407" s="3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21.75" customHeight="1" x14ac:dyDescent="0.6">
      <c r="A408" s="1"/>
      <c r="B408" s="6"/>
      <c r="C408" s="1"/>
      <c r="D408" s="6"/>
      <c r="E408" s="1"/>
      <c r="F408" s="1"/>
      <c r="G408" s="54"/>
      <c r="H408" s="54"/>
      <c r="I408" s="3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21.75" customHeight="1" x14ac:dyDescent="0.6">
      <c r="A409" s="1"/>
      <c r="B409" s="6"/>
      <c r="C409" s="1"/>
      <c r="D409" s="6"/>
      <c r="E409" s="1"/>
      <c r="F409" s="1"/>
      <c r="G409" s="54"/>
      <c r="H409" s="54"/>
      <c r="I409" s="3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21.75" customHeight="1" x14ac:dyDescent="0.6">
      <c r="A410" s="1"/>
      <c r="B410" s="6"/>
      <c r="C410" s="1"/>
      <c r="D410" s="6"/>
      <c r="E410" s="1"/>
      <c r="F410" s="1"/>
      <c r="G410" s="54"/>
      <c r="H410" s="54"/>
      <c r="I410" s="3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21.75" customHeight="1" x14ac:dyDescent="0.6">
      <c r="A411" s="1"/>
      <c r="B411" s="6"/>
      <c r="C411" s="1"/>
      <c r="D411" s="6"/>
      <c r="E411" s="1"/>
      <c r="F411" s="1"/>
      <c r="G411" s="54"/>
      <c r="H411" s="54"/>
      <c r="I411" s="3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21.75" customHeight="1" x14ac:dyDescent="0.6">
      <c r="A412" s="1"/>
      <c r="B412" s="6"/>
      <c r="C412" s="1"/>
      <c r="D412" s="6"/>
      <c r="E412" s="1"/>
      <c r="F412" s="1"/>
      <c r="G412" s="54"/>
      <c r="H412" s="54"/>
      <c r="I412" s="3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21.75" customHeight="1" x14ac:dyDescent="0.6">
      <c r="A413" s="1"/>
      <c r="B413" s="6"/>
      <c r="C413" s="1"/>
      <c r="D413" s="6"/>
      <c r="E413" s="1"/>
      <c r="F413" s="1"/>
      <c r="G413" s="54"/>
      <c r="H413" s="54"/>
      <c r="I413" s="3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21.75" customHeight="1" x14ac:dyDescent="0.6">
      <c r="A414" s="1"/>
      <c r="B414" s="6"/>
      <c r="C414" s="1"/>
      <c r="D414" s="6"/>
      <c r="E414" s="1"/>
      <c r="F414" s="1"/>
      <c r="G414" s="54"/>
      <c r="H414" s="54"/>
      <c r="I414" s="3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21.75" customHeight="1" x14ac:dyDescent="0.6">
      <c r="A415" s="1"/>
      <c r="B415" s="6"/>
      <c r="C415" s="1"/>
      <c r="D415" s="6"/>
      <c r="E415" s="1"/>
      <c r="F415" s="1"/>
      <c r="G415" s="54"/>
      <c r="H415" s="54"/>
      <c r="I415" s="3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21.75" customHeight="1" x14ac:dyDescent="0.6">
      <c r="A416" s="1"/>
      <c r="B416" s="6"/>
      <c r="C416" s="1"/>
      <c r="D416" s="6"/>
      <c r="E416" s="1"/>
      <c r="F416" s="1"/>
      <c r="G416" s="54"/>
      <c r="H416" s="54"/>
      <c r="I416" s="3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21.75" customHeight="1" x14ac:dyDescent="0.6">
      <c r="A417" s="1"/>
      <c r="B417" s="6"/>
      <c r="C417" s="1"/>
      <c r="D417" s="6"/>
      <c r="E417" s="1"/>
      <c r="F417" s="1"/>
      <c r="G417" s="54"/>
      <c r="H417" s="54"/>
      <c r="I417" s="3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21.75" customHeight="1" x14ac:dyDescent="0.6">
      <c r="A418" s="1"/>
      <c r="B418" s="6"/>
      <c r="C418" s="1"/>
      <c r="D418" s="6"/>
      <c r="E418" s="1"/>
      <c r="F418" s="1"/>
      <c r="G418" s="54"/>
      <c r="H418" s="54"/>
      <c r="I418" s="3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21.75" customHeight="1" x14ac:dyDescent="0.6">
      <c r="A419" s="1"/>
      <c r="B419" s="6"/>
      <c r="C419" s="1"/>
      <c r="D419" s="6"/>
      <c r="E419" s="1"/>
      <c r="F419" s="1"/>
      <c r="G419" s="54"/>
      <c r="H419" s="54"/>
      <c r="I419" s="3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21.75" customHeight="1" x14ac:dyDescent="0.6">
      <c r="A420" s="1"/>
      <c r="B420" s="6"/>
      <c r="C420" s="1"/>
      <c r="D420" s="6"/>
      <c r="E420" s="1"/>
      <c r="F420" s="1"/>
      <c r="G420" s="54"/>
      <c r="H420" s="54"/>
      <c r="I420" s="3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21.75" customHeight="1" x14ac:dyDescent="0.6">
      <c r="A421" s="1"/>
      <c r="B421" s="6"/>
      <c r="C421" s="1"/>
      <c r="D421" s="6"/>
      <c r="E421" s="1"/>
      <c r="F421" s="1"/>
      <c r="G421" s="54"/>
      <c r="H421" s="54"/>
      <c r="I421" s="3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21.75" customHeight="1" x14ac:dyDescent="0.6">
      <c r="A422" s="1"/>
      <c r="B422" s="6"/>
      <c r="C422" s="1"/>
      <c r="D422" s="6"/>
      <c r="E422" s="1"/>
      <c r="F422" s="1"/>
      <c r="G422" s="54"/>
      <c r="H422" s="54"/>
      <c r="I422" s="3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21.75" customHeight="1" x14ac:dyDescent="0.6">
      <c r="A423" s="1"/>
      <c r="B423" s="6"/>
      <c r="C423" s="1"/>
      <c r="D423" s="6"/>
      <c r="E423" s="1"/>
      <c r="F423" s="1"/>
      <c r="G423" s="54"/>
      <c r="H423" s="54"/>
      <c r="I423" s="3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21.75" customHeight="1" x14ac:dyDescent="0.6">
      <c r="A424" s="1"/>
      <c r="B424" s="6"/>
      <c r="C424" s="1"/>
      <c r="D424" s="6"/>
      <c r="E424" s="1"/>
      <c r="F424" s="1"/>
      <c r="G424" s="54"/>
      <c r="H424" s="54"/>
      <c r="I424" s="3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21.75" customHeight="1" x14ac:dyDescent="0.6">
      <c r="A425" s="1"/>
      <c r="B425" s="6"/>
      <c r="C425" s="1"/>
      <c r="D425" s="6"/>
      <c r="E425" s="1"/>
      <c r="F425" s="1"/>
      <c r="G425" s="54"/>
      <c r="H425" s="54"/>
      <c r="I425" s="3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21.75" customHeight="1" x14ac:dyDescent="0.6">
      <c r="A426" s="1"/>
      <c r="B426" s="6"/>
      <c r="C426" s="1"/>
      <c r="D426" s="6"/>
      <c r="E426" s="1"/>
      <c r="F426" s="1"/>
      <c r="G426" s="54"/>
      <c r="H426" s="54"/>
      <c r="I426" s="3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21.75" customHeight="1" x14ac:dyDescent="0.6">
      <c r="A427" s="1"/>
      <c r="B427" s="6"/>
      <c r="C427" s="1"/>
      <c r="D427" s="6"/>
      <c r="E427" s="1"/>
      <c r="F427" s="1"/>
      <c r="G427" s="54"/>
      <c r="H427" s="54"/>
      <c r="I427" s="3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21.75" customHeight="1" x14ac:dyDescent="0.6">
      <c r="A428" s="1"/>
      <c r="B428" s="6"/>
      <c r="C428" s="1"/>
      <c r="D428" s="6"/>
      <c r="E428" s="1"/>
      <c r="F428" s="1"/>
      <c r="G428" s="54"/>
      <c r="H428" s="54"/>
      <c r="I428" s="3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21.75" customHeight="1" x14ac:dyDescent="0.6">
      <c r="A429" s="1"/>
      <c r="B429" s="6"/>
      <c r="C429" s="1"/>
      <c r="D429" s="6"/>
      <c r="E429" s="1"/>
      <c r="F429" s="1"/>
      <c r="G429" s="54"/>
      <c r="H429" s="54"/>
      <c r="I429" s="3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21.75" customHeight="1" x14ac:dyDescent="0.6">
      <c r="A430" s="1"/>
      <c r="B430" s="6"/>
      <c r="C430" s="1"/>
      <c r="D430" s="6"/>
      <c r="E430" s="1"/>
      <c r="F430" s="1"/>
      <c r="G430" s="54"/>
      <c r="H430" s="54"/>
      <c r="I430" s="3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21.75" customHeight="1" x14ac:dyDescent="0.6">
      <c r="A431" s="1"/>
      <c r="B431" s="6"/>
      <c r="C431" s="1"/>
      <c r="D431" s="6"/>
      <c r="E431" s="1"/>
      <c r="F431" s="1"/>
      <c r="G431" s="54"/>
      <c r="H431" s="54"/>
      <c r="I431" s="3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21.75" customHeight="1" x14ac:dyDescent="0.6">
      <c r="A432" s="1"/>
      <c r="B432" s="6"/>
      <c r="C432" s="1"/>
      <c r="D432" s="6"/>
      <c r="E432" s="1"/>
      <c r="F432" s="1"/>
      <c r="G432" s="54"/>
      <c r="H432" s="54"/>
      <c r="I432" s="3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21.75" customHeight="1" x14ac:dyDescent="0.6">
      <c r="A433" s="1"/>
      <c r="B433" s="6"/>
      <c r="C433" s="1"/>
      <c r="D433" s="6"/>
      <c r="E433" s="1"/>
      <c r="F433" s="1"/>
      <c r="G433" s="54"/>
      <c r="H433" s="54"/>
      <c r="I433" s="3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21.75" customHeight="1" x14ac:dyDescent="0.6">
      <c r="A434" s="1"/>
      <c r="B434" s="6"/>
      <c r="C434" s="1"/>
      <c r="D434" s="6"/>
      <c r="E434" s="1"/>
      <c r="F434" s="1"/>
      <c r="G434" s="54"/>
      <c r="H434" s="54"/>
      <c r="I434" s="3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21.75" customHeight="1" x14ac:dyDescent="0.6">
      <c r="A435" s="1"/>
      <c r="B435" s="6"/>
      <c r="C435" s="1"/>
      <c r="D435" s="6"/>
      <c r="E435" s="1"/>
      <c r="F435" s="1"/>
      <c r="G435" s="54"/>
      <c r="H435" s="54"/>
      <c r="I435" s="3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21.75" customHeight="1" x14ac:dyDescent="0.6">
      <c r="A436" s="1"/>
      <c r="B436" s="6"/>
      <c r="C436" s="1"/>
      <c r="D436" s="6"/>
      <c r="E436" s="1"/>
      <c r="F436" s="1"/>
      <c r="G436" s="54"/>
      <c r="H436" s="54"/>
      <c r="I436" s="3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21.75" customHeight="1" x14ac:dyDescent="0.6">
      <c r="A437" s="1"/>
      <c r="B437" s="6"/>
      <c r="C437" s="1"/>
      <c r="D437" s="6"/>
      <c r="E437" s="1"/>
      <c r="F437" s="1"/>
      <c r="G437" s="54"/>
      <c r="H437" s="54"/>
      <c r="I437" s="3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21.75" customHeight="1" x14ac:dyDescent="0.6">
      <c r="A438" s="1"/>
      <c r="B438" s="6"/>
      <c r="C438" s="1"/>
      <c r="D438" s="6"/>
      <c r="E438" s="1"/>
      <c r="F438" s="1"/>
      <c r="G438" s="54"/>
      <c r="H438" s="54"/>
      <c r="I438" s="3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21.75" customHeight="1" x14ac:dyDescent="0.6">
      <c r="A439" s="1"/>
      <c r="B439" s="6"/>
      <c r="C439" s="1"/>
      <c r="D439" s="6"/>
      <c r="E439" s="1"/>
      <c r="F439" s="1"/>
      <c r="G439" s="54"/>
      <c r="H439" s="54"/>
      <c r="I439" s="3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21.75" customHeight="1" x14ac:dyDescent="0.6">
      <c r="A440" s="1"/>
      <c r="B440" s="6"/>
      <c r="C440" s="1"/>
      <c r="D440" s="6"/>
      <c r="E440" s="1"/>
      <c r="F440" s="1"/>
      <c r="G440" s="54"/>
      <c r="H440" s="54"/>
      <c r="I440" s="3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21.75" customHeight="1" x14ac:dyDescent="0.6">
      <c r="A441" s="1"/>
      <c r="B441" s="6"/>
      <c r="C441" s="1"/>
      <c r="D441" s="6"/>
      <c r="E441" s="1"/>
      <c r="F441" s="1"/>
      <c r="G441" s="54"/>
      <c r="H441" s="54"/>
      <c r="I441" s="3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21.75" customHeight="1" x14ac:dyDescent="0.6">
      <c r="A442" s="1"/>
      <c r="B442" s="6"/>
      <c r="C442" s="1"/>
      <c r="D442" s="6"/>
      <c r="E442" s="1"/>
      <c r="F442" s="1"/>
      <c r="G442" s="54"/>
      <c r="H442" s="54"/>
      <c r="I442" s="3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21.75" customHeight="1" x14ac:dyDescent="0.6">
      <c r="A443" s="1"/>
      <c r="B443" s="6"/>
      <c r="C443" s="1"/>
      <c r="D443" s="6"/>
      <c r="E443" s="1"/>
      <c r="F443" s="1"/>
      <c r="G443" s="54"/>
      <c r="H443" s="54"/>
      <c r="I443" s="3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21.75" customHeight="1" x14ac:dyDescent="0.6">
      <c r="A444" s="1"/>
      <c r="B444" s="6"/>
      <c r="C444" s="1"/>
      <c r="D444" s="6"/>
      <c r="E444" s="1"/>
      <c r="F444" s="1"/>
      <c r="G444" s="54"/>
      <c r="H444" s="54"/>
      <c r="I444" s="3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21.75" customHeight="1" x14ac:dyDescent="0.6">
      <c r="A445" s="1"/>
      <c r="B445" s="6"/>
      <c r="C445" s="1"/>
      <c r="D445" s="6"/>
      <c r="E445" s="1"/>
      <c r="F445" s="1"/>
      <c r="G445" s="54"/>
      <c r="H445" s="54"/>
      <c r="I445" s="3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21.75" customHeight="1" x14ac:dyDescent="0.6">
      <c r="A446" s="1"/>
      <c r="B446" s="6"/>
      <c r="C446" s="1"/>
      <c r="D446" s="6"/>
      <c r="E446" s="1"/>
      <c r="F446" s="1"/>
      <c r="G446" s="54"/>
      <c r="H446" s="54"/>
      <c r="I446" s="3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21.75" customHeight="1" x14ac:dyDescent="0.6">
      <c r="A447" s="1"/>
      <c r="B447" s="6"/>
      <c r="C447" s="1"/>
      <c r="D447" s="6"/>
      <c r="E447" s="1"/>
      <c r="F447" s="1"/>
      <c r="G447" s="54"/>
      <c r="H447" s="54"/>
      <c r="I447" s="3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21.75" customHeight="1" x14ac:dyDescent="0.6">
      <c r="A448" s="1"/>
      <c r="B448" s="6"/>
      <c r="C448" s="1"/>
      <c r="D448" s="6"/>
      <c r="E448" s="1"/>
      <c r="F448" s="1"/>
      <c r="G448" s="54"/>
      <c r="H448" s="54"/>
      <c r="I448" s="3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21.75" customHeight="1" x14ac:dyDescent="0.6">
      <c r="A449" s="1"/>
      <c r="B449" s="6"/>
      <c r="C449" s="1"/>
      <c r="D449" s="6"/>
      <c r="E449" s="1"/>
      <c r="F449" s="1"/>
      <c r="G449" s="54"/>
      <c r="H449" s="54"/>
      <c r="I449" s="3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21.75" customHeight="1" x14ac:dyDescent="0.6">
      <c r="A450" s="1"/>
      <c r="B450" s="6"/>
      <c r="C450" s="1"/>
      <c r="D450" s="6"/>
      <c r="E450" s="1"/>
      <c r="F450" s="1"/>
      <c r="G450" s="54"/>
      <c r="H450" s="54"/>
      <c r="I450" s="3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21.75" customHeight="1" x14ac:dyDescent="0.6">
      <c r="A451" s="1"/>
      <c r="B451" s="6"/>
      <c r="C451" s="1"/>
      <c r="D451" s="6"/>
      <c r="E451" s="1"/>
      <c r="F451" s="1"/>
      <c r="G451" s="54"/>
      <c r="H451" s="54"/>
      <c r="I451" s="3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21.75" customHeight="1" x14ac:dyDescent="0.6">
      <c r="A452" s="1"/>
      <c r="B452" s="6"/>
      <c r="C452" s="1"/>
      <c r="D452" s="6"/>
      <c r="E452" s="1"/>
      <c r="F452" s="1"/>
      <c r="G452" s="54"/>
      <c r="H452" s="54"/>
      <c r="I452" s="3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21.75" customHeight="1" x14ac:dyDescent="0.6">
      <c r="A453" s="1"/>
      <c r="B453" s="6"/>
      <c r="C453" s="1"/>
      <c r="D453" s="6"/>
      <c r="E453" s="1"/>
      <c r="F453" s="1"/>
      <c r="G453" s="54"/>
      <c r="H453" s="54"/>
      <c r="I453" s="3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21.75" customHeight="1" x14ac:dyDescent="0.6">
      <c r="A454" s="1"/>
      <c r="B454" s="6"/>
      <c r="C454" s="1"/>
      <c r="D454" s="6"/>
      <c r="E454" s="1"/>
      <c r="F454" s="1"/>
      <c r="G454" s="54"/>
      <c r="H454" s="54"/>
      <c r="I454" s="3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21.75" customHeight="1" x14ac:dyDescent="0.6">
      <c r="A455" s="1"/>
      <c r="B455" s="6"/>
      <c r="C455" s="1"/>
      <c r="D455" s="6"/>
      <c r="E455" s="1"/>
      <c r="F455" s="1"/>
      <c r="G455" s="54"/>
      <c r="H455" s="54"/>
      <c r="I455" s="3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21.75" customHeight="1" x14ac:dyDescent="0.6">
      <c r="A456" s="1"/>
      <c r="B456" s="6"/>
      <c r="C456" s="1"/>
      <c r="D456" s="6"/>
      <c r="E456" s="1"/>
      <c r="F456" s="1"/>
      <c r="G456" s="54"/>
      <c r="H456" s="54"/>
      <c r="I456" s="3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21.75" customHeight="1" x14ac:dyDescent="0.6">
      <c r="A457" s="1"/>
      <c r="B457" s="6"/>
      <c r="C457" s="1"/>
      <c r="D457" s="6"/>
      <c r="E457" s="1"/>
      <c r="F457" s="1"/>
      <c r="G457" s="54"/>
      <c r="H457" s="54"/>
      <c r="I457" s="3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21.75" customHeight="1" x14ac:dyDescent="0.6">
      <c r="A458" s="1"/>
      <c r="B458" s="6"/>
      <c r="C458" s="1"/>
      <c r="D458" s="6"/>
      <c r="E458" s="1"/>
      <c r="F458" s="1"/>
      <c r="G458" s="54"/>
      <c r="H458" s="54"/>
      <c r="I458" s="3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21.75" customHeight="1" x14ac:dyDescent="0.6">
      <c r="A459" s="1"/>
      <c r="B459" s="6"/>
      <c r="C459" s="1"/>
      <c r="D459" s="6"/>
      <c r="E459" s="1"/>
      <c r="F459" s="1"/>
      <c r="G459" s="54"/>
      <c r="H459" s="54"/>
      <c r="I459" s="3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21.75" customHeight="1" x14ac:dyDescent="0.6">
      <c r="A460" s="1"/>
      <c r="B460" s="6"/>
      <c r="C460" s="1"/>
      <c r="D460" s="6"/>
      <c r="E460" s="1"/>
      <c r="F460" s="1"/>
      <c r="G460" s="54"/>
      <c r="H460" s="54"/>
      <c r="I460" s="3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21.75" customHeight="1" x14ac:dyDescent="0.6">
      <c r="A461" s="1"/>
      <c r="B461" s="6"/>
      <c r="C461" s="1"/>
      <c r="D461" s="6"/>
      <c r="E461" s="1"/>
      <c r="F461" s="1"/>
      <c r="G461" s="54"/>
      <c r="H461" s="54"/>
      <c r="I461" s="3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21.75" customHeight="1" x14ac:dyDescent="0.6">
      <c r="A462" s="1"/>
      <c r="B462" s="6"/>
      <c r="C462" s="1"/>
      <c r="D462" s="6"/>
      <c r="E462" s="1"/>
      <c r="F462" s="1"/>
      <c r="G462" s="54"/>
      <c r="H462" s="54"/>
      <c r="I462" s="3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21.75" customHeight="1" x14ac:dyDescent="0.6">
      <c r="A463" s="1"/>
      <c r="B463" s="6"/>
      <c r="C463" s="1"/>
      <c r="D463" s="6"/>
      <c r="E463" s="1"/>
      <c r="F463" s="1"/>
      <c r="G463" s="54"/>
      <c r="H463" s="54"/>
      <c r="I463" s="3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21.75" customHeight="1" x14ac:dyDescent="0.6">
      <c r="A464" s="1"/>
      <c r="B464" s="6"/>
      <c r="C464" s="1"/>
      <c r="D464" s="6"/>
      <c r="E464" s="1"/>
      <c r="F464" s="1"/>
      <c r="G464" s="54"/>
      <c r="H464" s="54"/>
      <c r="I464" s="3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21.75" customHeight="1" x14ac:dyDescent="0.6">
      <c r="A465" s="1"/>
      <c r="B465" s="6"/>
      <c r="C465" s="1"/>
      <c r="D465" s="6"/>
      <c r="E465" s="1"/>
      <c r="F465" s="1"/>
      <c r="G465" s="54"/>
      <c r="H465" s="54"/>
      <c r="I465" s="3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21.75" customHeight="1" x14ac:dyDescent="0.6">
      <c r="A466" s="1"/>
      <c r="B466" s="6"/>
      <c r="C466" s="1"/>
      <c r="D466" s="6"/>
      <c r="E466" s="1"/>
      <c r="F466" s="1"/>
      <c r="G466" s="54"/>
      <c r="H466" s="54"/>
      <c r="I466" s="3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21.75" customHeight="1" x14ac:dyDescent="0.6">
      <c r="A467" s="1"/>
      <c r="B467" s="6"/>
      <c r="C467" s="1"/>
      <c r="D467" s="6"/>
      <c r="E467" s="1"/>
      <c r="F467" s="1"/>
      <c r="G467" s="54"/>
      <c r="H467" s="54"/>
      <c r="I467" s="3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21.75" customHeight="1" x14ac:dyDescent="0.6">
      <c r="A468" s="1"/>
      <c r="B468" s="6"/>
      <c r="C468" s="1"/>
      <c r="D468" s="6"/>
      <c r="E468" s="1"/>
      <c r="F468" s="1"/>
      <c r="G468" s="54"/>
      <c r="H468" s="54"/>
      <c r="I468" s="3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21.75" customHeight="1" x14ac:dyDescent="0.6">
      <c r="A469" s="1"/>
      <c r="B469" s="6"/>
      <c r="C469" s="1"/>
      <c r="D469" s="6"/>
      <c r="E469" s="1"/>
      <c r="F469" s="1"/>
      <c r="G469" s="54"/>
      <c r="H469" s="54"/>
      <c r="I469" s="3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21.75" customHeight="1" x14ac:dyDescent="0.6">
      <c r="A470" s="1"/>
      <c r="B470" s="6"/>
      <c r="C470" s="1"/>
      <c r="D470" s="6"/>
      <c r="E470" s="1"/>
      <c r="F470" s="1"/>
      <c r="G470" s="54"/>
      <c r="H470" s="54"/>
      <c r="I470" s="3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21.75" customHeight="1" x14ac:dyDescent="0.6">
      <c r="A471" s="1"/>
      <c r="B471" s="6"/>
      <c r="C471" s="1"/>
      <c r="D471" s="6"/>
      <c r="E471" s="1"/>
      <c r="F471" s="1"/>
      <c r="G471" s="54"/>
      <c r="H471" s="54"/>
      <c r="I471" s="3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21.75" customHeight="1" x14ac:dyDescent="0.6">
      <c r="A472" s="1"/>
      <c r="B472" s="6"/>
      <c r="C472" s="1"/>
      <c r="D472" s="6"/>
      <c r="E472" s="1"/>
      <c r="F472" s="1"/>
      <c r="G472" s="54"/>
      <c r="H472" s="54"/>
      <c r="I472" s="3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21.75" customHeight="1" x14ac:dyDescent="0.6">
      <c r="A473" s="1"/>
      <c r="B473" s="6"/>
      <c r="C473" s="1"/>
      <c r="D473" s="6"/>
      <c r="E473" s="1"/>
      <c r="F473" s="1"/>
      <c r="G473" s="54"/>
      <c r="H473" s="54"/>
      <c r="I473" s="3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21.75" customHeight="1" x14ac:dyDescent="0.6">
      <c r="A474" s="1"/>
      <c r="B474" s="6"/>
      <c r="C474" s="1"/>
      <c r="D474" s="6"/>
      <c r="E474" s="1"/>
      <c r="F474" s="1"/>
      <c r="G474" s="54"/>
      <c r="H474" s="54"/>
      <c r="I474" s="3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21.75" customHeight="1" x14ac:dyDescent="0.6">
      <c r="A475" s="1"/>
      <c r="B475" s="6"/>
      <c r="C475" s="1"/>
      <c r="D475" s="6"/>
      <c r="E475" s="1"/>
      <c r="F475" s="1"/>
      <c r="G475" s="54"/>
      <c r="H475" s="54"/>
      <c r="I475" s="3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21.75" customHeight="1" x14ac:dyDescent="0.6">
      <c r="A476" s="1"/>
      <c r="B476" s="6"/>
      <c r="C476" s="1"/>
      <c r="D476" s="6"/>
      <c r="E476" s="1"/>
      <c r="F476" s="1"/>
      <c r="G476" s="54"/>
      <c r="H476" s="54"/>
      <c r="I476" s="3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21.75" customHeight="1" x14ac:dyDescent="0.6">
      <c r="A477" s="1"/>
      <c r="B477" s="6"/>
      <c r="C477" s="1"/>
      <c r="D477" s="6"/>
      <c r="E477" s="1"/>
      <c r="F477" s="1"/>
      <c r="G477" s="54"/>
      <c r="H477" s="54"/>
      <c r="I477" s="3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21.75" customHeight="1" x14ac:dyDescent="0.6">
      <c r="A478" s="1"/>
      <c r="B478" s="6"/>
      <c r="C478" s="1"/>
      <c r="D478" s="6"/>
      <c r="E478" s="1"/>
      <c r="F478" s="1"/>
      <c r="G478" s="54"/>
      <c r="H478" s="54"/>
      <c r="I478" s="3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21.75" customHeight="1" x14ac:dyDescent="0.6">
      <c r="A479" s="1"/>
      <c r="B479" s="6"/>
      <c r="C479" s="1"/>
      <c r="D479" s="6"/>
      <c r="E479" s="1"/>
      <c r="F479" s="1"/>
      <c r="G479" s="54"/>
      <c r="H479" s="54"/>
      <c r="I479" s="3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21.75" customHeight="1" x14ac:dyDescent="0.6">
      <c r="A480" s="1"/>
      <c r="B480" s="6"/>
      <c r="C480" s="1"/>
      <c r="D480" s="6"/>
      <c r="E480" s="1"/>
      <c r="F480" s="1"/>
      <c r="G480" s="54"/>
      <c r="H480" s="54"/>
      <c r="I480" s="3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21.75" customHeight="1" x14ac:dyDescent="0.6">
      <c r="A481" s="1"/>
      <c r="B481" s="6"/>
      <c r="C481" s="1"/>
      <c r="D481" s="6"/>
      <c r="E481" s="1"/>
      <c r="F481" s="1"/>
      <c r="G481" s="54"/>
      <c r="H481" s="54"/>
      <c r="I481" s="3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21.75" customHeight="1" x14ac:dyDescent="0.6">
      <c r="A482" s="1"/>
      <c r="B482" s="6"/>
      <c r="C482" s="1"/>
      <c r="D482" s="6"/>
      <c r="E482" s="1"/>
      <c r="F482" s="1"/>
      <c r="G482" s="54"/>
      <c r="H482" s="54"/>
      <c r="I482" s="3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21.75" customHeight="1" x14ac:dyDescent="0.6">
      <c r="A483" s="1"/>
      <c r="B483" s="6"/>
      <c r="C483" s="1"/>
      <c r="D483" s="6"/>
      <c r="E483" s="1"/>
      <c r="F483" s="1"/>
      <c r="G483" s="54"/>
      <c r="H483" s="54"/>
      <c r="I483" s="3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21.75" customHeight="1" x14ac:dyDescent="0.6">
      <c r="A484" s="1"/>
      <c r="B484" s="6"/>
      <c r="C484" s="1"/>
      <c r="D484" s="6"/>
      <c r="E484" s="1"/>
      <c r="F484" s="1"/>
      <c r="G484" s="54"/>
      <c r="H484" s="54"/>
      <c r="I484" s="3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21.75" customHeight="1" x14ac:dyDescent="0.6">
      <c r="A485" s="1"/>
      <c r="B485" s="6"/>
      <c r="C485" s="1"/>
      <c r="D485" s="6"/>
      <c r="E485" s="1"/>
      <c r="F485" s="1"/>
      <c r="G485" s="54"/>
      <c r="H485" s="54"/>
      <c r="I485" s="3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21.75" customHeight="1" x14ac:dyDescent="0.6">
      <c r="A486" s="1"/>
      <c r="B486" s="6"/>
      <c r="C486" s="1"/>
      <c r="D486" s="6"/>
      <c r="E486" s="1"/>
      <c r="F486" s="1"/>
      <c r="G486" s="54"/>
      <c r="H486" s="54"/>
      <c r="I486" s="3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21.75" customHeight="1" x14ac:dyDescent="0.6">
      <c r="A487" s="1"/>
      <c r="B487" s="6"/>
      <c r="C487" s="1"/>
      <c r="D487" s="6"/>
      <c r="E487" s="1"/>
      <c r="F487" s="1"/>
      <c r="G487" s="54"/>
      <c r="H487" s="54"/>
      <c r="I487" s="3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21.75" customHeight="1" x14ac:dyDescent="0.6">
      <c r="A488" s="1"/>
      <c r="B488" s="6"/>
      <c r="C488" s="1"/>
      <c r="D488" s="6"/>
      <c r="E488" s="1"/>
      <c r="F488" s="1"/>
      <c r="G488" s="54"/>
      <c r="H488" s="54"/>
      <c r="I488" s="3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21.75" customHeight="1" x14ac:dyDescent="0.6">
      <c r="A489" s="1"/>
      <c r="B489" s="6"/>
      <c r="C489" s="1"/>
      <c r="D489" s="6"/>
      <c r="E489" s="1"/>
      <c r="F489" s="1"/>
      <c r="G489" s="54"/>
      <c r="H489" s="54"/>
      <c r="I489" s="3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21.75" customHeight="1" x14ac:dyDescent="0.6">
      <c r="A490" s="1"/>
      <c r="B490" s="6"/>
      <c r="C490" s="1"/>
      <c r="D490" s="6"/>
      <c r="E490" s="1"/>
      <c r="F490" s="1"/>
      <c r="G490" s="54"/>
      <c r="H490" s="54"/>
      <c r="I490" s="3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21.75" customHeight="1" x14ac:dyDescent="0.6">
      <c r="A491" s="1"/>
      <c r="B491" s="6"/>
      <c r="C491" s="1"/>
      <c r="D491" s="6"/>
      <c r="E491" s="1"/>
      <c r="F491" s="1"/>
      <c r="G491" s="54"/>
      <c r="H491" s="54"/>
      <c r="I491" s="3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21.75" customHeight="1" x14ac:dyDescent="0.6">
      <c r="A492" s="1"/>
      <c r="B492" s="6"/>
      <c r="C492" s="1"/>
      <c r="D492" s="6"/>
      <c r="E492" s="1"/>
      <c r="F492" s="1"/>
      <c r="G492" s="54"/>
      <c r="H492" s="54"/>
      <c r="I492" s="3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21.75" customHeight="1" x14ac:dyDescent="0.6">
      <c r="A493" s="1"/>
      <c r="B493" s="6"/>
      <c r="C493" s="1"/>
      <c r="D493" s="6"/>
      <c r="E493" s="1"/>
      <c r="F493" s="1"/>
      <c r="G493" s="54"/>
      <c r="H493" s="54"/>
      <c r="I493" s="3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21.75" customHeight="1" x14ac:dyDescent="0.6">
      <c r="A494" s="1"/>
      <c r="B494" s="6"/>
      <c r="C494" s="1"/>
      <c r="D494" s="6"/>
      <c r="E494" s="1"/>
      <c r="F494" s="1"/>
      <c r="G494" s="54"/>
      <c r="H494" s="54"/>
      <c r="I494" s="3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21.75" customHeight="1" x14ac:dyDescent="0.6">
      <c r="A495" s="1"/>
      <c r="B495" s="6"/>
      <c r="C495" s="1"/>
      <c r="D495" s="6"/>
      <c r="E495" s="1"/>
      <c r="F495" s="1"/>
      <c r="G495" s="54"/>
      <c r="H495" s="54"/>
      <c r="I495" s="3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21.75" customHeight="1" x14ac:dyDescent="0.6">
      <c r="A496" s="1"/>
      <c r="B496" s="6"/>
      <c r="C496" s="1"/>
      <c r="D496" s="6"/>
      <c r="E496" s="1"/>
      <c r="F496" s="1"/>
      <c r="G496" s="54"/>
      <c r="H496" s="54"/>
      <c r="I496" s="3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35" ht="21.75" customHeight="1" x14ac:dyDescent="0.6">
      <c r="A497" s="1"/>
      <c r="B497" s="6"/>
      <c r="C497" s="1"/>
      <c r="D497" s="6"/>
      <c r="E497" s="1"/>
      <c r="F497" s="1"/>
      <c r="G497" s="54"/>
      <c r="H497" s="54"/>
      <c r="I497" s="3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35" ht="21.75" customHeight="1" x14ac:dyDescent="0.6">
      <c r="A498" s="1"/>
      <c r="B498" s="6"/>
      <c r="C498" s="1"/>
      <c r="D498" s="6"/>
      <c r="E498" s="1"/>
      <c r="F498" s="1"/>
      <c r="G498" s="54"/>
      <c r="H498" s="54"/>
      <c r="I498" s="3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35" ht="21.75" customHeight="1" x14ac:dyDescent="0.6">
      <c r="A499" s="1"/>
      <c r="B499" s="6"/>
      <c r="C499" s="1"/>
      <c r="D499" s="6"/>
      <c r="E499" s="1"/>
      <c r="F499" s="1"/>
      <c r="G499" s="54"/>
      <c r="H499" s="54"/>
      <c r="I499" s="3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35" ht="21.75" customHeight="1" x14ac:dyDescent="0.6">
      <c r="A500" s="1"/>
      <c r="B500" s="6"/>
      <c r="C500" s="1"/>
      <c r="D500" s="6"/>
      <c r="E500" s="1"/>
      <c r="F500" s="1"/>
      <c r="G500" s="54"/>
      <c r="H500" s="54"/>
      <c r="I500" s="3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35" ht="21.75" customHeight="1" x14ac:dyDescent="0.6">
      <c r="A501" s="1"/>
      <c r="B501" s="6"/>
      <c r="C501" s="1"/>
      <c r="D501" s="6"/>
      <c r="E501" s="1"/>
      <c r="F501" s="1"/>
      <c r="G501" s="54"/>
      <c r="H501" s="54"/>
      <c r="I501" s="3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35" ht="21.75" customHeight="1" x14ac:dyDescent="0.6">
      <c r="A502" s="1"/>
      <c r="B502" s="6"/>
      <c r="C502" s="1"/>
      <c r="D502" s="6"/>
      <c r="E502" s="1"/>
      <c r="F502" s="1"/>
      <c r="G502" s="54"/>
      <c r="H502" s="54"/>
      <c r="I502" s="3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35" ht="21.75" customHeight="1" x14ac:dyDescent="0.6">
      <c r="A503" s="1"/>
      <c r="B503" s="6"/>
      <c r="C503" s="1"/>
      <c r="D503" s="6"/>
      <c r="E503" s="1"/>
      <c r="F503" s="1"/>
      <c r="G503" s="54"/>
      <c r="H503" s="54"/>
      <c r="I503" s="3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35" ht="21.75" customHeight="1" x14ac:dyDescent="0.6">
      <c r="A504" s="1"/>
      <c r="B504" s="6"/>
      <c r="C504" s="1"/>
      <c r="D504" s="6"/>
      <c r="E504" s="1"/>
      <c r="F504" s="1"/>
      <c r="G504" s="54"/>
      <c r="H504" s="54"/>
      <c r="I504" s="3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I504">
        <f>25/3</f>
        <v>8.3333333333333339</v>
      </c>
    </row>
    <row r="505" spans="1:35" ht="21.75" customHeight="1" x14ac:dyDescent="0.6">
      <c r="A505" s="1"/>
      <c r="B505" s="6"/>
      <c r="C505" s="1"/>
      <c r="D505" s="6"/>
      <c r="E505" s="1"/>
      <c r="F505" s="1"/>
      <c r="G505" s="54"/>
      <c r="H505" s="54"/>
      <c r="I505" s="3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35" ht="21.75" customHeight="1" x14ac:dyDescent="0.6">
      <c r="A506" s="1"/>
      <c r="B506" s="6"/>
      <c r="C506" s="1"/>
      <c r="D506" s="6"/>
      <c r="E506" s="1"/>
      <c r="F506" s="1"/>
      <c r="G506" s="54"/>
      <c r="H506" s="54"/>
      <c r="I506" s="3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35" ht="21.75" customHeight="1" x14ac:dyDescent="0.6">
      <c r="A507" s="1"/>
      <c r="B507" s="6"/>
      <c r="C507" s="1"/>
      <c r="D507" s="6"/>
      <c r="E507" s="1"/>
      <c r="F507" s="1"/>
      <c r="G507" s="54"/>
      <c r="H507" s="54"/>
      <c r="I507" s="3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35" ht="21.75" customHeight="1" x14ac:dyDescent="0.6">
      <c r="A508" s="1"/>
      <c r="B508" s="6"/>
      <c r="C508" s="1"/>
      <c r="D508" s="6"/>
      <c r="E508" s="1"/>
      <c r="F508" s="1"/>
      <c r="G508" s="54"/>
      <c r="H508" s="54"/>
      <c r="I508" s="3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35" ht="21.75" customHeight="1" x14ac:dyDescent="0.6">
      <c r="A509" s="1"/>
      <c r="B509" s="6"/>
      <c r="C509" s="1"/>
      <c r="D509" s="6"/>
      <c r="E509" s="1"/>
      <c r="F509" s="1"/>
      <c r="G509" s="54"/>
      <c r="H509" s="54"/>
      <c r="I509" s="3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35" ht="21.75" customHeight="1" x14ac:dyDescent="0.6">
      <c r="A510" s="1"/>
      <c r="B510" s="6"/>
      <c r="C510" s="1"/>
      <c r="D510" s="6"/>
      <c r="E510" s="1"/>
      <c r="F510" s="1"/>
      <c r="G510" s="54"/>
      <c r="H510" s="54"/>
      <c r="I510" s="3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35" ht="21.75" customHeight="1" x14ac:dyDescent="0.6">
      <c r="A511" s="1"/>
      <c r="B511" s="6"/>
      <c r="C511" s="1"/>
      <c r="D511" s="6"/>
      <c r="E511" s="1"/>
      <c r="F511" s="1"/>
      <c r="G511" s="54"/>
      <c r="H511" s="54"/>
      <c r="I511" s="3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35" ht="21.75" customHeight="1" x14ac:dyDescent="0.6">
      <c r="A512" s="1"/>
      <c r="B512" s="6"/>
      <c r="C512" s="1"/>
      <c r="D512" s="6"/>
      <c r="E512" s="1"/>
      <c r="F512" s="1"/>
      <c r="G512" s="54"/>
      <c r="H512" s="54"/>
      <c r="I512" s="3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21.75" customHeight="1" x14ac:dyDescent="0.6">
      <c r="A513" s="1"/>
      <c r="B513" s="6"/>
      <c r="C513" s="1"/>
      <c r="D513" s="6"/>
      <c r="E513" s="1"/>
      <c r="F513" s="1"/>
      <c r="G513" s="54"/>
      <c r="H513" s="54"/>
      <c r="I513" s="3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21.75" customHeight="1" x14ac:dyDescent="0.6">
      <c r="A514" s="1"/>
      <c r="B514" s="6"/>
      <c r="C514" s="1"/>
      <c r="D514" s="6"/>
      <c r="E514" s="1"/>
      <c r="F514" s="1"/>
      <c r="G514" s="54"/>
      <c r="H514" s="54"/>
      <c r="I514" s="3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21.75" customHeight="1" x14ac:dyDescent="0.6">
      <c r="A515" s="1"/>
      <c r="B515" s="6"/>
      <c r="C515" s="1"/>
      <c r="D515" s="6"/>
      <c r="E515" s="1"/>
      <c r="F515" s="1"/>
      <c r="G515" s="54"/>
      <c r="H515" s="54"/>
      <c r="I515" s="3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21.75" customHeight="1" x14ac:dyDescent="0.6">
      <c r="A516" s="1"/>
      <c r="B516" s="6"/>
      <c r="C516" s="1"/>
      <c r="D516" s="6"/>
      <c r="E516" s="1"/>
      <c r="F516" s="1"/>
      <c r="G516" s="54"/>
      <c r="H516" s="54"/>
      <c r="I516" s="3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21.75" customHeight="1" x14ac:dyDescent="0.6">
      <c r="A517" s="1"/>
      <c r="B517" s="6"/>
      <c r="C517" s="1"/>
      <c r="D517" s="6"/>
      <c r="E517" s="1"/>
      <c r="F517" s="1"/>
      <c r="G517" s="54"/>
      <c r="H517" s="54"/>
      <c r="I517" s="3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21.75" customHeight="1" x14ac:dyDescent="0.6">
      <c r="A518" s="1"/>
      <c r="B518" s="6"/>
      <c r="C518" s="1"/>
      <c r="D518" s="6"/>
      <c r="E518" s="1"/>
      <c r="F518" s="1"/>
      <c r="G518" s="54"/>
      <c r="H518" s="54"/>
      <c r="I518" s="3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21.75" customHeight="1" x14ac:dyDescent="0.6">
      <c r="A519" s="1"/>
      <c r="B519" s="6"/>
      <c r="C519" s="1"/>
      <c r="D519" s="6"/>
      <c r="E519" s="1"/>
      <c r="F519" s="1"/>
      <c r="G519" s="54"/>
      <c r="H519" s="54"/>
      <c r="I519" s="3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21.75" customHeight="1" x14ac:dyDescent="0.6">
      <c r="A520" s="1"/>
      <c r="B520" s="6"/>
      <c r="C520" s="1"/>
      <c r="D520" s="6"/>
      <c r="E520" s="1"/>
      <c r="F520" s="1"/>
      <c r="G520" s="54"/>
      <c r="H520" s="54"/>
      <c r="I520" s="3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21.75" customHeight="1" x14ac:dyDescent="0.6">
      <c r="A521" s="1"/>
      <c r="B521" s="6"/>
      <c r="C521" s="1"/>
      <c r="D521" s="6"/>
      <c r="E521" s="1"/>
      <c r="F521" s="1"/>
      <c r="G521" s="54"/>
      <c r="H521" s="54"/>
      <c r="I521" s="3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21.75" customHeight="1" x14ac:dyDescent="0.6">
      <c r="A522" s="1"/>
      <c r="B522" s="6"/>
      <c r="C522" s="1"/>
      <c r="D522" s="6"/>
      <c r="E522" s="1"/>
      <c r="F522" s="1"/>
      <c r="G522" s="54"/>
      <c r="H522" s="54"/>
      <c r="I522" s="3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21.75" customHeight="1" x14ac:dyDescent="0.6">
      <c r="A523" s="1"/>
      <c r="B523" s="6"/>
      <c r="C523" s="1"/>
      <c r="D523" s="6"/>
      <c r="E523" s="1"/>
      <c r="F523" s="1"/>
      <c r="G523" s="54"/>
      <c r="H523" s="54"/>
      <c r="I523" s="3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21.75" customHeight="1" x14ac:dyDescent="0.6">
      <c r="A524" s="1"/>
      <c r="B524" s="6"/>
      <c r="C524" s="1"/>
      <c r="D524" s="6"/>
      <c r="E524" s="1"/>
      <c r="F524" s="1"/>
      <c r="G524" s="54"/>
      <c r="H524" s="54"/>
      <c r="I524" s="3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21.75" customHeight="1" x14ac:dyDescent="0.6">
      <c r="A525" s="1"/>
      <c r="B525" s="6"/>
      <c r="C525" s="1"/>
      <c r="D525" s="6"/>
      <c r="E525" s="1"/>
      <c r="F525" s="1"/>
      <c r="G525" s="54"/>
      <c r="H525" s="54"/>
      <c r="I525" s="3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21.75" customHeight="1" x14ac:dyDescent="0.6">
      <c r="A526" s="1"/>
      <c r="B526" s="6"/>
      <c r="C526" s="1"/>
      <c r="D526" s="6"/>
      <c r="E526" s="1"/>
      <c r="F526" s="1"/>
      <c r="G526" s="54"/>
      <c r="H526" s="54"/>
      <c r="I526" s="3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21.75" customHeight="1" x14ac:dyDescent="0.6">
      <c r="A527" s="1"/>
      <c r="B527" s="6"/>
      <c r="C527" s="1"/>
      <c r="D527" s="6"/>
      <c r="E527" s="1"/>
      <c r="F527" s="1"/>
      <c r="G527" s="54"/>
      <c r="H527" s="54"/>
      <c r="I527" s="3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21.75" customHeight="1" x14ac:dyDescent="0.6">
      <c r="A528" s="1"/>
      <c r="B528" s="6"/>
      <c r="C528" s="1"/>
      <c r="D528" s="6"/>
      <c r="E528" s="1"/>
      <c r="F528" s="1"/>
      <c r="G528" s="54"/>
      <c r="H528" s="54"/>
      <c r="I528" s="3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21.75" customHeight="1" x14ac:dyDescent="0.6">
      <c r="A529" s="1"/>
      <c r="B529" s="6"/>
      <c r="C529" s="1"/>
      <c r="D529" s="6"/>
      <c r="E529" s="1"/>
      <c r="F529" s="1"/>
      <c r="G529" s="54"/>
      <c r="H529" s="54"/>
      <c r="I529" s="3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21.75" customHeight="1" x14ac:dyDescent="0.6">
      <c r="A530" s="1"/>
      <c r="B530" s="6"/>
      <c r="C530" s="1"/>
      <c r="D530" s="6"/>
      <c r="E530" s="1"/>
      <c r="F530" s="1"/>
      <c r="G530" s="54"/>
      <c r="H530" s="54"/>
      <c r="I530" s="3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21.75" customHeight="1" x14ac:dyDescent="0.6">
      <c r="A531" s="1"/>
      <c r="B531" s="6"/>
      <c r="C531" s="1"/>
      <c r="D531" s="6"/>
      <c r="E531" s="1"/>
      <c r="F531" s="1"/>
      <c r="G531" s="54"/>
      <c r="H531" s="54"/>
      <c r="I531" s="3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21.75" customHeight="1" x14ac:dyDescent="0.6">
      <c r="A532" s="1"/>
      <c r="B532" s="6"/>
      <c r="C532" s="1"/>
      <c r="D532" s="6"/>
      <c r="E532" s="1"/>
      <c r="F532" s="1"/>
      <c r="G532" s="54"/>
      <c r="H532" s="54"/>
      <c r="I532" s="3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21.75" customHeight="1" x14ac:dyDescent="0.6">
      <c r="A533" s="1"/>
      <c r="B533" s="6"/>
      <c r="C533" s="1"/>
      <c r="D533" s="6"/>
      <c r="E533" s="1"/>
      <c r="F533" s="1"/>
      <c r="G533" s="54"/>
      <c r="H533" s="54"/>
      <c r="I533" s="3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21.75" customHeight="1" x14ac:dyDescent="0.6">
      <c r="A534" s="1"/>
      <c r="B534" s="6"/>
      <c r="C534" s="1"/>
      <c r="D534" s="6"/>
      <c r="E534" s="1"/>
      <c r="F534" s="1"/>
      <c r="G534" s="54"/>
      <c r="H534" s="54"/>
      <c r="I534" s="3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21.75" customHeight="1" x14ac:dyDescent="0.6">
      <c r="A535" s="1"/>
      <c r="B535" s="6"/>
      <c r="C535" s="1"/>
      <c r="D535" s="6"/>
      <c r="E535" s="1"/>
      <c r="F535" s="1"/>
      <c r="G535" s="54"/>
      <c r="H535" s="54"/>
      <c r="I535" s="3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21.75" customHeight="1" x14ac:dyDescent="0.6">
      <c r="A536" s="1"/>
      <c r="B536" s="6"/>
      <c r="C536" s="1"/>
      <c r="D536" s="6"/>
      <c r="E536" s="1"/>
      <c r="F536" s="1"/>
      <c r="G536" s="54"/>
      <c r="H536" s="54"/>
      <c r="I536" s="3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21.75" customHeight="1" x14ac:dyDescent="0.6">
      <c r="A537" s="1"/>
      <c r="B537" s="6"/>
      <c r="C537" s="1"/>
      <c r="D537" s="6"/>
      <c r="E537" s="1"/>
      <c r="F537" s="1"/>
      <c r="G537" s="54"/>
      <c r="H537" s="54"/>
      <c r="I537" s="3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21.75" customHeight="1" x14ac:dyDescent="0.6">
      <c r="A538" s="1"/>
      <c r="B538" s="6"/>
      <c r="C538" s="1"/>
      <c r="D538" s="6"/>
      <c r="E538" s="1"/>
      <c r="F538" s="1"/>
      <c r="G538" s="54"/>
      <c r="H538" s="54"/>
      <c r="I538" s="3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21.75" customHeight="1" x14ac:dyDescent="0.6">
      <c r="A539" s="1"/>
      <c r="B539" s="6"/>
      <c r="C539" s="1"/>
      <c r="D539" s="6"/>
      <c r="E539" s="1"/>
      <c r="F539" s="1"/>
      <c r="G539" s="54"/>
      <c r="H539" s="54"/>
      <c r="I539" s="3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21.75" customHeight="1" x14ac:dyDescent="0.6">
      <c r="A540" s="1"/>
      <c r="B540" s="6"/>
      <c r="C540" s="1"/>
      <c r="D540" s="6"/>
      <c r="E540" s="1"/>
      <c r="F540" s="1"/>
      <c r="G540" s="54"/>
      <c r="H540" s="54"/>
      <c r="I540" s="3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21.75" customHeight="1" x14ac:dyDescent="0.6">
      <c r="A541" s="1"/>
      <c r="B541" s="6"/>
      <c r="C541" s="1"/>
      <c r="D541" s="6"/>
      <c r="E541" s="1"/>
      <c r="F541" s="1"/>
      <c r="G541" s="54"/>
      <c r="H541" s="54"/>
      <c r="I541" s="3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21.75" customHeight="1" x14ac:dyDescent="0.6">
      <c r="A542" s="1"/>
      <c r="B542" s="6"/>
      <c r="C542" s="1"/>
      <c r="D542" s="6"/>
      <c r="E542" s="1"/>
      <c r="F542" s="1"/>
      <c r="G542" s="54"/>
      <c r="H542" s="54"/>
      <c r="I542" s="3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21.75" customHeight="1" x14ac:dyDescent="0.6">
      <c r="A543" s="1"/>
      <c r="B543" s="6"/>
      <c r="C543" s="1"/>
      <c r="D543" s="6"/>
      <c r="E543" s="1"/>
      <c r="F543" s="1"/>
      <c r="G543" s="54"/>
      <c r="H543" s="54"/>
      <c r="I543" s="3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21.75" customHeight="1" x14ac:dyDescent="0.6">
      <c r="A544" s="1"/>
      <c r="B544" s="6"/>
      <c r="C544" s="1"/>
      <c r="D544" s="6"/>
      <c r="E544" s="1"/>
      <c r="F544" s="1"/>
      <c r="G544" s="54"/>
      <c r="H544" s="54"/>
      <c r="I544" s="3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21.75" customHeight="1" x14ac:dyDescent="0.6">
      <c r="A545" s="1"/>
      <c r="B545" s="6"/>
      <c r="C545" s="1"/>
      <c r="D545" s="6"/>
      <c r="E545" s="1"/>
      <c r="F545" s="1"/>
      <c r="G545" s="54"/>
      <c r="H545" s="54"/>
      <c r="I545" s="3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21.75" customHeight="1" x14ac:dyDescent="0.6">
      <c r="A546" s="1"/>
      <c r="B546" s="6"/>
      <c r="C546" s="1"/>
      <c r="D546" s="6"/>
      <c r="E546" s="1"/>
      <c r="F546" s="1"/>
      <c r="G546" s="54"/>
      <c r="H546" s="54"/>
      <c r="I546" s="3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21.75" customHeight="1" x14ac:dyDescent="0.6">
      <c r="A547" s="1"/>
      <c r="B547" s="6"/>
      <c r="C547" s="1"/>
      <c r="D547" s="6"/>
      <c r="E547" s="1"/>
      <c r="F547" s="1"/>
      <c r="G547" s="54"/>
      <c r="H547" s="54"/>
      <c r="I547" s="3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21.75" customHeight="1" x14ac:dyDescent="0.6">
      <c r="A548" s="1"/>
      <c r="B548" s="6"/>
      <c r="C548" s="1"/>
      <c r="D548" s="6"/>
      <c r="E548" s="1"/>
      <c r="F548" s="1"/>
      <c r="G548" s="54"/>
      <c r="H548" s="54"/>
      <c r="I548" s="3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21.75" customHeight="1" x14ac:dyDescent="0.6">
      <c r="A549" s="1"/>
      <c r="B549" s="6"/>
      <c r="C549" s="1"/>
      <c r="D549" s="6"/>
      <c r="E549" s="1"/>
      <c r="F549" s="1"/>
      <c r="G549" s="54"/>
      <c r="H549" s="54"/>
      <c r="I549" s="3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21.75" customHeight="1" x14ac:dyDescent="0.6">
      <c r="A550" s="1"/>
      <c r="B550" s="6"/>
      <c r="C550" s="1"/>
      <c r="D550" s="6"/>
      <c r="E550" s="1"/>
      <c r="F550" s="1"/>
      <c r="G550" s="54"/>
      <c r="H550" s="54"/>
      <c r="I550" s="3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21.75" customHeight="1" x14ac:dyDescent="0.6">
      <c r="A551" s="1"/>
      <c r="B551" s="6"/>
      <c r="C551" s="1"/>
      <c r="D551" s="6"/>
      <c r="E551" s="1"/>
      <c r="F551" s="1"/>
      <c r="G551" s="54"/>
      <c r="H551" s="54"/>
      <c r="I551" s="3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21.75" customHeight="1" x14ac:dyDescent="0.6">
      <c r="A552" s="1"/>
      <c r="B552" s="6"/>
      <c r="C552" s="1"/>
      <c r="D552" s="6"/>
      <c r="E552" s="1"/>
      <c r="F552" s="1"/>
      <c r="G552" s="54"/>
      <c r="H552" s="54"/>
      <c r="I552" s="3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21.75" customHeight="1" x14ac:dyDescent="0.6">
      <c r="A553" s="1"/>
      <c r="B553" s="6"/>
      <c r="C553" s="1"/>
      <c r="D553" s="6"/>
      <c r="E553" s="1"/>
      <c r="F553" s="1"/>
      <c r="G553" s="54"/>
      <c r="H553" s="54"/>
      <c r="I553" s="3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21.75" customHeight="1" x14ac:dyDescent="0.6">
      <c r="A554" s="1"/>
      <c r="B554" s="6"/>
      <c r="C554" s="1"/>
      <c r="D554" s="6"/>
      <c r="E554" s="1"/>
      <c r="F554" s="1"/>
      <c r="G554" s="54"/>
      <c r="H554" s="54"/>
      <c r="I554" s="3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21.75" customHeight="1" x14ac:dyDescent="0.6">
      <c r="A555" s="1"/>
      <c r="B555" s="6"/>
      <c r="C555" s="1"/>
      <c r="D555" s="6"/>
      <c r="E555" s="1"/>
      <c r="F555" s="1"/>
      <c r="G555" s="54"/>
      <c r="H555" s="54"/>
      <c r="I555" s="3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21.75" customHeight="1" x14ac:dyDescent="0.6">
      <c r="A556" s="1"/>
      <c r="B556" s="6"/>
      <c r="C556" s="1"/>
      <c r="D556" s="6"/>
      <c r="E556" s="1"/>
      <c r="F556" s="1"/>
      <c r="G556" s="54"/>
      <c r="H556" s="54"/>
      <c r="I556" s="3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21.75" customHeight="1" x14ac:dyDescent="0.6">
      <c r="A557" s="1"/>
      <c r="B557" s="6"/>
      <c r="C557" s="1"/>
      <c r="D557" s="6"/>
      <c r="E557" s="1"/>
      <c r="F557" s="1"/>
      <c r="G557" s="54"/>
      <c r="H557" s="54"/>
      <c r="I557" s="3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21.75" customHeight="1" x14ac:dyDescent="0.6">
      <c r="A558" s="1"/>
      <c r="B558" s="6"/>
      <c r="C558" s="1"/>
      <c r="D558" s="6"/>
      <c r="E558" s="1"/>
      <c r="F558" s="1"/>
      <c r="G558" s="54"/>
      <c r="H558" s="54"/>
      <c r="I558" s="3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21.75" customHeight="1" x14ac:dyDescent="0.6">
      <c r="A559" s="1"/>
      <c r="B559" s="6"/>
      <c r="C559" s="1"/>
      <c r="D559" s="6"/>
      <c r="E559" s="1"/>
      <c r="F559" s="1"/>
      <c r="G559" s="54"/>
      <c r="H559" s="54"/>
      <c r="I559" s="3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21.75" customHeight="1" x14ac:dyDescent="0.6">
      <c r="A560" s="1"/>
      <c r="B560" s="6"/>
      <c r="C560" s="1"/>
      <c r="D560" s="6"/>
      <c r="E560" s="1"/>
      <c r="F560" s="1"/>
      <c r="G560" s="54"/>
      <c r="H560" s="54"/>
      <c r="I560" s="3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21.75" customHeight="1" x14ac:dyDescent="0.6">
      <c r="A561" s="1"/>
      <c r="B561" s="6"/>
      <c r="C561" s="1"/>
      <c r="D561" s="6"/>
      <c r="E561" s="1"/>
      <c r="F561" s="1"/>
      <c r="G561" s="54"/>
      <c r="H561" s="54"/>
      <c r="I561" s="3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21.75" customHeight="1" x14ac:dyDescent="0.6">
      <c r="A562" s="1"/>
      <c r="B562" s="6"/>
      <c r="C562" s="1"/>
      <c r="D562" s="6"/>
      <c r="E562" s="1"/>
      <c r="F562" s="1"/>
      <c r="G562" s="54"/>
      <c r="H562" s="54"/>
      <c r="I562" s="3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21.75" customHeight="1" x14ac:dyDescent="0.6">
      <c r="A563" s="1"/>
      <c r="B563" s="6"/>
      <c r="C563" s="1"/>
      <c r="D563" s="6"/>
      <c r="E563" s="1"/>
      <c r="F563" s="1"/>
      <c r="G563" s="54"/>
      <c r="H563" s="54"/>
      <c r="I563" s="3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21.75" customHeight="1" x14ac:dyDescent="0.6">
      <c r="A564" s="1"/>
      <c r="B564" s="6"/>
      <c r="C564" s="1"/>
      <c r="D564" s="6"/>
      <c r="E564" s="1"/>
      <c r="F564" s="1"/>
      <c r="G564" s="54"/>
      <c r="H564" s="54"/>
      <c r="I564" s="3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21.75" customHeight="1" x14ac:dyDescent="0.6">
      <c r="A565" s="1"/>
      <c r="B565" s="6"/>
      <c r="C565" s="1"/>
      <c r="D565" s="6"/>
      <c r="E565" s="1"/>
      <c r="F565" s="1"/>
      <c r="G565" s="54"/>
      <c r="H565" s="54"/>
      <c r="I565" s="3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21.75" customHeight="1" x14ac:dyDescent="0.6">
      <c r="A566" s="1"/>
      <c r="B566" s="6"/>
      <c r="C566" s="1"/>
      <c r="D566" s="6"/>
      <c r="E566" s="1"/>
      <c r="F566" s="1"/>
      <c r="G566" s="54"/>
      <c r="H566" s="54"/>
      <c r="I566" s="3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21.75" customHeight="1" x14ac:dyDescent="0.6">
      <c r="A567" s="1"/>
      <c r="B567" s="6"/>
      <c r="C567" s="1"/>
      <c r="D567" s="6"/>
      <c r="E567" s="1"/>
      <c r="F567" s="1"/>
      <c r="G567" s="54"/>
      <c r="H567" s="54"/>
      <c r="I567" s="3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21.75" customHeight="1" x14ac:dyDescent="0.6">
      <c r="A568" s="1"/>
      <c r="B568" s="6"/>
      <c r="C568" s="1"/>
      <c r="D568" s="6"/>
      <c r="E568" s="1"/>
      <c r="F568" s="1"/>
      <c r="G568" s="54"/>
      <c r="H568" s="54"/>
      <c r="I568" s="3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21.75" customHeight="1" x14ac:dyDescent="0.6">
      <c r="A569" s="1"/>
      <c r="B569" s="6"/>
      <c r="C569" s="1"/>
      <c r="D569" s="6"/>
      <c r="E569" s="1"/>
      <c r="F569" s="1"/>
      <c r="G569" s="54"/>
      <c r="H569" s="54"/>
      <c r="I569" s="3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21.75" customHeight="1" x14ac:dyDescent="0.6">
      <c r="A570" s="1"/>
      <c r="B570" s="6"/>
      <c r="C570" s="1"/>
      <c r="D570" s="6"/>
      <c r="E570" s="1"/>
      <c r="F570" s="1"/>
      <c r="G570" s="54"/>
      <c r="H570" s="54"/>
      <c r="I570" s="3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21.75" customHeight="1" x14ac:dyDescent="0.6">
      <c r="A571" s="1"/>
      <c r="B571" s="6"/>
      <c r="C571" s="1"/>
      <c r="D571" s="6"/>
      <c r="E571" s="1"/>
      <c r="F571" s="1"/>
      <c r="G571" s="54"/>
      <c r="H571" s="54"/>
      <c r="I571" s="3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21.75" customHeight="1" x14ac:dyDescent="0.6">
      <c r="A572" s="1"/>
      <c r="B572" s="6"/>
      <c r="C572" s="1"/>
      <c r="D572" s="6"/>
      <c r="E572" s="1"/>
      <c r="F572" s="1"/>
      <c r="G572" s="54"/>
      <c r="H572" s="54"/>
      <c r="I572" s="3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21.75" customHeight="1" x14ac:dyDescent="0.6">
      <c r="A573" s="1"/>
      <c r="B573" s="6"/>
      <c r="C573" s="1"/>
      <c r="D573" s="6"/>
      <c r="E573" s="1"/>
      <c r="F573" s="1"/>
      <c r="G573" s="54"/>
      <c r="H573" s="54"/>
      <c r="I573" s="3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21.75" customHeight="1" x14ac:dyDescent="0.6">
      <c r="A574" s="1"/>
      <c r="B574" s="6"/>
      <c r="C574" s="1"/>
      <c r="D574" s="6"/>
      <c r="E574" s="1"/>
      <c r="F574" s="1"/>
      <c r="G574" s="54"/>
      <c r="H574" s="54"/>
      <c r="I574" s="3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21.75" customHeight="1" x14ac:dyDescent="0.6">
      <c r="A575" s="1"/>
      <c r="B575" s="6"/>
      <c r="C575" s="1"/>
      <c r="D575" s="6"/>
      <c r="E575" s="1"/>
      <c r="F575" s="1"/>
      <c r="G575" s="54"/>
      <c r="H575" s="54"/>
      <c r="I575" s="3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21.75" customHeight="1" x14ac:dyDescent="0.6">
      <c r="A576" s="1"/>
      <c r="B576" s="6"/>
      <c r="C576" s="1"/>
      <c r="D576" s="6"/>
      <c r="E576" s="1"/>
      <c r="F576" s="1"/>
      <c r="G576" s="54"/>
      <c r="H576" s="54"/>
      <c r="I576" s="3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21.75" customHeight="1" x14ac:dyDescent="0.6">
      <c r="A577" s="1"/>
      <c r="B577" s="6"/>
      <c r="C577" s="1"/>
      <c r="D577" s="6"/>
      <c r="E577" s="1"/>
      <c r="F577" s="1"/>
      <c r="G577" s="54"/>
      <c r="H577" s="54"/>
      <c r="I577" s="3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21.75" customHeight="1" x14ac:dyDescent="0.6">
      <c r="A578" s="1"/>
      <c r="B578" s="6"/>
      <c r="C578" s="1"/>
      <c r="D578" s="6"/>
      <c r="E578" s="1"/>
      <c r="F578" s="1"/>
      <c r="G578" s="54"/>
      <c r="H578" s="54"/>
      <c r="I578" s="3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21.75" customHeight="1" x14ac:dyDescent="0.6">
      <c r="A579" s="1"/>
      <c r="B579" s="6"/>
      <c r="C579" s="1"/>
      <c r="D579" s="6"/>
      <c r="E579" s="1"/>
      <c r="F579" s="1"/>
      <c r="G579" s="54"/>
      <c r="H579" s="54"/>
      <c r="I579" s="3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21.75" customHeight="1" x14ac:dyDescent="0.6">
      <c r="A580" s="1"/>
      <c r="B580" s="6"/>
      <c r="C580" s="1"/>
      <c r="D580" s="6"/>
      <c r="E580" s="1"/>
      <c r="F580" s="1"/>
      <c r="G580" s="54"/>
      <c r="H580" s="54"/>
      <c r="I580" s="3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21.75" customHeight="1" x14ac:dyDescent="0.6">
      <c r="A581" s="1"/>
      <c r="B581" s="6"/>
      <c r="C581" s="1"/>
      <c r="D581" s="6"/>
      <c r="E581" s="1"/>
      <c r="F581" s="1"/>
      <c r="G581" s="54"/>
      <c r="H581" s="54"/>
      <c r="I581" s="3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21.75" customHeight="1" x14ac:dyDescent="0.6">
      <c r="A582" s="1"/>
      <c r="B582" s="6"/>
      <c r="C582" s="1"/>
      <c r="D582" s="6"/>
      <c r="E582" s="1"/>
      <c r="F582" s="1"/>
      <c r="G582" s="54"/>
      <c r="H582" s="54"/>
      <c r="I582" s="3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21.75" customHeight="1" x14ac:dyDescent="0.6">
      <c r="A583" s="1"/>
      <c r="B583" s="6"/>
      <c r="C583" s="1"/>
      <c r="D583" s="6"/>
      <c r="E583" s="1"/>
      <c r="F583" s="1"/>
      <c r="G583" s="54"/>
      <c r="H583" s="54"/>
      <c r="I583" s="3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21.75" customHeight="1" x14ac:dyDescent="0.6">
      <c r="A584" s="1"/>
      <c r="B584" s="6"/>
      <c r="C584" s="1"/>
      <c r="D584" s="6"/>
      <c r="E584" s="1"/>
      <c r="F584" s="1"/>
      <c r="G584" s="54"/>
      <c r="H584" s="54"/>
      <c r="I584" s="3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21.75" customHeight="1" x14ac:dyDescent="0.6">
      <c r="A585" s="1"/>
      <c r="B585" s="6"/>
      <c r="C585" s="1"/>
      <c r="D585" s="6"/>
      <c r="E585" s="1"/>
      <c r="F585" s="1"/>
      <c r="G585" s="54"/>
      <c r="H585" s="54"/>
      <c r="I585" s="3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21.75" customHeight="1" x14ac:dyDescent="0.6">
      <c r="A586" s="1"/>
      <c r="B586" s="6"/>
      <c r="C586" s="1"/>
      <c r="D586" s="6"/>
      <c r="E586" s="1"/>
      <c r="F586" s="1"/>
      <c r="G586" s="54"/>
      <c r="H586" s="54"/>
      <c r="I586" s="3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21.75" customHeight="1" x14ac:dyDescent="0.6">
      <c r="A587" s="1"/>
      <c r="B587" s="6"/>
      <c r="C587" s="1"/>
      <c r="D587" s="6"/>
      <c r="E587" s="1"/>
      <c r="F587" s="1"/>
      <c r="G587" s="54"/>
      <c r="H587" s="54"/>
      <c r="I587" s="3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21.75" customHeight="1" x14ac:dyDescent="0.6">
      <c r="A588" s="1"/>
      <c r="B588" s="6"/>
      <c r="C588" s="1"/>
      <c r="D588" s="6"/>
      <c r="E588" s="1"/>
      <c r="F588" s="1"/>
      <c r="G588" s="54"/>
      <c r="H588" s="54"/>
      <c r="I588" s="3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21.75" customHeight="1" x14ac:dyDescent="0.6">
      <c r="A589" s="1"/>
      <c r="B589" s="6"/>
      <c r="C589" s="1"/>
      <c r="D589" s="6"/>
      <c r="E589" s="1"/>
      <c r="F589" s="1"/>
      <c r="G589" s="54"/>
      <c r="H589" s="54"/>
      <c r="I589" s="3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21.75" customHeight="1" x14ac:dyDescent="0.6">
      <c r="A590" s="1"/>
      <c r="B590" s="6"/>
      <c r="C590" s="1"/>
      <c r="D590" s="6"/>
      <c r="E590" s="1"/>
      <c r="F590" s="1"/>
      <c r="G590" s="54"/>
      <c r="H590" s="54"/>
      <c r="I590" s="3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21.75" customHeight="1" x14ac:dyDescent="0.6">
      <c r="A591" s="1"/>
      <c r="B591" s="6"/>
      <c r="C591" s="1"/>
      <c r="D591" s="6"/>
      <c r="E591" s="1"/>
      <c r="F591" s="1"/>
      <c r="G591" s="54"/>
      <c r="H591" s="54"/>
      <c r="I591" s="3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21.75" customHeight="1" x14ac:dyDescent="0.6">
      <c r="A592" s="1"/>
      <c r="B592" s="6"/>
      <c r="C592" s="1"/>
      <c r="D592" s="6"/>
      <c r="E592" s="1"/>
      <c r="F592" s="1"/>
      <c r="G592" s="54"/>
      <c r="H592" s="54"/>
      <c r="I592" s="3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21.75" customHeight="1" x14ac:dyDescent="0.6">
      <c r="A593" s="1"/>
      <c r="B593" s="6"/>
      <c r="C593" s="1"/>
      <c r="D593" s="6"/>
      <c r="E593" s="1"/>
      <c r="F593" s="1"/>
      <c r="G593" s="54"/>
      <c r="H593" s="54"/>
      <c r="I593" s="3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21.75" customHeight="1" x14ac:dyDescent="0.6">
      <c r="A594" s="1"/>
      <c r="B594" s="6"/>
      <c r="C594" s="1"/>
      <c r="D594" s="6"/>
      <c r="E594" s="1"/>
      <c r="F594" s="1"/>
      <c r="G594" s="54"/>
      <c r="H594" s="54"/>
      <c r="I594" s="3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21.75" customHeight="1" x14ac:dyDescent="0.6">
      <c r="A595" s="1"/>
      <c r="B595" s="6"/>
      <c r="C595" s="1"/>
      <c r="D595" s="6"/>
      <c r="E595" s="1"/>
      <c r="F595" s="1"/>
      <c r="G595" s="54"/>
      <c r="H595" s="54"/>
      <c r="I595" s="3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21.75" customHeight="1" x14ac:dyDescent="0.6">
      <c r="A596" s="1"/>
      <c r="B596" s="6"/>
      <c r="C596" s="1"/>
      <c r="D596" s="6"/>
      <c r="E596" s="1"/>
      <c r="F596" s="1"/>
      <c r="G596" s="54"/>
      <c r="H596" s="54"/>
      <c r="I596" s="3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21.75" customHeight="1" x14ac:dyDescent="0.6">
      <c r="A597" s="1"/>
      <c r="B597" s="6"/>
      <c r="C597" s="1"/>
      <c r="D597" s="6"/>
      <c r="E597" s="1"/>
      <c r="F597" s="1"/>
      <c r="G597" s="54"/>
      <c r="H597" s="54"/>
      <c r="I597" s="3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21.75" customHeight="1" x14ac:dyDescent="0.6">
      <c r="A598" s="1"/>
      <c r="B598" s="6"/>
      <c r="C598" s="1"/>
      <c r="D598" s="6"/>
      <c r="E598" s="1"/>
      <c r="F598" s="1"/>
      <c r="G598" s="54"/>
      <c r="H598" s="54"/>
      <c r="I598" s="3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21.75" customHeight="1" x14ac:dyDescent="0.6">
      <c r="A599" s="1"/>
      <c r="B599" s="6"/>
      <c r="C599" s="1"/>
      <c r="D599" s="6"/>
      <c r="E599" s="1"/>
      <c r="F599" s="1"/>
      <c r="G599" s="54"/>
      <c r="H599" s="54"/>
      <c r="I599" s="3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21.75" customHeight="1" x14ac:dyDescent="0.6">
      <c r="A600" s="1"/>
      <c r="B600" s="6"/>
      <c r="C600" s="1"/>
      <c r="D600" s="6"/>
      <c r="E600" s="1"/>
      <c r="F600" s="1"/>
      <c r="G600" s="54"/>
      <c r="H600" s="54"/>
      <c r="I600" s="3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21.75" customHeight="1" x14ac:dyDescent="0.6">
      <c r="A601" s="1"/>
      <c r="B601" s="6"/>
      <c r="C601" s="1"/>
      <c r="D601" s="6"/>
      <c r="E601" s="1"/>
      <c r="F601" s="1"/>
      <c r="G601" s="54"/>
      <c r="H601" s="54"/>
      <c r="I601" s="3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21.75" customHeight="1" x14ac:dyDescent="0.6">
      <c r="A602" s="1"/>
      <c r="B602" s="6"/>
      <c r="C602" s="1"/>
      <c r="D602" s="6"/>
      <c r="E602" s="1"/>
      <c r="F602" s="1"/>
      <c r="G602" s="54"/>
      <c r="H602" s="54"/>
      <c r="I602" s="3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21.75" customHeight="1" x14ac:dyDescent="0.6">
      <c r="A603" s="1"/>
      <c r="B603" s="6"/>
      <c r="C603" s="1"/>
      <c r="D603" s="6"/>
      <c r="E603" s="1"/>
      <c r="F603" s="1"/>
      <c r="G603" s="54"/>
      <c r="H603" s="54"/>
      <c r="I603" s="3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21.75" customHeight="1" x14ac:dyDescent="0.6">
      <c r="A604" s="1"/>
      <c r="B604" s="6"/>
      <c r="C604" s="1"/>
      <c r="D604" s="6"/>
      <c r="E604" s="1"/>
      <c r="F604" s="1"/>
      <c r="G604" s="54"/>
      <c r="H604" s="54"/>
      <c r="I604" s="3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21.75" customHeight="1" x14ac:dyDescent="0.6">
      <c r="A605" s="1"/>
      <c r="B605" s="6"/>
      <c r="C605" s="1"/>
      <c r="D605" s="6"/>
      <c r="E605" s="1"/>
      <c r="F605" s="1"/>
      <c r="G605" s="54"/>
      <c r="H605" s="54"/>
      <c r="I605" s="3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21.75" customHeight="1" x14ac:dyDescent="0.6">
      <c r="A606" s="1"/>
      <c r="B606" s="6"/>
      <c r="C606" s="1"/>
      <c r="D606" s="6"/>
      <c r="E606" s="1"/>
      <c r="F606" s="1"/>
      <c r="G606" s="54"/>
      <c r="H606" s="54"/>
      <c r="I606" s="3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21.75" customHeight="1" x14ac:dyDescent="0.6">
      <c r="A607" s="1"/>
      <c r="B607" s="6"/>
      <c r="C607" s="1"/>
      <c r="D607" s="6"/>
      <c r="E607" s="1"/>
      <c r="F607" s="1"/>
      <c r="G607" s="54"/>
      <c r="H607" s="54"/>
      <c r="I607" s="3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21.75" customHeight="1" x14ac:dyDescent="0.6">
      <c r="A608" s="1"/>
      <c r="B608" s="6"/>
      <c r="C608" s="1"/>
      <c r="D608" s="6"/>
      <c r="E608" s="1"/>
      <c r="F608" s="1"/>
      <c r="G608" s="54"/>
      <c r="H608" s="54"/>
      <c r="I608" s="3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21.75" customHeight="1" x14ac:dyDescent="0.6">
      <c r="A609" s="1"/>
      <c r="B609" s="6"/>
      <c r="C609" s="1"/>
      <c r="D609" s="6"/>
      <c r="E609" s="1"/>
      <c r="F609" s="1"/>
      <c r="G609" s="54"/>
      <c r="H609" s="54"/>
      <c r="I609" s="3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21.75" customHeight="1" x14ac:dyDescent="0.6">
      <c r="A610" s="1"/>
      <c r="B610" s="6"/>
      <c r="C610" s="1"/>
      <c r="D610" s="6"/>
      <c r="E610" s="1"/>
      <c r="F610" s="1"/>
      <c r="G610" s="54"/>
      <c r="H610" s="54"/>
      <c r="I610" s="3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21.75" customHeight="1" x14ac:dyDescent="0.6">
      <c r="A611" s="1"/>
      <c r="B611" s="6"/>
      <c r="C611" s="1"/>
      <c r="D611" s="6"/>
      <c r="E611" s="1"/>
      <c r="F611" s="1"/>
      <c r="G611" s="54"/>
      <c r="H611" s="54"/>
      <c r="I611" s="3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21.75" customHeight="1" x14ac:dyDescent="0.6">
      <c r="A612" s="1"/>
      <c r="B612" s="6"/>
      <c r="C612" s="1"/>
      <c r="D612" s="6"/>
      <c r="E612" s="1"/>
      <c r="F612" s="1"/>
      <c r="G612" s="54"/>
      <c r="H612" s="54"/>
      <c r="I612" s="3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21.75" customHeight="1" x14ac:dyDescent="0.6">
      <c r="A613" s="1"/>
      <c r="B613" s="6"/>
      <c r="C613" s="1"/>
      <c r="D613" s="6"/>
      <c r="E613" s="1"/>
      <c r="F613" s="1"/>
      <c r="G613" s="54"/>
      <c r="H613" s="54"/>
      <c r="I613" s="3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21.75" customHeight="1" x14ac:dyDescent="0.6">
      <c r="A614" s="1"/>
      <c r="B614" s="6"/>
      <c r="C614" s="1"/>
      <c r="D614" s="6"/>
      <c r="E614" s="1"/>
      <c r="F614" s="1"/>
      <c r="G614" s="54"/>
      <c r="H614" s="54"/>
      <c r="I614" s="3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21.75" customHeight="1" x14ac:dyDescent="0.6">
      <c r="A615" s="1"/>
      <c r="B615" s="6"/>
      <c r="C615" s="1"/>
      <c r="D615" s="6"/>
      <c r="E615" s="1"/>
      <c r="F615" s="1"/>
      <c r="G615" s="54"/>
      <c r="H615" s="54"/>
      <c r="I615" s="3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21.75" customHeight="1" x14ac:dyDescent="0.6">
      <c r="A616" s="1"/>
      <c r="B616" s="6"/>
      <c r="C616" s="1"/>
      <c r="D616" s="6"/>
      <c r="E616" s="1"/>
      <c r="F616" s="1"/>
      <c r="G616" s="54"/>
      <c r="H616" s="54"/>
      <c r="I616" s="3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21.75" customHeight="1" x14ac:dyDescent="0.6">
      <c r="A617" s="1"/>
      <c r="B617" s="6"/>
      <c r="C617" s="1"/>
      <c r="D617" s="6"/>
      <c r="E617" s="1"/>
      <c r="F617" s="1"/>
      <c r="G617" s="54"/>
      <c r="H617" s="54"/>
      <c r="I617" s="3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21.75" customHeight="1" x14ac:dyDescent="0.6">
      <c r="A618" s="1"/>
      <c r="B618" s="6"/>
      <c r="C618" s="1"/>
      <c r="D618" s="6"/>
      <c r="E618" s="1"/>
      <c r="F618" s="1"/>
      <c r="G618" s="54"/>
      <c r="H618" s="54"/>
      <c r="I618" s="3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21.75" customHeight="1" x14ac:dyDescent="0.6">
      <c r="A619" s="1"/>
      <c r="B619" s="6"/>
      <c r="C619" s="1"/>
      <c r="D619" s="6"/>
      <c r="E619" s="1"/>
      <c r="F619" s="1"/>
      <c r="G619" s="54"/>
      <c r="H619" s="54"/>
      <c r="I619" s="3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21.75" customHeight="1" x14ac:dyDescent="0.6">
      <c r="A620" s="1"/>
      <c r="B620" s="6"/>
      <c r="C620" s="1"/>
      <c r="D620" s="6"/>
      <c r="E620" s="1"/>
      <c r="F620" s="1"/>
      <c r="G620" s="54"/>
      <c r="H620" s="54"/>
      <c r="I620" s="3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21.75" customHeight="1" x14ac:dyDescent="0.6">
      <c r="A621" s="1"/>
      <c r="B621" s="6"/>
      <c r="C621" s="1"/>
      <c r="D621" s="6"/>
      <c r="E621" s="1"/>
      <c r="F621" s="1"/>
      <c r="G621" s="54"/>
      <c r="H621" s="54"/>
      <c r="I621" s="3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21.75" customHeight="1" x14ac:dyDescent="0.6">
      <c r="A622" s="1"/>
      <c r="B622" s="6"/>
      <c r="C622" s="1"/>
      <c r="D622" s="6"/>
      <c r="E622" s="1"/>
      <c r="F622" s="1"/>
      <c r="G622" s="54"/>
      <c r="H622" s="54"/>
      <c r="I622" s="3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21.75" customHeight="1" x14ac:dyDescent="0.6">
      <c r="A623" s="1"/>
      <c r="B623" s="6"/>
      <c r="C623" s="1"/>
      <c r="D623" s="6"/>
      <c r="E623" s="1"/>
      <c r="F623" s="1"/>
      <c r="G623" s="54"/>
      <c r="H623" s="54"/>
      <c r="I623" s="3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21.75" customHeight="1" x14ac:dyDescent="0.6">
      <c r="A624" s="1"/>
      <c r="B624" s="6"/>
      <c r="C624" s="1"/>
      <c r="D624" s="6"/>
      <c r="E624" s="1"/>
      <c r="F624" s="1"/>
      <c r="G624" s="54"/>
      <c r="H624" s="54"/>
      <c r="I624" s="3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21.75" customHeight="1" x14ac:dyDescent="0.6">
      <c r="A625" s="1"/>
      <c r="B625" s="6"/>
      <c r="C625" s="1"/>
      <c r="D625" s="6"/>
      <c r="E625" s="1"/>
      <c r="F625" s="1"/>
      <c r="G625" s="54"/>
      <c r="H625" s="54"/>
      <c r="I625" s="3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21.75" customHeight="1" x14ac:dyDescent="0.6">
      <c r="A626" s="1"/>
      <c r="B626" s="6"/>
      <c r="C626" s="1"/>
      <c r="D626" s="6"/>
      <c r="E626" s="1"/>
      <c r="F626" s="1"/>
      <c r="G626" s="54"/>
      <c r="H626" s="54"/>
      <c r="I626" s="3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21.75" customHeight="1" x14ac:dyDescent="0.6">
      <c r="A627" s="1"/>
      <c r="B627" s="6"/>
      <c r="C627" s="1"/>
      <c r="D627" s="6"/>
      <c r="E627" s="1"/>
      <c r="F627" s="1"/>
      <c r="G627" s="54"/>
      <c r="H627" s="54"/>
      <c r="I627" s="3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21.75" customHeight="1" x14ac:dyDescent="0.6">
      <c r="A628" s="1"/>
      <c r="B628" s="6"/>
      <c r="C628" s="1"/>
      <c r="D628" s="6"/>
      <c r="E628" s="1"/>
      <c r="F628" s="1"/>
      <c r="G628" s="54"/>
      <c r="H628" s="54"/>
      <c r="I628" s="3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21.75" customHeight="1" x14ac:dyDescent="0.6">
      <c r="A629" s="1"/>
      <c r="B629" s="6"/>
      <c r="C629" s="1"/>
      <c r="D629" s="6"/>
      <c r="E629" s="1"/>
      <c r="F629" s="1"/>
      <c r="G629" s="54"/>
      <c r="H629" s="54"/>
      <c r="I629" s="3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21.75" customHeight="1" x14ac:dyDescent="0.6">
      <c r="A630" s="1"/>
      <c r="B630" s="6"/>
      <c r="C630" s="1"/>
      <c r="D630" s="6"/>
      <c r="E630" s="1"/>
      <c r="F630" s="1"/>
      <c r="G630" s="54"/>
      <c r="H630" s="54"/>
      <c r="I630" s="3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21.75" customHeight="1" x14ac:dyDescent="0.6">
      <c r="A631" s="1"/>
      <c r="B631" s="6"/>
      <c r="C631" s="1"/>
      <c r="D631" s="6"/>
      <c r="E631" s="1"/>
      <c r="F631" s="1"/>
      <c r="G631" s="54"/>
      <c r="H631" s="54"/>
      <c r="I631" s="3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21.75" customHeight="1" x14ac:dyDescent="0.6">
      <c r="A632" s="1"/>
      <c r="B632" s="6"/>
      <c r="C632" s="1"/>
      <c r="D632" s="6"/>
      <c r="E632" s="1"/>
      <c r="F632" s="1"/>
      <c r="G632" s="54"/>
      <c r="H632" s="54"/>
      <c r="I632" s="3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21.75" customHeight="1" x14ac:dyDescent="0.6">
      <c r="A633" s="1"/>
      <c r="B633" s="6"/>
      <c r="C633" s="1"/>
      <c r="D633" s="6"/>
      <c r="E633" s="1"/>
      <c r="F633" s="1"/>
      <c r="G633" s="54"/>
      <c r="H633" s="54"/>
      <c r="I633" s="3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21.75" customHeight="1" x14ac:dyDescent="0.6">
      <c r="A634" s="1"/>
      <c r="B634" s="6"/>
      <c r="C634" s="1"/>
      <c r="D634" s="6"/>
      <c r="E634" s="1"/>
      <c r="F634" s="1"/>
      <c r="G634" s="54"/>
      <c r="H634" s="54"/>
      <c r="I634" s="3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21.75" customHeight="1" x14ac:dyDescent="0.6">
      <c r="A635" s="1"/>
      <c r="B635" s="6"/>
      <c r="C635" s="1"/>
      <c r="D635" s="6"/>
      <c r="E635" s="1"/>
      <c r="F635" s="1"/>
      <c r="G635" s="54"/>
      <c r="H635" s="54"/>
      <c r="I635" s="3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21.75" customHeight="1" x14ac:dyDescent="0.6">
      <c r="A636" s="1"/>
      <c r="B636" s="6"/>
      <c r="C636" s="1"/>
      <c r="D636" s="6"/>
      <c r="E636" s="1"/>
      <c r="F636" s="1"/>
      <c r="G636" s="54"/>
      <c r="H636" s="54"/>
      <c r="I636" s="3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21.75" customHeight="1" x14ac:dyDescent="0.6">
      <c r="A637" s="1"/>
      <c r="B637" s="6"/>
      <c r="C637" s="1"/>
      <c r="D637" s="6"/>
      <c r="E637" s="1"/>
      <c r="F637" s="1"/>
      <c r="G637" s="54"/>
      <c r="H637" s="54"/>
      <c r="I637" s="3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21.75" customHeight="1" x14ac:dyDescent="0.6">
      <c r="A638" s="1"/>
      <c r="B638" s="6"/>
      <c r="C638" s="1"/>
      <c r="D638" s="6"/>
      <c r="E638" s="1"/>
      <c r="F638" s="1"/>
      <c r="G638" s="54"/>
      <c r="H638" s="54"/>
      <c r="I638" s="3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21.75" customHeight="1" x14ac:dyDescent="0.6">
      <c r="A639" s="1"/>
      <c r="B639" s="6"/>
      <c r="C639" s="1"/>
      <c r="D639" s="6"/>
      <c r="E639" s="1"/>
      <c r="F639" s="1"/>
      <c r="G639" s="54"/>
      <c r="H639" s="54"/>
      <c r="I639" s="3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21.75" customHeight="1" x14ac:dyDescent="0.6">
      <c r="A640" s="1"/>
      <c r="B640" s="6"/>
      <c r="C640" s="1"/>
      <c r="D640" s="6"/>
      <c r="E640" s="1"/>
      <c r="F640" s="1"/>
      <c r="G640" s="54"/>
      <c r="H640" s="54"/>
      <c r="I640" s="3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21.75" customHeight="1" x14ac:dyDescent="0.6">
      <c r="A641" s="1"/>
      <c r="B641" s="6"/>
      <c r="C641" s="1"/>
      <c r="D641" s="6"/>
      <c r="E641" s="1"/>
      <c r="F641" s="1"/>
      <c r="G641" s="54"/>
      <c r="H641" s="54"/>
      <c r="I641" s="3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21.75" customHeight="1" x14ac:dyDescent="0.6">
      <c r="A642" s="1"/>
      <c r="B642" s="6"/>
      <c r="C642" s="1"/>
      <c r="D642" s="6"/>
      <c r="E642" s="1"/>
      <c r="F642" s="1"/>
      <c r="G642" s="54"/>
      <c r="H642" s="54"/>
      <c r="I642" s="3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21.75" customHeight="1" x14ac:dyDescent="0.6">
      <c r="A643" s="1"/>
      <c r="B643" s="6"/>
      <c r="C643" s="1"/>
      <c r="D643" s="6"/>
      <c r="E643" s="1"/>
      <c r="F643" s="1"/>
      <c r="G643" s="54"/>
      <c r="H643" s="54"/>
      <c r="I643" s="3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21.75" customHeight="1" x14ac:dyDescent="0.6">
      <c r="A644" s="1"/>
      <c r="B644" s="6"/>
      <c r="C644" s="1"/>
      <c r="D644" s="6"/>
      <c r="E644" s="1"/>
      <c r="F644" s="1"/>
      <c r="G644" s="54"/>
      <c r="H644" s="54"/>
      <c r="I644" s="3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21.75" customHeight="1" x14ac:dyDescent="0.6">
      <c r="A645" s="1"/>
      <c r="B645" s="6"/>
      <c r="C645" s="1"/>
      <c r="D645" s="6"/>
      <c r="E645" s="1"/>
      <c r="F645" s="1"/>
      <c r="G645" s="54"/>
      <c r="H645" s="54"/>
      <c r="I645" s="3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21.75" customHeight="1" x14ac:dyDescent="0.6">
      <c r="A646" s="1"/>
      <c r="B646" s="6"/>
      <c r="C646" s="1"/>
      <c r="D646" s="6"/>
      <c r="E646" s="1"/>
      <c r="F646" s="1"/>
      <c r="G646" s="54"/>
      <c r="H646" s="54"/>
      <c r="I646" s="3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21.75" customHeight="1" x14ac:dyDescent="0.6">
      <c r="A647" s="1"/>
      <c r="B647" s="6"/>
      <c r="C647" s="1"/>
      <c r="D647" s="6"/>
      <c r="E647" s="1"/>
      <c r="F647" s="1"/>
      <c r="G647" s="54"/>
      <c r="H647" s="54"/>
      <c r="I647" s="3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21.75" customHeight="1" x14ac:dyDescent="0.6">
      <c r="A648" s="1"/>
      <c r="B648" s="6"/>
      <c r="C648" s="1"/>
      <c r="D648" s="6"/>
      <c r="E648" s="1"/>
      <c r="F648" s="1"/>
      <c r="G648" s="54"/>
      <c r="H648" s="54"/>
      <c r="I648" s="3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21.75" customHeight="1" x14ac:dyDescent="0.6">
      <c r="A649" s="1"/>
      <c r="B649" s="6"/>
      <c r="C649" s="1"/>
      <c r="D649" s="6"/>
      <c r="E649" s="1"/>
      <c r="F649" s="1"/>
      <c r="G649" s="54"/>
      <c r="H649" s="54"/>
      <c r="I649" s="3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21.75" customHeight="1" x14ac:dyDescent="0.6">
      <c r="A650" s="1"/>
      <c r="B650" s="6"/>
      <c r="C650" s="1"/>
      <c r="D650" s="6"/>
      <c r="E650" s="1"/>
      <c r="F650" s="1"/>
      <c r="G650" s="54"/>
      <c r="H650" s="54"/>
      <c r="I650" s="3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21.75" customHeight="1" x14ac:dyDescent="0.6">
      <c r="A651" s="1"/>
      <c r="B651" s="6"/>
      <c r="C651" s="1"/>
      <c r="D651" s="6"/>
      <c r="E651" s="1"/>
      <c r="F651" s="1"/>
      <c r="G651" s="54"/>
      <c r="H651" s="54"/>
      <c r="I651" s="3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21.75" customHeight="1" x14ac:dyDescent="0.6">
      <c r="A652" s="1"/>
      <c r="B652" s="6"/>
      <c r="C652" s="1"/>
      <c r="D652" s="6"/>
      <c r="E652" s="1"/>
      <c r="F652" s="1"/>
      <c r="G652" s="54"/>
      <c r="H652" s="54"/>
      <c r="I652" s="3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21.75" customHeight="1" x14ac:dyDescent="0.6">
      <c r="A653" s="1"/>
      <c r="B653" s="6"/>
      <c r="C653" s="1"/>
      <c r="D653" s="6"/>
      <c r="E653" s="1"/>
      <c r="F653" s="1"/>
      <c r="G653" s="54"/>
      <c r="H653" s="54"/>
      <c r="I653" s="3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21.75" customHeight="1" x14ac:dyDescent="0.6">
      <c r="A654" s="1"/>
      <c r="B654" s="6"/>
      <c r="C654" s="1"/>
      <c r="D654" s="6"/>
      <c r="E654" s="1"/>
      <c r="F654" s="1"/>
      <c r="G654" s="54"/>
      <c r="H654" s="54"/>
      <c r="I654" s="3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21.75" customHeight="1" x14ac:dyDescent="0.6">
      <c r="A655" s="1"/>
      <c r="B655" s="6"/>
      <c r="C655" s="1"/>
      <c r="D655" s="6"/>
      <c r="E655" s="1"/>
      <c r="F655" s="1"/>
      <c r="G655" s="54"/>
      <c r="H655" s="54"/>
      <c r="I655" s="3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21.75" customHeight="1" x14ac:dyDescent="0.6">
      <c r="A656" s="1"/>
      <c r="B656" s="6"/>
      <c r="C656" s="1"/>
      <c r="D656" s="6"/>
      <c r="E656" s="1"/>
      <c r="F656" s="1"/>
      <c r="G656" s="54"/>
      <c r="H656" s="54"/>
      <c r="I656" s="3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21.75" customHeight="1" x14ac:dyDescent="0.6">
      <c r="A657" s="1"/>
      <c r="B657" s="6"/>
      <c r="C657" s="1"/>
      <c r="D657" s="6"/>
      <c r="E657" s="1"/>
      <c r="F657" s="1"/>
      <c r="G657" s="54"/>
      <c r="H657" s="54"/>
      <c r="I657" s="3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21.75" customHeight="1" x14ac:dyDescent="0.6">
      <c r="A658" s="1"/>
      <c r="B658" s="6"/>
      <c r="C658" s="1"/>
      <c r="D658" s="6"/>
      <c r="E658" s="1"/>
      <c r="F658" s="1"/>
      <c r="G658" s="54"/>
      <c r="H658" s="54"/>
      <c r="I658" s="3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21.75" customHeight="1" x14ac:dyDescent="0.6">
      <c r="A659" s="1"/>
      <c r="B659" s="6"/>
      <c r="C659" s="1"/>
      <c r="D659" s="6"/>
      <c r="E659" s="1"/>
      <c r="F659" s="1"/>
      <c r="G659" s="54"/>
      <c r="H659" s="54"/>
      <c r="I659" s="3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21.75" customHeight="1" x14ac:dyDescent="0.6">
      <c r="A660" s="1"/>
      <c r="B660" s="6"/>
      <c r="C660" s="1"/>
      <c r="D660" s="6"/>
      <c r="E660" s="1"/>
      <c r="F660" s="1"/>
      <c r="G660" s="54"/>
      <c r="H660" s="54"/>
      <c r="I660" s="3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21.75" customHeight="1" x14ac:dyDescent="0.6">
      <c r="A661" s="1"/>
      <c r="B661" s="6"/>
      <c r="C661" s="1"/>
      <c r="D661" s="6"/>
      <c r="E661" s="1"/>
      <c r="F661" s="1"/>
      <c r="G661" s="54"/>
      <c r="H661" s="54"/>
      <c r="I661" s="3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21.75" customHeight="1" x14ac:dyDescent="0.6">
      <c r="A662" s="1"/>
      <c r="B662" s="6"/>
      <c r="C662" s="1"/>
      <c r="D662" s="6"/>
      <c r="E662" s="1"/>
      <c r="F662" s="1"/>
      <c r="G662" s="54"/>
      <c r="H662" s="54"/>
      <c r="I662" s="3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21.75" customHeight="1" x14ac:dyDescent="0.6">
      <c r="A663" s="1"/>
      <c r="B663" s="6"/>
      <c r="C663" s="1"/>
      <c r="D663" s="6"/>
      <c r="E663" s="1"/>
      <c r="F663" s="1"/>
      <c r="G663" s="54"/>
      <c r="H663" s="54"/>
      <c r="I663" s="3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21.75" customHeight="1" x14ac:dyDescent="0.6">
      <c r="A664" s="1"/>
      <c r="B664" s="6"/>
      <c r="C664" s="1"/>
      <c r="D664" s="6"/>
      <c r="E664" s="1"/>
      <c r="F664" s="1"/>
      <c r="G664" s="54"/>
      <c r="H664" s="54"/>
      <c r="I664" s="3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21.75" customHeight="1" x14ac:dyDescent="0.6">
      <c r="A665" s="1"/>
      <c r="B665" s="6"/>
      <c r="C665" s="1"/>
      <c r="D665" s="6"/>
      <c r="E665" s="1"/>
      <c r="F665" s="1"/>
      <c r="G665" s="54"/>
      <c r="H665" s="54"/>
      <c r="I665" s="3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21.75" customHeight="1" x14ac:dyDescent="0.6">
      <c r="A666" s="1"/>
      <c r="B666" s="6"/>
      <c r="C666" s="1"/>
      <c r="D666" s="6"/>
      <c r="E666" s="1"/>
      <c r="F666" s="1"/>
      <c r="G666" s="54"/>
      <c r="H666" s="54"/>
      <c r="I666" s="3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21.75" customHeight="1" x14ac:dyDescent="0.6">
      <c r="A667" s="1"/>
      <c r="B667" s="6"/>
      <c r="C667" s="1"/>
      <c r="D667" s="6"/>
      <c r="E667" s="1"/>
      <c r="F667" s="1"/>
      <c r="G667" s="54"/>
      <c r="H667" s="54"/>
      <c r="I667" s="3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21.75" customHeight="1" x14ac:dyDescent="0.6">
      <c r="A668" s="1"/>
      <c r="B668" s="6"/>
      <c r="C668" s="1"/>
      <c r="D668" s="6"/>
      <c r="E668" s="1"/>
      <c r="F668" s="1"/>
      <c r="G668" s="54"/>
      <c r="H668" s="54"/>
      <c r="I668" s="3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21.75" customHeight="1" x14ac:dyDescent="0.6">
      <c r="A669" s="1"/>
      <c r="B669" s="6"/>
      <c r="C669" s="1"/>
      <c r="D669" s="6"/>
      <c r="E669" s="1"/>
      <c r="F669" s="1"/>
      <c r="G669" s="54"/>
      <c r="H669" s="54"/>
      <c r="I669" s="3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21.75" customHeight="1" x14ac:dyDescent="0.6">
      <c r="A670" s="1"/>
      <c r="B670" s="6"/>
      <c r="C670" s="1"/>
      <c r="D670" s="6"/>
      <c r="E670" s="1"/>
      <c r="F670" s="1"/>
      <c r="G670" s="54"/>
      <c r="H670" s="54"/>
      <c r="I670" s="3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21.75" customHeight="1" x14ac:dyDescent="0.6">
      <c r="A671" s="1"/>
      <c r="B671" s="6"/>
      <c r="C671" s="1"/>
      <c r="D671" s="6"/>
      <c r="E671" s="1"/>
      <c r="F671" s="1"/>
      <c r="G671" s="54"/>
      <c r="H671" s="54"/>
      <c r="I671" s="3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21.75" customHeight="1" x14ac:dyDescent="0.6">
      <c r="A672" s="1"/>
      <c r="B672" s="6"/>
      <c r="C672" s="1"/>
      <c r="D672" s="6"/>
      <c r="E672" s="1"/>
      <c r="F672" s="1"/>
      <c r="G672" s="54"/>
      <c r="H672" s="54"/>
      <c r="I672" s="3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21.75" customHeight="1" x14ac:dyDescent="0.6">
      <c r="A673" s="1"/>
      <c r="B673" s="6"/>
      <c r="C673" s="1"/>
      <c r="D673" s="6"/>
      <c r="E673" s="1"/>
      <c r="F673" s="1"/>
      <c r="G673" s="54"/>
      <c r="H673" s="54"/>
      <c r="I673" s="3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21.75" customHeight="1" x14ac:dyDescent="0.6">
      <c r="A674" s="1"/>
      <c r="B674" s="6"/>
      <c r="C674" s="1"/>
      <c r="D674" s="6"/>
      <c r="E674" s="1"/>
      <c r="F674" s="1"/>
      <c r="G674" s="54"/>
      <c r="H674" s="54"/>
      <c r="I674" s="3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21.75" customHeight="1" x14ac:dyDescent="0.6">
      <c r="A675" s="1"/>
      <c r="B675" s="6"/>
      <c r="C675" s="1"/>
      <c r="D675" s="6"/>
      <c r="E675" s="1"/>
      <c r="F675" s="1"/>
      <c r="G675" s="54"/>
      <c r="H675" s="54"/>
      <c r="I675" s="3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21.75" customHeight="1" x14ac:dyDescent="0.6">
      <c r="A676" s="1"/>
      <c r="B676" s="6"/>
      <c r="C676" s="1"/>
      <c r="D676" s="6"/>
      <c r="E676" s="1"/>
      <c r="F676" s="1"/>
      <c r="G676" s="54"/>
      <c r="H676" s="54"/>
      <c r="I676" s="3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21.75" customHeight="1" x14ac:dyDescent="0.6">
      <c r="A677" s="1"/>
      <c r="B677" s="6"/>
      <c r="C677" s="1"/>
      <c r="D677" s="6"/>
      <c r="E677" s="1"/>
      <c r="F677" s="1"/>
      <c r="G677" s="54"/>
      <c r="H677" s="54"/>
      <c r="I677" s="3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21.75" customHeight="1" x14ac:dyDescent="0.6">
      <c r="A678" s="1"/>
      <c r="B678" s="6"/>
      <c r="C678" s="1"/>
      <c r="D678" s="6"/>
      <c r="E678" s="1"/>
      <c r="F678" s="1"/>
      <c r="G678" s="54"/>
      <c r="H678" s="54"/>
      <c r="I678" s="3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21.75" customHeight="1" x14ac:dyDescent="0.6">
      <c r="A679" s="1"/>
      <c r="B679" s="6"/>
      <c r="C679" s="1"/>
      <c r="D679" s="6"/>
      <c r="E679" s="1"/>
      <c r="F679" s="1"/>
      <c r="G679" s="54"/>
      <c r="H679" s="54"/>
      <c r="I679" s="3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21.75" customHeight="1" x14ac:dyDescent="0.6">
      <c r="A680" s="1"/>
      <c r="B680" s="6"/>
      <c r="C680" s="1"/>
      <c r="D680" s="6"/>
      <c r="E680" s="1"/>
      <c r="F680" s="1"/>
      <c r="G680" s="54"/>
      <c r="H680" s="54"/>
      <c r="I680" s="3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21.75" customHeight="1" x14ac:dyDescent="0.6">
      <c r="A681" s="1"/>
      <c r="B681" s="6"/>
      <c r="C681" s="1"/>
      <c r="D681" s="6"/>
      <c r="E681" s="1"/>
      <c r="F681" s="1"/>
      <c r="G681" s="54"/>
      <c r="H681" s="54"/>
      <c r="I681" s="3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21.75" customHeight="1" x14ac:dyDescent="0.6">
      <c r="A682" s="1"/>
      <c r="B682" s="6"/>
      <c r="C682" s="1"/>
      <c r="D682" s="6"/>
      <c r="E682" s="1"/>
      <c r="F682" s="1"/>
      <c r="G682" s="54"/>
      <c r="H682" s="54"/>
      <c r="I682" s="3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21.75" customHeight="1" x14ac:dyDescent="0.6">
      <c r="A683" s="1"/>
      <c r="B683" s="6"/>
      <c r="C683" s="1"/>
      <c r="D683" s="6"/>
      <c r="E683" s="1"/>
      <c r="F683" s="1"/>
      <c r="G683" s="54"/>
      <c r="H683" s="54"/>
      <c r="I683" s="3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21.75" customHeight="1" x14ac:dyDescent="0.6">
      <c r="A684" s="1"/>
      <c r="B684" s="6"/>
      <c r="C684" s="1"/>
      <c r="D684" s="6"/>
      <c r="E684" s="1"/>
      <c r="F684" s="1"/>
      <c r="G684" s="54"/>
      <c r="H684" s="54"/>
      <c r="I684" s="3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21.75" customHeight="1" x14ac:dyDescent="0.6">
      <c r="A685" s="1"/>
      <c r="B685" s="6"/>
      <c r="C685" s="1"/>
      <c r="D685" s="6"/>
      <c r="E685" s="1"/>
      <c r="F685" s="1"/>
      <c r="G685" s="54"/>
      <c r="H685" s="54"/>
      <c r="I685" s="3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21.75" customHeight="1" x14ac:dyDescent="0.6">
      <c r="A686" s="1"/>
      <c r="B686" s="6"/>
      <c r="C686" s="1"/>
      <c r="D686" s="6"/>
      <c r="E686" s="1"/>
      <c r="F686" s="1"/>
      <c r="G686" s="54"/>
      <c r="H686" s="54"/>
      <c r="I686" s="3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21.75" customHeight="1" x14ac:dyDescent="0.6">
      <c r="A687" s="1"/>
      <c r="B687" s="6"/>
      <c r="C687" s="1"/>
      <c r="D687" s="6"/>
      <c r="E687" s="1"/>
      <c r="F687" s="1"/>
      <c r="G687" s="54"/>
      <c r="H687" s="54"/>
      <c r="I687" s="3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21.75" customHeight="1" x14ac:dyDescent="0.6">
      <c r="A688" s="1"/>
      <c r="B688" s="6"/>
      <c r="C688" s="1"/>
      <c r="D688" s="6"/>
      <c r="E688" s="1"/>
      <c r="F688" s="1"/>
      <c r="G688" s="54"/>
      <c r="H688" s="54"/>
      <c r="I688" s="3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21.75" customHeight="1" x14ac:dyDescent="0.6">
      <c r="A689" s="1"/>
      <c r="B689" s="6"/>
      <c r="C689" s="1"/>
      <c r="D689" s="6"/>
      <c r="E689" s="1"/>
      <c r="F689" s="1"/>
      <c r="G689" s="54"/>
      <c r="H689" s="54"/>
      <c r="I689" s="3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21.75" customHeight="1" x14ac:dyDescent="0.6">
      <c r="A690" s="1"/>
      <c r="B690" s="6"/>
      <c r="C690" s="1"/>
      <c r="D690" s="6"/>
      <c r="E690" s="1"/>
      <c r="F690" s="1"/>
      <c r="G690" s="54"/>
      <c r="H690" s="54"/>
      <c r="I690" s="3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21.75" customHeight="1" x14ac:dyDescent="0.6">
      <c r="A691" s="1"/>
      <c r="B691" s="6"/>
      <c r="C691" s="1"/>
      <c r="D691" s="6"/>
      <c r="E691" s="1"/>
      <c r="F691" s="1"/>
      <c r="G691" s="54"/>
      <c r="H691" s="54"/>
      <c r="I691" s="3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21.75" customHeight="1" x14ac:dyDescent="0.6">
      <c r="A692" s="1"/>
      <c r="B692" s="6"/>
      <c r="C692" s="1"/>
      <c r="D692" s="6"/>
      <c r="E692" s="1"/>
      <c r="F692" s="1"/>
      <c r="G692" s="54"/>
      <c r="H692" s="54"/>
      <c r="I692" s="3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21.75" customHeight="1" x14ac:dyDescent="0.6">
      <c r="A693" s="1"/>
      <c r="B693" s="6"/>
      <c r="C693" s="1"/>
      <c r="D693" s="6"/>
      <c r="E693" s="1"/>
      <c r="F693" s="1"/>
      <c r="G693" s="54"/>
      <c r="H693" s="54"/>
      <c r="I693" s="3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21.75" customHeight="1" x14ac:dyDescent="0.6">
      <c r="A694" s="1"/>
      <c r="B694" s="6"/>
      <c r="C694" s="1"/>
      <c r="D694" s="6"/>
      <c r="E694" s="1"/>
      <c r="F694" s="1"/>
      <c r="G694" s="54"/>
      <c r="H694" s="54"/>
      <c r="I694" s="3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21.75" customHeight="1" x14ac:dyDescent="0.6">
      <c r="A695" s="1"/>
      <c r="B695" s="6"/>
      <c r="C695" s="1"/>
      <c r="D695" s="6"/>
      <c r="E695" s="1"/>
      <c r="F695" s="1"/>
      <c r="G695" s="54"/>
      <c r="H695" s="54"/>
      <c r="I695" s="3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21.75" customHeight="1" x14ac:dyDescent="0.6">
      <c r="A696" s="1"/>
      <c r="B696" s="6"/>
      <c r="C696" s="1"/>
      <c r="D696" s="6"/>
      <c r="E696" s="1"/>
      <c r="F696" s="1"/>
      <c r="G696" s="54"/>
      <c r="H696" s="54"/>
      <c r="I696" s="3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21.75" customHeight="1" x14ac:dyDescent="0.6">
      <c r="A697" s="1"/>
      <c r="B697" s="6"/>
      <c r="C697" s="1"/>
      <c r="D697" s="6"/>
      <c r="E697" s="1"/>
      <c r="F697" s="1"/>
      <c r="G697" s="54"/>
      <c r="H697" s="54"/>
      <c r="I697" s="3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21.75" customHeight="1" x14ac:dyDescent="0.6">
      <c r="A698" s="1"/>
      <c r="B698" s="6"/>
      <c r="C698" s="1"/>
      <c r="D698" s="6"/>
      <c r="E698" s="1"/>
      <c r="F698" s="1"/>
      <c r="G698" s="54"/>
      <c r="H698" s="54"/>
      <c r="I698" s="3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21.75" customHeight="1" x14ac:dyDescent="0.6">
      <c r="A699" s="1"/>
      <c r="B699" s="6"/>
      <c r="C699" s="1"/>
      <c r="D699" s="6"/>
      <c r="E699" s="1"/>
      <c r="F699" s="1"/>
      <c r="G699" s="54"/>
      <c r="H699" s="54"/>
      <c r="I699" s="3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21.75" customHeight="1" x14ac:dyDescent="0.6">
      <c r="A700" s="1"/>
      <c r="B700" s="6"/>
      <c r="C700" s="1"/>
      <c r="D700" s="6"/>
      <c r="E700" s="1"/>
      <c r="F700" s="1"/>
      <c r="G700" s="54"/>
      <c r="H700" s="54"/>
      <c r="I700" s="3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21.75" customHeight="1" x14ac:dyDescent="0.6">
      <c r="A701" s="1"/>
      <c r="B701" s="6"/>
      <c r="C701" s="1"/>
      <c r="D701" s="6"/>
      <c r="E701" s="1"/>
      <c r="F701" s="1"/>
      <c r="G701" s="54"/>
      <c r="H701" s="54"/>
      <c r="I701" s="3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21.75" customHeight="1" x14ac:dyDescent="0.6">
      <c r="A702" s="1"/>
      <c r="B702" s="6"/>
      <c r="C702" s="1"/>
      <c r="D702" s="6"/>
      <c r="E702" s="1"/>
      <c r="F702" s="1"/>
      <c r="G702" s="54"/>
      <c r="H702" s="54"/>
      <c r="I702" s="3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21.75" customHeight="1" x14ac:dyDescent="0.6">
      <c r="A703" s="1"/>
      <c r="B703" s="6"/>
      <c r="C703" s="1"/>
      <c r="D703" s="6"/>
      <c r="E703" s="1"/>
      <c r="F703" s="1"/>
      <c r="G703" s="54"/>
      <c r="H703" s="54"/>
      <c r="I703" s="3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21.75" customHeight="1" x14ac:dyDescent="0.6">
      <c r="A704" s="1"/>
      <c r="B704" s="6"/>
      <c r="C704" s="1"/>
      <c r="D704" s="6"/>
      <c r="E704" s="1"/>
      <c r="F704" s="1"/>
      <c r="G704" s="54"/>
      <c r="H704" s="54"/>
      <c r="I704" s="3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21.75" customHeight="1" x14ac:dyDescent="0.6">
      <c r="A705" s="1"/>
      <c r="B705" s="6"/>
      <c r="C705" s="1"/>
      <c r="D705" s="6"/>
      <c r="E705" s="1"/>
      <c r="F705" s="1"/>
      <c r="G705" s="54"/>
      <c r="H705" s="54"/>
      <c r="I705" s="3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21.75" customHeight="1" x14ac:dyDescent="0.6">
      <c r="A706" s="1"/>
      <c r="B706" s="6"/>
      <c r="C706" s="1"/>
      <c r="D706" s="6"/>
      <c r="E706" s="1"/>
      <c r="F706" s="1"/>
      <c r="G706" s="54"/>
      <c r="H706" s="54"/>
      <c r="I706" s="3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21.75" customHeight="1" x14ac:dyDescent="0.6">
      <c r="A707" s="1"/>
      <c r="B707" s="6"/>
      <c r="C707" s="1"/>
      <c r="D707" s="6"/>
      <c r="E707" s="1"/>
      <c r="F707" s="1"/>
      <c r="G707" s="54"/>
      <c r="H707" s="54"/>
      <c r="I707" s="3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21.75" customHeight="1" x14ac:dyDescent="0.6">
      <c r="A708" s="1"/>
      <c r="B708" s="6"/>
      <c r="C708" s="1"/>
      <c r="D708" s="6"/>
      <c r="E708" s="1"/>
      <c r="F708" s="1"/>
      <c r="G708" s="54"/>
      <c r="H708" s="54"/>
      <c r="I708" s="3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21.75" customHeight="1" x14ac:dyDescent="0.6">
      <c r="A709" s="1"/>
      <c r="B709" s="6"/>
      <c r="C709" s="1"/>
      <c r="D709" s="6"/>
      <c r="E709" s="1"/>
      <c r="F709" s="1"/>
      <c r="G709" s="54"/>
      <c r="H709" s="54"/>
      <c r="I709" s="3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21.75" customHeight="1" x14ac:dyDescent="0.6">
      <c r="A710" s="1"/>
      <c r="B710" s="6"/>
      <c r="C710" s="1"/>
      <c r="D710" s="6"/>
      <c r="E710" s="1"/>
      <c r="F710" s="1"/>
      <c r="G710" s="54"/>
      <c r="H710" s="54"/>
      <c r="I710" s="3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21.75" customHeight="1" x14ac:dyDescent="0.6">
      <c r="A711" s="1"/>
      <c r="B711" s="6"/>
      <c r="C711" s="1"/>
      <c r="D711" s="6"/>
      <c r="E711" s="1"/>
      <c r="F711" s="1"/>
      <c r="G711" s="54"/>
      <c r="H711" s="54"/>
      <c r="I711" s="3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21.75" customHeight="1" x14ac:dyDescent="0.6">
      <c r="A712" s="1"/>
      <c r="B712" s="6"/>
      <c r="C712" s="1"/>
      <c r="D712" s="6"/>
      <c r="E712" s="1"/>
      <c r="F712" s="1"/>
      <c r="G712" s="54"/>
      <c r="H712" s="54"/>
      <c r="I712" s="3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21.75" customHeight="1" x14ac:dyDescent="0.6">
      <c r="A713" s="1"/>
      <c r="B713" s="6"/>
      <c r="C713" s="1"/>
      <c r="D713" s="6"/>
      <c r="E713" s="1"/>
      <c r="F713" s="1"/>
      <c r="G713" s="54"/>
      <c r="H713" s="54"/>
      <c r="I713" s="3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21.75" customHeight="1" x14ac:dyDescent="0.6">
      <c r="A714" s="1"/>
      <c r="B714" s="6"/>
      <c r="C714" s="1"/>
      <c r="D714" s="6"/>
      <c r="E714" s="1"/>
      <c r="F714" s="1"/>
      <c r="G714" s="54"/>
      <c r="H714" s="54"/>
      <c r="I714" s="3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21.75" customHeight="1" x14ac:dyDescent="0.6">
      <c r="A715" s="1"/>
      <c r="B715" s="6"/>
      <c r="C715" s="1"/>
      <c r="D715" s="6"/>
      <c r="E715" s="1"/>
      <c r="F715" s="1"/>
      <c r="G715" s="54"/>
      <c r="H715" s="54"/>
      <c r="I715" s="3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21.75" customHeight="1" x14ac:dyDescent="0.6">
      <c r="A716" s="1"/>
      <c r="B716" s="6"/>
      <c r="C716" s="1"/>
      <c r="D716" s="6"/>
      <c r="E716" s="1"/>
      <c r="F716" s="1"/>
      <c r="G716" s="54"/>
      <c r="H716" s="54"/>
      <c r="I716" s="3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21.75" customHeight="1" x14ac:dyDescent="0.6">
      <c r="A717" s="1"/>
      <c r="B717" s="6"/>
      <c r="C717" s="1"/>
      <c r="D717" s="6"/>
      <c r="E717" s="1"/>
      <c r="F717" s="1"/>
      <c r="G717" s="54"/>
      <c r="H717" s="54"/>
      <c r="I717" s="3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21.75" customHeight="1" x14ac:dyDescent="0.6">
      <c r="A718" s="1"/>
      <c r="B718" s="6"/>
      <c r="C718" s="1"/>
      <c r="D718" s="6"/>
      <c r="E718" s="1"/>
      <c r="F718" s="1"/>
      <c r="G718" s="54"/>
      <c r="H718" s="54"/>
      <c r="I718" s="3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21.75" customHeight="1" x14ac:dyDescent="0.6">
      <c r="A719" s="1"/>
      <c r="B719" s="6"/>
      <c r="C719" s="1"/>
      <c r="D719" s="6"/>
      <c r="E719" s="1"/>
      <c r="F719" s="1"/>
      <c r="G719" s="54"/>
      <c r="H719" s="54"/>
      <c r="I719" s="3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21.75" customHeight="1" x14ac:dyDescent="0.6">
      <c r="A720" s="1"/>
      <c r="B720" s="6"/>
      <c r="C720" s="1"/>
      <c r="D720" s="6"/>
      <c r="E720" s="1"/>
      <c r="F720" s="1"/>
      <c r="G720" s="54"/>
      <c r="H720" s="54"/>
      <c r="I720" s="3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21.75" customHeight="1" x14ac:dyDescent="0.6">
      <c r="A721" s="1"/>
      <c r="B721" s="6"/>
      <c r="C721" s="1"/>
      <c r="D721" s="6"/>
      <c r="E721" s="1"/>
      <c r="F721" s="1"/>
      <c r="G721" s="54"/>
      <c r="H721" s="54"/>
      <c r="I721" s="3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21.75" customHeight="1" x14ac:dyDescent="0.6">
      <c r="A722" s="1"/>
      <c r="B722" s="6"/>
      <c r="C722" s="1"/>
      <c r="D722" s="6"/>
      <c r="E722" s="1"/>
      <c r="F722" s="1"/>
      <c r="G722" s="54"/>
      <c r="H722" s="54"/>
      <c r="I722" s="3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21.75" customHeight="1" x14ac:dyDescent="0.6">
      <c r="A723" s="1"/>
      <c r="B723" s="6"/>
      <c r="C723" s="1"/>
      <c r="D723" s="6"/>
      <c r="E723" s="1"/>
      <c r="F723" s="1"/>
      <c r="G723" s="54"/>
      <c r="H723" s="54"/>
      <c r="I723" s="3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21.75" customHeight="1" x14ac:dyDescent="0.6">
      <c r="A724" s="1"/>
      <c r="B724" s="6"/>
      <c r="C724" s="1"/>
      <c r="D724" s="6"/>
      <c r="E724" s="1"/>
      <c r="F724" s="1"/>
      <c r="G724" s="54"/>
      <c r="H724" s="54"/>
      <c r="I724" s="3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21.75" customHeight="1" x14ac:dyDescent="0.6">
      <c r="A725" s="1"/>
      <c r="B725" s="6"/>
      <c r="C725" s="1"/>
      <c r="D725" s="6"/>
      <c r="E725" s="1"/>
      <c r="F725" s="1"/>
      <c r="G725" s="54"/>
      <c r="H725" s="54"/>
      <c r="I725" s="3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21.75" customHeight="1" x14ac:dyDescent="0.6">
      <c r="A726" s="1"/>
      <c r="B726" s="6"/>
      <c r="C726" s="1"/>
      <c r="D726" s="6"/>
      <c r="E726" s="1"/>
      <c r="F726" s="1"/>
      <c r="G726" s="54"/>
      <c r="H726" s="54"/>
      <c r="I726" s="3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21.75" customHeight="1" x14ac:dyDescent="0.6">
      <c r="A727" s="1"/>
      <c r="B727" s="6"/>
      <c r="C727" s="1"/>
      <c r="D727" s="6"/>
      <c r="E727" s="1"/>
      <c r="F727" s="1"/>
      <c r="G727" s="54"/>
      <c r="H727" s="54"/>
      <c r="I727" s="3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21.75" customHeight="1" x14ac:dyDescent="0.6">
      <c r="A728" s="1"/>
      <c r="B728" s="6"/>
      <c r="C728" s="1"/>
      <c r="D728" s="6"/>
      <c r="E728" s="1"/>
      <c r="F728" s="1"/>
      <c r="G728" s="54"/>
      <c r="H728" s="54"/>
      <c r="I728" s="3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21.75" customHeight="1" x14ac:dyDescent="0.6">
      <c r="A729" s="1"/>
      <c r="B729" s="6"/>
      <c r="C729" s="1"/>
      <c r="D729" s="6"/>
      <c r="E729" s="1"/>
      <c r="F729" s="1"/>
      <c r="G729" s="54"/>
      <c r="H729" s="54"/>
      <c r="I729" s="3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21.75" customHeight="1" x14ac:dyDescent="0.6">
      <c r="A730" s="1"/>
      <c r="B730" s="6"/>
      <c r="C730" s="1"/>
      <c r="D730" s="6"/>
      <c r="E730" s="1"/>
      <c r="F730" s="1"/>
      <c r="G730" s="54"/>
      <c r="H730" s="54"/>
      <c r="I730" s="3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21.75" customHeight="1" x14ac:dyDescent="0.6">
      <c r="A731" s="1"/>
      <c r="B731" s="6"/>
      <c r="C731" s="1"/>
      <c r="D731" s="6"/>
      <c r="E731" s="1"/>
      <c r="F731" s="1"/>
      <c r="G731" s="54"/>
      <c r="H731" s="54"/>
      <c r="I731" s="3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21.75" customHeight="1" x14ac:dyDescent="0.6">
      <c r="A732" s="1"/>
      <c r="B732" s="6"/>
      <c r="C732" s="1"/>
      <c r="D732" s="6"/>
      <c r="E732" s="1"/>
      <c r="F732" s="1"/>
      <c r="G732" s="54"/>
      <c r="H732" s="54"/>
      <c r="I732" s="3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21.75" customHeight="1" x14ac:dyDescent="0.6">
      <c r="A733" s="1"/>
      <c r="B733" s="6"/>
      <c r="C733" s="1"/>
      <c r="D733" s="6"/>
      <c r="E733" s="1"/>
      <c r="F733" s="1"/>
      <c r="G733" s="54"/>
      <c r="H733" s="54"/>
      <c r="I733" s="3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21.75" customHeight="1" x14ac:dyDescent="0.6">
      <c r="A734" s="1"/>
      <c r="B734" s="6"/>
      <c r="C734" s="1"/>
      <c r="D734" s="6"/>
      <c r="E734" s="1"/>
      <c r="F734" s="1"/>
      <c r="G734" s="54"/>
      <c r="H734" s="54"/>
      <c r="I734" s="3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21.75" customHeight="1" x14ac:dyDescent="0.6">
      <c r="A735" s="1"/>
      <c r="B735" s="6"/>
      <c r="C735" s="1"/>
      <c r="D735" s="6"/>
      <c r="E735" s="1"/>
      <c r="F735" s="1"/>
      <c r="G735" s="54"/>
      <c r="H735" s="54"/>
      <c r="I735" s="3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21.75" customHeight="1" x14ac:dyDescent="0.6">
      <c r="A736" s="1"/>
      <c r="B736" s="6"/>
      <c r="C736" s="1"/>
      <c r="D736" s="6"/>
      <c r="E736" s="1"/>
      <c r="F736" s="1"/>
      <c r="G736" s="54"/>
      <c r="H736" s="54"/>
      <c r="I736" s="3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21.75" customHeight="1" x14ac:dyDescent="0.6">
      <c r="A737" s="1"/>
      <c r="B737" s="6"/>
      <c r="C737" s="1"/>
      <c r="D737" s="6"/>
      <c r="E737" s="1"/>
      <c r="F737" s="1"/>
      <c r="G737" s="54"/>
      <c r="H737" s="54"/>
      <c r="I737" s="3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21.75" customHeight="1" x14ac:dyDescent="0.6">
      <c r="A738" s="1"/>
      <c r="B738" s="6"/>
      <c r="C738" s="1"/>
      <c r="D738" s="6"/>
      <c r="E738" s="1"/>
      <c r="F738" s="1"/>
      <c r="G738" s="54"/>
      <c r="H738" s="54"/>
      <c r="I738" s="3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21.75" customHeight="1" x14ac:dyDescent="0.6">
      <c r="A739" s="1"/>
      <c r="B739" s="6"/>
      <c r="C739" s="1"/>
      <c r="D739" s="6"/>
      <c r="E739" s="1"/>
      <c r="F739" s="1"/>
      <c r="G739" s="54"/>
      <c r="H739" s="54"/>
      <c r="I739" s="3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21.75" customHeight="1" x14ac:dyDescent="0.6">
      <c r="A740" s="1"/>
      <c r="B740" s="6"/>
      <c r="C740" s="1"/>
      <c r="D740" s="6"/>
      <c r="E740" s="1"/>
      <c r="F740" s="1"/>
      <c r="G740" s="54"/>
      <c r="H740" s="54"/>
      <c r="I740" s="3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21.75" customHeight="1" x14ac:dyDescent="0.6">
      <c r="A741" s="1"/>
      <c r="B741" s="6"/>
      <c r="C741" s="1"/>
      <c r="D741" s="6"/>
      <c r="E741" s="1"/>
      <c r="F741" s="1"/>
      <c r="G741" s="54"/>
      <c r="H741" s="54"/>
      <c r="I741" s="3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21.75" customHeight="1" x14ac:dyDescent="0.6">
      <c r="A742" s="1"/>
      <c r="B742" s="6"/>
      <c r="C742" s="1"/>
      <c r="D742" s="6"/>
      <c r="E742" s="1"/>
      <c r="F742" s="1"/>
      <c r="G742" s="54"/>
      <c r="H742" s="54"/>
      <c r="I742" s="3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21.75" customHeight="1" x14ac:dyDescent="0.6">
      <c r="A743" s="1"/>
      <c r="B743" s="6"/>
      <c r="C743" s="1"/>
      <c r="D743" s="6"/>
      <c r="E743" s="1"/>
      <c r="F743" s="1"/>
      <c r="G743" s="54"/>
      <c r="H743" s="54"/>
      <c r="I743" s="3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21.75" customHeight="1" x14ac:dyDescent="0.6">
      <c r="A744" s="1"/>
      <c r="B744" s="6"/>
      <c r="C744" s="1"/>
      <c r="D744" s="6"/>
      <c r="E744" s="1"/>
      <c r="F744" s="1"/>
      <c r="G744" s="54"/>
      <c r="H744" s="54"/>
      <c r="I744" s="3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21.75" customHeight="1" x14ac:dyDescent="0.6">
      <c r="A745" s="1"/>
      <c r="B745" s="6"/>
      <c r="C745" s="1"/>
      <c r="D745" s="6"/>
      <c r="E745" s="1"/>
      <c r="F745" s="1"/>
      <c r="G745" s="54"/>
      <c r="H745" s="54"/>
      <c r="I745" s="3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21.75" customHeight="1" x14ac:dyDescent="0.6">
      <c r="A746" s="1"/>
      <c r="B746" s="6"/>
      <c r="C746" s="1"/>
      <c r="D746" s="6"/>
      <c r="E746" s="1"/>
      <c r="F746" s="1"/>
      <c r="G746" s="54"/>
      <c r="H746" s="54"/>
      <c r="I746" s="3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21.75" customHeight="1" x14ac:dyDescent="0.6">
      <c r="A747" s="1"/>
      <c r="B747" s="6"/>
      <c r="C747" s="1"/>
      <c r="D747" s="6"/>
      <c r="E747" s="1"/>
      <c r="F747" s="1"/>
      <c r="G747" s="54"/>
      <c r="H747" s="54"/>
      <c r="I747" s="3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21.75" customHeight="1" x14ac:dyDescent="0.6">
      <c r="A748" s="1"/>
      <c r="B748" s="6"/>
      <c r="C748" s="1"/>
      <c r="D748" s="6"/>
      <c r="E748" s="1"/>
      <c r="F748" s="1"/>
      <c r="G748" s="54"/>
      <c r="H748" s="54"/>
      <c r="I748" s="3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21.75" customHeight="1" x14ac:dyDescent="0.6">
      <c r="A749" s="1"/>
      <c r="B749" s="6"/>
      <c r="C749" s="1"/>
      <c r="D749" s="6"/>
      <c r="E749" s="1"/>
      <c r="F749" s="1"/>
      <c r="G749" s="54"/>
      <c r="H749" s="54"/>
      <c r="I749" s="3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21.75" customHeight="1" x14ac:dyDescent="0.6">
      <c r="A750" s="1"/>
      <c r="B750" s="6"/>
      <c r="C750" s="1"/>
      <c r="D750" s="6"/>
      <c r="E750" s="1"/>
      <c r="F750" s="1"/>
      <c r="G750" s="54"/>
      <c r="H750" s="54"/>
      <c r="I750" s="3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21.75" customHeight="1" x14ac:dyDescent="0.6">
      <c r="A751" s="1"/>
      <c r="B751" s="6"/>
      <c r="C751" s="1"/>
      <c r="D751" s="6"/>
      <c r="E751" s="1"/>
      <c r="F751" s="1"/>
      <c r="G751" s="54"/>
      <c r="H751" s="54"/>
      <c r="I751" s="3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21.75" customHeight="1" x14ac:dyDescent="0.6">
      <c r="A752" s="1"/>
      <c r="B752" s="6"/>
      <c r="C752" s="1"/>
      <c r="D752" s="6"/>
      <c r="E752" s="1"/>
      <c r="F752" s="1"/>
      <c r="G752" s="54"/>
      <c r="H752" s="54"/>
      <c r="I752" s="3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21.75" customHeight="1" x14ac:dyDescent="0.6">
      <c r="A753" s="1"/>
      <c r="B753" s="6"/>
      <c r="C753" s="1"/>
      <c r="D753" s="6"/>
      <c r="E753" s="1"/>
      <c r="F753" s="1"/>
      <c r="G753" s="54"/>
      <c r="H753" s="54"/>
      <c r="I753" s="3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21.75" customHeight="1" x14ac:dyDescent="0.6">
      <c r="A754" s="1"/>
      <c r="B754" s="6"/>
      <c r="C754" s="1"/>
      <c r="D754" s="6"/>
      <c r="E754" s="1"/>
      <c r="F754" s="1"/>
      <c r="G754" s="54"/>
      <c r="H754" s="54"/>
      <c r="I754" s="3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21.75" customHeight="1" x14ac:dyDescent="0.6">
      <c r="A755" s="1"/>
      <c r="B755" s="6"/>
      <c r="C755" s="1"/>
      <c r="D755" s="6"/>
      <c r="E755" s="1"/>
      <c r="F755" s="1"/>
      <c r="G755" s="54"/>
      <c r="H755" s="54"/>
      <c r="I755" s="3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21.75" customHeight="1" x14ac:dyDescent="0.6">
      <c r="A756" s="1"/>
      <c r="B756" s="6"/>
      <c r="C756" s="1"/>
      <c r="D756" s="6"/>
      <c r="E756" s="1"/>
      <c r="F756" s="1"/>
      <c r="G756" s="54"/>
      <c r="H756" s="54"/>
      <c r="I756" s="3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21.75" customHeight="1" x14ac:dyDescent="0.6">
      <c r="A757" s="1"/>
      <c r="B757" s="6"/>
      <c r="C757" s="1"/>
      <c r="D757" s="6"/>
      <c r="E757" s="1"/>
      <c r="F757" s="1"/>
      <c r="G757" s="54"/>
      <c r="H757" s="54"/>
      <c r="I757" s="3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21.75" customHeight="1" x14ac:dyDescent="0.6">
      <c r="A758" s="1"/>
      <c r="B758" s="6"/>
      <c r="C758" s="1"/>
      <c r="D758" s="6"/>
      <c r="E758" s="1"/>
      <c r="F758" s="1"/>
      <c r="G758" s="54"/>
      <c r="H758" s="54"/>
      <c r="I758" s="3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21.75" customHeight="1" x14ac:dyDescent="0.6">
      <c r="A759" s="1"/>
      <c r="B759" s="6"/>
      <c r="C759" s="1"/>
      <c r="D759" s="6"/>
      <c r="E759" s="1"/>
      <c r="F759" s="1"/>
      <c r="G759" s="54"/>
      <c r="H759" s="54"/>
      <c r="I759" s="3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21.75" customHeight="1" x14ac:dyDescent="0.6">
      <c r="A760" s="1"/>
      <c r="B760" s="6"/>
      <c r="C760" s="1"/>
      <c r="D760" s="6"/>
      <c r="E760" s="1"/>
      <c r="F760" s="1"/>
      <c r="G760" s="54"/>
      <c r="H760" s="54"/>
      <c r="I760" s="3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21.75" customHeight="1" x14ac:dyDescent="0.6">
      <c r="A761" s="1"/>
      <c r="B761" s="6"/>
      <c r="C761" s="1"/>
      <c r="D761" s="6"/>
      <c r="E761" s="1"/>
      <c r="F761" s="1"/>
      <c r="G761" s="54"/>
      <c r="H761" s="54"/>
      <c r="I761" s="3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21.75" customHeight="1" x14ac:dyDescent="0.6">
      <c r="A762" s="1"/>
      <c r="B762" s="6"/>
      <c r="C762" s="1"/>
      <c r="D762" s="6"/>
      <c r="E762" s="1"/>
      <c r="F762" s="1"/>
      <c r="G762" s="54"/>
      <c r="H762" s="54"/>
      <c r="I762" s="3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21.75" customHeight="1" x14ac:dyDescent="0.6">
      <c r="A763" s="1"/>
      <c r="B763" s="6"/>
      <c r="C763" s="1"/>
      <c r="D763" s="6"/>
      <c r="E763" s="1"/>
      <c r="F763" s="1"/>
      <c r="G763" s="54"/>
      <c r="H763" s="54"/>
      <c r="I763" s="3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21.75" customHeight="1" x14ac:dyDescent="0.6">
      <c r="A764" s="1"/>
      <c r="B764" s="6"/>
      <c r="C764" s="1"/>
      <c r="D764" s="6"/>
      <c r="E764" s="1"/>
      <c r="F764" s="1"/>
      <c r="G764" s="54"/>
      <c r="H764" s="54"/>
      <c r="I764" s="3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21.75" customHeight="1" x14ac:dyDescent="0.6">
      <c r="A765" s="1"/>
      <c r="B765" s="6"/>
      <c r="C765" s="1"/>
      <c r="D765" s="6"/>
      <c r="E765" s="1"/>
      <c r="F765" s="1"/>
      <c r="G765" s="54"/>
      <c r="H765" s="54"/>
      <c r="I765" s="3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21.75" customHeight="1" x14ac:dyDescent="0.6">
      <c r="A766" s="1"/>
      <c r="B766" s="6"/>
      <c r="C766" s="1"/>
      <c r="D766" s="6"/>
      <c r="E766" s="1"/>
      <c r="F766" s="1"/>
      <c r="G766" s="54"/>
      <c r="H766" s="54"/>
      <c r="I766" s="3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21.75" customHeight="1" x14ac:dyDescent="0.6">
      <c r="A767" s="1"/>
      <c r="B767" s="6"/>
      <c r="C767" s="1"/>
      <c r="D767" s="6"/>
      <c r="E767" s="1"/>
      <c r="F767" s="1"/>
      <c r="G767" s="54"/>
      <c r="H767" s="54"/>
      <c r="I767" s="3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21.75" customHeight="1" x14ac:dyDescent="0.6">
      <c r="A768" s="1"/>
      <c r="B768" s="6"/>
      <c r="C768" s="1"/>
      <c r="D768" s="6"/>
      <c r="E768" s="1"/>
      <c r="F768" s="1"/>
      <c r="G768" s="54"/>
      <c r="H768" s="54"/>
      <c r="I768" s="3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21.75" customHeight="1" x14ac:dyDescent="0.6">
      <c r="A769" s="1"/>
      <c r="B769" s="6"/>
      <c r="C769" s="1"/>
      <c r="D769" s="6"/>
      <c r="E769" s="1"/>
      <c r="F769" s="1"/>
      <c r="G769" s="54"/>
      <c r="H769" s="54"/>
      <c r="I769" s="3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21.75" customHeight="1" x14ac:dyDescent="0.6">
      <c r="A770" s="1"/>
      <c r="B770" s="6"/>
      <c r="C770" s="1"/>
      <c r="D770" s="6"/>
      <c r="E770" s="1"/>
      <c r="F770" s="1"/>
      <c r="G770" s="54"/>
      <c r="H770" s="54"/>
      <c r="I770" s="3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21.75" customHeight="1" x14ac:dyDescent="0.6">
      <c r="A771" s="1"/>
      <c r="B771" s="6"/>
      <c r="C771" s="1"/>
      <c r="D771" s="6"/>
      <c r="E771" s="1"/>
      <c r="F771" s="1"/>
      <c r="G771" s="54"/>
      <c r="H771" s="54"/>
      <c r="I771" s="3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21.75" customHeight="1" x14ac:dyDescent="0.6">
      <c r="A772" s="1"/>
      <c r="B772" s="6"/>
      <c r="C772" s="1"/>
      <c r="D772" s="6"/>
      <c r="E772" s="1"/>
      <c r="F772" s="1"/>
      <c r="G772" s="54"/>
      <c r="H772" s="54"/>
      <c r="I772" s="3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21.75" customHeight="1" x14ac:dyDescent="0.6">
      <c r="A773" s="1"/>
      <c r="B773" s="6"/>
      <c r="C773" s="1"/>
      <c r="D773" s="6"/>
      <c r="E773" s="1"/>
      <c r="F773" s="1"/>
      <c r="G773" s="54"/>
      <c r="H773" s="54"/>
      <c r="I773" s="3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21.75" customHeight="1" x14ac:dyDescent="0.6">
      <c r="A774" s="1"/>
      <c r="B774" s="6"/>
      <c r="C774" s="1"/>
      <c r="D774" s="6"/>
      <c r="E774" s="1"/>
      <c r="F774" s="1"/>
      <c r="G774" s="54"/>
      <c r="H774" s="54"/>
      <c r="I774" s="3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21.75" customHeight="1" x14ac:dyDescent="0.6">
      <c r="A775" s="1"/>
      <c r="B775" s="6"/>
      <c r="C775" s="1"/>
      <c r="D775" s="6"/>
      <c r="E775" s="1"/>
      <c r="F775" s="1"/>
      <c r="G775" s="54"/>
      <c r="H775" s="54"/>
      <c r="I775" s="3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21.75" customHeight="1" x14ac:dyDescent="0.6">
      <c r="A776" s="1"/>
      <c r="B776" s="6"/>
      <c r="C776" s="1"/>
      <c r="D776" s="6"/>
      <c r="E776" s="1"/>
      <c r="F776" s="1"/>
      <c r="G776" s="54"/>
      <c r="H776" s="54"/>
      <c r="I776" s="3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21.75" customHeight="1" x14ac:dyDescent="0.6">
      <c r="A777" s="1"/>
      <c r="B777" s="6"/>
      <c r="C777" s="1"/>
      <c r="D777" s="6"/>
      <c r="E777" s="1"/>
      <c r="F777" s="1"/>
      <c r="G777" s="54"/>
      <c r="H777" s="54"/>
      <c r="I777" s="3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21.75" customHeight="1" x14ac:dyDescent="0.6">
      <c r="A778" s="1"/>
      <c r="B778" s="6"/>
      <c r="C778" s="1"/>
      <c r="D778" s="6"/>
      <c r="E778" s="1"/>
      <c r="F778" s="1"/>
      <c r="G778" s="54"/>
      <c r="H778" s="54"/>
      <c r="I778" s="3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21.75" customHeight="1" x14ac:dyDescent="0.6">
      <c r="A779" s="1"/>
      <c r="B779" s="6"/>
      <c r="C779" s="1"/>
      <c r="D779" s="6"/>
      <c r="E779" s="1"/>
      <c r="F779" s="1"/>
      <c r="G779" s="54"/>
      <c r="H779" s="54"/>
      <c r="I779" s="3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21.75" customHeight="1" x14ac:dyDescent="0.6">
      <c r="A780" s="1"/>
      <c r="B780" s="6"/>
      <c r="C780" s="1"/>
      <c r="D780" s="6"/>
      <c r="E780" s="1"/>
      <c r="F780" s="1"/>
      <c r="G780" s="54"/>
      <c r="H780" s="54"/>
      <c r="I780" s="3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21.75" customHeight="1" x14ac:dyDescent="0.6">
      <c r="A781" s="1"/>
      <c r="B781" s="6"/>
      <c r="C781" s="1"/>
      <c r="D781" s="6"/>
      <c r="E781" s="1"/>
      <c r="F781" s="1"/>
      <c r="G781" s="54"/>
      <c r="H781" s="54"/>
      <c r="I781" s="3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21.75" customHeight="1" x14ac:dyDescent="0.6">
      <c r="A782" s="1"/>
      <c r="B782" s="6"/>
      <c r="C782" s="1"/>
      <c r="D782" s="6"/>
      <c r="E782" s="1"/>
      <c r="F782" s="1"/>
      <c r="G782" s="54"/>
      <c r="H782" s="54"/>
      <c r="I782" s="3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21.75" customHeight="1" x14ac:dyDescent="0.6">
      <c r="A783" s="1"/>
      <c r="B783" s="6"/>
      <c r="C783" s="1"/>
      <c r="D783" s="6"/>
      <c r="E783" s="1"/>
      <c r="F783" s="1"/>
      <c r="G783" s="54"/>
      <c r="H783" s="54"/>
      <c r="I783" s="3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21.75" customHeight="1" x14ac:dyDescent="0.6">
      <c r="A784" s="1"/>
      <c r="B784" s="6"/>
      <c r="C784" s="1"/>
      <c r="D784" s="6"/>
      <c r="E784" s="1"/>
      <c r="F784" s="1"/>
      <c r="G784" s="54"/>
      <c r="H784" s="54"/>
      <c r="I784" s="3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21.75" customHeight="1" x14ac:dyDescent="0.6">
      <c r="A785" s="1"/>
      <c r="B785" s="6"/>
      <c r="C785" s="1"/>
      <c r="D785" s="6"/>
      <c r="E785" s="1"/>
      <c r="F785" s="1"/>
      <c r="G785" s="54"/>
      <c r="H785" s="54"/>
      <c r="I785" s="3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21.75" customHeight="1" x14ac:dyDescent="0.6">
      <c r="A786" s="1"/>
      <c r="B786" s="6"/>
      <c r="C786" s="1"/>
      <c r="D786" s="6"/>
      <c r="E786" s="1"/>
      <c r="F786" s="1"/>
      <c r="G786" s="54"/>
      <c r="H786" s="54"/>
      <c r="I786" s="3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21.75" customHeight="1" x14ac:dyDescent="0.6">
      <c r="A787" s="1"/>
      <c r="B787" s="6"/>
      <c r="C787" s="1"/>
      <c r="D787" s="6"/>
      <c r="E787" s="1"/>
      <c r="F787" s="1"/>
      <c r="G787" s="54"/>
      <c r="H787" s="54"/>
      <c r="I787" s="3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21.75" customHeight="1" x14ac:dyDescent="0.6">
      <c r="A788" s="1"/>
      <c r="B788" s="6"/>
      <c r="C788" s="1"/>
      <c r="D788" s="6"/>
      <c r="E788" s="1"/>
      <c r="F788" s="1"/>
      <c r="G788" s="54"/>
      <c r="H788" s="54"/>
      <c r="I788" s="3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21.75" customHeight="1" x14ac:dyDescent="0.6">
      <c r="A789" s="1"/>
      <c r="B789" s="6"/>
      <c r="C789" s="1"/>
      <c r="D789" s="6"/>
      <c r="E789" s="1"/>
      <c r="F789" s="1"/>
      <c r="G789" s="54"/>
      <c r="H789" s="54"/>
      <c r="I789" s="3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21.75" customHeight="1" x14ac:dyDescent="0.6">
      <c r="A790" s="1"/>
      <c r="B790" s="6"/>
      <c r="C790" s="1"/>
      <c r="D790" s="6"/>
      <c r="E790" s="1"/>
      <c r="F790" s="1"/>
      <c r="G790" s="54"/>
      <c r="H790" s="54"/>
      <c r="I790" s="3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21.75" customHeight="1" x14ac:dyDescent="0.6">
      <c r="A791" s="1"/>
      <c r="B791" s="6"/>
      <c r="C791" s="1"/>
      <c r="D791" s="6"/>
      <c r="E791" s="1"/>
      <c r="F791" s="1"/>
      <c r="G791" s="54"/>
      <c r="H791" s="54"/>
      <c r="I791" s="3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21.75" customHeight="1" x14ac:dyDescent="0.6">
      <c r="A792" s="1"/>
      <c r="B792" s="6"/>
      <c r="C792" s="1"/>
      <c r="D792" s="6"/>
      <c r="E792" s="1"/>
      <c r="F792" s="1"/>
      <c r="G792" s="54"/>
      <c r="H792" s="54"/>
      <c r="I792" s="3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21.75" customHeight="1" x14ac:dyDescent="0.6">
      <c r="A793" s="1"/>
      <c r="B793" s="6"/>
      <c r="C793" s="1"/>
      <c r="D793" s="6"/>
      <c r="E793" s="1"/>
      <c r="F793" s="1"/>
      <c r="G793" s="54"/>
      <c r="H793" s="54"/>
      <c r="I793" s="3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21.75" customHeight="1" x14ac:dyDescent="0.6">
      <c r="A794" s="1"/>
      <c r="B794" s="6"/>
      <c r="C794" s="1"/>
      <c r="D794" s="6"/>
      <c r="E794" s="1"/>
      <c r="F794" s="1"/>
      <c r="G794" s="54"/>
      <c r="H794" s="54"/>
      <c r="I794" s="3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21.75" customHeight="1" x14ac:dyDescent="0.6">
      <c r="A795" s="1"/>
      <c r="B795" s="6"/>
      <c r="C795" s="1"/>
      <c r="D795" s="6"/>
      <c r="E795" s="1"/>
      <c r="F795" s="1"/>
      <c r="G795" s="54"/>
      <c r="H795" s="54"/>
      <c r="I795" s="3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21.75" customHeight="1" x14ac:dyDescent="0.6">
      <c r="A796" s="1"/>
      <c r="B796" s="6"/>
      <c r="C796" s="1"/>
      <c r="D796" s="6"/>
      <c r="E796" s="1"/>
      <c r="F796" s="1"/>
      <c r="G796" s="54"/>
      <c r="H796" s="54"/>
      <c r="I796" s="3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21.75" customHeight="1" x14ac:dyDescent="0.6">
      <c r="A797" s="1"/>
      <c r="B797" s="6"/>
      <c r="C797" s="1"/>
      <c r="D797" s="6"/>
      <c r="E797" s="1"/>
      <c r="F797" s="1"/>
      <c r="G797" s="54"/>
      <c r="H797" s="54"/>
      <c r="I797" s="3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21.75" customHeight="1" x14ac:dyDescent="0.6">
      <c r="A798" s="1"/>
      <c r="B798" s="6"/>
      <c r="C798" s="1"/>
      <c r="D798" s="6"/>
      <c r="E798" s="1"/>
      <c r="F798" s="1"/>
      <c r="G798" s="54"/>
      <c r="H798" s="54"/>
      <c r="I798" s="3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21.75" customHeight="1" x14ac:dyDescent="0.6">
      <c r="A799" s="1"/>
      <c r="B799" s="6"/>
      <c r="C799" s="1"/>
      <c r="D799" s="6"/>
      <c r="E799" s="1"/>
      <c r="F799" s="1"/>
      <c r="G799" s="54"/>
      <c r="H799" s="54"/>
      <c r="I799" s="3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21.75" customHeight="1" x14ac:dyDescent="0.6">
      <c r="A800" s="1"/>
      <c r="B800" s="6"/>
      <c r="C800" s="1"/>
      <c r="D800" s="6"/>
      <c r="E800" s="1"/>
      <c r="F800" s="1"/>
      <c r="G800" s="54"/>
      <c r="H800" s="54"/>
      <c r="I800" s="3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21.75" customHeight="1" x14ac:dyDescent="0.6">
      <c r="A801" s="1"/>
      <c r="B801" s="6"/>
      <c r="C801" s="1"/>
      <c r="D801" s="6"/>
      <c r="E801" s="1"/>
      <c r="F801" s="1"/>
      <c r="G801" s="54"/>
      <c r="H801" s="54"/>
      <c r="I801" s="3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21.75" customHeight="1" x14ac:dyDescent="0.6">
      <c r="A802" s="1"/>
      <c r="B802" s="6"/>
      <c r="C802" s="1"/>
      <c r="D802" s="6"/>
      <c r="E802" s="1"/>
      <c r="F802" s="1"/>
      <c r="G802" s="54"/>
      <c r="H802" s="54"/>
      <c r="I802" s="3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21.75" customHeight="1" x14ac:dyDescent="0.6">
      <c r="A803" s="1"/>
      <c r="B803" s="6"/>
      <c r="C803" s="1"/>
      <c r="D803" s="6"/>
      <c r="E803" s="1"/>
      <c r="F803" s="1"/>
      <c r="G803" s="54"/>
      <c r="H803" s="54"/>
      <c r="I803" s="3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21.75" customHeight="1" x14ac:dyDescent="0.6">
      <c r="A804" s="1"/>
      <c r="B804" s="6"/>
      <c r="C804" s="1"/>
      <c r="D804" s="6"/>
      <c r="E804" s="1"/>
      <c r="F804" s="1"/>
      <c r="G804" s="54"/>
      <c r="H804" s="54"/>
      <c r="I804" s="3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21.75" customHeight="1" x14ac:dyDescent="0.6">
      <c r="A805" s="1"/>
      <c r="B805" s="6"/>
      <c r="C805" s="1"/>
      <c r="D805" s="6"/>
      <c r="E805" s="1"/>
      <c r="F805" s="1"/>
      <c r="G805" s="54"/>
      <c r="H805" s="54"/>
      <c r="I805" s="3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21.75" customHeight="1" x14ac:dyDescent="0.6">
      <c r="A806" s="1"/>
      <c r="B806" s="6"/>
      <c r="C806" s="1"/>
      <c r="D806" s="6"/>
      <c r="E806" s="1"/>
      <c r="F806" s="1"/>
      <c r="G806" s="54"/>
      <c r="H806" s="54"/>
      <c r="I806" s="3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21.75" customHeight="1" x14ac:dyDescent="0.6">
      <c r="A807" s="1"/>
      <c r="B807" s="6"/>
      <c r="C807" s="1"/>
      <c r="D807" s="6"/>
      <c r="E807" s="1"/>
      <c r="F807" s="1"/>
      <c r="G807" s="54"/>
      <c r="H807" s="54"/>
      <c r="I807" s="3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21.75" customHeight="1" x14ac:dyDescent="0.6">
      <c r="A808" s="1"/>
      <c r="B808" s="6"/>
      <c r="C808" s="1"/>
      <c r="D808" s="6"/>
      <c r="E808" s="1"/>
      <c r="F808" s="1"/>
      <c r="G808" s="54"/>
      <c r="H808" s="54"/>
      <c r="I808" s="3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21.75" customHeight="1" x14ac:dyDescent="0.6">
      <c r="A809" s="1"/>
      <c r="B809" s="6"/>
      <c r="C809" s="1"/>
      <c r="D809" s="6"/>
      <c r="E809" s="1"/>
      <c r="F809" s="1"/>
      <c r="G809" s="54"/>
      <c r="H809" s="54"/>
      <c r="I809" s="3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21.75" customHeight="1" x14ac:dyDescent="0.6">
      <c r="A810" s="1"/>
      <c r="B810" s="6"/>
      <c r="C810" s="1"/>
      <c r="D810" s="6"/>
      <c r="E810" s="1"/>
      <c r="F810" s="1"/>
      <c r="G810" s="54"/>
      <c r="H810" s="54"/>
      <c r="I810" s="3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21.75" customHeight="1" x14ac:dyDescent="0.6">
      <c r="A811" s="1"/>
      <c r="B811" s="6"/>
      <c r="C811" s="1"/>
      <c r="D811" s="6"/>
      <c r="E811" s="1"/>
      <c r="F811" s="1"/>
      <c r="G811" s="54"/>
      <c r="H811" s="54"/>
      <c r="I811" s="3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21.75" customHeight="1" x14ac:dyDescent="0.6">
      <c r="A812" s="1"/>
      <c r="B812" s="6"/>
      <c r="C812" s="1"/>
      <c r="D812" s="6"/>
      <c r="E812" s="1"/>
      <c r="F812" s="1"/>
      <c r="G812" s="54"/>
      <c r="H812" s="54"/>
      <c r="I812" s="3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21.75" customHeight="1" x14ac:dyDescent="0.6">
      <c r="A813" s="1"/>
      <c r="B813" s="6"/>
      <c r="C813" s="1"/>
      <c r="D813" s="6"/>
      <c r="E813" s="1"/>
      <c r="F813" s="1"/>
      <c r="G813" s="54"/>
      <c r="H813" s="54"/>
      <c r="I813" s="3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21.75" customHeight="1" x14ac:dyDescent="0.6">
      <c r="A814" s="1"/>
      <c r="B814" s="6"/>
      <c r="C814" s="1"/>
      <c r="D814" s="6"/>
      <c r="E814" s="1"/>
      <c r="F814" s="1"/>
      <c r="G814" s="54"/>
      <c r="H814" s="54"/>
      <c r="I814" s="3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21.75" customHeight="1" x14ac:dyDescent="0.6">
      <c r="A815" s="1"/>
      <c r="B815" s="6"/>
      <c r="C815" s="1"/>
      <c r="D815" s="6"/>
      <c r="E815" s="1"/>
      <c r="F815" s="1"/>
      <c r="G815" s="54"/>
      <c r="H815" s="54"/>
      <c r="I815" s="3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21.75" customHeight="1" x14ac:dyDescent="0.6">
      <c r="A816" s="1"/>
      <c r="B816" s="6"/>
      <c r="C816" s="1"/>
      <c r="D816" s="6"/>
      <c r="E816" s="1"/>
      <c r="F816" s="1"/>
      <c r="G816" s="54"/>
      <c r="H816" s="54"/>
      <c r="I816" s="3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21.75" customHeight="1" x14ac:dyDescent="0.6">
      <c r="A817" s="1"/>
      <c r="B817" s="6"/>
      <c r="C817" s="1"/>
      <c r="D817" s="6"/>
      <c r="E817" s="1"/>
      <c r="F817" s="1"/>
      <c r="G817" s="54"/>
      <c r="H817" s="54"/>
      <c r="I817" s="3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21.75" customHeight="1" x14ac:dyDescent="0.6">
      <c r="A818" s="1"/>
      <c r="B818" s="6"/>
      <c r="C818" s="1"/>
      <c r="D818" s="6"/>
      <c r="E818" s="1"/>
      <c r="F818" s="1"/>
      <c r="G818" s="54"/>
      <c r="H818" s="54"/>
      <c r="I818" s="3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21.75" customHeight="1" x14ac:dyDescent="0.6">
      <c r="A819" s="1"/>
      <c r="B819" s="6"/>
      <c r="C819" s="1"/>
      <c r="D819" s="6"/>
      <c r="E819" s="1"/>
      <c r="F819" s="1"/>
      <c r="G819" s="54"/>
      <c r="H819" s="54"/>
      <c r="I819" s="3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21.75" customHeight="1" x14ac:dyDescent="0.6">
      <c r="A820" s="1"/>
      <c r="B820" s="6"/>
      <c r="C820" s="1"/>
      <c r="D820" s="6"/>
      <c r="E820" s="1"/>
      <c r="F820" s="1"/>
      <c r="G820" s="54"/>
      <c r="H820" s="54"/>
      <c r="I820" s="3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21.75" customHeight="1" x14ac:dyDescent="0.6">
      <c r="A821" s="1"/>
      <c r="B821" s="6"/>
      <c r="C821" s="1"/>
      <c r="D821" s="6"/>
      <c r="E821" s="1"/>
      <c r="F821" s="1"/>
      <c r="G821" s="54"/>
      <c r="H821" s="54"/>
      <c r="I821" s="3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21.75" customHeight="1" x14ac:dyDescent="0.6">
      <c r="A822" s="1"/>
      <c r="B822" s="6"/>
      <c r="C822" s="1"/>
      <c r="D822" s="6"/>
      <c r="E822" s="1"/>
      <c r="F822" s="1"/>
      <c r="G822" s="54"/>
      <c r="H822" s="54"/>
      <c r="I822" s="3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21.75" customHeight="1" x14ac:dyDescent="0.6">
      <c r="A823" s="1"/>
      <c r="B823" s="6"/>
      <c r="C823" s="1"/>
      <c r="D823" s="6"/>
      <c r="E823" s="1"/>
      <c r="F823" s="1"/>
      <c r="G823" s="54"/>
      <c r="H823" s="54"/>
      <c r="I823" s="3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21.75" customHeight="1" x14ac:dyDescent="0.6">
      <c r="A824" s="1"/>
      <c r="B824" s="6"/>
      <c r="C824" s="1"/>
      <c r="D824" s="6"/>
      <c r="E824" s="1"/>
      <c r="F824" s="1"/>
      <c r="G824" s="54"/>
      <c r="H824" s="54"/>
      <c r="I824" s="3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21.75" customHeight="1" x14ac:dyDescent="0.6">
      <c r="A825" s="1"/>
      <c r="B825" s="6"/>
      <c r="C825" s="1"/>
      <c r="D825" s="6"/>
      <c r="E825" s="1"/>
      <c r="F825" s="1"/>
      <c r="G825" s="54"/>
      <c r="H825" s="54"/>
      <c r="I825" s="3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21.75" customHeight="1" x14ac:dyDescent="0.6">
      <c r="A826" s="1"/>
      <c r="B826" s="6"/>
      <c r="C826" s="1"/>
      <c r="D826" s="6"/>
      <c r="E826" s="1"/>
      <c r="F826" s="1"/>
      <c r="G826" s="54"/>
      <c r="H826" s="54"/>
      <c r="I826" s="3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21.75" customHeight="1" x14ac:dyDescent="0.6">
      <c r="A827" s="1"/>
      <c r="B827" s="6"/>
      <c r="C827" s="1"/>
      <c r="D827" s="6"/>
      <c r="E827" s="1"/>
      <c r="F827" s="1"/>
      <c r="G827" s="54"/>
      <c r="H827" s="54"/>
      <c r="I827" s="3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21.75" customHeight="1" x14ac:dyDescent="0.6">
      <c r="A828" s="1"/>
      <c r="B828" s="6"/>
      <c r="C828" s="1"/>
      <c r="D828" s="6"/>
      <c r="E828" s="1"/>
      <c r="F828" s="1"/>
      <c r="G828" s="54"/>
      <c r="H828" s="54"/>
      <c r="I828" s="3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21.75" customHeight="1" x14ac:dyDescent="0.6">
      <c r="A829" s="1"/>
      <c r="B829" s="6"/>
      <c r="C829" s="1"/>
      <c r="D829" s="6"/>
      <c r="E829" s="1"/>
      <c r="F829" s="1"/>
      <c r="G829" s="54"/>
      <c r="H829" s="54"/>
      <c r="I829" s="3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21.75" customHeight="1" x14ac:dyDescent="0.6">
      <c r="A830" s="1"/>
      <c r="B830" s="6"/>
      <c r="C830" s="1"/>
      <c r="D830" s="6"/>
      <c r="E830" s="1"/>
      <c r="F830" s="1"/>
      <c r="G830" s="54"/>
      <c r="H830" s="54"/>
      <c r="I830" s="3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21.75" customHeight="1" x14ac:dyDescent="0.6">
      <c r="A831" s="1"/>
      <c r="B831" s="6"/>
      <c r="C831" s="1"/>
      <c r="D831" s="6"/>
      <c r="E831" s="1"/>
      <c r="F831" s="1"/>
      <c r="G831" s="54"/>
      <c r="H831" s="54"/>
      <c r="I831" s="3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21.75" customHeight="1" x14ac:dyDescent="0.6">
      <c r="A832" s="1"/>
      <c r="B832" s="6"/>
      <c r="C832" s="1"/>
      <c r="D832" s="6"/>
      <c r="E832" s="1"/>
      <c r="F832" s="1"/>
      <c r="G832" s="54"/>
      <c r="H832" s="54"/>
      <c r="I832" s="3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21.75" customHeight="1" x14ac:dyDescent="0.6">
      <c r="A833" s="1"/>
      <c r="B833" s="6"/>
      <c r="C833" s="1"/>
      <c r="D833" s="6"/>
      <c r="E833" s="1"/>
      <c r="F833" s="1"/>
      <c r="G833" s="54"/>
      <c r="H833" s="54"/>
      <c r="I833" s="3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21.75" customHeight="1" x14ac:dyDescent="0.6">
      <c r="A834" s="1"/>
      <c r="B834" s="6"/>
      <c r="C834" s="1"/>
      <c r="D834" s="6"/>
      <c r="E834" s="1"/>
      <c r="F834" s="1"/>
      <c r="G834" s="54"/>
      <c r="H834" s="54"/>
      <c r="I834" s="3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21.75" customHeight="1" x14ac:dyDescent="0.6">
      <c r="A835" s="1"/>
      <c r="B835" s="6"/>
      <c r="C835" s="1"/>
      <c r="D835" s="6"/>
      <c r="E835" s="1"/>
      <c r="F835" s="1"/>
      <c r="G835" s="54"/>
      <c r="H835" s="54"/>
      <c r="I835" s="3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21.75" customHeight="1" x14ac:dyDescent="0.6">
      <c r="A836" s="1"/>
      <c r="B836" s="6"/>
      <c r="C836" s="1"/>
      <c r="D836" s="6"/>
      <c r="E836" s="1"/>
      <c r="F836" s="1"/>
      <c r="G836" s="54"/>
      <c r="H836" s="54"/>
      <c r="I836" s="3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21.75" customHeight="1" x14ac:dyDescent="0.6">
      <c r="A837" s="1"/>
      <c r="B837" s="6"/>
      <c r="C837" s="1"/>
      <c r="D837" s="6"/>
      <c r="E837" s="1"/>
      <c r="F837" s="1"/>
      <c r="G837" s="54"/>
      <c r="H837" s="54"/>
      <c r="I837" s="3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21.75" customHeight="1" x14ac:dyDescent="0.6">
      <c r="A838" s="1"/>
      <c r="B838" s="6"/>
      <c r="C838" s="1"/>
      <c r="D838" s="6"/>
      <c r="E838" s="1"/>
      <c r="F838" s="1"/>
      <c r="G838" s="54"/>
      <c r="H838" s="54"/>
      <c r="I838" s="3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21.75" customHeight="1" x14ac:dyDescent="0.6">
      <c r="A839" s="1"/>
      <c r="B839" s="6"/>
      <c r="C839" s="1"/>
      <c r="D839" s="6"/>
      <c r="E839" s="1"/>
      <c r="F839" s="1"/>
      <c r="G839" s="54"/>
      <c r="H839" s="54"/>
      <c r="I839" s="3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21.75" customHeight="1" x14ac:dyDescent="0.6">
      <c r="A840" s="1"/>
      <c r="B840" s="6"/>
      <c r="C840" s="1"/>
      <c r="D840" s="6"/>
      <c r="E840" s="1"/>
      <c r="F840" s="1"/>
      <c r="G840" s="54"/>
      <c r="H840" s="54"/>
      <c r="I840" s="3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21.75" customHeight="1" x14ac:dyDescent="0.6">
      <c r="A841" s="1"/>
      <c r="B841" s="6"/>
      <c r="C841" s="1"/>
      <c r="D841" s="6"/>
      <c r="E841" s="1"/>
      <c r="F841" s="1"/>
      <c r="G841" s="54"/>
      <c r="H841" s="54"/>
      <c r="I841" s="3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21.75" customHeight="1" x14ac:dyDescent="0.6">
      <c r="A842" s="1"/>
      <c r="B842" s="6"/>
      <c r="C842" s="1"/>
      <c r="D842" s="6"/>
      <c r="E842" s="1"/>
      <c r="F842" s="1"/>
      <c r="G842" s="54"/>
      <c r="H842" s="54"/>
      <c r="I842" s="3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21.75" customHeight="1" x14ac:dyDescent="0.6">
      <c r="A843" s="1"/>
      <c r="B843" s="6"/>
      <c r="C843" s="1"/>
      <c r="D843" s="6"/>
      <c r="E843" s="1"/>
      <c r="F843" s="1"/>
      <c r="G843" s="54"/>
      <c r="H843" s="54"/>
      <c r="I843" s="3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21.75" customHeight="1" x14ac:dyDescent="0.6">
      <c r="A844" s="1"/>
      <c r="B844" s="6"/>
      <c r="C844" s="1"/>
      <c r="D844" s="6"/>
      <c r="E844" s="1"/>
      <c r="F844" s="1"/>
      <c r="G844" s="54"/>
      <c r="H844" s="54"/>
      <c r="I844" s="3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21.75" customHeight="1" x14ac:dyDescent="0.6">
      <c r="A845" s="1"/>
      <c r="B845" s="6"/>
      <c r="C845" s="1"/>
      <c r="D845" s="6"/>
      <c r="E845" s="1"/>
      <c r="F845" s="1"/>
      <c r="G845" s="54"/>
      <c r="H845" s="54"/>
      <c r="I845" s="3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21.75" customHeight="1" x14ac:dyDescent="0.6">
      <c r="A846" s="1"/>
      <c r="B846" s="6"/>
      <c r="C846" s="1"/>
      <c r="D846" s="6"/>
      <c r="E846" s="1"/>
      <c r="F846" s="1"/>
      <c r="G846" s="54"/>
      <c r="H846" s="54"/>
      <c r="I846" s="3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21.75" customHeight="1" x14ac:dyDescent="0.6">
      <c r="A847" s="1"/>
      <c r="B847" s="6"/>
      <c r="C847" s="1"/>
      <c r="D847" s="6"/>
      <c r="E847" s="1"/>
      <c r="F847" s="1"/>
      <c r="G847" s="54"/>
      <c r="H847" s="54"/>
      <c r="I847" s="3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21.75" customHeight="1" x14ac:dyDescent="0.6">
      <c r="A848" s="1"/>
      <c r="B848" s="6"/>
      <c r="C848" s="1"/>
      <c r="D848" s="6"/>
      <c r="E848" s="1"/>
      <c r="F848" s="1"/>
      <c r="G848" s="54"/>
      <c r="H848" s="54"/>
      <c r="I848" s="3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21.75" customHeight="1" x14ac:dyDescent="0.6">
      <c r="A849" s="1"/>
      <c r="B849" s="6"/>
      <c r="C849" s="1"/>
      <c r="D849" s="6"/>
      <c r="E849" s="1"/>
      <c r="F849" s="1"/>
      <c r="G849" s="54"/>
      <c r="H849" s="54"/>
      <c r="I849" s="3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21.75" customHeight="1" x14ac:dyDescent="0.6">
      <c r="A850" s="1"/>
      <c r="B850" s="6"/>
      <c r="C850" s="1"/>
      <c r="D850" s="6"/>
      <c r="E850" s="1"/>
      <c r="F850" s="1"/>
      <c r="G850" s="54"/>
      <c r="H850" s="54"/>
      <c r="I850" s="3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21.75" customHeight="1" x14ac:dyDescent="0.6">
      <c r="A851" s="1"/>
      <c r="B851" s="6"/>
      <c r="C851" s="1"/>
      <c r="D851" s="6"/>
      <c r="E851" s="1"/>
      <c r="F851" s="1"/>
      <c r="G851" s="54"/>
      <c r="H851" s="54"/>
      <c r="I851" s="3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21.75" customHeight="1" x14ac:dyDescent="0.6">
      <c r="A852" s="1"/>
      <c r="B852" s="6"/>
      <c r="C852" s="1"/>
      <c r="D852" s="6"/>
      <c r="E852" s="1"/>
      <c r="F852" s="1"/>
      <c r="G852" s="54"/>
      <c r="H852" s="54"/>
      <c r="I852" s="3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21.75" customHeight="1" x14ac:dyDescent="0.6">
      <c r="A853" s="1"/>
      <c r="B853" s="6"/>
      <c r="C853" s="1"/>
      <c r="D853" s="6"/>
      <c r="E853" s="1"/>
      <c r="F853" s="1"/>
      <c r="G853" s="54"/>
      <c r="H853" s="54"/>
      <c r="I853" s="3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21.75" customHeight="1" x14ac:dyDescent="0.6">
      <c r="A854" s="1"/>
      <c r="B854" s="6"/>
      <c r="C854" s="1"/>
      <c r="D854" s="6"/>
      <c r="E854" s="1"/>
      <c r="F854" s="1"/>
      <c r="G854" s="54"/>
      <c r="H854" s="54"/>
      <c r="I854" s="3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21.75" customHeight="1" x14ac:dyDescent="0.6">
      <c r="A855" s="1"/>
      <c r="B855" s="6"/>
      <c r="C855" s="1"/>
      <c r="D855" s="6"/>
      <c r="E855" s="1"/>
      <c r="F855" s="1"/>
      <c r="G855" s="54"/>
      <c r="H855" s="54"/>
      <c r="I855" s="3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21.75" customHeight="1" x14ac:dyDescent="0.6">
      <c r="A856" s="1"/>
      <c r="B856" s="6"/>
      <c r="C856" s="1"/>
      <c r="D856" s="6"/>
      <c r="E856" s="1"/>
      <c r="F856" s="1"/>
      <c r="G856" s="54"/>
      <c r="H856" s="54"/>
      <c r="I856" s="3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21.75" customHeight="1" x14ac:dyDescent="0.6">
      <c r="A857" s="1"/>
      <c r="B857" s="6"/>
      <c r="C857" s="1"/>
      <c r="D857" s="6"/>
      <c r="E857" s="1"/>
      <c r="F857" s="1"/>
      <c r="G857" s="54"/>
      <c r="H857" s="54"/>
      <c r="I857" s="3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21.75" customHeight="1" x14ac:dyDescent="0.6">
      <c r="A858" s="1"/>
      <c r="B858" s="6"/>
      <c r="C858" s="1"/>
      <c r="D858" s="6"/>
      <c r="E858" s="1"/>
      <c r="F858" s="1"/>
      <c r="G858" s="54"/>
      <c r="H858" s="54"/>
      <c r="I858" s="3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21.75" customHeight="1" x14ac:dyDescent="0.6">
      <c r="A859" s="1"/>
      <c r="B859" s="6"/>
      <c r="C859" s="1"/>
      <c r="D859" s="6"/>
      <c r="E859" s="1"/>
      <c r="F859" s="1"/>
      <c r="G859" s="54"/>
      <c r="H859" s="54"/>
      <c r="I859" s="3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21.75" customHeight="1" x14ac:dyDescent="0.6">
      <c r="A860" s="1"/>
      <c r="B860" s="6"/>
      <c r="C860" s="1"/>
      <c r="D860" s="6"/>
      <c r="E860" s="1"/>
      <c r="F860" s="1"/>
      <c r="G860" s="54"/>
      <c r="H860" s="54"/>
      <c r="I860" s="3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21.75" customHeight="1" x14ac:dyDescent="0.6">
      <c r="A861" s="1"/>
      <c r="B861" s="6"/>
      <c r="C861" s="1"/>
      <c r="D861" s="6"/>
      <c r="E861" s="1"/>
      <c r="F861" s="1"/>
      <c r="G861" s="54"/>
      <c r="H861" s="54"/>
      <c r="I861" s="3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21.75" customHeight="1" x14ac:dyDescent="0.6">
      <c r="A862" s="1"/>
      <c r="B862" s="6"/>
      <c r="C862" s="1"/>
      <c r="D862" s="6"/>
      <c r="E862" s="1"/>
      <c r="F862" s="1"/>
      <c r="G862" s="54"/>
      <c r="H862" s="54"/>
      <c r="I862" s="3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21.75" customHeight="1" x14ac:dyDescent="0.6">
      <c r="A863" s="1"/>
      <c r="B863" s="6"/>
      <c r="C863" s="1"/>
      <c r="D863" s="6"/>
      <c r="E863" s="1"/>
      <c r="F863" s="1"/>
      <c r="G863" s="54"/>
      <c r="H863" s="54"/>
      <c r="I863" s="3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21.75" customHeight="1" x14ac:dyDescent="0.6">
      <c r="A864" s="1"/>
      <c r="B864" s="6"/>
      <c r="C864" s="1"/>
      <c r="D864" s="6"/>
      <c r="E864" s="1"/>
      <c r="F864" s="1"/>
      <c r="G864" s="54"/>
      <c r="H864" s="54"/>
      <c r="I864" s="3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21.75" customHeight="1" x14ac:dyDescent="0.6">
      <c r="A865" s="1"/>
      <c r="B865" s="6"/>
      <c r="C865" s="1"/>
      <c r="D865" s="6"/>
      <c r="E865" s="1"/>
      <c r="F865" s="1"/>
      <c r="G865" s="54"/>
      <c r="H865" s="54"/>
      <c r="I865" s="3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21.75" customHeight="1" x14ac:dyDescent="0.6">
      <c r="A866" s="1"/>
      <c r="B866" s="6"/>
      <c r="C866" s="1"/>
      <c r="D866" s="6"/>
      <c r="E866" s="1"/>
      <c r="F866" s="1"/>
      <c r="G866" s="54"/>
      <c r="H866" s="54"/>
      <c r="I866" s="3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21.75" customHeight="1" x14ac:dyDescent="0.6">
      <c r="A867" s="1"/>
      <c r="B867" s="6"/>
      <c r="C867" s="1"/>
      <c r="D867" s="6"/>
      <c r="E867" s="1"/>
      <c r="F867" s="1"/>
      <c r="G867" s="54"/>
      <c r="H867" s="54"/>
      <c r="I867" s="3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21.75" customHeight="1" x14ac:dyDescent="0.6">
      <c r="A868" s="1"/>
      <c r="B868" s="6"/>
      <c r="C868" s="1"/>
      <c r="D868" s="6"/>
      <c r="E868" s="1"/>
      <c r="F868" s="1"/>
      <c r="G868" s="54"/>
      <c r="H868" s="54"/>
      <c r="I868" s="3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21.75" customHeight="1" x14ac:dyDescent="0.6">
      <c r="A869" s="1"/>
      <c r="B869" s="6"/>
      <c r="C869" s="1"/>
      <c r="D869" s="6"/>
      <c r="E869" s="1"/>
      <c r="F869" s="1"/>
      <c r="G869" s="54"/>
      <c r="H869" s="54"/>
      <c r="I869" s="3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21.75" customHeight="1" x14ac:dyDescent="0.6">
      <c r="A870" s="1"/>
      <c r="B870" s="6"/>
      <c r="C870" s="1"/>
      <c r="D870" s="6"/>
      <c r="E870" s="1"/>
      <c r="F870" s="1"/>
      <c r="G870" s="54"/>
      <c r="H870" s="54"/>
      <c r="I870" s="3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21.75" customHeight="1" x14ac:dyDescent="0.6">
      <c r="A871" s="1"/>
      <c r="B871" s="6"/>
      <c r="C871" s="1"/>
      <c r="D871" s="6"/>
      <c r="E871" s="1"/>
      <c r="F871" s="1"/>
      <c r="G871" s="54"/>
      <c r="H871" s="54"/>
      <c r="I871" s="3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21.75" customHeight="1" x14ac:dyDescent="0.6">
      <c r="A872" s="1"/>
      <c r="B872" s="6"/>
      <c r="C872" s="1"/>
      <c r="D872" s="6"/>
      <c r="E872" s="1"/>
      <c r="F872" s="1"/>
      <c r="G872" s="54"/>
      <c r="H872" s="54"/>
      <c r="I872" s="3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21.75" customHeight="1" x14ac:dyDescent="0.6">
      <c r="A873" s="1"/>
      <c r="B873" s="6"/>
      <c r="C873" s="1"/>
      <c r="D873" s="6"/>
      <c r="E873" s="1"/>
      <c r="F873" s="1"/>
      <c r="G873" s="54"/>
      <c r="H873" s="54"/>
      <c r="I873" s="3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21.75" customHeight="1" x14ac:dyDescent="0.6">
      <c r="A874" s="1"/>
      <c r="B874" s="6"/>
      <c r="C874" s="1"/>
      <c r="D874" s="6"/>
      <c r="E874" s="1"/>
      <c r="F874" s="1"/>
      <c r="G874" s="54"/>
      <c r="H874" s="54"/>
      <c r="I874" s="3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21.75" customHeight="1" x14ac:dyDescent="0.6">
      <c r="A875" s="1"/>
      <c r="B875" s="6"/>
      <c r="C875" s="1"/>
      <c r="D875" s="6"/>
      <c r="E875" s="1"/>
      <c r="F875" s="1"/>
      <c r="G875" s="54"/>
      <c r="H875" s="54"/>
      <c r="I875" s="3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21.75" customHeight="1" x14ac:dyDescent="0.6">
      <c r="A876" s="1"/>
      <c r="B876" s="6"/>
      <c r="C876" s="1"/>
      <c r="D876" s="6"/>
      <c r="E876" s="1"/>
      <c r="F876" s="1"/>
      <c r="G876" s="54"/>
      <c r="H876" s="54"/>
      <c r="I876" s="3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21.75" customHeight="1" x14ac:dyDescent="0.6">
      <c r="A877" s="1"/>
      <c r="B877" s="6"/>
      <c r="C877" s="1"/>
      <c r="D877" s="6"/>
      <c r="E877" s="1"/>
      <c r="F877" s="1"/>
      <c r="G877" s="54"/>
      <c r="H877" s="54"/>
      <c r="I877" s="3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21.75" customHeight="1" x14ac:dyDescent="0.6">
      <c r="A878" s="1"/>
      <c r="B878" s="6"/>
      <c r="C878" s="1"/>
      <c r="D878" s="6"/>
      <c r="E878" s="1"/>
      <c r="F878" s="1"/>
      <c r="G878" s="54"/>
      <c r="H878" s="54"/>
      <c r="I878" s="3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21.75" customHeight="1" x14ac:dyDescent="0.6">
      <c r="A879" s="1"/>
      <c r="B879" s="6"/>
      <c r="C879" s="1"/>
      <c r="D879" s="6"/>
      <c r="E879" s="1"/>
      <c r="F879" s="1"/>
      <c r="G879" s="54"/>
      <c r="H879" s="54"/>
      <c r="I879" s="3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21.75" customHeight="1" x14ac:dyDescent="0.6">
      <c r="A880" s="1"/>
      <c r="B880" s="6"/>
      <c r="C880" s="1"/>
      <c r="D880" s="6"/>
      <c r="E880" s="1"/>
      <c r="F880" s="1"/>
      <c r="G880" s="54"/>
      <c r="H880" s="54"/>
      <c r="I880" s="3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21.75" customHeight="1" x14ac:dyDescent="0.6">
      <c r="A881" s="1"/>
      <c r="B881" s="6"/>
      <c r="C881" s="1"/>
      <c r="D881" s="6"/>
      <c r="E881" s="1"/>
      <c r="F881" s="1"/>
      <c r="G881" s="54"/>
      <c r="H881" s="54"/>
      <c r="I881" s="3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21.75" customHeight="1" x14ac:dyDescent="0.6">
      <c r="A882" s="1"/>
      <c r="B882" s="6"/>
      <c r="C882" s="1"/>
      <c r="D882" s="6"/>
      <c r="E882" s="1"/>
      <c r="F882" s="1"/>
      <c r="G882" s="54"/>
      <c r="H882" s="54"/>
      <c r="I882" s="3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21.75" customHeight="1" x14ac:dyDescent="0.6">
      <c r="A883" s="1"/>
      <c r="B883" s="6"/>
      <c r="C883" s="1"/>
      <c r="D883" s="6"/>
      <c r="E883" s="1"/>
      <c r="F883" s="1"/>
      <c r="G883" s="54"/>
      <c r="H883" s="54"/>
      <c r="I883" s="3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21.75" customHeight="1" x14ac:dyDescent="0.6">
      <c r="A884" s="1"/>
      <c r="B884" s="6"/>
      <c r="C884" s="1"/>
      <c r="D884" s="6"/>
      <c r="E884" s="1"/>
      <c r="F884" s="1"/>
      <c r="G884" s="54"/>
      <c r="H884" s="54"/>
      <c r="I884" s="3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21.75" customHeight="1" x14ac:dyDescent="0.6">
      <c r="A885" s="1"/>
      <c r="B885" s="6"/>
      <c r="C885" s="1"/>
      <c r="D885" s="6"/>
      <c r="E885" s="1"/>
      <c r="F885" s="1"/>
      <c r="G885" s="54"/>
      <c r="H885" s="54"/>
      <c r="I885" s="3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21.75" customHeight="1" x14ac:dyDescent="0.6">
      <c r="A886" s="1"/>
      <c r="B886" s="6"/>
      <c r="C886" s="1"/>
      <c r="D886" s="6"/>
      <c r="E886" s="1"/>
      <c r="F886" s="1"/>
      <c r="G886" s="54"/>
      <c r="H886" s="54"/>
      <c r="I886" s="3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21.75" customHeight="1" x14ac:dyDescent="0.6">
      <c r="A887" s="1"/>
      <c r="B887" s="6"/>
      <c r="C887" s="1"/>
      <c r="D887" s="6"/>
      <c r="E887" s="1"/>
      <c r="F887" s="1"/>
      <c r="G887" s="54"/>
      <c r="H887" s="54"/>
      <c r="I887" s="3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21.75" customHeight="1" x14ac:dyDescent="0.6">
      <c r="A888" s="1"/>
      <c r="B888" s="6"/>
      <c r="C888" s="1"/>
      <c r="D888" s="6"/>
      <c r="E888" s="1"/>
      <c r="F888" s="1"/>
      <c r="G888" s="54"/>
      <c r="H888" s="54"/>
      <c r="I888" s="3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21.75" customHeight="1" x14ac:dyDescent="0.6">
      <c r="A889" s="1"/>
      <c r="B889" s="6"/>
      <c r="C889" s="1"/>
      <c r="D889" s="6"/>
      <c r="E889" s="1"/>
      <c r="F889" s="1"/>
      <c r="G889" s="54"/>
      <c r="H889" s="54"/>
      <c r="I889" s="3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21.75" customHeight="1" x14ac:dyDescent="0.6">
      <c r="A890" s="1"/>
      <c r="B890" s="6"/>
      <c r="C890" s="1"/>
      <c r="D890" s="6"/>
      <c r="E890" s="1"/>
      <c r="F890" s="1"/>
      <c r="G890" s="54"/>
      <c r="H890" s="54"/>
      <c r="I890" s="3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21.75" customHeight="1" x14ac:dyDescent="0.6">
      <c r="A891" s="1"/>
      <c r="B891" s="6"/>
      <c r="C891" s="1"/>
      <c r="D891" s="6"/>
      <c r="E891" s="1"/>
      <c r="F891" s="1"/>
      <c r="G891" s="54"/>
      <c r="H891" s="54"/>
      <c r="I891" s="3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21.75" customHeight="1" x14ac:dyDescent="0.6">
      <c r="A892" s="1"/>
      <c r="B892" s="6"/>
      <c r="C892" s="1"/>
      <c r="D892" s="6"/>
      <c r="E892" s="1"/>
      <c r="F892" s="1"/>
      <c r="G892" s="54"/>
      <c r="H892" s="54"/>
      <c r="I892" s="3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21.75" customHeight="1" x14ac:dyDescent="0.6">
      <c r="A893" s="1"/>
      <c r="B893" s="6"/>
      <c r="C893" s="1"/>
      <c r="D893" s="6"/>
      <c r="E893" s="1"/>
      <c r="F893" s="1"/>
      <c r="G893" s="54"/>
      <c r="H893" s="54"/>
      <c r="I893" s="3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21.75" customHeight="1" x14ac:dyDescent="0.6">
      <c r="A894" s="1"/>
      <c r="B894" s="6"/>
      <c r="C894" s="1"/>
      <c r="D894" s="6"/>
      <c r="E894" s="1"/>
      <c r="F894" s="1"/>
      <c r="G894" s="54"/>
      <c r="H894" s="54"/>
      <c r="I894" s="3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21.75" customHeight="1" x14ac:dyDescent="0.6">
      <c r="A895" s="1"/>
      <c r="B895" s="6"/>
      <c r="C895" s="1"/>
      <c r="D895" s="6"/>
      <c r="E895" s="1"/>
      <c r="F895" s="1"/>
      <c r="G895" s="54"/>
      <c r="H895" s="54"/>
      <c r="I895" s="3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21.75" customHeight="1" x14ac:dyDescent="0.6">
      <c r="A896" s="1"/>
      <c r="B896" s="6"/>
      <c r="C896" s="1"/>
      <c r="D896" s="6"/>
      <c r="E896" s="1"/>
      <c r="F896" s="1"/>
      <c r="G896" s="54"/>
      <c r="H896" s="54"/>
      <c r="I896" s="3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21.75" customHeight="1" x14ac:dyDescent="0.6">
      <c r="A897" s="1"/>
      <c r="B897" s="6"/>
      <c r="C897" s="1"/>
      <c r="D897" s="6"/>
      <c r="E897" s="1"/>
      <c r="F897" s="1"/>
      <c r="G897" s="54"/>
      <c r="H897" s="54"/>
      <c r="I897" s="3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21.75" customHeight="1" x14ac:dyDescent="0.6">
      <c r="A898" s="1"/>
      <c r="B898" s="6"/>
      <c r="C898" s="1"/>
      <c r="D898" s="6"/>
      <c r="E898" s="1"/>
      <c r="F898" s="1"/>
      <c r="G898" s="54"/>
      <c r="H898" s="54"/>
      <c r="I898" s="3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21.75" customHeight="1" x14ac:dyDescent="0.6">
      <c r="A899" s="1"/>
      <c r="B899" s="6"/>
      <c r="C899" s="1"/>
      <c r="D899" s="6"/>
      <c r="E899" s="1"/>
      <c r="F899" s="1"/>
      <c r="G899" s="54"/>
      <c r="H899" s="54"/>
      <c r="I899" s="3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21.75" customHeight="1" x14ac:dyDescent="0.6">
      <c r="A900" s="1"/>
      <c r="B900" s="6"/>
      <c r="C900" s="1"/>
      <c r="D900" s="6"/>
      <c r="E900" s="1"/>
      <c r="F900" s="1"/>
      <c r="G900" s="54"/>
      <c r="H900" s="54"/>
      <c r="I900" s="3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21.75" customHeight="1" x14ac:dyDescent="0.6">
      <c r="A901" s="1"/>
      <c r="B901" s="6"/>
      <c r="C901" s="1"/>
      <c r="D901" s="6"/>
      <c r="E901" s="1"/>
      <c r="F901" s="1"/>
      <c r="G901" s="54"/>
      <c r="H901" s="54"/>
      <c r="I901" s="3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21.75" customHeight="1" x14ac:dyDescent="0.6">
      <c r="A902" s="1"/>
      <c r="B902" s="6"/>
      <c r="C902" s="1"/>
      <c r="D902" s="6"/>
      <c r="E902" s="1"/>
      <c r="F902" s="1"/>
      <c r="G902" s="54"/>
      <c r="H902" s="54"/>
      <c r="I902" s="3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21.75" customHeight="1" x14ac:dyDescent="0.6">
      <c r="A903" s="1"/>
      <c r="B903" s="6"/>
      <c r="C903" s="1"/>
      <c r="D903" s="6"/>
      <c r="E903" s="1"/>
      <c r="F903" s="1"/>
      <c r="G903" s="54"/>
      <c r="H903" s="54"/>
      <c r="I903" s="3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21.75" customHeight="1" x14ac:dyDescent="0.6">
      <c r="A904" s="1"/>
      <c r="B904" s="6"/>
      <c r="C904" s="1"/>
      <c r="D904" s="6"/>
      <c r="E904" s="1"/>
      <c r="F904" s="1"/>
      <c r="G904" s="54"/>
      <c r="H904" s="54"/>
      <c r="I904" s="3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21.75" customHeight="1" x14ac:dyDescent="0.6">
      <c r="A905" s="1"/>
      <c r="B905" s="6"/>
      <c r="C905" s="1"/>
      <c r="D905" s="6"/>
      <c r="E905" s="1"/>
      <c r="F905" s="1"/>
      <c r="G905" s="54"/>
      <c r="H905" s="54"/>
      <c r="I905" s="3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21.75" customHeight="1" x14ac:dyDescent="0.6">
      <c r="A906" s="1"/>
      <c r="B906" s="6"/>
      <c r="C906" s="1"/>
      <c r="D906" s="6"/>
      <c r="E906" s="1"/>
      <c r="F906" s="1"/>
      <c r="G906" s="54"/>
      <c r="H906" s="54"/>
      <c r="I906" s="3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21.75" customHeight="1" x14ac:dyDescent="0.6">
      <c r="A907" s="1"/>
      <c r="B907" s="6"/>
      <c r="C907" s="1"/>
      <c r="D907" s="6"/>
      <c r="E907" s="1"/>
      <c r="F907" s="1"/>
      <c r="G907" s="54"/>
      <c r="H907" s="54"/>
      <c r="I907" s="3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21.75" customHeight="1" x14ac:dyDescent="0.6">
      <c r="A908" s="1"/>
      <c r="B908" s="6"/>
      <c r="C908" s="1"/>
      <c r="D908" s="6"/>
      <c r="E908" s="1"/>
      <c r="F908" s="1"/>
      <c r="G908" s="54"/>
      <c r="H908" s="54"/>
      <c r="I908" s="3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21.75" customHeight="1" x14ac:dyDescent="0.6">
      <c r="A909" s="1"/>
      <c r="B909" s="6"/>
      <c r="C909" s="1"/>
      <c r="D909" s="6"/>
      <c r="E909" s="1"/>
      <c r="F909" s="1"/>
      <c r="G909" s="54"/>
      <c r="H909" s="54"/>
      <c r="I909" s="3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21.75" customHeight="1" x14ac:dyDescent="0.6">
      <c r="A910" s="1"/>
      <c r="B910" s="6"/>
      <c r="C910" s="1"/>
      <c r="D910" s="6"/>
      <c r="E910" s="1"/>
      <c r="F910" s="1"/>
      <c r="G910" s="54"/>
      <c r="H910" s="54"/>
      <c r="I910" s="3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21.75" customHeight="1" x14ac:dyDescent="0.6">
      <c r="A911" s="1"/>
      <c r="B911" s="6"/>
      <c r="C911" s="1"/>
      <c r="D911" s="6"/>
      <c r="E911" s="1"/>
      <c r="F911" s="1"/>
      <c r="G911" s="54"/>
      <c r="H911" s="54"/>
      <c r="I911" s="3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21.75" customHeight="1" x14ac:dyDescent="0.6">
      <c r="A912" s="1"/>
      <c r="B912" s="6"/>
      <c r="C912" s="1"/>
      <c r="D912" s="6"/>
      <c r="E912" s="1"/>
      <c r="F912" s="1"/>
      <c r="G912" s="54"/>
      <c r="H912" s="54"/>
      <c r="I912" s="3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21.75" customHeight="1" x14ac:dyDescent="0.6">
      <c r="A913" s="1"/>
      <c r="B913" s="6"/>
      <c r="C913" s="1"/>
      <c r="D913" s="6"/>
      <c r="E913" s="1"/>
      <c r="F913" s="1"/>
      <c r="G913" s="54"/>
      <c r="H913" s="54"/>
      <c r="I913" s="3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21.75" customHeight="1" x14ac:dyDescent="0.6">
      <c r="A914" s="1"/>
      <c r="B914" s="6"/>
      <c r="C914" s="1"/>
      <c r="D914" s="6"/>
      <c r="E914" s="1"/>
      <c r="F914" s="1"/>
      <c r="G914" s="54"/>
      <c r="H914" s="54"/>
      <c r="I914" s="3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21.75" customHeight="1" x14ac:dyDescent="0.6">
      <c r="A915" s="1"/>
      <c r="B915" s="6"/>
      <c r="C915" s="1"/>
      <c r="D915" s="6"/>
      <c r="E915" s="1"/>
      <c r="F915" s="1"/>
      <c r="G915" s="54"/>
      <c r="H915" s="54"/>
      <c r="I915" s="3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21.75" customHeight="1" x14ac:dyDescent="0.6">
      <c r="A916" s="1"/>
      <c r="B916" s="6"/>
      <c r="C916" s="1"/>
      <c r="D916" s="6"/>
      <c r="E916" s="1"/>
      <c r="F916" s="1"/>
      <c r="G916" s="54"/>
      <c r="H916" s="54"/>
      <c r="I916" s="3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21.75" customHeight="1" x14ac:dyDescent="0.6">
      <c r="A917" s="1"/>
      <c r="B917" s="6"/>
      <c r="C917" s="1"/>
      <c r="D917" s="6"/>
      <c r="E917" s="1"/>
      <c r="F917" s="1"/>
      <c r="G917" s="54"/>
      <c r="H917" s="54"/>
      <c r="I917" s="3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21.75" customHeight="1" x14ac:dyDescent="0.6">
      <c r="A918" s="1"/>
      <c r="B918" s="6"/>
      <c r="C918" s="1"/>
      <c r="D918" s="6"/>
      <c r="E918" s="1"/>
      <c r="F918" s="1"/>
      <c r="G918" s="54"/>
      <c r="H918" s="54"/>
      <c r="I918" s="3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21.75" customHeight="1" x14ac:dyDescent="0.6">
      <c r="A919" s="1"/>
      <c r="B919" s="6"/>
      <c r="C919" s="1"/>
      <c r="D919" s="6"/>
      <c r="E919" s="1"/>
      <c r="F919" s="1"/>
      <c r="G919" s="54"/>
      <c r="H919" s="54"/>
      <c r="I919" s="3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21.75" customHeight="1" x14ac:dyDescent="0.6">
      <c r="A920" s="1"/>
      <c r="B920" s="6"/>
      <c r="C920" s="1"/>
      <c r="D920" s="6"/>
      <c r="E920" s="1"/>
      <c r="F920" s="1"/>
      <c r="G920" s="54"/>
      <c r="H920" s="54"/>
      <c r="I920" s="3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21.75" customHeight="1" x14ac:dyDescent="0.6">
      <c r="A921" s="1"/>
      <c r="B921" s="6"/>
      <c r="C921" s="1"/>
      <c r="D921" s="6"/>
      <c r="E921" s="1"/>
      <c r="F921" s="1"/>
      <c r="G921" s="54"/>
      <c r="H921" s="54"/>
      <c r="I921" s="3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21.75" customHeight="1" x14ac:dyDescent="0.6">
      <c r="A922" s="1"/>
      <c r="B922" s="6"/>
      <c r="C922" s="1"/>
      <c r="D922" s="6"/>
      <c r="E922" s="1"/>
      <c r="F922" s="1"/>
      <c r="G922" s="54"/>
      <c r="H922" s="54"/>
      <c r="I922" s="3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21.75" customHeight="1" x14ac:dyDescent="0.6">
      <c r="A923" s="1"/>
      <c r="B923" s="6"/>
      <c r="C923" s="1"/>
      <c r="D923" s="6"/>
      <c r="E923" s="1"/>
      <c r="F923" s="1"/>
      <c r="G923" s="54"/>
      <c r="H923" s="54"/>
      <c r="I923" s="3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21.75" customHeight="1" x14ac:dyDescent="0.6">
      <c r="A924" s="1"/>
      <c r="B924" s="6"/>
      <c r="C924" s="1"/>
      <c r="D924" s="6"/>
      <c r="E924" s="1"/>
      <c r="F924" s="1"/>
      <c r="G924" s="54"/>
      <c r="H924" s="54"/>
      <c r="I924" s="3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21.75" customHeight="1" x14ac:dyDescent="0.6">
      <c r="A925" s="1"/>
      <c r="B925" s="6"/>
      <c r="C925" s="1"/>
      <c r="D925" s="6"/>
      <c r="E925" s="1"/>
      <c r="F925" s="1"/>
      <c r="G925" s="54"/>
      <c r="H925" s="54"/>
      <c r="I925" s="3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21.75" customHeight="1" x14ac:dyDescent="0.6">
      <c r="A926" s="1"/>
      <c r="B926" s="6"/>
      <c r="C926" s="1"/>
      <c r="D926" s="6"/>
      <c r="E926" s="1"/>
      <c r="F926" s="1"/>
      <c r="G926" s="54"/>
      <c r="H926" s="54"/>
      <c r="I926" s="3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21.75" customHeight="1" x14ac:dyDescent="0.6">
      <c r="A927" s="1"/>
      <c r="B927" s="6"/>
      <c r="C927" s="1"/>
      <c r="D927" s="6"/>
      <c r="E927" s="1"/>
      <c r="F927" s="1"/>
      <c r="G927" s="54"/>
      <c r="H927" s="54"/>
      <c r="I927" s="3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21.75" customHeight="1" x14ac:dyDescent="0.6">
      <c r="A928" s="1"/>
      <c r="B928" s="6"/>
      <c r="C928" s="1"/>
      <c r="D928" s="6"/>
      <c r="E928" s="1"/>
      <c r="F928" s="1"/>
      <c r="G928" s="54"/>
      <c r="H928" s="54"/>
      <c r="I928" s="3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21.75" customHeight="1" x14ac:dyDescent="0.6">
      <c r="A929" s="1"/>
      <c r="B929" s="6"/>
      <c r="C929" s="1"/>
      <c r="D929" s="6"/>
      <c r="E929" s="1"/>
      <c r="F929" s="1"/>
      <c r="G929" s="54"/>
      <c r="H929" s="54"/>
      <c r="I929" s="3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21.75" customHeight="1" x14ac:dyDescent="0.6">
      <c r="A930" s="1"/>
      <c r="B930" s="6"/>
      <c r="C930" s="1"/>
      <c r="D930" s="6"/>
      <c r="E930" s="1"/>
      <c r="F930" s="1"/>
      <c r="G930" s="54"/>
      <c r="H930" s="54"/>
      <c r="I930" s="3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21.75" customHeight="1" x14ac:dyDescent="0.6">
      <c r="A931" s="1"/>
      <c r="B931" s="6"/>
      <c r="C931" s="1"/>
      <c r="D931" s="6"/>
      <c r="E931" s="1"/>
      <c r="F931" s="1"/>
      <c r="G931" s="54"/>
      <c r="H931" s="54"/>
      <c r="I931" s="3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21.75" customHeight="1" x14ac:dyDescent="0.6">
      <c r="A932" s="1"/>
      <c r="B932" s="6"/>
      <c r="C932" s="1"/>
      <c r="D932" s="6"/>
      <c r="E932" s="1"/>
      <c r="F932" s="1"/>
      <c r="G932" s="54"/>
      <c r="H932" s="54"/>
      <c r="I932" s="3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21.75" customHeight="1" x14ac:dyDescent="0.6">
      <c r="A933" s="1"/>
      <c r="B933" s="6"/>
      <c r="C933" s="1"/>
      <c r="D933" s="6"/>
      <c r="E933" s="1"/>
      <c r="F933" s="1"/>
      <c r="G933" s="54"/>
      <c r="H933" s="54"/>
      <c r="I933" s="3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21.75" customHeight="1" x14ac:dyDescent="0.6">
      <c r="A934" s="1"/>
      <c r="B934" s="6"/>
      <c r="C934" s="1"/>
      <c r="D934" s="6"/>
      <c r="E934" s="1"/>
      <c r="F934" s="1"/>
      <c r="G934" s="54"/>
      <c r="H934" s="54"/>
      <c r="I934" s="3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21.75" customHeight="1" x14ac:dyDescent="0.6">
      <c r="A935" s="1"/>
      <c r="B935" s="6"/>
      <c r="C935" s="1"/>
      <c r="D935" s="6"/>
      <c r="E935" s="1"/>
      <c r="F935" s="1"/>
      <c r="G935" s="54"/>
      <c r="H935" s="54"/>
      <c r="I935" s="3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21.75" customHeight="1" x14ac:dyDescent="0.6">
      <c r="A936" s="1"/>
      <c r="B936" s="6"/>
      <c r="C936" s="1"/>
      <c r="D936" s="6"/>
      <c r="E936" s="1"/>
      <c r="F936" s="1"/>
      <c r="G936" s="54"/>
      <c r="H936" s="54"/>
      <c r="I936" s="3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21.75" customHeight="1" x14ac:dyDescent="0.6">
      <c r="A937" s="1"/>
      <c r="B937" s="6"/>
      <c r="C937" s="1"/>
      <c r="D937" s="6"/>
      <c r="E937" s="1"/>
      <c r="F937" s="1"/>
      <c r="G937" s="54"/>
      <c r="H937" s="54"/>
      <c r="I937" s="3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21.75" customHeight="1" x14ac:dyDescent="0.6">
      <c r="A938" s="1"/>
      <c r="B938" s="6"/>
      <c r="C938" s="1"/>
      <c r="D938" s="6"/>
      <c r="E938" s="1"/>
      <c r="F938" s="1"/>
      <c r="G938" s="54"/>
      <c r="H938" s="54"/>
      <c r="I938" s="3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21.75" customHeight="1" x14ac:dyDescent="0.6">
      <c r="A939" s="1"/>
      <c r="B939" s="6"/>
      <c r="C939" s="1"/>
      <c r="D939" s="6"/>
      <c r="E939" s="1"/>
      <c r="F939" s="1"/>
      <c r="G939" s="54"/>
      <c r="H939" s="54"/>
      <c r="I939" s="3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21.75" customHeight="1" x14ac:dyDescent="0.6">
      <c r="A940" s="1"/>
      <c r="B940" s="6"/>
      <c r="C940" s="1"/>
      <c r="D940" s="6"/>
      <c r="E940" s="1"/>
      <c r="F940" s="1"/>
      <c r="G940" s="54"/>
      <c r="H940" s="54"/>
      <c r="I940" s="3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21.75" customHeight="1" x14ac:dyDescent="0.6">
      <c r="A941" s="1"/>
      <c r="B941" s="6"/>
      <c r="C941" s="1"/>
      <c r="D941" s="6"/>
      <c r="E941" s="1"/>
      <c r="F941" s="1"/>
      <c r="G941" s="54"/>
      <c r="H941" s="54"/>
      <c r="I941" s="3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21.75" customHeight="1" x14ac:dyDescent="0.6">
      <c r="A942" s="1"/>
      <c r="B942" s="6"/>
      <c r="C942" s="1"/>
      <c r="D942" s="6"/>
      <c r="E942" s="1"/>
      <c r="F942" s="1"/>
      <c r="G942" s="54"/>
      <c r="H942" s="54"/>
      <c r="I942" s="3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21.75" customHeight="1" x14ac:dyDescent="0.6">
      <c r="A943" s="1"/>
      <c r="B943" s="6"/>
      <c r="C943" s="1"/>
      <c r="D943" s="6"/>
      <c r="E943" s="1"/>
      <c r="F943" s="1"/>
      <c r="G943" s="54"/>
      <c r="H943" s="54"/>
      <c r="I943" s="3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21.75" customHeight="1" x14ac:dyDescent="0.6">
      <c r="A944" s="1"/>
      <c r="B944" s="6"/>
      <c r="C944" s="1"/>
      <c r="D944" s="6"/>
      <c r="E944" s="1"/>
      <c r="F944" s="1"/>
      <c r="G944" s="54"/>
      <c r="H944" s="54"/>
      <c r="I944" s="3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21.75" customHeight="1" x14ac:dyDescent="0.6">
      <c r="A945" s="1"/>
      <c r="B945" s="6"/>
      <c r="C945" s="1"/>
      <c r="D945" s="6"/>
      <c r="E945" s="1"/>
      <c r="F945" s="1"/>
      <c r="G945" s="54"/>
      <c r="H945" s="54"/>
      <c r="I945" s="3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21.75" customHeight="1" x14ac:dyDescent="0.6">
      <c r="A946" s="1"/>
      <c r="B946" s="6"/>
      <c r="C946" s="1"/>
      <c r="D946" s="6"/>
      <c r="E946" s="1"/>
      <c r="F946" s="1"/>
      <c r="G946" s="54"/>
      <c r="H946" s="54"/>
      <c r="I946" s="3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21.75" customHeight="1" x14ac:dyDescent="0.6">
      <c r="A947" s="1"/>
      <c r="B947" s="6"/>
      <c r="C947" s="1"/>
      <c r="D947" s="6"/>
      <c r="E947" s="1"/>
      <c r="F947" s="1"/>
      <c r="G947" s="54"/>
      <c r="H947" s="54"/>
      <c r="I947" s="3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21.75" customHeight="1" x14ac:dyDescent="0.6">
      <c r="A948" s="1"/>
      <c r="B948" s="6"/>
      <c r="C948" s="1"/>
      <c r="D948" s="6"/>
      <c r="E948" s="1"/>
      <c r="F948" s="1"/>
      <c r="G948" s="54"/>
      <c r="H948" s="54"/>
      <c r="I948" s="3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21.75" customHeight="1" x14ac:dyDescent="0.6">
      <c r="A949" s="1"/>
      <c r="B949" s="6"/>
      <c r="C949" s="1"/>
      <c r="D949" s="6"/>
      <c r="E949" s="1"/>
      <c r="F949" s="1"/>
      <c r="G949" s="54"/>
      <c r="H949" s="54"/>
      <c r="I949" s="3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21.75" customHeight="1" x14ac:dyDescent="0.6">
      <c r="A950" s="1"/>
      <c r="B950" s="6"/>
      <c r="C950" s="1"/>
      <c r="D950" s="6"/>
      <c r="E950" s="1"/>
      <c r="F950" s="1"/>
      <c r="G950" s="54"/>
      <c r="H950" s="54"/>
      <c r="I950" s="3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21.75" customHeight="1" x14ac:dyDescent="0.6">
      <c r="A951" s="1"/>
      <c r="B951" s="6"/>
      <c r="C951" s="1"/>
      <c r="D951" s="6"/>
      <c r="E951" s="1"/>
      <c r="F951" s="1"/>
      <c r="G951" s="54"/>
      <c r="H951" s="54"/>
      <c r="I951" s="3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21.75" customHeight="1" x14ac:dyDescent="0.6">
      <c r="A952" s="1"/>
      <c r="B952" s="6"/>
      <c r="C952" s="1"/>
      <c r="D952" s="6"/>
      <c r="E952" s="1"/>
      <c r="F952" s="1"/>
      <c r="G952" s="54"/>
      <c r="H952" s="54"/>
      <c r="I952" s="3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</sheetData>
  <mergeCells count="5">
    <mergeCell ref="A1:A2"/>
    <mergeCell ref="D1:E1"/>
    <mergeCell ref="I1:I2"/>
    <mergeCell ref="F1:F2"/>
    <mergeCell ref="B1:C1"/>
  </mergeCells>
  <pageMargins left="0.511811024" right="0.511811024" top="0.78740157499999996" bottom="0.78740157499999996" header="0" footer="0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E29"/>
  <sheetViews>
    <sheetView showGridLines="0" topLeftCell="B1" zoomScale="70" zoomScaleNormal="70" workbookViewId="0">
      <selection activeCell="I9" sqref="I9"/>
    </sheetView>
  </sheetViews>
  <sheetFormatPr defaultRowHeight="15" x14ac:dyDescent="0.25"/>
  <cols>
    <col min="2" max="2" width="57.140625" customWidth="1"/>
    <col min="3" max="3" width="22.140625" customWidth="1"/>
    <col min="4" max="4" width="21" customWidth="1"/>
    <col min="5" max="5" width="19.7109375" customWidth="1"/>
    <col min="6" max="6" width="22.85546875" customWidth="1"/>
    <col min="7" max="7" width="18.85546875" customWidth="1"/>
    <col min="8" max="8" width="17.5703125" customWidth="1"/>
    <col min="9" max="9" width="18.85546875" customWidth="1"/>
    <col min="10" max="10" width="17.5703125" customWidth="1"/>
    <col min="11" max="11" width="18.85546875" customWidth="1"/>
    <col min="12" max="12" width="17.5703125" customWidth="1"/>
    <col min="13" max="13" width="18.85546875" customWidth="1"/>
    <col min="14" max="14" width="20.28515625" bestFit="1" customWidth="1"/>
    <col min="15" max="15" width="18.85546875" customWidth="1"/>
    <col min="16" max="16" width="20.28515625" bestFit="1" customWidth="1"/>
    <col min="17" max="17" width="19" customWidth="1"/>
    <col min="18" max="18" width="21.28515625" bestFit="1" customWidth="1"/>
    <col min="19" max="22" width="21.28515625" customWidth="1"/>
    <col min="23" max="23" width="17" bestFit="1" customWidth="1"/>
    <col min="24" max="24" width="21.28515625" bestFit="1" customWidth="1"/>
    <col min="25" max="25" width="13.42578125" customWidth="1"/>
    <col min="26" max="27" width="17" style="49" customWidth="1"/>
    <col min="28" max="29" width="14.28515625" customWidth="1"/>
    <col min="30" max="30" width="17.28515625" customWidth="1"/>
  </cols>
  <sheetData>
    <row r="1" spans="2:31" ht="13.9" customHeight="1" thickBot="1" x14ac:dyDescent="0.3"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49"/>
    </row>
    <row r="2" spans="2:31" ht="13.9" customHeight="1" thickBot="1" x14ac:dyDescent="0.3">
      <c r="C2" s="47" t="s">
        <v>69</v>
      </c>
      <c r="D2" s="32">
        <v>10520.39</v>
      </c>
      <c r="E2" s="47" t="s">
        <v>69</v>
      </c>
      <c r="F2" s="32">
        <v>12518.96</v>
      </c>
      <c r="G2" s="47" t="s">
        <v>69</v>
      </c>
      <c r="H2" s="32">
        <v>13434.29</v>
      </c>
      <c r="I2" s="47" t="s">
        <v>69</v>
      </c>
      <c r="J2" s="32">
        <v>8744.16</v>
      </c>
      <c r="K2" s="47" t="s">
        <v>69</v>
      </c>
      <c r="L2" s="32"/>
      <c r="S2" s="111" t="s">
        <v>69</v>
      </c>
      <c r="T2" s="112"/>
      <c r="U2" s="111" t="s">
        <v>69</v>
      </c>
      <c r="V2" s="112"/>
      <c r="W2" s="111" t="s">
        <v>69</v>
      </c>
      <c r="X2" s="112"/>
      <c r="Y2" s="111" t="s">
        <v>69</v>
      </c>
      <c r="Z2" s="112"/>
      <c r="AA2" s="111" t="s">
        <v>69</v>
      </c>
      <c r="AB2" s="112"/>
      <c r="AC2" s="110"/>
      <c r="AD2" s="110"/>
      <c r="AE2" s="49"/>
    </row>
    <row r="3" spans="2:31" ht="13.9" customHeight="1" x14ac:dyDescent="0.25">
      <c r="C3" s="47" t="s">
        <v>25</v>
      </c>
      <c r="D3" s="66">
        <v>45047</v>
      </c>
      <c r="E3" s="47" t="s">
        <v>25</v>
      </c>
      <c r="F3" s="66">
        <v>45383</v>
      </c>
      <c r="G3" s="47" t="s">
        <v>25</v>
      </c>
      <c r="H3" s="66">
        <v>45323</v>
      </c>
      <c r="I3" s="47" t="s">
        <v>25</v>
      </c>
      <c r="J3" s="66">
        <v>44409</v>
      </c>
      <c r="K3" s="47" t="s">
        <v>25</v>
      </c>
      <c r="L3" s="66"/>
      <c r="S3" s="111" t="s">
        <v>25</v>
      </c>
      <c r="T3" s="113">
        <v>44866</v>
      </c>
      <c r="U3" s="111" t="s">
        <v>25</v>
      </c>
      <c r="V3" s="113">
        <v>44256</v>
      </c>
      <c r="W3" s="111" t="s">
        <v>25</v>
      </c>
      <c r="X3" s="113">
        <v>44958</v>
      </c>
      <c r="Y3" s="111" t="s">
        <v>25</v>
      </c>
      <c r="Z3" s="114">
        <v>45047</v>
      </c>
      <c r="AA3" s="111" t="s">
        <v>25</v>
      </c>
      <c r="AB3" s="114">
        <v>45261</v>
      </c>
      <c r="AC3" s="111" t="s">
        <v>25</v>
      </c>
      <c r="AD3" s="113">
        <v>44774</v>
      </c>
      <c r="AE3" s="49"/>
    </row>
    <row r="4" spans="2:31" ht="13.9" customHeight="1" thickBot="1" x14ac:dyDescent="0.3">
      <c r="C4" s="48" t="s">
        <v>28</v>
      </c>
      <c r="D4" s="43">
        <v>2688.94</v>
      </c>
      <c r="E4" s="48" t="s">
        <v>28</v>
      </c>
      <c r="F4" s="43">
        <v>2757.56</v>
      </c>
      <c r="G4" s="48" t="s">
        <v>28</v>
      </c>
      <c r="H4" s="43">
        <v>2753.62</v>
      </c>
      <c r="I4" s="48" t="s">
        <v>28</v>
      </c>
      <c r="J4" s="43">
        <v>2307.92</v>
      </c>
      <c r="K4" s="48" t="s">
        <v>28</v>
      </c>
      <c r="L4" s="43"/>
      <c r="M4">
        <f>170/J2</f>
        <v>1.9441547272694003E-2</v>
      </c>
      <c r="S4" s="115" t="s">
        <v>28</v>
      </c>
      <c r="T4" s="116">
        <v>2633.22</v>
      </c>
      <c r="U4" s="115" t="s">
        <v>28</v>
      </c>
      <c r="V4" s="116">
        <v>2140.56</v>
      </c>
      <c r="W4" s="115" t="s">
        <v>28</v>
      </c>
      <c r="X4" s="116">
        <v>2662.47</v>
      </c>
      <c r="Y4" s="115" t="s">
        <v>28</v>
      </c>
      <c r="Z4" s="116">
        <v>2688.94</v>
      </c>
      <c r="AA4" s="115" t="s">
        <v>28</v>
      </c>
      <c r="AB4" s="116">
        <v>2752.67</v>
      </c>
      <c r="AC4" s="115" t="s">
        <v>28</v>
      </c>
      <c r="AD4" s="116">
        <v>2572.5500000000002</v>
      </c>
    </row>
    <row r="5" spans="2:31" ht="13.9" customHeight="1" thickBot="1" x14ac:dyDescent="0.3">
      <c r="F5" s="283">
        <v>254976.79000000004</v>
      </c>
      <c r="G5">
        <f>F5/F2</f>
        <v>20.367250154964953</v>
      </c>
      <c r="N5" s="49"/>
      <c r="O5" s="49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</row>
    <row r="6" spans="2:31" ht="19.149999999999999" customHeight="1" thickBot="1" x14ac:dyDescent="0.3">
      <c r="C6" s="505" t="s">
        <v>39</v>
      </c>
      <c r="D6" s="506"/>
      <c r="E6" s="505" t="s">
        <v>46</v>
      </c>
      <c r="F6" s="506"/>
      <c r="G6" s="505" t="s">
        <v>55</v>
      </c>
      <c r="H6" s="510"/>
      <c r="I6" s="505" t="s">
        <v>869</v>
      </c>
      <c r="J6" s="510"/>
      <c r="K6" s="505" t="s">
        <v>870</v>
      </c>
      <c r="L6" s="510"/>
      <c r="N6" s="109" t="s">
        <v>31</v>
      </c>
      <c r="O6" s="109"/>
      <c r="S6" s="507" t="s">
        <v>37</v>
      </c>
      <c r="T6" s="508"/>
      <c r="U6" s="507" t="s">
        <v>38</v>
      </c>
      <c r="V6" s="509"/>
      <c r="W6" s="117" t="s">
        <v>43</v>
      </c>
      <c r="X6" s="119"/>
      <c r="Y6" s="117" t="s">
        <v>44</v>
      </c>
      <c r="Z6" s="119"/>
      <c r="AA6" s="118" t="s">
        <v>45</v>
      </c>
      <c r="AB6" s="119"/>
      <c r="AC6" s="117" t="s">
        <v>36</v>
      </c>
      <c r="AD6" s="119"/>
    </row>
    <row r="7" spans="2:31" ht="19.149999999999999" customHeight="1" thickBot="1" x14ac:dyDescent="0.3">
      <c r="B7" s="21"/>
      <c r="C7" s="46" t="s">
        <v>29</v>
      </c>
      <c r="D7" s="46" t="s">
        <v>30</v>
      </c>
      <c r="E7" s="46" t="s">
        <v>29</v>
      </c>
      <c r="F7" s="46" t="s">
        <v>30</v>
      </c>
      <c r="G7" s="46" t="s">
        <v>29</v>
      </c>
      <c r="H7" s="46" t="s">
        <v>30</v>
      </c>
      <c r="I7" s="46" t="s">
        <v>29</v>
      </c>
      <c r="J7" s="46" t="s">
        <v>30</v>
      </c>
      <c r="K7" s="46"/>
      <c r="L7" s="46"/>
      <c r="N7" s="50" t="s">
        <v>32</v>
      </c>
      <c r="O7" s="50" t="s">
        <v>33</v>
      </c>
      <c r="S7" s="120" t="s">
        <v>29</v>
      </c>
      <c r="T7" s="120" t="s">
        <v>30</v>
      </c>
      <c r="U7" s="121" t="s">
        <v>29</v>
      </c>
      <c r="V7" s="122" t="s">
        <v>30</v>
      </c>
      <c r="W7" s="120" t="s">
        <v>29</v>
      </c>
      <c r="X7" s="120" t="s">
        <v>30</v>
      </c>
      <c r="Y7" s="121" t="s">
        <v>29</v>
      </c>
      <c r="Z7" s="122" t="s">
        <v>30</v>
      </c>
      <c r="AA7" s="120" t="s">
        <v>29</v>
      </c>
      <c r="AB7" s="120" t="s">
        <v>30</v>
      </c>
      <c r="AC7" s="120" t="s">
        <v>29</v>
      </c>
      <c r="AD7" s="120" t="s">
        <v>30</v>
      </c>
    </row>
    <row r="8" spans="2:31" ht="19.149999999999999" customHeight="1" x14ac:dyDescent="0.25">
      <c r="B8" s="36" t="s">
        <v>24</v>
      </c>
      <c r="C8" s="41">
        <v>212.04957705940561</v>
      </c>
      <c r="D8" s="63">
        <f>(ORÇAMENTO_EXECUTIVO!$F$22/CÁLCULO_MÉDIAS!D$4)*C8</f>
        <v>217.46094435574409</v>
      </c>
      <c r="E8" s="42">
        <v>336.40234020361441</v>
      </c>
      <c r="F8" s="63">
        <f>(ORÇAMENTO_EXECUTIVO!$F$22/CÁLCULO_MÉDIAS!F$4)*E8</f>
        <v>336.40234020361441</v>
      </c>
      <c r="G8" s="42">
        <v>387.84287163668489</v>
      </c>
      <c r="H8" s="63">
        <f>(ORÇAMENTO_EXECUTIVO!$F$22/CÁLCULO_MÉDIAS!H$4)*G8</f>
        <v>388.39781419021392</v>
      </c>
      <c r="I8" s="42"/>
      <c r="J8" s="63"/>
      <c r="K8" s="42"/>
      <c r="L8" s="63"/>
      <c r="N8" s="51">
        <v>330</v>
      </c>
      <c r="O8" s="51">
        <v>380</v>
      </c>
      <c r="S8" s="123">
        <v>330.18696215430151</v>
      </c>
      <c r="T8" s="124">
        <f>(ORÇAMENTO_EXECUTIVO!$F$22/CÁLCULO_MÉDIAS!T$4)*S8</f>
        <v>345.77830920250329</v>
      </c>
      <c r="U8" s="123">
        <f>53.76+152.58</f>
        <v>206.34</v>
      </c>
      <c r="V8" s="125">
        <f>(ORÇAMENTO_EXECUTIVO!$F$22/CÁLCULO_MÉDIAS!V$4)*U8</f>
        <v>265.81592218858617</v>
      </c>
      <c r="W8" s="123">
        <v>425.96973518284994</v>
      </c>
      <c r="X8" s="125">
        <f>(ORÇAMENTO_EXECUTIVO!$F$22/CÁLCULO_MÉDIAS!X$4)*W8</f>
        <v>441.18322570801536</v>
      </c>
      <c r="Y8" s="126">
        <f>306.853550565509+12.39</f>
        <v>319.243550565509</v>
      </c>
      <c r="Z8" s="125">
        <f>(ORÇAMENTO_EXECUTIVO!$F$22/CÁLCULO_MÉDIAS!Z$4)*Y8</f>
        <v>327.3904383502142</v>
      </c>
      <c r="AA8" s="127">
        <v>393.04915498123785</v>
      </c>
      <c r="AB8" s="125">
        <f>(ORÇAMENTO_EXECUTIVO!$F$22/CÁLCULO_MÉDIAS!AB$4)*AA8</f>
        <v>393.74738991962795</v>
      </c>
      <c r="AC8" s="123">
        <v>307.8011910864052</v>
      </c>
      <c r="AD8" s="124">
        <f>(ORÇAMENTO_EXECUTIVO!$F$22/CÁLCULO_MÉDIAS!AD$4)*AC8</f>
        <v>329.93731997132318</v>
      </c>
    </row>
    <row r="9" spans="2:31" ht="19.149999999999999" customHeight="1" x14ac:dyDescent="0.25">
      <c r="B9" s="37" t="s">
        <v>4</v>
      </c>
      <c r="C9" s="42">
        <v>0</v>
      </c>
      <c r="D9" s="63">
        <f>(ORÇAMENTO_EXECUTIVO!$F$22/CÁLCULO_MÉDIAS!D$4)*C9</f>
        <v>0</v>
      </c>
      <c r="E9" s="42">
        <v>0</v>
      </c>
      <c r="F9" s="63">
        <f>(ORÇAMENTO_EXECUTIVO!$F$22/CÁLCULO_MÉDIAS!F$4)*E9</f>
        <v>0</v>
      </c>
      <c r="G9" s="42">
        <v>6.8428238485249304</v>
      </c>
      <c r="H9" s="63">
        <f>(ORÇAMENTO_EXECUTIVO!$F$22/CÁLCULO_MÉDIAS!H$4)*G9</f>
        <v>6.8526148603432597</v>
      </c>
      <c r="I9" s="42">
        <f>169044.49/J2</f>
        <v>19.332273197196756</v>
      </c>
      <c r="J9" s="63">
        <f>(ORÇAMENTO_EXECUTIVO!$F$22/CÁLCULO_MÉDIAS!J$4)*I9</f>
        <v>23.098679017323775</v>
      </c>
      <c r="K9" s="42" t="e">
        <f>160858.17/L2</f>
        <v>#DIV/0!</v>
      </c>
      <c r="L9" s="63"/>
      <c r="N9" s="51">
        <v>6</v>
      </c>
      <c r="O9" s="51">
        <v>20</v>
      </c>
      <c r="S9" s="123">
        <v>0</v>
      </c>
      <c r="T9" s="124">
        <f>(ORÇAMENTO_EXECUTIVO!$F$22/CÁLCULO_MÉDIAS!T$4)*S9</f>
        <v>0</v>
      </c>
      <c r="U9" s="123">
        <v>0</v>
      </c>
      <c r="V9" s="125">
        <f>(ORÇAMENTO_EXECUTIVO!$F$22/CÁLCULO_MÉDIAS!V$4)*U9</f>
        <v>0</v>
      </c>
      <c r="W9" s="123">
        <v>19.587790125287146</v>
      </c>
      <c r="X9" s="125">
        <f>(ORÇAMENTO_EXECUTIVO!$F$22/CÁLCULO_MÉDIAS!X$4)*W9</f>
        <v>20.287367195832001</v>
      </c>
      <c r="Y9" s="126">
        <v>26.515284956661631</v>
      </c>
      <c r="Z9" s="125">
        <f>(ORÇAMENTO_EXECUTIVO!$F$22/CÁLCULO_MÉDIAS!Z$4)*Y9</f>
        <v>27.191937784068013</v>
      </c>
      <c r="AA9" s="128">
        <v>17.922886030292219</v>
      </c>
      <c r="AB9" s="125">
        <f>(ORÇAMENTO_EXECUTIVO!$F$22/CÁLCULO_MÉDIAS!AB$4)*AA9</f>
        <v>17.954725267355915</v>
      </c>
      <c r="AC9" s="123">
        <v>0</v>
      </c>
      <c r="AD9" s="124">
        <f>(ORÇAMENTO_EXECUTIVO!$F$22/CÁLCULO_MÉDIAS!AD$4)*AC9</f>
        <v>0</v>
      </c>
    </row>
    <row r="10" spans="2:31" ht="19.149999999999999" customHeight="1" x14ac:dyDescent="0.25">
      <c r="B10" s="38" t="s">
        <v>5</v>
      </c>
      <c r="C10" s="22">
        <v>171.55069706541298</v>
      </c>
      <c r="D10" s="63">
        <f>(ORÇAMENTO_EXECUTIVO!$F$22/CÁLCULO_MÉDIAS!D$4)*C10</f>
        <v>175.92855928347237</v>
      </c>
      <c r="E10" s="42">
        <v>162.9</v>
      </c>
      <c r="F10" s="63">
        <f>(ORÇAMENTO_EXECUTIVO!$F$22/CÁLCULO_MÉDIAS!F$4)*E10</f>
        <v>162.9</v>
      </c>
      <c r="G10" s="42">
        <v>169.29129875862435</v>
      </c>
      <c r="H10" s="63">
        <f>(ORÇAMENTO_EXECUTIVO!$F$22/CÁLCULO_MÉDIAS!H$4)*G10</f>
        <v>169.53352815741903</v>
      </c>
      <c r="I10" s="42"/>
      <c r="J10" s="63"/>
      <c r="K10" s="42"/>
      <c r="L10" s="63" t="e">
        <f>(ORÇAMENTO_EXECUTIVO!$F$22/CÁLCULO_MÉDIAS!L$4)*I10</f>
        <v>#DIV/0!</v>
      </c>
      <c r="N10" s="51">
        <v>160</v>
      </c>
      <c r="O10" s="51">
        <v>180</v>
      </c>
      <c r="S10" s="123">
        <v>138.77425406952631</v>
      </c>
      <c r="T10" s="124">
        <f>(ORÇAMENTO_EXECUTIVO!$F$22/CÁLCULO_MÉDIAS!T$4)*S10</f>
        <v>145.32714017513274</v>
      </c>
      <c r="U10" s="123">
        <v>203.75</v>
      </c>
      <c r="V10" s="125">
        <f>(ORÇAMENTO_EXECUTIVO!$F$22/CÁLCULO_MÉDIAS!V$4)*U10</f>
        <v>262.47937455619092</v>
      </c>
      <c r="W10" s="129">
        <v>195.59039548493175</v>
      </c>
      <c r="X10" s="125">
        <f>(ORÇAMENTO_EXECUTIVO!$F$22/CÁLCULO_MÉDIAS!X$4)*W10</f>
        <v>202.57589793440994</v>
      </c>
      <c r="Y10" s="129">
        <f>268.371509227372+41.56</f>
        <v>309.93150922737198</v>
      </c>
      <c r="Z10" s="125">
        <f>(ORÇAMENTO_EXECUTIVO!$F$22/CÁLCULO_MÉDIAS!Z$4)*Y10</f>
        <v>317.84075977337977</v>
      </c>
      <c r="AA10" s="128">
        <v>227.462505499282</v>
      </c>
      <c r="AB10" s="125">
        <f>(ORÇAMENTO_EXECUTIVO!$F$22/CÁLCULO_MÉDIAS!AB$4)*AA10</f>
        <v>227.86658286848771</v>
      </c>
      <c r="AC10" s="130">
        <v>145.26</v>
      </c>
      <c r="AD10" s="124">
        <f>(ORÇAMENTO_EXECUTIVO!$F$22/CÁLCULO_MÉDIAS!AD$4)*AC10</f>
        <v>155.70665899593786</v>
      </c>
    </row>
    <row r="11" spans="2:31" ht="19.149999999999999" customHeight="1" x14ac:dyDescent="0.25">
      <c r="B11" s="37" t="s">
        <v>6</v>
      </c>
      <c r="C11" s="22">
        <v>648.94587877445611</v>
      </c>
      <c r="D11" s="63">
        <f>(ORÇAMENTO_EXECUTIVO!$F$22/CÁLCULO_MÉDIAS!D$4)*C11</f>
        <v>665.50655554727484</v>
      </c>
      <c r="E11" s="42">
        <v>655</v>
      </c>
      <c r="F11" s="63">
        <f>(ORÇAMENTO_EXECUTIVO!$F$22/CÁLCULO_MÉDIAS!F$4)*E11</f>
        <v>655</v>
      </c>
      <c r="G11" s="42">
        <v>638.86</v>
      </c>
      <c r="H11" s="63">
        <f>(ORÇAMENTO_EXECUTIVO!$F$22/CÁLCULO_MÉDIAS!H$4)*G11</f>
        <v>639.77410884581025</v>
      </c>
      <c r="I11" s="42"/>
      <c r="J11" s="63"/>
      <c r="K11" s="42"/>
      <c r="L11" s="63"/>
      <c r="N11" s="51">
        <v>640</v>
      </c>
      <c r="O11" s="51">
        <v>670</v>
      </c>
      <c r="S11" s="123">
        <v>440.21002903329872</v>
      </c>
      <c r="T11" s="124">
        <f>(ORÇAMENTO_EXECUTIVO!$F$22/CÁLCULO_MÉDIAS!T$4)*S11</f>
        <v>460.99663820761782</v>
      </c>
      <c r="U11" s="123">
        <v>516.11</v>
      </c>
      <c r="V11" s="125">
        <f>(ORÇAMENTO_EXECUTIVO!$F$22/CÁLCULO_MÉDIAS!V$4)*U11</f>
        <v>664.87474847703413</v>
      </c>
      <c r="W11" s="129">
        <v>730.88828937483026</v>
      </c>
      <c r="X11" s="125">
        <f>(ORÇAMENTO_EXECUTIVO!$F$22/CÁLCULO_MÉDIAS!X$4)*W11</f>
        <v>756.99193277237191</v>
      </c>
      <c r="Y11" s="129">
        <f>424.075395917568+352.64</f>
        <v>776.715395917568</v>
      </c>
      <c r="Z11" s="125">
        <f>(ORÇAMENTO_EXECUTIVO!$F$22/CÁLCULO_MÉDIAS!Z$4)*Y11</f>
        <v>796.53666767069876</v>
      </c>
      <c r="AA11" s="128">
        <v>753.33240754557448</v>
      </c>
      <c r="AB11" s="125">
        <f>(ORÇAMENTO_EXECUTIVO!$F$22/CÁLCULO_MÉDIAS!AB$4)*AA11</f>
        <v>754.67067020433774</v>
      </c>
      <c r="AC11" s="130">
        <v>684.09</v>
      </c>
      <c r="AD11" s="124">
        <f>(ORÇAMENTO_EXECUTIVO!$F$22/CÁLCULO_MÉDIAS!AD$4)*AC11</f>
        <v>733.28767969524404</v>
      </c>
    </row>
    <row r="12" spans="2:31" ht="19.149999999999999" customHeight="1" x14ac:dyDescent="0.25">
      <c r="B12" s="39" t="s">
        <v>7</v>
      </c>
      <c r="C12" s="22">
        <v>146.27237045394705</v>
      </c>
      <c r="D12" s="63">
        <f>(ORÇAMENTO_EXECUTIVO!$F$22/CÁLCULO_MÉDIAS!D$4)*C12</f>
        <v>150.00514621709158</v>
      </c>
      <c r="E12" s="42">
        <v>122.73</v>
      </c>
      <c r="F12" s="63">
        <f>(ORÇAMENTO_EXECUTIVO!$F$22/CÁLCULO_MÉDIAS!F$4)*E12</f>
        <v>122.73</v>
      </c>
      <c r="G12" s="42">
        <v>117.55</v>
      </c>
      <c r="H12" s="63">
        <f>(ORÇAMENTO_EXECUTIVO!$F$22/CÁLCULO_MÉDIAS!H$4)*G12</f>
        <v>117.71819568422659</v>
      </c>
      <c r="I12" s="42"/>
      <c r="J12" s="63"/>
      <c r="K12" s="42"/>
      <c r="L12" s="63"/>
      <c r="N12" s="51">
        <v>115</v>
      </c>
      <c r="O12" s="51">
        <v>150</v>
      </c>
      <c r="S12" s="123">
        <v>119.63618870107992</v>
      </c>
      <c r="T12" s="124">
        <f>(ORÇAMENTO_EXECUTIVO!$F$22/CÁLCULO_MÉDIAS!T$4)*S12</f>
        <v>125.28538007251576</v>
      </c>
      <c r="U12" s="123">
        <v>87.63</v>
      </c>
      <c r="V12" s="125">
        <f>(ORÇAMENTO_EXECUTIVO!$F$22/CÁLCULO_MÉDIAS!V$4)*U12</f>
        <v>112.88867529992152</v>
      </c>
      <c r="W12" s="129">
        <v>119.11837394906888</v>
      </c>
      <c r="X12" s="125">
        <f>(ORÇAMENTO_EXECUTIVO!$F$22/CÁLCULO_MÉDIAS!X$4)*W12</f>
        <v>123.37268148260615</v>
      </c>
      <c r="Y12" s="129">
        <f>45.9182137373762+52.78</f>
        <v>98.698213737376193</v>
      </c>
      <c r="Z12" s="125">
        <f>(ORÇAMENTO_EXECUTIVO!$F$22/CÁLCULO_MÉDIAS!Z$4)*Y12</f>
        <v>101.21692796181361</v>
      </c>
      <c r="AA12" s="128">
        <v>120.12284291214054</v>
      </c>
      <c r="AB12" s="125">
        <f>(ORÇAMENTO_EXECUTIVO!$F$22/CÁLCULO_MÉDIAS!AB$4)*AA12</f>
        <v>120.33623598208368</v>
      </c>
      <c r="AC12" s="130">
        <v>102.26703338940926</v>
      </c>
      <c r="AD12" s="124">
        <f>(ORÇAMENTO_EXECUTIVO!$F$22/CÁLCULO_MÉDIAS!AD$4)*AC12</f>
        <v>109.62176851501405</v>
      </c>
    </row>
    <row r="13" spans="2:31" ht="19.149999999999999" customHeight="1" x14ac:dyDescent="0.25">
      <c r="B13" s="37" t="s">
        <v>8</v>
      </c>
      <c r="C13" s="22">
        <v>329.41</v>
      </c>
      <c r="D13" s="63">
        <f>(ORÇAMENTO_EXECUTIVO!$F$22/CÁLCULO_MÉDIAS!D$4)*C13</f>
        <v>337.81632896234203</v>
      </c>
      <c r="E13" s="42">
        <v>346.19</v>
      </c>
      <c r="F13" s="63">
        <f>(ORÇAMENTO_EXECUTIVO!$F$22/CÁLCULO_MÉDIAS!F$4)*E13</f>
        <v>346.19</v>
      </c>
      <c r="G13" s="42">
        <v>333.15</v>
      </c>
      <c r="H13" s="63">
        <f>(ORÇAMENTO_EXECUTIVO!$F$22/CÁLCULO_MÉDIAS!H$4)*G13</f>
        <v>333.62668559932013</v>
      </c>
      <c r="I13" s="42"/>
      <c r="J13" s="63"/>
      <c r="K13" s="42"/>
      <c r="L13" s="63"/>
      <c r="N13" s="51">
        <v>330</v>
      </c>
      <c r="O13" s="51">
        <v>350</v>
      </c>
      <c r="S13" s="123">
        <v>241.53844940678877</v>
      </c>
      <c r="T13" s="124">
        <f>(ORÇAMENTO_EXECUTIVO!$F$22/CÁLCULO_MÉDIAS!T$4)*S13</f>
        <v>252.94383551172501</v>
      </c>
      <c r="U13" s="123">
        <f>115.12+96.69+17.4</f>
        <v>229.21</v>
      </c>
      <c r="V13" s="125">
        <f>(ORÇAMENTO_EXECUTIVO!$F$22/CÁLCULO_MÉDIAS!V$4)*U13</f>
        <v>295.27802425533508</v>
      </c>
      <c r="W13" s="130">
        <v>311.09536882330696</v>
      </c>
      <c r="X13" s="125">
        <f>(ORÇAMENTO_EXECUTIVO!$F$22/CÁLCULO_MÉDIAS!X$4)*W13</f>
        <v>322.20612636101004</v>
      </c>
      <c r="Y13" s="129">
        <f>133.232025739994+119</f>
        <v>252.23202573999399</v>
      </c>
      <c r="Z13" s="125">
        <f>(ORÇAMENTO_EXECUTIVO!$F$22/CÁLCULO_MÉDIAS!Z$4)*Y13</f>
        <v>258.66882299329023</v>
      </c>
      <c r="AA13" s="128">
        <v>343.65137637821664</v>
      </c>
      <c r="AB13" s="125">
        <f>(ORÇAMENTO_EXECUTIVO!$F$22/CÁLCULO_MÉDIAS!AB$4)*AA13</f>
        <v>344.26185828505237</v>
      </c>
      <c r="AC13" s="130">
        <v>395.64890080797699</v>
      </c>
      <c r="AD13" s="124">
        <f>(ORÇAMENTO_EXECUTIVO!$F$22/CÁLCULO_MÉDIAS!AD$4)*AC13</f>
        <v>424.10277075743716</v>
      </c>
    </row>
    <row r="14" spans="2:31" ht="18.75" customHeight="1" x14ac:dyDescent="0.25">
      <c r="B14" s="39" t="s">
        <v>23</v>
      </c>
      <c r="C14" s="22">
        <v>156.76</v>
      </c>
      <c r="D14" s="63">
        <f>(ORÇAMENTO_EXECUTIVO!$F$22/CÁLCULO_MÉDIAS!D$4)*C14</f>
        <v>160.76041324834321</v>
      </c>
      <c r="E14" s="42">
        <v>163.30000000000001</v>
      </c>
      <c r="F14" s="63">
        <f>(ORÇAMENTO_EXECUTIVO!$F$22/CÁLCULO_MÉDIAS!F$4)*E14</f>
        <v>163.30000000000001</v>
      </c>
      <c r="G14" s="42">
        <v>118.21</v>
      </c>
      <c r="H14" s="63">
        <f>(ORÇAMENTO_EXECUTIVO!$F$22/CÁLCULO_MÉDIAS!H$4)*G14</f>
        <v>118.37914004110951</v>
      </c>
      <c r="I14" s="42"/>
      <c r="J14" s="63"/>
      <c r="K14" s="42"/>
      <c r="L14" s="63"/>
      <c r="N14" s="51">
        <v>120</v>
      </c>
      <c r="O14" s="51">
        <v>165</v>
      </c>
      <c r="S14" s="123">
        <v>125.58391647422079</v>
      </c>
      <c r="T14" s="124">
        <f>(ORÇAMENTO_EXECUTIVO!$F$22/CÁLCULO_MÉDIAS!T$4)*S14</f>
        <v>131.5139580865451</v>
      </c>
      <c r="U14" s="123">
        <f>126.98+36.9</f>
        <v>163.88</v>
      </c>
      <c r="V14" s="125">
        <f>(ORÇAMENTO_EXECUTIVO!$F$22/CÁLCULO_MÉDIAS!V$4)*U14</f>
        <v>211.11715289456964</v>
      </c>
      <c r="W14" s="130">
        <v>234.95756961924101</v>
      </c>
      <c r="X14" s="125">
        <f>(ORÇAMENTO_EXECUTIVO!$F$22/CÁLCULO_MÉDIAS!X$4)*W14</f>
        <v>243.34906897701543</v>
      </c>
      <c r="Y14" s="129">
        <v>247.28447097827882</v>
      </c>
      <c r="Z14" s="125">
        <f>(ORÇAMENTO_EXECUTIVO!$F$22/CÁLCULO_MÉDIAS!Z$4)*Y14</f>
        <v>253.59500985178639</v>
      </c>
      <c r="AA14" s="131">
        <v>183.52384796344097</v>
      </c>
      <c r="AB14" s="125">
        <f>(ORÇAMENTO_EXECUTIVO!$F$22/CÁLCULO_MÉDIAS!AB$4)*AA14</f>
        <v>183.84987019514372</v>
      </c>
      <c r="AC14" s="130">
        <v>151.23889129945096</v>
      </c>
      <c r="AD14" s="124">
        <f>(ORÇAMENTO_EXECUTIVO!$F$22/CÁLCULO_MÉDIAS!AD$4)*AC14</f>
        <v>162.11553403887737</v>
      </c>
    </row>
    <row r="15" spans="2:31" ht="18.75" customHeight="1" x14ac:dyDescent="0.25">
      <c r="B15" s="39" t="s">
        <v>9</v>
      </c>
      <c r="C15" s="22">
        <v>69.707841962132591</v>
      </c>
      <c r="D15" s="63">
        <f>(ORÇAMENTO_EXECUTIVO!$F$22/CÁLCULO_MÉDIAS!D$4)*C15</f>
        <v>71.486740753270183</v>
      </c>
      <c r="E15" s="42">
        <v>43.36</v>
      </c>
      <c r="F15" s="63">
        <f>(ORÇAMENTO_EXECUTIVO!$F$22/CÁLCULO_MÉDIAS!F$4)*E15</f>
        <v>43.36</v>
      </c>
      <c r="G15" s="42">
        <v>59.85</v>
      </c>
      <c r="H15" s="63">
        <f>(ORÇAMENTO_EXECUTIVO!$F$22/CÁLCULO_MÉDIAS!H$4)*G15</f>
        <v>59.935635999157476</v>
      </c>
      <c r="I15" s="42"/>
      <c r="J15" s="63"/>
      <c r="K15" s="42"/>
      <c r="L15" s="63"/>
      <c r="N15" s="51">
        <v>40</v>
      </c>
      <c r="O15" s="51">
        <v>75</v>
      </c>
      <c r="S15" s="123">
        <v>28.961629961135319</v>
      </c>
      <c r="T15" s="124">
        <f>(ORÇAMENTO_EXECUTIVO!$F$22/CÁLCULO_MÉDIAS!T$4)*S15</f>
        <v>30.329190996433386</v>
      </c>
      <c r="U15" s="123">
        <v>46.01</v>
      </c>
      <c r="V15" s="125">
        <f>(ORÇAMENTO_EXECUTIVO!$F$22/CÁLCULO_MÉDIAS!V$4)*U15</f>
        <v>59.272029562357517</v>
      </c>
      <c r="W15" s="130">
        <v>40.385539920806394</v>
      </c>
      <c r="X15" s="125">
        <f>(ORÇAMENTO_EXECUTIVO!$F$22/CÁLCULO_MÉDIAS!X$4)*W15</f>
        <v>41.827907718779507</v>
      </c>
      <c r="Y15" s="129">
        <f>21.1585217854063+29.7</f>
        <v>50.858521785406296</v>
      </c>
      <c r="Z15" s="125">
        <f>(ORÇAMENTO_EXECUTIVO!$F$22/CÁLCULO_MÉDIAS!Z$4)*Y15</f>
        <v>52.156398184624791</v>
      </c>
      <c r="AA15" s="128">
        <v>53.975619931386198</v>
      </c>
      <c r="AB15" s="125">
        <f>(ORÇAMENTO_EXECUTIVO!$F$22/CÁLCULO_MÉDIAS!AB$4)*AA15</f>
        <v>54.071505301395852</v>
      </c>
      <c r="AC15" s="130">
        <v>26.84</v>
      </c>
      <c r="AD15" s="124">
        <f>(ORÇAMENTO_EXECUTIVO!$F$22/CÁLCULO_MÉDIAS!AD$4)*AC15</f>
        <v>28.770251462556605</v>
      </c>
    </row>
    <row r="16" spans="2:31" ht="19.149999999999999" customHeight="1" x14ac:dyDescent="0.25">
      <c r="B16" s="37" t="s">
        <v>19</v>
      </c>
      <c r="C16" s="22">
        <v>152.31227151274811</v>
      </c>
      <c r="D16" s="63">
        <f>(ORÇAMENTO_EXECUTIVO!$F$22/CÁLCULO_MÉDIAS!D$4)*C16</f>
        <v>156.19918162275604</v>
      </c>
      <c r="E16" s="42">
        <v>146.21</v>
      </c>
      <c r="F16" s="63">
        <f>(ORÇAMENTO_EXECUTIVO!$F$22/CÁLCULO_MÉDIAS!F$4)*E16</f>
        <v>146.21</v>
      </c>
      <c r="G16" s="42">
        <v>165.42</v>
      </c>
      <c r="H16" s="63">
        <f>(ORÇAMENTO_EXECUTIVO!$F$22/CÁLCULO_MÉDIAS!H$4)*G16</f>
        <v>165.65669017511493</v>
      </c>
      <c r="I16" s="42"/>
      <c r="J16" s="63"/>
      <c r="K16" s="42"/>
      <c r="L16" s="63"/>
      <c r="N16" s="51">
        <v>140</v>
      </c>
      <c r="O16" s="51">
        <v>170</v>
      </c>
      <c r="S16" s="123">
        <v>234.72587240710115</v>
      </c>
      <c r="T16" s="124">
        <f>(ORÇAMENTO_EXECUTIVO!$F$22/CÁLCULO_MÉDIAS!T$4)*S16</f>
        <v>245.80957030363049</v>
      </c>
      <c r="U16" s="123">
        <v>107.18</v>
      </c>
      <c r="V16" s="125">
        <f>(ORÇAMENTO_EXECUTIVO!$F$22/CÁLCULO_MÉDIAS!V$4)*U16</f>
        <v>138.07381283402475</v>
      </c>
      <c r="W16" s="130">
        <v>171.46501171912092</v>
      </c>
      <c r="X16" s="125">
        <f>(ORÇAMENTO_EXECUTIVO!$F$22/CÁLCULO_MÉDIAS!X$4)*W16</f>
        <v>177.58887713896462</v>
      </c>
      <c r="Y16" s="129">
        <f>61.5070901205645+125.46</f>
        <v>186.96709012056448</v>
      </c>
      <c r="Z16" s="125">
        <f>(ORÇAMENTO_EXECUTIVO!$F$22/CÁLCULO_MÉDIAS!Z$4)*Y16</f>
        <v>191.73836866306564</v>
      </c>
      <c r="AA16" s="128">
        <v>181.93321537315026</v>
      </c>
      <c r="AB16" s="125">
        <f>(ORÇAMENTO_EXECUTIVO!$F$22/CÁLCULO_MÉDIAS!AB$4)*AA16</f>
        <v>182.2564119143901</v>
      </c>
      <c r="AC16" s="130">
        <v>143.04</v>
      </c>
      <c r="AD16" s="124">
        <f>(ORÇAMENTO_EXECUTIVO!$F$22/CÁLCULO_MÉDIAS!AD$4)*AC16</f>
        <v>153.32700332355054</v>
      </c>
    </row>
    <row r="17" spans="2:30" ht="19.149999999999999" customHeight="1" x14ac:dyDescent="0.25">
      <c r="B17" s="39" t="s">
        <v>20</v>
      </c>
      <c r="C17" s="22">
        <v>54.818639993384274</v>
      </c>
      <c r="D17" s="63">
        <f>(ORÇAMENTO_EXECUTIVO!$F$22/CÁLCULO_MÉDIAS!D$4)*C17</f>
        <v>56.217576033736989</v>
      </c>
      <c r="E17" s="42">
        <v>60.1</v>
      </c>
      <c r="F17" s="63">
        <f>(ORÇAMENTO_EXECUTIVO!$F$22/CÁLCULO_MÉDIAS!F$4)*E17</f>
        <v>60.1</v>
      </c>
      <c r="G17" s="42">
        <v>56.68</v>
      </c>
      <c r="H17" s="63">
        <f>(ORÇAMENTO_EXECUTIVO!$F$22/CÁLCULO_MÉDIAS!H$4)*G17</f>
        <v>56.761100224431836</v>
      </c>
      <c r="I17" s="42"/>
      <c r="J17" s="63"/>
      <c r="K17" s="42"/>
      <c r="L17" s="63"/>
      <c r="N17" s="51">
        <v>50</v>
      </c>
      <c r="O17" s="51">
        <v>65</v>
      </c>
      <c r="S17" s="123">
        <v>55.038679317743082</v>
      </c>
      <c r="T17" s="124">
        <f>(ORÇAMENTO_EXECUTIVO!$F$22/CÁLCULO_MÉDIAS!T$4)*S17</f>
        <v>57.637592202488065</v>
      </c>
      <c r="U17" s="123">
        <v>37.840000000000003</v>
      </c>
      <c r="V17" s="125">
        <f>(ORÇAMENTO_EXECUTIVO!$F$22/CÁLCULO_MÉDIAS!V$4)*U17</f>
        <v>48.74708973352768</v>
      </c>
      <c r="W17" s="130">
        <v>82.252956433522513</v>
      </c>
      <c r="X17" s="125">
        <f>(ORÇAMENTO_EXECUTIVO!$F$22/CÁLCULO_MÉDIAS!X$4)*W17</f>
        <v>85.190617187357731</v>
      </c>
      <c r="Y17" s="129">
        <f>54.2873850783883+15.35</f>
        <v>69.637385078388292</v>
      </c>
      <c r="Z17" s="125">
        <f>(ORÇAMENTO_EXECUTIVO!$F$22/CÁLCULO_MÉDIAS!Z$4)*Y17</f>
        <v>71.414485855675622</v>
      </c>
      <c r="AA17" s="128">
        <v>55.010608568330511</v>
      </c>
      <c r="AB17" s="125">
        <f>(ORÇAMENTO_EXECUTIVO!$F$22/CÁLCULO_MÉDIAS!AB$4)*AA17</f>
        <v>55.108332551190472</v>
      </c>
      <c r="AC17" s="130">
        <v>70.155611705948473</v>
      </c>
      <c r="AD17" s="124">
        <f>(ORÇAMENTO_EXECUTIVO!$F$22/CÁLCULO_MÉDIAS!AD$4)*AC17</f>
        <v>75.200990696334472</v>
      </c>
    </row>
    <row r="18" spans="2:30" ht="19.149999999999999" customHeight="1" x14ac:dyDescent="0.25">
      <c r="B18" s="37" t="s">
        <v>10</v>
      </c>
      <c r="C18" s="22">
        <v>189.37</v>
      </c>
      <c r="D18" s="63">
        <f>(ORÇAMENTO_EXECUTIVO!$F$22/CÁLCULO_MÉDIAS!D$4)*C18</f>
        <v>194.20259923984915</v>
      </c>
      <c r="E18" s="42">
        <v>153.35</v>
      </c>
      <c r="F18" s="63">
        <f>(ORÇAMENTO_EXECUTIVO!$F$22/CÁLCULO_MÉDIAS!F$4)*E18</f>
        <v>153.35</v>
      </c>
      <c r="G18" s="42">
        <v>139.61000000000001</v>
      </c>
      <c r="H18" s="63">
        <f>(ORÇAMENTO_EXECUTIVO!$F$22/CÁLCULO_MÉDIAS!H$4)*G18</f>
        <v>139.80976009761696</v>
      </c>
      <c r="I18" s="42"/>
      <c r="J18" s="63"/>
      <c r="K18" s="42"/>
      <c r="L18" s="63"/>
      <c r="N18" s="51">
        <v>140</v>
      </c>
      <c r="O18" s="51">
        <v>210</v>
      </c>
      <c r="S18" s="123">
        <v>165.18748649465164</v>
      </c>
      <c r="T18" s="124">
        <f>(ORÇAMENTO_EXECUTIVO!$F$22/CÁLCULO_MÉDIAS!T$4)*S18</f>
        <v>172.98759893141917</v>
      </c>
      <c r="U18" s="123">
        <v>111.36</v>
      </c>
      <c r="V18" s="125">
        <f>(ORÇAMENTO_EXECUTIVO!$F$22/CÁLCULO_MÉDIAS!V$4)*U18</f>
        <v>143.45866576970514</v>
      </c>
      <c r="W18" s="130">
        <v>171.08275181950387</v>
      </c>
      <c r="X18" s="125">
        <f>(ORÇAMENTO_EXECUTIVO!$F$22/CÁLCULO_MÉDIAS!X$4)*W18</f>
        <v>177.19296484369443</v>
      </c>
      <c r="Y18" s="129">
        <f>128.113840140444+57.38</f>
        <v>185.49384014044401</v>
      </c>
      <c r="Z18" s="125">
        <f>(ORÇAMENTO_EXECUTIVO!$F$22/CÁLCULO_MÉDIAS!Z$4)*Y18</f>
        <v>190.22752230160685</v>
      </c>
      <c r="AA18" s="128">
        <v>148.70478618145466</v>
      </c>
      <c r="AB18" s="125">
        <f>(ORÇAMENTO_EXECUTIVO!$F$22/CÁLCULO_MÉDIAS!AB$4)*AA18</f>
        <v>148.96895384573236</v>
      </c>
      <c r="AC18" s="130">
        <v>167.78667972935523</v>
      </c>
      <c r="AD18" s="124">
        <f>(ORÇAMENTO_EXECUTIVO!$F$22/CÁLCULO_MÉDIAS!AD$4)*AC18</f>
        <v>179.85338926531293</v>
      </c>
    </row>
    <row r="19" spans="2:30" ht="19.149999999999999" customHeight="1" x14ac:dyDescent="0.25">
      <c r="B19" s="39" t="s">
        <v>11</v>
      </c>
      <c r="C19" s="22">
        <v>125.3808845584622</v>
      </c>
      <c r="D19" s="63">
        <f>(ORÇAMENTO_EXECUTIVO!$F$22/CÁLCULO_MÉDIAS!D$4)*C19</f>
        <v>128.58052318870372</v>
      </c>
      <c r="E19" s="42">
        <v>149.59</v>
      </c>
      <c r="F19" s="63">
        <f>(ORÇAMENTO_EXECUTIVO!$F$22/CÁLCULO_MÉDIAS!F$4)*E19</f>
        <v>149.59</v>
      </c>
      <c r="G19" s="42">
        <v>136.5</v>
      </c>
      <c r="H19" s="63">
        <f>(ORÇAMENTO_EXECUTIVO!$F$22/CÁLCULO_MÉDIAS!H$4)*G19</f>
        <v>136.69531017351704</v>
      </c>
      <c r="I19" s="42"/>
      <c r="J19" s="63"/>
      <c r="K19" s="42"/>
      <c r="L19" s="63"/>
      <c r="N19" s="51">
        <v>120</v>
      </c>
      <c r="O19" s="51">
        <v>150</v>
      </c>
      <c r="P19" s="288"/>
      <c r="S19" s="123">
        <v>110.39978903493726</v>
      </c>
      <c r="T19" s="124">
        <f>(ORÇAMENTO_EXECUTIVO!$F$22/CÁLCULO_MÉDIAS!T$4)*S19</f>
        <v>115.61283988849455</v>
      </c>
      <c r="U19" s="123">
        <v>83.06</v>
      </c>
      <c r="V19" s="125">
        <f>(ORÇAMENTO_EXECUTIVO!$F$22/CÁLCULO_MÉDIAS!V$4)*U19</f>
        <v>107.00140785588819</v>
      </c>
      <c r="W19" s="130">
        <v>131.71984554415201</v>
      </c>
      <c r="X19" s="125">
        <f>(ORÇAMENTO_EXECUTIVO!$F$22/CÁLCULO_MÉDIAS!X$4)*W19</f>
        <v>136.42421408644296</v>
      </c>
      <c r="Y19" s="129">
        <f>35.9030401086365+97.72</f>
        <v>133.6230401086365</v>
      </c>
      <c r="Z19" s="125">
        <f>(ORÇAMENTO_EXECUTIVO!$F$22/CÁLCULO_MÉDIAS!Z$4)*Y19</f>
        <v>137.03301318808587</v>
      </c>
      <c r="AA19" s="128">
        <v>173.39863257808926</v>
      </c>
      <c r="AB19" s="125">
        <f>(ORÇAMENTO_EXECUTIVO!$F$22/CÁLCULO_MÉDIAS!AB$4)*AA19</f>
        <v>173.70666779964029</v>
      </c>
      <c r="AC19" s="130">
        <v>81.300167528398092</v>
      </c>
      <c r="AD19" s="124">
        <f>(ORÇAMENTO_EXECUTIVO!$F$22/CÁLCULO_MÉDIAS!AD$4)*AC19</f>
        <v>87.147029200446809</v>
      </c>
    </row>
    <row r="20" spans="2:30" ht="19.149999999999999" customHeight="1" x14ac:dyDescent="0.25">
      <c r="B20" s="37" t="s">
        <v>12</v>
      </c>
      <c r="C20" s="22">
        <v>206.22</v>
      </c>
      <c r="D20" s="63">
        <f>(ORÇAMENTO_EXECUTIVO!$F$22/CÁLCULO_MÉDIAS!D$4)*C20</f>
        <v>211.48260028115166</v>
      </c>
      <c r="E20" s="42">
        <v>288.61</v>
      </c>
      <c r="F20" s="63">
        <f>(ORÇAMENTO_EXECUTIVO!$F$22/CÁLCULO_MÉDIAS!F$4)*E20</f>
        <v>288.61</v>
      </c>
      <c r="G20" s="42">
        <v>223.84</v>
      </c>
      <c r="H20" s="63">
        <f>(ORÇAMENTO_EXECUTIVO!$F$22/CÁLCULO_MÉDIAS!H$4)*G20</f>
        <v>224.16028006769272</v>
      </c>
      <c r="I20" s="42"/>
      <c r="J20" s="63"/>
      <c r="K20" s="42"/>
      <c r="L20" s="63"/>
      <c r="N20" s="51">
        <v>210</v>
      </c>
      <c r="O20" s="68">
        <v>335</v>
      </c>
      <c r="P20" s="288" t="s">
        <v>1065</v>
      </c>
      <c r="S20" s="123">
        <v>147.28733031905907</v>
      </c>
      <c r="T20" s="124">
        <f>(ORÇAMENTO_EXECUTIVO!$F$22/CÁLCULO_MÉDIAS!T$4)*S20</f>
        <v>154.24220178892176</v>
      </c>
      <c r="U20" s="123">
        <v>186.71</v>
      </c>
      <c r="V20" s="125">
        <f>(ORÇAMENTO_EXECUTIVO!$F$22/CÁLCULO_MÉDIAS!V$4)*U20</f>
        <v>240.52772526815414</v>
      </c>
      <c r="W20" s="130">
        <v>323.47431538511512</v>
      </c>
      <c r="X20" s="125">
        <f>(ORÇAMENTO_EXECUTIVO!$F$22/CÁLCULO_MÉDIAS!X$4)*W20</f>
        <v>335.02718645970776</v>
      </c>
      <c r="Y20" s="129">
        <f>250.558807445514+9.23</f>
        <v>259.78880744551401</v>
      </c>
      <c r="Z20" s="125">
        <f>(ORÇAMENTO_EXECUTIVO!$F$22/CÁLCULO_MÉDIAS!Z$4)*Y20</f>
        <v>266.41844885324758</v>
      </c>
      <c r="AA20" s="132">
        <v>208.12265790695531</v>
      </c>
      <c r="AB20" s="125">
        <f>(ORÇAMENTO_EXECUTIVO!$F$22/CÁLCULO_MÉDIAS!AB$4)*AA20</f>
        <v>208.49237886775518</v>
      </c>
      <c r="AC20" s="130">
        <v>186.45529550301794</v>
      </c>
      <c r="AD20" s="124">
        <f>(ORÇAMENTO_EXECUTIVO!$F$22/CÁLCULO_MÉDIAS!AD$4)*AC20</f>
        <v>199.86459531099575</v>
      </c>
    </row>
    <row r="21" spans="2:30" ht="19.149999999999999" customHeight="1" x14ac:dyDescent="0.25">
      <c r="B21" s="39" t="s">
        <v>22</v>
      </c>
      <c r="C21" s="22">
        <v>12.639947654031838</v>
      </c>
      <c r="D21" s="63">
        <f>(ORÇAMENTO_EXECUTIVO!$F$22/CÁLCULO_MÉDIAS!D$4)*C21</f>
        <v>12.962510897547745</v>
      </c>
      <c r="E21" s="42">
        <v>2.4700000000000002</v>
      </c>
      <c r="F21" s="63">
        <f>(ORÇAMENTO_EXECUTIVO!$F$22/CÁLCULO_MÉDIAS!F$4)*E21</f>
        <v>2.4700000000000002</v>
      </c>
      <c r="G21" s="42"/>
      <c r="H21" s="63">
        <f>(ORÇAMENTO_EXECUTIVO!$F$22/CÁLCULO_MÉDIAS!H$4)*G21</f>
        <v>0</v>
      </c>
      <c r="I21" s="42"/>
      <c r="J21" s="63"/>
      <c r="K21" s="42"/>
      <c r="L21" s="63"/>
      <c r="N21" s="51">
        <v>5</v>
      </c>
      <c r="O21" s="51">
        <v>12</v>
      </c>
      <c r="S21" s="123">
        <v>0</v>
      </c>
      <c r="T21" s="124">
        <f>(ORÇAMENTO_EXECUTIVO!$F$22/CÁLCULO_MÉDIAS!T$4)*S21</f>
        <v>0</v>
      </c>
      <c r="U21" s="123">
        <v>12.08</v>
      </c>
      <c r="V21" s="125">
        <f>(ORÇAMENTO_EXECUTIVO!$F$22/CÁLCULO_MÉDIAS!V$4)*U21</f>
        <v>15.561967335650484</v>
      </c>
      <c r="W21" s="130">
        <v>5.0049675079668363</v>
      </c>
      <c r="X21" s="125">
        <f>(ORÇAMENTO_EXECUTIVO!$F$22/CÁLCULO_MÉDIAS!X$4)*W21</f>
        <v>5.1837197043606231</v>
      </c>
      <c r="Y21" s="130">
        <f>2.57125170509111+1.44</f>
        <v>4.0112517050911105</v>
      </c>
      <c r="Z21" s="125">
        <f>(ORÇAMENTO_EXECUTIVO!$F$22/CÁLCULO_MÉDIAS!Z$4)*Y21</f>
        <v>4.1136162398160767</v>
      </c>
      <c r="AA21" s="132">
        <v>13.493415250930482</v>
      </c>
      <c r="AB21" s="125">
        <f>(ORÇAMENTO_EXECUTIVO!$F$22/CÁLCULO_MÉDIAS!AB$4)*AA21</f>
        <v>13.517385723445186</v>
      </c>
      <c r="AC21" s="130">
        <v>8.67</v>
      </c>
      <c r="AD21" s="124">
        <f>(ORÇAMENTO_EXECUTIVO!$F$22/CÁLCULO_MÉDIAS!AD$4)*AC21</f>
        <v>9.2935201259450739</v>
      </c>
    </row>
    <row r="22" spans="2:30" ht="19.149999999999999" customHeight="1" x14ac:dyDescent="0.25">
      <c r="B22" s="37" t="s">
        <v>13</v>
      </c>
      <c r="C22" s="22">
        <v>102.99303370882639</v>
      </c>
      <c r="D22" s="63">
        <f>(ORÇAMENTO_EXECUTIVO!$F$22/CÁLCULO_MÉDIAS!D$4)*C22</f>
        <v>105.62134894572259</v>
      </c>
      <c r="E22" s="42">
        <v>114.53</v>
      </c>
      <c r="F22" s="63">
        <f>(ORÇAMENTO_EXECUTIVO!$F$22/CÁLCULO_MÉDIAS!F$4)*E22</f>
        <v>114.53</v>
      </c>
      <c r="G22" s="42">
        <v>162.49</v>
      </c>
      <c r="H22" s="63">
        <f>(ORÇAMENTO_EXECUTIVO!$F$22/CÁLCULO_MÉDIAS!H$4)*G22</f>
        <v>162.72249780289221</v>
      </c>
      <c r="I22" s="42"/>
      <c r="J22" s="63"/>
      <c r="K22" s="42"/>
      <c r="L22" s="63"/>
      <c r="N22" s="51">
        <v>100</v>
      </c>
      <c r="O22" s="51">
        <v>170</v>
      </c>
      <c r="S22" s="123">
        <v>26.873961688334965</v>
      </c>
      <c r="T22" s="124">
        <f>(ORÇAMENTO_EXECUTIVO!$F$22/CÁLCULO_MÉDIAS!T$4)*S22</f>
        <v>28.14294354185559</v>
      </c>
      <c r="U22" s="123">
        <v>126.33</v>
      </c>
      <c r="V22" s="125">
        <f>(ORÇAMENTO_EXECUTIVO!$F$22/CÁLCULO_MÉDIAS!V$4)*U22</f>
        <v>162.74365343648392</v>
      </c>
      <c r="W22" s="130">
        <v>165.68145313767593</v>
      </c>
      <c r="X22" s="125">
        <f>(ORÇAMENTO_EXECUTIVO!$F$22/CÁLCULO_MÉDIAS!X$4)*W22</f>
        <v>171.59875901487328</v>
      </c>
      <c r="Y22" s="130">
        <f>150.750039454126+64.44</f>
        <v>215.19003945412601</v>
      </c>
      <c r="Z22" s="125">
        <f>(ORÇAMENTO_EXECUTIVO!$F$22/CÁLCULO_MÉDIAS!Z$4)*Y22</f>
        <v>220.68154930832213</v>
      </c>
      <c r="AA22" s="128">
        <v>131.44433827627864</v>
      </c>
      <c r="AB22" s="125">
        <f>(ORÇAMENTO_EXECUTIVO!$F$22/CÁLCULO_MÉDIAS!AB$4)*AA22</f>
        <v>131.67784349636349</v>
      </c>
      <c r="AC22" s="130">
        <v>84.89</v>
      </c>
      <c r="AD22" s="124">
        <f>(ORÇAMENTO_EXECUTIVO!$F$22/CÁLCULO_MÉDIAS!AD$4)*AC22</f>
        <v>90.995031544576392</v>
      </c>
    </row>
    <row r="23" spans="2:30" ht="19.149999999999999" customHeight="1" thickBot="1" x14ac:dyDescent="0.3">
      <c r="B23" s="40" t="s">
        <v>14</v>
      </c>
      <c r="C23" s="22">
        <v>116.34736354830952</v>
      </c>
      <c r="D23" s="63">
        <f>(ORÇAMENTO_EXECUTIVO!$F$22/CÁLCULO_MÉDIAS!D$4)*C23</f>
        <v>119.31647259748317</v>
      </c>
      <c r="E23" s="24">
        <v>157.19999999999999</v>
      </c>
      <c r="F23" s="63">
        <f>(ORÇAMENTO_EXECUTIVO!$F$22/CÁLCULO_MÉDIAS!F$4)*E23</f>
        <v>157.19999999999999</v>
      </c>
      <c r="G23" s="24">
        <v>165.48</v>
      </c>
      <c r="H23" s="63">
        <f>(ORÇAMENTO_EXECUTIVO!$F$22/CÁLCULO_MÉDIAS!H$4)*G23</f>
        <v>165.71677602574064</v>
      </c>
      <c r="I23" s="24"/>
      <c r="J23" s="63"/>
      <c r="K23" s="24"/>
      <c r="L23" s="63"/>
      <c r="N23" s="52">
        <v>157</v>
      </c>
      <c r="O23" s="52">
        <v>210</v>
      </c>
      <c r="S23" s="130">
        <v>125.1290430276559</v>
      </c>
      <c r="T23" s="124">
        <f>(ORÇAMENTO_EXECUTIVO!$F$22/CÁLCULO_MÉDIAS!T$4)*S23</f>
        <v>131.03760562784075</v>
      </c>
      <c r="U23" s="123">
        <v>74.23</v>
      </c>
      <c r="V23" s="125">
        <f>(ORÇAMENTO_EXECUTIVO!$F$22/CÁLCULO_MÉDIAS!V$4)*U23</f>
        <v>95.626228089845654</v>
      </c>
      <c r="W23" s="130">
        <v>142.84171607243701</v>
      </c>
      <c r="X23" s="125">
        <f>(ORÇAMENTO_EXECUTIVO!$F$22/CÁLCULO_MÉDIAS!X$4)*W23</f>
        <v>147.94330173587286</v>
      </c>
      <c r="Y23" s="130">
        <f>154.053109535665+12.4</f>
        <v>166.45310953566499</v>
      </c>
      <c r="Z23" s="125">
        <f>(ORÇAMENTO_EXECUTIVO!$F$22/CÁLCULO_MÉDIAS!Z$4)*Y23</f>
        <v>170.70088463527202</v>
      </c>
      <c r="AA23" s="133">
        <v>120.65759582482893</v>
      </c>
      <c r="AB23" s="125">
        <f>(ORÇAMENTO_EXECUTIVO!$F$22/CÁLCULO_MÉDIAS!AB$4)*AA23</f>
        <v>120.87193886034841</v>
      </c>
      <c r="AC23" s="130">
        <v>166.87011551562409</v>
      </c>
      <c r="AD23" s="124">
        <f>(ORÇAMENTO_EXECUTIVO!$F$22/CÁLCULO_MÉDIAS!AD$4)*AC23</f>
        <v>178.87090853093792</v>
      </c>
    </row>
    <row r="24" spans="2:30" ht="19.149999999999999" customHeight="1" thickBot="1" x14ac:dyDescent="0.3">
      <c r="B24" s="44" t="s">
        <v>15</v>
      </c>
      <c r="C24" s="45">
        <f>SUM(C8:C23)</f>
        <v>2694.7785062911166</v>
      </c>
      <c r="D24" s="64">
        <f t="shared" ref="D24" si="0">SUM(D8:D23)</f>
        <v>2763.5475011744893</v>
      </c>
      <c r="E24" s="45">
        <f>SUM(E8:E23)</f>
        <v>2901.9423402036145</v>
      </c>
      <c r="F24" s="64">
        <f t="shared" ref="F24:H24" si="1">SUM(F8:F23)</f>
        <v>2901.9423402036145</v>
      </c>
      <c r="G24" s="45">
        <f>SUM(G8:G23)</f>
        <v>2881.6169942438341</v>
      </c>
      <c r="H24" s="64">
        <f t="shared" si="1"/>
        <v>2885.7401379446064</v>
      </c>
      <c r="I24" s="45"/>
      <c r="J24" s="64"/>
      <c r="K24" s="45"/>
      <c r="L24" s="64"/>
      <c r="N24" s="53">
        <f>SUM(N8:N23)</f>
        <v>2663</v>
      </c>
      <c r="O24" s="53">
        <f>SUM(O8:O23)</f>
        <v>3312</v>
      </c>
      <c r="S24" s="134">
        <f>SUM(S8:S23)</f>
        <v>2289.5335920898342</v>
      </c>
      <c r="T24" s="134">
        <f>SUM(T8:T23)</f>
        <v>2397.644804537123</v>
      </c>
      <c r="U24" s="134">
        <f>SUM(U8:U23)</f>
        <v>2191.7199999999998</v>
      </c>
      <c r="V24" s="134">
        <f>SUM(V8:V23)</f>
        <v>2823.4664775572746</v>
      </c>
      <c r="W24" s="134">
        <f t="shared" ref="W24:Z24" si="2">SUM(W8:W23)</f>
        <v>3271.1160800998159</v>
      </c>
      <c r="X24" s="134">
        <f t="shared" si="2"/>
        <v>3387.9438483213148</v>
      </c>
      <c r="Y24" s="134">
        <f t="shared" si="2"/>
        <v>3302.6435364965955</v>
      </c>
      <c r="Z24" s="135">
        <f t="shared" si="2"/>
        <v>3386.9248516149673</v>
      </c>
      <c r="AA24" s="134">
        <f>SUM(AA8:AA23)</f>
        <v>3125.805891201589</v>
      </c>
      <c r="AB24" s="134">
        <f>SUM(AB8:AB23)</f>
        <v>3131.3587510823509</v>
      </c>
      <c r="AC24" s="134">
        <f>SUM(AC8:AC23)</f>
        <v>2722.313886565586</v>
      </c>
      <c r="AD24" s="134">
        <f t="shared" ref="AD24" si="3">SUM(AD8:AD23)</f>
        <v>2918.0944514344901</v>
      </c>
    </row>
    <row r="25" spans="2:30" x14ac:dyDescent="0.25"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</row>
    <row r="26" spans="2:30" x14ac:dyDescent="0.25">
      <c r="B26" s="23"/>
      <c r="C26" s="25"/>
      <c r="E26" s="25"/>
      <c r="G26" s="23"/>
      <c r="H26" s="25"/>
      <c r="I26" s="23"/>
      <c r="J26" s="25"/>
      <c r="K26" s="23"/>
      <c r="L26" s="25"/>
      <c r="M26" s="23"/>
      <c r="N26" s="25"/>
      <c r="P26" s="49"/>
      <c r="Q26" s="49"/>
      <c r="S26" s="136"/>
      <c r="T26" s="137"/>
      <c r="U26" s="138">
        <f>U24/V4</f>
        <v>1.0239002877751615</v>
      </c>
      <c r="V26" s="110"/>
      <c r="W26" s="110"/>
      <c r="X26" s="110"/>
      <c r="Y26" s="110"/>
      <c r="Z26" s="110"/>
      <c r="AA26" s="136"/>
      <c r="AB26" s="137"/>
      <c r="AC26" s="110"/>
      <c r="AD26" s="110"/>
    </row>
    <row r="27" spans="2:30" x14ac:dyDescent="0.25">
      <c r="C27" s="25"/>
      <c r="E27" s="25"/>
      <c r="H27" s="25"/>
      <c r="J27" s="25"/>
      <c r="L27" s="25"/>
      <c r="N27" s="25"/>
      <c r="P27" s="49"/>
      <c r="Q27" s="49"/>
      <c r="S27" s="110"/>
      <c r="T27" s="137"/>
      <c r="U27" s="110"/>
      <c r="V27" s="110"/>
      <c r="W27" s="110"/>
      <c r="X27" s="110"/>
      <c r="Y27" s="110"/>
      <c r="Z27" s="110"/>
      <c r="AA27" s="110"/>
      <c r="AB27" s="137"/>
      <c r="AC27" s="110"/>
      <c r="AD27" s="110"/>
    </row>
    <row r="28" spans="2:30" x14ac:dyDescent="0.25">
      <c r="P28" s="49"/>
      <c r="Q28" s="49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</row>
    <row r="29" spans="2:30" x14ac:dyDescent="0.25">
      <c r="P29" s="49"/>
      <c r="Q29" s="49"/>
    </row>
  </sheetData>
  <mergeCells count="7">
    <mergeCell ref="C6:D6"/>
    <mergeCell ref="S6:T6"/>
    <mergeCell ref="U6:V6"/>
    <mergeCell ref="G6:H6"/>
    <mergeCell ref="E6:F6"/>
    <mergeCell ref="I6:J6"/>
    <mergeCell ref="K6:L6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3"/>
  <sheetViews>
    <sheetView showGridLines="0" zoomScale="70" zoomScaleNormal="70" workbookViewId="0">
      <selection activeCell="D23" sqref="D23:D31"/>
    </sheetView>
  </sheetViews>
  <sheetFormatPr defaultColWidth="14.42578125" defaultRowHeight="15" customHeight="1" x14ac:dyDescent="0.25"/>
  <cols>
    <col min="1" max="1" width="59.140625" bestFit="1" customWidth="1"/>
    <col min="2" max="2" width="21.7109375" customWidth="1"/>
    <col min="3" max="3" width="18.42578125" style="28" bestFit="1" customWidth="1"/>
    <col min="4" max="4" width="21.7109375" style="28" customWidth="1"/>
    <col min="5" max="6" width="17.7109375" customWidth="1"/>
    <col min="7" max="7" width="29.7109375" customWidth="1"/>
    <col min="8" max="8" width="9.28515625" customWidth="1"/>
    <col min="9" max="10" width="19.28515625" customWidth="1"/>
    <col min="11" max="18" width="9.140625" customWidth="1"/>
  </cols>
  <sheetData>
    <row r="1" spans="1:18" ht="22.5" customHeight="1" thickBot="1" x14ac:dyDescent="0.3">
      <c r="A1" s="56" t="s">
        <v>0</v>
      </c>
      <c r="B1" s="56" t="s">
        <v>16</v>
      </c>
      <c r="C1" s="56" t="s">
        <v>17</v>
      </c>
      <c r="D1" s="56" t="s">
        <v>3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ht="22.5" customHeight="1" thickBot="1" x14ac:dyDescent="0.3">
      <c r="A2" s="315" t="s">
        <v>18</v>
      </c>
      <c r="B2" s="10">
        <f>ORÇAMENTO_EXECUTIVO!F3</f>
        <v>3411276.8600000003</v>
      </c>
      <c r="C2" s="11">
        <f t="shared" ref="C2:C4" si="0">B2/B$20</f>
        <v>0.13286035427742124</v>
      </c>
      <c r="D2" s="26">
        <f>B2/AREAS_PRIVATIVAS!G$2</f>
        <v>631.53549345004035</v>
      </c>
      <c r="E2" s="7"/>
      <c r="F2" s="31" t="s">
        <v>40</v>
      </c>
      <c r="G2" s="32">
        <v>5401.56</v>
      </c>
      <c r="H2" s="291"/>
      <c r="I2" s="33" t="s">
        <v>27</v>
      </c>
      <c r="J2" s="7"/>
      <c r="K2" s="7"/>
      <c r="L2" s="7"/>
      <c r="M2" s="7"/>
      <c r="N2" s="7"/>
      <c r="O2" s="7"/>
      <c r="P2" s="7"/>
      <c r="Q2" s="7"/>
      <c r="R2" s="7"/>
    </row>
    <row r="3" spans="1:18" ht="22.5" customHeight="1" x14ac:dyDescent="0.25">
      <c r="A3" s="316" t="s">
        <v>4</v>
      </c>
      <c r="B3" s="311">
        <f>ORÇAMENTO_EXECUTIVO!F4</f>
        <v>117226.62</v>
      </c>
      <c r="C3" s="317">
        <f t="shared" si="0"/>
        <v>4.5656717127159916E-3</v>
      </c>
      <c r="D3" s="318">
        <f>B3/AREAS_PRIVATIVAS!G$2</f>
        <v>21.702363761579985</v>
      </c>
      <c r="E3" s="7"/>
      <c r="F3" s="313"/>
      <c r="G3" s="97"/>
      <c r="H3" s="97"/>
      <c r="I3" s="314"/>
      <c r="J3" s="7"/>
      <c r="K3" s="7"/>
      <c r="L3" s="7"/>
      <c r="M3" s="7"/>
      <c r="N3" s="7"/>
      <c r="O3" s="7"/>
      <c r="P3" s="7"/>
      <c r="Q3" s="7"/>
      <c r="R3" s="7"/>
    </row>
    <row r="4" spans="1:18" ht="22.5" customHeight="1" x14ac:dyDescent="0.25">
      <c r="A4" s="315" t="s">
        <v>836</v>
      </c>
      <c r="B4" s="10">
        <f>ORÇAMENTO_EXECUTIVO!F5</f>
        <v>422085.8</v>
      </c>
      <c r="C4" s="11">
        <f t="shared" si="0"/>
        <v>1.6439143237253616E-2</v>
      </c>
      <c r="D4" s="26">
        <f>B4/AREAS_PRIVATIVAS!G$2</f>
        <v>78.141462836661987</v>
      </c>
      <c r="E4" s="7"/>
      <c r="F4" s="313"/>
      <c r="G4" s="97"/>
      <c r="H4" s="97"/>
      <c r="I4" s="314"/>
      <c r="J4" s="7"/>
      <c r="K4" s="7"/>
      <c r="L4" s="7"/>
      <c r="M4" s="7"/>
      <c r="N4" s="7"/>
      <c r="O4" s="7"/>
      <c r="P4" s="7"/>
      <c r="Q4" s="7"/>
      <c r="R4" s="7"/>
    </row>
    <row r="5" spans="1:18" ht="19.5" customHeight="1" x14ac:dyDescent="0.25">
      <c r="A5" s="8" t="s">
        <v>5</v>
      </c>
      <c r="B5" s="311">
        <f>ORÇAMENTO_EXECUTIVO!F6</f>
        <v>1278806.1499999999</v>
      </c>
      <c r="C5" s="9">
        <f t="shared" ref="C5:C19" si="1">B5/B$20</f>
        <v>4.9806170860357851E-2</v>
      </c>
      <c r="D5" s="27">
        <f>B5/AREAS_PRIVATIVAS!G$2</f>
        <v>236.74755996415846</v>
      </c>
      <c r="E5" s="7"/>
      <c r="F5" s="12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spans="1:18" ht="19.5" customHeight="1" x14ac:dyDescent="0.25">
      <c r="A6" s="2" t="s">
        <v>6</v>
      </c>
      <c r="B6" s="10">
        <f>ORÇAMENTO_EXECUTIVO!F7</f>
        <v>5154482.22</v>
      </c>
      <c r="C6" s="11">
        <f t="shared" si="1"/>
        <v>0.20075366555438967</v>
      </c>
      <c r="D6" s="26">
        <f>B6/AREAS_PRIVATIVAS!G$2</f>
        <v>954.2580698909203</v>
      </c>
      <c r="E6" s="7"/>
      <c r="F6" s="12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spans="1:18" ht="19.5" customHeight="1" x14ac:dyDescent="0.25">
      <c r="A7" s="8" t="s">
        <v>7</v>
      </c>
      <c r="B7" s="311">
        <f>ORÇAMENTO_EXECUTIVO!F8</f>
        <v>910813.58</v>
      </c>
      <c r="C7" s="9">
        <f t="shared" si="1"/>
        <v>3.54738181290528E-2</v>
      </c>
      <c r="D7" s="27">
        <f>B7/AREAS_PRIVATIVAS!G$2</f>
        <v>168.62046890157657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</row>
    <row r="8" spans="1:18" ht="19.5" customHeight="1" x14ac:dyDescent="0.25">
      <c r="A8" s="2" t="s">
        <v>8</v>
      </c>
      <c r="B8" s="10">
        <f>ORÇAMENTO_EXECUTIVO!F9</f>
        <v>2870107.33</v>
      </c>
      <c r="C8" s="11">
        <f t="shared" si="1"/>
        <v>0.11178320972693594</v>
      </c>
      <c r="D8" s="26">
        <f>B8/AREAS_PRIVATIVAS!G$2</f>
        <v>531.34785691540958</v>
      </c>
      <c r="E8" s="7"/>
      <c r="F8" s="14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spans="1:18" ht="19.5" customHeight="1" x14ac:dyDescent="0.25">
      <c r="A9" s="8" t="s">
        <v>23</v>
      </c>
      <c r="B9" s="311">
        <f>ORÇAMENTO_EXECUTIVO!F10</f>
        <v>1034381.32</v>
      </c>
      <c r="C9" s="9">
        <f t="shared" si="1"/>
        <v>4.0286459960082684E-2</v>
      </c>
      <c r="D9" s="27">
        <f>B9/AREAS_PRIVATIVAS!G$2</f>
        <v>191.49677500573907</v>
      </c>
      <c r="E9" s="67" t="e">
        <f>#REF!/AREAS_PRIVATIVAS!G2</f>
        <v>#REF!</v>
      </c>
      <c r="F9" s="15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</row>
    <row r="10" spans="1:18" ht="19.5" customHeight="1" x14ac:dyDescent="0.25">
      <c r="A10" s="2" t="s">
        <v>9</v>
      </c>
      <c r="B10" s="10">
        <f>ORÇAMENTO_EXECUTIVO!F11</f>
        <v>482376.84</v>
      </c>
      <c r="C10" s="11">
        <f t="shared" si="1"/>
        <v>1.8787322310046373E-2</v>
      </c>
      <c r="D10" s="26">
        <f>B10/AREAS_PRIVATIVAS!G$2</f>
        <v>89.303245729011621</v>
      </c>
      <c r="E10" s="7"/>
      <c r="F10" s="14"/>
      <c r="G10" s="29"/>
      <c r="H10" s="29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 spans="1:18" ht="19.5" customHeight="1" x14ac:dyDescent="0.25">
      <c r="A11" s="8" t="s">
        <v>19</v>
      </c>
      <c r="B11" s="311">
        <f>ORÇAMENTO_EXECUTIVO!F12</f>
        <v>1137180.2600000002</v>
      </c>
      <c r="C11" s="9">
        <f t="shared" si="1"/>
        <v>4.4290211091482616E-2</v>
      </c>
      <c r="D11" s="27">
        <f>B11/AREAS_PRIVATIVAS!G$2</f>
        <v>210.52811780300507</v>
      </c>
      <c r="E11" s="7"/>
      <c r="F11" s="13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 spans="1:18" ht="19.5" customHeight="1" x14ac:dyDescent="0.25">
      <c r="A12" s="2" t="s">
        <v>20</v>
      </c>
      <c r="B12" s="10">
        <f>ORÇAMENTO_EXECUTIVO!F13</f>
        <v>405459.35</v>
      </c>
      <c r="C12" s="11">
        <f t="shared" si="1"/>
        <v>1.5791586287749428E-2</v>
      </c>
      <c r="D12" s="26">
        <f>B12/AREAS_PRIVATIVAS!G$2</f>
        <v>75.063379838417035</v>
      </c>
      <c r="E12" s="7"/>
      <c r="F12" s="7"/>
      <c r="G12" s="30"/>
      <c r="H12" s="30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 spans="1:18" ht="19.5" customHeight="1" x14ac:dyDescent="0.25">
      <c r="A13" s="8" t="s">
        <v>10</v>
      </c>
      <c r="B13" s="311">
        <f>ORÇAMENTO_EXECUTIVO!F14</f>
        <v>1784513.6700000002</v>
      </c>
      <c r="C13" s="9">
        <f t="shared" si="1"/>
        <v>6.9502162427561257E-2</v>
      </c>
      <c r="D13" s="27">
        <f>B13/AREAS_PRIVATIVAS!G$2</f>
        <v>330.37005420656254</v>
      </c>
      <c r="E13" s="7"/>
      <c r="F13" s="7"/>
      <c r="G13" s="13"/>
      <c r="H13" s="13"/>
      <c r="I13" s="7"/>
      <c r="J13" s="7"/>
      <c r="K13" s="7"/>
      <c r="L13" s="7"/>
      <c r="M13" s="7"/>
      <c r="N13" s="7"/>
      <c r="O13" s="7"/>
      <c r="P13" s="7"/>
      <c r="Q13" s="7"/>
      <c r="R13" s="7"/>
    </row>
    <row r="14" spans="1:18" ht="19.5" customHeight="1" x14ac:dyDescent="0.25">
      <c r="A14" s="2" t="s">
        <v>11</v>
      </c>
      <c r="B14" s="10">
        <f>ORÇAMENTO_EXECUTIVO!F15</f>
        <v>995637.62</v>
      </c>
      <c r="C14" s="11">
        <f t="shared" si="1"/>
        <v>3.877749369341088E-2</v>
      </c>
      <c r="D14" s="26">
        <f>B14/AREAS_PRIVATIVAS!G$2</f>
        <v>184.32408785610082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</row>
    <row r="15" spans="1:18" ht="19.5" customHeight="1" x14ac:dyDescent="0.25">
      <c r="A15" s="8" t="s">
        <v>12</v>
      </c>
      <c r="B15" s="311">
        <f>ORÇAMENTO_EXECUTIVO!F16</f>
        <v>3047560.2</v>
      </c>
      <c r="C15" s="9">
        <f t="shared" si="1"/>
        <v>0.11869453711059051</v>
      </c>
      <c r="D15" s="27">
        <f>B15/AREAS_PRIVATIVAS!G$2</f>
        <v>564.20000888632171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</row>
    <row r="16" spans="1:18" ht="19.5" customHeight="1" x14ac:dyDescent="0.25">
      <c r="A16" s="2" t="s">
        <v>22</v>
      </c>
      <c r="B16" s="10">
        <f>ORÇAMENTO_EXECUTIVO!F17</f>
        <v>14404.72</v>
      </c>
      <c r="C16" s="11">
        <f t="shared" si="1"/>
        <v>5.6102634908004943E-4</v>
      </c>
      <c r="D16" s="26">
        <f>B16/AREAS_PRIVATIVAS!G$2</f>
        <v>2.6667703404201748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 spans="1:19" ht="19.5" customHeight="1" x14ac:dyDescent="0.25">
      <c r="A17" s="8" t="s">
        <v>13</v>
      </c>
      <c r="B17" s="311">
        <f>ORÇAMENTO_EXECUTIVO!F18</f>
        <v>420905.94</v>
      </c>
      <c r="C17" s="9">
        <f t="shared" si="1"/>
        <v>1.639319076138282E-2</v>
      </c>
      <c r="D17" s="27">
        <f>B17/AREAS_PRIVATIVAS!G$2</f>
        <v>77.923033345922278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</row>
    <row r="18" spans="1:19" ht="19.5" customHeight="1" x14ac:dyDescent="0.25">
      <c r="A18" s="2" t="s">
        <v>14</v>
      </c>
      <c r="B18" s="10">
        <f>ORÇAMENTO_EXECUTIVO!F19</f>
        <v>1488758.11</v>
      </c>
      <c r="C18" s="11">
        <f t="shared" si="1"/>
        <v>5.7983253205658607E-2</v>
      </c>
      <c r="D18" s="26">
        <f>B18/AREAS_PRIVATIVAS!G$2</f>
        <v>275.6163238027533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</row>
    <row r="19" spans="1:19" ht="19.5" customHeight="1" x14ac:dyDescent="0.25">
      <c r="A19" s="8" t="s">
        <v>21</v>
      </c>
      <c r="B19" s="311">
        <f>ORÇAMENTO_EXECUTIVO!F20</f>
        <v>699680.21938218456</v>
      </c>
      <c r="C19" s="9">
        <f t="shared" si="1"/>
        <v>2.7250723304827518E-2</v>
      </c>
      <c r="D19" s="27">
        <f>B19/AREAS_PRIVATIVAS!G$2</f>
        <v>129.5329903550427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</row>
    <row r="20" spans="1:19" ht="19.5" customHeight="1" x14ac:dyDescent="0.25">
      <c r="A20" s="55" t="s">
        <v>15</v>
      </c>
      <c r="B20" s="57">
        <f>SUM(B2:B19)</f>
        <v>25675656.809382189</v>
      </c>
      <c r="C20" s="58">
        <f t="shared" ref="C20" si="2">SUM(C2:C19)</f>
        <v>0.99999999999999978</v>
      </c>
      <c r="D20" s="59">
        <f>SUM(D2:D19)</f>
        <v>4753.3780628896429</v>
      </c>
      <c r="E20" s="13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</row>
    <row r="21" spans="1:19" ht="22.5" customHeight="1" thickBot="1" x14ac:dyDescent="0.3">
      <c r="A21" s="7"/>
      <c r="B21" s="7"/>
      <c r="C21" s="14"/>
      <c r="D21" s="14"/>
      <c r="E21" s="7"/>
      <c r="F21" s="13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</row>
    <row r="22" spans="1:19" ht="22.5" customHeight="1" x14ac:dyDescent="0.25">
      <c r="A22" s="55" t="s">
        <v>42</v>
      </c>
      <c r="B22" s="242" t="s">
        <v>65</v>
      </c>
      <c r="C22" s="56" t="s">
        <v>1075</v>
      </c>
      <c r="D22" s="243" t="s">
        <v>66</v>
      </c>
      <c r="E22" s="14"/>
      <c r="F22" s="7"/>
      <c r="G22" s="100" t="s">
        <v>42</v>
      </c>
      <c r="H22" s="292" t="s">
        <v>65</v>
      </c>
      <c r="I22" s="101" t="s">
        <v>1075</v>
      </c>
      <c r="J22" s="296" t="s">
        <v>66</v>
      </c>
      <c r="K22" s="14"/>
      <c r="L22" s="7"/>
      <c r="M22" s="7"/>
      <c r="N22" s="7"/>
      <c r="O22" s="7"/>
      <c r="P22" s="7"/>
      <c r="Q22" s="7"/>
      <c r="R22" s="7"/>
      <c r="S22" s="7"/>
    </row>
    <row r="23" spans="1:19" ht="19.149999999999999" customHeight="1" x14ac:dyDescent="0.25">
      <c r="A23" s="304" t="s">
        <v>67</v>
      </c>
      <c r="B23" s="293">
        <f>SUMPRODUCT(B24:B31,C24:C31)</f>
        <v>3352.7200000000007</v>
      </c>
      <c r="C23" s="298"/>
      <c r="D23" s="305">
        <f>B20/AREAS_PRIVATIVAS!B23</f>
        <v>7658.1572005363359</v>
      </c>
      <c r="E23" s="14"/>
      <c r="F23" s="7"/>
      <c r="G23" s="102" t="s">
        <v>67</v>
      </c>
      <c r="H23" s="293">
        <f>SUM(H24:H29)*13+SUM(K24:K29)</f>
        <v>9052.02</v>
      </c>
      <c r="I23" s="298"/>
      <c r="J23" s="297">
        <f>ORÇAMENTO_EXECUTIVO!K21/AREAS_PRIVATIVAS!H23</f>
        <v>0</v>
      </c>
      <c r="K23" s="14"/>
      <c r="L23" s="7"/>
      <c r="M23" s="7"/>
      <c r="N23" s="7"/>
      <c r="O23" s="7"/>
      <c r="P23" s="7"/>
      <c r="Q23" s="7"/>
      <c r="R23" s="7"/>
      <c r="S23" s="7"/>
    </row>
    <row r="24" spans="1:19" ht="19.5" customHeight="1" x14ac:dyDescent="0.25">
      <c r="A24" s="306" t="s">
        <v>1077</v>
      </c>
      <c r="B24" s="299">
        <v>98.78</v>
      </c>
      <c r="C24" s="299">
        <v>1</v>
      </c>
      <c r="D24" s="307">
        <f>B24*$D$23</f>
        <v>756472.76826897927</v>
      </c>
      <c r="E24" s="14">
        <v>98.78</v>
      </c>
      <c r="F24" s="15"/>
      <c r="G24" s="35" t="s">
        <v>1069</v>
      </c>
      <c r="H24" s="294">
        <v>72.290000000000006</v>
      </c>
      <c r="I24" s="299">
        <v>6</v>
      </c>
      <c r="J24" s="103">
        <f>H24*$D$23</f>
        <v>553608.18402677181</v>
      </c>
      <c r="K24" s="14">
        <v>86.29</v>
      </c>
      <c r="L24" s="15"/>
      <c r="M24" s="7"/>
      <c r="N24" s="7"/>
      <c r="O24" s="7"/>
      <c r="P24" s="7"/>
      <c r="Q24" s="7"/>
      <c r="R24" s="7"/>
      <c r="S24" s="7"/>
    </row>
    <row r="25" spans="1:19" ht="19.5" customHeight="1" x14ac:dyDescent="0.45">
      <c r="A25" s="304" t="s">
        <v>1076</v>
      </c>
      <c r="B25" s="298">
        <v>78.650000000000006</v>
      </c>
      <c r="C25" s="298">
        <v>6</v>
      </c>
      <c r="D25" s="308">
        <f>B25*$D$23</f>
        <v>602314.06382218283</v>
      </c>
      <c r="E25" s="14">
        <v>78.650000000000006</v>
      </c>
      <c r="F25" s="16"/>
      <c r="G25" s="102" t="s">
        <v>1070</v>
      </c>
      <c r="H25" s="293">
        <v>87.86</v>
      </c>
      <c r="I25" s="298">
        <f>6+6</f>
        <v>12</v>
      </c>
      <c r="J25" s="104">
        <f>H25*$D$23</f>
        <v>672845.69163912244</v>
      </c>
      <c r="K25" s="14">
        <v>99.74</v>
      </c>
      <c r="L25" s="16"/>
      <c r="M25" s="7"/>
      <c r="N25" s="7"/>
      <c r="O25" s="7"/>
      <c r="P25" s="7"/>
      <c r="Q25" s="7"/>
      <c r="R25" s="7"/>
      <c r="S25" s="7"/>
    </row>
    <row r="26" spans="1:19" ht="19.5" customHeight="1" x14ac:dyDescent="0.25">
      <c r="A26" s="306" t="s">
        <v>1079</v>
      </c>
      <c r="B26" s="299">
        <v>87.5</v>
      </c>
      <c r="C26" s="299">
        <v>21</v>
      </c>
      <c r="D26" s="307">
        <f t="shared" ref="D26:D30" si="3">B26*$D$23</f>
        <v>670088.75504692935</v>
      </c>
      <c r="E26" s="14">
        <v>87.5</v>
      </c>
      <c r="F26" s="17"/>
      <c r="G26" s="35" t="s">
        <v>1071</v>
      </c>
      <c r="H26" s="294">
        <v>96.26</v>
      </c>
      <c r="I26" s="299">
        <v>5</v>
      </c>
      <c r="J26" s="103">
        <f t="shared" ref="J26:J29" si="4">H26*$D$23</f>
        <v>737174.21212362777</v>
      </c>
      <c r="K26" s="14">
        <v>116.13</v>
      </c>
      <c r="L26" s="17"/>
      <c r="M26" s="7"/>
      <c r="N26" s="7"/>
      <c r="O26" s="7"/>
      <c r="P26" s="7"/>
      <c r="Q26" s="7"/>
      <c r="R26" s="7"/>
      <c r="S26" s="7"/>
    </row>
    <row r="27" spans="1:19" ht="19.5" customHeight="1" x14ac:dyDescent="0.45">
      <c r="A27" s="304" t="s">
        <v>1083</v>
      </c>
      <c r="B27" s="298">
        <v>92.95</v>
      </c>
      <c r="C27" s="298">
        <v>1</v>
      </c>
      <c r="D27" s="308">
        <f t="shared" si="3"/>
        <v>711825.71178985247</v>
      </c>
      <c r="E27" s="14">
        <v>92.95</v>
      </c>
      <c r="F27" s="107">
        <f>B23/ORÇAMENTO_EXECUTIVO!N3</f>
        <v>0.45465665334993188</v>
      </c>
      <c r="G27" s="102" t="s">
        <v>1072</v>
      </c>
      <c r="H27" s="293">
        <v>113.26</v>
      </c>
      <c r="I27" s="298">
        <v>4</v>
      </c>
      <c r="J27" s="104">
        <f t="shared" si="4"/>
        <v>867362.88453274546</v>
      </c>
      <c r="K27" s="14">
        <v>102.55</v>
      </c>
      <c r="L27" s="107" t="e">
        <f>H23/ORÇAMENTO_EXECUTIVO!S3</f>
        <v>#DIV/0!</v>
      </c>
      <c r="M27" s="7"/>
      <c r="N27" s="7"/>
      <c r="O27" s="7"/>
      <c r="P27" s="7"/>
      <c r="Q27" s="7"/>
      <c r="R27" s="7"/>
      <c r="S27" s="7"/>
    </row>
    <row r="28" spans="1:19" ht="19.5" customHeight="1" x14ac:dyDescent="0.25">
      <c r="A28" s="306" t="s">
        <v>1082</v>
      </c>
      <c r="B28" s="299">
        <v>115.03</v>
      </c>
      <c r="C28" s="299">
        <v>1</v>
      </c>
      <c r="D28" s="307">
        <f t="shared" ref="D28:D29" si="5">B28*$D$23</f>
        <v>880917.82277769479</v>
      </c>
      <c r="E28" s="14">
        <v>115.03</v>
      </c>
      <c r="F28" s="17"/>
      <c r="G28" s="35" t="s">
        <v>1073</v>
      </c>
      <c r="H28" s="294">
        <v>46.51</v>
      </c>
      <c r="I28" s="299">
        <v>6</v>
      </c>
      <c r="J28" s="103">
        <f t="shared" si="4"/>
        <v>356180.89139694499</v>
      </c>
      <c r="K28" s="14">
        <v>123.34</v>
      </c>
      <c r="L28" s="17"/>
      <c r="M28" s="7"/>
      <c r="N28" s="7"/>
      <c r="O28" s="7"/>
      <c r="P28" s="7"/>
      <c r="Q28" s="7"/>
      <c r="R28" s="7"/>
      <c r="S28" s="7"/>
    </row>
    <row r="29" spans="1:19" ht="19.5" customHeight="1" thickBot="1" x14ac:dyDescent="0.5">
      <c r="A29" s="304" t="s">
        <v>1080</v>
      </c>
      <c r="B29" s="298">
        <v>113.21</v>
      </c>
      <c r="C29" s="298">
        <v>3</v>
      </c>
      <c r="D29" s="308">
        <f t="shared" si="5"/>
        <v>866979.97667271853</v>
      </c>
      <c r="E29" s="14">
        <v>113.21</v>
      </c>
      <c r="F29" s="16"/>
      <c r="G29" s="105" t="s">
        <v>1074</v>
      </c>
      <c r="H29" s="295">
        <v>239.51</v>
      </c>
      <c r="I29" s="301">
        <v>1</v>
      </c>
      <c r="J29" s="106">
        <f t="shared" si="4"/>
        <v>1834205.2311004577</v>
      </c>
      <c r="K29" s="14"/>
      <c r="L29" s="16"/>
      <c r="M29" s="7"/>
      <c r="N29" s="7"/>
      <c r="O29" s="7"/>
      <c r="P29" s="7"/>
      <c r="Q29" s="7"/>
      <c r="R29" s="7"/>
      <c r="S29" s="7"/>
    </row>
    <row r="30" spans="1:19" ht="19.5" customHeight="1" x14ac:dyDescent="0.25">
      <c r="A30" s="306" t="s">
        <v>1078</v>
      </c>
      <c r="B30" s="299">
        <v>45.73</v>
      </c>
      <c r="C30" s="299">
        <v>6</v>
      </c>
      <c r="D30" s="307">
        <f t="shared" si="3"/>
        <v>350207.5287805266</v>
      </c>
      <c r="E30" s="14">
        <v>45.73</v>
      </c>
      <c r="F30" s="7"/>
      <c r="G30" s="7"/>
      <c r="H30" s="7"/>
      <c r="I30" s="302"/>
      <c r="J30" s="7"/>
      <c r="K30" s="7"/>
      <c r="L30" s="7"/>
      <c r="M30" s="7"/>
      <c r="N30" s="7"/>
      <c r="O30" s="7"/>
      <c r="P30" s="7"/>
      <c r="Q30" s="7"/>
      <c r="R30" s="7"/>
      <c r="S30" s="7"/>
    </row>
    <row r="31" spans="1:19" ht="19.5" customHeight="1" x14ac:dyDescent="0.25">
      <c r="A31" s="309" t="s">
        <v>1081</v>
      </c>
      <c r="B31" s="300">
        <v>122.55</v>
      </c>
      <c r="C31" s="300">
        <v>1</v>
      </c>
      <c r="D31" s="310">
        <f>B31*D23</f>
        <v>938507.16492572799</v>
      </c>
      <c r="E31" s="14">
        <v>122.55</v>
      </c>
      <c r="F31" s="7"/>
      <c r="J31" s="7"/>
      <c r="K31" s="7"/>
      <c r="L31" s="7"/>
      <c r="M31" s="7"/>
      <c r="N31" s="7"/>
      <c r="O31" s="7"/>
      <c r="P31" s="7"/>
      <c r="Q31" s="7"/>
      <c r="R31" s="7"/>
      <c r="S31" s="7"/>
    </row>
    <row r="32" spans="1:19" ht="19.5" customHeight="1" x14ac:dyDescent="0.25">
      <c r="A32" s="7"/>
      <c r="B32" s="7"/>
      <c r="C32" s="7"/>
      <c r="D32" s="14"/>
      <c r="E32" s="14"/>
      <c r="F32" s="7"/>
      <c r="J32" s="7"/>
      <c r="K32" s="7"/>
      <c r="L32" s="7"/>
      <c r="M32" s="7"/>
      <c r="N32" s="7"/>
      <c r="O32" s="7"/>
      <c r="P32" s="7"/>
      <c r="Q32" s="7"/>
      <c r="R32" s="7"/>
      <c r="S32" s="7"/>
    </row>
    <row r="33" spans="1:18" ht="19.5" customHeight="1" thickBot="1" x14ac:dyDescent="0.3">
      <c r="A33" s="7"/>
      <c r="B33" s="7"/>
      <c r="C33" s="14"/>
      <c r="D33" s="14"/>
      <c r="E33" s="7"/>
      <c r="I33" s="7"/>
      <c r="J33" s="7"/>
      <c r="K33" s="7"/>
      <c r="L33" s="7"/>
      <c r="M33" s="7"/>
      <c r="N33" s="7"/>
      <c r="O33" s="7"/>
      <c r="P33" s="7"/>
      <c r="Q33" s="7"/>
      <c r="R33" s="7"/>
    </row>
    <row r="34" spans="1:18" ht="19.5" customHeight="1" x14ac:dyDescent="0.25">
      <c r="A34" s="100" t="s">
        <v>70</v>
      </c>
      <c r="B34" s="101">
        <v>640.39</v>
      </c>
      <c r="C34" s="312"/>
      <c r="D34" s="14"/>
      <c r="E34" s="7"/>
      <c r="I34" s="7"/>
      <c r="J34" s="7"/>
      <c r="K34" s="7"/>
      <c r="L34" s="7"/>
      <c r="M34" s="7"/>
      <c r="N34" s="7"/>
      <c r="O34" s="7"/>
      <c r="P34" s="7"/>
      <c r="Q34" s="7"/>
      <c r="R34" s="7"/>
    </row>
    <row r="35" spans="1:18" ht="19.5" customHeight="1" x14ac:dyDescent="0.25">
      <c r="A35" s="7"/>
      <c r="B35" s="7"/>
      <c r="C35" s="14"/>
      <c r="D35" s="14"/>
      <c r="E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spans="1:18" ht="19.5" customHeight="1" x14ac:dyDescent="0.25">
      <c r="A36" s="7"/>
      <c r="B36" s="7"/>
      <c r="C36" s="14"/>
      <c r="D36" s="14"/>
      <c r="E36" s="7"/>
      <c r="I36" s="7"/>
      <c r="J36" s="7"/>
      <c r="K36" s="7"/>
      <c r="L36" s="7"/>
      <c r="M36" s="7"/>
      <c r="N36" s="7"/>
      <c r="O36" s="7"/>
      <c r="P36" s="7"/>
      <c r="Q36" s="7"/>
      <c r="R36" s="7"/>
    </row>
    <row r="37" spans="1:18" ht="19.5" customHeight="1" x14ac:dyDescent="0.25">
      <c r="A37" s="7"/>
      <c r="B37" s="7"/>
      <c r="C37" s="14"/>
      <c r="D37" s="14"/>
      <c r="E37" s="7"/>
      <c r="F37" s="303"/>
      <c r="G37" s="302"/>
      <c r="H37" s="302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 spans="1:18" ht="19.5" customHeight="1" x14ac:dyDescent="0.25">
      <c r="A38" s="7"/>
      <c r="B38" s="7"/>
      <c r="C38" s="14"/>
      <c r="D38" s="14"/>
      <c r="E38" s="7"/>
      <c r="F38" s="303"/>
      <c r="G38" s="302"/>
      <c r="H38" s="302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spans="1:18" ht="19.5" customHeight="1" x14ac:dyDescent="0.25">
      <c r="A39" s="7"/>
      <c r="B39" s="7"/>
      <c r="C39" s="14"/>
      <c r="D39" s="14"/>
      <c r="E39" s="7"/>
      <c r="F39" s="303"/>
      <c r="G39" s="302"/>
      <c r="H39" s="302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 spans="1:18" ht="19.5" customHeight="1" x14ac:dyDescent="0.25">
      <c r="A40" s="7"/>
      <c r="B40" s="7"/>
      <c r="C40" s="14"/>
      <c r="D40" s="14"/>
      <c r="E40" s="7"/>
      <c r="F40" s="303"/>
      <c r="G40" s="302"/>
      <c r="H40" s="302"/>
      <c r="I40" s="7"/>
      <c r="J40" s="7"/>
      <c r="K40" s="7"/>
      <c r="L40" s="7"/>
      <c r="M40" s="7"/>
      <c r="N40" s="7"/>
      <c r="O40" s="7"/>
      <c r="P40" s="7"/>
      <c r="Q40" s="7"/>
      <c r="R40" s="7"/>
    </row>
    <row r="41" spans="1:18" ht="19.5" customHeight="1" x14ac:dyDescent="0.25">
      <c r="A41" s="7"/>
      <c r="B41" s="7"/>
      <c r="C41" s="14"/>
      <c r="D41" s="14"/>
      <c r="E41" s="7"/>
      <c r="F41" s="303"/>
      <c r="G41" s="302"/>
      <c r="H41" s="302"/>
      <c r="I41" s="7"/>
      <c r="J41" s="7"/>
      <c r="K41" s="7"/>
      <c r="L41" s="7"/>
      <c r="M41" s="7"/>
      <c r="N41" s="7"/>
      <c r="O41" s="7"/>
      <c r="P41" s="7"/>
      <c r="Q41" s="7"/>
      <c r="R41" s="7"/>
    </row>
    <row r="42" spans="1:18" ht="19.5" customHeight="1" x14ac:dyDescent="0.25">
      <c r="A42" s="7"/>
      <c r="B42" s="7"/>
      <c r="C42" s="14"/>
      <c r="D42" s="14"/>
      <c r="E42" s="7"/>
      <c r="F42" s="303"/>
      <c r="G42" s="302"/>
      <c r="H42" s="302"/>
      <c r="I42" s="7"/>
      <c r="J42" s="7"/>
      <c r="K42" s="7"/>
      <c r="L42" s="7"/>
      <c r="M42" s="7"/>
      <c r="N42" s="7"/>
      <c r="O42" s="7"/>
      <c r="P42" s="7"/>
      <c r="Q42" s="7"/>
      <c r="R42" s="7"/>
    </row>
    <row r="43" spans="1:18" ht="19.5" customHeight="1" x14ac:dyDescent="0.25">
      <c r="A43" s="7"/>
      <c r="B43" s="7"/>
      <c r="C43" s="14"/>
      <c r="D43" s="14"/>
      <c r="E43" s="7"/>
      <c r="F43" s="303"/>
      <c r="G43" s="302"/>
      <c r="H43" s="302"/>
      <c r="I43" s="7"/>
      <c r="J43" s="7"/>
      <c r="K43" s="7"/>
      <c r="L43" s="7"/>
      <c r="M43" s="7"/>
      <c r="N43" s="7"/>
      <c r="O43" s="7"/>
      <c r="P43" s="7"/>
      <c r="Q43" s="7"/>
      <c r="R43" s="7"/>
    </row>
    <row r="44" spans="1:18" ht="19.5" customHeight="1" x14ac:dyDescent="0.25">
      <c r="A44" s="7"/>
      <c r="B44" s="7"/>
      <c r="C44" s="14"/>
      <c r="D44" s="14"/>
      <c r="E44" s="7"/>
      <c r="F44" s="303"/>
      <c r="G44" s="302"/>
      <c r="H44" s="302"/>
      <c r="I44" s="7"/>
      <c r="J44" s="7"/>
      <c r="K44" s="7"/>
      <c r="L44" s="7"/>
      <c r="M44" s="7"/>
      <c r="N44" s="7"/>
      <c r="O44" s="7"/>
      <c r="P44" s="7"/>
      <c r="Q44" s="7"/>
      <c r="R44" s="7"/>
    </row>
    <row r="45" spans="1:18" ht="19.5" customHeight="1" x14ac:dyDescent="0.25">
      <c r="A45" s="7"/>
      <c r="B45" s="7"/>
      <c r="C45" s="14"/>
      <c r="D45" s="14"/>
      <c r="E45" s="7"/>
      <c r="F45" s="303"/>
      <c r="G45" s="302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</row>
    <row r="46" spans="1:18" ht="19.5" customHeight="1" x14ac:dyDescent="0.25">
      <c r="A46" s="7"/>
      <c r="B46" s="7"/>
      <c r="C46" s="14"/>
      <c r="D46" s="14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</row>
    <row r="47" spans="1:18" ht="19.5" customHeight="1" x14ac:dyDescent="0.25">
      <c r="A47" s="7"/>
      <c r="B47" s="7"/>
      <c r="C47" s="14"/>
      <c r="D47" s="14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</row>
    <row r="48" spans="1:18" ht="19.5" customHeight="1" x14ac:dyDescent="0.25">
      <c r="A48" s="7"/>
      <c r="B48" s="7"/>
      <c r="C48" s="14"/>
      <c r="D48" s="14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</row>
    <row r="49" spans="1:18" ht="19.5" customHeight="1" x14ac:dyDescent="0.25">
      <c r="A49" s="7"/>
      <c r="B49" s="7"/>
      <c r="C49" s="14"/>
      <c r="D49" s="14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</row>
    <row r="50" spans="1:18" ht="19.5" customHeight="1" x14ac:dyDescent="0.25">
      <c r="A50" s="7"/>
      <c r="B50" s="7"/>
      <c r="C50" s="14"/>
      <c r="D50" s="14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 spans="1:18" ht="19.5" customHeight="1" x14ac:dyDescent="0.25">
      <c r="A51" s="7"/>
      <c r="B51" s="7"/>
      <c r="C51" s="14"/>
      <c r="D51" s="14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</row>
    <row r="52" spans="1:18" ht="19.5" customHeight="1" x14ac:dyDescent="0.25">
      <c r="A52" s="7"/>
      <c r="B52" s="7"/>
      <c r="C52" s="14"/>
      <c r="D52" s="14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</row>
    <row r="53" spans="1:18" ht="19.5" customHeight="1" x14ac:dyDescent="0.25">
      <c r="A53" s="7"/>
      <c r="B53" s="7"/>
      <c r="C53" s="14"/>
      <c r="D53" s="14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 spans="1:18" ht="19.5" customHeight="1" x14ac:dyDescent="0.25">
      <c r="A54" s="7"/>
      <c r="B54" s="7"/>
      <c r="C54" s="14"/>
      <c r="D54" s="14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</row>
    <row r="55" spans="1:18" ht="19.5" customHeight="1" x14ac:dyDescent="0.25">
      <c r="A55" s="7"/>
      <c r="B55" s="7"/>
      <c r="C55" s="14"/>
      <c r="D55" s="14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</row>
    <row r="56" spans="1:18" ht="19.5" customHeight="1" x14ac:dyDescent="0.25">
      <c r="A56" s="7"/>
      <c r="B56" s="7"/>
      <c r="C56" s="14"/>
      <c r="D56" s="14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</row>
    <row r="57" spans="1:18" ht="19.5" customHeight="1" x14ac:dyDescent="0.25">
      <c r="A57" s="7"/>
      <c r="B57" s="7"/>
      <c r="C57" s="14"/>
      <c r="D57" s="14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</row>
    <row r="58" spans="1:18" ht="19.5" customHeight="1" x14ac:dyDescent="0.25">
      <c r="A58" s="7"/>
      <c r="B58" s="7"/>
      <c r="C58" s="14"/>
      <c r="D58" s="14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</row>
    <row r="59" spans="1:18" ht="19.5" customHeight="1" x14ac:dyDescent="0.25">
      <c r="A59" s="7"/>
      <c r="B59" s="7"/>
      <c r="C59" s="14"/>
      <c r="D59" s="14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</row>
    <row r="60" spans="1:18" ht="19.5" customHeight="1" x14ac:dyDescent="0.25">
      <c r="A60" s="7"/>
      <c r="B60" s="7"/>
      <c r="C60" s="14"/>
      <c r="D60" s="14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</row>
    <row r="61" spans="1:18" ht="19.5" customHeight="1" x14ac:dyDescent="0.25">
      <c r="A61" s="7"/>
      <c r="B61" s="7"/>
      <c r="C61" s="14"/>
      <c r="D61" s="14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</row>
    <row r="62" spans="1:18" ht="19.5" customHeight="1" x14ac:dyDescent="0.25">
      <c r="A62" s="7"/>
      <c r="B62" s="7"/>
      <c r="C62" s="14"/>
      <c r="D62" s="14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</row>
    <row r="63" spans="1:18" ht="19.5" customHeight="1" x14ac:dyDescent="0.25">
      <c r="A63" s="7"/>
      <c r="B63" s="7"/>
      <c r="C63" s="14"/>
      <c r="D63" s="14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</row>
    <row r="64" spans="1:18" ht="19.5" customHeight="1" x14ac:dyDescent="0.25">
      <c r="A64" s="7"/>
      <c r="B64" s="7"/>
      <c r="C64" s="14"/>
      <c r="D64" s="14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</row>
    <row r="65" spans="1:18" ht="19.5" customHeight="1" x14ac:dyDescent="0.25">
      <c r="A65" s="7"/>
      <c r="B65" s="7"/>
      <c r="C65" s="14"/>
      <c r="D65" s="14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</row>
    <row r="66" spans="1:18" ht="19.5" customHeight="1" x14ac:dyDescent="0.25">
      <c r="A66" s="7"/>
      <c r="B66" s="7"/>
      <c r="C66" s="14"/>
      <c r="D66" s="14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</row>
    <row r="67" spans="1:18" ht="19.5" customHeight="1" x14ac:dyDescent="0.25">
      <c r="A67" s="7"/>
      <c r="B67" s="7"/>
      <c r="C67" s="14"/>
      <c r="D67" s="14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</row>
    <row r="68" spans="1:18" ht="19.5" customHeight="1" x14ac:dyDescent="0.25">
      <c r="A68" s="7"/>
      <c r="B68" s="7"/>
      <c r="C68" s="14"/>
      <c r="D68" s="14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</row>
    <row r="69" spans="1:18" ht="19.5" customHeight="1" x14ac:dyDescent="0.25">
      <c r="A69" s="7"/>
      <c r="B69" s="7"/>
      <c r="C69" s="14"/>
      <c r="D69" s="14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</row>
    <row r="70" spans="1:18" ht="19.5" customHeight="1" x14ac:dyDescent="0.25">
      <c r="A70" s="7"/>
      <c r="B70" s="7"/>
      <c r="C70" s="14"/>
      <c r="D70" s="14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</row>
    <row r="71" spans="1:18" ht="19.5" customHeight="1" x14ac:dyDescent="0.25">
      <c r="A71" s="7"/>
      <c r="B71" s="7"/>
      <c r="C71" s="14"/>
      <c r="D71" s="14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</row>
    <row r="72" spans="1:18" ht="19.5" customHeight="1" x14ac:dyDescent="0.25">
      <c r="A72" s="7"/>
      <c r="B72" s="7"/>
      <c r="C72" s="14"/>
      <c r="D72" s="14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</row>
    <row r="73" spans="1:18" ht="19.5" customHeight="1" x14ac:dyDescent="0.25">
      <c r="A73" s="7"/>
      <c r="B73" s="7"/>
      <c r="C73" s="14"/>
      <c r="D73" s="14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</row>
    <row r="74" spans="1:18" ht="19.5" customHeight="1" x14ac:dyDescent="0.25">
      <c r="A74" s="7"/>
      <c r="B74" s="7"/>
      <c r="C74" s="14"/>
      <c r="D74" s="14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</row>
    <row r="75" spans="1:18" ht="19.5" customHeight="1" x14ac:dyDescent="0.25">
      <c r="A75" s="7"/>
      <c r="B75" s="7"/>
      <c r="C75" s="14"/>
      <c r="D75" s="14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</row>
    <row r="76" spans="1:18" ht="19.5" customHeight="1" x14ac:dyDescent="0.25">
      <c r="A76" s="7"/>
      <c r="B76" s="7"/>
      <c r="C76" s="14"/>
      <c r="D76" s="14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</row>
    <row r="77" spans="1:18" ht="19.5" customHeight="1" x14ac:dyDescent="0.25">
      <c r="A77" s="7"/>
      <c r="B77" s="7"/>
      <c r="C77" s="14"/>
      <c r="D77" s="14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</row>
    <row r="78" spans="1:18" ht="19.5" customHeight="1" x14ac:dyDescent="0.25">
      <c r="A78" s="7"/>
      <c r="B78" s="7"/>
      <c r="C78" s="14"/>
      <c r="D78" s="14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</row>
    <row r="79" spans="1:18" ht="19.5" customHeight="1" x14ac:dyDescent="0.25">
      <c r="A79" s="7"/>
      <c r="B79" s="7"/>
      <c r="C79" s="14"/>
      <c r="D79" s="14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</row>
    <row r="80" spans="1:18" ht="19.5" customHeight="1" x14ac:dyDescent="0.25">
      <c r="A80" s="7"/>
      <c r="B80" s="7"/>
      <c r="C80" s="14"/>
      <c r="D80" s="14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</row>
    <row r="81" spans="1:18" ht="19.5" customHeight="1" x14ac:dyDescent="0.25">
      <c r="A81" s="7"/>
      <c r="B81" s="7"/>
      <c r="C81" s="14"/>
      <c r="D81" s="14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</row>
    <row r="82" spans="1:18" ht="19.5" customHeight="1" x14ac:dyDescent="0.25">
      <c r="A82" s="7"/>
      <c r="B82" s="7"/>
      <c r="C82" s="14"/>
      <c r="D82" s="14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</row>
    <row r="83" spans="1:18" ht="19.5" customHeight="1" x14ac:dyDescent="0.25">
      <c r="A83" s="7"/>
      <c r="B83" s="7"/>
      <c r="C83" s="14"/>
      <c r="D83" s="14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</row>
    <row r="84" spans="1:18" ht="19.5" customHeight="1" x14ac:dyDescent="0.25">
      <c r="A84" s="7"/>
      <c r="B84" s="7"/>
      <c r="C84" s="14"/>
      <c r="D84" s="14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</row>
    <row r="85" spans="1:18" ht="19.5" customHeight="1" x14ac:dyDescent="0.25">
      <c r="A85" s="7"/>
      <c r="B85" s="7"/>
      <c r="C85" s="14"/>
      <c r="D85" s="14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</row>
    <row r="86" spans="1:18" ht="19.5" customHeight="1" x14ac:dyDescent="0.25">
      <c r="A86" s="7"/>
      <c r="B86" s="7"/>
      <c r="C86" s="14"/>
      <c r="D86" s="14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</row>
    <row r="87" spans="1:18" ht="19.5" customHeight="1" x14ac:dyDescent="0.25">
      <c r="A87" s="7"/>
      <c r="B87" s="7"/>
      <c r="C87" s="14"/>
      <c r="D87" s="14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</row>
    <row r="88" spans="1:18" ht="19.5" customHeight="1" x14ac:dyDescent="0.25">
      <c r="A88" s="7"/>
      <c r="B88" s="7"/>
      <c r="C88" s="14"/>
      <c r="D88" s="14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</row>
    <row r="89" spans="1:18" ht="19.5" customHeight="1" x14ac:dyDescent="0.25">
      <c r="A89" s="7"/>
      <c r="B89" s="7"/>
      <c r="C89" s="14"/>
      <c r="D89" s="14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</row>
    <row r="90" spans="1:18" ht="19.5" customHeight="1" x14ac:dyDescent="0.25">
      <c r="A90" s="7"/>
      <c r="B90" s="7"/>
      <c r="C90" s="14"/>
      <c r="D90" s="14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</row>
    <row r="91" spans="1:18" ht="19.5" customHeight="1" x14ac:dyDescent="0.25">
      <c r="A91" s="7"/>
      <c r="B91" s="7"/>
      <c r="C91" s="14"/>
      <c r="D91" s="14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</row>
    <row r="92" spans="1:18" ht="19.5" customHeight="1" x14ac:dyDescent="0.25">
      <c r="A92" s="7"/>
      <c r="B92" s="7"/>
      <c r="C92" s="14"/>
      <c r="D92" s="14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</row>
    <row r="93" spans="1:18" ht="19.5" customHeight="1" x14ac:dyDescent="0.25">
      <c r="A93" s="7"/>
      <c r="B93" s="7"/>
      <c r="C93" s="14"/>
      <c r="D93" s="14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</row>
    <row r="94" spans="1:18" ht="19.5" customHeight="1" x14ac:dyDescent="0.25">
      <c r="A94" s="7"/>
      <c r="B94" s="7"/>
      <c r="C94" s="14"/>
      <c r="D94" s="14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</row>
    <row r="95" spans="1:18" ht="19.5" customHeight="1" x14ac:dyDescent="0.25">
      <c r="A95" s="7"/>
      <c r="B95" s="7"/>
      <c r="C95" s="14"/>
      <c r="D95" s="14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</row>
    <row r="96" spans="1:18" ht="19.5" customHeight="1" x14ac:dyDescent="0.25">
      <c r="A96" s="7"/>
      <c r="B96" s="7"/>
      <c r="C96" s="14"/>
      <c r="D96" s="14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</row>
    <row r="97" spans="1:18" ht="19.5" customHeight="1" x14ac:dyDescent="0.25">
      <c r="A97" s="7"/>
      <c r="B97" s="7"/>
      <c r="C97" s="14"/>
      <c r="D97" s="14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</row>
    <row r="98" spans="1:18" ht="19.5" customHeight="1" x14ac:dyDescent="0.25">
      <c r="A98" s="7"/>
      <c r="B98" s="7"/>
      <c r="C98" s="14"/>
      <c r="D98" s="14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</row>
    <row r="99" spans="1:18" ht="19.5" customHeight="1" x14ac:dyDescent="0.25">
      <c r="A99" s="7"/>
      <c r="B99" s="7"/>
      <c r="C99" s="14"/>
      <c r="D99" s="14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</row>
    <row r="100" spans="1:18" ht="19.5" customHeight="1" x14ac:dyDescent="0.25">
      <c r="A100" s="7"/>
      <c r="B100" s="7"/>
      <c r="C100" s="14"/>
      <c r="D100" s="14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</row>
    <row r="101" spans="1:18" ht="19.5" customHeight="1" x14ac:dyDescent="0.25">
      <c r="A101" s="7"/>
      <c r="B101" s="7"/>
      <c r="C101" s="14"/>
      <c r="D101" s="14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</row>
    <row r="102" spans="1:18" ht="19.5" customHeight="1" x14ac:dyDescent="0.25">
      <c r="A102" s="7"/>
      <c r="B102" s="7"/>
      <c r="C102" s="14"/>
      <c r="D102" s="14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</row>
    <row r="103" spans="1:18" ht="19.5" customHeight="1" x14ac:dyDescent="0.25">
      <c r="A103" s="7"/>
      <c r="B103" s="7"/>
      <c r="C103" s="14"/>
      <c r="D103" s="14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</row>
    <row r="104" spans="1:18" ht="19.5" customHeight="1" x14ac:dyDescent="0.25">
      <c r="A104" s="7"/>
      <c r="B104" s="7"/>
      <c r="C104" s="14"/>
      <c r="D104" s="14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</row>
    <row r="105" spans="1:18" ht="19.5" customHeight="1" x14ac:dyDescent="0.25">
      <c r="A105" s="7"/>
      <c r="B105" s="7"/>
      <c r="C105" s="14"/>
      <c r="D105" s="14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</row>
    <row r="106" spans="1:18" ht="19.5" customHeight="1" x14ac:dyDescent="0.25">
      <c r="A106" s="7"/>
      <c r="B106" s="7"/>
      <c r="C106" s="14"/>
      <c r="D106" s="14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</row>
    <row r="107" spans="1:18" ht="19.5" customHeight="1" x14ac:dyDescent="0.25">
      <c r="A107" s="7"/>
      <c r="B107" s="7"/>
      <c r="C107" s="14"/>
      <c r="D107" s="14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</row>
    <row r="108" spans="1:18" ht="19.5" customHeight="1" x14ac:dyDescent="0.25">
      <c r="A108" s="7"/>
      <c r="B108" s="7"/>
      <c r="C108" s="14"/>
      <c r="D108" s="14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</row>
    <row r="109" spans="1:18" ht="19.5" customHeight="1" x14ac:dyDescent="0.25">
      <c r="A109" s="7"/>
      <c r="B109" s="7"/>
      <c r="C109" s="14"/>
      <c r="D109" s="14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</row>
    <row r="110" spans="1:18" ht="19.5" customHeight="1" x14ac:dyDescent="0.25">
      <c r="A110" s="7"/>
      <c r="B110" s="7"/>
      <c r="C110" s="14"/>
      <c r="D110" s="14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</row>
    <row r="111" spans="1:18" ht="19.5" customHeight="1" x14ac:dyDescent="0.25">
      <c r="A111" s="7"/>
      <c r="B111" s="7"/>
      <c r="C111" s="14"/>
      <c r="D111" s="14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</row>
    <row r="112" spans="1:18" ht="19.5" customHeight="1" x14ac:dyDescent="0.25">
      <c r="A112" s="7"/>
      <c r="B112" s="7"/>
      <c r="C112" s="14"/>
      <c r="D112" s="14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</row>
    <row r="113" spans="1:18" ht="19.5" customHeight="1" x14ac:dyDescent="0.25">
      <c r="A113" s="7"/>
      <c r="B113" s="7"/>
      <c r="C113" s="14"/>
      <c r="D113" s="14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</row>
    <row r="114" spans="1:18" ht="19.5" customHeight="1" x14ac:dyDescent="0.25">
      <c r="A114" s="7"/>
      <c r="B114" s="7"/>
      <c r="C114" s="14"/>
      <c r="D114" s="14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</row>
    <row r="115" spans="1:18" ht="19.5" customHeight="1" x14ac:dyDescent="0.25">
      <c r="A115" s="7"/>
      <c r="B115" s="7"/>
      <c r="C115" s="14"/>
      <c r="D115" s="14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</row>
    <row r="116" spans="1:18" ht="19.5" customHeight="1" x14ac:dyDescent="0.25">
      <c r="A116" s="7"/>
      <c r="B116" s="7"/>
      <c r="C116" s="14"/>
      <c r="D116" s="14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</row>
    <row r="117" spans="1:18" ht="19.5" customHeight="1" x14ac:dyDescent="0.25">
      <c r="A117" s="7"/>
      <c r="B117" s="7"/>
      <c r="C117" s="14"/>
      <c r="D117" s="14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</row>
    <row r="118" spans="1:18" ht="19.5" customHeight="1" x14ac:dyDescent="0.25">
      <c r="A118" s="7"/>
      <c r="B118" s="7"/>
      <c r="C118" s="14"/>
      <c r="D118" s="14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</row>
    <row r="119" spans="1:18" ht="19.5" customHeight="1" x14ac:dyDescent="0.25">
      <c r="A119" s="7"/>
      <c r="B119" s="7"/>
      <c r="C119" s="14"/>
      <c r="D119" s="14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</row>
    <row r="120" spans="1:18" ht="19.5" customHeight="1" x14ac:dyDescent="0.25">
      <c r="A120" s="7"/>
      <c r="B120" s="7"/>
      <c r="C120" s="14"/>
      <c r="D120" s="14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</row>
    <row r="121" spans="1:18" ht="19.5" customHeight="1" x14ac:dyDescent="0.25">
      <c r="A121" s="7"/>
      <c r="B121" s="7"/>
      <c r="C121" s="14"/>
      <c r="D121" s="14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</row>
    <row r="122" spans="1:18" ht="19.5" customHeight="1" x14ac:dyDescent="0.25">
      <c r="A122" s="7"/>
      <c r="B122" s="7"/>
      <c r="C122" s="14"/>
      <c r="D122" s="14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</row>
    <row r="123" spans="1:18" ht="19.5" customHeight="1" x14ac:dyDescent="0.25">
      <c r="A123" s="7"/>
      <c r="B123" s="7"/>
      <c r="C123" s="14"/>
      <c r="D123" s="14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</row>
    <row r="124" spans="1:18" ht="19.5" customHeight="1" x14ac:dyDescent="0.25">
      <c r="A124" s="7"/>
      <c r="B124" s="7"/>
      <c r="C124" s="14"/>
      <c r="D124" s="14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</row>
    <row r="125" spans="1:18" ht="19.5" customHeight="1" x14ac:dyDescent="0.25">
      <c r="A125" s="7"/>
      <c r="B125" s="7"/>
      <c r="C125" s="14"/>
      <c r="D125" s="14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</row>
    <row r="126" spans="1:18" ht="19.5" customHeight="1" x14ac:dyDescent="0.25">
      <c r="A126" s="7"/>
      <c r="B126" s="7"/>
      <c r="C126" s="14"/>
      <c r="D126" s="14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</row>
    <row r="127" spans="1:18" ht="19.5" customHeight="1" x14ac:dyDescent="0.25">
      <c r="A127" s="7"/>
      <c r="B127" s="7"/>
      <c r="C127" s="14"/>
      <c r="D127" s="14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</row>
    <row r="128" spans="1:18" ht="19.5" customHeight="1" x14ac:dyDescent="0.25">
      <c r="A128" s="7"/>
      <c r="B128" s="7"/>
      <c r="C128" s="14"/>
      <c r="D128" s="14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</row>
    <row r="129" spans="1:18" ht="19.5" customHeight="1" x14ac:dyDescent="0.25">
      <c r="A129" s="7"/>
      <c r="B129" s="7"/>
      <c r="C129" s="14"/>
      <c r="D129" s="14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</row>
    <row r="130" spans="1:18" ht="19.5" customHeight="1" x14ac:dyDescent="0.25">
      <c r="A130" s="7"/>
      <c r="B130" s="7"/>
      <c r="C130" s="14"/>
      <c r="D130" s="14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</row>
    <row r="131" spans="1:18" ht="19.5" customHeight="1" x14ac:dyDescent="0.25">
      <c r="A131" s="7"/>
      <c r="B131" s="7"/>
      <c r="C131" s="14"/>
      <c r="D131" s="14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</row>
    <row r="132" spans="1:18" ht="19.5" customHeight="1" x14ac:dyDescent="0.25">
      <c r="A132" s="7"/>
      <c r="B132" s="7"/>
      <c r="C132" s="14"/>
      <c r="D132" s="14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</row>
    <row r="133" spans="1:18" ht="19.5" customHeight="1" x14ac:dyDescent="0.25">
      <c r="A133" s="7"/>
      <c r="B133" s="7"/>
      <c r="C133" s="14"/>
      <c r="D133" s="14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</row>
    <row r="134" spans="1:18" ht="19.5" customHeight="1" x14ac:dyDescent="0.25">
      <c r="A134" s="7"/>
      <c r="B134" s="7"/>
      <c r="C134" s="14"/>
      <c r="D134" s="14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</row>
    <row r="135" spans="1:18" ht="19.5" customHeight="1" x14ac:dyDescent="0.25">
      <c r="A135" s="7"/>
      <c r="B135" s="7"/>
      <c r="C135" s="14"/>
      <c r="D135" s="14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</row>
    <row r="136" spans="1:18" ht="19.5" customHeight="1" x14ac:dyDescent="0.25">
      <c r="A136" s="7"/>
      <c r="B136" s="7"/>
      <c r="C136" s="14"/>
      <c r="D136" s="14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</row>
    <row r="137" spans="1:18" ht="19.5" customHeight="1" x14ac:dyDescent="0.25">
      <c r="A137" s="7"/>
      <c r="B137" s="7"/>
      <c r="C137" s="14"/>
      <c r="D137" s="14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</row>
    <row r="138" spans="1:18" ht="19.5" customHeight="1" x14ac:dyDescent="0.25">
      <c r="A138" s="7"/>
      <c r="B138" s="7"/>
      <c r="C138" s="14"/>
      <c r="D138" s="14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</row>
    <row r="139" spans="1:18" ht="19.5" customHeight="1" x14ac:dyDescent="0.25">
      <c r="A139" s="7"/>
      <c r="B139" s="7"/>
      <c r="C139" s="14"/>
      <c r="D139" s="14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</row>
    <row r="140" spans="1:18" ht="19.5" customHeight="1" x14ac:dyDescent="0.25">
      <c r="A140" s="7"/>
      <c r="B140" s="7"/>
      <c r="C140" s="14"/>
      <c r="D140" s="14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</row>
    <row r="141" spans="1:18" ht="19.5" customHeight="1" x14ac:dyDescent="0.25">
      <c r="A141" s="7"/>
      <c r="B141" s="7"/>
      <c r="C141" s="14"/>
      <c r="D141" s="14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</row>
    <row r="142" spans="1:18" ht="19.5" customHeight="1" x14ac:dyDescent="0.25">
      <c r="A142" s="7"/>
      <c r="B142" s="7"/>
      <c r="C142" s="14"/>
      <c r="D142" s="14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</row>
    <row r="143" spans="1:18" ht="19.5" customHeight="1" x14ac:dyDescent="0.25">
      <c r="A143" s="7"/>
      <c r="B143" s="7"/>
      <c r="C143" s="14"/>
      <c r="D143" s="14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</row>
    <row r="144" spans="1:18" ht="19.5" customHeight="1" x14ac:dyDescent="0.25">
      <c r="A144" s="7"/>
      <c r="B144" s="7"/>
      <c r="C144" s="14"/>
      <c r="D144" s="14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</row>
    <row r="145" spans="1:18" ht="19.5" customHeight="1" x14ac:dyDescent="0.25">
      <c r="A145" s="7"/>
      <c r="B145" s="7"/>
      <c r="C145" s="14"/>
      <c r="D145" s="14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</row>
    <row r="146" spans="1:18" ht="19.5" customHeight="1" x14ac:dyDescent="0.25">
      <c r="A146" s="7"/>
      <c r="B146" s="7"/>
      <c r="C146" s="14"/>
      <c r="D146" s="14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</row>
    <row r="147" spans="1:18" ht="19.5" customHeight="1" x14ac:dyDescent="0.25">
      <c r="A147" s="7"/>
      <c r="B147" s="7"/>
      <c r="C147" s="14"/>
      <c r="D147" s="14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</row>
    <row r="148" spans="1:18" ht="19.5" customHeight="1" x14ac:dyDescent="0.25">
      <c r="A148" s="7"/>
      <c r="B148" s="7"/>
      <c r="C148" s="14"/>
      <c r="D148" s="14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</row>
    <row r="149" spans="1:18" ht="19.5" customHeight="1" x14ac:dyDescent="0.25">
      <c r="A149" s="7"/>
      <c r="B149" s="7"/>
      <c r="C149" s="14"/>
      <c r="D149" s="14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</row>
    <row r="150" spans="1:18" ht="19.5" customHeight="1" x14ac:dyDescent="0.25">
      <c r="A150" s="7"/>
      <c r="B150" s="7"/>
      <c r="C150" s="14"/>
      <c r="D150" s="14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</row>
    <row r="151" spans="1:18" ht="19.5" customHeight="1" x14ac:dyDescent="0.25">
      <c r="A151" s="7"/>
      <c r="B151" s="7"/>
      <c r="C151" s="14"/>
      <c r="D151" s="14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</row>
    <row r="152" spans="1:18" ht="19.5" customHeight="1" x14ac:dyDescent="0.25">
      <c r="A152" s="7"/>
      <c r="B152" s="7"/>
      <c r="C152" s="14"/>
      <c r="D152" s="14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</row>
    <row r="153" spans="1:18" ht="19.5" customHeight="1" x14ac:dyDescent="0.25">
      <c r="A153" s="7"/>
      <c r="B153" s="7"/>
      <c r="C153" s="14"/>
      <c r="D153" s="14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</row>
    <row r="154" spans="1:18" ht="19.5" customHeight="1" x14ac:dyDescent="0.25">
      <c r="A154" s="7"/>
      <c r="B154" s="7"/>
      <c r="C154" s="14"/>
      <c r="D154" s="14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</row>
    <row r="155" spans="1:18" ht="19.5" customHeight="1" x14ac:dyDescent="0.25">
      <c r="A155" s="7"/>
      <c r="B155" s="7"/>
      <c r="C155" s="14"/>
      <c r="D155" s="14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</row>
    <row r="156" spans="1:18" ht="19.5" customHeight="1" x14ac:dyDescent="0.25">
      <c r="A156" s="7"/>
      <c r="B156" s="7"/>
      <c r="C156" s="14"/>
      <c r="D156" s="14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</row>
    <row r="157" spans="1:18" ht="19.5" customHeight="1" x14ac:dyDescent="0.25">
      <c r="A157" s="7"/>
      <c r="B157" s="7"/>
      <c r="C157" s="14"/>
      <c r="D157" s="14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</row>
    <row r="158" spans="1:18" ht="19.5" customHeight="1" x14ac:dyDescent="0.25">
      <c r="A158" s="7"/>
      <c r="B158" s="7"/>
      <c r="C158" s="14"/>
      <c r="D158" s="14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</row>
    <row r="159" spans="1:18" ht="19.5" customHeight="1" x14ac:dyDescent="0.25">
      <c r="A159" s="7"/>
      <c r="B159" s="7"/>
      <c r="C159" s="14"/>
      <c r="D159" s="14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</row>
    <row r="160" spans="1:18" ht="19.5" customHeight="1" x14ac:dyDescent="0.25">
      <c r="A160" s="7"/>
      <c r="B160" s="7"/>
      <c r="C160" s="14"/>
      <c r="D160" s="14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</row>
    <row r="161" spans="1:18" ht="19.5" customHeight="1" x14ac:dyDescent="0.25">
      <c r="A161" s="7"/>
      <c r="B161" s="7"/>
      <c r="C161" s="14"/>
      <c r="D161" s="14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</row>
    <row r="162" spans="1:18" ht="19.5" customHeight="1" x14ac:dyDescent="0.25">
      <c r="A162" s="7"/>
      <c r="B162" s="7"/>
      <c r="C162" s="14"/>
      <c r="D162" s="14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</row>
    <row r="163" spans="1:18" ht="19.5" customHeight="1" x14ac:dyDescent="0.25">
      <c r="A163" s="7"/>
      <c r="B163" s="7"/>
      <c r="C163" s="14"/>
      <c r="D163" s="14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</row>
    <row r="164" spans="1:18" ht="19.5" customHeight="1" x14ac:dyDescent="0.25">
      <c r="A164" s="7"/>
      <c r="B164" s="7"/>
      <c r="C164" s="14"/>
      <c r="D164" s="14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</row>
    <row r="165" spans="1:18" ht="19.5" customHeight="1" x14ac:dyDescent="0.25">
      <c r="A165" s="7"/>
      <c r="B165" s="7"/>
      <c r="C165" s="14"/>
      <c r="D165" s="14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</row>
    <row r="166" spans="1:18" ht="19.5" customHeight="1" x14ac:dyDescent="0.25">
      <c r="A166" s="7"/>
      <c r="B166" s="7"/>
      <c r="C166" s="14"/>
      <c r="D166" s="14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</row>
    <row r="167" spans="1:18" ht="19.5" customHeight="1" x14ac:dyDescent="0.25">
      <c r="A167" s="7"/>
      <c r="B167" s="7"/>
      <c r="C167" s="14"/>
      <c r="D167" s="14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</row>
    <row r="168" spans="1:18" ht="19.5" customHeight="1" x14ac:dyDescent="0.25">
      <c r="A168" s="7"/>
      <c r="B168" s="7"/>
      <c r="C168" s="14"/>
      <c r="D168" s="14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</row>
    <row r="169" spans="1:18" ht="19.5" customHeight="1" x14ac:dyDescent="0.25">
      <c r="A169" s="7"/>
      <c r="B169" s="7"/>
      <c r="C169" s="14"/>
      <c r="D169" s="14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</row>
    <row r="170" spans="1:18" ht="19.5" customHeight="1" x14ac:dyDescent="0.25">
      <c r="A170" s="7"/>
      <c r="B170" s="7"/>
      <c r="C170" s="14"/>
      <c r="D170" s="14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</row>
    <row r="171" spans="1:18" ht="19.5" customHeight="1" x14ac:dyDescent="0.25">
      <c r="A171" s="7"/>
      <c r="B171" s="7"/>
      <c r="C171" s="14"/>
      <c r="D171" s="14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</row>
    <row r="172" spans="1:18" ht="19.5" customHeight="1" x14ac:dyDescent="0.25">
      <c r="A172" s="7"/>
      <c r="B172" s="7"/>
      <c r="C172" s="14"/>
      <c r="D172" s="14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</row>
    <row r="173" spans="1:18" ht="19.5" customHeight="1" x14ac:dyDescent="0.25">
      <c r="A173" s="7"/>
      <c r="B173" s="7"/>
      <c r="C173" s="14"/>
      <c r="D173" s="14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</row>
    <row r="174" spans="1:18" ht="19.5" customHeight="1" x14ac:dyDescent="0.25">
      <c r="A174" s="7"/>
      <c r="B174" s="7"/>
      <c r="C174" s="14"/>
      <c r="D174" s="14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</row>
    <row r="175" spans="1:18" ht="19.5" customHeight="1" x14ac:dyDescent="0.25">
      <c r="A175" s="7"/>
      <c r="B175" s="7"/>
      <c r="C175" s="14"/>
      <c r="D175" s="14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</row>
    <row r="176" spans="1:18" ht="19.5" customHeight="1" x14ac:dyDescent="0.25">
      <c r="A176" s="7"/>
      <c r="B176" s="7"/>
      <c r="C176" s="14"/>
      <c r="D176" s="14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</row>
    <row r="177" spans="1:18" ht="19.5" customHeight="1" x14ac:dyDescent="0.25">
      <c r="A177" s="7"/>
      <c r="B177" s="7"/>
      <c r="C177" s="14"/>
      <c r="D177" s="14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</row>
    <row r="178" spans="1:18" ht="19.5" customHeight="1" x14ac:dyDescent="0.25">
      <c r="A178" s="7"/>
      <c r="B178" s="7"/>
      <c r="C178" s="14"/>
      <c r="D178" s="14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</row>
    <row r="179" spans="1:18" ht="19.5" customHeight="1" x14ac:dyDescent="0.25">
      <c r="A179" s="7"/>
      <c r="B179" s="7"/>
      <c r="C179" s="14"/>
      <c r="D179" s="14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</row>
    <row r="180" spans="1:18" ht="19.5" customHeight="1" x14ac:dyDescent="0.25">
      <c r="A180" s="7"/>
      <c r="B180" s="7"/>
      <c r="C180" s="14"/>
      <c r="D180" s="14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</row>
    <row r="181" spans="1:18" ht="19.5" customHeight="1" x14ac:dyDescent="0.25">
      <c r="A181" s="7"/>
      <c r="B181" s="7"/>
      <c r="C181" s="14"/>
      <c r="D181" s="14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</row>
    <row r="182" spans="1:18" ht="19.5" customHeight="1" x14ac:dyDescent="0.25">
      <c r="A182" s="7"/>
      <c r="B182" s="7"/>
      <c r="C182" s="14"/>
      <c r="D182" s="14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</row>
    <row r="183" spans="1:18" ht="19.5" customHeight="1" x14ac:dyDescent="0.25">
      <c r="A183" s="7"/>
      <c r="B183" s="7"/>
      <c r="C183" s="14"/>
      <c r="D183" s="14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</row>
    <row r="184" spans="1:18" ht="19.5" customHeight="1" x14ac:dyDescent="0.25">
      <c r="A184" s="7"/>
      <c r="B184" s="7"/>
      <c r="C184" s="14"/>
      <c r="D184" s="14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</row>
    <row r="185" spans="1:18" ht="19.5" customHeight="1" x14ac:dyDescent="0.25">
      <c r="A185" s="7"/>
      <c r="B185" s="7"/>
      <c r="C185" s="14"/>
      <c r="D185" s="14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</row>
    <row r="186" spans="1:18" ht="19.5" customHeight="1" x14ac:dyDescent="0.25">
      <c r="A186" s="7"/>
      <c r="B186" s="7"/>
      <c r="C186" s="14"/>
      <c r="D186" s="14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</row>
    <row r="187" spans="1:18" ht="19.5" customHeight="1" x14ac:dyDescent="0.25">
      <c r="A187" s="7"/>
      <c r="B187" s="7"/>
      <c r="C187" s="14"/>
      <c r="D187" s="14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</row>
    <row r="188" spans="1:18" ht="19.5" customHeight="1" x14ac:dyDescent="0.25">
      <c r="A188" s="7"/>
      <c r="B188" s="7"/>
      <c r="C188" s="14"/>
      <c r="D188" s="14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</row>
    <row r="189" spans="1:18" ht="19.5" customHeight="1" x14ac:dyDescent="0.25">
      <c r="A189" s="7"/>
      <c r="B189" s="7"/>
      <c r="C189" s="14"/>
      <c r="D189" s="14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</row>
    <row r="190" spans="1:18" ht="19.5" customHeight="1" x14ac:dyDescent="0.25">
      <c r="A190" s="7"/>
      <c r="B190" s="7"/>
      <c r="C190" s="14"/>
      <c r="D190" s="14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</row>
    <row r="191" spans="1:18" ht="19.5" customHeight="1" x14ac:dyDescent="0.25">
      <c r="A191" s="7"/>
      <c r="B191" s="7"/>
      <c r="C191" s="14"/>
      <c r="D191" s="14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</row>
    <row r="192" spans="1:18" ht="19.5" customHeight="1" x14ac:dyDescent="0.25">
      <c r="A192" s="7"/>
      <c r="B192" s="7"/>
      <c r="C192" s="14"/>
      <c r="D192" s="14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</row>
    <row r="193" spans="1:18" ht="19.5" customHeight="1" x14ac:dyDescent="0.25">
      <c r="A193" s="7"/>
      <c r="B193" s="7"/>
      <c r="C193" s="14"/>
      <c r="D193" s="14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</row>
    <row r="194" spans="1:18" ht="19.5" customHeight="1" x14ac:dyDescent="0.25">
      <c r="A194" s="7"/>
      <c r="B194" s="7"/>
      <c r="C194" s="14"/>
      <c r="D194" s="14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</row>
    <row r="195" spans="1:18" ht="19.5" customHeight="1" x14ac:dyDescent="0.25">
      <c r="A195" s="7"/>
      <c r="B195" s="7"/>
      <c r="C195" s="14"/>
      <c r="D195" s="14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</row>
    <row r="196" spans="1:18" ht="19.5" customHeight="1" x14ac:dyDescent="0.25">
      <c r="A196" s="7"/>
      <c r="B196" s="7"/>
      <c r="C196" s="14"/>
      <c r="D196" s="14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</row>
    <row r="197" spans="1:18" ht="19.5" customHeight="1" x14ac:dyDescent="0.25">
      <c r="A197" s="7"/>
      <c r="B197" s="7"/>
      <c r="C197" s="14"/>
      <c r="D197" s="14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</row>
    <row r="198" spans="1:18" ht="19.5" customHeight="1" x14ac:dyDescent="0.25">
      <c r="A198" s="7"/>
      <c r="B198" s="7"/>
      <c r="C198" s="14"/>
      <c r="D198" s="14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</row>
    <row r="199" spans="1:18" ht="19.5" customHeight="1" x14ac:dyDescent="0.25">
      <c r="A199" s="7"/>
      <c r="B199" s="7"/>
      <c r="C199" s="14"/>
      <c r="D199" s="14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</row>
    <row r="200" spans="1:18" ht="19.5" customHeight="1" x14ac:dyDescent="0.25">
      <c r="A200" s="7"/>
      <c r="B200" s="7"/>
      <c r="C200" s="14"/>
      <c r="D200" s="14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</row>
    <row r="201" spans="1:18" ht="19.5" customHeight="1" x14ac:dyDescent="0.25">
      <c r="A201" s="7"/>
      <c r="B201" s="7"/>
      <c r="C201" s="14"/>
      <c r="D201" s="14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</row>
    <row r="202" spans="1:18" ht="19.5" customHeight="1" x14ac:dyDescent="0.25">
      <c r="A202" s="7"/>
      <c r="B202" s="7"/>
      <c r="C202" s="14"/>
      <c r="D202" s="14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</row>
    <row r="203" spans="1:18" ht="19.5" customHeight="1" x14ac:dyDescent="0.25">
      <c r="A203" s="7"/>
      <c r="B203" s="7"/>
      <c r="C203" s="14"/>
      <c r="D203" s="14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</row>
    <row r="204" spans="1:18" ht="19.5" customHeight="1" x14ac:dyDescent="0.25">
      <c r="A204" s="7"/>
      <c r="B204" s="7"/>
      <c r="C204" s="14"/>
      <c r="D204" s="14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</row>
    <row r="205" spans="1:18" ht="19.5" customHeight="1" x14ac:dyDescent="0.25">
      <c r="A205" s="7"/>
      <c r="B205" s="7"/>
      <c r="C205" s="14"/>
      <c r="D205" s="14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</row>
    <row r="206" spans="1:18" ht="19.5" customHeight="1" x14ac:dyDescent="0.25">
      <c r="A206" s="7"/>
      <c r="B206" s="7"/>
      <c r="C206" s="14"/>
      <c r="D206" s="14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</row>
    <row r="207" spans="1:18" ht="19.5" customHeight="1" x14ac:dyDescent="0.25">
      <c r="A207" s="7"/>
      <c r="B207" s="7"/>
      <c r="C207" s="14"/>
      <c r="D207" s="14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</row>
    <row r="208" spans="1:18" ht="19.5" customHeight="1" x14ac:dyDescent="0.25">
      <c r="A208" s="7"/>
      <c r="B208" s="7"/>
      <c r="C208" s="14"/>
      <c r="D208" s="14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</row>
    <row r="209" spans="1:18" ht="19.5" customHeight="1" x14ac:dyDescent="0.25">
      <c r="A209" s="7"/>
      <c r="B209" s="7"/>
      <c r="C209" s="14"/>
      <c r="D209" s="14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</row>
    <row r="210" spans="1:18" ht="19.5" customHeight="1" x14ac:dyDescent="0.25">
      <c r="A210" s="7"/>
      <c r="B210" s="7"/>
      <c r="C210" s="14"/>
      <c r="D210" s="14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</row>
    <row r="211" spans="1:18" ht="19.5" customHeight="1" x14ac:dyDescent="0.25">
      <c r="A211" s="7"/>
      <c r="B211" s="7"/>
      <c r="C211" s="14"/>
      <c r="D211" s="14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</row>
    <row r="212" spans="1:18" ht="19.5" customHeight="1" x14ac:dyDescent="0.25">
      <c r="A212" s="7"/>
      <c r="B212" s="7"/>
      <c r="C212" s="14"/>
      <c r="D212" s="14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</row>
    <row r="213" spans="1:18" ht="19.5" customHeight="1" x14ac:dyDescent="0.25">
      <c r="A213" s="7"/>
      <c r="B213" s="7"/>
      <c r="C213" s="14"/>
      <c r="D213" s="14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</row>
    <row r="214" spans="1:18" ht="19.5" customHeight="1" x14ac:dyDescent="0.25">
      <c r="A214" s="7"/>
      <c r="B214" s="7"/>
      <c r="C214" s="14"/>
      <c r="D214" s="14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</row>
    <row r="215" spans="1:18" ht="19.5" customHeight="1" x14ac:dyDescent="0.25">
      <c r="A215" s="7"/>
      <c r="B215" s="7"/>
      <c r="C215" s="14"/>
      <c r="D215" s="14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</row>
    <row r="216" spans="1:18" ht="19.5" customHeight="1" x14ac:dyDescent="0.25">
      <c r="A216" s="7"/>
      <c r="B216" s="7"/>
      <c r="C216" s="14"/>
      <c r="D216" s="14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</row>
    <row r="217" spans="1:18" ht="19.5" customHeight="1" x14ac:dyDescent="0.25">
      <c r="A217" s="7"/>
      <c r="B217" s="7"/>
      <c r="C217" s="14"/>
      <c r="D217" s="14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</row>
    <row r="218" spans="1:18" ht="19.5" customHeight="1" x14ac:dyDescent="0.25">
      <c r="A218" s="7"/>
      <c r="B218" s="7"/>
      <c r="C218" s="14"/>
      <c r="D218" s="14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</row>
    <row r="219" spans="1:18" ht="19.5" customHeight="1" x14ac:dyDescent="0.25">
      <c r="A219" s="7"/>
      <c r="B219" s="7"/>
      <c r="C219" s="14"/>
      <c r="D219" s="14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</row>
    <row r="220" spans="1:18" ht="19.5" customHeight="1" x14ac:dyDescent="0.25">
      <c r="A220" s="7"/>
      <c r="B220" s="7"/>
      <c r="C220" s="14"/>
      <c r="D220" s="14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</row>
    <row r="221" spans="1:18" ht="19.5" customHeight="1" x14ac:dyDescent="0.25">
      <c r="A221" s="7"/>
      <c r="B221" s="7"/>
      <c r="C221" s="14"/>
      <c r="D221" s="14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</row>
    <row r="222" spans="1:18" ht="19.5" customHeight="1" x14ac:dyDescent="0.25">
      <c r="A222" s="7"/>
      <c r="B222" s="7"/>
      <c r="C222" s="14"/>
      <c r="D222" s="14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</row>
    <row r="223" spans="1:18" ht="19.5" customHeight="1" x14ac:dyDescent="0.25">
      <c r="A223" s="7"/>
      <c r="B223" s="7"/>
      <c r="C223" s="14"/>
      <c r="D223" s="14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</row>
    <row r="224" spans="1:18" ht="19.5" customHeight="1" x14ac:dyDescent="0.25">
      <c r="A224" s="7"/>
      <c r="B224" s="7"/>
      <c r="C224" s="14"/>
      <c r="D224" s="14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</row>
    <row r="225" spans="1:18" ht="19.5" customHeight="1" x14ac:dyDescent="0.25">
      <c r="A225" s="7"/>
      <c r="B225" s="7"/>
      <c r="C225" s="14"/>
      <c r="D225" s="14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</row>
    <row r="226" spans="1:18" ht="19.5" customHeight="1" x14ac:dyDescent="0.25">
      <c r="A226" s="7"/>
      <c r="B226" s="7"/>
      <c r="C226" s="14"/>
      <c r="D226" s="14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</row>
    <row r="227" spans="1:18" ht="19.5" customHeight="1" x14ac:dyDescent="0.25">
      <c r="A227" s="7"/>
      <c r="B227" s="7"/>
      <c r="C227" s="14"/>
      <c r="D227" s="14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</row>
    <row r="228" spans="1:18" ht="19.5" customHeight="1" x14ac:dyDescent="0.25">
      <c r="A228" s="7"/>
      <c r="B228" s="7"/>
      <c r="C228" s="14"/>
      <c r="D228" s="14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</row>
    <row r="229" spans="1:18" ht="19.5" customHeight="1" x14ac:dyDescent="0.25">
      <c r="A229" s="7"/>
      <c r="B229" s="7"/>
      <c r="C229" s="14"/>
      <c r="D229" s="14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</row>
    <row r="230" spans="1:18" ht="19.5" customHeight="1" x14ac:dyDescent="0.25">
      <c r="A230" s="7"/>
      <c r="B230" s="7"/>
      <c r="C230" s="14"/>
      <c r="D230" s="14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</row>
    <row r="231" spans="1:18" ht="19.5" customHeight="1" x14ac:dyDescent="0.25">
      <c r="A231" s="7"/>
      <c r="B231" s="7"/>
      <c r="C231" s="14"/>
      <c r="D231" s="14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</row>
    <row r="232" spans="1:18" ht="19.5" customHeight="1" x14ac:dyDescent="0.25">
      <c r="A232" s="7"/>
      <c r="B232" s="7"/>
      <c r="C232" s="14"/>
      <c r="D232" s="14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</row>
    <row r="233" spans="1:18" ht="19.5" customHeight="1" x14ac:dyDescent="0.25">
      <c r="A233" s="7"/>
      <c r="B233" s="7"/>
      <c r="C233" s="14"/>
      <c r="D233" s="14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</row>
    <row r="234" spans="1:18" ht="19.5" customHeight="1" x14ac:dyDescent="0.25">
      <c r="A234" s="7"/>
      <c r="B234" s="7"/>
      <c r="C234" s="14"/>
      <c r="D234" s="14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</row>
    <row r="235" spans="1:18" ht="19.5" customHeight="1" x14ac:dyDescent="0.25">
      <c r="A235" s="7"/>
      <c r="B235" s="7"/>
      <c r="C235" s="14"/>
      <c r="D235" s="14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</row>
    <row r="236" spans="1:18" ht="19.5" customHeight="1" x14ac:dyDescent="0.25">
      <c r="A236" s="7"/>
      <c r="B236" s="7"/>
      <c r="C236" s="14"/>
      <c r="D236" s="14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</row>
    <row r="237" spans="1:18" ht="19.5" customHeight="1" x14ac:dyDescent="0.25">
      <c r="A237" s="7"/>
      <c r="B237" s="7"/>
      <c r="C237" s="14"/>
      <c r="D237" s="14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</row>
    <row r="238" spans="1:18" ht="19.5" customHeight="1" x14ac:dyDescent="0.25">
      <c r="A238" s="7"/>
      <c r="B238" s="7"/>
      <c r="C238" s="14"/>
      <c r="D238" s="14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</row>
    <row r="239" spans="1:18" ht="19.5" customHeight="1" x14ac:dyDescent="0.25">
      <c r="A239" s="7"/>
      <c r="B239" s="7"/>
      <c r="C239" s="14"/>
      <c r="D239" s="14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</row>
    <row r="240" spans="1:18" ht="19.5" customHeight="1" x14ac:dyDescent="0.25">
      <c r="A240" s="7"/>
      <c r="B240" s="7"/>
      <c r="C240" s="14"/>
      <c r="D240" s="14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</row>
    <row r="241" spans="1:18" ht="19.5" customHeight="1" x14ac:dyDescent="0.25">
      <c r="A241" s="7"/>
      <c r="B241" s="7"/>
      <c r="C241" s="14"/>
      <c r="D241" s="14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</row>
    <row r="242" spans="1:18" ht="19.5" customHeight="1" x14ac:dyDescent="0.25">
      <c r="A242" s="7"/>
      <c r="B242" s="7"/>
      <c r="C242" s="14"/>
      <c r="D242" s="14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</row>
    <row r="243" spans="1:18" ht="19.5" customHeight="1" x14ac:dyDescent="0.25">
      <c r="A243" s="7"/>
      <c r="B243" s="7"/>
      <c r="C243" s="14"/>
      <c r="D243" s="14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</row>
    <row r="244" spans="1:18" ht="19.5" customHeight="1" x14ac:dyDescent="0.25">
      <c r="A244" s="7"/>
      <c r="B244" s="7"/>
      <c r="C244" s="14"/>
      <c r="D244" s="14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</row>
    <row r="245" spans="1:18" ht="19.5" customHeight="1" x14ac:dyDescent="0.25">
      <c r="A245" s="7"/>
      <c r="B245" s="7"/>
      <c r="C245" s="14"/>
      <c r="D245" s="14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</row>
    <row r="246" spans="1:18" ht="19.5" customHeight="1" x14ac:dyDescent="0.25">
      <c r="A246" s="7"/>
      <c r="B246" s="7"/>
      <c r="C246" s="14"/>
      <c r="D246" s="14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</row>
    <row r="247" spans="1:18" ht="19.5" customHeight="1" x14ac:dyDescent="0.25">
      <c r="A247" s="7"/>
      <c r="B247" s="7"/>
      <c r="C247" s="14"/>
      <c r="D247" s="14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</row>
    <row r="248" spans="1:18" ht="19.5" customHeight="1" x14ac:dyDescent="0.25">
      <c r="A248" s="7"/>
      <c r="B248" s="7"/>
      <c r="C248" s="14"/>
      <c r="D248" s="14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</row>
    <row r="249" spans="1:18" ht="19.5" customHeight="1" x14ac:dyDescent="0.25">
      <c r="A249" s="7"/>
      <c r="B249" s="7"/>
      <c r="C249" s="14"/>
      <c r="D249" s="14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</row>
    <row r="250" spans="1:18" ht="19.5" customHeight="1" x14ac:dyDescent="0.25">
      <c r="A250" s="7"/>
      <c r="B250" s="7"/>
      <c r="C250" s="14"/>
      <c r="D250" s="14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</row>
    <row r="251" spans="1:18" ht="19.5" customHeight="1" x14ac:dyDescent="0.25">
      <c r="A251" s="7"/>
      <c r="B251" s="7"/>
      <c r="C251" s="14"/>
      <c r="D251" s="14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</row>
    <row r="252" spans="1:18" ht="19.5" customHeight="1" x14ac:dyDescent="0.25">
      <c r="A252" s="7"/>
      <c r="B252" s="7"/>
      <c r="C252" s="14"/>
      <c r="D252" s="14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</row>
    <row r="253" spans="1:18" ht="19.5" customHeight="1" x14ac:dyDescent="0.25">
      <c r="A253" s="7"/>
      <c r="B253" s="7"/>
      <c r="C253" s="14"/>
      <c r="D253" s="14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</row>
    <row r="254" spans="1:18" ht="19.5" customHeight="1" x14ac:dyDescent="0.25">
      <c r="A254" s="7"/>
      <c r="B254" s="7"/>
      <c r="C254" s="14"/>
      <c r="D254" s="14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</row>
    <row r="255" spans="1:18" ht="19.5" customHeight="1" x14ac:dyDescent="0.25">
      <c r="A255" s="7"/>
      <c r="B255" s="7"/>
      <c r="C255" s="14"/>
      <c r="D255" s="14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</row>
    <row r="256" spans="1:18" ht="19.5" customHeight="1" x14ac:dyDescent="0.25">
      <c r="A256" s="7"/>
      <c r="B256" s="7"/>
      <c r="C256" s="14"/>
      <c r="D256" s="14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</row>
    <row r="257" spans="1:18" ht="19.5" customHeight="1" x14ac:dyDescent="0.25">
      <c r="A257" s="7"/>
      <c r="B257" s="7"/>
      <c r="C257" s="14"/>
      <c r="D257" s="14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</row>
    <row r="258" spans="1:18" ht="19.5" customHeight="1" x14ac:dyDescent="0.25">
      <c r="A258" s="7"/>
      <c r="B258" s="7"/>
      <c r="C258" s="14"/>
      <c r="D258" s="14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</row>
    <row r="259" spans="1:18" ht="19.5" customHeight="1" x14ac:dyDescent="0.25">
      <c r="A259" s="7"/>
      <c r="B259" s="7"/>
      <c r="C259" s="14"/>
      <c r="D259" s="14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</row>
    <row r="260" spans="1:18" ht="19.5" customHeight="1" x14ac:dyDescent="0.25">
      <c r="A260" s="7"/>
      <c r="B260" s="7"/>
      <c r="C260" s="14"/>
      <c r="D260" s="14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</row>
    <row r="261" spans="1:18" ht="19.5" customHeight="1" x14ac:dyDescent="0.25">
      <c r="A261" s="7"/>
      <c r="B261" s="7"/>
      <c r="C261" s="14"/>
      <c r="D261" s="14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</row>
    <row r="262" spans="1:18" ht="19.5" customHeight="1" x14ac:dyDescent="0.25">
      <c r="A262" s="7"/>
      <c r="B262" s="7"/>
      <c r="C262" s="14"/>
      <c r="D262" s="14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</row>
    <row r="263" spans="1:18" ht="19.5" customHeight="1" x14ac:dyDescent="0.25">
      <c r="A263" s="7"/>
      <c r="B263" s="7"/>
      <c r="C263" s="14"/>
      <c r="D263" s="14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</row>
    <row r="264" spans="1:18" ht="19.5" customHeight="1" x14ac:dyDescent="0.25">
      <c r="A264" s="7"/>
      <c r="B264" s="7"/>
      <c r="C264" s="14"/>
      <c r="D264" s="14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</row>
    <row r="265" spans="1:18" ht="19.5" customHeight="1" x14ac:dyDescent="0.25">
      <c r="A265" s="7"/>
      <c r="B265" s="7"/>
      <c r="C265" s="14"/>
      <c r="D265" s="14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</row>
    <row r="266" spans="1:18" ht="19.5" customHeight="1" x14ac:dyDescent="0.25">
      <c r="A266" s="7"/>
      <c r="B266" s="7"/>
      <c r="C266" s="14"/>
      <c r="D266" s="14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</row>
    <row r="267" spans="1:18" ht="19.5" customHeight="1" x14ac:dyDescent="0.25">
      <c r="A267" s="7"/>
      <c r="B267" s="7"/>
      <c r="C267" s="14"/>
      <c r="D267" s="14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</row>
    <row r="268" spans="1:18" ht="19.5" customHeight="1" x14ac:dyDescent="0.25">
      <c r="A268" s="7"/>
      <c r="B268" s="7"/>
      <c r="C268" s="14"/>
      <c r="D268" s="14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</row>
    <row r="269" spans="1:18" ht="19.5" customHeight="1" x14ac:dyDescent="0.25">
      <c r="A269" s="7"/>
      <c r="B269" s="7"/>
      <c r="C269" s="14"/>
      <c r="D269" s="14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</row>
    <row r="270" spans="1:18" ht="19.5" customHeight="1" x14ac:dyDescent="0.25">
      <c r="A270" s="7"/>
      <c r="B270" s="7"/>
      <c r="C270" s="14"/>
      <c r="D270" s="14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</row>
    <row r="271" spans="1:18" ht="19.5" customHeight="1" x14ac:dyDescent="0.25">
      <c r="A271" s="7"/>
      <c r="B271" s="7"/>
      <c r="C271" s="14"/>
      <c r="D271" s="14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</row>
    <row r="272" spans="1:18" ht="19.5" customHeight="1" x14ac:dyDescent="0.25">
      <c r="A272" s="7"/>
      <c r="B272" s="7"/>
      <c r="C272" s="14"/>
      <c r="D272" s="14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</row>
    <row r="273" spans="1:18" ht="19.5" customHeight="1" x14ac:dyDescent="0.25">
      <c r="A273" s="7"/>
      <c r="B273" s="7"/>
      <c r="C273" s="14"/>
      <c r="D273" s="14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</row>
    <row r="274" spans="1:18" ht="19.5" customHeight="1" x14ac:dyDescent="0.25">
      <c r="A274" s="7"/>
      <c r="B274" s="7"/>
      <c r="C274" s="14"/>
      <c r="D274" s="14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</row>
    <row r="275" spans="1:18" ht="19.5" customHeight="1" x14ac:dyDescent="0.25">
      <c r="A275" s="7"/>
      <c r="B275" s="7"/>
      <c r="C275" s="14"/>
      <c r="D275" s="14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</row>
    <row r="276" spans="1:18" ht="19.5" customHeight="1" x14ac:dyDescent="0.25">
      <c r="A276" s="7"/>
      <c r="B276" s="7"/>
      <c r="C276" s="14"/>
      <c r="D276" s="14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</row>
    <row r="277" spans="1:18" ht="19.5" customHeight="1" x14ac:dyDescent="0.25">
      <c r="A277" s="7"/>
      <c r="B277" s="7"/>
      <c r="C277" s="14"/>
      <c r="D277" s="14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</row>
    <row r="278" spans="1:18" ht="19.5" customHeight="1" x14ac:dyDescent="0.25">
      <c r="A278" s="7"/>
      <c r="B278" s="7"/>
      <c r="C278" s="14"/>
      <c r="D278" s="14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</row>
    <row r="279" spans="1:18" ht="19.5" customHeight="1" x14ac:dyDescent="0.25">
      <c r="A279" s="7"/>
      <c r="B279" s="7"/>
      <c r="C279" s="14"/>
      <c r="D279" s="14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</row>
    <row r="280" spans="1:18" ht="19.5" customHeight="1" x14ac:dyDescent="0.25">
      <c r="A280" s="7"/>
      <c r="B280" s="7"/>
      <c r="C280" s="14"/>
      <c r="D280" s="14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</row>
    <row r="281" spans="1:18" ht="19.5" customHeight="1" x14ac:dyDescent="0.25">
      <c r="A281" s="7"/>
      <c r="B281" s="7"/>
      <c r="C281" s="14"/>
      <c r="D281" s="14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</row>
    <row r="282" spans="1:18" ht="19.5" customHeight="1" x14ac:dyDescent="0.25">
      <c r="A282" s="7"/>
      <c r="B282" s="7"/>
      <c r="C282" s="14"/>
      <c r="D282" s="14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</row>
    <row r="283" spans="1:18" ht="19.5" customHeight="1" x14ac:dyDescent="0.25">
      <c r="A283" s="7"/>
      <c r="B283" s="7"/>
      <c r="C283" s="14"/>
      <c r="D283" s="14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</row>
    <row r="284" spans="1:18" ht="19.5" customHeight="1" x14ac:dyDescent="0.25">
      <c r="A284" s="7"/>
      <c r="B284" s="7"/>
      <c r="C284" s="14"/>
      <c r="D284" s="14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</row>
    <row r="285" spans="1:18" ht="19.5" customHeight="1" x14ac:dyDescent="0.25">
      <c r="A285" s="7"/>
      <c r="B285" s="7"/>
      <c r="C285" s="14"/>
      <c r="D285" s="14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</row>
    <row r="286" spans="1:18" ht="19.5" customHeight="1" x14ac:dyDescent="0.25">
      <c r="A286" s="7"/>
      <c r="B286" s="7"/>
      <c r="C286" s="14"/>
      <c r="D286" s="14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</row>
    <row r="287" spans="1:18" ht="19.5" customHeight="1" x14ac:dyDescent="0.25">
      <c r="A287" s="7"/>
      <c r="B287" s="7"/>
      <c r="C287" s="14"/>
      <c r="D287" s="14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</row>
    <row r="288" spans="1:18" ht="19.5" customHeight="1" x14ac:dyDescent="0.25">
      <c r="A288" s="7"/>
      <c r="B288" s="7"/>
      <c r="C288" s="14"/>
      <c r="D288" s="14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</row>
    <row r="289" spans="1:18" ht="19.5" customHeight="1" x14ac:dyDescent="0.25">
      <c r="A289" s="7"/>
      <c r="B289" s="7"/>
      <c r="C289" s="14"/>
      <c r="D289" s="14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</row>
    <row r="290" spans="1:18" ht="19.5" customHeight="1" x14ac:dyDescent="0.25">
      <c r="A290" s="7"/>
      <c r="B290" s="7"/>
      <c r="C290" s="14"/>
      <c r="D290" s="14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</row>
    <row r="291" spans="1:18" ht="19.5" customHeight="1" x14ac:dyDescent="0.25">
      <c r="A291" s="7"/>
      <c r="B291" s="7"/>
      <c r="C291" s="14"/>
      <c r="D291" s="14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</row>
    <row r="292" spans="1:18" ht="19.5" customHeight="1" x14ac:dyDescent="0.25">
      <c r="A292" s="7"/>
      <c r="B292" s="7"/>
      <c r="C292" s="14"/>
      <c r="D292" s="14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</row>
    <row r="293" spans="1:18" ht="19.5" customHeight="1" x14ac:dyDescent="0.25">
      <c r="A293" s="7"/>
      <c r="B293" s="7"/>
      <c r="C293" s="14"/>
      <c r="D293" s="14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</row>
    <row r="294" spans="1:18" ht="19.5" customHeight="1" x14ac:dyDescent="0.25">
      <c r="A294" s="7"/>
      <c r="B294" s="7"/>
      <c r="C294" s="14"/>
      <c r="D294" s="14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</row>
    <row r="295" spans="1:18" ht="19.5" customHeight="1" x14ac:dyDescent="0.25">
      <c r="A295" s="7"/>
      <c r="B295" s="7"/>
      <c r="C295" s="14"/>
      <c r="D295" s="14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</row>
    <row r="296" spans="1:18" ht="19.5" customHeight="1" x14ac:dyDescent="0.25">
      <c r="A296" s="7"/>
      <c r="B296" s="7"/>
      <c r="C296" s="14"/>
      <c r="D296" s="14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</row>
    <row r="297" spans="1:18" ht="19.5" customHeight="1" x14ac:dyDescent="0.25">
      <c r="A297" s="7"/>
      <c r="B297" s="7"/>
      <c r="C297" s="14"/>
      <c r="D297" s="14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</row>
    <row r="298" spans="1:18" ht="19.5" customHeight="1" x14ac:dyDescent="0.25">
      <c r="A298" s="7"/>
      <c r="B298" s="7"/>
      <c r="C298" s="14"/>
      <c r="D298" s="14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</row>
    <row r="299" spans="1:18" ht="19.5" customHeight="1" x14ac:dyDescent="0.25">
      <c r="A299" s="7"/>
      <c r="B299" s="7"/>
      <c r="C299" s="14"/>
      <c r="D299" s="14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</row>
    <row r="300" spans="1:18" ht="19.5" customHeight="1" x14ac:dyDescent="0.25">
      <c r="A300" s="7"/>
      <c r="B300" s="7"/>
      <c r="C300" s="14"/>
      <c r="D300" s="14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</row>
    <row r="301" spans="1:18" ht="19.5" customHeight="1" x14ac:dyDescent="0.25">
      <c r="A301" s="7"/>
      <c r="B301" s="7"/>
      <c r="C301" s="14"/>
      <c r="D301" s="14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</row>
    <row r="302" spans="1:18" ht="19.5" customHeight="1" x14ac:dyDescent="0.25">
      <c r="A302" s="7"/>
      <c r="B302" s="7"/>
      <c r="C302" s="14"/>
      <c r="D302" s="14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</row>
    <row r="303" spans="1:18" ht="19.5" customHeight="1" x14ac:dyDescent="0.25">
      <c r="A303" s="7"/>
      <c r="B303" s="7"/>
      <c r="C303" s="14"/>
      <c r="D303" s="14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</row>
    <row r="304" spans="1:18" ht="19.5" customHeight="1" x14ac:dyDescent="0.25">
      <c r="A304" s="7"/>
      <c r="B304" s="7"/>
      <c r="C304" s="14"/>
      <c r="D304" s="14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</row>
    <row r="305" spans="1:18" ht="19.5" customHeight="1" x14ac:dyDescent="0.25">
      <c r="A305" s="7"/>
      <c r="B305" s="7"/>
      <c r="C305" s="14"/>
      <c r="D305" s="14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</row>
    <row r="306" spans="1:18" ht="19.5" customHeight="1" x14ac:dyDescent="0.25">
      <c r="A306" s="7"/>
      <c r="B306" s="7"/>
      <c r="C306" s="14"/>
      <c r="D306" s="14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</row>
    <row r="307" spans="1:18" ht="19.5" customHeight="1" x14ac:dyDescent="0.25">
      <c r="A307" s="7"/>
      <c r="B307" s="7"/>
      <c r="C307" s="14"/>
      <c r="D307" s="14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</row>
    <row r="308" spans="1:18" ht="19.5" customHeight="1" x14ac:dyDescent="0.25">
      <c r="A308" s="7"/>
      <c r="B308" s="7"/>
      <c r="C308" s="14"/>
      <c r="D308" s="14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</row>
    <row r="309" spans="1:18" ht="19.5" customHeight="1" x14ac:dyDescent="0.25">
      <c r="A309" s="7"/>
      <c r="B309" s="7"/>
      <c r="C309" s="14"/>
      <c r="D309" s="14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</row>
    <row r="310" spans="1:18" ht="19.5" customHeight="1" x14ac:dyDescent="0.25">
      <c r="A310" s="7"/>
      <c r="B310" s="7"/>
      <c r="C310" s="14"/>
      <c r="D310" s="14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</row>
    <row r="311" spans="1:18" ht="19.5" customHeight="1" x14ac:dyDescent="0.25">
      <c r="A311" s="7"/>
      <c r="B311" s="7"/>
      <c r="C311" s="14"/>
      <c r="D311" s="14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</row>
    <row r="312" spans="1:18" ht="19.5" customHeight="1" x14ac:dyDescent="0.25">
      <c r="A312" s="7"/>
      <c r="B312" s="7"/>
      <c r="C312" s="14"/>
      <c r="D312" s="14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</row>
    <row r="313" spans="1:18" ht="19.5" customHeight="1" x14ac:dyDescent="0.25">
      <c r="A313" s="7"/>
      <c r="B313" s="7"/>
      <c r="C313" s="14"/>
      <c r="D313" s="14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</row>
    <row r="314" spans="1:18" ht="19.5" customHeight="1" x14ac:dyDescent="0.25">
      <c r="A314" s="7"/>
      <c r="B314" s="7"/>
      <c r="C314" s="14"/>
      <c r="D314" s="14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</row>
    <row r="315" spans="1:18" ht="19.5" customHeight="1" x14ac:dyDescent="0.25">
      <c r="A315" s="7"/>
      <c r="B315" s="7"/>
      <c r="C315" s="14"/>
      <c r="D315" s="14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</row>
    <row r="316" spans="1:18" ht="19.5" customHeight="1" x14ac:dyDescent="0.25">
      <c r="A316" s="7"/>
      <c r="B316" s="7"/>
      <c r="C316" s="14"/>
      <c r="D316" s="14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</row>
    <row r="317" spans="1:18" ht="19.5" customHeight="1" x14ac:dyDescent="0.25">
      <c r="A317" s="7"/>
      <c r="B317" s="7"/>
      <c r="C317" s="14"/>
      <c r="D317" s="14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</row>
    <row r="318" spans="1:18" ht="19.5" customHeight="1" x14ac:dyDescent="0.25">
      <c r="A318" s="7"/>
      <c r="B318" s="7"/>
      <c r="C318" s="14"/>
      <c r="D318" s="14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</row>
    <row r="319" spans="1:18" ht="19.5" customHeight="1" x14ac:dyDescent="0.25">
      <c r="A319" s="7"/>
      <c r="B319" s="7"/>
      <c r="C319" s="14"/>
      <c r="D319" s="14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</row>
    <row r="320" spans="1:18" ht="19.5" customHeight="1" x14ac:dyDescent="0.25">
      <c r="A320" s="7"/>
      <c r="B320" s="7"/>
      <c r="C320" s="14"/>
      <c r="D320" s="14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</row>
    <row r="321" spans="1:18" ht="19.5" customHeight="1" x14ac:dyDescent="0.25">
      <c r="A321" s="7"/>
      <c r="B321" s="7"/>
      <c r="C321" s="14"/>
      <c r="D321" s="14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</row>
    <row r="322" spans="1:18" ht="19.5" customHeight="1" x14ac:dyDescent="0.25">
      <c r="A322" s="7"/>
      <c r="B322" s="7"/>
      <c r="C322" s="14"/>
      <c r="D322" s="14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</row>
    <row r="323" spans="1:18" ht="19.5" customHeight="1" x14ac:dyDescent="0.25">
      <c r="A323" s="7"/>
      <c r="B323" s="7"/>
      <c r="C323" s="14"/>
      <c r="D323" s="14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</row>
    <row r="324" spans="1:18" ht="19.5" customHeight="1" x14ac:dyDescent="0.25">
      <c r="A324" s="7"/>
      <c r="B324" s="7"/>
      <c r="C324" s="14"/>
      <c r="D324" s="14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</row>
    <row r="325" spans="1:18" ht="19.5" customHeight="1" x14ac:dyDescent="0.25">
      <c r="A325" s="7"/>
      <c r="B325" s="7"/>
      <c r="C325" s="14"/>
      <c r="D325" s="14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</row>
    <row r="326" spans="1:18" ht="19.5" customHeight="1" x14ac:dyDescent="0.25">
      <c r="A326" s="7"/>
      <c r="B326" s="7"/>
      <c r="C326" s="14"/>
      <c r="D326" s="14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</row>
    <row r="327" spans="1:18" ht="19.5" customHeight="1" x14ac:dyDescent="0.25">
      <c r="A327" s="7"/>
      <c r="B327" s="7"/>
      <c r="C327" s="14"/>
      <c r="D327" s="14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</row>
    <row r="328" spans="1:18" ht="19.5" customHeight="1" x14ac:dyDescent="0.25">
      <c r="A328" s="7"/>
      <c r="B328" s="7"/>
      <c r="C328" s="14"/>
      <c r="D328" s="14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</row>
    <row r="329" spans="1:18" ht="19.5" customHeight="1" x14ac:dyDescent="0.25">
      <c r="A329" s="7"/>
      <c r="B329" s="7"/>
      <c r="C329" s="14"/>
      <c r="D329" s="14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</row>
    <row r="330" spans="1:18" ht="19.5" customHeight="1" x14ac:dyDescent="0.25">
      <c r="A330" s="7"/>
      <c r="B330" s="7"/>
      <c r="C330" s="14"/>
      <c r="D330" s="14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</row>
    <row r="331" spans="1:18" ht="19.5" customHeight="1" x14ac:dyDescent="0.25">
      <c r="A331" s="7"/>
      <c r="B331" s="7"/>
      <c r="C331" s="14"/>
      <c r="D331" s="14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</row>
    <row r="332" spans="1:18" ht="19.5" customHeight="1" x14ac:dyDescent="0.25">
      <c r="A332" s="7"/>
      <c r="B332" s="7"/>
      <c r="C332" s="14"/>
      <c r="D332" s="14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</row>
    <row r="333" spans="1:18" ht="19.5" customHeight="1" x14ac:dyDescent="0.25">
      <c r="A333" s="7"/>
      <c r="B333" s="7"/>
      <c r="C333" s="14"/>
      <c r="D333" s="14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</row>
    <row r="334" spans="1:18" ht="19.5" customHeight="1" x14ac:dyDescent="0.25">
      <c r="A334" s="7"/>
      <c r="B334" s="7"/>
      <c r="C334" s="14"/>
      <c r="D334" s="14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</row>
    <row r="335" spans="1:18" ht="19.5" customHeight="1" x14ac:dyDescent="0.25">
      <c r="A335" s="7"/>
      <c r="B335" s="7"/>
      <c r="C335" s="14"/>
      <c r="D335" s="14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</row>
    <row r="336" spans="1:18" ht="19.5" customHeight="1" x14ac:dyDescent="0.25">
      <c r="A336" s="7"/>
      <c r="B336" s="7"/>
      <c r="C336" s="14"/>
      <c r="D336" s="14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</row>
    <row r="337" spans="1:18" ht="19.5" customHeight="1" x14ac:dyDescent="0.25">
      <c r="A337" s="7"/>
      <c r="B337" s="7"/>
      <c r="C337" s="14"/>
      <c r="D337" s="14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</row>
    <row r="338" spans="1:18" ht="19.5" customHeight="1" x14ac:dyDescent="0.25">
      <c r="A338" s="7"/>
      <c r="B338" s="7"/>
      <c r="C338" s="14"/>
      <c r="D338" s="14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</row>
    <row r="339" spans="1:18" ht="19.5" customHeight="1" x14ac:dyDescent="0.25">
      <c r="A339" s="7"/>
      <c r="B339" s="7"/>
      <c r="C339" s="14"/>
      <c r="D339" s="14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</row>
    <row r="340" spans="1:18" ht="19.5" customHeight="1" x14ac:dyDescent="0.25">
      <c r="A340" s="7"/>
      <c r="B340" s="7"/>
      <c r="C340" s="14"/>
      <c r="D340" s="14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</row>
    <row r="341" spans="1:18" ht="19.5" customHeight="1" x14ac:dyDescent="0.25">
      <c r="A341" s="7"/>
      <c r="B341" s="7"/>
      <c r="C341" s="14"/>
      <c r="D341" s="14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</row>
    <row r="342" spans="1:18" ht="19.5" customHeight="1" x14ac:dyDescent="0.25">
      <c r="A342" s="7"/>
      <c r="B342" s="7"/>
      <c r="C342" s="14"/>
      <c r="D342" s="14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</row>
    <row r="343" spans="1:18" ht="19.5" customHeight="1" x14ac:dyDescent="0.25">
      <c r="A343" s="7"/>
      <c r="B343" s="7"/>
      <c r="C343" s="14"/>
      <c r="D343" s="14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</row>
    <row r="344" spans="1:18" ht="19.5" customHeight="1" x14ac:dyDescent="0.25">
      <c r="A344" s="7"/>
      <c r="B344" s="7"/>
      <c r="C344" s="14"/>
      <c r="D344" s="14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</row>
    <row r="345" spans="1:18" ht="19.5" customHeight="1" x14ac:dyDescent="0.25">
      <c r="A345" s="7"/>
      <c r="B345" s="7"/>
      <c r="C345" s="14"/>
      <c r="D345" s="14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</row>
    <row r="346" spans="1:18" ht="19.5" customHeight="1" x14ac:dyDescent="0.25">
      <c r="A346" s="7"/>
      <c r="B346" s="7"/>
      <c r="C346" s="14"/>
      <c r="D346" s="14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</row>
    <row r="347" spans="1:18" ht="19.5" customHeight="1" x14ac:dyDescent="0.25">
      <c r="A347" s="7"/>
      <c r="B347" s="7"/>
      <c r="C347" s="14"/>
      <c r="D347" s="14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</row>
    <row r="348" spans="1:18" ht="19.5" customHeight="1" x14ac:dyDescent="0.25">
      <c r="A348" s="7"/>
      <c r="B348" s="7"/>
      <c r="C348" s="14"/>
      <c r="D348" s="14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</row>
    <row r="349" spans="1:18" ht="19.5" customHeight="1" x14ac:dyDescent="0.25">
      <c r="A349" s="7"/>
      <c r="B349" s="7"/>
      <c r="C349" s="14"/>
      <c r="D349" s="14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</row>
    <row r="350" spans="1:18" ht="19.5" customHeight="1" x14ac:dyDescent="0.25">
      <c r="A350" s="7"/>
      <c r="B350" s="7"/>
      <c r="C350" s="14"/>
      <c r="D350" s="14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</row>
    <row r="351" spans="1:18" ht="19.5" customHeight="1" x14ac:dyDescent="0.25">
      <c r="A351" s="7"/>
      <c r="B351" s="7"/>
      <c r="C351" s="14"/>
      <c r="D351" s="14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</row>
    <row r="352" spans="1:18" ht="19.5" customHeight="1" x14ac:dyDescent="0.25">
      <c r="A352" s="7"/>
      <c r="B352" s="7"/>
      <c r="C352" s="14"/>
      <c r="D352" s="14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</row>
    <row r="353" spans="1:18" ht="19.5" customHeight="1" x14ac:dyDescent="0.25">
      <c r="A353" s="7"/>
      <c r="B353" s="7"/>
      <c r="C353" s="14"/>
      <c r="D353" s="14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</row>
    <row r="354" spans="1:18" ht="19.5" customHeight="1" x14ac:dyDescent="0.25">
      <c r="A354" s="7"/>
      <c r="B354" s="7"/>
      <c r="C354" s="14"/>
      <c r="D354" s="14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</row>
    <row r="355" spans="1:18" ht="19.5" customHeight="1" x14ac:dyDescent="0.25">
      <c r="A355" s="7"/>
      <c r="B355" s="7"/>
      <c r="C355" s="14"/>
      <c r="D355" s="14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</row>
    <row r="356" spans="1:18" ht="19.5" customHeight="1" x14ac:dyDescent="0.25">
      <c r="A356" s="7"/>
      <c r="B356" s="7"/>
      <c r="C356" s="14"/>
      <c r="D356" s="14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</row>
    <row r="357" spans="1:18" ht="19.5" customHeight="1" x14ac:dyDescent="0.25">
      <c r="A357" s="7"/>
      <c r="B357" s="7"/>
      <c r="C357" s="14"/>
      <c r="D357" s="14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</row>
    <row r="358" spans="1:18" ht="19.5" customHeight="1" x14ac:dyDescent="0.25">
      <c r="A358" s="7"/>
      <c r="B358" s="7"/>
      <c r="C358" s="14"/>
      <c r="D358" s="14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</row>
    <row r="359" spans="1:18" ht="19.5" customHeight="1" x14ac:dyDescent="0.25">
      <c r="A359" s="7"/>
      <c r="B359" s="7"/>
      <c r="C359" s="14"/>
      <c r="D359" s="14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</row>
    <row r="360" spans="1:18" ht="19.5" customHeight="1" x14ac:dyDescent="0.25">
      <c r="A360" s="7"/>
      <c r="B360" s="7"/>
      <c r="C360" s="14"/>
      <c r="D360" s="14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</row>
    <row r="361" spans="1:18" ht="19.5" customHeight="1" x14ac:dyDescent="0.25">
      <c r="A361" s="7"/>
      <c r="B361" s="7"/>
      <c r="C361" s="14"/>
      <c r="D361" s="14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</row>
    <row r="362" spans="1:18" ht="19.5" customHeight="1" x14ac:dyDescent="0.25">
      <c r="A362" s="7"/>
      <c r="B362" s="7"/>
      <c r="C362" s="14"/>
      <c r="D362" s="14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</row>
    <row r="363" spans="1:18" ht="19.5" customHeight="1" x14ac:dyDescent="0.25">
      <c r="A363" s="7"/>
      <c r="B363" s="7"/>
      <c r="C363" s="14"/>
      <c r="D363" s="14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</row>
    <row r="364" spans="1:18" ht="19.5" customHeight="1" x14ac:dyDescent="0.25">
      <c r="A364" s="7"/>
      <c r="B364" s="7"/>
      <c r="C364" s="14"/>
      <c r="D364" s="14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</row>
    <row r="365" spans="1:18" ht="19.5" customHeight="1" x14ac:dyDescent="0.25">
      <c r="A365" s="7"/>
      <c r="B365" s="7"/>
      <c r="C365" s="14"/>
      <c r="D365" s="14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</row>
    <row r="366" spans="1:18" ht="19.5" customHeight="1" x14ac:dyDescent="0.25">
      <c r="A366" s="7"/>
      <c r="B366" s="7"/>
      <c r="C366" s="14"/>
      <c r="D366" s="14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</row>
    <row r="367" spans="1:18" ht="19.5" customHeight="1" x14ac:dyDescent="0.25">
      <c r="A367" s="7"/>
      <c r="B367" s="7"/>
      <c r="C367" s="14"/>
      <c r="D367" s="14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</row>
    <row r="368" spans="1:18" ht="19.5" customHeight="1" x14ac:dyDescent="0.25">
      <c r="A368" s="7"/>
      <c r="B368" s="7"/>
      <c r="C368" s="14"/>
      <c r="D368" s="14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</row>
    <row r="369" spans="1:18" ht="19.5" customHeight="1" x14ac:dyDescent="0.25">
      <c r="A369" s="7"/>
      <c r="B369" s="7"/>
      <c r="C369" s="14"/>
      <c r="D369" s="14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</row>
    <row r="370" spans="1:18" ht="19.5" customHeight="1" x14ac:dyDescent="0.25">
      <c r="A370" s="7"/>
      <c r="B370" s="7"/>
      <c r="C370" s="14"/>
      <c r="D370" s="14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</row>
    <row r="371" spans="1:18" ht="19.5" customHeight="1" x14ac:dyDescent="0.25">
      <c r="A371" s="7"/>
      <c r="B371" s="7"/>
      <c r="C371" s="14"/>
      <c r="D371" s="14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</row>
    <row r="372" spans="1:18" ht="19.5" customHeight="1" x14ac:dyDescent="0.25">
      <c r="A372" s="7"/>
      <c r="B372" s="7"/>
      <c r="C372" s="14"/>
      <c r="D372" s="14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</row>
    <row r="373" spans="1:18" ht="19.5" customHeight="1" x14ac:dyDescent="0.25">
      <c r="A373" s="7"/>
      <c r="B373" s="7"/>
      <c r="C373" s="14"/>
      <c r="D373" s="14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</row>
    <row r="374" spans="1:18" ht="19.5" customHeight="1" x14ac:dyDescent="0.25">
      <c r="A374" s="7"/>
      <c r="B374" s="7"/>
      <c r="C374" s="14"/>
      <c r="D374" s="14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</row>
    <row r="375" spans="1:18" ht="19.5" customHeight="1" x14ac:dyDescent="0.25">
      <c r="A375" s="7"/>
      <c r="B375" s="7"/>
      <c r="C375" s="14"/>
      <c r="D375" s="14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</row>
    <row r="376" spans="1:18" ht="19.5" customHeight="1" x14ac:dyDescent="0.25">
      <c r="A376" s="7"/>
      <c r="B376" s="7"/>
      <c r="C376" s="14"/>
      <c r="D376" s="14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</row>
    <row r="377" spans="1:18" ht="19.5" customHeight="1" x14ac:dyDescent="0.25">
      <c r="A377" s="7"/>
      <c r="B377" s="7"/>
      <c r="C377" s="14"/>
      <c r="D377" s="14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</row>
    <row r="378" spans="1:18" ht="19.5" customHeight="1" x14ac:dyDescent="0.25">
      <c r="A378" s="7"/>
      <c r="B378" s="7"/>
      <c r="C378" s="14"/>
      <c r="D378" s="14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</row>
    <row r="379" spans="1:18" ht="19.5" customHeight="1" x14ac:dyDescent="0.25">
      <c r="A379" s="7"/>
      <c r="B379" s="7"/>
      <c r="C379" s="14"/>
      <c r="D379" s="14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</row>
    <row r="380" spans="1:18" ht="19.5" customHeight="1" x14ac:dyDescent="0.25">
      <c r="A380" s="7"/>
      <c r="B380" s="7"/>
      <c r="C380" s="14"/>
      <c r="D380" s="14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</row>
    <row r="381" spans="1:18" ht="19.5" customHeight="1" x14ac:dyDescent="0.25">
      <c r="A381" s="7"/>
      <c r="B381" s="7"/>
      <c r="C381" s="14"/>
      <c r="D381" s="14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</row>
    <row r="382" spans="1:18" ht="19.5" customHeight="1" x14ac:dyDescent="0.25">
      <c r="A382" s="7"/>
      <c r="B382" s="7"/>
      <c r="C382" s="14"/>
      <c r="D382" s="14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</row>
    <row r="383" spans="1:18" ht="19.5" customHeight="1" x14ac:dyDescent="0.25">
      <c r="A383" s="7"/>
      <c r="B383" s="7"/>
      <c r="C383" s="14"/>
      <c r="D383" s="14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</row>
    <row r="384" spans="1:18" ht="19.5" customHeight="1" x14ac:dyDescent="0.25">
      <c r="A384" s="7"/>
      <c r="B384" s="7"/>
      <c r="C384" s="14"/>
      <c r="D384" s="14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</row>
    <row r="385" spans="1:18" ht="19.5" customHeight="1" x14ac:dyDescent="0.25">
      <c r="A385" s="7"/>
      <c r="B385" s="7"/>
      <c r="C385" s="14"/>
      <c r="D385" s="14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</row>
    <row r="386" spans="1:18" ht="19.5" customHeight="1" x14ac:dyDescent="0.25">
      <c r="A386" s="7"/>
      <c r="B386" s="7"/>
      <c r="C386" s="14"/>
      <c r="D386" s="14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</row>
    <row r="387" spans="1:18" ht="19.5" customHeight="1" x14ac:dyDescent="0.25">
      <c r="A387" s="7"/>
      <c r="B387" s="7"/>
      <c r="C387" s="14"/>
      <c r="D387" s="14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</row>
    <row r="388" spans="1:18" ht="19.5" customHeight="1" x14ac:dyDescent="0.25">
      <c r="A388" s="7"/>
      <c r="B388" s="7"/>
      <c r="C388" s="14"/>
      <c r="D388" s="14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</row>
    <row r="389" spans="1:18" ht="19.5" customHeight="1" x14ac:dyDescent="0.25">
      <c r="A389" s="7"/>
      <c r="B389" s="7"/>
      <c r="C389" s="14"/>
      <c r="D389" s="14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</row>
    <row r="390" spans="1:18" ht="19.5" customHeight="1" x14ac:dyDescent="0.25">
      <c r="A390" s="7"/>
      <c r="B390" s="7"/>
      <c r="C390" s="14"/>
      <c r="D390" s="14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</row>
    <row r="391" spans="1:18" ht="19.5" customHeight="1" x14ac:dyDescent="0.25">
      <c r="A391" s="7"/>
      <c r="B391" s="7"/>
      <c r="C391" s="14"/>
      <c r="D391" s="14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</row>
    <row r="392" spans="1:18" ht="19.5" customHeight="1" x14ac:dyDescent="0.25">
      <c r="A392" s="7"/>
      <c r="B392" s="7"/>
      <c r="C392" s="14"/>
      <c r="D392" s="14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</row>
    <row r="393" spans="1:18" ht="19.5" customHeight="1" x14ac:dyDescent="0.25">
      <c r="A393" s="7"/>
      <c r="B393" s="7"/>
      <c r="C393" s="14"/>
      <c r="D393" s="14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</row>
    <row r="394" spans="1:18" ht="19.5" customHeight="1" x14ac:dyDescent="0.25">
      <c r="A394" s="7"/>
      <c r="B394" s="7"/>
      <c r="C394" s="14"/>
      <c r="D394" s="14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</row>
    <row r="395" spans="1:18" ht="19.5" customHeight="1" x14ac:dyDescent="0.25">
      <c r="A395" s="7"/>
      <c r="B395" s="7"/>
      <c r="C395" s="14"/>
      <c r="D395" s="14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</row>
    <row r="396" spans="1:18" ht="19.5" customHeight="1" x14ac:dyDescent="0.25">
      <c r="A396" s="7"/>
      <c r="B396" s="7"/>
      <c r="C396" s="14"/>
      <c r="D396" s="14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</row>
    <row r="397" spans="1:18" ht="19.5" customHeight="1" x14ac:dyDescent="0.25">
      <c r="A397" s="7"/>
      <c r="B397" s="7"/>
      <c r="C397" s="14"/>
      <c r="D397" s="14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</row>
    <row r="398" spans="1:18" ht="19.5" customHeight="1" x14ac:dyDescent="0.25">
      <c r="A398" s="7"/>
      <c r="B398" s="7"/>
      <c r="C398" s="14"/>
      <c r="D398" s="14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</row>
    <row r="399" spans="1:18" ht="19.5" customHeight="1" x14ac:dyDescent="0.25">
      <c r="A399" s="7"/>
      <c r="B399" s="7"/>
      <c r="C399" s="14"/>
      <c r="D399" s="14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</row>
    <row r="400" spans="1:18" ht="19.5" customHeight="1" x14ac:dyDescent="0.25">
      <c r="A400" s="7"/>
      <c r="B400" s="7"/>
      <c r="C400" s="14"/>
      <c r="D400" s="14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</row>
    <row r="401" spans="1:18" ht="19.5" customHeight="1" x14ac:dyDescent="0.25">
      <c r="A401" s="7"/>
      <c r="B401" s="7"/>
      <c r="C401" s="14"/>
      <c r="D401" s="14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</row>
    <row r="402" spans="1:18" ht="19.5" customHeight="1" x14ac:dyDescent="0.25">
      <c r="A402" s="7"/>
      <c r="B402" s="7"/>
      <c r="C402" s="14"/>
      <c r="D402" s="14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</row>
    <row r="403" spans="1:18" ht="19.5" customHeight="1" x14ac:dyDescent="0.25">
      <c r="A403" s="7"/>
      <c r="B403" s="7"/>
      <c r="C403" s="14"/>
      <c r="D403" s="14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</row>
    <row r="404" spans="1:18" ht="19.5" customHeight="1" x14ac:dyDescent="0.25">
      <c r="A404" s="7"/>
      <c r="B404" s="7"/>
      <c r="C404" s="14"/>
      <c r="D404" s="14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</row>
    <row r="405" spans="1:18" ht="19.5" customHeight="1" x14ac:dyDescent="0.25">
      <c r="A405" s="7"/>
      <c r="B405" s="7"/>
      <c r="C405" s="14"/>
      <c r="D405" s="14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</row>
    <row r="406" spans="1:18" ht="19.5" customHeight="1" x14ac:dyDescent="0.25">
      <c r="A406" s="7"/>
      <c r="B406" s="7"/>
      <c r="C406" s="14"/>
      <c r="D406" s="14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</row>
    <row r="407" spans="1:18" ht="19.5" customHeight="1" x14ac:dyDescent="0.25">
      <c r="A407" s="7"/>
      <c r="B407" s="7"/>
      <c r="C407" s="14"/>
      <c r="D407" s="14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</row>
    <row r="408" spans="1:18" ht="19.5" customHeight="1" x14ac:dyDescent="0.25">
      <c r="A408" s="7"/>
      <c r="B408" s="7"/>
      <c r="C408" s="14"/>
      <c r="D408" s="14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</row>
    <row r="409" spans="1:18" ht="19.5" customHeight="1" x14ac:dyDescent="0.25">
      <c r="A409" s="7"/>
      <c r="B409" s="7"/>
      <c r="C409" s="14"/>
      <c r="D409" s="14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</row>
    <row r="410" spans="1:18" ht="19.5" customHeight="1" x14ac:dyDescent="0.25">
      <c r="A410" s="7"/>
      <c r="B410" s="7"/>
      <c r="C410" s="14"/>
      <c r="D410" s="14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</row>
    <row r="411" spans="1:18" ht="19.5" customHeight="1" x14ac:dyDescent="0.25">
      <c r="A411" s="7"/>
      <c r="B411" s="7"/>
      <c r="C411" s="14"/>
      <c r="D411" s="14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</row>
    <row r="412" spans="1:18" ht="19.5" customHeight="1" x14ac:dyDescent="0.25">
      <c r="A412" s="7"/>
      <c r="B412" s="7"/>
      <c r="C412" s="14"/>
      <c r="D412" s="14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</row>
    <row r="413" spans="1:18" ht="19.5" customHeight="1" x14ac:dyDescent="0.25">
      <c r="A413" s="7"/>
      <c r="B413" s="7"/>
      <c r="C413" s="14"/>
      <c r="D413" s="14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</row>
    <row r="414" spans="1:18" ht="19.5" customHeight="1" x14ac:dyDescent="0.25">
      <c r="A414" s="7"/>
      <c r="B414" s="7"/>
      <c r="C414" s="14"/>
      <c r="D414" s="14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</row>
    <row r="415" spans="1:18" ht="19.5" customHeight="1" x14ac:dyDescent="0.25">
      <c r="A415" s="7"/>
      <c r="B415" s="7"/>
      <c r="C415" s="14"/>
      <c r="D415" s="14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</row>
    <row r="416" spans="1:18" ht="19.5" customHeight="1" x14ac:dyDescent="0.25">
      <c r="A416" s="7"/>
      <c r="B416" s="7"/>
      <c r="C416" s="14"/>
      <c r="D416" s="14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</row>
    <row r="417" spans="1:18" ht="19.5" customHeight="1" x14ac:dyDescent="0.25">
      <c r="A417" s="7"/>
      <c r="B417" s="7"/>
      <c r="C417" s="14"/>
      <c r="D417" s="14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</row>
    <row r="418" spans="1:18" ht="19.5" customHeight="1" x14ac:dyDescent="0.25">
      <c r="A418" s="7"/>
      <c r="B418" s="7"/>
      <c r="C418" s="14"/>
      <c r="D418" s="14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</row>
    <row r="419" spans="1:18" ht="19.5" customHeight="1" x14ac:dyDescent="0.25">
      <c r="A419" s="7"/>
      <c r="B419" s="7"/>
      <c r="C419" s="14"/>
      <c r="D419" s="14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</row>
    <row r="420" spans="1:18" ht="19.5" customHeight="1" x14ac:dyDescent="0.25">
      <c r="A420" s="7"/>
      <c r="B420" s="7"/>
      <c r="C420" s="14"/>
      <c r="D420" s="14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</row>
    <row r="421" spans="1:18" ht="19.5" customHeight="1" x14ac:dyDescent="0.25">
      <c r="A421" s="7"/>
      <c r="B421" s="7"/>
      <c r="C421" s="14"/>
      <c r="D421" s="14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</row>
    <row r="422" spans="1:18" ht="19.5" customHeight="1" x14ac:dyDescent="0.25">
      <c r="A422" s="7"/>
      <c r="B422" s="7"/>
      <c r="C422" s="14"/>
      <c r="D422" s="14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</row>
    <row r="423" spans="1:18" ht="19.5" customHeight="1" x14ac:dyDescent="0.25">
      <c r="A423" s="7"/>
      <c r="B423" s="7"/>
      <c r="C423" s="14"/>
      <c r="D423" s="14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</row>
    <row r="424" spans="1:18" ht="19.5" customHeight="1" x14ac:dyDescent="0.25">
      <c r="A424" s="7"/>
      <c r="B424" s="7"/>
      <c r="C424" s="14"/>
      <c r="D424" s="14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</row>
    <row r="425" spans="1:18" ht="19.5" customHeight="1" x14ac:dyDescent="0.25">
      <c r="A425" s="7"/>
      <c r="B425" s="7"/>
      <c r="C425" s="14"/>
      <c r="D425" s="14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</row>
    <row r="426" spans="1:18" ht="19.5" customHeight="1" x14ac:dyDescent="0.25">
      <c r="A426" s="7"/>
      <c r="B426" s="7"/>
      <c r="C426" s="14"/>
      <c r="D426" s="14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</row>
    <row r="427" spans="1:18" ht="19.5" customHeight="1" x14ac:dyDescent="0.25">
      <c r="A427" s="7"/>
      <c r="B427" s="7"/>
      <c r="C427" s="14"/>
      <c r="D427" s="14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</row>
    <row r="428" spans="1:18" ht="19.5" customHeight="1" x14ac:dyDescent="0.25">
      <c r="A428" s="7"/>
      <c r="B428" s="7"/>
      <c r="C428" s="14"/>
      <c r="D428" s="14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</row>
    <row r="429" spans="1:18" ht="19.5" customHeight="1" x14ac:dyDescent="0.25">
      <c r="A429" s="7"/>
      <c r="B429" s="7"/>
      <c r="C429" s="14"/>
      <c r="D429" s="14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</row>
    <row r="430" spans="1:18" ht="19.5" customHeight="1" x14ac:dyDescent="0.25">
      <c r="A430" s="7"/>
      <c r="B430" s="7"/>
      <c r="C430" s="14"/>
      <c r="D430" s="14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</row>
    <row r="431" spans="1:18" ht="19.5" customHeight="1" x14ac:dyDescent="0.25">
      <c r="A431" s="7"/>
      <c r="B431" s="7"/>
      <c r="C431" s="14"/>
      <c r="D431" s="14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</row>
    <row r="432" spans="1:18" ht="19.5" customHeight="1" x14ac:dyDescent="0.25">
      <c r="A432" s="7"/>
      <c r="B432" s="7"/>
      <c r="C432" s="14"/>
      <c r="D432" s="14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</row>
    <row r="433" spans="1:18" ht="19.5" customHeight="1" x14ac:dyDescent="0.25">
      <c r="A433" s="7"/>
      <c r="B433" s="7"/>
      <c r="C433" s="14"/>
      <c r="D433" s="14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</row>
    <row r="434" spans="1:18" ht="19.5" customHeight="1" x14ac:dyDescent="0.25">
      <c r="A434" s="7"/>
      <c r="B434" s="7"/>
      <c r="C434" s="14"/>
      <c r="D434" s="14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</row>
    <row r="435" spans="1:18" ht="19.5" customHeight="1" x14ac:dyDescent="0.25">
      <c r="A435" s="7"/>
      <c r="B435" s="7"/>
      <c r="C435" s="14"/>
      <c r="D435" s="14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</row>
    <row r="436" spans="1:18" ht="19.5" customHeight="1" x14ac:dyDescent="0.25">
      <c r="A436" s="7"/>
      <c r="B436" s="7"/>
      <c r="C436" s="14"/>
      <c r="D436" s="14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</row>
    <row r="437" spans="1:18" ht="19.5" customHeight="1" x14ac:dyDescent="0.25">
      <c r="A437" s="7"/>
      <c r="B437" s="7"/>
      <c r="C437" s="14"/>
      <c r="D437" s="14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</row>
    <row r="438" spans="1:18" ht="19.5" customHeight="1" x14ac:dyDescent="0.25">
      <c r="A438" s="7"/>
      <c r="B438" s="7"/>
      <c r="C438" s="14"/>
      <c r="D438" s="14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</row>
    <row r="439" spans="1:18" ht="19.5" customHeight="1" x14ac:dyDescent="0.25">
      <c r="A439" s="7"/>
      <c r="B439" s="7"/>
      <c r="C439" s="14"/>
      <c r="D439" s="14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</row>
    <row r="440" spans="1:18" ht="19.5" customHeight="1" x14ac:dyDescent="0.25">
      <c r="A440" s="7"/>
      <c r="B440" s="7"/>
      <c r="C440" s="14"/>
      <c r="D440" s="14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</row>
    <row r="441" spans="1:18" ht="19.5" customHeight="1" x14ac:dyDescent="0.25">
      <c r="A441" s="7"/>
      <c r="B441" s="7"/>
      <c r="C441" s="14"/>
      <c r="D441" s="14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</row>
    <row r="442" spans="1:18" ht="19.5" customHeight="1" x14ac:dyDescent="0.25">
      <c r="A442" s="7"/>
      <c r="B442" s="7"/>
      <c r="C442" s="14"/>
      <c r="D442" s="14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</row>
    <row r="443" spans="1:18" ht="19.5" customHeight="1" x14ac:dyDescent="0.25">
      <c r="A443" s="7"/>
      <c r="B443" s="7"/>
      <c r="C443" s="14"/>
      <c r="D443" s="14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</row>
    <row r="444" spans="1:18" ht="19.5" customHeight="1" x14ac:dyDescent="0.25">
      <c r="A444" s="7"/>
      <c r="B444" s="7"/>
      <c r="C444" s="14"/>
      <c r="D444" s="14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</row>
    <row r="445" spans="1:18" ht="19.5" customHeight="1" x14ac:dyDescent="0.25">
      <c r="A445" s="7"/>
      <c r="B445" s="7"/>
      <c r="C445" s="14"/>
      <c r="D445" s="14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</row>
    <row r="446" spans="1:18" ht="19.5" customHeight="1" x14ac:dyDescent="0.25">
      <c r="A446" s="7"/>
      <c r="B446" s="7"/>
      <c r="C446" s="14"/>
      <c r="D446" s="14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</row>
    <row r="447" spans="1:18" ht="19.5" customHeight="1" x14ac:dyDescent="0.25">
      <c r="A447" s="7"/>
      <c r="B447" s="7"/>
      <c r="C447" s="14"/>
      <c r="D447" s="14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</row>
    <row r="448" spans="1:18" ht="19.5" customHeight="1" x14ac:dyDescent="0.25">
      <c r="A448" s="7"/>
      <c r="B448" s="7"/>
      <c r="C448" s="14"/>
      <c r="D448" s="14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</row>
    <row r="449" spans="1:18" ht="19.5" customHeight="1" x14ac:dyDescent="0.25">
      <c r="A449" s="7"/>
      <c r="B449" s="7"/>
      <c r="C449" s="14"/>
      <c r="D449" s="14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</row>
    <row r="450" spans="1:18" ht="19.5" customHeight="1" x14ac:dyDescent="0.25">
      <c r="A450" s="7"/>
      <c r="B450" s="7"/>
      <c r="C450" s="14"/>
      <c r="D450" s="14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</row>
    <row r="451" spans="1:18" ht="19.5" customHeight="1" x14ac:dyDescent="0.25">
      <c r="A451" s="7"/>
      <c r="B451" s="7"/>
      <c r="C451" s="14"/>
      <c r="D451" s="14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</row>
    <row r="452" spans="1:18" ht="19.5" customHeight="1" x14ac:dyDescent="0.25">
      <c r="A452" s="7"/>
      <c r="B452" s="7"/>
      <c r="C452" s="14"/>
      <c r="D452" s="14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</row>
    <row r="453" spans="1:18" ht="19.5" customHeight="1" x14ac:dyDescent="0.25">
      <c r="A453" s="7"/>
      <c r="B453" s="7"/>
      <c r="C453" s="14"/>
      <c r="D453" s="14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</row>
    <row r="454" spans="1:18" ht="19.5" customHeight="1" x14ac:dyDescent="0.25">
      <c r="A454" s="7"/>
      <c r="B454" s="7"/>
      <c r="C454" s="14"/>
      <c r="D454" s="14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</row>
    <row r="455" spans="1:18" ht="19.5" customHeight="1" x14ac:dyDescent="0.25">
      <c r="A455" s="7"/>
      <c r="B455" s="7"/>
      <c r="C455" s="14"/>
      <c r="D455" s="14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</row>
    <row r="456" spans="1:18" ht="19.5" customHeight="1" x14ac:dyDescent="0.25">
      <c r="A456" s="7"/>
      <c r="B456" s="7"/>
      <c r="C456" s="14"/>
      <c r="D456" s="14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</row>
    <row r="457" spans="1:18" ht="19.5" customHeight="1" x14ac:dyDescent="0.25">
      <c r="A457" s="7"/>
      <c r="B457" s="7"/>
      <c r="C457" s="14"/>
      <c r="D457" s="14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</row>
    <row r="458" spans="1:18" ht="19.5" customHeight="1" x14ac:dyDescent="0.25">
      <c r="A458" s="7"/>
      <c r="B458" s="7"/>
      <c r="C458" s="14"/>
      <c r="D458" s="14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</row>
    <row r="459" spans="1:18" ht="19.5" customHeight="1" x14ac:dyDescent="0.25">
      <c r="A459" s="7"/>
      <c r="B459" s="7"/>
      <c r="C459" s="14"/>
      <c r="D459" s="14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</row>
    <row r="460" spans="1:18" ht="19.5" customHeight="1" x14ac:dyDescent="0.25">
      <c r="A460" s="7"/>
      <c r="B460" s="7"/>
      <c r="C460" s="14"/>
      <c r="D460" s="14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</row>
    <row r="461" spans="1:18" ht="19.5" customHeight="1" x14ac:dyDescent="0.25">
      <c r="A461" s="7"/>
      <c r="B461" s="7"/>
      <c r="C461" s="14"/>
      <c r="D461" s="14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</row>
    <row r="462" spans="1:18" ht="19.5" customHeight="1" x14ac:dyDescent="0.25">
      <c r="A462" s="7"/>
      <c r="B462" s="7"/>
      <c r="C462" s="14"/>
      <c r="D462" s="14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</row>
    <row r="463" spans="1:18" ht="19.5" customHeight="1" x14ac:dyDescent="0.25">
      <c r="A463" s="7"/>
      <c r="B463" s="7"/>
      <c r="C463" s="14"/>
      <c r="D463" s="14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</row>
    <row r="464" spans="1:18" ht="19.5" customHeight="1" x14ac:dyDescent="0.25">
      <c r="A464" s="7"/>
      <c r="B464" s="7"/>
      <c r="C464" s="14"/>
      <c r="D464" s="14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</row>
    <row r="465" spans="1:18" ht="19.5" customHeight="1" x14ac:dyDescent="0.25">
      <c r="A465" s="7"/>
      <c r="B465" s="7"/>
      <c r="C465" s="14"/>
      <c r="D465" s="14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</row>
    <row r="466" spans="1:18" ht="19.5" customHeight="1" x14ac:dyDescent="0.25">
      <c r="A466" s="7"/>
      <c r="B466" s="7"/>
      <c r="C466" s="14"/>
      <c r="D466" s="14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</row>
    <row r="467" spans="1:18" ht="19.5" customHeight="1" x14ac:dyDescent="0.25">
      <c r="A467" s="7"/>
      <c r="B467" s="7"/>
      <c r="C467" s="14"/>
      <c r="D467" s="14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</row>
    <row r="468" spans="1:18" ht="19.5" customHeight="1" x14ac:dyDescent="0.25">
      <c r="A468" s="7"/>
      <c r="B468" s="7"/>
      <c r="C468" s="14"/>
      <c r="D468" s="14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</row>
    <row r="469" spans="1:18" ht="19.5" customHeight="1" x14ac:dyDescent="0.25">
      <c r="A469" s="7"/>
      <c r="B469" s="7"/>
      <c r="C469" s="14"/>
      <c r="D469" s="14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</row>
    <row r="470" spans="1:18" ht="19.5" customHeight="1" x14ac:dyDescent="0.25">
      <c r="A470" s="7"/>
      <c r="B470" s="7"/>
      <c r="C470" s="14"/>
      <c r="D470" s="14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</row>
    <row r="471" spans="1:18" ht="19.5" customHeight="1" x14ac:dyDescent="0.25">
      <c r="A471" s="7"/>
      <c r="B471" s="7"/>
      <c r="C471" s="14"/>
      <c r="D471" s="14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</row>
    <row r="472" spans="1:18" ht="19.5" customHeight="1" x14ac:dyDescent="0.25">
      <c r="A472" s="7"/>
      <c r="B472" s="7"/>
      <c r="C472" s="14"/>
      <c r="D472" s="14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</row>
    <row r="473" spans="1:18" ht="19.5" customHeight="1" x14ac:dyDescent="0.25">
      <c r="A473" s="7"/>
      <c r="B473" s="7"/>
      <c r="C473" s="14"/>
      <c r="D473" s="14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</row>
    <row r="474" spans="1:18" ht="19.5" customHeight="1" x14ac:dyDescent="0.25">
      <c r="A474" s="7"/>
      <c r="B474" s="7"/>
      <c r="C474" s="14"/>
      <c r="D474" s="14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</row>
    <row r="475" spans="1:18" ht="19.5" customHeight="1" x14ac:dyDescent="0.25">
      <c r="A475" s="7"/>
      <c r="B475" s="7"/>
      <c r="C475" s="14"/>
      <c r="D475" s="14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</row>
    <row r="476" spans="1:18" ht="19.5" customHeight="1" x14ac:dyDescent="0.25">
      <c r="A476" s="7"/>
      <c r="B476" s="7"/>
      <c r="C476" s="14"/>
      <c r="D476" s="14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</row>
    <row r="477" spans="1:18" ht="19.5" customHeight="1" x14ac:dyDescent="0.25">
      <c r="A477" s="7"/>
      <c r="B477" s="7"/>
      <c r="C477" s="14"/>
      <c r="D477" s="14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</row>
    <row r="478" spans="1:18" ht="19.5" customHeight="1" x14ac:dyDescent="0.25">
      <c r="A478" s="7"/>
      <c r="B478" s="7"/>
      <c r="C478" s="14"/>
      <c r="D478" s="14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</row>
    <row r="479" spans="1:18" ht="19.5" customHeight="1" x14ac:dyDescent="0.25">
      <c r="A479" s="7"/>
      <c r="B479" s="7"/>
      <c r="C479" s="14"/>
      <c r="D479" s="14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</row>
    <row r="480" spans="1:18" ht="19.5" customHeight="1" x14ac:dyDescent="0.25">
      <c r="A480" s="7"/>
      <c r="B480" s="7"/>
      <c r="C480" s="14"/>
      <c r="D480" s="14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</row>
    <row r="481" spans="1:18" ht="19.5" customHeight="1" x14ac:dyDescent="0.25">
      <c r="A481" s="7"/>
      <c r="B481" s="7"/>
      <c r="C481" s="14"/>
      <c r="D481" s="14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</row>
    <row r="482" spans="1:18" ht="19.5" customHeight="1" x14ac:dyDescent="0.25">
      <c r="A482" s="7"/>
      <c r="B482" s="7"/>
      <c r="C482" s="14"/>
      <c r="D482" s="14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</row>
    <row r="483" spans="1:18" ht="19.5" customHeight="1" x14ac:dyDescent="0.25">
      <c r="A483" s="7"/>
      <c r="B483" s="7"/>
      <c r="C483" s="14"/>
      <c r="D483" s="14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</row>
    <row r="484" spans="1:18" ht="19.5" customHeight="1" x14ac:dyDescent="0.25">
      <c r="A484" s="7"/>
      <c r="B484" s="7"/>
      <c r="C484" s="14"/>
      <c r="D484" s="14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</row>
    <row r="485" spans="1:18" ht="19.5" customHeight="1" x14ac:dyDescent="0.25">
      <c r="A485" s="7"/>
      <c r="B485" s="7"/>
      <c r="C485" s="14"/>
      <c r="D485" s="14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</row>
    <row r="486" spans="1:18" ht="19.5" customHeight="1" x14ac:dyDescent="0.25">
      <c r="A486" s="7"/>
      <c r="B486" s="7"/>
      <c r="C486" s="14"/>
      <c r="D486" s="14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</row>
    <row r="487" spans="1:18" ht="19.5" customHeight="1" x14ac:dyDescent="0.25">
      <c r="A487" s="7"/>
      <c r="B487" s="7"/>
      <c r="C487" s="14"/>
      <c r="D487" s="14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</row>
    <row r="488" spans="1:18" ht="19.5" customHeight="1" x14ac:dyDescent="0.25">
      <c r="A488" s="7"/>
      <c r="B488" s="7"/>
      <c r="C488" s="14"/>
      <c r="D488" s="14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</row>
    <row r="489" spans="1:18" ht="19.5" customHeight="1" x14ac:dyDescent="0.25">
      <c r="A489" s="7"/>
      <c r="B489" s="7"/>
      <c r="C489" s="14"/>
      <c r="D489" s="14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</row>
    <row r="490" spans="1:18" ht="19.5" customHeight="1" x14ac:dyDescent="0.25">
      <c r="A490" s="7"/>
      <c r="B490" s="7"/>
      <c r="C490" s="14"/>
      <c r="D490" s="14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</row>
    <row r="491" spans="1:18" ht="19.5" customHeight="1" x14ac:dyDescent="0.25">
      <c r="A491" s="7"/>
      <c r="B491" s="7"/>
      <c r="C491" s="14"/>
      <c r="D491" s="14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</row>
    <row r="492" spans="1:18" ht="19.5" customHeight="1" x14ac:dyDescent="0.25">
      <c r="A492" s="7"/>
      <c r="B492" s="7"/>
      <c r="C492" s="14"/>
      <c r="D492" s="14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</row>
    <row r="493" spans="1:18" ht="19.5" customHeight="1" x14ac:dyDescent="0.25">
      <c r="A493" s="7"/>
      <c r="B493" s="7"/>
      <c r="C493" s="14"/>
      <c r="D493" s="14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</row>
    <row r="494" spans="1:18" ht="19.5" customHeight="1" x14ac:dyDescent="0.25">
      <c r="A494" s="7"/>
      <c r="B494" s="7"/>
      <c r="C494" s="14"/>
      <c r="D494" s="14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</row>
    <row r="495" spans="1:18" ht="19.5" customHeight="1" x14ac:dyDescent="0.25">
      <c r="A495" s="7"/>
      <c r="B495" s="7"/>
      <c r="C495" s="14"/>
      <c r="D495" s="14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</row>
    <row r="496" spans="1:18" ht="19.5" customHeight="1" x14ac:dyDescent="0.25">
      <c r="A496" s="7"/>
      <c r="B496" s="7"/>
      <c r="C496" s="14"/>
      <c r="D496" s="14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</row>
    <row r="497" spans="1:18" ht="19.5" customHeight="1" x14ac:dyDescent="0.25">
      <c r="A497" s="7"/>
      <c r="B497" s="7"/>
      <c r="C497" s="14"/>
      <c r="D497" s="14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</row>
    <row r="498" spans="1:18" ht="19.5" customHeight="1" x14ac:dyDescent="0.25">
      <c r="A498" s="7"/>
      <c r="B498" s="7"/>
      <c r="C498" s="14"/>
      <c r="D498" s="14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</row>
    <row r="499" spans="1:18" ht="19.5" customHeight="1" x14ac:dyDescent="0.25">
      <c r="A499" s="7"/>
      <c r="B499" s="7"/>
      <c r="C499" s="14"/>
      <c r="D499" s="14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</row>
    <row r="500" spans="1:18" ht="19.5" customHeight="1" x14ac:dyDescent="0.25">
      <c r="A500" s="7"/>
      <c r="B500" s="7"/>
      <c r="C500" s="14"/>
      <c r="D500" s="14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</row>
    <row r="501" spans="1:18" ht="19.5" customHeight="1" x14ac:dyDescent="0.25">
      <c r="A501" s="7"/>
      <c r="B501" s="7"/>
      <c r="C501" s="14"/>
      <c r="D501" s="14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</row>
    <row r="502" spans="1:18" ht="19.5" customHeight="1" x14ac:dyDescent="0.25">
      <c r="A502" s="7"/>
      <c r="B502" s="7"/>
      <c r="C502" s="14"/>
      <c r="D502" s="14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</row>
    <row r="503" spans="1:18" ht="19.5" customHeight="1" x14ac:dyDescent="0.25">
      <c r="A503" s="7"/>
      <c r="B503" s="7"/>
      <c r="C503" s="14"/>
      <c r="D503" s="14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</row>
    <row r="504" spans="1:18" ht="19.5" customHeight="1" x14ac:dyDescent="0.25">
      <c r="A504" s="7"/>
      <c r="B504" s="7"/>
      <c r="C504" s="14"/>
      <c r="D504" s="14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</row>
    <row r="505" spans="1:18" ht="19.5" customHeight="1" x14ac:dyDescent="0.25">
      <c r="A505" s="7"/>
      <c r="B505" s="7"/>
      <c r="C505" s="14"/>
      <c r="D505" s="14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</row>
    <row r="506" spans="1:18" ht="19.5" customHeight="1" x14ac:dyDescent="0.25">
      <c r="A506" s="7"/>
      <c r="B506" s="7"/>
      <c r="C506" s="14"/>
      <c r="D506" s="14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</row>
    <row r="507" spans="1:18" ht="19.5" customHeight="1" x14ac:dyDescent="0.25">
      <c r="A507" s="7"/>
      <c r="B507" s="7"/>
      <c r="C507" s="14"/>
      <c r="D507" s="14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</row>
    <row r="508" spans="1:18" ht="19.5" customHeight="1" x14ac:dyDescent="0.25">
      <c r="A508" s="7"/>
      <c r="B508" s="7"/>
      <c r="C508" s="14"/>
      <c r="D508" s="14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</row>
    <row r="509" spans="1:18" ht="19.5" customHeight="1" x14ac:dyDescent="0.25">
      <c r="A509" s="7"/>
      <c r="B509" s="7"/>
      <c r="C509" s="14"/>
      <c r="D509" s="14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</row>
    <row r="510" spans="1:18" ht="19.5" customHeight="1" x14ac:dyDescent="0.25">
      <c r="A510" s="7"/>
      <c r="B510" s="7"/>
      <c r="C510" s="14"/>
      <c r="D510" s="14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</row>
    <row r="511" spans="1:18" ht="19.5" customHeight="1" x14ac:dyDescent="0.25">
      <c r="A511" s="7"/>
      <c r="B511" s="7"/>
      <c r="C511" s="14"/>
      <c r="D511" s="14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</row>
    <row r="512" spans="1:18" ht="19.5" customHeight="1" x14ac:dyDescent="0.25">
      <c r="A512" s="7"/>
      <c r="B512" s="7"/>
      <c r="C512" s="14"/>
      <c r="D512" s="14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</row>
    <row r="513" spans="1:18" ht="19.5" customHeight="1" x14ac:dyDescent="0.25">
      <c r="A513" s="7"/>
      <c r="B513" s="7"/>
      <c r="C513" s="14"/>
      <c r="D513" s="14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</row>
    <row r="514" spans="1:18" ht="19.5" customHeight="1" x14ac:dyDescent="0.25">
      <c r="A514" s="7"/>
      <c r="B514" s="7"/>
      <c r="C514" s="14"/>
      <c r="D514" s="14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</row>
    <row r="515" spans="1:18" ht="19.5" customHeight="1" x14ac:dyDescent="0.25">
      <c r="A515" s="7"/>
      <c r="B515" s="7"/>
      <c r="C515" s="14"/>
      <c r="D515" s="14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</row>
    <row r="516" spans="1:18" ht="19.5" customHeight="1" x14ac:dyDescent="0.25">
      <c r="A516" s="7"/>
      <c r="B516" s="7"/>
      <c r="C516" s="14"/>
      <c r="D516" s="14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</row>
    <row r="517" spans="1:18" ht="19.5" customHeight="1" x14ac:dyDescent="0.25">
      <c r="A517" s="7"/>
      <c r="B517" s="7"/>
      <c r="C517" s="14"/>
      <c r="D517" s="14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</row>
    <row r="518" spans="1:18" ht="19.5" customHeight="1" x14ac:dyDescent="0.25">
      <c r="A518" s="7"/>
      <c r="B518" s="7"/>
      <c r="C518" s="14"/>
      <c r="D518" s="14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</row>
    <row r="519" spans="1:18" ht="19.5" customHeight="1" x14ac:dyDescent="0.25">
      <c r="A519" s="7"/>
      <c r="B519" s="7"/>
      <c r="C519" s="14"/>
      <c r="D519" s="14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</row>
    <row r="520" spans="1:18" ht="19.5" customHeight="1" x14ac:dyDescent="0.25">
      <c r="A520" s="7"/>
      <c r="B520" s="7"/>
      <c r="C520" s="14"/>
      <c r="D520" s="14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</row>
    <row r="521" spans="1:18" ht="19.5" customHeight="1" x14ac:dyDescent="0.25">
      <c r="A521" s="7"/>
      <c r="B521" s="7"/>
      <c r="C521" s="14"/>
      <c r="D521" s="14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</row>
    <row r="522" spans="1:18" ht="19.5" customHeight="1" x14ac:dyDescent="0.25">
      <c r="A522" s="7"/>
      <c r="B522" s="7"/>
      <c r="C522" s="14"/>
      <c r="D522" s="14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</row>
    <row r="523" spans="1:18" ht="19.5" customHeight="1" x14ac:dyDescent="0.25">
      <c r="A523" s="7"/>
      <c r="B523" s="7"/>
      <c r="C523" s="14"/>
      <c r="D523" s="14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</row>
    <row r="524" spans="1:18" ht="19.5" customHeight="1" x14ac:dyDescent="0.25">
      <c r="A524" s="7"/>
      <c r="B524" s="7"/>
      <c r="C524" s="14"/>
      <c r="D524" s="14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</row>
    <row r="525" spans="1:18" ht="19.5" customHeight="1" x14ac:dyDescent="0.25">
      <c r="A525" s="7"/>
      <c r="B525" s="7"/>
      <c r="C525" s="14"/>
      <c r="D525" s="14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</row>
    <row r="526" spans="1:18" ht="19.5" customHeight="1" x14ac:dyDescent="0.25">
      <c r="A526" s="7"/>
      <c r="B526" s="7"/>
      <c r="C526" s="14"/>
      <c r="D526" s="14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</row>
    <row r="527" spans="1:18" ht="19.5" customHeight="1" x14ac:dyDescent="0.25">
      <c r="A527" s="7"/>
      <c r="B527" s="7"/>
      <c r="C527" s="14"/>
      <c r="D527" s="14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</row>
    <row r="528" spans="1:18" ht="19.5" customHeight="1" x14ac:dyDescent="0.25">
      <c r="A528" s="7"/>
      <c r="B528" s="7"/>
      <c r="C528" s="14"/>
      <c r="D528" s="14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</row>
    <row r="529" spans="1:18" ht="19.5" customHeight="1" x14ac:dyDescent="0.25">
      <c r="A529" s="7"/>
      <c r="B529" s="7"/>
      <c r="C529" s="14"/>
      <c r="D529" s="14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</row>
    <row r="530" spans="1:18" ht="19.5" customHeight="1" x14ac:dyDescent="0.25">
      <c r="A530" s="7"/>
      <c r="B530" s="7"/>
      <c r="C530" s="14"/>
      <c r="D530" s="14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</row>
    <row r="531" spans="1:18" ht="19.5" customHeight="1" x14ac:dyDescent="0.25">
      <c r="A531" s="7"/>
      <c r="B531" s="7"/>
      <c r="C531" s="14"/>
      <c r="D531" s="14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</row>
    <row r="532" spans="1:18" ht="19.5" customHeight="1" x14ac:dyDescent="0.25">
      <c r="A532" s="7"/>
      <c r="B532" s="7"/>
      <c r="C532" s="14"/>
      <c r="D532" s="14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</row>
    <row r="533" spans="1:18" ht="19.5" customHeight="1" x14ac:dyDescent="0.25">
      <c r="A533" s="7"/>
      <c r="B533" s="7"/>
      <c r="C533" s="14"/>
      <c r="D533" s="14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</row>
    <row r="534" spans="1:18" ht="19.5" customHeight="1" x14ac:dyDescent="0.25">
      <c r="A534" s="7"/>
      <c r="B534" s="7"/>
      <c r="C534" s="14"/>
      <c r="D534" s="14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</row>
    <row r="535" spans="1:18" ht="19.5" customHeight="1" x14ac:dyDescent="0.25">
      <c r="A535" s="7"/>
      <c r="B535" s="7"/>
      <c r="C535" s="14"/>
      <c r="D535" s="14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</row>
    <row r="536" spans="1:18" ht="19.5" customHeight="1" x14ac:dyDescent="0.25">
      <c r="A536" s="7"/>
      <c r="B536" s="7"/>
      <c r="C536" s="14"/>
      <c r="D536" s="14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</row>
    <row r="537" spans="1:18" ht="19.5" customHeight="1" x14ac:dyDescent="0.25">
      <c r="A537" s="7"/>
      <c r="B537" s="7"/>
      <c r="C537" s="14"/>
      <c r="D537" s="14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</row>
    <row r="538" spans="1:18" ht="19.5" customHeight="1" x14ac:dyDescent="0.25">
      <c r="A538" s="7"/>
      <c r="B538" s="7"/>
      <c r="C538" s="14"/>
      <c r="D538" s="14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</row>
    <row r="539" spans="1:18" ht="19.5" customHeight="1" x14ac:dyDescent="0.25">
      <c r="A539" s="7"/>
      <c r="B539" s="7"/>
      <c r="C539" s="14"/>
      <c r="D539" s="14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</row>
    <row r="540" spans="1:18" ht="19.5" customHeight="1" x14ac:dyDescent="0.25">
      <c r="A540" s="7"/>
      <c r="B540" s="7"/>
      <c r="C540" s="14"/>
      <c r="D540" s="14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</row>
    <row r="541" spans="1:18" ht="19.5" customHeight="1" x14ac:dyDescent="0.25">
      <c r="A541" s="7"/>
      <c r="B541" s="7"/>
      <c r="C541" s="14"/>
      <c r="D541" s="14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</row>
    <row r="542" spans="1:18" ht="19.5" customHeight="1" x14ac:dyDescent="0.25">
      <c r="A542" s="7"/>
      <c r="B542" s="7"/>
      <c r="C542" s="14"/>
      <c r="D542" s="14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</row>
    <row r="543" spans="1:18" ht="19.5" customHeight="1" x14ac:dyDescent="0.25">
      <c r="A543" s="7"/>
      <c r="B543" s="7"/>
      <c r="C543" s="14"/>
      <c r="D543" s="14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</row>
    <row r="544" spans="1:18" ht="19.5" customHeight="1" x14ac:dyDescent="0.25">
      <c r="A544" s="7"/>
      <c r="B544" s="7"/>
      <c r="C544" s="14"/>
      <c r="D544" s="14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</row>
    <row r="545" spans="1:18" ht="19.5" customHeight="1" x14ac:dyDescent="0.25">
      <c r="A545" s="7"/>
      <c r="B545" s="7"/>
      <c r="C545" s="14"/>
      <c r="D545" s="14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</row>
    <row r="546" spans="1:18" ht="19.5" customHeight="1" x14ac:dyDescent="0.25">
      <c r="A546" s="7"/>
      <c r="B546" s="7"/>
      <c r="C546" s="14"/>
      <c r="D546" s="14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</row>
    <row r="547" spans="1:18" ht="19.5" customHeight="1" x14ac:dyDescent="0.25">
      <c r="A547" s="7"/>
      <c r="B547" s="7"/>
      <c r="C547" s="14"/>
      <c r="D547" s="14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</row>
    <row r="548" spans="1:18" ht="19.5" customHeight="1" x14ac:dyDescent="0.25">
      <c r="A548" s="7"/>
      <c r="B548" s="7"/>
      <c r="C548" s="14"/>
      <c r="D548" s="14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</row>
    <row r="549" spans="1:18" ht="19.5" customHeight="1" x14ac:dyDescent="0.25">
      <c r="A549" s="7"/>
      <c r="B549" s="7"/>
      <c r="C549" s="14"/>
      <c r="D549" s="14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</row>
    <row r="550" spans="1:18" ht="19.5" customHeight="1" x14ac:dyDescent="0.25">
      <c r="A550" s="7"/>
      <c r="B550" s="7"/>
      <c r="C550" s="14"/>
      <c r="D550" s="14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</row>
    <row r="551" spans="1:18" ht="19.5" customHeight="1" x14ac:dyDescent="0.25">
      <c r="A551" s="7"/>
      <c r="B551" s="7"/>
      <c r="C551" s="14"/>
      <c r="D551" s="14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</row>
    <row r="552" spans="1:18" ht="19.5" customHeight="1" x14ac:dyDescent="0.25">
      <c r="A552" s="7"/>
      <c r="B552" s="7"/>
      <c r="C552" s="14"/>
      <c r="D552" s="14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</row>
    <row r="553" spans="1:18" ht="19.5" customHeight="1" x14ac:dyDescent="0.25">
      <c r="A553" s="7"/>
      <c r="B553" s="7"/>
      <c r="C553" s="14"/>
      <c r="D553" s="14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</row>
    <row r="554" spans="1:18" ht="19.5" customHeight="1" x14ac:dyDescent="0.25">
      <c r="A554" s="7"/>
      <c r="B554" s="7"/>
      <c r="C554" s="14"/>
      <c r="D554" s="14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</row>
    <row r="555" spans="1:18" ht="19.5" customHeight="1" x14ac:dyDescent="0.25">
      <c r="A555" s="7"/>
      <c r="B555" s="7"/>
      <c r="C555" s="14"/>
      <c r="D555" s="14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</row>
    <row r="556" spans="1:18" ht="19.5" customHeight="1" x14ac:dyDescent="0.25">
      <c r="A556" s="7"/>
      <c r="B556" s="7"/>
      <c r="C556" s="14"/>
      <c r="D556" s="14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</row>
    <row r="557" spans="1:18" ht="19.5" customHeight="1" x14ac:dyDescent="0.25">
      <c r="A557" s="7"/>
      <c r="B557" s="7"/>
      <c r="C557" s="14"/>
      <c r="D557" s="14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</row>
    <row r="558" spans="1:18" ht="19.5" customHeight="1" x14ac:dyDescent="0.25">
      <c r="A558" s="7"/>
      <c r="B558" s="7"/>
      <c r="C558" s="14"/>
      <c r="D558" s="14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</row>
    <row r="559" spans="1:18" ht="19.5" customHeight="1" x14ac:dyDescent="0.25">
      <c r="A559" s="7"/>
      <c r="B559" s="7"/>
      <c r="C559" s="14"/>
      <c r="D559" s="14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</row>
    <row r="560" spans="1:18" ht="19.5" customHeight="1" x14ac:dyDescent="0.25">
      <c r="A560" s="7"/>
      <c r="B560" s="7"/>
      <c r="C560" s="14"/>
      <c r="D560" s="14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</row>
    <row r="561" spans="1:18" ht="19.5" customHeight="1" x14ac:dyDescent="0.25">
      <c r="A561" s="7"/>
      <c r="B561" s="7"/>
      <c r="C561" s="14"/>
      <c r="D561" s="14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</row>
    <row r="562" spans="1:18" ht="19.5" customHeight="1" x14ac:dyDescent="0.25">
      <c r="A562" s="7"/>
      <c r="B562" s="7"/>
      <c r="C562" s="14"/>
      <c r="D562" s="14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</row>
    <row r="563" spans="1:18" ht="19.5" customHeight="1" x14ac:dyDescent="0.25">
      <c r="A563" s="7"/>
      <c r="B563" s="7"/>
      <c r="C563" s="14"/>
      <c r="D563" s="14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</row>
    <row r="564" spans="1:18" ht="19.5" customHeight="1" x14ac:dyDescent="0.25">
      <c r="A564" s="7"/>
      <c r="B564" s="7"/>
      <c r="C564" s="14"/>
      <c r="D564" s="14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</row>
    <row r="565" spans="1:18" ht="19.5" customHeight="1" x14ac:dyDescent="0.25">
      <c r="A565" s="7"/>
      <c r="B565" s="7"/>
      <c r="C565" s="14"/>
      <c r="D565" s="14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</row>
    <row r="566" spans="1:18" ht="19.5" customHeight="1" x14ac:dyDescent="0.25">
      <c r="A566" s="7"/>
      <c r="B566" s="7"/>
      <c r="C566" s="14"/>
      <c r="D566" s="14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</row>
    <row r="567" spans="1:18" ht="19.5" customHeight="1" x14ac:dyDescent="0.25">
      <c r="A567" s="7"/>
      <c r="B567" s="7"/>
      <c r="C567" s="14"/>
      <c r="D567" s="14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</row>
    <row r="568" spans="1:18" ht="19.5" customHeight="1" x14ac:dyDescent="0.25">
      <c r="A568" s="7"/>
      <c r="B568" s="7"/>
      <c r="C568" s="14"/>
      <c r="D568" s="14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</row>
    <row r="569" spans="1:18" ht="19.5" customHeight="1" x14ac:dyDescent="0.25">
      <c r="A569" s="7"/>
      <c r="B569" s="7"/>
      <c r="C569" s="14"/>
      <c r="D569" s="14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</row>
    <row r="570" spans="1:18" ht="19.5" customHeight="1" x14ac:dyDescent="0.25">
      <c r="A570" s="7"/>
      <c r="B570" s="7"/>
      <c r="C570" s="14"/>
      <c r="D570" s="14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</row>
    <row r="571" spans="1:18" ht="19.5" customHeight="1" x14ac:dyDescent="0.25">
      <c r="A571" s="7"/>
      <c r="B571" s="7"/>
      <c r="C571" s="14"/>
      <c r="D571" s="14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</row>
    <row r="572" spans="1:18" ht="19.5" customHeight="1" x14ac:dyDescent="0.25">
      <c r="A572" s="7"/>
      <c r="B572" s="7"/>
      <c r="C572" s="14"/>
      <c r="D572" s="14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</row>
    <row r="573" spans="1:18" ht="19.5" customHeight="1" x14ac:dyDescent="0.25">
      <c r="A573" s="7"/>
      <c r="B573" s="7"/>
      <c r="C573" s="14"/>
      <c r="D573" s="14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</row>
    <row r="574" spans="1:18" ht="19.5" customHeight="1" x14ac:dyDescent="0.25">
      <c r="A574" s="7"/>
      <c r="B574" s="7"/>
      <c r="C574" s="14"/>
      <c r="D574" s="14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</row>
    <row r="575" spans="1:18" ht="19.5" customHeight="1" x14ac:dyDescent="0.25">
      <c r="A575" s="7"/>
      <c r="B575" s="7"/>
      <c r="C575" s="14"/>
      <c r="D575" s="14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</row>
    <row r="576" spans="1:18" ht="19.5" customHeight="1" x14ac:dyDescent="0.25">
      <c r="A576" s="7"/>
      <c r="B576" s="7"/>
      <c r="C576" s="14"/>
      <c r="D576" s="14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</row>
    <row r="577" spans="1:18" ht="19.5" customHeight="1" x14ac:dyDescent="0.25">
      <c r="A577" s="7"/>
      <c r="B577" s="7"/>
      <c r="C577" s="14"/>
      <c r="D577" s="14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</row>
    <row r="578" spans="1:18" ht="19.5" customHeight="1" x14ac:dyDescent="0.25">
      <c r="A578" s="7"/>
      <c r="B578" s="7"/>
      <c r="C578" s="14"/>
      <c r="D578" s="14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</row>
    <row r="579" spans="1:18" ht="19.5" customHeight="1" x14ac:dyDescent="0.25">
      <c r="A579" s="7"/>
      <c r="B579" s="7"/>
      <c r="C579" s="14"/>
      <c r="D579" s="14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</row>
    <row r="580" spans="1:18" ht="19.5" customHeight="1" x14ac:dyDescent="0.25">
      <c r="A580" s="7"/>
      <c r="B580" s="7"/>
      <c r="C580" s="14"/>
      <c r="D580" s="14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</row>
    <row r="581" spans="1:18" ht="19.5" customHeight="1" x14ac:dyDescent="0.25">
      <c r="A581" s="7"/>
      <c r="B581" s="7"/>
      <c r="C581" s="14"/>
      <c r="D581" s="14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</row>
    <row r="582" spans="1:18" ht="19.5" customHeight="1" x14ac:dyDescent="0.25">
      <c r="A582" s="7"/>
      <c r="B582" s="7"/>
      <c r="C582" s="14"/>
      <c r="D582" s="14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</row>
    <row r="583" spans="1:18" ht="19.5" customHeight="1" x14ac:dyDescent="0.25">
      <c r="A583" s="7"/>
      <c r="B583" s="7"/>
      <c r="C583" s="14"/>
      <c r="D583" s="14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</row>
    <row r="584" spans="1:18" ht="19.5" customHeight="1" x14ac:dyDescent="0.25">
      <c r="A584" s="7"/>
      <c r="B584" s="7"/>
      <c r="C584" s="14"/>
      <c r="D584" s="14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</row>
    <row r="585" spans="1:18" ht="19.5" customHeight="1" x14ac:dyDescent="0.25">
      <c r="A585" s="7"/>
      <c r="B585" s="7"/>
      <c r="C585" s="14"/>
      <c r="D585" s="14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</row>
    <row r="586" spans="1:18" ht="19.5" customHeight="1" x14ac:dyDescent="0.25">
      <c r="A586" s="7"/>
      <c r="B586" s="7"/>
      <c r="C586" s="14"/>
      <c r="D586" s="14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</row>
    <row r="587" spans="1:18" ht="19.5" customHeight="1" x14ac:dyDescent="0.25">
      <c r="A587" s="7"/>
      <c r="B587" s="7"/>
      <c r="C587" s="14"/>
      <c r="D587" s="14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</row>
    <row r="588" spans="1:18" ht="19.5" customHeight="1" x14ac:dyDescent="0.25">
      <c r="A588" s="7"/>
      <c r="B588" s="7"/>
      <c r="C588" s="14"/>
      <c r="D588" s="14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</row>
    <row r="589" spans="1:18" ht="19.5" customHeight="1" x14ac:dyDescent="0.25">
      <c r="A589" s="7"/>
      <c r="B589" s="7"/>
      <c r="C589" s="14"/>
      <c r="D589" s="14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</row>
    <row r="590" spans="1:18" ht="19.5" customHeight="1" x14ac:dyDescent="0.25">
      <c r="A590" s="7"/>
      <c r="B590" s="7"/>
      <c r="C590" s="14"/>
      <c r="D590" s="14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</row>
    <row r="591" spans="1:18" ht="19.5" customHeight="1" x14ac:dyDescent="0.25">
      <c r="A591" s="7"/>
      <c r="B591" s="7"/>
      <c r="C591" s="14"/>
      <c r="D591" s="14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</row>
    <row r="592" spans="1:18" ht="19.5" customHeight="1" x14ac:dyDescent="0.25">
      <c r="A592" s="7"/>
      <c r="B592" s="7"/>
      <c r="C592" s="14"/>
      <c r="D592" s="14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</row>
    <row r="593" spans="1:18" ht="19.5" customHeight="1" x14ac:dyDescent="0.25">
      <c r="A593" s="7"/>
      <c r="B593" s="7"/>
      <c r="C593" s="14"/>
      <c r="D593" s="14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</row>
    <row r="594" spans="1:18" ht="19.5" customHeight="1" x14ac:dyDescent="0.25">
      <c r="A594" s="7"/>
      <c r="B594" s="7"/>
      <c r="C594" s="14"/>
      <c r="D594" s="14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</row>
    <row r="595" spans="1:18" ht="19.5" customHeight="1" x14ac:dyDescent="0.25">
      <c r="A595" s="7"/>
      <c r="B595" s="7"/>
      <c r="C595" s="14"/>
      <c r="D595" s="14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</row>
    <row r="596" spans="1:18" ht="19.5" customHeight="1" x14ac:dyDescent="0.25">
      <c r="A596" s="7"/>
      <c r="B596" s="7"/>
      <c r="C596" s="14"/>
      <c r="D596" s="14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</row>
    <row r="597" spans="1:18" ht="19.5" customHeight="1" x14ac:dyDescent="0.25">
      <c r="A597" s="7"/>
      <c r="B597" s="7"/>
      <c r="C597" s="14"/>
      <c r="D597" s="14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</row>
    <row r="598" spans="1:18" ht="19.5" customHeight="1" x14ac:dyDescent="0.25">
      <c r="A598" s="7"/>
      <c r="B598" s="7"/>
      <c r="C598" s="14"/>
      <c r="D598" s="14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</row>
    <row r="599" spans="1:18" ht="19.5" customHeight="1" x14ac:dyDescent="0.25">
      <c r="A599" s="7"/>
      <c r="B599" s="7"/>
      <c r="C599" s="14"/>
      <c r="D599" s="14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</row>
    <row r="600" spans="1:18" ht="19.5" customHeight="1" x14ac:dyDescent="0.25">
      <c r="A600" s="7"/>
      <c r="B600" s="7"/>
      <c r="C600" s="14"/>
      <c r="D600" s="14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</row>
    <row r="601" spans="1:18" ht="19.5" customHeight="1" x14ac:dyDescent="0.25">
      <c r="A601" s="7"/>
      <c r="B601" s="7"/>
      <c r="C601" s="14"/>
      <c r="D601" s="14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</row>
    <row r="602" spans="1:18" ht="19.5" customHeight="1" x14ac:dyDescent="0.25">
      <c r="A602" s="7"/>
      <c r="B602" s="7"/>
      <c r="C602" s="14"/>
      <c r="D602" s="14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</row>
    <row r="603" spans="1:18" ht="19.5" customHeight="1" x14ac:dyDescent="0.25">
      <c r="A603" s="7"/>
      <c r="B603" s="7"/>
      <c r="C603" s="14"/>
      <c r="D603" s="14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</row>
    <row r="604" spans="1:18" ht="19.5" customHeight="1" x14ac:dyDescent="0.25">
      <c r="A604" s="7"/>
      <c r="B604" s="7"/>
      <c r="C604" s="14"/>
      <c r="D604" s="14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</row>
    <row r="605" spans="1:18" ht="19.5" customHeight="1" x14ac:dyDescent="0.25">
      <c r="A605" s="7"/>
      <c r="B605" s="7"/>
      <c r="C605" s="14"/>
      <c r="D605" s="14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</row>
    <row r="606" spans="1:18" ht="19.5" customHeight="1" x14ac:dyDescent="0.25">
      <c r="A606" s="7"/>
      <c r="B606" s="7"/>
      <c r="C606" s="14"/>
      <c r="D606" s="14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</row>
    <row r="607" spans="1:18" ht="19.5" customHeight="1" x14ac:dyDescent="0.25">
      <c r="A607" s="7"/>
      <c r="B607" s="7"/>
      <c r="C607" s="14"/>
      <c r="D607" s="14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</row>
    <row r="608" spans="1:18" ht="19.5" customHeight="1" x14ac:dyDescent="0.25">
      <c r="A608" s="7"/>
      <c r="B608" s="7"/>
      <c r="C608" s="14"/>
      <c r="D608" s="14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</row>
    <row r="609" spans="1:18" ht="19.5" customHeight="1" x14ac:dyDescent="0.25">
      <c r="A609" s="7"/>
      <c r="B609" s="7"/>
      <c r="C609" s="14"/>
      <c r="D609" s="14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</row>
    <row r="610" spans="1:18" ht="19.5" customHeight="1" x14ac:dyDescent="0.25">
      <c r="A610" s="7"/>
      <c r="B610" s="7"/>
      <c r="C610" s="14"/>
      <c r="D610" s="14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</row>
    <row r="611" spans="1:18" ht="19.5" customHeight="1" x14ac:dyDescent="0.25">
      <c r="A611" s="7"/>
      <c r="B611" s="7"/>
      <c r="C611" s="14"/>
      <c r="D611" s="14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</row>
    <row r="612" spans="1:18" ht="19.5" customHeight="1" x14ac:dyDescent="0.25">
      <c r="A612" s="7"/>
      <c r="B612" s="7"/>
      <c r="C612" s="14"/>
      <c r="D612" s="14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</row>
    <row r="613" spans="1:18" ht="19.5" customHeight="1" x14ac:dyDescent="0.25">
      <c r="A613" s="7"/>
      <c r="B613" s="7"/>
      <c r="C613" s="14"/>
      <c r="D613" s="14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</row>
    <row r="614" spans="1:18" ht="19.5" customHeight="1" x14ac:dyDescent="0.25">
      <c r="A614" s="7"/>
      <c r="B614" s="7"/>
      <c r="C614" s="14"/>
      <c r="D614" s="14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</row>
    <row r="615" spans="1:18" ht="19.5" customHeight="1" x14ac:dyDescent="0.25">
      <c r="A615" s="7"/>
      <c r="B615" s="7"/>
      <c r="C615" s="14"/>
      <c r="D615" s="14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</row>
    <row r="616" spans="1:18" ht="19.5" customHeight="1" x14ac:dyDescent="0.25">
      <c r="A616" s="7"/>
      <c r="B616" s="7"/>
      <c r="C616" s="14"/>
      <c r="D616" s="14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</row>
    <row r="617" spans="1:18" ht="19.5" customHeight="1" x14ac:dyDescent="0.25">
      <c r="A617" s="7"/>
      <c r="B617" s="7"/>
      <c r="C617" s="14"/>
      <c r="D617" s="14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</row>
    <row r="618" spans="1:18" ht="19.5" customHeight="1" x14ac:dyDescent="0.25">
      <c r="A618" s="7"/>
      <c r="B618" s="7"/>
      <c r="C618" s="14"/>
      <c r="D618" s="14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</row>
    <row r="619" spans="1:18" ht="19.5" customHeight="1" x14ac:dyDescent="0.25">
      <c r="A619" s="7"/>
      <c r="B619" s="7"/>
      <c r="C619" s="14"/>
      <c r="D619" s="14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</row>
    <row r="620" spans="1:18" ht="19.5" customHeight="1" x14ac:dyDescent="0.25">
      <c r="A620" s="7"/>
      <c r="B620" s="7"/>
      <c r="C620" s="14"/>
      <c r="D620" s="14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</row>
    <row r="621" spans="1:18" ht="19.5" customHeight="1" x14ac:dyDescent="0.25">
      <c r="A621" s="7"/>
      <c r="B621" s="7"/>
      <c r="C621" s="14"/>
      <c r="D621" s="14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</row>
    <row r="622" spans="1:18" ht="19.5" customHeight="1" x14ac:dyDescent="0.25">
      <c r="A622" s="7"/>
      <c r="B622" s="7"/>
      <c r="C622" s="14"/>
      <c r="D622" s="14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</row>
    <row r="623" spans="1:18" ht="19.5" customHeight="1" x14ac:dyDescent="0.25">
      <c r="A623" s="7"/>
      <c r="B623" s="7"/>
      <c r="C623" s="14"/>
      <c r="D623" s="14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</row>
    <row r="624" spans="1:18" ht="19.5" customHeight="1" x14ac:dyDescent="0.25">
      <c r="A624" s="7"/>
      <c r="B624" s="7"/>
      <c r="C624" s="14"/>
      <c r="D624" s="14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</row>
    <row r="625" spans="1:18" ht="19.5" customHeight="1" x14ac:dyDescent="0.25">
      <c r="A625" s="7"/>
      <c r="B625" s="7"/>
      <c r="C625" s="14"/>
      <c r="D625" s="14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</row>
    <row r="626" spans="1:18" ht="19.5" customHeight="1" x14ac:dyDescent="0.25">
      <c r="A626" s="7"/>
      <c r="B626" s="7"/>
      <c r="C626" s="14"/>
      <c r="D626" s="14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</row>
    <row r="627" spans="1:18" ht="19.5" customHeight="1" x14ac:dyDescent="0.25">
      <c r="A627" s="7"/>
      <c r="B627" s="7"/>
      <c r="C627" s="14"/>
      <c r="D627" s="14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</row>
    <row r="628" spans="1:18" ht="19.5" customHeight="1" x14ac:dyDescent="0.25">
      <c r="A628" s="7"/>
      <c r="B628" s="7"/>
      <c r="C628" s="14"/>
      <c r="D628" s="14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</row>
    <row r="629" spans="1:18" ht="19.5" customHeight="1" x14ac:dyDescent="0.25">
      <c r="A629" s="7"/>
      <c r="B629" s="7"/>
      <c r="C629" s="14"/>
      <c r="D629" s="14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</row>
    <row r="630" spans="1:18" ht="19.5" customHeight="1" x14ac:dyDescent="0.25">
      <c r="A630" s="7"/>
      <c r="B630" s="7"/>
      <c r="C630" s="14"/>
      <c r="D630" s="14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</row>
    <row r="631" spans="1:18" ht="19.5" customHeight="1" x14ac:dyDescent="0.25">
      <c r="A631" s="7"/>
      <c r="B631" s="7"/>
      <c r="C631" s="14"/>
      <c r="D631" s="14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</row>
    <row r="632" spans="1:18" ht="19.5" customHeight="1" x14ac:dyDescent="0.25">
      <c r="A632" s="7"/>
      <c r="B632" s="7"/>
      <c r="C632" s="14"/>
      <c r="D632" s="14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</row>
    <row r="633" spans="1:18" ht="19.5" customHeight="1" x14ac:dyDescent="0.25">
      <c r="A633" s="7"/>
      <c r="B633" s="7"/>
      <c r="C633" s="14"/>
      <c r="D633" s="14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</row>
    <row r="634" spans="1:18" ht="19.5" customHeight="1" x14ac:dyDescent="0.25">
      <c r="A634" s="7"/>
      <c r="B634" s="7"/>
      <c r="C634" s="14"/>
      <c r="D634" s="14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</row>
    <row r="635" spans="1:18" ht="19.5" customHeight="1" x14ac:dyDescent="0.25">
      <c r="A635" s="7"/>
      <c r="B635" s="7"/>
      <c r="C635" s="14"/>
      <c r="D635" s="14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</row>
    <row r="636" spans="1:18" ht="19.5" customHeight="1" x14ac:dyDescent="0.25">
      <c r="A636" s="7"/>
      <c r="B636" s="7"/>
      <c r="C636" s="14"/>
      <c r="D636" s="14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</row>
    <row r="637" spans="1:18" ht="19.5" customHeight="1" x14ac:dyDescent="0.25">
      <c r="A637" s="7"/>
      <c r="B637" s="7"/>
      <c r="C637" s="14"/>
      <c r="D637" s="14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</row>
    <row r="638" spans="1:18" ht="19.5" customHeight="1" x14ac:dyDescent="0.25">
      <c r="A638" s="7"/>
      <c r="B638" s="7"/>
      <c r="C638" s="14"/>
      <c r="D638" s="14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</row>
    <row r="639" spans="1:18" ht="19.5" customHeight="1" x14ac:dyDescent="0.25">
      <c r="A639" s="7"/>
      <c r="B639" s="7"/>
      <c r="C639" s="14"/>
      <c r="D639" s="14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</row>
    <row r="640" spans="1:18" ht="19.5" customHeight="1" x14ac:dyDescent="0.25">
      <c r="A640" s="7"/>
      <c r="B640" s="7"/>
      <c r="C640" s="14"/>
      <c r="D640" s="14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</row>
    <row r="641" spans="1:18" ht="19.5" customHeight="1" x14ac:dyDescent="0.25">
      <c r="A641" s="7"/>
      <c r="B641" s="7"/>
      <c r="C641" s="14"/>
      <c r="D641" s="14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</row>
    <row r="642" spans="1:18" ht="19.5" customHeight="1" x14ac:dyDescent="0.25">
      <c r="A642" s="7"/>
      <c r="B642" s="7"/>
      <c r="C642" s="14"/>
      <c r="D642" s="14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</row>
    <row r="643" spans="1:18" ht="19.5" customHeight="1" x14ac:dyDescent="0.25">
      <c r="A643" s="7"/>
      <c r="B643" s="7"/>
      <c r="C643" s="14"/>
      <c r="D643" s="14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</row>
    <row r="644" spans="1:18" ht="19.5" customHeight="1" x14ac:dyDescent="0.25">
      <c r="A644" s="7"/>
      <c r="B644" s="7"/>
      <c r="C644" s="14"/>
      <c r="D644" s="14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</row>
    <row r="645" spans="1:18" ht="19.5" customHeight="1" x14ac:dyDescent="0.25">
      <c r="A645" s="7"/>
      <c r="B645" s="7"/>
      <c r="C645" s="14"/>
      <c r="D645" s="14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</row>
    <row r="646" spans="1:18" ht="19.5" customHeight="1" x14ac:dyDescent="0.25">
      <c r="A646" s="7"/>
      <c r="B646" s="7"/>
      <c r="C646" s="14"/>
      <c r="D646" s="14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</row>
    <row r="647" spans="1:18" ht="19.5" customHeight="1" x14ac:dyDescent="0.25">
      <c r="A647" s="7"/>
      <c r="B647" s="7"/>
      <c r="C647" s="14"/>
      <c r="D647" s="14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</row>
    <row r="648" spans="1:18" ht="19.5" customHeight="1" x14ac:dyDescent="0.25">
      <c r="A648" s="7"/>
      <c r="B648" s="7"/>
      <c r="C648" s="14"/>
      <c r="D648" s="14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</row>
    <row r="649" spans="1:18" ht="19.5" customHeight="1" x14ac:dyDescent="0.25">
      <c r="A649" s="7"/>
      <c r="B649" s="7"/>
      <c r="C649" s="14"/>
      <c r="D649" s="14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</row>
    <row r="650" spans="1:18" ht="19.5" customHeight="1" x14ac:dyDescent="0.25">
      <c r="A650" s="7"/>
      <c r="B650" s="7"/>
      <c r="C650" s="14"/>
      <c r="D650" s="14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</row>
    <row r="651" spans="1:18" ht="19.5" customHeight="1" x14ac:dyDescent="0.25">
      <c r="A651" s="7"/>
      <c r="B651" s="7"/>
      <c r="C651" s="14"/>
      <c r="D651" s="14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</row>
    <row r="652" spans="1:18" ht="19.5" customHeight="1" x14ac:dyDescent="0.25">
      <c r="A652" s="7"/>
      <c r="B652" s="7"/>
      <c r="C652" s="14"/>
      <c r="D652" s="14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</row>
    <row r="653" spans="1:18" ht="19.5" customHeight="1" x14ac:dyDescent="0.25">
      <c r="A653" s="7"/>
      <c r="B653" s="7"/>
      <c r="C653" s="14"/>
      <c r="D653" s="14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</row>
    <row r="654" spans="1:18" ht="19.5" customHeight="1" x14ac:dyDescent="0.25">
      <c r="A654" s="7"/>
      <c r="B654" s="7"/>
      <c r="C654" s="14"/>
      <c r="D654" s="14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</row>
    <row r="655" spans="1:18" ht="19.5" customHeight="1" x14ac:dyDescent="0.25">
      <c r="A655" s="7"/>
      <c r="B655" s="7"/>
      <c r="C655" s="14"/>
      <c r="D655" s="14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</row>
    <row r="656" spans="1:18" ht="19.5" customHeight="1" x14ac:dyDescent="0.25">
      <c r="A656" s="7"/>
      <c r="B656" s="7"/>
      <c r="C656" s="14"/>
      <c r="D656" s="14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</row>
    <row r="657" spans="1:18" ht="19.5" customHeight="1" x14ac:dyDescent="0.25">
      <c r="A657" s="7"/>
      <c r="B657" s="7"/>
      <c r="C657" s="14"/>
      <c r="D657" s="14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</row>
    <row r="658" spans="1:18" ht="19.5" customHeight="1" x14ac:dyDescent="0.25">
      <c r="A658" s="7"/>
      <c r="B658" s="7"/>
      <c r="C658" s="14"/>
      <c r="D658" s="14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</row>
    <row r="659" spans="1:18" ht="19.5" customHeight="1" x14ac:dyDescent="0.25">
      <c r="A659" s="7"/>
      <c r="B659" s="7"/>
      <c r="C659" s="14"/>
      <c r="D659" s="14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</row>
    <row r="660" spans="1:18" ht="19.5" customHeight="1" x14ac:dyDescent="0.25">
      <c r="A660" s="7"/>
      <c r="B660" s="7"/>
      <c r="C660" s="14"/>
      <c r="D660" s="14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</row>
    <row r="661" spans="1:18" ht="19.5" customHeight="1" x14ac:dyDescent="0.25">
      <c r="A661" s="7"/>
      <c r="B661" s="7"/>
      <c r="C661" s="14"/>
      <c r="D661" s="14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</row>
    <row r="662" spans="1:18" ht="19.5" customHeight="1" x14ac:dyDescent="0.25">
      <c r="A662" s="7"/>
      <c r="B662" s="7"/>
      <c r="C662" s="14"/>
      <c r="D662" s="14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</row>
    <row r="663" spans="1:18" ht="19.5" customHeight="1" x14ac:dyDescent="0.25">
      <c r="A663" s="7"/>
      <c r="B663" s="7"/>
      <c r="C663" s="14"/>
      <c r="D663" s="14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</row>
    <row r="664" spans="1:18" ht="19.5" customHeight="1" x14ac:dyDescent="0.25">
      <c r="A664" s="7"/>
      <c r="B664" s="7"/>
      <c r="C664" s="14"/>
      <c r="D664" s="14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</row>
    <row r="665" spans="1:18" ht="19.5" customHeight="1" x14ac:dyDescent="0.25">
      <c r="A665" s="7"/>
      <c r="B665" s="7"/>
      <c r="C665" s="14"/>
      <c r="D665" s="14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</row>
    <row r="666" spans="1:18" ht="19.5" customHeight="1" x14ac:dyDescent="0.25">
      <c r="A666" s="7"/>
      <c r="B666" s="7"/>
      <c r="C666" s="14"/>
      <c r="D666" s="14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</row>
    <row r="667" spans="1:18" ht="19.5" customHeight="1" x14ac:dyDescent="0.25">
      <c r="A667" s="7"/>
      <c r="B667" s="7"/>
      <c r="C667" s="14"/>
      <c r="D667" s="14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</row>
    <row r="668" spans="1:18" ht="19.5" customHeight="1" x14ac:dyDescent="0.25">
      <c r="A668" s="7"/>
      <c r="B668" s="7"/>
      <c r="C668" s="14"/>
      <c r="D668" s="14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</row>
    <row r="669" spans="1:18" ht="19.5" customHeight="1" x14ac:dyDescent="0.25">
      <c r="A669" s="7"/>
      <c r="B669" s="7"/>
      <c r="C669" s="14"/>
      <c r="D669" s="14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</row>
    <row r="670" spans="1:18" ht="19.5" customHeight="1" x14ac:dyDescent="0.25">
      <c r="A670" s="7"/>
      <c r="B670" s="7"/>
      <c r="C670" s="14"/>
      <c r="D670" s="14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</row>
    <row r="671" spans="1:18" ht="19.5" customHeight="1" x14ac:dyDescent="0.25">
      <c r="A671" s="7"/>
      <c r="B671" s="7"/>
      <c r="C671" s="14"/>
      <c r="D671" s="14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</row>
    <row r="672" spans="1:18" ht="19.5" customHeight="1" x14ac:dyDescent="0.25">
      <c r="A672" s="7"/>
      <c r="B672" s="7"/>
      <c r="C672" s="14"/>
      <c r="D672" s="14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</row>
    <row r="673" spans="1:18" ht="19.5" customHeight="1" x14ac:dyDescent="0.25">
      <c r="A673" s="7"/>
      <c r="B673" s="7"/>
      <c r="C673" s="14"/>
      <c r="D673" s="14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</row>
    <row r="674" spans="1:18" ht="19.5" customHeight="1" x14ac:dyDescent="0.25">
      <c r="A674" s="7"/>
      <c r="B674" s="7"/>
      <c r="C674" s="14"/>
      <c r="D674" s="14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</row>
    <row r="675" spans="1:18" ht="19.5" customHeight="1" x14ac:dyDescent="0.25">
      <c r="A675" s="7"/>
      <c r="B675" s="7"/>
      <c r="C675" s="14"/>
      <c r="D675" s="14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</row>
    <row r="676" spans="1:18" ht="19.5" customHeight="1" x14ac:dyDescent="0.25">
      <c r="A676" s="7"/>
      <c r="B676" s="7"/>
      <c r="C676" s="14"/>
      <c r="D676" s="14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</row>
    <row r="677" spans="1:18" ht="19.5" customHeight="1" x14ac:dyDescent="0.25">
      <c r="A677" s="7"/>
      <c r="B677" s="7"/>
      <c r="C677" s="14"/>
      <c r="D677" s="14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</row>
    <row r="678" spans="1:18" ht="19.5" customHeight="1" x14ac:dyDescent="0.25">
      <c r="A678" s="7"/>
      <c r="B678" s="7"/>
      <c r="C678" s="14"/>
      <c r="D678" s="14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</row>
    <row r="679" spans="1:18" ht="19.5" customHeight="1" x14ac:dyDescent="0.25">
      <c r="A679" s="7"/>
      <c r="B679" s="7"/>
      <c r="C679" s="14"/>
      <c r="D679" s="14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</row>
    <row r="680" spans="1:18" ht="19.5" customHeight="1" x14ac:dyDescent="0.25">
      <c r="A680" s="7"/>
      <c r="B680" s="7"/>
      <c r="C680" s="14"/>
      <c r="D680" s="14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</row>
    <row r="681" spans="1:18" ht="19.5" customHeight="1" x14ac:dyDescent="0.25">
      <c r="A681" s="7"/>
      <c r="B681" s="7"/>
      <c r="C681" s="14"/>
      <c r="D681" s="14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</row>
    <row r="682" spans="1:18" ht="19.5" customHeight="1" x14ac:dyDescent="0.25">
      <c r="A682" s="7"/>
      <c r="B682" s="7"/>
      <c r="C682" s="14"/>
      <c r="D682" s="14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</row>
    <row r="683" spans="1:18" ht="19.5" customHeight="1" x14ac:dyDescent="0.25">
      <c r="A683" s="7"/>
      <c r="B683" s="7"/>
      <c r="C683" s="14"/>
      <c r="D683" s="14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</row>
    <row r="684" spans="1:18" ht="19.5" customHeight="1" x14ac:dyDescent="0.25">
      <c r="A684" s="7"/>
      <c r="B684" s="7"/>
      <c r="C684" s="14"/>
      <c r="D684" s="14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</row>
    <row r="685" spans="1:18" ht="19.5" customHeight="1" x14ac:dyDescent="0.25">
      <c r="A685" s="7"/>
      <c r="B685" s="7"/>
      <c r="C685" s="14"/>
      <c r="D685" s="14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</row>
    <row r="686" spans="1:18" ht="19.5" customHeight="1" x14ac:dyDescent="0.25">
      <c r="A686" s="7"/>
      <c r="B686" s="7"/>
      <c r="C686" s="14"/>
      <c r="D686" s="14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</row>
    <row r="687" spans="1:18" ht="19.5" customHeight="1" x14ac:dyDescent="0.25">
      <c r="A687" s="7"/>
      <c r="B687" s="7"/>
      <c r="C687" s="14"/>
      <c r="D687" s="14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</row>
    <row r="688" spans="1:18" ht="19.5" customHeight="1" x14ac:dyDescent="0.25">
      <c r="A688" s="7"/>
      <c r="B688" s="7"/>
      <c r="C688" s="14"/>
      <c r="D688" s="14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</row>
    <row r="689" spans="1:18" ht="19.5" customHeight="1" x14ac:dyDescent="0.25">
      <c r="A689" s="7"/>
      <c r="B689" s="7"/>
      <c r="C689" s="14"/>
      <c r="D689" s="14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</row>
    <row r="690" spans="1:18" ht="19.5" customHeight="1" x14ac:dyDescent="0.25">
      <c r="A690" s="7"/>
      <c r="B690" s="7"/>
      <c r="C690" s="14"/>
      <c r="D690" s="14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</row>
    <row r="691" spans="1:18" ht="19.5" customHeight="1" x14ac:dyDescent="0.25">
      <c r="A691" s="7"/>
      <c r="B691" s="7"/>
      <c r="C691" s="14"/>
      <c r="D691" s="14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</row>
    <row r="692" spans="1:18" ht="19.5" customHeight="1" x14ac:dyDescent="0.25">
      <c r="A692" s="7"/>
      <c r="B692" s="7"/>
      <c r="C692" s="14"/>
      <c r="D692" s="14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</row>
    <row r="693" spans="1:18" ht="19.5" customHeight="1" x14ac:dyDescent="0.25">
      <c r="A693" s="7"/>
      <c r="B693" s="7"/>
      <c r="C693" s="14"/>
      <c r="D693" s="14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</row>
    <row r="694" spans="1:18" ht="19.5" customHeight="1" x14ac:dyDescent="0.25">
      <c r="A694" s="7"/>
      <c r="B694" s="7"/>
      <c r="C694" s="14"/>
      <c r="D694" s="14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</row>
    <row r="695" spans="1:18" ht="19.5" customHeight="1" x14ac:dyDescent="0.25">
      <c r="A695" s="7"/>
      <c r="B695" s="7"/>
      <c r="C695" s="14"/>
      <c r="D695" s="14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</row>
    <row r="696" spans="1:18" ht="19.5" customHeight="1" x14ac:dyDescent="0.25">
      <c r="A696" s="7"/>
      <c r="B696" s="7"/>
      <c r="C696" s="14"/>
      <c r="D696" s="14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</row>
    <row r="697" spans="1:18" ht="19.5" customHeight="1" x14ac:dyDescent="0.25">
      <c r="A697" s="7"/>
      <c r="B697" s="7"/>
      <c r="C697" s="14"/>
      <c r="D697" s="14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</row>
    <row r="698" spans="1:18" ht="19.5" customHeight="1" x14ac:dyDescent="0.25">
      <c r="A698" s="7"/>
      <c r="B698" s="7"/>
      <c r="C698" s="14"/>
      <c r="D698" s="14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</row>
    <row r="699" spans="1:18" ht="19.5" customHeight="1" x14ac:dyDescent="0.25">
      <c r="A699" s="7"/>
      <c r="B699" s="7"/>
      <c r="C699" s="14"/>
      <c r="D699" s="14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</row>
    <row r="700" spans="1:18" ht="19.5" customHeight="1" x14ac:dyDescent="0.25">
      <c r="A700" s="7"/>
      <c r="B700" s="7"/>
      <c r="C700" s="14"/>
      <c r="D700" s="14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</row>
    <row r="701" spans="1:18" ht="19.5" customHeight="1" x14ac:dyDescent="0.25">
      <c r="A701" s="7"/>
      <c r="B701" s="7"/>
      <c r="C701" s="14"/>
      <c r="D701" s="14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</row>
    <row r="702" spans="1:18" ht="19.5" customHeight="1" x14ac:dyDescent="0.25">
      <c r="A702" s="7"/>
      <c r="B702" s="7"/>
      <c r="C702" s="14"/>
      <c r="D702" s="14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</row>
    <row r="703" spans="1:18" ht="19.5" customHeight="1" x14ac:dyDescent="0.25">
      <c r="A703" s="7"/>
      <c r="B703" s="7"/>
      <c r="C703" s="14"/>
      <c r="D703" s="14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</row>
    <row r="704" spans="1:18" ht="19.5" customHeight="1" x14ac:dyDescent="0.25">
      <c r="A704" s="7"/>
      <c r="B704" s="7"/>
      <c r="C704" s="14"/>
      <c r="D704" s="14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</row>
    <row r="705" spans="1:18" ht="19.5" customHeight="1" x14ac:dyDescent="0.25">
      <c r="A705" s="7"/>
      <c r="B705" s="7"/>
      <c r="C705" s="14"/>
      <c r="D705" s="14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</row>
    <row r="706" spans="1:18" ht="19.5" customHeight="1" x14ac:dyDescent="0.25">
      <c r="A706" s="7"/>
      <c r="B706" s="7"/>
      <c r="C706" s="14"/>
      <c r="D706" s="14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</row>
    <row r="707" spans="1:18" ht="19.5" customHeight="1" x14ac:dyDescent="0.25">
      <c r="A707" s="7"/>
      <c r="B707" s="7"/>
      <c r="C707" s="14"/>
      <c r="D707" s="14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</row>
    <row r="708" spans="1:18" ht="19.5" customHeight="1" x14ac:dyDescent="0.25">
      <c r="A708" s="7"/>
      <c r="B708" s="7"/>
      <c r="C708" s="14"/>
      <c r="D708" s="14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</row>
    <row r="709" spans="1:18" ht="19.5" customHeight="1" x14ac:dyDescent="0.25">
      <c r="A709" s="7"/>
      <c r="B709" s="7"/>
      <c r="C709" s="14"/>
      <c r="D709" s="14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</row>
    <row r="710" spans="1:18" ht="19.5" customHeight="1" x14ac:dyDescent="0.25">
      <c r="A710" s="7"/>
      <c r="B710" s="7"/>
      <c r="C710" s="14"/>
      <c r="D710" s="14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</row>
    <row r="711" spans="1:18" ht="19.5" customHeight="1" x14ac:dyDescent="0.25">
      <c r="A711" s="7"/>
      <c r="B711" s="7"/>
      <c r="C711" s="14"/>
      <c r="D711" s="14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</row>
    <row r="712" spans="1:18" ht="19.5" customHeight="1" x14ac:dyDescent="0.25">
      <c r="A712" s="7"/>
      <c r="B712" s="7"/>
      <c r="C712" s="14"/>
      <c r="D712" s="14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</row>
    <row r="713" spans="1:18" ht="19.5" customHeight="1" x14ac:dyDescent="0.25">
      <c r="A713" s="7"/>
      <c r="B713" s="7"/>
      <c r="C713" s="14"/>
      <c r="D713" s="14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</row>
    <row r="714" spans="1:18" ht="19.5" customHeight="1" x14ac:dyDescent="0.25">
      <c r="A714" s="7"/>
      <c r="B714" s="7"/>
      <c r="C714" s="14"/>
      <c r="D714" s="14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</row>
    <row r="715" spans="1:18" ht="19.5" customHeight="1" x14ac:dyDescent="0.25">
      <c r="A715" s="7"/>
      <c r="B715" s="7"/>
      <c r="C715" s="14"/>
      <c r="D715" s="14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</row>
    <row r="716" spans="1:18" ht="19.5" customHeight="1" x14ac:dyDescent="0.25">
      <c r="A716" s="7"/>
      <c r="B716" s="7"/>
      <c r="C716" s="14"/>
      <c r="D716" s="14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</row>
    <row r="717" spans="1:18" ht="19.5" customHeight="1" x14ac:dyDescent="0.25">
      <c r="A717" s="7"/>
      <c r="B717" s="7"/>
      <c r="C717" s="14"/>
      <c r="D717" s="14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</row>
    <row r="718" spans="1:18" ht="19.5" customHeight="1" x14ac:dyDescent="0.25">
      <c r="A718" s="7"/>
      <c r="B718" s="7"/>
      <c r="C718" s="14"/>
      <c r="D718" s="14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</row>
    <row r="719" spans="1:18" ht="19.5" customHeight="1" x14ac:dyDescent="0.25">
      <c r="A719" s="7"/>
      <c r="B719" s="7"/>
      <c r="C719" s="14"/>
      <c r="D719" s="14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</row>
    <row r="720" spans="1:18" ht="19.5" customHeight="1" x14ac:dyDescent="0.25">
      <c r="A720" s="7"/>
      <c r="B720" s="7"/>
      <c r="C720" s="14"/>
      <c r="D720" s="14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</row>
    <row r="721" spans="1:18" ht="19.5" customHeight="1" x14ac:dyDescent="0.25">
      <c r="A721" s="7"/>
      <c r="B721" s="7"/>
      <c r="C721" s="14"/>
      <c r="D721" s="14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</row>
    <row r="722" spans="1:18" ht="19.5" customHeight="1" x14ac:dyDescent="0.25">
      <c r="A722" s="7"/>
      <c r="B722" s="7"/>
      <c r="C722" s="14"/>
      <c r="D722" s="14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</row>
    <row r="723" spans="1:18" ht="19.5" customHeight="1" x14ac:dyDescent="0.25">
      <c r="A723" s="7"/>
      <c r="B723" s="7"/>
      <c r="C723" s="14"/>
      <c r="D723" s="14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</row>
    <row r="724" spans="1:18" ht="19.5" customHeight="1" x14ac:dyDescent="0.25">
      <c r="A724" s="7"/>
      <c r="B724" s="7"/>
      <c r="C724" s="14"/>
      <c r="D724" s="14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</row>
    <row r="725" spans="1:18" ht="19.5" customHeight="1" x14ac:dyDescent="0.25">
      <c r="A725" s="7"/>
      <c r="B725" s="7"/>
      <c r="C725" s="14"/>
      <c r="D725" s="14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</row>
    <row r="726" spans="1:18" ht="19.5" customHeight="1" x14ac:dyDescent="0.25">
      <c r="A726" s="7"/>
      <c r="B726" s="7"/>
      <c r="C726" s="14"/>
      <c r="D726" s="14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</row>
    <row r="727" spans="1:18" ht="19.5" customHeight="1" x14ac:dyDescent="0.25">
      <c r="A727" s="7"/>
      <c r="B727" s="7"/>
      <c r="C727" s="14"/>
      <c r="D727" s="14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</row>
    <row r="728" spans="1:18" ht="19.5" customHeight="1" x14ac:dyDescent="0.25">
      <c r="A728" s="7"/>
      <c r="B728" s="7"/>
      <c r="C728" s="14"/>
      <c r="D728" s="14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</row>
    <row r="729" spans="1:18" ht="19.5" customHeight="1" x14ac:dyDescent="0.25">
      <c r="A729" s="7"/>
      <c r="B729" s="7"/>
      <c r="C729" s="14"/>
      <c r="D729" s="14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</row>
    <row r="730" spans="1:18" ht="19.5" customHeight="1" x14ac:dyDescent="0.25">
      <c r="A730" s="7"/>
      <c r="B730" s="7"/>
      <c r="C730" s="14"/>
      <c r="D730" s="14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</row>
    <row r="731" spans="1:18" ht="19.5" customHeight="1" x14ac:dyDescent="0.25">
      <c r="A731" s="7"/>
      <c r="B731" s="7"/>
      <c r="C731" s="14"/>
      <c r="D731" s="14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</row>
    <row r="732" spans="1:18" ht="19.5" customHeight="1" x14ac:dyDescent="0.25">
      <c r="A732" s="7"/>
      <c r="B732" s="7"/>
      <c r="C732" s="14"/>
      <c r="D732" s="14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</row>
    <row r="733" spans="1:18" ht="19.5" customHeight="1" x14ac:dyDescent="0.25">
      <c r="A733" s="7"/>
      <c r="B733" s="7"/>
      <c r="C733" s="14"/>
      <c r="D733" s="14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</row>
    <row r="734" spans="1:18" ht="19.5" customHeight="1" x14ac:dyDescent="0.25">
      <c r="A734" s="7"/>
      <c r="B734" s="7"/>
      <c r="C734" s="14"/>
      <c r="D734" s="14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</row>
    <row r="735" spans="1:18" ht="19.5" customHeight="1" x14ac:dyDescent="0.25">
      <c r="A735" s="7"/>
      <c r="B735" s="7"/>
      <c r="C735" s="14"/>
      <c r="D735" s="14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</row>
    <row r="736" spans="1:18" ht="19.5" customHeight="1" x14ac:dyDescent="0.25">
      <c r="A736" s="7"/>
      <c r="B736" s="7"/>
      <c r="C736" s="14"/>
      <c r="D736" s="14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</row>
    <row r="737" spans="1:18" ht="19.5" customHeight="1" x14ac:dyDescent="0.25">
      <c r="A737" s="7"/>
      <c r="B737" s="7"/>
      <c r="C737" s="14"/>
      <c r="D737" s="14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</row>
    <row r="738" spans="1:18" ht="19.5" customHeight="1" x14ac:dyDescent="0.25">
      <c r="A738" s="7"/>
      <c r="B738" s="7"/>
      <c r="C738" s="14"/>
      <c r="D738" s="14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</row>
    <row r="739" spans="1:18" ht="19.5" customHeight="1" x14ac:dyDescent="0.25">
      <c r="A739" s="7"/>
      <c r="B739" s="7"/>
      <c r="C739" s="14"/>
      <c r="D739" s="14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</row>
    <row r="740" spans="1:18" ht="19.5" customHeight="1" x14ac:dyDescent="0.25">
      <c r="A740" s="7"/>
      <c r="B740" s="7"/>
      <c r="C740" s="14"/>
      <c r="D740" s="14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</row>
    <row r="741" spans="1:18" ht="19.5" customHeight="1" x14ac:dyDescent="0.25">
      <c r="A741" s="7"/>
      <c r="B741" s="7"/>
      <c r="C741" s="14"/>
      <c r="D741" s="14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</row>
    <row r="742" spans="1:18" ht="19.5" customHeight="1" x14ac:dyDescent="0.25">
      <c r="A742" s="7"/>
      <c r="B742" s="7"/>
      <c r="C742" s="14"/>
      <c r="D742" s="14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</row>
    <row r="743" spans="1:18" ht="19.5" customHeight="1" x14ac:dyDescent="0.25">
      <c r="A743" s="7"/>
      <c r="B743" s="7"/>
      <c r="C743" s="14"/>
      <c r="D743" s="14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</row>
    <row r="744" spans="1:18" ht="19.5" customHeight="1" x14ac:dyDescent="0.25">
      <c r="A744" s="7"/>
      <c r="B744" s="7"/>
      <c r="C744" s="14"/>
      <c r="D744" s="14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</row>
    <row r="745" spans="1:18" ht="19.5" customHeight="1" x14ac:dyDescent="0.25">
      <c r="A745" s="7"/>
      <c r="B745" s="7"/>
      <c r="C745" s="14"/>
      <c r="D745" s="14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</row>
    <row r="746" spans="1:18" ht="19.5" customHeight="1" x14ac:dyDescent="0.25">
      <c r="A746" s="7"/>
      <c r="B746" s="7"/>
      <c r="C746" s="14"/>
      <c r="D746" s="14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</row>
    <row r="747" spans="1:18" ht="19.5" customHeight="1" x14ac:dyDescent="0.25">
      <c r="A747" s="7"/>
      <c r="B747" s="7"/>
      <c r="C747" s="14"/>
      <c r="D747" s="14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</row>
    <row r="748" spans="1:18" ht="19.5" customHeight="1" x14ac:dyDescent="0.25">
      <c r="A748" s="7"/>
      <c r="B748" s="7"/>
      <c r="C748" s="14"/>
      <c r="D748" s="14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</row>
    <row r="749" spans="1:18" ht="19.5" customHeight="1" x14ac:dyDescent="0.25">
      <c r="A749" s="7"/>
      <c r="B749" s="7"/>
      <c r="C749" s="14"/>
      <c r="D749" s="14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</row>
    <row r="750" spans="1:18" ht="19.5" customHeight="1" x14ac:dyDescent="0.25">
      <c r="A750" s="7"/>
      <c r="B750" s="7"/>
      <c r="C750" s="14"/>
      <c r="D750" s="14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</row>
    <row r="751" spans="1:18" ht="19.5" customHeight="1" x14ac:dyDescent="0.25">
      <c r="A751" s="7"/>
      <c r="B751" s="7"/>
      <c r="C751" s="14"/>
      <c r="D751" s="14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</row>
    <row r="752" spans="1:18" ht="19.5" customHeight="1" x14ac:dyDescent="0.25">
      <c r="A752" s="7"/>
      <c r="B752" s="7"/>
      <c r="C752" s="14"/>
      <c r="D752" s="14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</row>
    <row r="753" spans="1:18" ht="19.5" customHeight="1" x14ac:dyDescent="0.25">
      <c r="A753" s="7"/>
      <c r="B753" s="7"/>
      <c r="C753" s="14"/>
      <c r="D753" s="14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</row>
    <row r="754" spans="1:18" ht="19.5" customHeight="1" x14ac:dyDescent="0.25">
      <c r="A754" s="7"/>
      <c r="B754" s="7"/>
      <c r="C754" s="14"/>
      <c r="D754" s="14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</row>
    <row r="755" spans="1:18" ht="19.5" customHeight="1" x14ac:dyDescent="0.25">
      <c r="A755" s="7"/>
      <c r="B755" s="7"/>
      <c r="C755" s="14"/>
      <c r="D755" s="14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</row>
    <row r="756" spans="1:18" ht="19.5" customHeight="1" x14ac:dyDescent="0.25">
      <c r="A756" s="7"/>
      <c r="B756" s="7"/>
      <c r="C756" s="14"/>
      <c r="D756" s="14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</row>
    <row r="757" spans="1:18" ht="19.5" customHeight="1" x14ac:dyDescent="0.25">
      <c r="A757" s="7"/>
      <c r="B757" s="7"/>
      <c r="C757" s="14"/>
      <c r="D757" s="14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</row>
    <row r="758" spans="1:18" ht="19.5" customHeight="1" x14ac:dyDescent="0.25">
      <c r="A758" s="7"/>
      <c r="B758" s="7"/>
      <c r="C758" s="14"/>
      <c r="D758" s="14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</row>
    <row r="759" spans="1:18" ht="19.5" customHeight="1" x14ac:dyDescent="0.25">
      <c r="A759" s="7"/>
      <c r="B759" s="7"/>
      <c r="C759" s="14"/>
      <c r="D759" s="14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</row>
    <row r="760" spans="1:18" ht="19.5" customHeight="1" x14ac:dyDescent="0.25">
      <c r="A760" s="7"/>
      <c r="B760" s="7"/>
      <c r="C760" s="14"/>
      <c r="D760" s="14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</row>
    <row r="761" spans="1:18" ht="19.5" customHeight="1" x14ac:dyDescent="0.25">
      <c r="A761" s="7"/>
      <c r="B761" s="7"/>
      <c r="C761" s="14"/>
      <c r="D761" s="14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</row>
    <row r="762" spans="1:18" ht="19.5" customHeight="1" x14ac:dyDescent="0.25">
      <c r="A762" s="7"/>
      <c r="B762" s="7"/>
      <c r="C762" s="14"/>
      <c r="D762" s="14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</row>
    <row r="763" spans="1:18" ht="19.5" customHeight="1" x14ac:dyDescent="0.25">
      <c r="A763" s="7"/>
      <c r="B763" s="7"/>
      <c r="C763" s="14"/>
      <c r="D763" s="14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</row>
    <row r="764" spans="1:18" ht="19.5" customHeight="1" x14ac:dyDescent="0.25">
      <c r="A764" s="7"/>
      <c r="B764" s="7"/>
      <c r="C764" s="14"/>
      <c r="D764" s="14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</row>
    <row r="765" spans="1:18" ht="19.5" customHeight="1" x14ac:dyDescent="0.25">
      <c r="A765" s="7"/>
      <c r="B765" s="7"/>
      <c r="C765" s="14"/>
      <c r="D765" s="14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</row>
    <row r="766" spans="1:18" ht="19.5" customHeight="1" x14ac:dyDescent="0.25">
      <c r="A766" s="7"/>
      <c r="B766" s="7"/>
      <c r="C766" s="14"/>
      <c r="D766" s="14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</row>
    <row r="767" spans="1:18" ht="19.5" customHeight="1" x14ac:dyDescent="0.25">
      <c r="A767" s="7"/>
      <c r="B767" s="7"/>
      <c r="C767" s="14"/>
      <c r="D767" s="14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</row>
    <row r="768" spans="1:18" ht="19.5" customHeight="1" x14ac:dyDescent="0.25">
      <c r="A768" s="7"/>
      <c r="B768" s="7"/>
      <c r="C768" s="14"/>
      <c r="D768" s="14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</row>
    <row r="769" spans="1:18" ht="19.5" customHeight="1" x14ac:dyDescent="0.25">
      <c r="A769" s="7"/>
      <c r="B769" s="7"/>
      <c r="C769" s="14"/>
      <c r="D769" s="14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</row>
    <row r="770" spans="1:18" ht="19.5" customHeight="1" x14ac:dyDescent="0.25">
      <c r="A770" s="7"/>
      <c r="B770" s="7"/>
      <c r="C770" s="14"/>
      <c r="D770" s="14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</row>
    <row r="771" spans="1:18" ht="19.5" customHeight="1" x14ac:dyDescent="0.25">
      <c r="A771" s="7"/>
      <c r="B771" s="7"/>
      <c r="C771" s="14"/>
      <c r="D771" s="14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</row>
    <row r="772" spans="1:18" ht="19.5" customHeight="1" x14ac:dyDescent="0.25">
      <c r="A772" s="7"/>
      <c r="B772" s="7"/>
      <c r="C772" s="14"/>
      <c r="D772" s="14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</row>
    <row r="773" spans="1:18" ht="19.5" customHeight="1" x14ac:dyDescent="0.25">
      <c r="A773" s="7"/>
      <c r="B773" s="7"/>
      <c r="C773" s="14"/>
      <c r="D773" s="14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</row>
    <row r="774" spans="1:18" ht="19.5" customHeight="1" x14ac:dyDescent="0.25">
      <c r="A774" s="7"/>
      <c r="B774" s="7"/>
      <c r="C774" s="14"/>
      <c r="D774" s="14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</row>
    <row r="775" spans="1:18" ht="19.5" customHeight="1" x14ac:dyDescent="0.25">
      <c r="A775" s="7"/>
      <c r="B775" s="7"/>
      <c r="C775" s="14"/>
      <c r="D775" s="14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</row>
    <row r="776" spans="1:18" ht="19.5" customHeight="1" x14ac:dyDescent="0.25">
      <c r="A776" s="7"/>
      <c r="B776" s="7"/>
      <c r="C776" s="14"/>
      <c r="D776" s="14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</row>
    <row r="777" spans="1:18" ht="19.5" customHeight="1" x14ac:dyDescent="0.25">
      <c r="A777" s="7"/>
      <c r="B777" s="7"/>
      <c r="C777" s="14"/>
      <c r="D777" s="14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</row>
    <row r="778" spans="1:18" ht="19.5" customHeight="1" x14ac:dyDescent="0.25">
      <c r="A778" s="7"/>
      <c r="B778" s="7"/>
      <c r="C778" s="14"/>
      <c r="D778" s="14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</row>
    <row r="779" spans="1:18" ht="19.5" customHeight="1" x14ac:dyDescent="0.25">
      <c r="A779" s="7"/>
      <c r="B779" s="7"/>
      <c r="C779" s="14"/>
      <c r="D779" s="14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</row>
    <row r="780" spans="1:18" ht="19.5" customHeight="1" x14ac:dyDescent="0.25">
      <c r="A780" s="7"/>
      <c r="B780" s="7"/>
      <c r="C780" s="14"/>
      <c r="D780" s="14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</row>
    <row r="781" spans="1:18" ht="19.5" customHeight="1" x14ac:dyDescent="0.25">
      <c r="A781" s="7"/>
      <c r="B781" s="7"/>
      <c r="C781" s="14"/>
      <c r="D781" s="14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</row>
    <row r="782" spans="1:18" ht="19.5" customHeight="1" x14ac:dyDescent="0.25">
      <c r="A782" s="7"/>
      <c r="B782" s="7"/>
      <c r="C782" s="14"/>
      <c r="D782" s="14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</row>
    <row r="783" spans="1:18" ht="19.5" customHeight="1" x14ac:dyDescent="0.25">
      <c r="A783" s="7"/>
      <c r="B783" s="7"/>
      <c r="C783" s="14"/>
      <c r="D783" s="14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</row>
    <row r="784" spans="1:18" ht="19.5" customHeight="1" x14ac:dyDescent="0.25">
      <c r="A784" s="7"/>
      <c r="B784" s="7"/>
      <c r="C784" s="14"/>
      <c r="D784" s="14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</row>
    <row r="785" spans="1:18" ht="19.5" customHeight="1" x14ac:dyDescent="0.25">
      <c r="A785" s="7"/>
      <c r="B785" s="7"/>
      <c r="C785" s="14"/>
      <c r="D785" s="14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</row>
    <row r="786" spans="1:18" ht="19.5" customHeight="1" x14ac:dyDescent="0.25">
      <c r="A786" s="7"/>
      <c r="B786" s="7"/>
      <c r="C786" s="14"/>
      <c r="D786" s="14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</row>
    <row r="787" spans="1:18" ht="19.5" customHeight="1" x14ac:dyDescent="0.25">
      <c r="A787" s="7"/>
      <c r="B787" s="7"/>
      <c r="C787" s="14"/>
      <c r="D787" s="14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</row>
    <row r="788" spans="1:18" ht="19.5" customHeight="1" x14ac:dyDescent="0.25">
      <c r="A788" s="7"/>
      <c r="B788" s="7"/>
      <c r="C788" s="14"/>
      <c r="D788" s="14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</row>
    <row r="789" spans="1:18" ht="19.5" customHeight="1" x14ac:dyDescent="0.25">
      <c r="A789" s="7"/>
      <c r="B789" s="7"/>
      <c r="C789" s="14"/>
      <c r="D789" s="14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</row>
    <row r="790" spans="1:18" ht="19.5" customHeight="1" x14ac:dyDescent="0.25">
      <c r="A790" s="7"/>
      <c r="B790" s="7"/>
      <c r="C790" s="14"/>
      <c r="D790" s="14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</row>
    <row r="791" spans="1:18" ht="19.5" customHeight="1" x14ac:dyDescent="0.25">
      <c r="A791" s="7"/>
      <c r="B791" s="7"/>
      <c r="C791" s="14"/>
      <c r="D791" s="14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</row>
    <row r="792" spans="1:18" ht="19.5" customHeight="1" x14ac:dyDescent="0.25">
      <c r="A792" s="7"/>
      <c r="B792" s="7"/>
      <c r="C792" s="14"/>
      <c r="D792" s="14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</row>
    <row r="793" spans="1:18" ht="19.5" customHeight="1" x14ac:dyDescent="0.25">
      <c r="A793" s="7"/>
      <c r="B793" s="7"/>
      <c r="C793" s="14"/>
      <c r="D793" s="14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</row>
    <row r="794" spans="1:18" ht="19.5" customHeight="1" x14ac:dyDescent="0.25">
      <c r="A794" s="7"/>
      <c r="B794" s="7"/>
      <c r="C794" s="14"/>
      <c r="D794" s="14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</row>
    <row r="795" spans="1:18" ht="19.5" customHeight="1" x14ac:dyDescent="0.25">
      <c r="A795" s="7"/>
      <c r="B795" s="7"/>
      <c r="C795" s="14"/>
      <c r="D795" s="14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</row>
    <row r="796" spans="1:18" ht="19.5" customHeight="1" x14ac:dyDescent="0.25">
      <c r="A796" s="7"/>
      <c r="B796" s="7"/>
      <c r="C796" s="14"/>
      <c r="D796" s="14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</row>
    <row r="797" spans="1:18" ht="19.5" customHeight="1" x14ac:dyDescent="0.25">
      <c r="A797" s="7"/>
      <c r="B797" s="7"/>
      <c r="C797" s="14"/>
      <c r="D797" s="14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</row>
    <row r="798" spans="1:18" ht="19.5" customHeight="1" x14ac:dyDescent="0.25">
      <c r="A798" s="7"/>
      <c r="B798" s="7"/>
      <c r="C798" s="14"/>
      <c r="D798" s="14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</row>
    <row r="799" spans="1:18" ht="19.5" customHeight="1" x14ac:dyDescent="0.25">
      <c r="A799" s="7"/>
      <c r="B799" s="7"/>
      <c r="C799" s="14"/>
      <c r="D799" s="14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</row>
    <row r="800" spans="1:18" ht="19.5" customHeight="1" x14ac:dyDescent="0.25">
      <c r="A800" s="7"/>
      <c r="B800" s="7"/>
      <c r="C800" s="14"/>
      <c r="D800" s="14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</row>
    <row r="801" spans="1:18" ht="19.5" customHeight="1" x14ac:dyDescent="0.25">
      <c r="A801" s="7"/>
      <c r="B801" s="7"/>
      <c r="C801" s="14"/>
      <c r="D801" s="14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</row>
    <row r="802" spans="1:18" ht="19.5" customHeight="1" x14ac:dyDescent="0.25">
      <c r="A802" s="7"/>
      <c r="B802" s="7"/>
      <c r="C802" s="14"/>
      <c r="D802" s="14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</row>
    <row r="803" spans="1:18" ht="19.5" customHeight="1" x14ac:dyDescent="0.25">
      <c r="A803" s="7"/>
      <c r="B803" s="7"/>
      <c r="C803" s="14"/>
      <c r="D803" s="14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</row>
    <row r="804" spans="1:18" ht="19.5" customHeight="1" x14ac:dyDescent="0.25">
      <c r="A804" s="7"/>
      <c r="B804" s="7"/>
      <c r="C804" s="14"/>
      <c r="D804" s="14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</row>
    <row r="805" spans="1:18" ht="19.5" customHeight="1" x14ac:dyDescent="0.25">
      <c r="A805" s="7"/>
      <c r="B805" s="7"/>
      <c r="C805" s="14"/>
      <c r="D805" s="14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</row>
    <row r="806" spans="1:18" ht="19.5" customHeight="1" x14ac:dyDescent="0.25">
      <c r="A806" s="7"/>
      <c r="B806" s="7"/>
      <c r="C806" s="14"/>
      <c r="D806" s="14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</row>
    <row r="807" spans="1:18" ht="19.5" customHeight="1" x14ac:dyDescent="0.25">
      <c r="A807" s="7"/>
      <c r="B807" s="7"/>
      <c r="C807" s="14"/>
      <c r="D807" s="14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</row>
    <row r="808" spans="1:18" ht="19.5" customHeight="1" x14ac:dyDescent="0.25">
      <c r="A808" s="7"/>
      <c r="B808" s="7"/>
      <c r="C808" s="14"/>
      <c r="D808" s="14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</row>
    <row r="809" spans="1:18" ht="19.5" customHeight="1" x14ac:dyDescent="0.25">
      <c r="A809" s="7"/>
      <c r="B809" s="7"/>
      <c r="C809" s="14"/>
      <c r="D809" s="14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</row>
    <row r="810" spans="1:18" ht="19.5" customHeight="1" x14ac:dyDescent="0.25">
      <c r="A810" s="7"/>
      <c r="B810" s="7"/>
      <c r="C810" s="14"/>
      <c r="D810" s="14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</row>
    <row r="811" spans="1:18" ht="19.5" customHeight="1" x14ac:dyDescent="0.25">
      <c r="A811" s="7"/>
      <c r="B811" s="7"/>
      <c r="C811" s="14"/>
      <c r="D811" s="14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</row>
    <row r="812" spans="1:18" ht="19.5" customHeight="1" x14ac:dyDescent="0.25">
      <c r="A812" s="7"/>
      <c r="B812" s="7"/>
      <c r="C812" s="14"/>
      <c r="D812" s="14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</row>
    <row r="813" spans="1:18" ht="19.5" customHeight="1" x14ac:dyDescent="0.25">
      <c r="A813" s="7"/>
      <c r="B813" s="7"/>
      <c r="C813" s="14"/>
      <c r="D813" s="14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</row>
    <row r="814" spans="1:18" ht="19.5" customHeight="1" x14ac:dyDescent="0.25">
      <c r="A814" s="7"/>
      <c r="B814" s="7"/>
      <c r="C814" s="14"/>
      <c r="D814" s="14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</row>
    <row r="815" spans="1:18" ht="19.5" customHeight="1" x14ac:dyDescent="0.25">
      <c r="A815" s="7"/>
      <c r="B815" s="7"/>
      <c r="C815" s="14"/>
      <c r="D815" s="14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</row>
    <row r="816" spans="1:18" ht="19.5" customHeight="1" x14ac:dyDescent="0.25">
      <c r="A816" s="7"/>
      <c r="B816" s="7"/>
      <c r="C816" s="14"/>
      <c r="D816" s="14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</row>
    <row r="817" spans="1:18" ht="19.5" customHeight="1" x14ac:dyDescent="0.25">
      <c r="A817" s="7"/>
      <c r="B817" s="7"/>
      <c r="C817" s="14"/>
      <c r="D817" s="14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</row>
    <row r="818" spans="1:18" ht="19.5" customHeight="1" x14ac:dyDescent="0.25">
      <c r="A818" s="7"/>
      <c r="B818" s="7"/>
      <c r="C818" s="14"/>
      <c r="D818" s="14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</row>
    <row r="819" spans="1:18" ht="19.5" customHeight="1" x14ac:dyDescent="0.25">
      <c r="A819" s="7"/>
      <c r="B819" s="7"/>
      <c r="C819" s="14"/>
      <c r="D819" s="14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</row>
    <row r="820" spans="1:18" ht="19.5" customHeight="1" x14ac:dyDescent="0.25">
      <c r="A820" s="7"/>
      <c r="B820" s="7"/>
      <c r="C820" s="14"/>
      <c r="D820" s="14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</row>
    <row r="821" spans="1:18" ht="19.5" customHeight="1" x14ac:dyDescent="0.25">
      <c r="A821" s="7"/>
      <c r="B821" s="7"/>
      <c r="C821" s="14"/>
      <c r="D821" s="14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</row>
    <row r="822" spans="1:18" ht="19.5" customHeight="1" x14ac:dyDescent="0.25">
      <c r="A822" s="7"/>
      <c r="B822" s="7"/>
      <c r="C822" s="14"/>
      <c r="D822" s="14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</row>
    <row r="823" spans="1:18" ht="19.5" customHeight="1" x14ac:dyDescent="0.25">
      <c r="A823" s="7"/>
      <c r="B823" s="7"/>
      <c r="C823" s="14"/>
      <c r="D823" s="14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</row>
    <row r="824" spans="1:18" ht="19.5" customHeight="1" x14ac:dyDescent="0.25">
      <c r="A824" s="7"/>
      <c r="B824" s="7"/>
      <c r="C824" s="14"/>
      <c r="D824" s="14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</row>
    <row r="825" spans="1:18" ht="19.5" customHeight="1" x14ac:dyDescent="0.25">
      <c r="A825" s="7"/>
      <c r="B825" s="7"/>
      <c r="C825" s="14"/>
      <c r="D825" s="14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</row>
    <row r="826" spans="1:18" ht="19.5" customHeight="1" x14ac:dyDescent="0.25">
      <c r="A826" s="7"/>
      <c r="B826" s="7"/>
      <c r="C826" s="14"/>
      <c r="D826" s="14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</row>
    <row r="827" spans="1:18" ht="19.5" customHeight="1" x14ac:dyDescent="0.25">
      <c r="A827" s="7"/>
      <c r="B827" s="7"/>
      <c r="C827" s="14"/>
      <c r="D827" s="14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</row>
    <row r="828" spans="1:18" ht="19.5" customHeight="1" x14ac:dyDescent="0.25">
      <c r="A828" s="7"/>
      <c r="B828" s="7"/>
      <c r="C828" s="14"/>
      <c r="D828" s="14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</row>
    <row r="829" spans="1:18" ht="19.5" customHeight="1" x14ac:dyDescent="0.25">
      <c r="A829" s="7"/>
      <c r="B829" s="7"/>
      <c r="C829" s="14"/>
      <c r="D829" s="14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</row>
    <row r="830" spans="1:18" ht="19.5" customHeight="1" x14ac:dyDescent="0.25">
      <c r="A830" s="7"/>
      <c r="B830" s="7"/>
      <c r="C830" s="14"/>
      <c r="D830" s="14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</row>
    <row r="831" spans="1:18" ht="19.5" customHeight="1" x14ac:dyDescent="0.25">
      <c r="A831" s="7"/>
      <c r="B831" s="7"/>
      <c r="C831" s="14"/>
      <c r="D831" s="14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</row>
    <row r="832" spans="1:18" ht="19.5" customHeight="1" x14ac:dyDescent="0.25">
      <c r="A832" s="7"/>
      <c r="B832" s="7"/>
      <c r="C832" s="14"/>
      <c r="D832" s="14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</row>
    <row r="833" spans="1:18" ht="19.5" customHeight="1" x14ac:dyDescent="0.25">
      <c r="A833" s="7"/>
      <c r="B833" s="7"/>
      <c r="C833" s="14"/>
      <c r="D833" s="14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</row>
    <row r="834" spans="1:18" ht="19.5" customHeight="1" x14ac:dyDescent="0.25">
      <c r="A834" s="7"/>
      <c r="B834" s="7"/>
      <c r="C834" s="14"/>
      <c r="D834" s="14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</row>
    <row r="835" spans="1:18" ht="19.5" customHeight="1" x14ac:dyDescent="0.25">
      <c r="A835" s="7"/>
      <c r="B835" s="7"/>
      <c r="C835" s="14"/>
      <c r="D835" s="14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</row>
    <row r="836" spans="1:18" ht="19.5" customHeight="1" x14ac:dyDescent="0.25">
      <c r="A836" s="7"/>
      <c r="B836" s="7"/>
      <c r="C836" s="14"/>
      <c r="D836" s="14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</row>
    <row r="837" spans="1:18" ht="19.5" customHeight="1" x14ac:dyDescent="0.25">
      <c r="A837" s="7"/>
      <c r="B837" s="7"/>
      <c r="C837" s="14"/>
      <c r="D837" s="14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</row>
    <row r="838" spans="1:18" ht="19.5" customHeight="1" x14ac:dyDescent="0.25">
      <c r="A838" s="7"/>
      <c r="B838" s="7"/>
      <c r="C838" s="14"/>
      <c r="D838" s="14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</row>
    <row r="839" spans="1:18" ht="19.5" customHeight="1" x14ac:dyDescent="0.25">
      <c r="A839" s="7"/>
      <c r="B839" s="7"/>
      <c r="C839" s="14"/>
      <c r="D839" s="14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</row>
    <row r="840" spans="1:18" ht="19.5" customHeight="1" x14ac:dyDescent="0.25">
      <c r="A840" s="7"/>
      <c r="B840" s="7"/>
      <c r="C840" s="14"/>
      <c r="D840" s="14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</row>
    <row r="841" spans="1:18" ht="19.5" customHeight="1" x14ac:dyDescent="0.25">
      <c r="A841" s="7"/>
      <c r="B841" s="7"/>
      <c r="C841" s="14"/>
      <c r="D841" s="14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</row>
    <row r="842" spans="1:18" ht="19.5" customHeight="1" x14ac:dyDescent="0.25">
      <c r="A842" s="7"/>
      <c r="B842" s="7"/>
      <c r="C842" s="14"/>
      <c r="D842" s="14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</row>
    <row r="843" spans="1:18" ht="19.5" customHeight="1" x14ac:dyDescent="0.25">
      <c r="A843" s="7"/>
      <c r="B843" s="7"/>
      <c r="C843" s="14"/>
      <c r="D843" s="14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</row>
    <row r="844" spans="1:18" ht="19.5" customHeight="1" x14ac:dyDescent="0.25">
      <c r="A844" s="7"/>
      <c r="B844" s="7"/>
      <c r="C844" s="14"/>
      <c r="D844" s="14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</row>
    <row r="845" spans="1:18" ht="19.5" customHeight="1" x14ac:dyDescent="0.25">
      <c r="A845" s="7"/>
      <c r="B845" s="7"/>
      <c r="C845" s="14"/>
      <c r="D845" s="14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</row>
    <row r="846" spans="1:18" ht="19.5" customHeight="1" x14ac:dyDescent="0.25">
      <c r="A846" s="7"/>
      <c r="B846" s="7"/>
      <c r="C846" s="14"/>
      <c r="D846" s="14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</row>
    <row r="847" spans="1:18" ht="19.5" customHeight="1" x14ac:dyDescent="0.25">
      <c r="A847" s="7"/>
      <c r="B847" s="7"/>
      <c r="C847" s="14"/>
      <c r="D847" s="14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</row>
    <row r="848" spans="1:18" ht="19.5" customHeight="1" x14ac:dyDescent="0.25">
      <c r="A848" s="7"/>
      <c r="B848" s="7"/>
      <c r="C848" s="14"/>
      <c r="D848" s="14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</row>
    <row r="849" spans="1:18" ht="19.5" customHeight="1" x14ac:dyDescent="0.25">
      <c r="A849" s="7"/>
      <c r="B849" s="7"/>
      <c r="C849" s="14"/>
      <c r="D849" s="14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</row>
    <row r="850" spans="1:18" ht="19.5" customHeight="1" x14ac:dyDescent="0.25">
      <c r="A850" s="7"/>
      <c r="B850" s="7"/>
      <c r="C850" s="14"/>
      <c r="D850" s="14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</row>
    <row r="851" spans="1:18" ht="19.5" customHeight="1" x14ac:dyDescent="0.25">
      <c r="A851" s="7"/>
      <c r="B851" s="7"/>
      <c r="C851" s="14"/>
      <c r="D851" s="14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</row>
    <row r="852" spans="1:18" ht="19.5" customHeight="1" x14ac:dyDescent="0.25">
      <c r="A852" s="7"/>
      <c r="B852" s="7"/>
      <c r="C852" s="14"/>
      <c r="D852" s="14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</row>
    <row r="853" spans="1:18" ht="19.5" customHeight="1" x14ac:dyDescent="0.25">
      <c r="A853" s="7"/>
      <c r="B853" s="7"/>
      <c r="C853" s="14"/>
      <c r="D853" s="14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</row>
    <row r="854" spans="1:18" ht="19.5" customHeight="1" x14ac:dyDescent="0.25">
      <c r="A854" s="7"/>
      <c r="B854" s="7"/>
      <c r="C854" s="14"/>
      <c r="D854" s="14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</row>
    <row r="855" spans="1:18" ht="19.5" customHeight="1" x14ac:dyDescent="0.25">
      <c r="A855" s="7"/>
      <c r="B855" s="7"/>
      <c r="C855" s="14"/>
      <c r="D855" s="14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</row>
    <row r="856" spans="1:18" ht="19.5" customHeight="1" x14ac:dyDescent="0.25">
      <c r="A856" s="7"/>
      <c r="B856" s="7"/>
      <c r="C856" s="14"/>
      <c r="D856" s="14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</row>
    <row r="857" spans="1:18" ht="19.5" customHeight="1" x14ac:dyDescent="0.25">
      <c r="A857" s="7"/>
      <c r="B857" s="7"/>
      <c r="C857" s="14"/>
      <c r="D857" s="14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</row>
    <row r="858" spans="1:18" ht="19.5" customHeight="1" x14ac:dyDescent="0.25">
      <c r="A858" s="7"/>
      <c r="B858" s="7"/>
      <c r="C858" s="14"/>
      <c r="D858" s="14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</row>
    <row r="859" spans="1:18" ht="19.5" customHeight="1" x14ac:dyDescent="0.25">
      <c r="A859" s="7"/>
      <c r="B859" s="7"/>
      <c r="C859" s="14"/>
      <c r="D859" s="14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</row>
    <row r="860" spans="1:18" ht="19.5" customHeight="1" x14ac:dyDescent="0.25">
      <c r="A860" s="7"/>
      <c r="B860" s="7"/>
      <c r="C860" s="14"/>
      <c r="D860" s="14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</row>
    <row r="861" spans="1:18" ht="19.5" customHeight="1" x14ac:dyDescent="0.25">
      <c r="A861" s="7"/>
      <c r="B861" s="7"/>
      <c r="C861" s="14"/>
      <c r="D861" s="14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</row>
    <row r="862" spans="1:18" ht="19.5" customHeight="1" x14ac:dyDescent="0.25">
      <c r="A862" s="7"/>
      <c r="B862" s="7"/>
      <c r="C862" s="14"/>
      <c r="D862" s="14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</row>
    <row r="863" spans="1:18" ht="19.5" customHeight="1" x14ac:dyDescent="0.25">
      <c r="A863" s="7"/>
      <c r="B863" s="7"/>
      <c r="C863" s="14"/>
      <c r="D863" s="14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</row>
    <row r="864" spans="1:18" ht="19.5" customHeight="1" x14ac:dyDescent="0.25">
      <c r="A864" s="7"/>
      <c r="B864" s="7"/>
      <c r="C864" s="14"/>
      <c r="D864" s="14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</row>
    <row r="865" spans="1:18" ht="19.5" customHeight="1" x14ac:dyDescent="0.25">
      <c r="A865" s="7"/>
      <c r="B865" s="7"/>
      <c r="C865" s="14"/>
      <c r="D865" s="14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</row>
    <row r="866" spans="1:18" ht="19.5" customHeight="1" x14ac:dyDescent="0.25">
      <c r="A866" s="7"/>
      <c r="B866" s="7"/>
      <c r="C866" s="14"/>
      <c r="D866" s="14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</row>
    <row r="867" spans="1:18" ht="19.5" customHeight="1" x14ac:dyDescent="0.25">
      <c r="A867" s="7"/>
      <c r="B867" s="7"/>
      <c r="C867" s="14"/>
      <c r="D867" s="14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</row>
    <row r="868" spans="1:18" ht="19.5" customHeight="1" x14ac:dyDescent="0.25">
      <c r="A868" s="7"/>
      <c r="B868" s="7"/>
      <c r="C868" s="14"/>
      <c r="D868" s="14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</row>
    <row r="869" spans="1:18" ht="19.5" customHeight="1" x14ac:dyDescent="0.25">
      <c r="A869" s="7"/>
      <c r="B869" s="7"/>
      <c r="C869" s="14"/>
      <c r="D869" s="14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</row>
    <row r="870" spans="1:18" ht="19.5" customHeight="1" x14ac:dyDescent="0.25">
      <c r="A870" s="7"/>
      <c r="B870" s="7"/>
      <c r="C870" s="14"/>
      <c r="D870" s="14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</row>
    <row r="871" spans="1:18" ht="19.5" customHeight="1" x14ac:dyDescent="0.25">
      <c r="A871" s="7"/>
      <c r="B871" s="7"/>
      <c r="C871" s="14"/>
      <c r="D871" s="14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</row>
    <row r="872" spans="1:18" ht="19.5" customHeight="1" x14ac:dyDescent="0.25">
      <c r="A872" s="7"/>
      <c r="B872" s="7"/>
      <c r="C872" s="14"/>
      <c r="D872" s="14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</row>
    <row r="873" spans="1:18" ht="19.5" customHeight="1" x14ac:dyDescent="0.25">
      <c r="A873" s="7"/>
      <c r="B873" s="7"/>
      <c r="C873" s="14"/>
      <c r="D873" s="14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</row>
    <row r="874" spans="1:18" ht="19.5" customHeight="1" x14ac:dyDescent="0.25">
      <c r="A874" s="7"/>
      <c r="B874" s="7"/>
      <c r="C874" s="14"/>
      <c r="D874" s="14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</row>
    <row r="875" spans="1:18" ht="19.5" customHeight="1" x14ac:dyDescent="0.25">
      <c r="A875" s="7"/>
      <c r="B875" s="7"/>
      <c r="C875" s="14"/>
      <c r="D875" s="14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</row>
    <row r="876" spans="1:18" ht="19.5" customHeight="1" x14ac:dyDescent="0.25">
      <c r="A876" s="7"/>
      <c r="B876" s="7"/>
      <c r="C876" s="14"/>
      <c r="D876" s="14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</row>
    <row r="877" spans="1:18" ht="19.5" customHeight="1" x14ac:dyDescent="0.25">
      <c r="A877" s="7"/>
      <c r="B877" s="7"/>
      <c r="C877" s="14"/>
      <c r="D877" s="14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</row>
    <row r="878" spans="1:18" ht="19.5" customHeight="1" x14ac:dyDescent="0.25">
      <c r="A878" s="7"/>
      <c r="B878" s="7"/>
      <c r="C878" s="14"/>
      <c r="D878" s="14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</row>
    <row r="879" spans="1:18" ht="19.5" customHeight="1" x14ac:dyDescent="0.25">
      <c r="A879" s="7"/>
      <c r="B879" s="7"/>
      <c r="C879" s="14"/>
      <c r="D879" s="14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</row>
    <row r="880" spans="1:18" ht="19.5" customHeight="1" x14ac:dyDescent="0.25">
      <c r="A880" s="7"/>
      <c r="B880" s="7"/>
      <c r="C880" s="14"/>
      <c r="D880" s="14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</row>
    <row r="881" spans="1:18" ht="19.5" customHeight="1" x14ac:dyDescent="0.25">
      <c r="A881" s="7"/>
      <c r="B881" s="7"/>
      <c r="C881" s="14"/>
      <c r="D881" s="14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</row>
    <row r="882" spans="1:18" ht="19.5" customHeight="1" x14ac:dyDescent="0.25">
      <c r="A882" s="7"/>
      <c r="B882" s="7"/>
      <c r="C882" s="14"/>
      <c r="D882" s="14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</row>
    <row r="883" spans="1:18" ht="19.5" customHeight="1" x14ac:dyDescent="0.25">
      <c r="A883" s="7"/>
      <c r="B883" s="7"/>
      <c r="C883" s="14"/>
      <c r="D883" s="14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</row>
    <row r="884" spans="1:18" ht="19.5" customHeight="1" x14ac:dyDescent="0.25">
      <c r="A884" s="7"/>
      <c r="B884" s="7"/>
      <c r="C884" s="14"/>
      <c r="D884" s="14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</row>
    <row r="885" spans="1:18" ht="19.5" customHeight="1" x14ac:dyDescent="0.25">
      <c r="A885" s="7"/>
      <c r="B885" s="7"/>
      <c r="C885" s="14"/>
      <c r="D885" s="14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</row>
    <row r="886" spans="1:18" ht="19.5" customHeight="1" x14ac:dyDescent="0.25">
      <c r="A886" s="7"/>
      <c r="B886" s="7"/>
      <c r="C886" s="14"/>
      <c r="D886" s="14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</row>
    <row r="887" spans="1:18" ht="19.5" customHeight="1" x14ac:dyDescent="0.25">
      <c r="A887" s="7"/>
      <c r="B887" s="7"/>
      <c r="C887" s="14"/>
      <c r="D887" s="14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</row>
    <row r="888" spans="1:18" ht="19.5" customHeight="1" x14ac:dyDescent="0.25">
      <c r="A888" s="7"/>
      <c r="B888" s="7"/>
      <c r="C888" s="14"/>
      <c r="D888" s="14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</row>
    <row r="889" spans="1:18" ht="19.5" customHeight="1" x14ac:dyDescent="0.25">
      <c r="A889" s="7"/>
      <c r="B889" s="7"/>
      <c r="C889" s="14"/>
      <c r="D889" s="14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</row>
    <row r="890" spans="1:18" ht="19.5" customHeight="1" x14ac:dyDescent="0.25">
      <c r="A890" s="7"/>
      <c r="B890" s="7"/>
      <c r="C890" s="14"/>
      <c r="D890" s="14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</row>
    <row r="891" spans="1:18" ht="19.5" customHeight="1" x14ac:dyDescent="0.25">
      <c r="A891" s="7"/>
      <c r="B891" s="7"/>
      <c r="C891" s="14"/>
      <c r="D891" s="14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</row>
    <row r="892" spans="1:18" ht="19.5" customHeight="1" x14ac:dyDescent="0.25">
      <c r="A892" s="7"/>
      <c r="B892" s="7"/>
      <c r="C892" s="14"/>
      <c r="D892" s="14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</row>
    <row r="893" spans="1:18" ht="19.5" customHeight="1" x14ac:dyDescent="0.25">
      <c r="A893" s="7"/>
      <c r="B893" s="7"/>
      <c r="C893" s="14"/>
      <c r="D893" s="14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</row>
    <row r="894" spans="1:18" ht="19.5" customHeight="1" x14ac:dyDescent="0.25">
      <c r="A894" s="7"/>
      <c r="B894" s="7"/>
      <c r="C894" s="14"/>
      <c r="D894" s="14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</row>
    <row r="895" spans="1:18" ht="19.5" customHeight="1" x14ac:dyDescent="0.25">
      <c r="A895" s="7"/>
      <c r="B895" s="7"/>
      <c r="C895" s="14"/>
      <c r="D895" s="14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</row>
    <row r="896" spans="1:18" ht="19.5" customHeight="1" x14ac:dyDescent="0.25">
      <c r="A896" s="7"/>
      <c r="B896" s="7"/>
      <c r="C896" s="14"/>
      <c r="D896" s="14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</row>
    <row r="897" spans="1:18" ht="19.5" customHeight="1" x14ac:dyDescent="0.25">
      <c r="A897" s="7"/>
      <c r="B897" s="7"/>
      <c r="C897" s="14"/>
      <c r="D897" s="14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</row>
    <row r="898" spans="1:18" ht="19.5" customHeight="1" x14ac:dyDescent="0.25">
      <c r="A898" s="7"/>
      <c r="B898" s="7"/>
      <c r="C898" s="14"/>
      <c r="D898" s="14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</row>
    <row r="899" spans="1:18" ht="19.5" customHeight="1" x14ac:dyDescent="0.25">
      <c r="A899" s="7"/>
      <c r="B899" s="7"/>
      <c r="C899" s="14"/>
      <c r="D899" s="14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</row>
    <row r="900" spans="1:18" ht="19.5" customHeight="1" x14ac:dyDescent="0.25">
      <c r="A900" s="7"/>
      <c r="B900" s="7"/>
      <c r="C900" s="14"/>
      <c r="D900" s="14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</row>
    <row r="901" spans="1:18" ht="19.5" customHeight="1" x14ac:dyDescent="0.25">
      <c r="A901" s="7"/>
      <c r="B901" s="7"/>
      <c r="C901" s="14"/>
      <c r="D901" s="14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</row>
    <row r="902" spans="1:18" ht="19.5" customHeight="1" x14ac:dyDescent="0.25">
      <c r="A902" s="7"/>
      <c r="B902" s="7"/>
      <c r="C902" s="14"/>
      <c r="D902" s="14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</row>
    <row r="903" spans="1:18" ht="19.5" customHeight="1" x14ac:dyDescent="0.25">
      <c r="A903" s="7"/>
      <c r="B903" s="7"/>
      <c r="C903" s="14"/>
      <c r="D903" s="14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</row>
    <row r="904" spans="1:18" ht="19.5" customHeight="1" x14ac:dyDescent="0.25">
      <c r="A904" s="7"/>
      <c r="B904" s="7"/>
      <c r="C904" s="14"/>
      <c r="D904" s="14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</row>
    <row r="905" spans="1:18" ht="19.5" customHeight="1" x14ac:dyDescent="0.25">
      <c r="A905" s="7"/>
      <c r="B905" s="7"/>
      <c r="C905" s="14"/>
      <c r="D905" s="14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</row>
    <row r="906" spans="1:18" ht="19.5" customHeight="1" x14ac:dyDescent="0.25">
      <c r="A906" s="7"/>
      <c r="B906" s="7"/>
      <c r="C906" s="14"/>
      <c r="D906" s="14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</row>
    <row r="907" spans="1:18" ht="19.5" customHeight="1" x14ac:dyDescent="0.25">
      <c r="A907" s="7"/>
      <c r="B907" s="7"/>
      <c r="C907" s="14"/>
      <c r="D907" s="14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</row>
    <row r="908" spans="1:18" ht="19.5" customHeight="1" x14ac:dyDescent="0.25">
      <c r="A908" s="7"/>
      <c r="B908" s="7"/>
      <c r="C908" s="14"/>
      <c r="D908" s="14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</row>
    <row r="909" spans="1:18" ht="19.5" customHeight="1" x14ac:dyDescent="0.25">
      <c r="A909" s="7"/>
      <c r="B909" s="7"/>
      <c r="C909" s="14"/>
      <c r="D909" s="14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</row>
    <row r="910" spans="1:18" ht="19.5" customHeight="1" x14ac:dyDescent="0.25">
      <c r="A910" s="7"/>
      <c r="B910" s="7"/>
      <c r="C910" s="14"/>
      <c r="D910" s="14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</row>
    <row r="911" spans="1:18" ht="19.5" customHeight="1" x14ac:dyDescent="0.25">
      <c r="A911" s="7"/>
      <c r="B911" s="7"/>
      <c r="C911" s="14"/>
      <c r="D911" s="14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</row>
    <row r="912" spans="1:18" ht="19.5" customHeight="1" x14ac:dyDescent="0.25">
      <c r="A912" s="7"/>
      <c r="B912" s="7"/>
      <c r="C912" s="14"/>
      <c r="D912" s="14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</row>
    <row r="913" spans="1:18" ht="19.5" customHeight="1" x14ac:dyDescent="0.25">
      <c r="A913" s="7"/>
      <c r="B913" s="7"/>
      <c r="C913" s="14"/>
      <c r="D913" s="14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</row>
    <row r="914" spans="1:18" ht="19.5" customHeight="1" x14ac:dyDescent="0.25">
      <c r="A914" s="7"/>
      <c r="B914" s="7"/>
      <c r="C914" s="14"/>
      <c r="D914" s="14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</row>
    <row r="915" spans="1:18" ht="19.5" customHeight="1" x14ac:dyDescent="0.25">
      <c r="A915" s="7"/>
      <c r="B915" s="7"/>
      <c r="C915" s="14"/>
      <c r="D915" s="14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</row>
    <row r="916" spans="1:18" ht="19.5" customHeight="1" x14ac:dyDescent="0.25">
      <c r="A916" s="7"/>
      <c r="B916" s="7"/>
      <c r="C916" s="14"/>
      <c r="D916" s="14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</row>
    <row r="917" spans="1:18" ht="19.5" customHeight="1" x14ac:dyDescent="0.25">
      <c r="A917" s="7"/>
      <c r="B917" s="7"/>
      <c r="C917" s="14"/>
      <c r="D917" s="14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</row>
    <row r="918" spans="1:18" ht="19.5" customHeight="1" x14ac:dyDescent="0.25">
      <c r="A918" s="7"/>
      <c r="B918" s="7"/>
      <c r="C918" s="14"/>
      <c r="D918" s="14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</row>
    <row r="919" spans="1:18" ht="19.5" customHeight="1" x14ac:dyDescent="0.25">
      <c r="A919" s="7"/>
      <c r="B919" s="7"/>
      <c r="C919" s="14"/>
      <c r="D919" s="14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</row>
    <row r="920" spans="1:18" ht="19.5" customHeight="1" x14ac:dyDescent="0.25">
      <c r="A920" s="7"/>
      <c r="B920" s="7"/>
      <c r="C920" s="14"/>
      <c r="D920" s="14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</row>
    <row r="921" spans="1:18" ht="19.5" customHeight="1" x14ac:dyDescent="0.25">
      <c r="A921" s="7"/>
      <c r="B921" s="7"/>
      <c r="C921" s="14"/>
      <c r="D921" s="14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</row>
    <row r="922" spans="1:18" ht="19.5" customHeight="1" x14ac:dyDescent="0.25">
      <c r="A922" s="7"/>
      <c r="B922" s="7"/>
      <c r="C922" s="14"/>
      <c r="D922" s="14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</row>
    <row r="923" spans="1:18" ht="19.5" customHeight="1" x14ac:dyDescent="0.25">
      <c r="A923" s="7"/>
      <c r="B923" s="7"/>
      <c r="C923" s="14"/>
      <c r="D923" s="14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</row>
    <row r="924" spans="1:18" ht="19.5" customHeight="1" x14ac:dyDescent="0.25">
      <c r="A924" s="7"/>
      <c r="B924" s="7"/>
      <c r="C924" s="14"/>
      <c r="D924" s="14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</row>
    <row r="925" spans="1:18" ht="19.5" customHeight="1" x14ac:dyDescent="0.25">
      <c r="A925" s="7"/>
      <c r="B925" s="7"/>
      <c r="C925" s="14"/>
      <c r="D925" s="14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</row>
    <row r="926" spans="1:18" ht="19.5" customHeight="1" x14ac:dyDescent="0.25">
      <c r="A926" s="7"/>
      <c r="B926" s="7"/>
      <c r="C926" s="14"/>
      <c r="D926" s="14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</row>
    <row r="927" spans="1:18" ht="19.5" customHeight="1" x14ac:dyDescent="0.25">
      <c r="A927" s="7"/>
      <c r="B927" s="7"/>
      <c r="C927" s="14"/>
      <c r="D927" s="14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</row>
    <row r="928" spans="1:18" ht="19.5" customHeight="1" x14ac:dyDescent="0.25">
      <c r="A928" s="7"/>
      <c r="B928" s="7"/>
      <c r="C928" s="14"/>
      <c r="D928" s="14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</row>
    <row r="929" spans="1:18" ht="19.5" customHeight="1" x14ac:dyDescent="0.25">
      <c r="A929" s="7"/>
      <c r="B929" s="7"/>
      <c r="C929" s="14"/>
      <c r="D929" s="14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</row>
    <row r="930" spans="1:18" ht="19.5" customHeight="1" x14ac:dyDescent="0.25">
      <c r="A930" s="7"/>
      <c r="B930" s="7"/>
      <c r="C930" s="14"/>
      <c r="D930" s="14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</row>
    <row r="931" spans="1:18" ht="19.5" customHeight="1" x14ac:dyDescent="0.25">
      <c r="A931" s="7"/>
      <c r="B931" s="7"/>
      <c r="C931" s="14"/>
      <c r="D931" s="14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</row>
    <row r="932" spans="1:18" ht="19.5" customHeight="1" x14ac:dyDescent="0.25">
      <c r="A932" s="7"/>
      <c r="B932" s="7"/>
      <c r="C932" s="14"/>
      <c r="D932" s="14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</row>
    <row r="933" spans="1:18" ht="19.5" customHeight="1" x14ac:dyDescent="0.25">
      <c r="A933" s="7"/>
      <c r="B933" s="7"/>
      <c r="C933" s="14"/>
      <c r="D933" s="14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</row>
    <row r="934" spans="1:18" ht="19.5" customHeight="1" x14ac:dyDescent="0.25">
      <c r="A934" s="7"/>
      <c r="B934" s="7"/>
      <c r="C934" s="14"/>
      <c r="D934" s="14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</row>
    <row r="935" spans="1:18" ht="19.5" customHeight="1" x14ac:dyDescent="0.25">
      <c r="A935" s="7"/>
      <c r="B935" s="7"/>
      <c r="C935" s="14"/>
      <c r="D935" s="14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</row>
    <row r="936" spans="1:18" ht="19.5" customHeight="1" x14ac:dyDescent="0.25">
      <c r="A936" s="7"/>
      <c r="B936" s="7"/>
      <c r="C936" s="14"/>
      <c r="D936" s="14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</row>
    <row r="937" spans="1:18" ht="19.5" customHeight="1" x14ac:dyDescent="0.25">
      <c r="A937" s="7"/>
      <c r="B937" s="7"/>
      <c r="C937" s="14"/>
      <c r="D937" s="14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</row>
    <row r="938" spans="1:18" ht="19.5" customHeight="1" x14ac:dyDescent="0.25">
      <c r="A938" s="7"/>
      <c r="B938" s="7"/>
      <c r="C938" s="14"/>
      <c r="D938" s="14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</row>
    <row r="939" spans="1:18" ht="19.5" customHeight="1" x14ac:dyDescent="0.25">
      <c r="A939" s="7"/>
      <c r="B939" s="7"/>
      <c r="C939" s="14"/>
      <c r="D939" s="14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</row>
    <row r="940" spans="1:18" ht="19.5" customHeight="1" x14ac:dyDescent="0.25">
      <c r="A940" s="7"/>
      <c r="B940" s="7"/>
      <c r="C940" s="14"/>
      <c r="D940" s="14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</row>
    <row r="941" spans="1:18" ht="19.5" customHeight="1" x14ac:dyDescent="0.25">
      <c r="A941" s="7"/>
      <c r="B941" s="7"/>
      <c r="C941" s="14"/>
      <c r="D941" s="14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</row>
    <row r="942" spans="1:18" ht="19.5" customHeight="1" x14ac:dyDescent="0.25">
      <c r="A942" s="7"/>
      <c r="B942" s="7"/>
      <c r="C942" s="14"/>
      <c r="D942" s="14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</row>
    <row r="943" spans="1:18" ht="19.5" customHeight="1" x14ac:dyDescent="0.25">
      <c r="A943" s="7"/>
      <c r="B943" s="7"/>
      <c r="C943" s="14"/>
      <c r="D943" s="14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</row>
    <row r="944" spans="1:18" ht="19.5" customHeight="1" x14ac:dyDescent="0.25">
      <c r="A944" s="7"/>
      <c r="B944" s="7"/>
      <c r="C944" s="14"/>
      <c r="D944" s="14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</row>
    <row r="945" spans="1:18" ht="19.5" customHeight="1" x14ac:dyDescent="0.25">
      <c r="A945" s="7"/>
      <c r="B945" s="7"/>
      <c r="C945" s="14"/>
      <c r="D945" s="14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</row>
    <row r="946" spans="1:18" ht="19.5" customHeight="1" x14ac:dyDescent="0.25">
      <c r="A946" s="7"/>
      <c r="B946" s="7"/>
      <c r="C946" s="14"/>
      <c r="D946" s="14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</row>
    <row r="947" spans="1:18" ht="19.5" customHeight="1" x14ac:dyDescent="0.25">
      <c r="A947" s="7"/>
      <c r="B947" s="7"/>
      <c r="C947" s="14"/>
      <c r="D947" s="14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</row>
    <row r="948" spans="1:18" ht="19.5" customHeight="1" x14ac:dyDescent="0.25">
      <c r="A948" s="7"/>
      <c r="B948" s="7"/>
      <c r="C948" s="14"/>
      <c r="D948" s="14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</row>
    <row r="949" spans="1:18" ht="19.5" customHeight="1" x14ac:dyDescent="0.25">
      <c r="A949" s="7"/>
      <c r="B949" s="7"/>
      <c r="C949" s="14"/>
      <c r="D949" s="14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</row>
    <row r="950" spans="1:18" ht="19.5" customHeight="1" x14ac:dyDescent="0.25">
      <c r="A950" s="7"/>
      <c r="B950" s="7"/>
      <c r="C950" s="14"/>
      <c r="D950" s="14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</row>
    <row r="951" spans="1:18" ht="19.5" customHeight="1" x14ac:dyDescent="0.25">
      <c r="A951" s="7"/>
      <c r="B951" s="7"/>
      <c r="C951" s="14"/>
      <c r="D951" s="14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</row>
    <row r="952" spans="1:18" ht="19.5" customHeight="1" x14ac:dyDescent="0.25">
      <c r="A952" s="7"/>
      <c r="B952" s="7"/>
      <c r="C952" s="14"/>
      <c r="D952" s="14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</row>
    <row r="953" spans="1:18" ht="19.5" customHeight="1" x14ac:dyDescent="0.25">
      <c r="A953" s="7"/>
      <c r="B953" s="7"/>
      <c r="C953" s="14"/>
      <c r="D953" s="14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</row>
    <row r="954" spans="1:18" ht="19.5" customHeight="1" x14ac:dyDescent="0.25">
      <c r="A954" s="7"/>
      <c r="B954" s="7"/>
      <c r="C954" s="14"/>
      <c r="D954" s="14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</row>
    <row r="955" spans="1:18" ht="19.5" customHeight="1" x14ac:dyDescent="0.25">
      <c r="A955" s="7"/>
      <c r="B955" s="7"/>
      <c r="C955" s="14"/>
      <c r="D955" s="14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</row>
    <row r="956" spans="1:18" ht="19.5" customHeight="1" x14ac:dyDescent="0.25">
      <c r="A956" s="7"/>
      <c r="B956" s="7"/>
      <c r="C956" s="14"/>
      <c r="D956" s="14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</row>
    <row r="957" spans="1:18" ht="19.5" customHeight="1" x14ac:dyDescent="0.25">
      <c r="A957" s="7"/>
      <c r="B957" s="7"/>
      <c r="C957" s="14"/>
      <c r="D957" s="14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</row>
    <row r="958" spans="1:18" ht="19.5" customHeight="1" x14ac:dyDescent="0.25">
      <c r="A958" s="7"/>
      <c r="B958" s="7"/>
      <c r="C958" s="14"/>
      <c r="D958" s="14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</row>
    <row r="959" spans="1:18" ht="19.5" customHeight="1" x14ac:dyDescent="0.25">
      <c r="A959" s="7"/>
      <c r="B959" s="7"/>
      <c r="C959" s="14"/>
      <c r="D959" s="14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</row>
    <row r="960" spans="1:18" ht="19.5" customHeight="1" x14ac:dyDescent="0.25">
      <c r="A960" s="7"/>
      <c r="B960" s="7"/>
      <c r="C960" s="14"/>
      <c r="D960" s="14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</row>
    <row r="961" spans="1:18" ht="19.5" customHeight="1" x14ac:dyDescent="0.25">
      <c r="A961" s="7"/>
      <c r="B961" s="7"/>
      <c r="C961" s="14"/>
      <c r="D961" s="14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</row>
    <row r="962" spans="1:18" ht="19.5" customHeight="1" x14ac:dyDescent="0.25">
      <c r="A962" s="7"/>
      <c r="B962" s="7"/>
      <c r="C962" s="14"/>
      <c r="D962" s="14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</row>
    <row r="963" spans="1:18" ht="19.5" customHeight="1" x14ac:dyDescent="0.25">
      <c r="A963" s="7"/>
      <c r="B963" s="7"/>
      <c r="C963" s="14"/>
      <c r="D963" s="14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</row>
    <row r="964" spans="1:18" ht="19.5" customHeight="1" x14ac:dyDescent="0.25">
      <c r="A964" s="7"/>
      <c r="B964" s="7"/>
      <c r="C964" s="14"/>
      <c r="D964" s="14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</row>
    <row r="965" spans="1:18" ht="19.5" customHeight="1" x14ac:dyDescent="0.25">
      <c r="A965" s="7"/>
      <c r="B965" s="7"/>
      <c r="C965" s="14"/>
      <c r="D965" s="14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</row>
    <row r="966" spans="1:18" ht="19.5" customHeight="1" x14ac:dyDescent="0.25">
      <c r="A966" s="7"/>
      <c r="B966" s="7"/>
      <c r="C966" s="14"/>
      <c r="D966" s="14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</row>
    <row r="967" spans="1:18" ht="19.5" customHeight="1" x14ac:dyDescent="0.25">
      <c r="A967" s="7"/>
      <c r="B967" s="7"/>
      <c r="C967" s="14"/>
      <c r="D967" s="14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</row>
    <row r="968" spans="1:18" ht="19.5" customHeight="1" x14ac:dyDescent="0.25">
      <c r="A968" s="7"/>
      <c r="B968" s="7"/>
      <c r="C968" s="14"/>
      <c r="D968" s="14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</row>
    <row r="969" spans="1:18" ht="19.5" customHeight="1" x14ac:dyDescent="0.25">
      <c r="A969" s="7"/>
      <c r="B969" s="7"/>
      <c r="C969" s="14"/>
      <c r="D969" s="14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</row>
    <row r="970" spans="1:18" ht="19.5" customHeight="1" x14ac:dyDescent="0.25">
      <c r="A970" s="7"/>
      <c r="B970" s="7"/>
      <c r="C970" s="14"/>
      <c r="D970" s="14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</row>
    <row r="971" spans="1:18" ht="19.5" customHeight="1" x14ac:dyDescent="0.25">
      <c r="A971" s="7"/>
      <c r="B971" s="7"/>
      <c r="C971" s="14"/>
      <c r="D971" s="14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</row>
    <row r="972" spans="1:18" ht="19.5" customHeight="1" x14ac:dyDescent="0.25">
      <c r="A972" s="7"/>
      <c r="B972" s="7"/>
      <c r="C972" s="14"/>
      <c r="D972" s="14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</row>
    <row r="973" spans="1:18" ht="19.5" customHeight="1" x14ac:dyDescent="0.25">
      <c r="A973" s="7"/>
      <c r="B973" s="7"/>
      <c r="C973" s="14"/>
      <c r="D973" s="14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</row>
    <row r="974" spans="1:18" ht="19.5" customHeight="1" x14ac:dyDescent="0.25">
      <c r="A974" s="7"/>
      <c r="B974" s="7"/>
      <c r="C974" s="14"/>
      <c r="D974" s="14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</row>
    <row r="975" spans="1:18" ht="19.5" customHeight="1" x14ac:dyDescent="0.25">
      <c r="A975" s="7"/>
      <c r="B975" s="7"/>
      <c r="C975" s="14"/>
      <c r="D975" s="14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</row>
    <row r="976" spans="1:18" ht="19.5" customHeight="1" x14ac:dyDescent="0.25">
      <c r="A976" s="7"/>
      <c r="B976" s="7"/>
      <c r="C976" s="14"/>
      <c r="D976" s="14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</row>
    <row r="977" spans="1:18" ht="19.5" customHeight="1" x14ac:dyDescent="0.25">
      <c r="A977" s="7"/>
      <c r="B977" s="7"/>
      <c r="C977" s="14"/>
      <c r="D977" s="14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</row>
    <row r="978" spans="1:18" ht="19.5" customHeight="1" x14ac:dyDescent="0.25">
      <c r="A978" s="7"/>
      <c r="B978" s="7"/>
      <c r="C978" s="14"/>
      <c r="D978" s="14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</row>
    <row r="979" spans="1:18" ht="19.5" customHeight="1" x14ac:dyDescent="0.25">
      <c r="A979" s="7"/>
      <c r="B979" s="7"/>
      <c r="C979" s="14"/>
      <c r="D979" s="14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</row>
    <row r="980" spans="1:18" ht="19.5" customHeight="1" x14ac:dyDescent="0.25">
      <c r="A980" s="7"/>
      <c r="B980" s="7"/>
      <c r="C980" s="14"/>
      <c r="D980" s="14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</row>
    <row r="981" spans="1:18" ht="19.5" customHeight="1" x14ac:dyDescent="0.25">
      <c r="A981" s="7"/>
      <c r="B981" s="7"/>
      <c r="C981" s="14"/>
      <c r="D981" s="14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</row>
    <row r="982" spans="1:18" ht="19.5" customHeight="1" x14ac:dyDescent="0.25">
      <c r="A982" s="7"/>
      <c r="B982" s="7"/>
      <c r="C982" s="14"/>
      <c r="D982" s="14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</row>
    <row r="983" spans="1:18" ht="19.5" customHeight="1" x14ac:dyDescent="0.25">
      <c r="A983" s="7"/>
      <c r="B983" s="7"/>
      <c r="C983" s="14"/>
      <c r="D983" s="14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</row>
    <row r="984" spans="1:18" ht="19.5" customHeight="1" x14ac:dyDescent="0.25">
      <c r="A984" s="7"/>
      <c r="B984" s="7"/>
      <c r="C984" s="14"/>
      <c r="D984" s="14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</row>
    <row r="985" spans="1:18" ht="19.5" customHeight="1" x14ac:dyDescent="0.25">
      <c r="A985" s="7"/>
      <c r="B985" s="7"/>
      <c r="C985" s="14"/>
      <c r="D985" s="14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</row>
    <row r="986" spans="1:18" ht="19.5" customHeight="1" x14ac:dyDescent="0.25">
      <c r="A986" s="7"/>
      <c r="B986" s="7"/>
      <c r="C986" s="14"/>
      <c r="D986" s="14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</row>
    <row r="987" spans="1:18" ht="19.5" customHeight="1" x14ac:dyDescent="0.25">
      <c r="A987" s="7"/>
      <c r="B987" s="7"/>
      <c r="C987" s="14"/>
      <c r="D987" s="14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</row>
    <row r="988" spans="1:18" ht="19.5" customHeight="1" x14ac:dyDescent="0.25">
      <c r="A988" s="7"/>
      <c r="B988" s="7"/>
      <c r="C988" s="14"/>
      <c r="D988" s="14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</row>
    <row r="989" spans="1:18" ht="19.5" customHeight="1" x14ac:dyDescent="0.25">
      <c r="A989" s="7"/>
      <c r="B989" s="7"/>
      <c r="C989" s="14"/>
      <c r="D989" s="14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</row>
    <row r="990" spans="1:18" ht="19.5" customHeight="1" x14ac:dyDescent="0.25">
      <c r="A990" s="7"/>
      <c r="B990" s="7"/>
      <c r="C990" s="14"/>
      <c r="D990" s="14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</row>
    <row r="991" spans="1:18" ht="19.5" customHeight="1" x14ac:dyDescent="0.25">
      <c r="A991" s="7"/>
      <c r="B991" s="7"/>
      <c r="C991" s="14"/>
      <c r="D991" s="14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</row>
    <row r="992" spans="1:18" ht="19.5" customHeight="1" x14ac:dyDescent="0.25">
      <c r="A992" s="7"/>
      <c r="B992" s="7"/>
      <c r="C992" s="14"/>
      <c r="D992" s="14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</row>
    <row r="993" spans="1:18" ht="19.5" customHeight="1" x14ac:dyDescent="0.25">
      <c r="A993" s="7"/>
      <c r="B993" s="7"/>
      <c r="C993" s="14"/>
      <c r="D993" s="14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</row>
    <row r="994" spans="1:18" ht="19.5" customHeight="1" x14ac:dyDescent="0.25">
      <c r="A994" s="7"/>
      <c r="B994" s="7"/>
      <c r="C994" s="14"/>
      <c r="D994" s="14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</row>
    <row r="995" spans="1:18" ht="19.5" customHeight="1" x14ac:dyDescent="0.25">
      <c r="A995" s="7"/>
      <c r="B995" s="7"/>
      <c r="C995" s="14"/>
      <c r="D995" s="14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</row>
    <row r="996" spans="1:18" ht="19.5" customHeight="1" x14ac:dyDescent="0.25">
      <c r="A996" s="7"/>
      <c r="B996" s="7"/>
      <c r="C996" s="14"/>
      <c r="D996" s="14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</row>
    <row r="997" spans="1:18" ht="19.5" customHeight="1" x14ac:dyDescent="0.25">
      <c r="A997" s="7"/>
      <c r="B997" s="7"/>
      <c r="C997" s="14"/>
      <c r="D997" s="14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</row>
    <row r="998" spans="1:18" ht="19.5" customHeight="1" x14ac:dyDescent="0.25">
      <c r="A998" s="7"/>
      <c r="B998" s="7"/>
      <c r="C998" s="14"/>
      <c r="D998" s="14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</row>
    <row r="999" spans="1:18" ht="19.5" customHeight="1" x14ac:dyDescent="0.25">
      <c r="A999" s="7"/>
      <c r="B999" s="7"/>
      <c r="C999" s="14"/>
      <c r="D999" s="14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</row>
    <row r="1000" spans="1:18" ht="19.5" customHeight="1" x14ac:dyDescent="0.25">
      <c r="A1000" s="7"/>
      <c r="B1000" s="7"/>
      <c r="C1000" s="14"/>
      <c r="D1000" s="14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</row>
    <row r="1001" spans="1:18" ht="19.5" customHeight="1" x14ac:dyDescent="0.25">
      <c r="A1001" s="7"/>
      <c r="B1001" s="7"/>
      <c r="C1001" s="14"/>
      <c r="D1001" s="14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</row>
    <row r="1002" spans="1:18" ht="15" customHeight="1" x14ac:dyDescent="0.25">
      <c r="A1002" s="7"/>
      <c r="B1002" s="7"/>
      <c r="C1002" s="14"/>
      <c r="D1002" s="14"/>
      <c r="F1002" s="7"/>
      <c r="G1002" s="7"/>
      <c r="H1002" s="7"/>
    </row>
    <row r="1003" spans="1:18" ht="15" customHeight="1" x14ac:dyDescent="0.25">
      <c r="A1003" s="7"/>
      <c r="B1003" s="7"/>
      <c r="C1003" s="14"/>
      <c r="D1003" s="14"/>
      <c r="F1003" s="7"/>
      <c r="G1003" s="7"/>
    </row>
  </sheetData>
  <pageMargins left="0.511811024" right="0.511811024" top="0.78740157499999996" bottom="0.78740157499999996" header="0" footer="0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5"/>
  <sheetViews>
    <sheetView showGridLines="0" workbookViewId="0">
      <selection activeCell="I15" sqref="I15"/>
    </sheetView>
  </sheetViews>
  <sheetFormatPr defaultColWidth="8.85546875" defaultRowHeight="12.75" x14ac:dyDescent="0.2"/>
  <cols>
    <col min="1" max="1" width="8.85546875" style="264"/>
    <col min="2" max="2" width="11.42578125" style="264" customWidth="1"/>
    <col min="3" max="3" width="12.5703125" style="264" customWidth="1"/>
    <col min="4" max="4" width="10.28515625" style="264" customWidth="1"/>
    <col min="5" max="7" width="8.85546875" style="264"/>
    <col min="8" max="8" width="14.5703125" style="264" bestFit="1" customWidth="1"/>
    <col min="9" max="9" width="14.5703125" style="264" customWidth="1"/>
    <col min="10" max="16384" width="8.85546875" style="264"/>
  </cols>
  <sheetData>
    <row r="1" spans="2:10" ht="26.45" customHeight="1" x14ac:dyDescent="0.2">
      <c r="B1" s="511" t="s">
        <v>1011</v>
      </c>
      <c r="C1" s="511"/>
      <c r="D1" s="511"/>
      <c r="E1" s="511"/>
      <c r="F1" s="511"/>
      <c r="G1" s="511"/>
      <c r="H1" s="511"/>
      <c r="I1" s="511"/>
      <c r="J1" s="511"/>
    </row>
    <row r="2" spans="2:10" x14ac:dyDescent="0.2">
      <c r="C2" s="265" t="s">
        <v>1012</v>
      </c>
      <c r="D2" s="265" t="s">
        <v>1013</v>
      </c>
      <c r="E2" s="265" t="s">
        <v>1014</v>
      </c>
    </row>
    <row r="3" spans="2:10" x14ac:dyDescent="0.2">
      <c r="B3" s="266" t="s">
        <v>1015</v>
      </c>
      <c r="C3" s="267">
        <v>2.88</v>
      </c>
      <c r="D3" s="267">
        <v>2.88</v>
      </c>
      <c r="E3" s="267">
        <f>C3-D3</f>
        <v>0</v>
      </c>
    </row>
    <row r="4" spans="2:10" x14ac:dyDescent="0.2">
      <c r="B4" s="266" t="s">
        <v>1016</v>
      </c>
      <c r="C4" s="267">
        <v>2.88</v>
      </c>
      <c r="D4" s="267">
        <v>2.7</v>
      </c>
      <c r="E4" s="267">
        <f t="shared" ref="E4:E20" si="0">C4-D4</f>
        <v>0.17999999999999972</v>
      </c>
    </row>
    <row r="5" spans="2:10" x14ac:dyDescent="0.2">
      <c r="B5" s="266" t="s">
        <v>1017</v>
      </c>
      <c r="C5" s="267">
        <v>2.91</v>
      </c>
      <c r="D5" s="267">
        <v>2.7</v>
      </c>
      <c r="E5" s="267">
        <f t="shared" si="0"/>
        <v>0.20999999999999996</v>
      </c>
    </row>
    <row r="6" spans="2:10" x14ac:dyDescent="0.2">
      <c r="B6" s="266" t="s">
        <v>1018</v>
      </c>
      <c r="C6" s="267">
        <v>3.42</v>
      </c>
      <c r="D6" s="267">
        <v>3.27</v>
      </c>
      <c r="E6" s="267">
        <f t="shared" si="0"/>
        <v>0.14999999999999991</v>
      </c>
    </row>
    <row r="7" spans="2:10" x14ac:dyDescent="0.2">
      <c r="B7" s="266" t="s">
        <v>1019</v>
      </c>
      <c r="C7" s="267">
        <v>2.88</v>
      </c>
      <c r="D7" s="267">
        <v>2.7</v>
      </c>
      <c r="E7" s="267">
        <f t="shared" si="0"/>
        <v>0.17999999999999972</v>
      </c>
      <c r="H7" s="268">
        <v>339.25</v>
      </c>
      <c r="I7" s="268">
        <v>2.79</v>
      </c>
    </row>
    <row r="8" spans="2:10" x14ac:dyDescent="0.2">
      <c r="B8" s="266" t="s">
        <v>1020</v>
      </c>
      <c r="C8" s="267">
        <v>2.8799899999999998</v>
      </c>
      <c r="D8" s="267">
        <v>2.7</v>
      </c>
      <c r="E8" s="267">
        <f t="shared" si="0"/>
        <v>0.17998999999999965</v>
      </c>
      <c r="H8" s="268" t="s">
        <v>1021</v>
      </c>
      <c r="I8" s="269">
        <f>E23</f>
        <v>3.6998899999999955</v>
      </c>
    </row>
    <row r="9" spans="2:10" x14ac:dyDescent="0.2">
      <c r="B9" s="266" t="s">
        <v>1022</v>
      </c>
      <c r="C9" s="267">
        <v>2.8799899999999998</v>
      </c>
      <c r="D9" s="267">
        <v>2.7</v>
      </c>
      <c r="E9" s="267">
        <f t="shared" si="0"/>
        <v>0.17998999999999965</v>
      </c>
      <c r="H9" s="268"/>
      <c r="I9" s="268"/>
    </row>
    <row r="10" spans="2:10" x14ac:dyDescent="0.2">
      <c r="B10" s="266" t="s">
        <v>1023</v>
      </c>
      <c r="C10" s="267">
        <v>2.8799899999999998</v>
      </c>
      <c r="D10" s="267">
        <v>2.7</v>
      </c>
      <c r="E10" s="267">
        <f t="shared" si="0"/>
        <v>0.17998999999999965</v>
      </c>
    </row>
    <row r="11" spans="2:10" x14ac:dyDescent="0.2">
      <c r="B11" s="266" t="s">
        <v>1024</v>
      </c>
      <c r="C11" s="267">
        <v>2.8799899999999998</v>
      </c>
      <c r="D11" s="267">
        <v>2.7</v>
      </c>
      <c r="E11" s="267">
        <f t="shared" si="0"/>
        <v>0.17998999999999965</v>
      </c>
    </row>
    <row r="12" spans="2:10" x14ac:dyDescent="0.2">
      <c r="B12" s="266" t="s">
        <v>1025</v>
      </c>
      <c r="C12" s="267">
        <v>2.8799899999999998</v>
      </c>
      <c r="D12" s="267">
        <v>2.7</v>
      </c>
      <c r="E12" s="267">
        <f t="shared" si="0"/>
        <v>0.17998999999999965</v>
      </c>
      <c r="F12" s="270"/>
      <c r="G12" s="270"/>
      <c r="H12" s="271" t="s">
        <v>1026</v>
      </c>
      <c r="I12" s="272" t="e">
        <f>#REF!</f>
        <v>#REF!</v>
      </c>
    </row>
    <row r="13" spans="2:10" x14ac:dyDescent="0.2">
      <c r="B13" s="266" t="s">
        <v>1027</v>
      </c>
      <c r="C13" s="267">
        <v>2.8799899999999998</v>
      </c>
      <c r="D13" s="267">
        <v>2.7</v>
      </c>
      <c r="E13" s="267">
        <f t="shared" si="0"/>
        <v>0.17998999999999965</v>
      </c>
      <c r="G13" s="270"/>
      <c r="H13" s="271" t="s">
        <v>1028</v>
      </c>
      <c r="I13" s="272">
        <v>339.25</v>
      </c>
    </row>
    <row r="14" spans="2:10" x14ac:dyDescent="0.2">
      <c r="B14" s="266" t="s">
        <v>1029</v>
      </c>
      <c r="C14" s="267">
        <v>2.8799899999999998</v>
      </c>
      <c r="D14" s="267">
        <v>2.7</v>
      </c>
      <c r="E14" s="267">
        <f t="shared" si="0"/>
        <v>0.17998999999999965</v>
      </c>
      <c r="H14" s="276" t="s">
        <v>1030</v>
      </c>
      <c r="I14" s="277">
        <f>(H7*I8)/I7</f>
        <v>449.88805824372707</v>
      </c>
    </row>
    <row r="15" spans="2:10" x14ac:dyDescent="0.2">
      <c r="B15" s="266" t="s">
        <v>1031</v>
      </c>
      <c r="C15" s="267">
        <v>2.8799899999999998</v>
      </c>
      <c r="D15" s="267">
        <v>2.7</v>
      </c>
      <c r="E15" s="267">
        <f t="shared" si="0"/>
        <v>0.17998999999999965</v>
      </c>
      <c r="H15" s="276" t="s">
        <v>1040</v>
      </c>
      <c r="I15" s="279">
        <f>SUM(ORÇAMENTO_EXECUTIVO!H8,ORÇAMENTO_EXECUTIVO!H12,ORÇAMENTO_EXECUTIVO!H14,ORÇAMENTO_EXECUTIVO!H15,ORÇAMENTO_EXECUTIVO!H18)</f>
        <v>711.81488246828815</v>
      </c>
    </row>
    <row r="16" spans="2:10" x14ac:dyDescent="0.2">
      <c r="B16" s="266" t="s">
        <v>1032</v>
      </c>
      <c r="C16" s="267">
        <v>2.8799899999999998</v>
      </c>
      <c r="D16" s="267">
        <v>2.7</v>
      </c>
      <c r="E16" s="267">
        <f t="shared" si="0"/>
        <v>0.17998999999999965</v>
      </c>
      <c r="I16" s="278">
        <f>I15*I14</f>
        <v>320237.01530264498</v>
      </c>
    </row>
    <row r="17" spans="2:10" x14ac:dyDescent="0.2">
      <c r="B17" s="266" t="s">
        <v>1033</v>
      </c>
      <c r="C17" s="267">
        <v>2.8799899999999998</v>
      </c>
      <c r="D17" s="267">
        <v>2.7</v>
      </c>
      <c r="E17" s="267">
        <f t="shared" si="0"/>
        <v>0.17998999999999965</v>
      </c>
      <c r="J17" s="270"/>
    </row>
    <row r="18" spans="2:10" x14ac:dyDescent="0.2">
      <c r="B18" s="266" t="s">
        <v>1034</v>
      </c>
      <c r="C18" s="267">
        <v>2.8799899999999998</v>
      </c>
      <c r="D18" s="267">
        <v>2.7</v>
      </c>
      <c r="E18" s="267">
        <f t="shared" si="0"/>
        <v>0.17998999999999965</v>
      </c>
      <c r="H18" s="323">
        <v>351532.73024999996</v>
      </c>
      <c r="I18" s="323">
        <v>325040.57053218462</v>
      </c>
      <c r="J18" s="270"/>
    </row>
    <row r="19" spans="2:10" x14ac:dyDescent="0.2">
      <c r="B19" s="266" t="s">
        <v>1035</v>
      </c>
      <c r="C19" s="267">
        <v>3.06</v>
      </c>
      <c r="D19" s="267">
        <v>3.06</v>
      </c>
      <c r="E19" s="267">
        <f t="shared" si="0"/>
        <v>0</v>
      </c>
      <c r="H19" s="323"/>
      <c r="I19" s="323"/>
    </row>
    <row r="20" spans="2:10" x14ac:dyDescent="0.2">
      <c r="B20" s="266" t="s">
        <v>1036</v>
      </c>
      <c r="C20" s="267">
        <v>2.62</v>
      </c>
      <c r="D20" s="267">
        <v>2.77</v>
      </c>
      <c r="E20" s="267">
        <f t="shared" si="0"/>
        <v>-0.14999999999999991</v>
      </c>
    </row>
    <row r="21" spans="2:10" x14ac:dyDescent="0.2">
      <c r="B21" s="266" t="s">
        <v>1037</v>
      </c>
      <c r="C21" s="267">
        <v>1.85</v>
      </c>
      <c r="D21" s="512">
        <v>2.35</v>
      </c>
      <c r="E21" s="512">
        <f>C21+C22-D21</f>
        <v>1.1499999999999999</v>
      </c>
    </row>
    <row r="22" spans="2:10" x14ac:dyDescent="0.2">
      <c r="B22" s="266" t="s">
        <v>1038</v>
      </c>
      <c r="C22" s="267">
        <v>1.65</v>
      </c>
      <c r="D22" s="513"/>
      <c r="E22" s="513"/>
    </row>
    <row r="23" spans="2:10" s="270" customFormat="1" ht="15.6" customHeight="1" x14ac:dyDescent="0.25">
      <c r="B23" s="273" t="s">
        <v>15</v>
      </c>
      <c r="C23" s="274">
        <f t="shared" ref="C23:D23" si="1">SUM(C3:C22)</f>
        <v>55.829889999999992</v>
      </c>
      <c r="D23" s="274">
        <f t="shared" si="1"/>
        <v>52.130000000000017</v>
      </c>
      <c r="E23" s="274">
        <f>SUM(E3:E22)</f>
        <v>3.6998899999999955</v>
      </c>
      <c r="F23" s="275">
        <f>E23-C24</f>
        <v>0.90839549999999569</v>
      </c>
    </row>
    <row r="24" spans="2:10" s="270" customFormat="1" ht="16.899999999999999" customHeight="1" x14ac:dyDescent="0.25">
      <c r="B24" s="273" t="s">
        <v>1039</v>
      </c>
      <c r="C24" s="274">
        <f>AVERAGE(C3:C22)</f>
        <v>2.7914944999999998</v>
      </c>
      <c r="D24" s="274"/>
      <c r="E24" s="274"/>
    </row>
    <row r="25" spans="2:10" ht="18" customHeight="1" x14ac:dyDescent="0.2"/>
  </sheetData>
  <mergeCells count="3">
    <mergeCell ref="B1:J1"/>
    <mergeCell ref="D21:D22"/>
    <mergeCell ref="E21:E22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Planilha1</vt:lpstr>
      <vt:lpstr>Relatório</vt:lpstr>
      <vt:lpstr>ORÇAMENTO_EXECUTIVO</vt:lpstr>
      <vt:lpstr>ANÁLISE_CUSTOS</vt:lpstr>
      <vt:lpstr>CÁLCULO_MÉDIAS</vt:lpstr>
      <vt:lpstr>AREAS_PRIVATIVAS</vt:lpstr>
      <vt:lpstr>Dif. Altura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Methodo</dc:creator>
  <cp:lastModifiedBy>Edileni da Silva</cp:lastModifiedBy>
  <dcterms:created xsi:type="dcterms:W3CDTF">2021-06-30T18:49:34Z</dcterms:created>
  <dcterms:modified xsi:type="dcterms:W3CDTF">2024-12-16T14:52:45Z</dcterms:modified>
</cp:coreProperties>
</file>