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Somauma - 01.2023\03. Custo\03.5 Custo - Determinação do orçamento\"/>
    </mc:Choice>
  </mc:AlternateContent>
  <xr:revisionPtr revIDLastSave="0" documentId="13_ncr:1_{1E391937-F909-41D2-AC20-B1BA4D9A540A}" xr6:coauthVersionLast="47" xr6:coauthVersionMax="47" xr10:uidLastSave="{00000000-0000-0000-0000-000000000000}"/>
  <bookViews>
    <workbookView xWindow="390" yWindow="390" windowWidth="29040" windowHeight="14160" xr2:uid="{00000000-000D-0000-FFFF-FFFF00000000}"/>
  </bookViews>
  <sheets>
    <sheet name="OBRA" sheetId="2" r:id="rId1"/>
    <sheet name="CANTEIRO" sheetId="3" r:id="rId2"/>
    <sheet name="EPC's" sheetId="4" r:id="rId3"/>
    <sheet name="ORÇAMENTO_EXECUTIVO_COMENTADO" sheetId="1" r:id="rId4"/>
    <sheet name="CONTROLE TECNOLÓGICO" sheetId="5" r:id="rId5"/>
    <sheet name="ESCORAMENTO" sheetId="6" r:id="rId6"/>
    <sheet name="CAIXAS-RESERVATORIOS" sheetId="7" r:id="rId7"/>
  </sheets>
  <externalReferences>
    <externalReference r:id="rId8"/>
    <externalReference r:id="rId9"/>
    <externalReference r:id="rId10"/>
  </externalReferences>
  <definedNames>
    <definedName name="\0" localSheetId="6">#REF!</definedName>
    <definedName name="\0" localSheetId="1">#REF!</definedName>
    <definedName name="\0" localSheetId="4">#REF!</definedName>
    <definedName name="\0" localSheetId="2">#REF!</definedName>
    <definedName name="\0" localSheetId="0">#REF!</definedName>
    <definedName name="\0">#REF!</definedName>
    <definedName name="\a" localSheetId="6">#REF!</definedName>
    <definedName name="\a" localSheetId="1">#REF!</definedName>
    <definedName name="\a" localSheetId="4">#REF!</definedName>
    <definedName name="\a" localSheetId="2">#REF!</definedName>
    <definedName name="\a" localSheetId="0">#REF!</definedName>
    <definedName name="\a">#REF!</definedName>
    <definedName name="\m" localSheetId="1">#REF!</definedName>
    <definedName name="\m" localSheetId="4">#REF!</definedName>
    <definedName name="\m" localSheetId="2">#REF!</definedName>
    <definedName name="\m" localSheetId="0">#REF!</definedName>
    <definedName name="\m">#REF!</definedName>
    <definedName name="_akhnsdkjsdb" localSheetId="6">#REF!</definedName>
    <definedName name="_akhnsdkjsdb">#REF!</definedName>
    <definedName name="_FilterDatabase" localSheetId="4" hidden="1">'CONTROLE TECNOLÓGICO'!#REF!</definedName>
    <definedName name="_FilterDatabase" localSheetId="2" hidden="1">'EPC''s'!#REF!</definedName>
    <definedName name="_FilterDatabase" localSheetId="0" hidden="1">OBRA!#REF!</definedName>
    <definedName name="aa" localSheetId="6">#REF!</definedName>
    <definedName name="aa" localSheetId="1">#REF!</definedName>
    <definedName name="aa" localSheetId="4">#REF!</definedName>
    <definedName name="aa" localSheetId="2">#REF!</definedName>
    <definedName name="aa" localSheetId="0">#REF!</definedName>
    <definedName name="aa">#REF!</definedName>
    <definedName name="aaaa" localSheetId="6">'[1]M.O.'!#REF!</definedName>
    <definedName name="aaaa" localSheetId="1">'[1]M.O.'!#REF!</definedName>
    <definedName name="aaaa" localSheetId="4">'[1]M.O.'!#REF!</definedName>
    <definedName name="aaaa" localSheetId="2">'[1]M.O.'!#REF!</definedName>
    <definedName name="aaaa" localSheetId="0">'[1]M.O.'!#REF!</definedName>
    <definedName name="aaaa">'[1]M.O.'!#REF!</definedName>
    <definedName name="angelo" localSheetId="6">[2]Geral!#REF!</definedName>
    <definedName name="angelo" localSheetId="4">[2]Geral!#REF!</definedName>
    <definedName name="angelo" localSheetId="2">[2]Geral!#REF!</definedName>
    <definedName name="angelo" localSheetId="0">[2]Geral!#REF!</definedName>
    <definedName name="angelo">[2]Geral!#REF!</definedName>
    <definedName name="area" localSheetId="6">#REF!</definedName>
    <definedName name="area">#REF!</definedName>
    <definedName name="_xlnm.Print_Area" localSheetId="6">#REF!</definedName>
    <definedName name="_xlnm.Print_Area">#REF!</definedName>
    <definedName name="Areaimpresso" localSheetId="6">#REF!</definedName>
    <definedName name="Areaimpresso">#REF!</definedName>
    <definedName name="aux" localSheetId="6">#REF!</definedName>
    <definedName name="aux" localSheetId="1">#REF!</definedName>
    <definedName name="aux" localSheetId="4">#REF!</definedName>
    <definedName name="aux" localSheetId="2">#REF!</definedName>
    <definedName name="aux" localSheetId="0">#REF!</definedName>
    <definedName name="aux">#REF!</definedName>
    <definedName name="BDA" localSheetId="4">#REF!</definedName>
    <definedName name="BDA" localSheetId="2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 localSheetId="6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6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4" hidden="1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6">#REF!</definedName>
    <definedName name="FFFFFFF">#REF!</definedName>
    <definedName name="item_1" localSheetId="6">#REF!</definedName>
    <definedName name="item_1">#REF!</definedName>
    <definedName name="LS" localSheetId="6">'[1]M.O.'!#REF!</definedName>
    <definedName name="LS">'[1]M.O.'!#REF!</definedName>
    <definedName name="MENU" localSheetId="6">#REF!</definedName>
    <definedName name="MENU" localSheetId="1">#REF!</definedName>
    <definedName name="MENU" localSheetId="4">#REF!</definedName>
    <definedName name="MENU" localSheetId="2">#REF!</definedName>
    <definedName name="MENU" localSheetId="0">#REF!</definedName>
    <definedName name="MENU">#REF!</definedName>
    <definedName name="MENU1" localSheetId="6">#REF!</definedName>
    <definedName name="MENU1" localSheetId="1">#REF!</definedName>
    <definedName name="MENU1" localSheetId="4">#REF!</definedName>
    <definedName name="MENU1" localSheetId="2">#REF!</definedName>
    <definedName name="MENU1" localSheetId="0">#REF!</definedName>
    <definedName name="MENU1">#REF!</definedName>
    <definedName name="MENU2" localSheetId="1">#REF!</definedName>
    <definedName name="MENU2" localSheetId="4">#REF!</definedName>
    <definedName name="MENU2" localSheetId="2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 localSheetId="6">#REF!</definedName>
    <definedName name="PAV" localSheetId="1">#REF!</definedName>
    <definedName name="PAV" localSheetId="4">#REF!</definedName>
    <definedName name="PAV" localSheetId="2">#REF!</definedName>
    <definedName name="PAV" localSheetId="0">#REF!</definedName>
    <definedName name="PAV">#REF!</definedName>
    <definedName name="Pintura">'[1]M.O.'!#REF!</definedName>
    <definedName name="pr" localSheetId="6">#REF!</definedName>
    <definedName name="pr" localSheetId="1">#REF!</definedName>
    <definedName name="pr" localSheetId="0">#REF!</definedName>
    <definedName name="pr">#REF!</definedName>
    <definedName name="PRE" localSheetId="1">#REF!</definedName>
    <definedName name="PRE" localSheetId="0">#REF!</definedName>
    <definedName name="PRE">#REF!</definedName>
    <definedName name="Print_Area" localSheetId="1">#REF!</definedName>
    <definedName name="Print_Area" localSheetId="4">'CONTROLE TECNOLÓGICO'!$A$1:$I$47</definedName>
    <definedName name="Print_Area" localSheetId="2">'EPC''s'!$A$1:$F$31</definedName>
    <definedName name="Print_Area" localSheetId="0">OBRA!$A$1:$E$14</definedName>
    <definedName name="Print_Area">#REF!</definedName>
    <definedName name="Print_Area_MI" localSheetId="6">#REF!</definedName>
    <definedName name="Print_Area_MI">#REF!</definedName>
    <definedName name="Print_Titles" localSheetId="1">#REF!</definedName>
    <definedName name="Print_Titles" localSheetId="4">'CONTROLE TECNOLÓGICO'!$1:$7</definedName>
    <definedName name="Print_Titles" localSheetId="2">'EPC''s'!$1:$7</definedName>
    <definedName name="Print_Titles" localSheetId="0">OBRA!$1:$7</definedName>
    <definedName name="Print_Titles">#REF!</definedName>
    <definedName name="qe" localSheetId="6">#REF!</definedName>
    <definedName name="qe">#REF!</definedName>
    <definedName name="qee" localSheetId="6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6">#REF!</definedName>
    <definedName name="_xlnm.Print_Titles">#REF!</definedName>
    <definedName name="TOT" localSheetId="6">#REF!</definedName>
    <definedName name="TOT" localSheetId="4">#REF!</definedName>
    <definedName name="TOT" localSheetId="2">#REF!</definedName>
    <definedName name="TOT" localSheetId="0">#REF!</definedName>
    <definedName name="TOT">#REF!</definedName>
    <definedName name="Total" localSheetId="4">#REF!</definedName>
    <definedName name="Total" localSheetId="2">#REF!</definedName>
    <definedName name="Total" localSheetId="0">#REF!</definedName>
    <definedName name="Total">#REF!</definedName>
    <definedName name="TRP">#REF!</definedName>
    <definedName name="u" localSheetId="6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4" hidden="1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4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6">#REF!</definedName>
    <definedName name="xxx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9" i="1" l="1"/>
  <c r="F450" i="1" l="1"/>
  <c r="F449" i="1"/>
  <c r="F448" i="1" s="1"/>
  <c r="F53" i="7" l="1"/>
  <c r="E41" i="7"/>
  <c r="I14" i="7"/>
  <c r="I33" i="7" s="1"/>
  <c r="H14" i="7"/>
  <c r="D38" i="7" s="1"/>
  <c r="E39" i="7"/>
  <c r="E40" i="7"/>
  <c r="E42" i="7"/>
  <c r="E43" i="7"/>
  <c r="E44" i="7"/>
  <c r="E45" i="7"/>
  <c r="E46" i="7"/>
  <c r="E47" i="7"/>
  <c r="E48" i="7"/>
  <c r="E50" i="7"/>
  <c r="E51" i="7"/>
  <c r="E52" i="7"/>
  <c r="E38" i="7"/>
  <c r="I15" i="7"/>
  <c r="I16" i="7"/>
  <c r="I17" i="7"/>
  <c r="I18" i="7"/>
  <c r="I19" i="7"/>
  <c r="I20" i="7"/>
  <c r="I21" i="7"/>
  <c r="I22" i="7"/>
  <c r="I23" i="7"/>
  <c r="I24" i="7"/>
  <c r="I25" i="7"/>
  <c r="E49" i="7" s="1"/>
  <c r="I26" i="7"/>
  <c r="I27" i="7"/>
  <c r="I28" i="7"/>
  <c r="H15" i="7"/>
  <c r="H16" i="7"/>
  <c r="H17" i="7"/>
  <c r="H18" i="7"/>
  <c r="H19" i="7"/>
  <c r="H20" i="7"/>
  <c r="H21" i="7"/>
  <c r="D45" i="7" s="1"/>
  <c r="H22" i="7"/>
  <c r="H23" i="7"/>
  <c r="H24" i="7"/>
  <c r="H25" i="7"/>
  <c r="H26" i="7"/>
  <c r="H27" i="7"/>
  <c r="H28" i="7"/>
  <c r="H33" i="7" l="1"/>
  <c r="C60" i="7" l="1"/>
  <c r="C59" i="7"/>
  <c r="D44" i="7" l="1"/>
  <c r="D46" i="7"/>
  <c r="D47" i="7"/>
  <c r="D48" i="7"/>
  <c r="D49" i="7"/>
  <c r="D50" i="7"/>
  <c r="C50" i="7"/>
  <c r="C51" i="7"/>
  <c r="C52" i="7"/>
  <c r="B50" i="7"/>
  <c r="B51" i="7"/>
  <c r="B52" i="7"/>
  <c r="C39" i="7"/>
  <c r="C40" i="7"/>
  <c r="C41" i="7"/>
  <c r="C42" i="7"/>
  <c r="C43" i="7"/>
  <c r="C44" i="7"/>
  <c r="C45" i="7"/>
  <c r="C46" i="7"/>
  <c r="C47" i="7"/>
  <c r="C48" i="7"/>
  <c r="C49" i="7"/>
  <c r="C38" i="7"/>
  <c r="B39" i="7"/>
  <c r="B40" i="7"/>
  <c r="B41" i="7"/>
  <c r="B42" i="7"/>
  <c r="B43" i="7"/>
  <c r="B44" i="7"/>
  <c r="B45" i="7"/>
  <c r="B46" i="7"/>
  <c r="B47" i="7"/>
  <c r="B48" i="7"/>
  <c r="B49" i="7"/>
  <c r="B38" i="7"/>
  <c r="C63" i="7"/>
  <c r="D39" i="7"/>
  <c r="D40" i="7"/>
  <c r="D41" i="7"/>
  <c r="D42" i="7"/>
  <c r="D43" i="7"/>
  <c r="D51" i="7"/>
  <c r="E32" i="7"/>
  <c r="E31" i="7"/>
  <c r="C62" i="7"/>
  <c r="C61" i="7"/>
  <c r="E61" i="7" s="1"/>
  <c r="C58" i="7"/>
  <c r="E58" i="7" s="1"/>
  <c r="C57" i="7"/>
  <c r="E57" i="7" s="1"/>
  <c r="D52" i="7" l="1"/>
  <c r="D53" i="7" s="1"/>
  <c r="E62" i="7"/>
  <c r="E63" i="7"/>
  <c r="E53" i="7" l="1"/>
  <c r="F575" i="1" l="1"/>
  <c r="F574" i="1"/>
  <c r="F573" i="1" s="1"/>
  <c r="F454" i="1" l="1"/>
  <c r="F442" i="1"/>
  <c r="F445" i="1"/>
  <c r="F434" i="1"/>
  <c r="F433" i="1"/>
  <c r="F432" i="1"/>
  <c r="F431" i="1" l="1"/>
  <c r="F459" i="1"/>
  <c r="F452" i="1" l="1"/>
  <c r="F451" i="1" s="1"/>
  <c r="F355" i="1"/>
  <c r="F354" i="1"/>
  <c r="F353" i="1"/>
  <c r="F352" i="1" s="1"/>
  <c r="F351" i="1"/>
  <c r="F350" i="1" s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 l="1"/>
  <c r="F357" i="1"/>
  <c r="F356" i="1" s="1"/>
  <c r="F403" i="1" l="1"/>
  <c r="F402" i="1"/>
  <c r="F401" i="1" s="1"/>
  <c r="F412" i="1" l="1"/>
  <c r="F411" i="1" s="1"/>
  <c r="F410" i="1"/>
  <c r="F409" i="1"/>
  <c r="F408" i="1"/>
  <c r="F407" i="1"/>
  <c r="F405" i="1"/>
  <c r="F404" i="1" s="1"/>
  <c r="F430" i="1" l="1"/>
  <c r="F429" i="1" s="1"/>
  <c r="F444" i="1"/>
  <c r="F406" i="1"/>
  <c r="F416" i="1"/>
  <c r="F415" i="1"/>
  <c r="F414" i="1"/>
  <c r="G302" i="1"/>
  <c r="F413" i="1" l="1"/>
  <c r="F400" i="1" s="1"/>
  <c r="F559" i="1" l="1"/>
  <c r="F578" i="1" l="1"/>
  <c r="F555" i="1"/>
  <c r="F554" i="1" s="1"/>
  <c r="F553" i="1"/>
  <c r="F552" i="1" s="1"/>
  <c r="F551" i="1"/>
  <c r="F486" i="1" l="1"/>
  <c r="F594" i="1" l="1"/>
  <c r="F593" i="1" s="1"/>
  <c r="F591" i="1"/>
  <c r="F592" i="1"/>
  <c r="F590" i="1"/>
  <c r="F587" i="1"/>
  <c r="F588" i="1"/>
  <c r="F586" i="1"/>
  <c r="F583" i="1"/>
  <c r="F584" i="1"/>
  <c r="F582" i="1"/>
  <c r="F580" i="1"/>
  <c r="F579" i="1" s="1"/>
  <c r="F577" i="1"/>
  <c r="F576" i="1" s="1"/>
  <c r="F570" i="1"/>
  <c r="F569" i="1" s="1"/>
  <c r="F568" i="1"/>
  <c r="F567" i="1" s="1"/>
  <c r="F566" i="1"/>
  <c r="F565" i="1" s="1"/>
  <c r="F564" i="1"/>
  <c r="F563" i="1" s="1"/>
  <c r="F561" i="1"/>
  <c r="F560" i="1" s="1"/>
  <c r="F558" i="1"/>
  <c r="F557" i="1" s="1"/>
  <c r="F550" i="1"/>
  <c r="F547" i="1"/>
  <c r="F546" i="1" s="1"/>
  <c r="F543" i="1"/>
  <c r="F544" i="1"/>
  <c r="F545" i="1"/>
  <c r="F542" i="1"/>
  <c r="F539" i="1"/>
  <c r="F538" i="1" s="1"/>
  <c r="F537" i="1"/>
  <c r="F536" i="1" s="1"/>
  <c r="F535" i="1"/>
  <c r="F534" i="1" s="1"/>
  <c r="F533" i="1"/>
  <c r="F532" i="1" s="1"/>
  <c r="F531" i="1"/>
  <c r="F530" i="1" s="1"/>
  <c r="F528" i="1"/>
  <c r="F527" i="1" s="1"/>
  <c r="F526" i="1"/>
  <c r="F525" i="1" s="1"/>
  <c r="F524" i="1"/>
  <c r="F523" i="1" s="1"/>
  <c r="F522" i="1"/>
  <c r="F521" i="1" s="1"/>
  <c r="F520" i="1"/>
  <c r="F519" i="1" s="1"/>
  <c r="F518" i="1"/>
  <c r="F517" i="1" s="1"/>
  <c r="F516" i="1"/>
  <c r="F515" i="1" s="1"/>
  <c r="F514" i="1"/>
  <c r="F513" i="1" s="1"/>
  <c r="F511" i="1"/>
  <c r="F510" i="1" s="1"/>
  <c r="F509" i="1"/>
  <c r="F508" i="1" s="1"/>
  <c r="F506" i="1"/>
  <c r="F505" i="1"/>
  <c r="F503" i="1"/>
  <c r="F502" i="1" s="1"/>
  <c r="F501" i="1"/>
  <c r="F500" i="1" s="1"/>
  <c r="F499" i="1"/>
  <c r="F498" i="1" s="1"/>
  <c r="F562" i="1" l="1"/>
  <c r="F589" i="1"/>
  <c r="F585" i="1"/>
  <c r="F556" i="1"/>
  <c r="F549" i="1"/>
  <c r="F548" i="1" s="1"/>
  <c r="F581" i="1"/>
  <c r="F541" i="1"/>
  <c r="F540" i="1" s="1"/>
  <c r="F529" i="1"/>
  <c r="F512" i="1"/>
  <c r="F495" i="1"/>
  <c r="F494" i="1"/>
  <c r="F493" i="1"/>
  <c r="F492" i="1"/>
  <c r="F491" i="1"/>
  <c r="F490" i="1"/>
  <c r="F489" i="1"/>
  <c r="F488" i="1"/>
  <c r="F485" i="1"/>
  <c r="F484" i="1" s="1"/>
  <c r="F483" i="1"/>
  <c r="F482" i="1"/>
  <c r="F480" i="1"/>
  <c r="F479" i="1" s="1"/>
  <c r="F478" i="1"/>
  <c r="F477" i="1" s="1"/>
  <c r="F476" i="1"/>
  <c r="F475" i="1"/>
  <c r="F468" i="1"/>
  <c r="F469" i="1"/>
  <c r="F470" i="1"/>
  <c r="F471" i="1"/>
  <c r="F472" i="1"/>
  <c r="F473" i="1"/>
  <c r="F467" i="1"/>
  <c r="F465" i="1"/>
  <c r="F464" i="1" s="1"/>
  <c r="F463" i="1"/>
  <c r="F462" i="1" s="1"/>
  <c r="F572" i="1" l="1"/>
  <c r="F571" i="1" s="1"/>
  <c r="F474" i="1"/>
  <c r="F487" i="1"/>
  <c r="F481" i="1"/>
  <c r="F466" i="1"/>
  <c r="F441" i="1"/>
  <c r="F440" i="1"/>
  <c r="F437" i="1"/>
  <c r="F436" i="1"/>
  <c r="F419" i="1"/>
  <c r="F425" i="1"/>
  <c r="F461" i="1" l="1"/>
  <c r="F460" i="1" s="1"/>
  <c r="F439" i="1"/>
  <c r="D359" i="1" l="1"/>
  <c r="F359" i="1" s="1"/>
  <c r="F358" i="1" s="1"/>
  <c r="F458" i="1" l="1"/>
  <c r="F457" i="1" s="1"/>
  <c r="F456" i="1"/>
  <c r="F455" i="1"/>
  <c r="F453" i="1" s="1"/>
  <c r="F423" i="1"/>
  <c r="F424" i="1"/>
  <c r="F422" i="1"/>
  <c r="F447" i="1" l="1"/>
  <c r="F421" i="1"/>
  <c r="F438" i="1" l="1"/>
  <c r="F435" i="1" s="1"/>
  <c r="F446" i="1"/>
  <c r="F443" i="1" s="1"/>
  <c r="F370" i="1"/>
  <c r="F369" i="1"/>
  <c r="F367" i="1"/>
  <c r="F366" i="1" s="1"/>
  <c r="F365" i="1"/>
  <c r="F364" i="1" s="1"/>
  <c r="F363" i="1"/>
  <c r="F321" i="1"/>
  <c r="F362" i="1" l="1"/>
  <c r="F428" i="1"/>
  <c r="F368" i="1"/>
  <c r="F427" i="1"/>
  <c r="F420" i="1"/>
  <c r="F418" i="1" s="1"/>
  <c r="F325" i="1"/>
  <c r="F326" i="1"/>
  <c r="F328" i="1"/>
  <c r="F329" i="1"/>
  <c r="F324" i="1"/>
  <c r="F331" i="1"/>
  <c r="F330" i="1"/>
  <c r="F361" i="1" l="1"/>
  <c r="F426" i="1"/>
  <c r="F417" i="1" s="1"/>
  <c r="F399" i="1" s="1"/>
  <c r="F327" i="1"/>
  <c r="F323" i="1" l="1"/>
  <c r="F322" i="1" s="1"/>
  <c r="F304" i="1"/>
  <c r="F305" i="1"/>
  <c r="F306" i="1"/>
  <c r="F307" i="1"/>
  <c r="F308" i="1"/>
  <c r="F309" i="1"/>
  <c r="F310" i="1"/>
  <c r="F311" i="1"/>
  <c r="F312" i="1"/>
  <c r="F313" i="1"/>
  <c r="F314" i="1"/>
  <c r="F398" i="1" l="1"/>
  <c r="F397" i="1"/>
  <c r="F396" i="1"/>
  <c r="F395" i="1"/>
  <c r="F394" i="1"/>
  <c r="F393" i="1"/>
  <c r="F391" i="1"/>
  <c r="F375" i="1"/>
  <c r="F387" i="1"/>
  <c r="F388" i="1"/>
  <c r="F389" i="1"/>
  <c r="F386" i="1"/>
  <c r="F384" i="1"/>
  <c r="F383" i="1"/>
  <c r="F381" i="1"/>
  <c r="F380" i="1" s="1"/>
  <c r="F379" i="1"/>
  <c r="F378" i="1" s="1"/>
  <c r="F377" i="1"/>
  <c r="F376" i="1" s="1"/>
  <c r="F374" i="1"/>
  <c r="F373" i="1"/>
  <c r="F303" i="1"/>
  <c r="F241" i="1"/>
  <c r="F242" i="1"/>
  <c r="F243" i="1"/>
  <c r="F244" i="1"/>
  <c r="F247" i="1"/>
  <c r="F240" i="1"/>
  <c r="F239" i="1" s="1"/>
  <c r="F216" i="1"/>
  <c r="F217" i="1"/>
  <c r="F218" i="1"/>
  <c r="F219" i="1"/>
  <c r="F222" i="1"/>
  <c r="F215" i="1"/>
  <c r="F193" i="1"/>
  <c r="F43" i="6"/>
  <c r="F40" i="6"/>
  <c r="C45" i="6"/>
  <c r="F45" i="6" s="1"/>
  <c r="C41" i="6"/>
  <c r="F41" i="6" s="1"/>
  <c r="F148" i="1"/>
  <c r="C56" i="6"/>
  <c r="F56" i="6" s="1"/>
  <c r="C55" i="6"/>
  <c r="F55" i="6" s="1"/>
  <c r="D59" i="6"/>
  <c r="B59" i="6"/>
  <c r="C42" i="6"/>
  <c r="F42" i="6" s="1"/>
  <c r="C43" i="6"/>
  <c r="C44" i="6"/>
  <c r="F44" i="6" s="1"/>
  <c r="C40" i="6"/>
  <c r="C28" i="6"/>
  <c r="F28" i="6" s="1"/>
  <c r="C29" i="6"/>
  <c r="F29" i="6" s="1"/>
  <c r="C30" i="6"/>
  <c r="F30" i="6" s="1"/>
  <c r="C27" i="6"/>
  <c r="F27" i="6" s="1"/>
  <c r="B48" i="6"/>
  <c r="E33" i="6"/>
  <c r="B33" i="6"/>
  <c r="E17" i="6"/>
  <c r="F22" i="6" s="1"/>
  <c r="B17" i="6"/>
  <c r="C12" i="6"/>
  <c r="C13" i="6"/>
  <c r="C14" i="6"/>
  <c r="C11" i="6"/>
  <c r="D11" i="6" s="1"/>
  <c r="F11" i="6" s="1"/>
  <c r="F214" i="1" l="1"/>
  <c r="F382" i="1"/>
  <c r="F392" i="1"/>
  <c r="F390" i="1" s="1"/>
  <c r="F385" i="1"/>
  <c r="F372" i="1"/>
  <c r="F302" i="1"/>
  <c r="F48" i="6"/>
  <c r="F50" i="6" s="1"/>
  <c r="G43" i="6" s="1"/>
  <c r="F33" i="6"/>
  <c r="F35" i="6" s="1"/>
  <c r="G27" i="6" s="1"/>
  <c r="F59" i="6"/>
  <c r="F61" i="6" s="1"/>
  <c r="D48" i="6"/>
  <c r="D12" i="6"/>
  <c r="F12" i="6" s="1"/>
  <c r="D14" i="6"/>
  <c r="F14" i="6" s="1"/>
  <c r="D13" i="6"/>
  <c r="F13" i="6" s="1"/>
  <c r="F371" i="1" l="1"/>
  <c r="F360" i="1" s="1"/>
  <c r="G44" i="6"/>
  <c r="G40" i="6"/>
  <c r="G42" i="6"/>
  <c r="F17" i="6"/>
  <c r="F19" i="6" s="1"/>
  <c r="F23" i="6" s="1"/>
  <c r="G11" i="6" s="1"/>
  <c r="G28" i="6"/>
  <c r="G29" i="6"/>
  <c r="G30" i="6"/>
  <c r="G55" i="6"/>
  <c r="G56" i="6"/>
  <c r="D17" i="6"/>
  <c r="G13" i="6" l="1"/>
  <c r="G12" i="6"/>
  <c r="G14" i="6"/>
  <c r="F163" i="1" l="1"/>
  <c r="F162" i="1" s="1"/>
  <c r="F159" i="1"/>
  <c r="F158" i="1" s="1"/>
  <c r="F144" i="1"/>
  <c r="F286" i="1" l="1"/>
  <c r="F285" i="1" s="1"/>
  <c r="F284" i="1"/>
  <c r="F283" i="1" s="1"/>
  <c r="F280" i="1"/>
  <c r="F281" i="1"/>
  <c r="F282" i="1"/>
  <c r="F275" i="1"/>
  <c r="F276" i="1"/>
  <c r="F274" i="1" l="1"/>
  <c r="F279" i="1"/>
  <c r="F278" i="1"/>
  <c r="F277" i="1" l="1"/>
  <c r="F273" i="1" s="1"/>
  <c r="F295" i="1"/>
  <c r="F294" i="1" s="1"/>
  <c r="F289" i="1"/>
  <c r="F288" i="1" s="1"/>
  <c r="F293" i="1"/>
  <c r="F292" i="1" s="1"/>
  <c r="F291" i="1"/>
  <c r="F290" i="1" s="1"/>
  <c r="F287" i="1" l="1"/>
  <c r="D13" i="5"/>
  <c r="F13" i="5" s="1"/>
  <c r="F44" i="5"/>
  <c r="E43" i="5"/>
  <c r="F43" i="5" s="1"/>
  <c r="E42" i="5"/>
  <c r="F42" i="5" s="1"/>
  <c r="F45" i="5" s="1"/>
  <c r="F37" i="5"/>
  <c r="F36" i="5"/>
  <c r="F30" i="5"/>
  <c r="F29" i="5"/>
  <c r="F23" i="5"/>
  <c r="D22" i="5"/>
  <c r="F22" i="5" s="1"/>
  <c r="E14" i="5"/>
  <c r="F14" i="5" s="1"/>
  <c r="E12" i="5"/>
  <c r="F12" i="5" s="1"/>
  <c r="F11" i="5"/>
  <c r="F23" i="1"/>
  <c r="F24" i="1"/>
  <c r="F25" i="1"/>
  <c r="F26" i="1"/>
  <c r="F31" i="5" l="1"/>
  <c r="F38" i="5"/>
  <c r="F24" i="5"/>
  <c r="F174" i="1" l="1"/>
  <c r="E15" i="5" l="1"/>
  <c r="F15" i="5" s="1"/>
  <c r="F16" i="5" s="1"/>
  <c r="E17" i="5"/>
  <c r="F22" i="1"/>
  <c r="F21" i="1" s="1"/>
  <c r="F177" i="1"/>
  <c r="F175" i="1"/>
  <c r="F176" i="1"/>
  <c r="F17" i="5" l="1"/>
  <c r="F66" i="1" l="1"/>
  <c r="F67" i="1"/>
  <c r="F59" i="1"/>
  <c r="F60" i="1"/>
  <c r="F61" i="1"/>
  <c r="F62" i="1"/>
  <c r="D21" i="4" l="1"/>
  <c r="F63" i="1" s="1"/>
  <c r="D15" i="4"/>
  <c r="D16" i="4"/>
  <c r="F272" i="1"/>
  <c r="F271" i="1" s="1"/>
  <c r="F270" i="1" s="1"/>
  <c r="F269" i="1"/>
  <c r="F268" i="1" s="1"/>
  <c r="F267" i="1"/>
  <c r="F266" i="1" s="1"/>
  <c r="F265" i="1"/>
  <c r="F264" i="1"/>
  <c r="F262" i="1"/>
  <c r="F261" i="1"/>
  <c r="F260" i="1"/>
  <c r="F259" i="1"/>
  <c r="F253" i="1"/>
  <c r="F254" i="1"/>
  <c r="F255" i="1"/>
  <c r="F256" i="1"/>
  <c r="F257" i="1"/>
  <c r="F252" i="1"/>
  <c r="F251" i="1"/>
  <c r="F250" i="1"/>
  <c r="F246" i="1"/>
  <c r="F245" i="1" s="1"/>
  <c r="F238" i="1"/>
  <c r="F237" i="1" s="1"/>
  <c r="F236" i="1"/>
  <c r="F235" i="1" s="1"/>
  <c r="F234" i="1"/>
  <c r="F233" i="1"/>
  <c r="F232" i="1"/>
  <c r="F231" i="1"/>
  <c r="F230" i="1"/>
  <c r="F228" i="1"/>
  <c r="F227" i="1"/>
  <c r="F226" i="1"/>
  <c r="F225" i="1"/>
  <c r="F221" i="1"/>
  <c r="F220" i="1" s="1"/>
  <c r="F213" i="1"/>
  <c r="F212" i="1" s="1"/>
  <c r="F211" i="1"/>
  <c r="F210" i="1" s="1"/>
  <c r="F209" i="1"/>
  <c r="F208" i="1"/>
  <c r="F207" i="1"/>
  <c r="F206" i="1"/>
  <c r="F205" i="1"/>
  <c r="F204" i="1"/>
  <c r="F203" i="1"/>
  <c r="F200" i="1"/>
  <c r="F201" i="1"/>
  <c r="F199" i="1"/>
  <c r="F198" i="1"/>
  <c r="F195" i="1"/>
  <c r="F194" i="1" s="1"/>
  <c r="F192" i="1"/>
  <c r="F190" i="1"/>
  <c r="F189" i="1" s="1"/>
  <c r="F182" i="1"/>
  <c r="F183" i="1"/>
  <c r="F184" i="1"/>
  <c r="F185" i="1"/>
  <c r="F186" i="1"/>
  <c r="F187" i="1"/>
  <c r="F188" i="1"/>
  <c r="F181" i="1"/>
  <c r="F179" i="1"/>
  <c r="F178" i="1"/>
  <c r="F154" i="1"/>
  <c r="F153" i="1" s="1"/>
  <c r="F156" i="1"/>
  <c r="F157" i="1"/>
  <c r="F161" i="1"/>
  <c r="F160" i="1" s="1"/>
  <c r="F166" i="1"/>
  <c r="F165" i="1" s="1"/>
  <c r="F168" i="1"/>
  <c r="F169" i="1"/>
  <c r="F170" i="1"/>
  <c r="F150" i="1"/>
  <c r="F149" i="1" s="1"/>
  <c r="F147" i="1"/>
  <c r="F146" i="1" s="1"/>
  <c r="F145" i="1"/>
  <c r="F143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3" i="1"/>
  <c r="F122" i="1"/>
  <c r="F121" i="1"/>
  <c r="F120" i="1"/>
  <c r="F119" i="1"/>
  <c r="F118" i="1"/>
  <c r="F117" i="1"/>
  <c r="F116" i="1"/>
  <c r="F115" i="1"/>
  <c r="F113" i="1"/>
  <c r="F112" i="1"/>
  <c r="F111" i="1"/>
  <c r="F110" i="1"/>
  <c r="F109" i="1"/>
  <c r="F107" i="1"/>
  <c r="F106" i="1"/>
  <c r="F105" i="1"/>
  <c r="F104" i="1"/>
  <c r="F101" i="1"/>
  <c r="F100" i="1"/>
  <c r="F99" i="1"/>
  <c r="F98" i="1" s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 s="1"/>
  <c r="F80" i="1"/>
  <c r="F79" i="1"/>
  <c r="F77" i="1"/>
  <c r="F76" i="1"/>
  <c r="F75" i="1"/>
  <c r="F74" i="1"/>
  <c r="F73" i="1"/>
  <c r="F72" i="1"/>
  <c r="F71" i="1"/>
  <c r="F69" i="1"/>
  <c r="F68" i="1"/>
  <c r="F65" i="1"/>
  <c r="F64" i="1"/>
  <c r="F58" i="1"/>
  <c r="F56" i="1"/>
  <c r="F55" i="1"/>
  <c r="F54" i="1"/>
  <c r="F53" i="1"/>
  <c r="F52" i="1"/>
  <c r="F49" i="1"/>
  <c r="F48" i="1" s="1"/>
  <c r="F47" i="1"/>
  <c r="F46" i="1" s="1"/>
  <c r="F45" i="1"/>
  <c r="F44" i="1"/>
  <c r="F43" i="1"/>
  <c r="F42" i="1"/>
  <c r="F41" i="1"/>
  <c r="F39" i="1"/>
  <c r="F38" i="1" s="1"/>
  <c r="F36" i="1"/>
  <c r="F35" i="1"/>
  <c r="F33" i="1"/>
  <c r="F32" i="1"/>
  <c r="F30" i="1"/>
  <c r="F29" i="1"/>
  <c r="F20" i="1"/>
  <c r="F19" i="1"/>
  <c r="F18" i="1"/>
  <c r="F17" i="1"/>
  <c r="F16" i="1"/>
  <c r="F15" i="1"/>
  <c r="F14" i="1"/>
  <c r="F13" i="1"/>
  <c r="F12" i="1"/>
  <c r="F11" i="1"/>
  <c r="F89" i="1" l="1"/>
  <c r="F81" i="1" s="1"/>
  <c r="F34" i="1"/>
  <c r="F173" i="1"/>
  <c r="F224" i="1"/>
  <c r="F197" i="1"/>
  <c r="F229" i="1"/>
  <c r="F249" i="1"/>
  <c r="F180" i="1"/>
  <c r="F202" i="1"/>
  <c r="F258" i="1"/>
  <c r="F191" i="1"/>
  <c r="F263" i="1"/>
  <c r="F142" i="1"/>
  <c r="F141" i="1" s="1"/>
  <c r="F155" i="1"/>
  <c r="F152" i="1" s="1"/>
  <c r="F31" i="1"/>
  <c r="F28" i="1"/>
  <c r="F167" i="1"/>
  <c r="F164" i="1" s="1"/>
  <c r="F108" i="1"/>
  <c r="F51" i="1"/>
  <c r="F70" i="1"/>
  <c r="F40" i="1"/>
  <c r="F37" i="1" s="1"/>
  <c r="F57" i="1"/>
  <c r="F124" i="1"/>
  <c r="F114" i="1"/>
  <c r="F78" i="1"/>
  <c r="F103" i="1"/>
  <c r="F10" i="1"/>
  <c r="F9" i="1" s="1"/>
  <c r="F196" i="1" l="1"/>
  <c r="F223" i="1"/>
  <c r="F248" i="1"/>
  <c r="F172" i="1"/>
  <c r="F27" i="1"/>
  <c r="F102" i="1"/>
  <c r="F151" i="1"/>
  <c r="F50" i="1"/>
  <c r="D27" i="3"/>
  <c r="D24" i="3"/>
  <c r="D20" i="3" s="1"/>
  <c r="D23" i="3"/>
  <c r="D13" i="3"/>
  <c r="F171" i="1" l="1"/>
  <c r="F8" i="1"/>
  <c r="F316" i="1" l="1"/>
  <c r="F320" i="1"/>
  <c r="F319" i="1" s="1"/>
  <c r="F317" i="1"/>
  <c r="F318" i="1"/>
  <c r="F300" i="1"/>
  <c r="F301" i="1"/>
  <c r="F299" i="1"/>
  <c r="F315" i="1" l="1"/>
  <c r="F298" i="1"/>
  <c r="F297" i="1" s="1"/>
  <c r="F296" i="1" l="1"/>
  <c r="D29" i="4" l="1"/>
  <c r="D22" i="4"/>
  <c r="D11" i="3" l="1"/>
  <c r="F29" i="3"/>
  <c r="F28" i="3"/>
  <c r="F27" i="3"/>
  <c r="F24" i="3"/>
  <c r="F23" i="3"/>
  <c r="F22" i="3"/>
  <c r="F21" i="3"/>
  <c r="F20" i="3" l="1"/>
  <c r="F25" i="3" s="1"/>
  <c r="F30" i="3"/>
  <c r="D15" i="3"/>
  <c r="G44" i="7"/>
  <c r="G45" i="7"/>
  <c r="G43" i="7"/>
  <c r="G41" i="7"/>
  <c r="G48" i="7"/>
  <c r="G51" i="7"/>
  <c r="G39" i="7"/>
  <c r="G38" i="7"/>
  <c r="G47" i="7"/>
  <c r="G49" i="7"/>
  <c r="G40" i="7"/>
  <c r="G42" i="7"/>
  <c r="G52" i="7"/>
  <c r="G50" i="7"/>
  <c r="G46" i="7"/>
  <c r="E60" i="7" l="1"/>
  <c r="D60" i="7" s="1"/>
  <c r="G53" i="7"/>
  <c r="F507" i="1" s="1"/>
  <c r="E59" i="7"/>
  <c r="D59" i="7" s="1"/>
  <c r="F504" i="1" l="1"/>
  <c r="F497" i="1" s="1"/>
  <c r="F496" i="1" s="1"/>
  <c r="F595" i="1" l="1"/>
</calcChain>
</file>

<file path=xl/sharedStrings.xml><?xml version="1.0" encoding="utf-8"?>
<sst xmlns="http://schemas.openxmlformats.org/spreadsheetml/2006/main" count="1981" uniqueCount="1269">
  <si>
    <t>ORÇAMENTO EXECUTIVO</t>
  </si>
  <si>
    <t>Obra</t>
  </si>
  <si>
    <t>Empresa</t>
  </si>
  <si>
    <t>Revisão</t>
  </si>
  <si>
    <t>Data</t>
  </si>
  <si>
    <t>OBSERVAÇÕES</t>
  </si>
  <si>
    <t>Código</t>
  </si>
  <si>
    <t>Descrição</t>
  </si>
  <si>
    <t>Un.</t>
  </si>
  <si>
    <t>Quantidade orçada</t>
  </si>
  <si>
    <t>Preço unitário</t>
  </si>
  <si>
    <t>Preço total</t>
  </si>
  <si>
    <t>Considerações</t>
  </si>
  <si>
    <t>Estudos</t>
  </si>
  <si>
    <t>Consultorias</t>
  </si>
  <si>
    <t>Ensaios</t>
  </si>
  <si>
    <t>UN</t>
  </si>
  <si>
    <t>Documentos</t>
  </si>
  <si>
    <t>SERVIÇOS INICIAIS</t>
  </si>
  <si>
    <t>Segurança do trabalho</t>
  </si>
  <si>
    <t>Equipamentos de proteção</t>
  </si>
  <si>
    <t>M2</t>
  </si>
  <si>
    <t>Equipe de Gestão e Apoio</t>
  </si>
  <si>
    <t>Engenheiro Civil</t>
  </si>
  <si>
    <t>Almoxarife</t>
  </si>
  <si>
    <t>Despesas de consumo e manutenção</t>
  </si>
  <si>
    <t>Instalações provisórias</t>
  </si>
  <si>
    <t>Ligações Provisórias</t>
  </si>
  <si>
    <t>SERVIÇOS PRELIMINARES</t>
  </si>
  <si>
    <t>Demolições</t>
  </si>
  <si>
    <t>Equipamentos de Carga e Transporte</t>
  </si>
  <si>
    <t>Equipamentos de obra</t>
  </si>
  <si>
    <t>Ferramentas</t>
  </si>
  <si>
    <t>Forma</t>
  </si>
  <si>
    <t>Armadura</t>
  </si>
  <si>
    <t>Concreto</t>
  </si>
  <si>
    <t>Mão de obra</t>
  </si>
  <si>
    <t>Complementares</t>
  </si>
  <si>
    <t>PAREDES E PAINÉIS</t>
  </si>
  <si>
    <t>Alvenaria de vedação de blocos cerâmicos furados na horizontal de 11,5x19x29 cm (espessura 11,5cm) com argamassa industrializada de assentamento</t>
  </si>
  <si>
    <t>Alvenaria de vedação de blocos cerâmicos furados na horizontal de 14x19x29 cm (espessura 14cm) com argamassa industrializada de assentamento</t>
  </si>
  <si>
    <t>Alvenaria de vedação de blocos cerâmicos furados na horizontal de 19x19x29 cm (espessura 19cm) com argamassa industrializada de assentamento</t>
  </si>
  <si>
    <t>Serviços complementares para alvenaria de vedação</t>
  </si>
  <si>
    <t>Encunhamento com Expansor</t>
  </si>
  <si>
    <t>Tela soldada para ligacao alvenaria/estrutura - para blocos de 9 a 14cm</t>
  </si>
  <si>
    <t>IMPERMEABILIZAÇÃO E TRATAMENTOS</t>
  </si>
  <si>
    <t>Regularização e proteção mecânica</t>
  </si>
  <si>
    <t>Mão de obra impermeabilização</t>
  </si>
  <si>
    <t>Mão de obra para regularização de superfície</t>
  </si>
  <si>
    <t>Mão de obra para proteção mecânica</t>
  </si>
  <si>
    <t>Mão de obra para impermeabilização de peitoris</t>
  </si>
  <si>
    <t>LOUÇAS E METAIS</t>
  </si>
  <si>
    <t>Louças</t>
  </si>
  <si>
    <t>Metais e acessórios</t>
  </si>
  <si>
    <t>Bancadas, pias e divisórias</t>
  </si>
  <si>
    <t>Mobiliário e decoração</t>
  </si>
  <si>
    <t>Paisagismo</t>
  </si>
  <si>
    <t>TOTAL DA OBRA</t>
  </si>
  <si>
    <t>R00</t>
  </si>
  <si>
    <t>m2</t>
  </si>
  <si>
    <t>Aquisição carrinho de mão</t>
  </si>
  <si>
    <t>DADOS OBRA</t>
  </si>
  <si>
    <t>ARQUITETURA</t>
  </si>
  <si>
    <t>Unidade</t>
  </si>
  <si>
    <t>Quantidade</t>
  </si>
  <si>
    <t>ÁREA DO TERRENO</t>
  </si>
  <si>
    <t>ÁREA CONSTRUÍDA</t>
  </si>
  <si>
    <t>NÚMERO DE UNIDADES HABITACIONAIS</t>
  </si>
  <si>
    <t>MESES DE OBRA</t>
  </si>
  <si>
    <t>MÊS</t>
  </si>
  <si>
    <t>NÚMERO DE PAVIMENTOS</t>
  </si>
  <si>
    <t>LEVANTAMENTO QUANTITATIVO</t>
  </si>
  <si>
    <t>Pm</t>
  </si>
  <si>
    <t xml:space="preserve">h/m2 </t>
  </si>
  <si>
    <t>Instalações de canteiro</t>
  </si>
  <si>
    <t>Equipe administrativa</t>
  </si>
  <si>
    <t>Produtividade média</t>
  </si>
  <si>
    <t>m²/mês</t>
  </si>
  <si>
    <t>Numero de funcionários</t>
  </si>
  <si>
    <t>un</t>
  </si>
  <si>
    <t>R$</t>
  </si>
  <si>
    <t>800,00/func.</t>
  </si>
  <si>
    <t>m²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</si>
  <si>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</si>
  <si>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</si>
  <si>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</si>
  <si>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</si>
  <si>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</si>
  <si>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</si>
  <si>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</si>
  <si>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m</t>
  </si>
  <si>
    <t>Escrivaninha</t>
  </si>
  <si>
    <t>TOTAL</t>
  </si>
  <si>
    <t>Computador pessoal</t>
  </si>
  <si>
    <t>Impressora</t>
  </si>
  <si>
    <t>Roteador</t>
  </si>
  <si>
    <t>Equipamentos de proteção coletiva</t>
  </si>
  <si>
    <t>Bandejas de proteção</t>
  </si>
  <si>
    <t>Perímetro de projeção embasamento</t>
  </si>
  <si>
    <t>Número de montagens de bandeja primária</t>
  </si>
  <si>
    <t>Bandeja de proteção primária</t>
  </si>
  <si>
    <t>Perímetro de projeção torre</t>
  </si>
  <si>
    <t>Número de montagens de bandeja secundária</t>
  </si>
  <si>
    <t>Bandeja de proteção secundária</t>
  </si>
  <si>
    <t>Proteção de periferia pós desforma torre</t>
  </si>
  <si>
    <t>Tela fachadeira</t>
  </si>
  <si>
    <t>Area da fachada coberta</t>
  </si>
  <si>
    <t>Tapume</t>
  </si>
  <si>
    <t>Perímetro de encontro com pavimentação</t>
  </si>
  <si>
    <t>Altura do tapume</t>
  </si>
  <si>
    <t>Cobertura para proteção de pedestres</t>
  </si>
  <si>
    <t>Impermeabilização com manta asfáltica</t>
  </si>
  <si>
    <t>Impermeabilização com argamassa polimérica</t>
  </si>
  <si>
    <t>Acabamentos cerâmicos</t>
  </si>
  <si>
    <t>Acabamentos especiais</t>
  </si>
  <si>
    <t>Peitoris</t>
  </si>
  <si>
    <t>Revestimento interno argamassado em teto</t>
  </si>
  <si>
    <t>Chapisco rolado aplicado em teto</t>
  </si>
  <si>
    <t>Massa unica para reboco de teto em argamassa estabilizada - espessura de 20mm - com execucao de taliscas</t>
  </si>
  <si>
    <t>Acabamento de gesso em teto</t>
  </si>
  <si>
    <t>Contrapiso</t>
  </si>
  <si>
    <t>Acabamentos cerâmicos em piso</t>
  </si>
  <si>
    <t>Acabamentos de madeira</t>
  </si>
  <si>
    <t>Acabamentos em pedra</t>
  </si>
  <si>
    <t>Revestimento de granito em piso do elevador</t>
  </si>
  <si>
    <t>Rodapés</t>
  </si>
  <si>
    <t>Soleiras</t>
  </si>
  <si>
    <t>Mao de obra para execução de piso em granito</t>
  </si>
  <si>
    <t>Mão de Obra colocalção de soleira de Granito</t>
  </si>
  <si>
    <t>Acabamentos cimentados em piso</t>
  </si>
  <si>
    <t>Sistema de pintura em piso</t>
  </si>
  <si>
    <t>Sistema de pintura em parede</t>
  </si>
  <si>
    <t>Sistema de pintura em teto</t>
  </si>
  <si>
    <t>Mao de obra empreitada vedacoes internas  - assentamento de blocos cerâmicos</t>
  </si>
  <si>
    <t>Edifício Virgínia</t>
  </si>
  <si>
    <t>Somauma</t>
  </si>
  <si>
    <t>ORÇAMENTO EXECUTIVO - R00</t>
  </si>
  <si>
    <t xml:space="preserve">01 </t>
  </si>
  <si>
    <t xml:space="preserve">01.001 </t>
  </si>
  <si>
    <t>SERVIÇOS TÉCNICOS</t>
  </si>
  <si>
    <t xml:space="preserve">01.001.001 </t>
  </si>
  <si>
    <t xml:space="preserve">01.001.001.001 </t>
  </si>
  <si>
    <t>Consultoria de Norma de Desempenho</t>
  </si>
  <si>
    <t>mes</t>
  </si>
  <si>
    <t xml:space="preserve">01.001.001.002 </t>
  </si>
  <si>
    <t>Consultoria Técnica e Revisão de Projeto de Drywall e Sistemas de Vedação</t>
  </si>
  <si>
    <t>vb</t>
  </si>
  <si>
    <t xml:space="preserve">01.001.001.003 </t>
  </si>
  <si>
    <t>Consultoria Técnica para Materiais Sustentavéis</t>
  </si>
  <si>
    <t xml:space="preserve">01.001.001.004 </t>
  </si>
  <si>
    <t>Consultoria Técnica e Análise e Revisão de Projetos para Instalações Elétricas e Hidraúlicas</t>
  </si>
  <si>
    <t xml:space="preserve">01.001.001.005 </t>
  </si>
  <si>
    <t xml:space="preserve">Consultoria Técnica e Análise e Revisão de Projetos Estruturais </t>
  </si>
  <si>
    <t xml:space="preserve">01.001.001.006 </t>
  </si>
  <si>
    <t>Consultoria Técnica em Impermeabilização</t>
  </si>
  <si>
    <t>Levantamento In-Loco de Estrutura Existente e Situação Geral da Edificação</t>
  </si>
  <si>
    <t>pav</t>
  </si>
  <si>
    <t>Monitoramento de Estrutura - (Escada Comercial e Escada Residencial)</t>
  </si>
  <si>
    <t>Consultoria Técnica para Obtenção do AVCB</t>
  </si>
  <si>
    <t xml:space="preserve">Revisão e Compatibilização de Todos os Projetos </t>
  </si>
  <si>
    <t xml:space="preserve">01.001.002 </t>
  </si>
  <si>
    <t xml:space="preserve">01.001.002.001 </t>
  </si>
  <si>
    <t>Controle Tecnológico do concreto</t>
  </si>
  <si>
    <t>m3</t>
  </si>
  <si>
    <t xml:space="preserve">01.001.002.002 </t>
  </si>
  <si>
    <t>Ensaio de guarda-corpo</t>
  </si>
  <si>
    <t xml:space="preserve">01.001.002.003 </t>
  </si>
  <si>
    <t>Ensaio de arrancamento fachada</t>
  </si>
  <si>
    <t xml:space="preserve">01.001.002.004 </t>
  </si>
  <si>
    <t>Ensaio de arrancamento gancho da cobertura</t>
  </si>
  <si>
    <t xml:space="preserve">01.001.002.005 </t>
  </si>
  <si>
    <t>Ensaio de prisma (oco e cheio)</t>
  </si>
  <si>
    <t xml:space="preserve">01.002 </t>
  </si>
  <si>
    <t>PRÉ-OBRA</t>
  </si>
  <si>
    <t xml:space="preserve">01.002.001 </t>
  </si>
  <si>
    <t>Mapeamentos</t>
  </si>
  <si>
    <t xml:space="preserve">01.002.001.001 </t>
  </si>
  <si>
    <t>Mapeamento de Estrutura Existente</t>
  </si>
  <si>
    <t xml:space="preserve">01.002.001.002 </t>
  </si>
  <si>
    <t>Mapeamento de Acabamentos</t>
  </si>
  <si>
    <t xml:space="preserve">01.002.002 </t>
  </si>
  <si>
    <t>Stand de vendas</t>
  </si>
  <si>
    <t xml:space="preserve">01.002.002.001 </t>
  </si>
  <si>
    <t>Stand de Vendas</t>
  </si>
  <si>
    <t xml:space="preserve">01.002.002.002 </t>
  </si>
  <si>
    <t xml:space="preserve">Apto Conceito / Decorado </t>
  </si>
  <si>
    <t xml:space="preserve">01.002.003 </t>
  </si>
  <si>
    <t xml:space="preserve">01.002.003.001 </t>
  </si>
  <si>
    <t xml:space="preserve">Estudos de Itens a Serem Reaproveitados na Obra </t>
  </si>
  <si>
    <t xml:space="preserve">01.002.003.002 </t>
  </si>
  <si>
    <t>Desenvolvimento de Materiais e Produtos Sustentavèis e Upcicle</t>
  </si>
  <si>
    <t xml:space="preserve">01.003 </t>
  </si>
  <si>
    <t xml:space="preserve">01.003.001 </t>
  </si>
  <si>
    <t>Seguro de obra</t>
  </si>
  <si>
    <t xml:space="preserve">01.003.001.001 </t>
  </si>
  <si>
    <t>Seguro de Obra - (RC / RE / PB)</t>
  </si>
  <si>
    <t xml:space="preserve">01.003.002 </t>
  </si>
  <si>
    <t>Reforços e adequações</t>
  </si>
  <si>
    <t xml:space="preserve">01.003.002.001 </t>
  </si>
  <si>
    <t>Reforço de Infraestrutura e Taxa para Aprovação de Ligações de Água, Esgoto e Gás</t>
  </si>
  <si>
    <t xml:space="preserve">01.003.002.002 </t>
  </si>
  <si>
    <t>Reforço de Rede, Taxa de Aprovação e Ligação Definitiva de Energia</t>
  </si>
  <si>
    <t>Adequação e Arremates em Paredes, Batentes e Vãos (vb por Pavimento) - (MAT + MDO)</t>
  </si>
  <si>
    <t>Adequação e Arremates em Piso, Batentes e Vãos (vb por Pavimento) - (MAT + MDO)</t>
  </si>
  <si>
    <t>Adequação e Arremates em Tetos, Batentes e Vãos (vb por Pavimento) - (MAT + MDO)</t>
  </si>
  <si>
    <t xml:space="preserve">01.003.003 </t>
  </si>
  <si>
    <t xml:space="preserve">01.003.003.001 </t>
  </si>
  <si>
    <t>Demolições e Remoções em Geral</t>
  </si>
  <si>
    <t xml:space="preserve">01.003.004 </t>
  </si>
  <si>
    <t>Bases para equipamentos</t>
  </si>
  <si>
    <t xml:space="preserve">01.003.004.001 </t>
  </si>
  <si>
    <t>Base Cremalheira em Concreto Armado</t>
  </si>
  <si>
    <t xml:space="preserve">01.004 </t>
  </si>
  <si>
    <t>INSTALAÇÕES PROVISÓRIAS</t>
  </si>
  <si>
    <t xml:space="preserve">01.004.001 </t>
  </si>
  <si>
    <t xml:space="preserve">01.004.001.001 </t>
  </si>
  <si>
    <t>Planos de Segurança - PCMAT / PPRS / SCPO</t>
  </si>
  <si>
    <t xml:space="preserve">01.004.001.002 </t>
  </si>
  <si>
    <t>Plano de Gestão de Resíduos - PGRSCC</t>
  </si>
  <si>
    <t>Tecnico de segurança</t>
  </si>
  <si>
    <t>Serviço de segurança terceirizado</t>
  </si>
  <si>
    <t xml:space="preserve">01.004.002 </t>
  </si>
  <si>
    <t>Equipamentos de proteção Individual (EPI)</t>
  </si>
  <si>
    <t xml:space="preserve">01.004.002.001 </t>
  </si>
  <si>
    <t>Bandeja Primária - (Todo Perimetro da Cobertura)</t>
  </si>
  <si>
    <t xml:space="preserve">01.004.002.002 </t>
  </si>
  <si>
    <t>Bandeja Secundária - (Todo Perimetro do Térreo)</t>
  </si>
  <si>
    <t xml:space="preserve">01.004.002.003 </t>
  </si>
  <si>
    <t>Locação ou Compra de Mão Francesas para a Bandeja</t>
  </si>
  <si>
    <t xml:space="preserve">01.004.002.004 </t>
  </si>
  <si>
    <t>Túnel de Pedestres</t>
  </si>
  <si>
    <t xml:space="preserve">01.004.002.005 </t>
  </si>
  <si>
    <t>Tela de Proteção de Fachada</t>
  </si>
  <si>
    <t xml:space="preserve">01.004.002.006 </t>
  </si>
  <si>
    <t>Proteções Coletivas Internas</t>
  </si>
  <si>
    <t>Comunicação Visual e Sinalização</t>
  </si>
  <si>
    <t>Tapume metálico</t>
  </si>
  <si>
    <t>Proteção de Pastilhas e Pisos a Serem Restaurados</t>
  </si>
  <si>
    <t>Proteção de Escada a Ser Mantida</t>
  </si>
  <si>
    <t>Proteção de Gradis (Quando Instalados Novos) - (Por Pavimento)</t>
  </si>
  <si>
    <t xml:space="preserve">01.004.003 </t>
  </si>
  <si>
    <t xml:space="preserve">01.004.003.001 </t>
  </si>
  <si>
    <t>Instalações Administrativas - (Escritório da Obra)</t>
  </si>
  <si>
    <t xml:space="preserve">01.004.003.002 </t>
  </si>
  <si>
    <t>Instalações de Canteiro - (Vestiários, Refeitório, Banheiros e Área de Vivencia)</t>
  </si>
  <si>
    <t xml:space="preserve">01.004.003.003 </t>
  </si>
  <si>
    <t>Instalações de Fábrica - (Almoxarifado, Baias, etc)</t>
  </si>
  <si>
    <t xml:space="preserve">01.004.003.004 </t>
  </si>
  <si>
    <t>Instalação de Sala de Planejamento e Controle</t>
  </si>
  <si>
    <t>Gerador de Energia Emergêncial</t>
  </si>
  <si>
    <t>Equipamentos de escritório</t>
  </si>
  <si>
    <t xml:space="preserve">01.004.004 </t>
  </si>
  <si>
    <t xml:space="preserve">01.004.004.001 </t>
  </si>
  <si>
    <t>Ligação Provisória de Energia e Água</t>
  </si>
  <si>
    <t xml:space="preserve">01.004.004.002 </t>
  </si>
  <si>
    <t>Distribuição Interna de Energia, Água e Dados</t>
  </si>
  <si>
    <t xml:space="preserve">01.005 </t>
  </si>
  <si>
    <t>MÁQUINAS E FERRAMENTAS</t>
  </si>
  <si>
    <t xml:space="preserve">01.005.001 </t>
  </si>
  <si>
    <t xml:space="preserve">01.005.001.001 </t>
  </si>
  <si>
    <t>Aluguel de Cremalheira com Operador</t>
  </si>
  <si>
    <t xml:space="preserve">01.005.001.002 </t>
  </si>
  <si>
    <t>Manutenção Mensal Cremalheira</t>
  </si>
  <si>
    <t>Fretes, Montagem e Desmontagem Cremalheira</t>
  </si>
  <si>
    <t>Treinamento de Operador</t>
  </si>
  <si>
    <t>Aluguel de Mini grua com Operador</t>
  </si>
  <si>
    <t>Fretes, Montagem e Desmontagem Mini grua</t>
  </si>
  <si>
    <t xml:space="preserve">01.005.002 </t>
  </si>
  <si>
    <t xml:space="preserve">01.005.002.001 </t>
  </si>
  <si>
    <t>Máquina de Lavar Industrial</t>
  </si>
  <si>
    <t>Aquisição de carrinho plataforma</t>
  </si>
  <si>
    <t>Aquisição girica 60L</t>
  </si>
  <si>
    <t>Aquisição carrinho mini palets</t>
  </si>
  <si>
    <t xml:space="preserve">01.005.003 </t>
  </si>
  <si>
    <t>Balancins e Andaimes</t>
  </si>
  <si>
    <t xml:space="preserve">01.005.003.001 </t>
  </si>
  <si>
    <t>Locação de Balancim para Abertura de Janelas do Bloco B</t>
  </si>
  <si>
    <t xml:space="preserve">01.005.003.002 </t>
  </si>
  <si>
    <t>Locação de Balancim para Reparo dos Áticos - (Comercial e Residencial)</t>
  </si>
  <si>
    <t xml:space="preserve">01.005.003.003 </t>
  </si>
  <si>
    <t>Aluguel / Compra de Andaimes</t>
  </si>
  <si>
    <t xml:space="preserve">01.006 </t>
  </si>
  <si>
    <t>ADMINISTRAÇÃO E DESPESAS GERAIS</t>
  </si>
  <si>
    <t xml:space="preserve">01.006.001 </t>
  </si>
  <si>
    <t xml:space="preserve">Licenciamentos, Taxas, Impostos, Aprovações e Seguros </t>
  </si>
  <si>
    <t>Aprovação e legalização ambiental</t>
  </si>
  <si>
    <t>Aprovação e legalização água e esgoto</t>
  </si>
  <si>
    <t>Aprovação e legalização elétrico</t>
  </si>
  <si>
    <t>Aprovação e legalização bombeiros</t>
  </si>
  <si>
    <t xml:space="preserve">01.006.002 </t>
  </si>
  <si>
    <t xml:space="preserve">01.006.002.001 </t>
  </si>
  <si>
    <t xml:space="preserve">01.006.002.002 </t>
  </si>
  <si>
    <t>As Built</t>
  </si>
  <si>
    <t xml:space="preserve">01.006.002.003 </t>
  </si>
  <si>
    <t>Manual do Proprietário</t>
  </si>
  <si>
    <t>Custo com CET com Autorização de Carga e Descarga (R. Álvaro de Carvalho)</t>
  </si>
  <si>
    <t>mês</t>
  </si>
  <si>
    <t>Certidão INSS</t>
  </si>
  <si>
    <t xml:space="preserve">01.006.003 </t>
  </si>
  <si>
    <t>Arquiteto</t>
  </si>
  <si>
    <t>Mestre de obras</t>
  </si>
  <si>
    <t>Tecnico de qualidade</t>
  </si>
  <si>
    <t>Auxiliar de engenharia</t>
  </si>
  <si>
    <t>Assistente Administrativo</t>
  </si>
  <si>
    <t>Analista de suprimentos</t>
  </si>
  <si>
    <t>Vigilância</t>
  </si>
  <si>
    <t xml:space="preserve">01.006.004 </t>
  </si>
  <si>
    <t xml:space="preserve">01.006.004.001 </t>
  </si>
  <si>
    <t xml:space="preserve">Custos com Cadri (Coletivo até 7 Toneladas) </t>
  </si>
  <si>
    <t xml:space="preserve">01.006.004.002 </t>
  </si>
  <si>
    <t>Remoção de Residuos Perigosos (Com CADRI)</t>
  </si>
  <si>
    <t>Remoção de entulhos e resíduos</t>
  </si>
  <si>
    <t>Detetização, desratização e sanitização dos ambiebientes</t>
  </si>
  <si>
    <t>Fretes Diversos</t>
  </si>
  <si>
    <t>Despesa com Alimentação</t>
  </si>
  <si>
    <t>Consumo de água e esgoto</t>
  </si>
  <si>
    <t>Consumo de luz e energia</t>
  </si>
  <si>
    <t>Consumo de internet</t>
  </si>
  <si>
    <t>Material de expediente/escritório</t>
  </si>
  <si>
    <t>Material de higiene e limpeza</t>
  </si>
  <si>
    <t>Cópias e plotagens</t>
  </si>
  <si>
    <t>Gerenciamento eletrônico</t>
  </si>
  <si>
    <t>Despesas com vizinhos</t>
  </si>
  <si>
    <t xml:space="preserve">01.007 </t>
  </si>
  <si>
    <t>TRABALHOS COM TERRA</t>
  </si>
  <si>
    <t xml:space="preserve">01.007.001 </t>
  </si>
  <si>
    <t>Escavação e Reaterro de Valas</t>
  </si>
  <si>
    <t xml:space="preserve">01.007.001.001 </t>
  </si>
  <si>
    <t>Escavação mecanizada para blocos e baldrames, com previsao de forma</t>
  </si>
  <si>
    <t xml:space="preserve">01.007.001.002 </t>
  </si>
  <si>
    <t xml:space="preserve">01.007.002 </t>
  </si>
  <si>
    <t>Lastro de estrutura de concreto</t>
  </si>
  <si>
    <t xml:space="preserve">01.007.002.001 </t>
  </si>
  <si>
    <t xml:space="preserve">01.007.003 </t>
  </si>
  <si>
    <t>Movimentação de bota - fora</t>
  </si>
  <si>
    <t xml:space="preserve">01.007.003.001 </t>
  </si>
  <si>
    <t xml:space="preserve">02 </t>
  </si>
  <si>
    <t>INFRAESTRUTURA E OBRAS COMPLEMENTARES</t>
  </si>
  <si>
    <t xml:space="preserve">02.001 </t>
  </si>
  <si>
    <t>FUNDAÇÕES</t>
  </si>
  <si>
    <t xml:space="preserve">02.001.001 </t>
  </si>
  <si>
    <t xml:space="preserve">02.001.002 </t>
  </si>
  <si>
    <t xml:space="preserve">02.001.002.001 </t>
  </si>
  <si>
    <t>Fabricação, montagem e desmontagem de fôrma para radier, em tábua de madeira</t>
  </si>
  <si>
    <t xml:space="preserve">02.001.003 </t>
  </si>
  <si>
    <t xml:space="preserve">02.001.003.001 </t>
  </si>
  <si>
    <t>Armação aço CA-50, diâmetro de 10,0 mm para radier, corte e dobra em indústria</t>
  </si>
  <si>
    <t>kg</t>
  </si>
  <si>
    <t>Armação aço CA-50, diâmetro de 12,5 mm para radier, corte e dobra em indústria</t>
  </si>
  <si>
    <t xml:space="preserve">02.001.004 </t>
  </si>
  <si>
    <t xml:space="preserve">02.001.004.001 </t>
  </si>
  <si>
    <t xml:space="preserve">02.001.005 </t>
  </si>
  <si>
    <t xml:space="preserve">02.002 </t>
  </si>
  <si>
    <t>REFORÇOS DE ESTRUTURA</t>
  </si>
  <si>
    <t xml:space="preserve">02.002.001 </t>
  </si>
  <si>
    <t>Reforços pontuais</t>
  </si>
  <si>
    <t xml:space="preserve">02.002.001.001 </t>
  </si>
  <si>
    <t>Reforços Pontuais (10º e 11º Pavimentos)</t>
  </si>
  <si>
    <t xml:space="preserve">02.002.002 </t>
  </si>
  <si>
    <t>Reforços de pilares, vigas e lajes</t>
  </si>
  <si>
    <t xml:space="preserve">02.002.002.001 </t>
  </si>
  <si>
    <t>Reforço Estrutura Pilares Escada</t>
  </si>
  <si>
    <t xml:space="preserve">02.002.002.002 </t>
  </si>
  <si>
    <t>Reforços de Vigas que Foram Furadas</t>
  </si>
  <si>
    <t xml:space="preserve">02.002.002.003 </t>
  </si>
  <si>
    <t>Reforço de Estrutura da Laje Existente</t>
  </si>
  <si>
    <t xml:space="preserve">03 </t>
  </si>
  <si>
    <t>SUPRA-ESTRUTURA</t>
  </si>
  <si>
    <t xml:space="preserve">03.001 </t>
  </si>
  <si>
    <t>SUPRAESTRUTURA - LAJE DE COBERTURA</t>
  </si>
  <si>
    <t xml:space="preserve">03.001.001 </t>
  </si>
  <si>
    <t>Montagem e desmontagem de forma para vigas, em chapa de madeira compensada plastificada</t>
  </si>
  <si>
    <t>Montagem e desmontagem de forma para pilares, em chapa de madeira compensada plastificada</t>
  </si>
  <si>
    <t xml:space="preserve">03.001.002 </t>
  </si>
  <si>
    <t xml:space="preserve">03.001.002.001 </t>
  </si>
  <si>
    <t>Armação aço CA-50, diâmetro de 6,3 mm para supraestrutura, corte e dobra em indústria</t>
  </si>
  <si>
    <t xml:space="preserve">03.001.002.002 </t>
  </si>
  <si>
    <t>Armação aço CA-50, diâmetro de 8,0 mm para supraestrutura, corte e dobra em indústria</t>
  </si>
  <si>
    <t xml:space="preserve">03.001.002.003 </t>
  </si>
  <si>
    <t>Armação aço CA-50, diâmetro de 10,0 mm para supraestrutura, corte e dobra em indústria</t>
  </si>
  <si>
    <t xml:space="preserve">03.001.002.004 </t>
  </si>
  <si>
    <t>Armação aço CA-50, diâmetro de 12,5 mm para supraestrutura, corte e dobra em indústria</t>
  </si>
  <si>
    <t xml:space="preserve">03.001.002.005 </t>
  </si>
  <si>
    <t>Armação aço CA-50, diâmetro de 16,0 mm para supraestrutura, corte e dobra em indústria</t>
  </si>
  <si>
    <t xml:space="preserve">03.001.002.006 </t>
  </si>
  <si>
    <t>Armação aço CA-50, diâmetro de 20,0 mm para supraestrutura, corte e dobra em indústria</t>
  </si>
  <si>
    <t xml:space="preserve">03.001.002.007 </t>
  </si>
  <si>
    <t>Armação aço CA-50, diâmetro de 25,0 mm para supraestrutura, corte e dobra em indústria</t>
  </si>
  <si>
    <t xml:space="preserve">03.001.002.008 </t>
  </si>
  <si>
    <t>Armação aço CA-60, tela soldada nervurada Q92 para supraestrutura, corte e dobra em indústria</t>
  </si>
  <si>
    <t xml:space="preserve">03.001.003 </t>
  </si>
  <si>
    <t xml:space="preserve">Concreto </t>
  </si>
  <si>
    <t xml:space="preserve">03.001.003.001 </t>
  </si>
  <si>
    <t>Concreto usinado bombeável, para supraestrutura, Fck 30MPa, com Brita 1, SLUMP = 16+/-2 incluindo serviço de bombeamento</t>
  </si>
  <si>
    <t xml:space="preserve">03.001.004 </t>
  </si>
  <si>
    <t xml:space="preserve">03.001.004.001 </t>
  </si>
  <si>
    <t>Painéis Treliçados Unidirecionais Linha P120 c/ complemento de EPS h=16cm</t>
  </si>
  <si>
    <t xml:space="preserve">03.001.004.002 </t>
  </si>
  <si>
    <t xml:space="preserve">03.001.005 </t>
  </si>
  <si>
    <t xml:space="preserve">03.001.005.001 </t>
  </si>
  <si>
    <t>Mão de obra para execução de concreto armado em supraestrutura</t>
  </si>
  <si>
    <t xml:space="preserve">03.002 </t>
  </si>
  <si>
    <t>SUPRAESTRUTURA  - ESCADA RESIDENCIAL</t>
  </si>
  <si>
    <t xml:space="preserve">03.002.001 </t>
  </si>
  <si>
    <t xml:space="preserve">03.002.001.001 </t>
  </si>
  <si>
    <t>Fabricação de forma para escadas, em chapa de madeira compensada plastificada</t>
  </si>
  <si>
    <t xml:space="preserve">03.002.001.002 </t>
  </si>
  <si>
    <t>Fabricação de forma para vigas, em chapa de madeira compensada plastificada, 18mm</t>
  </si>
  <si>
    <t xml:space="preserve">03.002.001.003 </t>
  </si>
  <si>
    <t>Montagem e desmontagem de forma para escadas em chapa de madeira compensada plastificada</t>
  </si>
  <si>
    <t xml:space="preserve">03.002.001.004 </t>
  </si>
  <si>
    <t xml:space="preserve">03.002.002 </t>
  </si>
  <si>
    <t xml:space="preserve">03.002.002.001 </t>
  </si>
  <si>
    <t xml:space="preserve">03.002.002.002 </t>
  </si>
  <si>
    <t xml:space="preserve">03.002.002.003 </t>
  </si>
  <si>
    <t xml:space="preserve">03.002.002.004 </t>
  </si>
  <si>
    <t xml:space="preserve">03.002.002.005 </t>
  </si>
  <si>
    <t xml:space="preserve">03.002.002.006 </t>
  </si>
  <si>
    <t xml:space="preserve">03.002.002.007 </t>
  </si>
  <si>
    <t xml:space="preserve">03.002.003 </t>
  </si>
  <si>
    <t xml:space="preserve">03.002.003.001 </t>
  </si>
  <si>
    <t xml:space="preserve">03.002.004 </t>
  </si>
  <si>
    <t xml:space="preserve">03.002.004.001 </t>
  </si>
  <si>
    <t xml:space="preserve">03.002.005 </t>
  </si>
  <si>
    <t xml:space="preserve">03.002.005.001 </t>
  </si>
  <si>
    <t xml:space="preserve">03.003 </t>
  </si>
  <si>
    <t>SUPRAESTRUTURA  - ESCADA COMERCIAL E POÇO DO ELEVADOR COMERCIAL</t>
  </si>
  <si>
    <t xml:space="preserve">03.003.001 </t>
  </si>
  <si>
    <t xml:space="preserve">03.003.001.001 </t>
  </si>
  <si>
    <t xml:space="preserve">03.003.001.002 </t>
  </si>
  <si>
    <t xml:space="preserve">03.003.001.003 </t>
  </si>
  <si>
    <t xml:space="preserve">03.003.001.004 </t>
  </si>
  <si>
    <t xml:space="preserve">03.003.002 </t>
  </si>
  <si>
    <t xml:space="preserve">03.003.002.001 </t>
  </si>
  <si>
    <t xml:space="preserve">03.003.002.002 </t>
  </si>
  <si>
    <t xml:space="preserve">03.003.002.003 </t>
  </si>
  <si>
    <t xml:space="preserve">03.003.002.004 </t>
  </si>
  <si>
    <t xml:space="preserve">03.003.002.005 </t>
  </si>
  <si>
    <t xml:space="preserve">03.003.003 </t>
  </si>
  <si>
    <t xml:space="preserve">03.003.003.001 </t>
  </si>
  <si>
    <t xml:space="preserve">03.003.004 </t>
  </si>
  <si>
    <t xml:space="preserve">03.003.004.001 </t>
  </si>
  <si>
    <t xml:space="preserve">03.003.005 </t>
  </si>
  <si>
    <t xml:space="preserve">03.003.005.001 </t>
  </si>
  <si>
    <t xml:space="preserve">03.004 </t>
  </si>
  <si>
    <t>SUPRAESTRUTURA  - ARQUIBANCADA</t>
  </si>
  <si>
    <t xml:space="preserve">03.004.001 </t>
  </si>
  <si>
    <t xml:space="preserve">03.004.001.001 </t>
  </si>
  <si>
    <t xml:space="preserve">03.004.001.002 </t>
  </si>
  <si>
    <t>Fabricação de forma para pilares, em chapa de madeira compensada plastificada, 18mm</t>
  </si>
  <si>
    <t xml:space="preserve">03.004.001.003 </t>
  </si>
  <si>
    <t>Fabricação de forma para lajes e rampas, em chapa de madeira compensada plastificada, 18mm</t>
  </si>
  <si>
    <t xml:space="preserve">03.004.001.004 </t>
  </si>
  <si>
    <t xml:space="preserve">03.004.001.005 </t>
  </si>
  <si>
    <t xml:space="preserve">03.004.001.006 </t>
  </si>
  <si>
    <t xml:space="preserve">03.004.001.007 </t>
  </si>
  <si>
    <t>Montagem e desmontagem de forma para lajes e rampas, em chapa de madeira compensada plastificada</t>
  </si>
  <si>
    <t xml:space="preserve">03.004.001.008 </t>
  </si>
  <si>
    <t xml:space="preserve">03.004.002 </t>
  </si>
  <si>
    <t xml:space="preserve">03.004.002.001 </t>
  </si>
  <si>
    <t xml:space="preserve">03.004.002.002 </t>
  </si>
  <si>
    <t xml:space="preserve">03.004.002.003 </t>
  </si>
  <si>
    <t xml:space="preserve">03.004.002.004 </t>
  </si>
  <si>
    <t xml:space="preserve">03.004.003 </t>
  </si>
  <si>
    <t xml:space="preserve">03.004.003.001 </t>
  </si>
  <si>
    <t>Concreto usinado bombeável, para enchimento, Fck 30MPa, com Brita 1, SLUMP = 16+/-2 incluindo serviço de bombeamento</t>
  </si>
  <si>
    <t xml:space="preserve">03.004.003.002 </t>
  </si>
  <si>
    <t xml:space="preserve">03.004.004 </t>
  </si>
  <si>
    <t xml:space="preserve">03.004.004.001 </t>
  </si>
  <si>
    <t xml:space="preserve">03.004.005 </t>
  </si>
  <si>
    <t xml:space="preserve">03.004.005.001 </t>
  </si>
  <si>
    <t xml:space="preserve">03.005 </t>
  </si>
  <si>
    <t>SUPRAESTRUTURA - ESCADA TERREO/MEZANINO</t>
  </si>
  <si>
    <t xml:space="preserve">03.005.001 </t>
  </si>
  <si>
    <t xml:space="preserve">03.006 </t>
  </si>
  <si>
    <t>SUPRAESTRUTURA - RESERVATÓRIOS</t>
  </si>
  <si>
    <t xml:space="preserve">03.006.001 </t>
  </si>
  <si>
    <t xml:space="preserve">03.006.002 </t>
  </si>
  <si>
    <t xml:space="preserve">03.006.003 </t>
  </si>
  <si>
    <t xml:space="preserve">03.006.004 </t>
  </si>
  <si>
    <t xml:space="preserve">03.007 </t>
  </si>
  <si>
    <t>SUPRAESTRUTURA - TÉRREO</t>
  </si>
  <si>
    <t xml:space="preserve">03.007.002 </t>
  </si>
  <si>
    <t xml:space="preserve">03.007.003 </t>
  </si>
  <si>
    <t xml:space="preserve">03.007.004 </t>
  </si>
  <si>
    <t>Estrutura Metálica</t>
  </si>
  <si>
    <t>Escada metálica</t>
  </si>
  <si>
    <t>Locação de martelo demolidor 30 kg</t>
  </si>
  <si>
    <t>Locação de 3 Rompedores por 4 meses - Custo mensal por unidade de R$1811,30</t>
  </si>
  <si>
    <t>Locação de 5 Marteletes por 4 meses - Custo mensal por unidade de R$1298,00</t>
  </si>
  <si>
    <t>Controle Tecnológico do Concreto</t>
  </si>
  <si>
    <t>Laudo e ART</t>
  </si>
  <si>
    <t>Controle Tecnologico - Coleta materiais da obra</t>
  </si>
  <si>
    <t>Auxiliar de Laboratorista
(Moldador para argamassa, grouth, concreto, bloco) mês</t>
  </si>
  <si>
    <t>Hora Extra Auxiliar de Laboratorista (Aos sábados - 80%)</t>
  </si>
  <si>
    <t>Controle Tecnológico - Ensaio de concreto endurecido/grouth - compressão simples / Detalhe: Concreto</t>
  </si>
  <si>
    <t>unid.</t>
  </si>
  <si>
    <t>hora</t>
  </si>
  <si>
    <t>cps</t>
  </si>
  <si>
    <t>Descrição/Especificação</t>
  </si>
  <si>
    <t>Unid.</t>
  </si>
  <si>
    <t>V. Unit. (R$)</t>
  </si>
  <si>
    <t>Qtde.</t>
  </si>
  <si>
    <t>V. Total
(R$)</t>
  </si>
  <si>
    <t>Observações</t>
  </si>
  <si>
    <t>4 CPs por betoneira (6m3)</t>
  </si>
  <si>
    <t>Prazo da Estrutura e Fundação</t>
  </si>
  <si>
    <t>2 coletas semanais x  4 semanas x 12 meses</t>
  </si>
  <si>
    <t>sábados = 6 hs x 4 sábados x 12 meses</t>
  </si>
  <si>
    <t>Ensaios para guarda-corpo</t>
  </si>
  <si>
    <t>Ensaio de guarda-corpo
Determinação do esforço horizontal, esforço vertical e Resistencia a impactos</t>
  </si>
  <si>
    <t>ensaios</t>
  </si>
  <si>
    <t>1 prototipo por projeto</t>
  </si>
  <si>
    <t>valor/m³ de concreto</t>
  </si>
  <si>
    <t>Mobilização para ensaio tecnológico</t>
  </si>
  <si>
    <t>deslocamento</t>
  </si>
  <si>
    <t>Ensaio de arrancamento de argamassa de revestimento 
Determinação da aderencia a tração</t>
  </si>
  <si>
    <t>1 ensaio por torre</t>
  </si>
  <si>
    <t>Arrancamento de ganchos da cobertura
Ensaio de Arrancamento</t>
  </si>
  <si>
    <t>Arrancamento de ganchos da cobertura
Emissão de Relatorio e Laudos, incluindo Mobilização/ Desmobilização</t>
  </si>
  <si>
    <t xml:space="preserve">1 por tipo de torre </t>
  </si>
  <si>
    <t>Ensaio Prisma - Determinação da resistência a compressão - Oco (NBR 15961-2/2011)</t>
  </si>
  <si>
    <t>Ensaio Prisma - Determinação da resistência a compressão - Cheio (NBR 15961-2/2011)</t>
  </si>
  <si>
    <t>12 CP's x núm pav x núm torres 
Torre alta: 12CPs por pavimento
P/ pavimento &gt; 600m²: 12 CPs</t>
  </si>
  <si>
    <t>CONTROLE TECNOLÓGICO</t>
  </si>
  <si>
    <t>EPC''s'</t>
  </si>
  <si>
    <t>Concreto usinado bombeável, para piso, Fck 30MPa, abatimento 7 à 11cm, incluindo serviço de bombeamento</t>
  </si>
  <si>
    <t>Mão de obra para execução de piso de concreto armado</t>
  </si>
  <si>
    <t>Fabricação de forma para reservatório, em chapa de madeira compensada plastificada, 18mm</t>
  </si>
  <si>
    <t>Montagem e desmontagem de forma para reservatórios, em chapa de madeira compensada plastificada</t>
  </si>
  <si>
    <t>Lastro de concreto magro, aplicado em elementos de fundação, espessura 5 cm</t>
  </si>
  <si>
    <t xml:space="preserve">02.001.001.001 </t>
  </si>
  <si>
    <t xml:space="preserve">02.001.002.002 </t>
  </si>
  <si>
    <t>Concreto usinado bombeável, para infraestrutura, Fck 30MPa, incluindo serviço de bombeamento</t>
  </si>
  <si>
    <t>Serviços de Brocas, Estacas Mega e Complementos</t>
  </si>
  <si>
    <t xml:space="preserve">02.001.005.001 </t>
  </si>
  <si>
    <t>Mão de obra para execução de concreto armado em infraestrutura</t>
  </si>
  <si>
    <t>Escavação mecanizada para Instalação de Reservatórios e Caixas</t>
  </si>
  <si>
    <t>Reaterro mecanizado para blocos e baldrames</t>
  </si>
  <si>
    <t>Movimentação de terra para bota-fora de escavação</t>
  </si>
  <si>
    <t>FRETE DE VOLTA</t>
  </si>
  <si>
    <t>FRETE DE IDA</t>
  </si>
  <si>
    <t>ESCOR. / m2</t>
  </si>
  <si>
    <t>PERÍODO</t>
  </si>
  <si>
    <t>ÁREA</t>
  </si>
  <si>
    <t>PAVIMENTO</t>
  </si>
  <si>
    <t>DATA</t>
  </si>
  <si>
    <t xml:space="preserve">REVISÃO </t>
  </si>
  <si>
    <t>OBRA</t>
  </si>
  <si>
    <t>CLIENTE</t>
  </si>
  <si>
    <t>PLANILHA DE ESCORAMENTO</t>
  </si>
  <si>
    <t>Cobertura</t>
  </si>
  <si>
    <t>Escada 2</t>
  </si>
  <si>
    <t>Escada 1</t>
  </si>
  <si>
    <t>Arquibancada</t>
  </si>
  <si>
    <t>ESCORAMENTO</t>
  </si>
  <si>
    <t>FRETE / MÊS</t>
  </si>
  <si>
    <t>TOTAL / MÊS</t>
  </si>
  <si>
    <t>Escoras</t>
  </si>
  <si>
    <t>Barra de ancoragem - viga</t>
  </si>
  <si>
    <t>ÁREA FORMA</t>
  </si>
  <si>
    <t>UNIDADES</t>
  </si>
  <si>
    <t>UNIDADE</t>
  </si>
  <si>
    <t>BARRA DE ANCORAGEM</t>
  </si>
  <si>
    <t>EQ</t>
  </si>
  <si>
    <t>VIGA SANDUICHE</t>
  </si>
  <si>
    <t>Aprumador - PILAR</t>
  </si>
  <si>
    <t>Ed. Virgínia</t>
  </si>
  <si>
    <t xml:space="preserve">01.007.001.003 </t>
  </si>
  <si>
    <t xml:space="preserve">01.007.002.002 </t>
  </si>
  <si>
    <t>Lastro de material granular, aplicado em pisos, espessura 10 cm</t>
  </si>
  <si>
    <t xml:space="preserve">03.001.001.001 </t>
  </si>
  <si>
    <t>Fabricação de forma para lajes, em chapa de madeira compensada plastificada, 18 mm</t>
  </si>
  <si>
    <t xml:space="preserve">03.001.001.002 </t>
  </si>
  <si>
    <t xml:space="preserve">03.001.001.003 </t>
  </si>
  <si>
    <t xml:space="preserve">03.001.001.004 </t>
  </si>
  <si>
    <t>Montagem e desmontagem de forma para lajes, em chapa de madeira compensada plastificada, 18mm</t>
  </si>
  <si>
    <t xml:space="preserve">03.001.001.005 </t>
  </si>
  <si>
    <t>Montagem e desmontagem de forma para vigas, em chapa de madeira compensada plastificada, 18mm</t>
  </si>
  <si>
    <t xml:space="preserve">03.001.001.006 </t>
  </si>
  <si>
    <t>Montagem e desmontagem de forma para pilares, em chapa de madeira compensada plastificada, 18mm</t>
  </si>
  <si>
    <t>Fabricação de forma para escadas, em chapa de madeira compensada plastificada, 18 mm</t>
  </si>
  <si>
    <t>Montagem e desmontagem de forma para escadas em chapa de madeira compensada plastificada, 18 mm</t>
  </si>
  <si>
    <t>Montagem e desmontagem de forma para vigas, em chapa de madeira compensada plastificada, 18 mm</t>
  </si>
  <si>
    <t xml:space="preserve">03.005.001.001 </t>
  </si>
  <si>
    <t xml:space="preserve">03.006.001.001 </t>
  </si>
  <si>
    <t xml:space="preserve">03.006.001.002 </t>
  </si>
  <si>
    <t xml:space="preserve">03.006.002.001 </t>
  </si>
  <si>
    <t xml:space="preserve">03.006.002.002 </t>
  </si>
  <si>
    <t xml:space="preserve">03.006.002.003 </t>
  </si>
  <si>
    <t xml:space="preserve">03.006.002.004 </t>
  </si>
  <si>
    <t xml:space="preserve">03.006.002.005 </t>
  </si>
  <si>
    <t xml:space="preserve">03.006.003.001 </t>
  </si>
  <si>
    <t xml:space="preserve">03.006.004.001 </t>
  </si>
  <si>
    <t xml:space="preserve">03.007.001 </t>
  </si>
  <si>
    <t xml:space="preserve">03.007.001.001 </t>
  </si>
  <si>
    <t>Armação aço CA-60, tela soldada nervurada Q138 para supraestrutura, corte e dobra em obra</t>
  </si>
  <si>
    <t xml:space="preserve">03.007.002.001 </t>
  </si>
  <si>
    <t xml:space="preserve">03.007.003.001 </t>
  </si>
  <si>
    <t>Execução de junta de encontro com tarucel de polietileno expandido</t>
  </si>
  <si>
    <t xml:space="preserve">03.007.004.001 </t>
  </si>
  <si>
    <t>ESCORA</t>
  </si>
  <si>
    <t>ESCOR. / MÊS</t>
  </si>
  <si>
    <t>ANC. / MÊS</t>
  </si>
  <si>
    <t>Cobertura - viga</t>
  </si>
  <si>
    <t>Cobertura - pilar</t>
  </si>
  <si>
    <t>Arquibancada - viga</t>
  </si>
  <si>
    <t>Arquibancada - pilar</t>
  </si>
  <si>
    <t>Viga sanduiche</t>
  </si>
  <si>
    <t>VIG. / MÊS</t>
  </si>
  <si>
    <t>APRUMADOR</t>
  </si>
  <si>
    <t>APR. / MÊS</t>
  </si>
  <si>
    <t>PREÇO MEDIO POR MÊS</t>
  </si>
  <si>
    <t>Locação de Escoras metálicas e travamentos - Laje de Cobertura</t>
  </si>
  <si>
    <t>Locação de Escoras metálicas e travamentos - Escada Residencial</t>
  </si>
  <si>
    <t>Locação de Escoras metálicas e travamentos - Escada Comercial</t>
  </si>
  <si>
    <t>Locação de Escoras metálicas e travamentos - Arquibancada</t>
  </si>
  <si>
    <t xml:space="preserve">03.002.006 </t>
  </si>
  <si>
    <t>Alvenaria Estrutural</t>
  </si>
  <si>
    <t xml:space="preserve">03.002.006.001 </t>
  </si>
  <si>
    <t>Alvenaria estrutural de blocos de concreto (espessura 19cm) - 8MPa - Escada 1</t>
  </si>
  <si>
    <t xml:space="preserve">03.002.006.002 </t>
  </si>
  <si>
    <t>Graute para alvenaria estrutural - fgk 20MPa</t>
  </si>
  <si>
    <t>Armação aço CA-50, diâmetro de 10,0 mm para alvenaria estrutural, corte e dobra em indústria</t>
  </si>
  <si>
    <t>Armação aço CA-50, diâmetro de 12,5 mm para alvenaria estrutural, corte e dobra em indústria</t>
  </si>
  <si>
    <t>Gabarito de vão</t>
  </si>
  <si>
    <t>Mão de obra para execução de alvenaria estrutural</t>
  </si>
  <si>
    <t xml:space="preserve">03.003.006 </t>
  </si>
  <si>
    <t xml:space="preserve">03.003.006.001 </t>
  </si>
  <si>
    <t>Alvenaria estrutural de blocos de concreto (espessura 19cm) - 8MPa - Escada 2</t>
  </si>
  <si>
    <t xml:space="preserve">03.003.006.002 </t>
  </si>
  <si>
    <t xml:space="preserve">03.003.006.003 </t>
  </si>
  <si>
    <t xml:space="preserve">03.003.006.004 </t>
  </si>
  <si>
    <t xml:space="preserve">03.003.006.005 </t>
  </si>
  <si>
    <t>Paredes de Drywall</t>
  </si>
  <si>
    <t xml:space="preserve">04.001.003.001 </t>
  </si>
  <si>
    <t xml:space="preserve">un </t>
  </si>
  <si>
    <t xml:space="preserve">04 </t>
  </si>
  <si>
    <t xml:space="preserve">04.001 </t>
  </si>
  <si>
    <t xml:space="preserve">04.001.001 </t>
  </si>
  <si>
    <t xml:space="preserve">04.001.001.001 </t>
  </si>
  <si>
    <t xml:space="preserve">04.001.002 </t>
  </si>
  <si>
    <t xml:space="preserve">04.001.002.001 </t>
  </si>
  <si>
    <t xml:space="preserve">04.001.003 </t>
  </si>
  <si>
    <t xml:space="preserve">04.001.004 </t>
  </si>
  <si>
    <t xml:space="preserve">04.002 </t>
  </si>
  <si>
    <t>ESQUADRIAS</t>
  </si>
  <si>
    <t xml:space="preserve">04.002.001 </t>
  </si>
  <si>
    <t>Esquadrias de Madeira</t>
  </si>
  <si>
    <t xml:space="preserve">04.002.001.001 </t>
  </si>
  <si>
    <t>Porta de madeira de abrir 62x210cm, fixação com espuma expansiva</t>
  </si>
  <si>
    <t xml:space="preserve">04.002.001.002 </t>
  </si>
  <si>
    <t>Porta de madeira de abrir 72x210cm, fixação com espuma expansiva</t>
  </si>
  <si>
    <t>Porta de madeira de abrir 82x210cm, fixação com espuma expansiva</t>
  </si>
  <si>
    <t>Porta de madeira de abrir 92x210cm, fixação com espuma expansiva</t>
  </si>
  <si>
    <t>Fechadura de embutir com cilindro, interna - fornecimento e instalação</t>
  </si>
  <si>
    <t>Fechadura de embutir com cilindro, para banheiro - fornecimento e instalação</t>
  </si>
  <si>
    <t xml:space="preserve">04.002.002 </t>
  </si>
  <si>
    <t xml:space="preserve">04.002.003 </t>
  </si>
  <si>
    <t>Esquadrias de Aluminio Comercial - (Térreo e Mezanino)</t>
  </si>
  <si>
    <t xml:space="preserve">04.002.004 </t>
  </si>
  <si>
    <t>Esquadrias de Aluminio Comercial - (Cobertura)</t>
  </si>
  <si>
    <t xml:space="preserve">04.002.005 </t>
  </si>
  <si>
    <t>Mão de obra para instalação de portas de madeira</t>
  </si>
  <si>
    <t xml:space="preserve">05 </t>
  </si>
  <si>
    <t>COBERTURA E PROTEÇÕES</t>
  </si>
  <si>
    <t xml:space="preserve">05.001 </t>
  </si>
  <si>
    <t>COBERTURA</t>
  </si>
  <si>
    <t xml:space="preserve">05.001.001 </t>
  </si>
  <si>
    <t>Estrutura e trama para cobertura</t>
  </si>
  <si>
    <t xml:space="preserve">05.001.002 </t>
  </si>
  <si>
    <t>Telhamento para cobertura</t>
  </si>
  <si>
    <t xml:space="preserve">05.001.003 </t>
  </si>
  <si>
    <t>Serviços complementares</t>
  </si>
  <si>
    <t xml:space="preserve">05.001.004 </t>
  </si>
  <si>
    <t xml:space="preserve">05.002 </t>
  </si>
  <si>
    <t xml:space="preserve">05.002.001 </t>
  </si>
  <si>
    <t xml:space="preserve">05.002.001.001 </t>
  </si>
  <si>
    <t>Regularização com cimento, areia e aditivo</t>
  </si>
  <si>
    <t xml:space="preserve">05.002.001.002 </t>
  </si>
  <si>
    <t>Preparação da superfície com cimento, areia e aditivo</t>
  </si>
  <si>
    <t xml:space="preserve">05.002.001.003 </t>
  </si>
  <si>
    <t xml:space="preserve">05.002.002 </t>
  </si>
  <si>
    <t xml:space="preserve">05.002.002.001 </t>
  </si>
  <si>
    <t>Impermeabilização em banheiro, áreas técnicas, cozinhas, terraços (Locais I)</t>
  </si>
  <si>
    <t xml:space="preserve">05.002.003 </t>
  </si>
  <si>
    <t>impermeabilização com cristalizante</t>
  </si>
  <si>
    <t xml:space="preserve">05.002.003.001 </t>
  </si>
  <si>
    <t>Impermeabilização em poço de elevador (Local II)</t>
  </si>
  <si>
    <t xml:space="preserve">05.002.004 </t>
  </si>
  <si>
    <t>Impermeabilização com manta líquida</t>
  </si>
  <si>
    <t xml:space="preserve">05.002.004.001 </t>
  </si>
  <si>
    <t>Impermeabilização de peitoris</t>
  </si>
  <si>
    <t xml:space="preserve">05.002.005 </t>
  </si>
  <si>
    <t>Impermeabilização de reservatórios</t>
  </si>
  <si>
    <t xml:space="preserve">05.002.005.001 </t>
  </si>
  <si>
    <t>Impermeabilização de piso e paredes com cimento polimérico e resina acrílica termoplástica</t>
  </si>
  <si>
    <t xml:space="preserve">05.002.005.002 </t>
  </si>
  <si>
    <t>Tratamento de teto com argamassa polimérica</t>
  </si>
  <si>
    <t xml:space="preserve">05.002.006 </t>
  </si>
  <si>
    <t xml:space="preserve">05.002.006.001 </t>
  </si>
  <si>
    <t>Impermeabilização com manta asfáltica em arquibancadas, áreas comerciais, terraço e escadas (Local IV)</t>
  </si>
  <si>
    <t xml:space="preserve">05.002.006.002 </t>
  </si>
  <si>
    <t>Impermeabilização com manta asfáltica em cozinhas (Local V)</t>
  </si>
  <si>
    <t xml:space="preserve">05.002.006.003 </t>
  </si>
  <si>
    <t>Tratamento antiraiz em áreas verdes</t>
  </si>
  <si>
    <t xml:space="preserve">05.002.006.004 </t>
  </si>
  <si>
    <t>Filtro para áreas verdes</t>
  </si>
  <si>
    <t>Proteção mecânica com cimento e areia, espessura 3cm</t>
  </si>
  <si>
    <t>Mão de obra impermeabilização com argamassa polimérica</t>
  </si>
  <si>
    <t>Mão de obra impermeabilização de reservatório</t>
  </si>
  <si>
    <t>Mão de obra impermeabilização com manta asfáltica</t>
  </si>
  <si>
    <t>Mão de obra para tratamento de áreas verdes</t>
  </si>
  <si>
    <t xml:space="preserve">06 </t>
  </si>
  <si>
    <t>REVESTIMENTOS, FORROS, SERRALHERIAS, PINTURAS E TRATAMENTOS</t>
  </si>
  <si>
    <t xml:space="preserve">06.001 </t>
  </si>
  <si>
    <t>REVESTIMENTOS DE PAREDE</t>
  </si>
  <si>
    <t xml:space="preserve">06.001.001.001 </t>
  </si>
  <si>
    <t xml:space="preserve">06.001.002 </t>
  </si>
  <si>
    <t>Gesso liso</t>
  </si>
  <si>
    <t xml:space="preserve">06.001.003 </t>
  </si>
  <si>
    <t xml:space="preserve">06.001.003.001 </t>
  </si>
  <si>
    <t>Revestimento interno de parede em cerâmica Gail</t>
  </si>
  <si>
    <t>Revestimento interno de parede em pastilha Jatobá coleção natural 2,5x2,5</t>
  </si>
  <si>
    <t xml:space="preserve">06.001.005 </t>
  </si>
  <si>
    <t>Mão de obra para colocação e rejuntamento de revestimento cerâmico em parede</t>
  </si>
  <si>
    <t xml:space="preserve">06.002 </t>
  </si>
  <si>
    <t>FORROS</t>
  </si>
  <si>
    <t xml:space="preserve">06.002.001 </t>
  </si>
  <si>
    <t xml:space="preserve">06.002.001.001 </t>
  </si>
  <si>
    <t xml:space="preserve">06.002.001.002 </t>
  </si>
  <si>
    <t xml:space="preserve">06.002.002 </t>
  </si>
  <si>
    <t xml:space="preserve">06.002.002.001 </t>
  </si>
  <si>
    <t xml:space="preserve">06.002.003 </t>
  </si>
  <si>
    <t xml:space="preserve">06.002.003.001 </t>
  </si>
  <si>
    <t>Mão de obra para reboco interno, incluindo chapisco</t>
  </si>
  <si>
    <t xml:space="preserve">06.003 </t>
  </si>
  <si>
    <t>PINTURAS E TRATAMENTOS</t>
  </si>
  <si>
    <t xml:space="preserve">06.003.001 </t>
  </si>
  <si>
    <t xml:space="preserve">06.003.001.001 </t>
  </si>
  <si>
    <t>Pintura com tinta hidrofugante, aplicação manual, 2 demãos, em concreto aparente</t>
  </si>
  <si>
    <t xml:space="preserve">06.003.002 </t>
  </si>
  <si>
    <t xml:space="preserve">06.003.002.001 </t>
  </si>
  <si>
    <t xml:space="preserve">06.003.002.002 </t>
  </si>
  <si>
    <t xml:space="preserve">06.003.003 </t>
  </si>
  <si>
    <t>Pinturas diversas</t>
  </si>
  <si>
    <t xml:space="preserve">06.003.005 </t>
  </si>
  <si>
    <t xml:space="preserve">06.003.005.001 </t>
  </si>
  <si>
    <t>Mão de obra para pintura com tinta hidrofugante</t>
  </si>
  <si>
    <t xml:space="preserve">06.003.005.002 </t>
  </si>
  <si>
    <t xml:space="preserve">06.004 </t>
  </si>
  <si>
    <t>SERRALHERIA</t>
  </si>
  <si>
    <t xml:space="preserve">06.004.001 </t>
  </si>
  <si>
    <t>Serralheria de Ferro</t>
  </si>
  <si>
    <t xml:space="preserve">06.004.002 </t>
  </si>
  <si>
    <t xml:space="preserve">06.004.003 </t>
  </si>
  <si>
    <t>Porta Corta-Fogo</t>
  </si>
  <si>
    <t xml:space="preserve">07 </t>
  </si>
  <si>
    <t>PAVIMENTAÇÃO</t>
  </si>
  <si>
    <t xml:space="preserve">07.001 </t>
  </si>
  <si>
    <t>REVESTIMENTOS EM PISO</t>
  </si>
  <si>
    <t xml:space="preserve">07.001.001 </t>
  </si>
  <si>
    <t xml:space="preserve">07.001.001.001 </t>
  </si>
  <si>
    <t xml:space="preserve">07.001.002 </t>
  </si>
  <si>
    <t xml:space="preserve">07.001.003 </t>
  </si>
  <si>
    <t xml:space="preserve">07.001.003.001 </t>
  </si>
  <si>
    <t>Revestimento interno de piso em cerâmica Gail</t>
  </si>
  <si>
    <t xml:space="preserve">07.001.003.002 </t>
  </si>
  <si>
    <t>Revestimento interno de piso em ladrilho hidráulico texturizado</t>
  </si>
  <si>
    <t xml:space="preserve">07.001.003.003 </t>
  </si>
  <si>
    <t>Revestimento interno de piso em pastilha porcelana</t>
  </si>
  <si>
    <t xml:space="preserve">07.001.003.004 </t>
  </si>
  <si>
    <t>Revestimento interno de piso em cerâmica Jatobá coleção natural 2,5x2,5</t>
  </si>
  <si>
    <t xml:space="preserve">07.001.003.005 </t>
  </si>
  <si>
    <t>Revestimento interno de piso em cerâmica</t>
  </si>
  <si>
    <t xml:space="preserve">07.001.003.006 </t>
  </si>
  <si>
    <t>Revestimento interno de piso em cerâmica vermelha sextavada São Caetano</t>
  </si>
  <si>
    <t xml:space="preserve">07.001.003.007 </t>
  </si>
  <si>
    <t>Restauração de revestimento interno de piso em cerâmica</t>
  </si>
  <si>
    <t xml:space="preserve">07.001.004 </t>
  </si>
  <si>
    <t xml:space="preserve">07.001.004.001 </t>
  </si>
  <si>
    <t>Revestimento interno piso de taco de madeira</t>
  </si>
  <si>
    <t>Restauração de revestimento interno piso de taco de madeira</t>
  </si>
  <si>
    <t xml:space="preserve">07.001.005 </t>
  </si>
  <si>
    <t xml:space="preserve">07.001.006 </t>
  </si>
  <si>
    <t xml:space="preserve">07.001.006.001 </t>
  </si>
  <si>
    <t xml:space="preserve">07.001.007 </t>
  </si>
  <si>
    <t xml:space="preserve">07.001.007.001 </t>
  </si>
  <si>
    <t>Rodapé em cerâmica Gail</t>
  </si>
  <si>
    <t xml:space="preserve">07.001.007.002 </t>
  </si>
  <si>
    <t>Rodapé em madeira</t>
  </si>
  <si>
    <t xml:space="preserve">07.001.008 </t>
  </si>
  <si>
    <t xml:space="preserve">07.001.008.001 </t>
  </si>
  <si>
    <t xml:space="preserve">07.001.009 </t>
  </si>
  <si>
    <t xml:space="preserve">07.001.009.001 </t>
  </si>
  <si>
    <t xml:space="preserve">07.001.009.002 </t>
  </si>
  <si>
    <t>Mão de obra para colocação e rejuntamento de revestimento cerâmico em piso</t>
  </si>
  <si>
    <t>Parede com sistema de chapas de Drywall 70mm, placa standart (70/S)</t>
  </si>
  <si>
    <t>Parede com sistema de chapas de Drywall 70mm, placa standart e resistente à umidade (70/SU)</t>
  </si>
  <si>
    <t>Parede com sistema de chapas de Drywall 70mm, placa resistente à umidade (70/U)</t>
  </si>
  <si>
    <t>Parede com sistema de chapas de Drywall duplo 70mm, placa standart e resistente à umidade (U/70/S)</t>
  </si>
  <si>
    <t>Parede com sistema de chapas de Drywall duplo 70mm, plac resistente à umidade (U/70/U)</t>
  </si>
  <si>
    <t>Parede com sistema de chapas de Drywall duplo 70mm, placa standart  (S/70/S)</t>
  </si>
  <si>
    <t>Parede com sistema de chapas de Drywall duplo 70mm, com Isolamento Acústico, placa dupla standart  (2S/70/2S)</t>
  </si>
  <si>
    <t>Parede com sistema de chapas de Drywall duplo 70mm, com Isolamento Acústico, placa dupla standart e resistente á umidade (US/70/2S)</t>
  </si>
  <si>
    <t>Parede com sistema de chapas de Drywall duplo 70mm, com Isolamento Acústico, placa dupla resistente á umidade (US/70/US)</t>
  </si>
  <si>
    <t>Parede com sistema de chapas de Drywall 48mm, com Isolamento Acústico, placa dupla standart (48/2S)</t>
  </si>
  <si>
    <t>Parede com sistema de chapas de Drywall 48mm, placa standart (48/S)</t>
  </si>
  <si>
    <t>Parede com sistema de chapas de Drywall 48mm, com Isolamento Acústico, placa standart e resistente à umidade (48/SU)</t>
  </si>
  <si>
    <t>Porta de madeira dupla de abrir 140x210cm, fixação com espuma expansiva</t>
  </si>
  <si>
    <t>Porta de madeira dupla de abrir 120x210cm, fixação com espuma expansiva</t>
  </si>
  <si>
    <t>Mão de obra para instalação de paredes com placa drywall</t>
  </si>
  <si>
    <t>Telhamento de cobertura com telha termonacústica</t>
  </si>
  <si>
    <t>Rufo externo em chapa de aço galvanizado, aplicação em platibandas</t>
  </si>
  <si>
    <t>Mão de obra para execução de rufo externo em platibandas</t>
  </si>
  <si>
    <t>Mão de obra para pintura com tinta acrílica sobre argamassa</t>
  </si>
  <si>
    <t>Mão de obra para pintura com tinta acrílica sobre gesso</t>
  </si>
  <si>
    <t>Forro de gesso acartonado em banheiros</t>
  </si>
  <si>
    <t>Forro de gesso acartonado em cozinhas</t>
  </si>
  <si>
    <t>Sanca de gesso acartonado</t>
  </si>
  <si>
    <t>Forro de gesso acartonado em áreas internas</t>
  </si>
  <si>
    <t>Regularização de concreto acabado</t>
  </si>
  <si>
    <t>Mão de obra para colocação e rejuntamento de pastilha cerâmica em piso</t>
  </si>
  <si>
    <t>Extraído do modelo</t>
  </si>
  <si>
    <t>Pintura de Tubulações - (MAT + MDO)</t>
  </si>
  <si>
    <t>Pintura sobre Esquadrias de Ferro - (MAT + MDO)</t>
  </si>
  <si>
    <t xml:space="preserve">Pintura Portas de Madeira da Entrada </t>
  </si>
  <si>
    <t xml:space="preserve">04.001.001.002 </t>
  </si>
  <si>
    <t xml:space="preserve">04.001.001.003 </t>
  </si>
  <si>
    <t xml:space="preserve">04.001.002.002 </t>
  </si>
  <si>
    <t xml:space="preserve">04.001.002.003 </t>
  </si>
  <si>
    <t xml:space="preserve">04.001.002.004 </t>
  </si>
  <si>
    <t xml:space="preserve">04.001.002.005 </t>
  </si>
  <si>
    <t xml:space="preserve">04.001.002.006 </t>
  </si>
  <si>
    <t xml:space="preserve">04.001.002.007 </t>
  </si>
  <si>
    <t xml:space="preserve">04.001.002.008 </t>
  </si>
  <si>
    <t xml:space="preserve">04.001.002.009 </t>
  </si>
  <si>
    <t xml:space="preserve">04.001.002.010 </t>
  </si>
  <si>
    <t xml:space="preserve">04.001.002.011 </t>
  </si>
  <si>
    <t xml:space="preserve">04.001.002.012 </t>
  </si>
  <si>
    <t>Verga/Contraverga de Concreto moldada in loco</t>
  </si>
  <si>
    <t xml:space="preserve">04.001.003.002 </t>
  </si>
  <si>
    <t xml:space="preserve">04.001.003.003 </t>
  </si>
  <si>
    <t xml:space="preserve">04.001.004.001 </t>
  </si>
  <si>
    <t xml:space="preserve">04.001.004.002 </t>
  </si>
  <si>
    <t xml:space="preserve">04.002.001.003 </t>
  </si>
  <si>
    <t xml:space="preserve">04.002.001.004 </t>
  </si>
  <si>
    <t xml:space="preserve">04.002.001.005 </t>
  </si>
  <si>
    <t xml:space="preserve">04.002.001.006 </t>
  </si>
  <si>
    <t xml:space="preserve">04.002.001.007 </t>
  </si>
  <si>
    <t xml:space="preserve">04.002.001.008 </t>
  </si>
  <si>
    <t>Esquadrias de Aluminio Residencial</t>
  </si>
  <si>
    <t xml:space="preserve">04.002.002.005 </t>
  </si>
  <si>
    <t>Janela com caixilho translúcido 2 folhas, de correr em vidro transparente e bandeira superior maximar em vidro translúcido - 2 x 2,45 m</t>
  </si>
  <si>
    <t xml:space="preserve">04.002.002.006 </t>
  </si>
  <si>
    <t>Janela com caixilho translúcido 3 folhas, de correr em vidro transparente e bandeira superior maximar em vidro translúcido - 2,35 x 2,45 m</t>
  </si>
  <si>
    <t xml:space="preserve">04.002.002.007 </t>
  </si>
  <si>
    <t>Janela com caixilho 4 folhas, 3 inferiores fixas e superior pivotante ou maximar. vidro translúcido. - 0,73 x 1,03 m</t>
  </si>
  <si>
    <t xml:space="preserve">04.002.002.008 </t>
  </si>
  <si>
    <t>Janela com caixilho translúcido 2 folhas, de correr em vidro transparente e bandeira superior maximar em vidro translúcido com persiana de enrolar por trás - 2,53 x 2,45 m</t>
  </si>
  <si>
    <t xml:space="preserve">04.002.002.009 </t>
  </si>
  <si>
    <t>Janela com caixilho 2 folhas de correr em vidro transparente e bandeira superior fixa em vidro translúcido com persiana de enrolar por trás - 1,7 x 2,45 m</t>
  </si>
  <si>
    <t xml:space="preserve">04.002.002.010 </t>
  </si>
  <si>
    <t>Janela com caixilho 2 folhas de correr em vidro transparente e bandeira superior fixa em vidro translúcido com persiana de enrolar por trás - 2 x 2,45 m</t>
  </si>
  <si>
    <t xml:space="preserve">04.002.002.011 </t>
  </si>
  <si>
    <t>Janela com caixilho 2 folhas de correr em vidro transparente e bandeira inferior fixa em vidro transparente - 1,8 x 1,75 m</t>
  </si>
  <si>
    <t xml:space="preserve">04.002.002.012 </t>
  </si>
  <si>
    <t>Janela com caixilho 7 folhas. 5 inferiores fixas e 2 superiores pivotantes/maximar, todas em vidro translúcido. - 0,85 x 1,75 m</t>
  </si>
  <si>
    <t xml:space="preserve">04.002.002.013 </t>
  </si>
  <si>
    <t>Janela com caixilho folha superior maximar e bandeira inferior fixa em vidro transparente. - 1,1 x 1,75 m</t>
  </si>
  <si>
    <t xml:space="preserve">04.002.002.014 </t>
  </si>
  <si>
    <t>Janela com caixilho 2 folhas de correr em vidro transparente e bandeira superior maximar e transparente - 0,85 x 1,27 m</t>
  </si>
  <si>
    <t xml:space="preserve">04.002.002.015 </t>
  </si>
  <si>
    <t>Janela com caixilho 2 folhas de correr em vidro transparente e bandeira superior maximar e transparente - 0,99 x 127 m</t>
  </si>
  <si>
    <t xml:space="preserve">04.002.002.016 </t>
  </si>
  <si>
    <t>Janela com caixilho 1 folha de abrir e bandeira superior pivotante/maximar, todas em vidro translúcido. - 0,87 x 2,45 m</t>
  </si>
  <si>
    <t xml:space="preserve">04.002.002.017 </t>
  </si>
  <si>
    <t>Janela com caixilho 5 folhas. inferior fixa e 4 superiores pivotantes/maximar, todas em vidro translúcido. - 0,99 x 1,27 m</t>
  </si>
  <si>
    <t xml:space="preserve">04.002.002.018 </t>
  </si>
  <si>
    <t>Janela com caixilho 5 folhas. inferior fixa e 4 superiores pivotantes/maximar, todas em vidro translúcido. - 1,1 x 1,27 m</t>
  </si>
  <si>
    <t xml:space="preserve">04.002.002.019 </t>
  </si>
  <si>
    <t>Janela com especificação caixilho 2 folhas de correr em vidro transparente e bandeira superior maximar em vidro translúcido - 1,8 x 1,27 m</t>
  </si>
  <si>
    <t xml:space="preserve">04.002.002.020 </t>
  </si>
  <si>
    <t>Janela com caixilho 6 folhas. 2 inferiores fixas e 4 superiores pivotantes/maximar. todas em vidro transparente - 1 x 1,51 m</t>
  </si>
  <si>
    <t xml:space="preserve">04.002.003.001 </t>
  </si>
  <si>
    <t xml:space="preserve">04.002.004.001 </t>
  </si>
  <si>
    <t xml:space="preserve">04.002.004.002 </t>
  </si>
  <si>
    <t xml:space="preserve">04.002.004.003 </t>
  </si>
  <si>
    <t>Contrapiso comum em argamassa autonivelante, espessura 3cm</t>
  </si>
  <si>
    <t xml:space="preserve">07.001.002.001 </t>
  </si>
  <si>
    <t xml:space="preserve">07.001.004.002 </t>
  </si>
  <si>
    <t xml:space="preserve">07.001.005.001 </t>
  </si>
  <si>
    <t>Revestimento de piso esportivo de borracha reciclada - academia</t>
  </si>
  <si>
    <t>Soleira em granito, acabamento polido, largura 35cm</t>
  </si>
  <si>
    <t>Mão de obra para colocação de piso de taco</t>
  </si>
  <si>
    <t>Mão de obra para colocação de rodapé em madeira</t>
  </si>
  <si>
    <t>Mão de obra para colocação de rodapé em porcelanato</t>
  </si>
  <si>
    <t>Mão de obra para execução de contrapiso e regularização</t>
  </si>
  <si>
    <t xml:space="preserve">08 </t>
  </si>
  <si>
    <t>INSTALAÇÕES E APARELHOS</t>
  </si>
  <si>
    <t xml:space="preserve">08.001 </t>
  </si>
  <si>
    <t>SISTEMAS E INSTALAÇÕES HIDROSSANITÁRIAS E DRENAGEM</t>
  </si>
  <si>
    <t xml:space="preserve">08.001.001 </t>
  </si>
  <si>
    <t>Instalações de água fria</t>
  </si>
  <si>
    <t xml:space="preserve">08.001.001.001 </t>
  </si>
  <si>
    <t xml:space="preserve">08.001.002 </t>
  </si>
  <si>
    <t>Instalações de água quente</t>
  </si>
  <si>
    <t xml:space="preserve">08.001.002.001 </t>
  </si>
  <si>
    <t xml:space="preserve">08.001.003 </t>
  </si>
  <si>
    <t>Instalações de esgoto e pluviais</t>
  </si>
  <si>
    <t xml:space="preserve">08.001.003.001 </t>
  </si>
  <si>
    <t xml:space="preserve">08.001.004 </t>
  </si>
  <si>
    <t xml:space="preserve">08.001.005 </t>
  </si>
  <si>
    <t>Reservatórios</t>
  </si>
  <si>
    <t xml:space="preserve">08.001.005.001 </t>
  </si>
  <si>
    <t>Reservatórios de água quente</t>
  </si>
  <si>
    <t xml:space="preserve">08.001.006 </t>
  </si>
  <si>
    <t>Sistema de bombas</t>
  </si>
  <si>
    <t>Mão de obra de instalações hidráulicas</t>
  </si>
  <si>
    <t xml:space="preserve">08.002 </t>
  </si>
  <si>
    <t>SISTEMAS E INSTALAÇÕES ELÉTRICAS</t>
  </si>
  <si>
    <t xml:space="preserve">08.002.001 </t>
  </si>
  <si>
    <t>Entrada de Energia</t>
  </si>
  <si>
    <t xml:space="preserve">08.002.001.001 </t>
  </si>
  <si>
    <t xml:space="preserve">08.002.002 </t>
  </si>
  <si>
    <t>Grupo gerador</t>
  </si>
  <si>
    <t xml:space="preserve">08.002.002.001 </t>
  </si>
  <si>
    <t xml:space="preserve">08.002.003 </t>
  </si>
  <si>
    <t>Quadros elétricos e disjuntores</t>
  </si>
  <si>
    <t xml:space="preserve">08.002.003.001 </t>
  </si>
  <si>
    <t xml:space="preserve">08.002.004 </t>
  </si>
  <si>
    <t>Eletrodutos e eletrocalhas</t>
  </si>
  <si>
    <t xml:space="preserve">08.002.004.001 </t>
  </si>
  <si>
    <t xml:space="preserve">08.002.005 </t>
  </si>
  <si>
    <t>Fios e cabos elétricos</t>
  </si>
  <si>
    <t xml:space="preserve">08.002.005.001 </t>
  </si>
  <si>
    <t xml:space="preserve">08.002.006 </t>
  </si>
  <si>
    <t>Pontos de tomadas e interruptores</t>
  </si>
  <si>
    <t xml:space="preserve">08.002.006.001 </t>
  </si>
  <si>
    <t xml:space="preserve">08.002.007 </t>
  </si>
  <si>
    <t xml:space="preserve">Luminárias, lâmpadas e acessórios </t>
  </si>
  <si>
    <t xml:space="preserve">08.002.007.001 </t>
  </si>
  <si>
    <t>Luminárias, lâmpadas e acessórios</t>
  </si>
  <si>
    <t xml:space="preserve">08.002.008 </t>
  </si>
  <si>
    <t xml:space="preserve">08.002.008.001 </t>
  </si>
  <si>
    <t>Mão de obra de instalações elétricas</t>
  </si>
  <si>
    <t xml:space="preserve">08.003 </t>
  </si>
  <si>
    <t>INSTALAÇÕES PREVENTIVAS</t>
  </si>
  <si>
    <t xml:space="preserve">08.003.001 </t>
  </si>
  <si>
    <t xml:space="preserve">08.003.001.001 </t>
  </si>
  <si>
    <t xml:space="preserve">08.003.002 </t>
  </si>
  <si>
    <t>Sinalização de emergência e extintores</t>
  </si>
  <si>
    <t xml:space="preserve">08.003.002.001 </t>
  </si>
  <si>
    <t xml:space="preserve">08.003.004 </t>
  </si>
  <si>
    <t>Central de Alarmes</t>
  </si>
  <si>
    <t xml:space="preserve">08.003.004.001 </t>
  </si>
  <si>
    <t xml:space="preserve">08.003.005 </t>
  </si>
  <si>
    <t xml:space="preserve">08.003.005.001 </t>
  </si>
  <si>
    <t>Sistema de bombas preventivas</t>
  </si>
  <si>
    <t>Mão de obra de instalações preventivas</t>
  </si>
  <si>
    <t xml:space="preserve">08.004 </t>
  </si>
  <si>
    <t>INSTALAÇÕES DE COMUNICAÇÕES</t>
  </si>
  <si>
    <t xml:space="preserve">08.004.001 </t>
  </si>
  <si>
    <t>Instalações de comunicações</t>
  </si>
  <si>
    <t xml:space="preserve">08.004.001.001 </t>
  </si>
  <si>
    <t>Instalações de telecomunicações</t>
  </si>
  <si>
    <t xml:space="preserve">08.004.002 </t>
  </si>
  <si>
    <t xml:space="preserve">08.004.002.001 </t>
  </si>
  <si>
    <t>Mão de obra de telecomunicações</t>
  </si>
  <si>
    <t xml:space="preserve">08.005 </t>
  </si>
  <si>
    <t>EQUIPAMENTOS E SISTEMAS ESPECIAIS</t>
  </si>
  <si>
    <t xml:space="preserve">08.005.001 </t>
  </si>
  <si>
    <t>Elevadores</t>
  </si>
  <si>
    <t xml:space="preserve">08.005.001.001 </t>
  </si>
  <si>
    <t xml:space="preserve">08.005.002 </t>
  </si>
  <si>
    <t>Sistema fotovoltáico</t>
  </si>
  <si>
    <t xml:space="preserve">08.005.003 </t>
  </si>
  <si>
    <t>Outros sistemas</t>
  </si>
  <si>
    <t xml:space="preserve">08.006 </t>
  </si>
  <si>
    <t>CLIMATIZAÇÃO, EXAUSTÃO MECÂNICA E PRESSURIZAÇÃO</t>
  </si>
  <si>
    <t xml:space="preserve">08.006.001 </t>
  </si>
  <si>
    <t>Climatização e Exaustão</t>
  </si>
  <si>
    <t xml:space="preserve">08.006.001.001 </t>
  </si>
  <si>
    <t>Sistema de climatização e exaustão mecânica</t>
  </si>
  <si>
    <t xml:space="preserve">08.006.002 </t>
  </si>
  <si>
    <t>Pressurização das escadas</t>
  </si>
  <si>
    <t xml:space="preserve">08.006.002.001 </t>
  </si>
  <si>
    <t xml:space="preserve">08.007 </t>
  </si>
  <si>
    <t xml:space="preserve">08.007.001 </t>
  </si>
  <si>
    <t xml:space="preserve">08.007.001.001 </t>
  </si>
  <si>
    <t xml:space="preserve">08.007.002 </t>
  </si>
  <si>
    <t xml:space="preserve">08.007.002.001 </t>
  </si>
  <si>
    <t xml:space="preserve">08.007.003 </t>
  </si>
  <si>
    <t xml:space="preserve">08.007.003.001 </t>
  </si>
  <si>
    <t xml:space="preserve">08.007.004 </t>
  </si>
  <si>
    <t xml:space="preserve">08.007.004.001 </t>
  </si>
  <si>
    <t>Mão de obra de louças e metais</t>
  </si>
  <si>
    <t xml:space="preserve">09 </t>
  </si>
  <si>
    <t>COMPLEMENTAÇÃO DA OBRA</t>
  </si>
  <si>
    <t xml:space="preserve">09.001 </t>
  </si>
  <si>
    <t xml:space="preserve">09.001.001 </t>
  </si>
  <si>
    <t xml:space="preserve">09.001.002 </t>
  </si>
  <si>
    <t xml:space="preserve">09.001.002.001 </t>
  </si>
  <si>
    <t xml:space="preserve">09.001.003 </t>
  </si>
  <si>
    <t xml:space="preserve">09.001.003.001 </t>
  </si>
  <si>
    <t xml:space="preserve">09.001.004 </t>
  </si>
  <si>
    <t>Calafete e Limpeza</t>
  </si>
  <si>
    <t xml:space="preserve">09.001.004.001 </t>
  </si>
  <si>
    <t>Limpeza Final da Obra - Áreas Comuns</t>
  </si>
  <si>
    <t xml:space="preserve">09.001.004.002 </t>
  </si>
  <si>
    <t>Limpeza Final da Obra - Apartamentos</t>
  </si>
  <si>
    <t xml:space="preserve">09.001.004.003 </t>
  </si>
  <si>
    <t>Desmonte do Canteiro de Obras</t>
  </si>
  <si>
    <t xml:space="preserve">09.001.005 </t>
  </si>
  <si>
    <t>Ligações Definitivas e Certidões</t>
  </si>
  <si>
    <t xml:space="preserve">09.001.005.001 </t>
  </si>
  <si>
    <t>Cavalete e Registro de Água</t>
  </si>
  <si>
    <t>Verba para Complemento de CND do ISS</t>
  </si>
  <si>
    <t>Verba para Complemento de CND do INSS</t>
  </si>
  <si>
    <t xml:space="preserve">09.001.006 </t>
  </si>
  <si>
    <t>Recebimento da Obra</t>
  </si>
  <si>
    <t xml:space="preserve">09.001.006.001 </t>
  </si>
  <si>
    <t>Atestado de Qualidade da Água</t>
  </si>
  <si>
    <t xml:space="preserve">09.001.006.002 </t>
  </si>
  <si>
    <t>Higienização das Caixas D'Água</t>
  </si>
  <si>
    <t>Limpeza de Dutos, Tubos, Caixas de Passagem com Rotto Rooster</t>
  </si>
  <si>
    <t xml:space="preserve">09.001.007 </t>
  </si>
  <si>
    <t>Despesas Eventuais</t>
  </si>
  <si>
    <t xml:space="preserve">09.001.007.001 </t>
  </si>
  <si>
    <t>Imprevistos Diversos</t>
  </si>
  <si>
    <t xml:space="preserve">08.001.004.001 </t>
  </si>
  <si>
    <t xml:space="preserve">08.001.004.002 </t>
  </si>
  <si>
    <t>Reservatórios enterrados</t>
  </si>
  <si>
    <t xml:space="preserve">08.001.004.003 </t>
  </si>
  <si>
    <t>Caixas de inspeção</t>
  </si>
  <si>
    <t xml:space="preserve">08.001.006.001 </t>
  </si>
  <si>
    <t>Hidrantes e sprinklers</t>
  </si>
  <si>
    <t xml:space="preserve">08.003.003 </t>
  </si>
  <si>
    <t xml:space="preserve">08.003.003.001 </t>
  </si>
  <si>
    <t xml:space="preserve">08.004.001.002 </t>
  </si>
  <si>
    <t>Sistema de CFTV</t>
  </si>
  <si>
    <t xml:space="preserve">08.004.001.003 </t>
  </si>
  <si>
    <t>Sistema de alarme perimetal</t>
  </si>
  <si>
    <t xml:space="preserve">08.004.001.004 </t>
  </si>
  <si>
    <t>Sistema de controle de acesso</t>
  </si>
  <si>
    <t>Plataforma PCD</t>
  </si>
  <si>
    <t>Sistema Fotovoltaico Cobertura Face Norte - (Instalado)</t>
  </si>
  <si>
    <t>Sistema de Tratamento de Águas Cinzas - (Instalado)</t>
  </si>
  <si>
    <t>Comunicação visual</t>
  </si>
  <si>
    <t>Equipamentos de ar condicionado em áreas comuns</t>
  </si>
  <si>
    <t>Gesso desempenado em paredes, aplicação manual</t>
  </si>
  <si>
    <t>Mão de obra para gesso desempenado</t>
  </si>
  <si>
    <t>Mão de obra para colocação e rejuntamento de pastilha em parede</t>
  </si>
  <si>
    <t>Revestimento interno/externo de parede em pastilha porcelana</t>
  </si>
  <si>
    <t>Restauração de revestimento interno/externo de parede em pastilha porcelana</t>
  </si>
  <si>
    <t>Revestimento Argamassado</t>
  </si>
  <si>
    <t>Contramarco</t>
  </si>
  <si>
    <t>Execução de contramarco de esquadrias de alumínio</t>
  </si>
  <si>
    <t>Corrimão</t>
  </si>
  <si>
    <t>Mão de obra para impermeabilização de poço de elevador com cristalizante</t>
  </si>
  <si>
    <t>Corrimão em alumínio</t>
  </si>
  <si>
    <t>04.002.007</t>
  </si>
  <si>
    <t>Mão de obra para instalação de corrimão de alumínio</t>
  </si>
  <si>
    <t>Chapisco de argamassa preparada em obra de cimento e areia traço 1:4 - aplicação em paredes externas</t>
  </si>
  <si>
    <t>Massa unica para reboco em argamassa estabilizada - espessura de 20mm</t>
  </si>
  <si>
    <t>Pintura com tinta látex acrílica em paredes externas, aplicação manual 2 demãos</t>
  </si>
  <si>
    <t>Pintura com tinta látex em teto, acabamento fosco, aplicação manual, 3 demãos, incluindo 1 demão de selador</t>
  </si>
  <si>
    <t>Pintura com tinta látex em gesso, acabamento fosco, aplicação manual, 3 demãos, incluindo 1 demão de selador e massa corrida</t>
  </si>
  <si>
    <t>Pintura com tinta látex PVA em poços dos elevadores, 2 demãos</t>
  </si>
  <si>
    <t>Execução de contramarco de porta corta-fogo</t>
  </si>
  <si>
    <t>Baguetes banhos, largura 5cm</t>
  </si>
  <si>
    <t>Adicionado verba prevista em orçamento enviado devido ausencia de previsão em projeto</t>
  </si>
  <si>
    <t>Adicionado verba prevista em orçamento enviado</t>
  </si>
  <si>
    <t>Acessos/Passeios com bloco intertravado</t>
  </si>
  <si>
    <t>Serviços complementares de áreas comerciais</t>
  </si>
  <si>
    <t>QUANTIFICAÇÃO</t>
  </si>
  <si>
    <t>Caixas hidrossanitário e drenagem</t>
  </si>
  <si>
    <t>Caixas de Inspeção</t>
  </si>
  <si>
    <t>Descrição Tamanho</t>
  </si>
  <si>
    <t>Lado a</t>
  </si>
  <si>
    <t>Lado b</t>
  </si>
  <si>
    <t>Altura</t>
  </si>
  <si>
    <t>Impermeabilização (m²)</t>
  </si>
  <si>
    <t>CAIXA</t>
  </si>
  <si>
    <t>Caixa de gordura - 120L</t>
  </si>
  <si>
    <t>CIE</t>
  </si>
  <si>
    <t>0,8 x 0,8 x 0,55</t>
  </si>
  <si>
    <t>0,8 x 0,8 x 0,6</t>
  </si>
  <si>
    <t>0,8 x 0,8 x 1</t>
  </si>
  <si>
    <t>0,8 x 0,8 x 0,65</t>
  </si>
  <si>
    <t>0,8 X 0,8</t>
  </si>
  <si>
    <t>CIAP</t>
  </si>
  <si>
    <t>0,8 x 0,8 x 0,8</t>
  </si>
  <si>
    <t>0,8 x 0,8 x 0,75</t>
  </si>
  <si>
    <t>0,8 x 0,8 x 0,7</t>
  </si>
  <si>
    <t>0,8 x 0,8 x 0,9</t>
  </si>
  <si>
    <t>0,8 x 0,8 x 1,1</t>
  </si>
  <si>
    <t>0,8 x 0,8 x 1,2</t>
  </si>
  <si>
    <t>0,8 x 0,8 x 0,85</t>
  </si>
  <si>
    <t>Reservatorio aguas pluviais - 10m³</t>
  </si>
  <si>
    <t>ESGOTO</t>
  </si>
  <si>
    <t>AGUA FRIA</t>
  </si>
  <si>
    <t>Reservatório modular</t>
  </si>
  <si>
    <t>2,7 x 4,8 x 2,4</t>
  </si>
  <si>
    <t>1,2 x 2,4 x 0,8</t>
  </si>
  <si>
    <t>Ciaxa de inspeção esgtoto sabão</t>
  </si>
  <si>
    <t>Reservatório modular 1</t>
  </si>
  <si>
    <t>Reservatório modular 2</t>
  </si>
  <si>
    <t>Custo Unitário</t>
  </si>
  <si>
    <t>Verba prevista para complementação de reforços ainda em análise</t>
  </si>
  <si>
    <t>Adicionado verba prevista em orçamento enviado R10, por ausência de detalhamentos</t>
  </si>
  <si>
    <t>Consideração de 2 jogos de forma</t>
  </si>
  <si>
    <t>Pintura com tinta látex PVA em paredes internas, aplicação manual 2 demãos, incluindo 1 demão de selador e massa corrida</t>
  </si>
  <si>
    <t>CUSTO UNITÁRIO</t>
  </si>
  <si>
    <t>QUNATIDADE TOTAL</t>
  </si>
  <si>
    <t>Tampa (un)</t>
  </si>
  <si>
    <t>Alvenaria (m²)</t>
  </si>
  <si>
    <t>Ed Virgínia</t>
  </si>
  <si>
    <t>Escada Marinheiro em Ferro - (MAT + MDO)</t>
  </si>
  <si>
    <t>Quantidade identificada em orçamento enviado (R10) por ausência de detalhamento</t>
  </si>
  <si>
    <t xml:space="preserve">Porta Pantográfica - (Térreo e 1º Pavimento) </t>
  </si>
  <si>
    <t>Esquadria Fixa com Bandeira superior</t>
  </si>
  <si>
    <t>Esquadria de alumínio Restaurante</t>
  </si>
  <si>
    <t>Guarda-corpo em alumínio e vidro h=110cm</t>
  </si>
  <si>
    <t>Guarda-corpo em alumínio e vidro h=60cm</t>
  </si>
  <si>
    <t>Guarda-corpo em alumínio e vidro h=50cm</t>
  </si>
  <si>
    <t>04.002.002.021</t>
  </si>
  <si>
    <t xml:space="preserve">01.001.001.007 </t>
  </si>
  <si>
    <t xml:space="preserve">01.001.001.008 </t>
  </si>
  <si>
    <t xml:space="preserve">01.001.001.009 </t>
  </si>
  <si>
    <t xml:space="preserve">01.001.001.010 </t>
  </si>
  <si>
    <t xml:space="preserve">01.003.002.003 </t>
  </si>
  <si>
    <t xml:space="preserve">01.003.002.004 </t>
  </si>
  <si>
    <t xml:space="preserve">01.003.002.005 </t>
  </si>
  <si>
    <t xml:space="preserve">01.004.001.003 </t>
  </si>
  <si>
    <t>Elaboração do Programa de Prevenção dos Riscos Ambientais (PPRA)</t>
  </si>
  <si>
    <t xml:space="preserve">01.004.001.004 </t>
  </si>
  <si>
    <t xml:space="preserve">01.004.001.005 </t>
  </si>
  <si>
    <t xml:space="preserve">01.004.002.007 </t>
  </si>
  <si>
    <t xml:space="preserve">01.004.002.008 </t>
  </si>
  <si>
    <t xml:space="preserve">01.004.002.009 </t>
  </si>
  <si>
    <t xml:space="preserve">01.004.002.010 </t>
  </si>
  <si>
    <t xml:space="preserve">01.004.002.011 </t>
  </si>
  <si>
    <t xml:space="preserve">01.004.002.012 </t>
  </si>
  <si>
    <t xml:space="preserve">01.004.003.005 </t>
  </si>
  <si>
    <t xml:space="preserve">01.004.003.006 </t>
  </si>
  <si>
    <t>Mobiliário de apoio à obra</t>
  </si>
  <si>
    <t xml:space="preserve">01.004.003.007 </t>
  </si>
  <si>
    <t xml:space="preserve">01.005.001.003 </t>
  </si>
  <si>
    <t xml:space="preserve">01.005.001.004 </t>
  </si>
  <si>
    <t xml:space="preserve">01.005.001.005 </t>
  </si>
  <si>
    <t xml:space="preserve">01.005.001.006 </t>
  </si>
  <si>
    <t xml:space="preserve">01.005.002.002 </t>
  </si>
  <si>
    <t xml:space="preserve">01.005.002.003 </t>
  </si>
  <si>
    <t xml:space="preserve">01.005.002.004 </t>
  </si>
  <si>
    <t xml:space="preserve">01.005.002.005 </t>
  </si>
  <si>
    <t xml:space="preserve">01.005.002.006 </t>
  </si>
  <si>
    <t>Aquisição betoneira 600L</t>
  </si>
  <si>
    <t xml:space="preserve">01.005.002.007 </t>
  </si>
  <si>
    <t xml:space="preserve">01.005.002.008 </t>
  </si>
  <si>
    <t>Locação de martelete rompedor 10kg</t>
  </si>
  <si>
    <t xml:space="preserve">01.006.001.001 </t>
  </si>
  <si>
    <t xml:space="preserve">01.006.001.002 </t>
  </si>
  <si>
    <t xml:space="preserve">01.006.001.003 </t>
  </si>
  <si>
    <t xml:space="preserve">01.006.001.004 </t>
  </si>
  <si>
    <t>Laudo Cautelar de Vizinhança</t>
  </si>
  <si>
    <t xml:space="preserve">01.006.002.004 </t>
  </si>
  <si>
    <t xml:space="preserve">01.006.002.005 </t>
  </si>
  <si>
    <t xml:space="preserve">01.006.003.001 </t>
  </si>
  <si>
    <t xml:space="preserve">01.006.003.002 </t>
  </si>
  <si>
    <t xml:space="preserve">01.006.003.003 </t>
  </si>
  <si>
    <t xml:space="preserve">01.006.003.004 </t>
  </si>
  <si>
    <t xml:space="preserve">01.006.003.005 </t>
  </si>
  <si>
    <t xml:space="preserve">01.006.003.006 </t>
  </si>
  <si>
    <t xml:space="preserve">01.006.003.007 </t>
  </si>
  <si>
    <t xml:space="preserve">01.006.003.008 </t>
  </si>
  <si>
    <t xml:space="preserve">01.006.003.009 </t>
  </si>
  <si>
    <t xml:space="preserve">01.006.004.003 </t>
  </si>
  <si>
    <t>Limpeza Permanente da Obra - (CLT ou Tercerizada)</t>
  </si>
  <si>
    <t xml:space="preserve">01.006.004.004 </t>
  </si>
  <si>
    <t xml:space="preserve">01.006.004.005 </t>
  </si>
  <si>
    <t xml:space="preserve">01.006.004.006 </t>
  </si>
  <si>
    <t xml:space="preserve">01.006.004.007 </t>
  </si>
  <si>
    <t>Taxa de coleta de lixo</t>
  </si>
  <si>
    <t xml:space="preserve">01.006.004.008 </t>
  </si>
  <si>
    <t xml:space="preserve">01.006.004.009 </t>
  </si>
  <si>
    <t xml:space="preserve">01.006.004.010 </t>
  </si>
  <si>
    <t xml:space="preserve">01.006.004.011 </t>
  </si>
  <si>
    <t xml:space="preserve">01.006.004.012 </t>
  </si>
  <si>
    <t xml:space="preserve">01.006.004.013 </t>
  </si>
  <si>
    <t xml:space="preserve">01.006.004.014 </t>
  </si>
  <si>
    <t xml:space="preserve">01.006.004.015 </t>
  </si>
  <si>
    <t xml:space="preserve">01.006.004.016 </t>
  </si>
  <si>
    <t xml:space="preserve">03.002.005.002 </t>
  </si>
  <si>
    <t xml:space="preserve">03.002.005.003 </t>
  </si>
  <si>
    <t xml:space="preserve">03.002.005.004 </t>
  </si>
  <si>
    <t xml:space="preserve">03.002.005.005 </t>
  </si>
  <si>
    <t>Alvenaria de vedação com blocos de concreto</t>
  </si>
  <si>
    <t xml:space="preserve">05.001.001.001 </t>
  </si>
  <si>
    <t>Trama de madeira para cobertura em telhas termoacústica</t>
  </si>
  <si>
    <t xml:space="preserve">05.001.002.001 </t>
  </si>
  <si>
    <t xml:space="preserve">05.001.003.001 </t>
  </si>
  <si>
    <t xml:space="preserve">05.001.004.001 </t>
  </si>
  <si>
    <t>Mao de obra para execução de cobertura com telha termoacústica</t>
  </si>
  <si>
    <t xml:space="preserve">05.001.004.002 </t>
  </si>
  <si>
    <t xml:space="preserve">05.002.007 </t>
  </si>
  <si>
    <t xml:space="preserve">05.002.007.001 </t>
  </si>
  <si>
    <t xml:space="preserve">05.002.007.002 </t>
  </si>
  <si>
    <t xml:space="preserve">05.002.007.003 </t>
  </si>
  <si>
    <t xml:space="preserve">05.002.007.004 </t>
  </si>
  <si>
    <t xml:space="preserve">05.002.007.005 </t>
  </si>
  <si>
    <t xml:space="preserve">05.002.007.006 </t>
  </si>
  <si>
    <t xml:space="preserve">05.002.007.007 </t>
  </si>
  <si>
    <t xml:space="preserve">05.002.007.008 </t>
  </si>
  <si>
    <t xml:space="preserve">06.001.001 </t>
  </si>
  <si>
    <t xml:space="preserve">06.001.001.002 </t>
  </si>
  <si>
    <t xml:space="preserve">06.001.002.001 </t>
  </si>
  <si>
    <t xml:space="preserve">06.001.003.002 </t>
  </si>
  <si>
    <t xml:space="preserve">06.001.003.003 </t>
  </si>
  <si>
    <t xml:space="preserve">06.001.003.004 </t>
  </si>
  <si>
    <t xml:space="preserve">06.001.004 </t>
  </si>
  <si>
    <t xml:space="preserve">06.001.004.001 </t>
  </si>
  <si>
    <t>Peitoril em granito, acabamento polido, largura 30cm</t>
  </si>
  <si>
    <t xml:space="preserve">06.001.005.001 </t>
  </si>
  <si>
    <t xml:space="preserve">06.001.005.002 </t>
  </si>
  <si>
    <t xml:space="preserve">06.001.005.003 </t>
  </si>
  <si>
    <t xml:space="preserve">06.002.002.002 </t>
  </si>
  <si>
    <t xml:space="preserve">06.002.002.003 </t>
  </si>
  <si>
    <t xml:space="preserve">06.002.002.004 </t>
  </si>
  <si>
    <t xml:space="preserve">06.003.002.003 </t>
  </si>
  <si>
    <t xml:space="preserve">06.003.003.001 </t>
  </si>
  <si>
    <t xml:space="preserve">06.003.003.002 </t>
  </si>
  <si>
    <t xml:space="preserve">06.003.003.003 </t>
  </si>
  <si>
    <t xml:space="preserve">06.003.004 </t>
  </si>
  <si>
    <t xml:space="preserve">06.003.004.001 </t>
  </si>
  <si>
    <t xml:space="preserve">06.003.004.002 </t>
  </si>
  <si>
    <t xml:space="preserve">06.003.004.003 </t>
  </si>
  <si>
    <t xml:space="preserve">06.003.005.003 </t>
  </si>
  <si>
    <t xml:space="preserve">06.004.001.001 </t>
  </si>
  <si>
    <t xml:space="preserve">06.004.001.002 </t>
  </si>
  <si>
    <t xml:space="preserve">06.004.002.001 </t>
  </si>
  <si>
    <t xml:space="preserve">06.004.003.001 </t>
  </si>
  <si>
    <t xml:space="preserve">06.004.003.002 </t>
  </si>
  <si>
    <t>Porta corta-fogo em aço galvanizado P90 90x210cm</t>
  </si>
  <si>
    <t xml:space="preserve">06.004.003.003 </t>
  </si>
  <si>
    <t>Porta corta-fogo em aço galvanizado P90 100x210cm</t>
  </si>
  <si>
    <t xml:space="preserve">06.004.004 </t>
  </si>
  <si>
    <t xml:space="preserve">06.004.004.001 </t>
  </si>
  <si>
    <t>Mão de obra para instalação de esquadrias de ferro</t>
  </si>
  <si>
    <t xml:space="preserve">06.004.004.002 </t>
  </si>
  <si>
    <t xml:space="preserve">07.001.008.002 </t>
  </si>
  <si>
    <t xml:space="preserve">07.001.009.003 </t>
  </si>
  <si>
    <t xml:space="preserve">07.001.009.004 </t>
  </si>
  <si>
    <t xml:space="preserve">07.001.009.005 </t>
  </si>
  <si>
    <t xml:space="preserve">07.001.009.006 </t>
  </si>
  <si>
    <t xml:space="preserve">07.001.009.007 </t>
  </si>
  <si>
    <t xml:space="preserve">07.001.009.008 </t>
  </si>
  <si>
    <t xml:space="preserve">08.005.001.002 </t>
  </si>
  <si>
    <t xml:space="preserve">08.005.002.001 </t>
  </si>
  <si>
    <t xml:space="preserve">08.005.003.001 </t>
  </si>
  <si>
    <t xml:space="preserve">08.006.001.002 </t>
  </si>
  <si>
    <t>Acessos</t>
  </si>
  <si>
    <t xml:space="preserve">09.001.001.001 </t>
  </si>
  <si>
    <t xml:space="preserve">09.001.001.002 </t>
  </si>
  <si>
    <t xml:space="preserve">09.001.002.002 </t>
  </si>
  <si>
    <t xml:space="preserve">09.001.005.002 </t>
  </si>
  <si>
    <t xml:space="preserve">09.001.005.003 </t>
  </si>
  <si>
    <t xml:space="preserve">09.001.006.003 </t>
  </si>
  <si>
    <t>3% do valor total do orçamento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</si>
</sst>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.##0.00_-;\-* #.##0.00_-;_-* &quot;-&quot;??_-;_-@_-"/>
    <numFmt numFmtId="165" formatCode="0.0000"/>
    <numFmt numFmtId="166" formatCode="_-&quot;R$&quot;\ * #,##0.0000_-;\-&quot;R$&quot;\ * #,##0.0000_-;_-&quot;R$&quot;\ * &quot;-&quot;??_-;_-@_-"/>
  </numFmts>
  <fonts count="3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Poppins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8"/>
      <color rgb="FF010000"/>
      <name val="Poppins"/>
    </font>
    <font>
      <u/>
      <sz val="10"/>
      <color theme="10"/>
      <name val="Arial"/>
      <family val="2"/>
    </font>
    <font>
      <b/>
      <sz val="8"/>
      <name val="Poppins"/>
    </font>
    <font>
      <sz val="8"/>
      <name val="Poppins"/>
    </font>
    <font>
      <sz val="8"/>
      <color rgb="FF010000"/>
      <name val="Poppins"/>
    </font>
    <font>
      <b/>
      <sz val="7"/>
      <color theme="0"/>
      <name val="Poppins"/>
    </font>
    <font>
      <sz val="8"/>
      <name val="Arial"/>
      <family val="2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sz val="11"/>
      <color rgb="FF121212"/>
      <name val="Poppins"/>
    </font>
    <font>
      <b/>
      <sz val="8"/>
      <color rgb="FF002060"/>
      <name val="Poppins"/>
    </font>
    <font>
      <b/>
      <sz val="8"/>
      <color rgb="FF121212"/>
      <name val="Poppins"/>
    </font>
    <font>
      <sz val="8"/>
      <color theme="1"/>
      <name val="Calibri"/>
      <family val="2"/>
      <scheme val="minor"/>
    </font>
    <font>
      <sz val="8"/>
      <color theme="1"/>
      <name val="Poppins"/>
    </font>
    <font>
      <sz val="11"/>
      <color theme="1"/>
      <name val="Arial Narrow"/>
      <family val="2"/>
    </font>
    <font>
      <b/>
      <sz val="11"/>
      <color theme="1"/>
      <name val="Poppins"/>
    </font>
    <font>
      <b/>
      <sz val="11"/>
      <color theme="0"/>
      <name val="Poppins"/>
    </font>
    <font>
      <sz val="14"/>
      <color theme="1"/>
      <name val="Arial Narrow"/>
      <family val="2"/>
    </font>
    <font>
      <sz val="14"/>
      <color theme="1"/>
      <name val="Poppins"/>
    </font>
    <font>
      <b/>
      <sz val="18"/>
      <color theme="0"/>
      <name val="Poppins"/>
    </font>
    <font>
      <sz val="1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212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34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FFAA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/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010000"/>
      </left>
      <right style="thin">
        <color rgb="FF010000"/>
      </right>
      <top/>
      <bottom style="medium">
        <color rgb="FF010000"/>
      </bottom>
      <diagonal/>
    </border>
    <border>
      <left style="thin">
        <color rgb="FF010000"/>
      </left>
      <right style="thin">
        <color rgb="FF010000"/>
      </right>
      <top/>
      <bottom style="medium">
        <color rgb="FF010000"/>
      </bottom>
      <diagonal/>
    </border>
    <border>
      <left style="thin">
        <color rgb="FF010000"/>
      </left>
      <right style="medium">
        <color rgb="FF010000"/>
      </right>
      <top/>
      <bottom style="medium">
        <color rgb="FF01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1">
    <xf numFmtId="0" fontId="0" fillId="0" borderId="0"/>
    <xf numFmtId="43" fontId="7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35" fillId="0" borderId="0"/>
    <xf numFmtId="0" fontId="1" fillId="0" borderId="0"/>
    <xf numFmtId="164" fontId="35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360">
    <xf numFmtId="0" fontId="0" fillId="0" borderId="0" xfId="0"/>
    <xf numFmtId="0" fontId="9" fillId="2" borderId="4" xfId="0" applyFont="1" applyFill="1" applyBorder="1" applyAlignment="1">
      <alignment horizontal="left" vertical="center" wrapText="1"/>
    </xf>
    <xf numFmtId="0" fontId="10" fillId="3" borderId="5" xfId="3" applyFont="1" applyFill="1" applyBorder="1" applyAlignment="1">
      <alignment horizontal="left" vertical="center" wrapText="1"/>
    </xf>
    <xf numFmtId="0" fontId="10" fillId="3" borderId="6" xfId="3" applyFont="1" applyFill="1" applyBorder="1" applyAlignment="1">
      <alignment horizontal="center" vertical="center" wrapText="1"/>
    </xf>
    <xf numFmtId="164" fontId="10" fillId="3" borderId="6" xfId="4" applyFont="1" applyFill="1" applyBorder="1" applyAlignment="1">
      <alignment horizontal="left" vertical="center" wrapText="1"/>
    </xf>
    <xf numFmtId="0" fontId="11" fillId="3" borderId="6" xfId="3" applyFont="1" applyFill="1" applyBorder="1" applyAlignment="1">
      <alignment horizontal="center" vertical="center" wrapText="1"/>
    </xf>
    <xf numFmtId="0" fontId="10" fillId="3" borderId="7" xfId="3" applyFont="1" applyFill="1" applyBorder="1" applyAlignment="1">
      <alignment horizontal="left" vertical="center" wrapText="1"/>
    </xf>
    <xf numFmtId="0" fontId="10" fillId="3" borderId="8" xfId="3" applyFont="1" applyFill="1" applyBorder="1" applyAlignment="1">
      <alignment horizontal="center" vertical="center" wrapText="1"/>
    </xf>
    <xf numFmtId="164" fontId="10" fillId="3" borderId="8" xfId="4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14" fontId="10" fillId="3" borderId="10" xfId="3" applyNumberFormat="1" applyFont="1" applyFill="1" applyBorder="1" applyAlignment="1">
      <alignment horizontal="left" vertical="center" wrapText="1"/>
    </xf>
    <xf numFmtId="14" fontId="10" fillId="3" borderId="11" xfId="3" applyNumberFormat="1" applyFont="1" applyFill="1" applyBorder="1" applyAlignment="1">
      <alignment horizontal="center" vertical="center" wrapText="1"/>
    </xf>
    <xf numFmtId="164" fontId="10" fillId="3" borderId="11" xfId="4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43" fontId="9" fillId="2" borderId="4" xfId="1" applyFont="1" applyFill="1" applyBorder="1" applyAlignment="1">
      <alignment horizontal="center" vertical="center" wrapText="1"/>
    </xf>
    <xf numFmtId="43" fontId="9" fillId="2" borderId="1" xfId="1" applyFont="1" applyFill="1" applyBorder="1" applyAlignment="1">
      <alignment horizontal="center" vertical="center" wrapText="1"/>
    </xf>
    <xf numFmtId="0" fontId="13" fillId="5" borderId="16" xfId="0" applyFont="1" applyFill="1" applyBorder="1" applyAlignment="1">
      <alignment horizontal="left" vertical="top" wrapText="1"/>
    </xf>
    <xf numFmtId="0" fontId="13" fillId="5" borderId="17" xfId="0" applyFont="1" applyFill="1" applyBorder="1" applyAlignment="1">
      <alignment vertical="top" wrapText="1"/>
    </xf>
    <xf numFmtId="43" fontId="13" fillId="5" borderId="17" xfId="1" applyFont="1" applyFill="1" applyBorder="1" applyAlignment="1">
      <alignment vertical="top" wrapText="1"/>
    </xf>
    <xf numFmtId="43" fontId="13" fillId="5" borderId="18" xfId="1" applyFont="1" applyFill="1" applyBorder="1" applyAlignment="1">
      <alignment vertical="top" wrapText="1"/>
    </xf>
    <xf numFmtId="0" fontId="16" fillId="0" borderId="0" xfId="0" applyFont="1"/>
    <xf numFmtId="0" fontId="13" fillId="6" borderId="16" xfId="0" applyFont="1" applyFill="1" applyBorder="1" applyAlignment="1">
      <alignment horizontal="left" vertical="top" wrapText="1"/>
    </xf>
    <xf numFmtId="0" fontId="13" fillId="6" borderId="17" xfId="0" applyFont="1" applyFill="1" applyBorder="1" applyAlignment="1">
      <alignment vertical="top" wrapText="1"/>
    </xf>
    <xf numFmtId="43" fontId="13" fillId="6" borderId="17" xfId="1" applyFont="1" applyFill="1" applyBorder="1" applyAlignment="1">
      <alignment vertical="top" wrapText="1"/>
    </xf>
    <xf numFmtId="43" fontId="13" fillId="6" borderId="18" xfId="1" applyFont="1" applyFill="1" applyBorder="1" applyAlignment="1">
      <alignment vertical="top" wrapText="1"/>
    </xf>
    <xf numFmtId="0" fontId="13" fillId="7" borderId="16" xfId="0" applyFont="1" applyFill="1" applyBorder="1" applyAlignment="1">
      <alignment horizontal="left" vertical="top" wrapText="1"/>
    </xf>
    <xf numFmtId="0" fontId="13" fillId="7" borderId="17" xfId="0" applyFont="1" applyFill="1" applyBorder="1" applyAlignment="1">
      <alignment vertical="top" wrapText="1"/>
    </xf>
    <xf numFmtId="43" fontId="13" fillId="7" borderId="17" xfId="1" applyFont="1" applyFill="1" applyBorder="1" applyAlignment="1">
      <alignment vertical="top" wrapText="1"/>
    </xf>
    <xf numFmtId="43" fontId="13" fillId="7" borderId="18" xfId="1" applyFont="1" applyFill="1" applyBorder="1" applyAlignment="1">
      <alignment vertical="top" wrapText="1"/>
    </xf>
    <xf numFmtId="49" fontId="13" fillId="8" borderId="16" xfId="0" applyNumberFormat="1" applyFont="1" applyFill="1" applyBorder="1" applyAlignment="1">
      <alignment horizontal="left" vertical="top" wrapText="1"/>
    </xf>
    <xf numFmtId="0" fontId="13" fillId="8" borderId="17" xfId="0" applyFont="1" applyFill="1" applyBorder="1" applyAlignment="1">
      <alignment vertical="top" wrapText="1"/>
    </xf>
    <xf numFmtId="43" fontId="13" fillId="8" borderId="17" xfId="1" applyFont="1" applyFill="1" applyBorder="1" applyAlignment="1">
      <alignment vertical="top" wrapText="1"/>
    </xf>
    <xf numFmtId="43" fontId="13" fillId="8" borderId="18" xfId="1" applyFont="1" applyFill="1" applyBorder="1" applyAlignment="1">
      <alignment vertical="top" wrapText="1"/>
    </xf>
    <xf numFmtId="49" fontId="17" fillId="0" borderId="16" xfId="0" applyNumberFormat="1" applyFont="1" applyBorder="1" applyAlignment="1">
      <alignment horizontal="left" vertical="top" wrapText="1"/>
    </xf>
    <xf numFmtId="0" fontId="17" fillId="0" borderId="17" xfId="0" applyFont="1" applyBorder="1" applyAlignment="1">
      <alignment vertical="top" wrapText="1"/>
    </xf>
    <xf numFmtId="43" fontId="17" fillId="0" borderId="17" xfId="1" applyFont="1" applyFill="1" applyBorder="1" applyAlignment="1">
      <alignment vertical="top" wrapText="1"/>
    </xf>
    <xf numFmtId="43" fontId="17" fillId="0" borderId="18" xfId="1" applyFont="1" applyFill="1" applyBorder="1" applyAlignment="1">
      <alignment vertical="top" wrapText="1"/>
    </xf>
    <xf numFmtId="0" fontId="17" fillId="0" borderId="16" xfId="0" applyFont="1" applyBorder="1" applyAlignment="1">
      <alignment horizontal="left" vertical="top" wrapText="1"/>
    </xf>
    <xf numFmtId="0" fontId="16" fillId="0" borderId="19" xfId="2" applyFont="1" applyBorder="1" applyAlignment="1">
      <alignment horizontal="left" vertical="top" wrapText="1"/>
    </xf>
    <xf numFmtId="43" fontId="18" fillId="9" borderId="24" xfId="1" applyFont="1" applyFill="1" applyBorder="1" applyAlignment="1">
      <alignment horizontal="center" vertical="center" wrapText="1"/>
    </xf>
    <xf numFmtId="43" fontId="0" fillId="0" borderId="0" xfId="1" applyFont="1"/>
    <xf numFmtId="0" fontId="9" fillId="2" borderId="4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164" fontId="10" fillId="3" borderId="6" xfId="4" applyFont="1" applyFill="1" applyBorder="1" applyAlignment="1">
      <alignment vertical="top" wrapText="1"/>
    </xf>
    <xf numFmtId="164" fontId="10" fillId="3" borderId="8" xfId="4" applyFont="1" applyFill="1" applyBorder="1" applyAlignment="1">
      <alignment vertical="top" wrapText="1"/>
    </xf>
    <xf numFmtId="14" fontId="10" fillId="3" borderId="11" xfId="3" applyNumberFormat="1" applyFont="1" applyFill="1" applyBorder="1" applyAlignment="1">
      <alignment vertical="top" wrapText="1"/>
    </xf>
    <xf numFmtId="0" fontId="15" fillId="5" borderId="19" xfId="2" applyFont="1" applyFill="1" applyBorder="1" applyAlignment="1">
      <alignment vertical="top" wrapText="1"/>
    </xf>
    <xf numFmtId="0" fontId="16" fillId="6" borderId="19" xfId="2" applyFont="1" applyFill="1" applyBorder="1" applyAlignment="1">
      <alignment vertical="top" wrapText="1"/>
    </xf>
    <xf numFmtId="0" fontId="16" fillId="7" borderId="19" xfId="2" applyFont="1" applyFill="1" applyBorder="1" applyAlignment="1">
      <alignment vertical="top" wrapText="1"/>
    </xf>
    <xf numFmtId="0" fontId="16" fillId="8" borderId="19" xfId="2" applyFont="1" applyFill="1" applyBorder="1" applyAlignment="1">
      <alignment vertical="top" wrapText="1"/>
    </xf>
    <xf numFmtId="0" fontId="16" fillId="0" borderId="19" xfId="2" applyFont="1" applyBorder="1" applyAlignment="1">
      <alignment vertical="top" wrapText="1"/>
    </xf>
    <xf numFmtId="0" fontId="16" fillId="0" borderId="19" xfId="2" applyFont="1" applyFill="1" applyBorder="1" applyAlignment="1">
      <alignment vertical="top" wrapText="1"/>
    </xf>
    <xf numFmtId="0" fontId="20" fillId="10" borderId="25" xfId="5" applyFont="1" applyFill="1" applyBorder="1" applyAlignment="1">
      <alignment vertical="center" wrapText="1"/>
    </xf>
    <xf numFmtId="0" fontId="10" fillId="3" borderId="5" xfId="5" applyFont="1" applyFill="1" applyBorder="1" applyAlignment="1">
      <alignment horizontal="left" vertical="center" wrapText="1"/>
    </xf>
    <xf numFmtId="0" fontId="10" fillId="3" borderId="6" xfId="5" applyFont="1" applyFill="1" applyBorder="1" applyAlignment="1">
      <alignment horizontal="center" vertical="center" wrapText="1"/>
    </xf>
    <xf numFmtId="43" fontId="10" fillId="3" borderId="6" xfId="6" applyFont="1" applyFill="1" applyBorder="1" applyAlignment="1">
      <alignment horizontal="left" vertical="center" wrapText="1"/>
    </xf>
    <xf numFmtId="0" fontId="21" fillId="3" borderId="15" xfId="5" applyFont="1" applyFill="1" applyBorder="1"/>
    <xf numFmtId="0" fontId="5" fillId="0" borderId="0" xfId="5"/>
    <xf numFmtId="0" fontId="20" fillId="10" borderId="26" xfId="5" applyFont="1" applyFill="1" applyBorder="1" applyAlignment="1">
      <alignment vertical="center" wrapText="1"/>
    </xf>
    <xf numFmtId="0" fontId="10" fillId="3" borderId="7" xfId="5" applyFont="1" applyFill="1" applyBorder="1" applyAlignment="1">
      <alignment horizontal="left" vertical="center" wrapText="1"/>
    </xf>
    <xf numFmtId="0" fontId="10" fillId="3" borderId="8" xfId="5" applyFont="1" applyFill="1" applyBorder="1" applyAlignment="1">
      <alignment horizontal="center" vertical="center" wrapText="1"/>
    </xf>
    <xf numFmtId="43" fontId="10" fillId="3" borderId="8" xfId="6" applyFont="1" applyFill="1" applyBorder="1" applyAlignment="1">
      <alignment horizontal="left" vertical="center" wrapText="1"/>
    </xf>
    <xf numFmtId="0" fontId="21" fillId="3" borderId="27" xfId="5" applyFont="1" applyFill="1" applyBorder="1"/>
    <xf numFmtId="0" fontId="23" fillId="3" borderId="30" xfId="5" applyFont="1" applyFill="1" applyBorder="1" applyAlignment="1">
      <alignment vertical="center" wrapText="1"/>
    </xf>
    <xf numFmtId="0" fontId="23" fillId="3" borderId="0" xfId="5" applyFont="1" applyFill="1" applyAlignment="1">
      <alignment horizontal="center" vertical="center" wrapText="1"/>
    </xf>
    <xf numFmtId="43" fontId="23" fillId="3" borderId="0" xfId="6" applyFont="1" applyFill="1" applyBorder="1" applyAlignment="1">
      <alignment horizontal="center" vertical="center" wrapText="1"/>
    </xf>
    <xf numFmtId="0" fontId="21" fillId="3" borderId="31" xfId="5" applyFont="1" applyFill="1" applyBorder="1"/>
    <xf numFmtId="0" fontId="10" fillId="3" borderId="30" xfId="5" applyFont="1" applyFill="1" applyBorder="1" applyAlignment="1">
      <alignment horizontal="left" vertical="center" wrapText="1"/>
    </xf>
    <xf numFmtId="0" fontId="10" fillId="3" borderId="0" xfId="5" applyFont="1" applyFill="1" applyAlignment="1">
      <alignment horizontal="left" vertical="center" wrapText="1"/>
    </xf>
    <xf numFmtId="0" fontId="10" fillId="3" borderId="0" xfId="5" applyFont="1" applyFill="1" applyAlignment="1">
      <alignment horizontal="center" vertical="center" wrapText="1"/>
    </xf>
    <xf numFmtId="43" fontId="10" fillId="3" borderId="0" xfId="6" applyFont="1" applyFill="1" applyBorder="1" applyAlignment="1">
      <alignment horizontal="left" vertical="center" wrapText="1"/>
    </xf>
    <xf numFmtId="0" fontId="24" fillId="3" borderId="31" xfId="5" applyFont="1" applyFill="1" applyBorder="1"/>
    <xf numFmtId="0" fontId="11" fillId="3" borderId="30" xfId="5" applyFont="1" applyFill="1" applyBorder="1"/>
    <xf numFmtId="0" fontId="9" fillId="11" borderId="25" xfId="5" applyFont="1" applyFill="1" applyBorder="1" applyAlignment="1">
      <alignment horizontal="center" vertical="center"/>
    </xf>
    <xf numFmtId="0" fontId="9" fillId="11" borderId="32" xfId="5" applyFont="1" applyFill="1" applyBorder="1" applyAlignment="1">
      <alignment horizontal="center" vertical="center" wrapText="1"/>
    </xf>
    <xf numFmtId="43" fontId="9" fillId="11" borderId="33" xfId="6" applyFont="1" applyFill="1" applyBorder="1" applyAlignment="1">
      <alignment horizontal="center" vertical="center" wrapText="1"/>
    </xf>
    <xf numFmtId="0" fontId="11" fillId="3" borderId="34" xfId="5" applyFont="1" applyFill="1" applyBorder="1" applyAlignment="1">
      <alignment vertical="center" wrapText="1"/>
    </xf>
    <xf numFmtId="43" fontId="11" fillId="3" borderId="35" xfId="6" applyFont="1" applyFill="1" applyBorder="1" applyAlignment="1">
      <alignment horizontal="center" vertical="center" wrapText="1"/>
    </xf>
    <xf numFmtId="43" fontId="11" fillId="3" borderId="36" xfId="6" applyFont="1" applyFill="1" applyBorder="1" applyAlignment="1">
      <alignment vertical="center" wrapText="1"/>
    </xf>
    <xf numFmtId="0" fontId="11" fillId="3" borderId="37" xfId="5" applyFont="1" applyFill="1" applyBorder="1" applyAlignment="1">
      <alignment vertical="center" wrapText="1"/>
    </xf>
    <xf numFmtId="43" fontId="11" fillId="3" borderId="38" xfId="6" applyFont="1" applyFill="1" applyBorder="1" applyAlignment="1">
      <alignment horizontal="center" vertical="center" wrapText="1"/>
    </xf>
    <xf numFmtId="43" fontId="11" fillId="3" borderId="20" xfId="6" applyFont="1" applyFill="1" applyBorder="1" applyAlignment="1">
      <alignment vertical="center" wrapText="1"/>
    </xf>
    <xf numFmtId="0" fontId="11" fillId="3" borderId="39" xfId="5" applyFont="1" applyFill="1" applyBorder="1" applyAlignment="1">
      <alignment vertical="center" wrapText="1"/>
    </xf>
    <xf numFmtId="43" fontId="11" fillId="3" borderId="40" xfId="6" applyFont="1" applyFill="1" applyBorder="1" applyAlignment="1">
      <alignment horizontal="center" vertical="center" wrapText="1"/>
    </xf>
    <xf numFmtId="43" fontId="11" fillId="3" borderId="21" xfId="6" applyFont="1" applyFill="1" applyBorder="1" applyAlignment="1">
      <alignment vertical="center" wrapText="1"/>
    </xf>
    <xf numFmtId="0" fontId="24" fillId="3" borderId="41" xfId="5" applyFont="1" applyFill="1" applyBorder="1"/>
    <xf numFmtId="0" fontId="24" fillId="3" borderId="42" xfId="5" applyFont="1" applyFill="1" applyBorder="1" applyAlignment="1">
      <alignment horizontal="center"/>
    </xf>
    <xf numFmtId="43" fontId="24" fillId="3" borderId="42" xfId="6" applyFont="1" applyFill="1" applyBorder="1" applyAlignment="1">
      <alignment horizontal="center"/>
    </xf>
    <xf numFmtId="0" fontId="24" fillId="3" borderId="43" xfId="5" applyFont="1" applyFill="1" applyBorder="1"/>
    <xf numFmtId="0" fontId="21" fillId="0" borderId="0" xfId="5" applyFont="1"/>
    <xf numFmtId="0" fontId="21" fillId="0" borderId="0" xfId="5" applyFont="1" applyAlignment="1">
      <alignment horizontal="center"/>
    </xf>
    <xf numFmtId="43" fontId="21" fillId="0" borderId="0" xfId="6" applyFont="1" applyAlignment="1">
      <alignment horizontal="center"/>
    </xf>
    <xf numFmtId="0" fontId="11" fillId="3" borderId="6" xfId="5" applyFont="1" applyFill="1" applyBorder="1" applyAlignment="1">
      <alignment horizontal="center" vertical="center" wrapText="1"/>
    </xf>
    <xf numFmtId="0" fontId="11" fillId="3" borderId="8" xfId="5" applyFont="1" applyFill="1" applyBorder="1" applyAlignment="1">
      <alignment horizontal="center" vertical="center" wrapText="1"/>
    </xf>
    <xf numFmtId="0" fontId="11" fillId="3" borderId="0" xfId="5" applyFont="1" applyFill="1" applyAlignment="1">
      <alignment horizontal="center" vertical="center" wrapText="1"/>
    </xf>
    <xf numFmtId="0" fontId="25" fillId="3" borderId="0" xfId="5" applyFont="1" applyFill="1" applyAlignment="1">
      <alignment horizontal="center" vertical="center" wrapText="1"/>
    </xf>
    <xf numFmtId="0" fontId="11" fillId="3" borderId="44" xfId="5" applyFont="1" applyFill="1" applyBorder="1"/>
    <xf numFmtId="0" fontId="24" fillId="3" borderId="45" xfId="5" applyFont="1" applyFill="1" applyBorder="1" applyAlignment="1">
      <alignment horizontal="center"/>
    </xf>
    <xf numFmtId="43" fontId="24" fillId="3" borderId="45" xfId="6" applyFont="1" applyFill="1" applyBorder="1" applyAlignment="1">
      <alignment horizontal="center"/>
    </xf>
    <xf numFmtId="0" fontId="11" fillId="3" borderId="45" xfId="5" applyFont="1" applyFill="1" applyBorder="1" applyAlignment="1">
      <alignment horizontal="center"/>
    </xf>
    <xf numFmtId="0" fontId="24" fillId="3" borderId="46" xfId="5" applyFont="1" applyFill="1" applyBorder="1"/>
    <xf numFmtId="0" fontId="24" fillId="3" borderId="0" xfId="5" applyFont="1" applyFill="1" applyAlignment="1">
      <alignment horizontal="center"/>
    </xf>
    <xf numFmtId="43" fontId="24" fillId="3" borderId="0" xfId="6" applyFont="1" applyFill="1" applyBorder="1" applyAlignment="1">
      <alignment horizontal="center"/>
    </xf>
    <xf numFmtId="0" fontId="11" fillId="3" borderId="0" xfId="5" applyFont="1" applyFill="1" applyAlignment="1">
      <alignment horizontal="center"/>
    </xf>
    <xf numFmtId="43" fontId="11" fillId="3" borderId="36" xfId="6" applyFont="1" applyFill="1" applyBorder="1" applyAlignment="1">
      <alignment horizontal="center" vertical="center" wrapText="1"/>
    </xf>
    <xf numFmtId="0" fontId="11" fillId="3" borderId="47" xfId="5" applyFont="1" applyFill="1" applyBorder="1" applyAlignment="1">
      <alignment vertical="center" wrapText="1"/>
    </xf>
    <xf numFmtId="43" fontId="11" fillId="3" borderId="48" xfId="6" applyFont="1" applyFill="1" applyBorder="1" applyAlignment="1">
      <alignment horizontal="center" vertical="center" wrapText="1"/>
    </xf>
    <xf numFmtId="43" fontId="11" fillId="6" borderId="49" xfId="6" applyFont="1" applyFill="1" applyBorder="1" applyAlignment="1">
      <alignment horizontal="center" vertical="center" wrapText="1"/>
    </xf>
    <xf numFmtId="0" fontId="26" fillId="3" borderId="34" xfId="5" applyFont="1" applyFill="1" applyBorder="1" applyAlignment="1">
      <alignment vertical="center" wrapText="1"/>
    </xf>
    <xf numFmtId="43" fontId="26" fillId="3" borderId="35" xfId="6" applyFont="1" applyFill="1" applyBorder="1" applyAlignment="1">
      <alignment horizontal="center" vertical="center" wrapText="1"/>
    </xf>
    <xf numFmtId="43" fontId="26" fillId="3" borderId="36" xfId="6" applyFont="1" applyFill="1" applyBorder="1" applyAlignment="1">
      <alignment horizontal="center" vertical="center" wrapText="1"/>
    </xf>
    <xf numFmtId="0" fontId="26" fillId="3" borderId="47" xfId="5" applyFont="1" applyFill="1" applyBorder="1" applyAlignment="1">
      <alignment vertical="center" wrapText="1"/>
    </xf>
    <xf numFmtId="43" fontId="26" fillId="3" borderId="48" xfId="6" applyFont="1" applyFill="1" applyBorder="1" applyAlignment="1">
      <alignment horizontal="center" vertical="center" wrapText="1"/>
    </xf>
    <xf numFmtId="43" fontId="26" fillId="3" borderId="49" xfId="6" applyFont="1" applyFill="1" applyBorder="1" applyAlignment="1">
      <alignment horizontal="center" vertical="center" wrapText="1"/>
    </xf>
    <xf numFmtId="43" fontId="11" fillId="3" borderId="50" xfId="6" applyFont="1" applyFill="1" applyBorder="1" applyAlignment="1">
      <alignment horizontal="center" vertical="center" wrapText="1"/>
    </xf>
    <xf numFmtId="43" fontId="11" fillId="3" borderId="51" xfId="6" applyFont="1" applyFill="1" applyBorder="1" applyAlignment="1">
      <alignment horizontal="center" vertical="center" wrapText="1"/>
    </xf>
    <xf numFmtId="0" fontId="11" fillId="3" borderId="0" xfId="5" applyFont="1" applyFill="1"/>
    <xf numFmtId="0" fontId="24" fillId="3" borderId="30" xfId="5" applyFont="1" applyFill="1" applyBorder="1"/>
    <xf numFmtId="0" fontId="5" fillId="3" borderId="30" xfId="5" applyFill="1" applyBorder="1"/>
    <xf numFmtId="0" fontId="5" fillId="3" borderId="31" xfId="5" applyFill="1" applyBorder="1"/>
    <xf numFmtId="0" fontId="11" fillId="3" borderId="52" xfId="5" applyFont="1" applyFill="1" applyBorder="1" applyAlignment="1">
      <alignment vertical="center" wrapText="1"/>
    </xf>
    <xf numFmtId="43" fontId="11" fillId="3" borderId="53" xfId="6" applyFont="1" applyFill="1" applyBorder="1" applyAlignment="1">
      <alignment horizontal="center" vertical="center" wrapText="1"/>
    </xf>
    <xf numFmtId="43" fontId="11" fillId="3" borderId="54" xfId="6" applyFont="1" applyFill="1" applyBorder="1" applyAlignment="1">
      <alignment horizontal="center" vertical="center" wrapText="1"/>
    </xf>
    <xf numFmtId="0" fontId="5" fillId="3" borderId="0" xfId="5" applyFill="1"/>
    <xf numFmtId="0" fontId="9" fillId="11" borderId="33" xfId="5" applyFont="1" applyFill="1" applyBorder="1" applyAlignment="1">
      <alignment horizontal="center" vertical="center" wrapText="1"/>
    </xf>
    <xf numFmtId="43" fontId="9" fillId="5" borderId="58" xfId="6" applyFont="1" applyFill="1" applyBorder="1" applyAlignment="1">
      <alignment horizontal="center" vertical="center" wrapText="1"/>
    </xf>
    <xf numFmtId="0" fontId="11" fillId="3" borderId="59" xfId="5" applyFont="1" applyFill="1" applyBorder="1" applyAlignment="1">
      <alignment vertical="center" wrapText="1"/>
    </xf>
    <xf numFmtId="43" fontId="11" fillId="3" borderId="60" xfId="6" applyFont="1" applyFill="1" applyBorder="1" applyAlignment="1">
      <alignment horizontal="center" vertical="center" wrapText="1"/>
    </xf>
    <xf numFmtId="43" fontId="11" fillId="3" borderId="61" xfId="6" applyFont="1" applyFill="1" applyBorder="1" applyAlignment="1">
      <alignment horizontal="center" vertical="center" wrapText="1"/>
    </xf>
    <xf numFmtId="0" fontId="5" fillId="0" borderId="30" xfId="5" applyBorder="1"/>
    <xf numFmtId="0" fontId="5" fillId="0" borderId="31" xfId="5" applyBorder="1"/>
    <xf numFmtId="0" fontId="5" fillId="3" borderId="41" xfId="5" applyFill="1" applyBorder="1"/>
    <xf numFmtId="0" fontId="5" fillId="3" borderId="42" xfId="5" applyFill="1" applyBorder="1"/>
    <xf numFmtId="0" fontId="5" fillId="3" borderId="43" xfId="5" applyFill="1" applyBorder="1"/>
    <xf numFmtId="44" fontId="11" fillId="3" borderId="54" xfId="7" applyFont="1" applyFill="1" applyBorder="1" applyAlignment="1">
      <alignment horizontal="center" vertical="center" wrapText="1"/>
    </xf>
    <xf numFmtId="0" fontId="20" fillId="10" borderId="25" xfId="8" applyFont="1" applyFill="1" applyBorder="1" applyAlignment="1">
      <alignment vertical="center" wrapText="1"/>
    </xf>
    <xf numFmtId="0" fontId="10" fillId="3" borderId="6" xfId="8" applyFont="1" applyFill="1" applyBorder="1" applyAlignment="1">
      <alignment horizontal="center" vertical="center" wrapText="1"/>
    </xf>
    <xf numFmtId="43" fontId="10" fillId="3" borderId="6" xfId="9" applyFont="1" applyFill="1" applyBorder="1" applyAlignment="1">
      <alignment horizontal="left" vertical="center" wrapText="1"/>
    </xf>
    <xf numFmtId="0" fontId="11" fillId="3" borderId="6" xfId="8" applyFont="1" applyFill="1" applyBorder="1" applyAlignment="1">
      <alignment horizontal="center" vertical="center" wrapText="1"/>
    </xf>
    <xf numFmtId="0" fontId="21" fillId="3" borderId="15" xfId="8" applyFont="1" applyFill="1" applyBorder="1"/>
    <xf numFmtId="0" fontId="4" fillId="0" borderId="0" xfId="8"/>
    <xf numFmtId="0" fontId="20" fillId="10" borderId="26" xfId="8" applyFont="1" applyFill="1" applyBorder="1" applyAlignment="1">
      <alignment vertical="center" wrapText="1"/>
    </xf>
    <xf numFmtId="0" fontId="10" fillId="3" borderId="8" xfId="8" applyFont="1" applyFill="1" applyBorder="1" applyAlignment="1">
      <alignment horizontal="center" vertical="center" wrapText="1"/>
    </xf>
    <xf numFmtId="43" fontId="10" fillId="3" borderId="8" xfId="9" applyFont="1" applyFill="1" applyBorder="1" applyAlignment="1">
      <alignment horizontal="left" vertical="center" wrapText="1"/>
    </xf>
    <xf numFmtId="0" fontId="11" fillId="3" borderId="8" xfId="8" applyFont="1" applyFill="1" applyBorder="1" applyAlignment="1">
      <alignment horizontal="center" vertical="center" wrapText="1"/>
    </xf>
    <xf numFmtId="0" fontId="21" fillId="3" borderId="27" xfId="8" applyFont="1" applyFill="1" applyBorder="1"/>
    <xf numFmtId="0" fontId="23" fillId="3" borderId="30" xfId="8" applyFont="1" applyFill="1" applyBorder="1" applyAlignment="1">
      <alignment vertical="center" wrapText="1"/>
    </xf>
    <xf numFmtId="0" fontId="23" fillId="3" borderId="0" xfId="8" applyFont="1" applyFill="1" applyAlignment="1">
      <alignment horizontal="center" vertical="center" wrapText="1"/>
    </xf>
    <xf numFmtId="43" fontId="23" fillId="3" borderId="0" xfId="9" applyFont="1" applyFill="1" applyBorder="1" applyAlignment="1">
      <alignment horizontal="center" vertical="center" wrapText="1"/>
    </xf>
    <xf numFmtId="0" fontId="25" fillId="3" borderId="0" xfId="8" applyFont="1" applyFill="1" applyAlignment="1">
      <alignment horizontal="center" vertical="center" wrapText="1"/>
    </xf>
    <xf numFmtId="0" fontId="21" fillId="3" borderId="31" xfId="8" applyFont="1" applyFill="1" applyBorder="1"/>
    <xf numFmtId="0" fontId="10" fillId="3" borderId="30" xfId="8" applyFont="1" applyFill="1" applyBorder="1" applyAlignment="1">
      <alignment horizontal="left" vertical="center" wrapText="1"/>
    </xf>
    <xf numFmtId="0" fontId="10" fillId="3" borderId="0" xfId="8" applyFont="1" applyFill="1" applyAlignment="1">
      <alignment horizontal="left" vertical="center" wrapText="1"/>
    </xf>
    <xf numFmtId="0" fontId="10" fillId="3" borderId="0" xfId="8" applyFont="1" applyFill="1" applyAlignment="1">
      <alignment horizontal="center" vertical="center" wrapText="1"/>
    </xf>
    <xf numFmtId="43" fontId="10" fillId="3" borderId="0" xfId="9" applyFont="1" applyFill="1" applyBorder="1" applyAlignment="1">
      <alignment horizontal="left" vertical="center" wrapText="1"/>
    </xf>
    <xf numFmtId="0" fontId="11" fillId="3" borderId="0" xfId="8" applyFont="1" applyFill="1" applyAlignment="1">
      <alignment horizontal="center" vertical="center" wrapText="1"/>
    </xf>
    <xf numFmtId="0" fontId="24" fillId="3" borderId="31" xfId="8" applyFont="1" applyFill="1" applyBorder="1"/>
    <xf numFmtId="0" fontId="11" fillId="3" borderId="44" xfId="8" applyFont="1" applyFill="1" applyBorder="1"/>
    <xf numFmtId="0" fontId="24" fillId="3" borderId="45" xfId="8" applyFont="1" applyFill="1" applyBorder="1" applyAlignment="1">
      <alignment horizontal="center"/>
    </xf>
    <xf numFmtId="43" fontId="24" fillId="3" borderId="45" xfId="9" applyFont="1" applyFill="1" applyBorder="1" applyAlignment="1">
      <alignment horizontal="center"/>
    </xf>
    <xf numFmtId="0" fontId="11" fillId="3" borderId="45" xfId="8" applyFont="1" applyFill="1" applyBorder="1" applyAlignment="1">
      <alignment horizontal="center"/>
    </xf>
    <xf numFmtId="0" fontId="24" fillId="3" borderId="46" xfId="8" applyFont="1" applyFill="1" applyBorder="1"/>
    <xf numFmtId="0" fontId="11" fillId="3" borderId="30" xfId="8" applyFont="1" applyFill="1" applyBorder="1"/>
    <xf numFmtId="0" fontId="24" fillId="3" borderId="0" xfId="8" applyFont="1" applyFill="1" applyAlignment="1">
      <alignment horizontal="center"/>
    </xf>
    <xf numFmtId="43" fontId="24" fillId="3" borderId="0" xfId="9" applyFont="1" applyFill="1" applyBorder="1" applyAlignment="1">
      <alignment horizontal="center"/>
    </xf>
    <xf numFmtId="0" fontId="11" fillId="3" borderId="0" xfId="8" applyFont="1" applyFill="1" applyAlignment="1">
      <alignment horizontal="center"/>
    </xf>
    <xf numFmtId="0" fontId="9" fillId="11" borderId="25" xfId="8" applyFont="1" applyFill="1" applyBorder="1" applyAlignment="1">
      <alignment horizontal="center" vertical="center"/>
    </xf>
    <xf numFmtId="0" fontId="9" fillId="11" borderId="32" xfId="8" applyFont="1" applyFill="1" applyBorder="1" applyAlignment="1">
      <alignment horizontal="center" vertical="center" wrapText="1"/>
    </xf>
    <xf numFmtId="43" fontId="9" fillId="11" borderId="33" xfId="9" applyFont="1" applyFill="1" applyBorder="1" applyAlignment="1">
      <alignment horizontal="center" vertical="center" wrapText="1"/>
    </xf>
    <xf numFmtId="0" fontId="11" fillId="3" borderId="37" xfId="8" applyFont="1" applyFill="1" applyBorder="1" applyAlignment="1">
      <alignment vertical="center" wrapText="1"/>
    </xf>
    <xf numFmtId="43" fontId="11" fillId="3" borderId="38" xfId="9" applyFont="1" applyFill="1" applyBorder="1" applyAlignment="1">
      <alignment horizontal="center" vertical="center" wrapText="1"/>
    </xf>
    <xf numFmtId="43" fontId="11" fillId="3" borderId="20" xfId="9" applyFont="1" applyFill="1" applyBorder="1" applyAlignment="1">
      <alignment vertical="center" wrapText="1"/>
    </xf>
    <xf numFmtId="0" fontId="9" fillId="12" borderId="62" xfId="8" applyFont="1" applyFill="1" applyBorder="1" applyAlignment="1">
      <alignment vertical="center" wrapText="1"/>
    </xf>
    <xf numFmtId="43" fontId="9" fillId="12" borderId="63" xfId="9" applyFont="1" applyFill="1" applyBorder="1" applyAlignment="1">
      <alignment horizontal="center" vertical="center" wrapText="1"/>
    </xf>
    <xf numFmtId="43" fontId="9" fillId="12" borderId="64" xfId="9" applyFont="1" applyFill="1" applyBorder="1" applyAlignment="1">
      <alignment vertical="center" wrapText="1"/>
    </xf>
    <xf numFmtId="0" fontId="24" fillId="3" borderId="30" xfId="8" applyFont="1" applyFill="1" applyBorder="1"/>
    <xf numFmtId="0" fontId="11" fillId="3" borderId="34" xfId="8" applyFont="1" applyFill="1" applyBorder="1" applyAlignment="1">
      <alignment vertical="center" wrapText="1"/>
    </xf>
    <xf numFmtId="43" fontId="11" fillId="3" borderId="35" xfId="9" applyFont="1" applyFill="1" applyBorder="1" applyAlignment="1">
      <alignment horizontal="center" vertical="center" wrapText="1"/>
    </xf>
    <xf numFmtId="43" fontId="11" fillId="3" borderId="36" xfId="9" applyFont="1" applyFill="1" applyBorder="1" applyAlignment="1">
      <alignment vertical="center" wrapText="1"/>
    </xf>
    <xf numFmtId="0" fontId="11" fillId="3" borderId="47" xfId="8" applyFont="1" applyFill="1" applyBorder="1" applyAlignment="1">
      <alignment vertical="center" wrapText="1"/>
    </xf>
    <xf numFmtId="43" fontId="11" fillId="3" borderId="48" xfId="9" applyFont="1" applyFill="1" applyBorder="1" applyAlignment="1">
      <alignment horizontal="center" vertical="center" wrapText="1"/>
    </xf>
    <xf numFmtId="43" fontId="11" fillId="3" borderId="49" xfId="9" applyFont="1" applyFill="1" applyBorder="1" applyAlignment="1">
      <alignment vertical="center" wrapText="1"/>
    </xf>
    <xf numFmtId="0" fontId="9" fillId="12" borderId="26" xfId="8" applyFont="1" applyFill="1" applyBorder="1" applyAlignment="1">
      <alignment vertical="center" wrapText="1"/>
    </xf>
    <xf numFmtId="43" fontId="9" fillId="12" borderId="28" xfId="9" applyFont="1" applyFill="1" applyBorder="1" applyAlignment="1">
      <alignment horizontal="center" vertical="center" wrapText="1"/>
    </xf>
    <xf numFmtId="43" fontId="9" fillId="12" borderId="29" xfId="9" applyFont="1" applyFill="1" applyBorder="1" applyAlignment="1">
      <alignment vertical="center" wrapText="1"/>
    </xf>
    <xf numFmtId="43" fontId="11" fillId="3" borderId="0" xfId="9" applyFont="1" applyFill="1" applyBorder="1" applyAlignment="1">
      <alignment horizontal="center"/>
    </xf>
    <xf numFmtId="0" fontId="11" fillId="3" borderId="31" xfId="8" applyFont="1" applyFill="1" applyBorder="1"/>
    <xf numFmtId="0" fontId="27" fillId="0" borderId="0" xfId="8" applyFont="1"/>
    <xf numFmtId="0" fontId="9" fillId="11" borderId="65" xfId="8" applyFont="1" applyFill="1" applyBorder="1" applyAlignment="1">
      <alignment horizontal="center" vertical="center"/>
    </xf>
    <xf numFmtId="0" fontId="9" fillId="12" borderId="47" xfId="8" applyFont="1" applyFill="1" applyBorder="1" applyAlignment="1">
      <alignment vertical="center" wrapText="1"/>
    </xf>
    <xf numFmtId="43" fontId="9" fillId="12" borderId="48" xfId="9" applyFont="1" applyFill="1" applyBorder="1" applyAlignment="1">
      <alignment horizontal="center" vertical="center" wrapText="1"/>
    </xf>
    <xf numFmtId="43" fontId="9" fillId="12" borderId="49" xfId="9" applyFont="1" applyFill="1" applyBorder="1" applyAlignment="1">
      <alignment vertical="center" wrapText="1"/>
    </xf>
    <xf numFmtId="0" fontId="21" fillId="3" borderId="0" xfId="8" applyFont="1" applyFill="1"/>
    <xf numFmtId="0" fontId="21" fillId="3" borderId="0" xfId="8" applyFont="1" applyFill="1" applyAlignment="1">
      <alignment horizontal="center"/>
    </xf>
    <xf numFmtId="43" fontId="21" fillId="3" borderId="0" xfId="9" applyFont="1" applyFill="1" applyAlignment="1">
      <alignment horizontal="center"/>
    </xf>
    <xf numFmtId="0" fontId="28" fillId="3" borderId="0" xfId="8" applyFont="1" applyFill="1" applyAlignment="1">
      <alignment horizontal="center"/>
    </xf>
    <xf numFmtId="0" fontId="21" fillId="0" borderId="0" xfId="8" applyFont="1"/>
    <xf numFmtId="0" fontId="21" fillId="0" borderId="0" xfId="8" applyFont="1" applyAlignment="1">
      <alignment horizontal="center"/>
    </xf>
    <xf numFmtId="43" fontId="21" fillId="0" borderId="0" xfId="9" applyFont="1" applyAlignment="1">
      <alignment horizontal="center"/>
    </xf>
    <xf numFmtId="0" fontId="28" fillId="0" borderId="0" xfId="8" applyFont="1" applyAlignment="1">
      <alignment horizontal="center"/>
    </xf>
    <xf numFmtId="43" fontId="16" fillId="0" borderId="17" xfId="1" applyFont="1" applyFill="1" applyBorder="1" applyAlignment="1">
      <alignment vertical="top" wrapText="1"/>
    </xf>
    <xf numFmtId="43" fontId="11" fillId="3" borderId="50" xfId="1" applyFont="1" applyFill="1" applyBorder="1" applyAlignment="1">
      <alignment horizontal="center" vertical="center" wrapText="1"/>
    </xf>
    <xf numFmtId="43" fontId="11" fillId="3" borderId="53" xfId="1" applyFont="1" applyFill="1" applyBorder="1" applyAlignment="1">
      <alignment horizontal="center" vertical="center" wrapText="1"/>
    </xf>
    <xf numFmtId="3" fontId="17" fillId="0" borderId="16" xfId="0" applyNumberFormat="1" applyFont="1" applyBorder="1" applyAlignment="1">
      <alignment horizontal="left" vertical="top" wrapText="1"/>
    </xf>
    <xf numFmtId="43" fontId="24" fillId="3" borderId="31" xfId="5" applyNumberFormat="1" applyFont="1" applyFill="1" applyBorder="1"/>
    <xf numFmtId="0" fontId="16" fillId="0" borderId="19" xfId="2" applyFont="1" applyBorder="1" applyAlignment="1">
      <alignment vertical="top"/>
    </xf>
    <xf numFmtId="0" fontId="9" fillId="11" borderId="5" xfId="8" applyFont="1" applyFill="1" applyBorder="1" applyAlignment="1">
      <alignment horizontal="center" vertical="center" wrapText="1"/>
    </xf>
    <xf numFmtId="43" fontId="11" fillId="3" borderId="66" xfId="9" applyFont="1" applyFill="1" applyBorder="1" applyAlignment="1">
      <alignment horizontal="center" vertical="center" wrapText="1"/>
    </xf>
    <xf numFmtId="43" fontId="9" fillId="12" borderId="10" xfId="9" applyFont="1" applyFill="1" applyBorder="1" applyAlignment="1">
      <alignment horizontal="center" vertical="center" wrapText="1"/>
    </xf>
    <xf numFmtId="43" fontId="9" fillId="12" borderId="7" xfId="9" applyFont="1" applyFill="1" applyBorder="1" applyAlignment="1">
      <alignment horizontal="center" vertical="center" wrapText="1"/>
    </xf>
    <xf numFmtId="43" fontId="9" fillId="12" borderId="67" xfId="9" applyFont="1" applyFill="1" applyBorder="1" applyAlignment="1">
      <alignment horizontal="center" vertical="center" wrapText="1"/>
    </xf>
    <xf numFmtId="0" fontId="14" fillId="0" borderId="19" xfId="2" quotePrefix="1" applyBorder="1" applyAlignment="1">
      <alignment vertical="top" wrapText="1"/>
    </xf>
    <xf numFmtId="0" fontId="29" fillId="3" borderId="0" xfId="12" applyFont="1" applyFill="1"/>
    <xf numFmtId="0" fontId="21" fillId="3" borderId="0" xfId="12" applyFont="1" applyFill="1"/>
    <xf numFmtId="43" fontId="21" fillId="3" borderId="0" xfId="13" applyFont="1" applyFill="1" applyBorder="1"/>
    <xf numFmtId="43" fontId="30" fillId="4" borderId="28" xfId="13" applyFont="1" applyFill="1" applyBorder="1"/>
    <xf numFmtId="43" fontId="30" fillId="3" borderId="0" xfId="13" applyFont="1" applyFill="1" applyBorder="1" applyAlignment="1">
      <alignment horizontal="center"/>
    </xf>
    <xf numFmtId="0" fontId="30" fillId="3" borderId="0" xfId="12" applyFont="1" applyFill="1"/>
    <xf numFmtId="43" fontId="21" fillId="13" borderId="28" xfId="13" applyFont="1" applyFill="1" applyBorder="1"/>
    <xf numFmtId="43" fontId="21" fillId="3" borderId="28" xfId="13" applyFont="1" applyFill="1" applyBorder="1"/>
    <xf numFmtId="14" fontId="21" fillId="3" borderId="28" xfId="13" applyNumberFormat="1" applyFont="1" applyFill="1" applyBorder="1"/>
    <xf numFmtId="0" fontId="21" fillId="3" borderId="28" xfId="12" applyFont="1" applyFill="1" applyBorder="1" applyAlignment="1">
      <alignment horizontal="center"/>
    </xf>
    <xf numFmtId="43" fontId="31" fillId="2" borderId="28" xfId="13" applyFont="1" applyFill="1" applyBorder="1" applyAlignment="1">
      <alignment horizontal="center" vertical="center"/>
    </xf>
    <xf numFmtId="43" fontId="31" fillId="2" borderId="13" xfId="13" applyFont="1" applyFill="1" applyBorder="1" applyAlignment="1">
      <alignment horizontal="center" vertical="center"/>
    </xf>
    <xf numFmtId="0" fontId="30" fillId="3" borderId="62" xfId="12" applyFont="1" applyFill="1" applyBorder="1" applyAlignment="1">
      <alignment horizontal="left"/>
    </xf>
    <xf numFmtId="0" fontId="30" fillId="3" borderId="26" xfId="12" applyFont="1" applyFill="1" applyBorder="1" applyAlignment="1">
      <alignment horizontal="left"/>
    </xf>
    <xf numFmtId="0" fontId="30" fillId="3" borderId="25" xfId="12" applyFont="1" applyFill="1" applyBorder="1" applyAlignment="1">
      <alignment horizontal="left"/>
    </xf>
    <xf numFmtId="0" fontId="21" fillId="3" borderId="0" xfId="12" applyFont="1" applyFill="1" applyAlignment="1">
      <alignment horizontal="center"/>
    </xf>
    <xf numFmtId="0" fontId="32" fillId="3" borderId="0" xfId="12" applyFont="1" applyFill="1"/>
    <xf numFmtId="0" fontId="33" fillId="3" borderId="0" xfId="12" applyFont="1" applyFill="1"/>
    <xf numFmtId="43" fontId="31" fillId="2" borderId="69" xfId="13" applyFont="1" applyFill="1" applyBorder="1" applyAlignment="1">
      <alignment horizontal="center" vertical="center"/>
    </xf>
    <xf numFmtId="44" fontId="29" fillId="3" borderId="0" xfId="11" applyFont="1" applyFill="1"/>
    <xf numFmtId="44" fontId="21" fillId="3" borderId="0" xfId="12" applyNumberFormat="1" applyFont="1" applyFill="1"/>
    <xf numFmtId="44" fontId="21" fillId="3" borderId="28" xfId="11" applyFont="1" applyFill="1" applyBorder="1"/>
    <xf numFmtId="44" fontId="21" fillId="7" borderId="28" xfId="11" applyFont="1" applyFill="1" applyBorder="1"/>
    <xf numFmtId="2" fontId="21" fillId="3" borderId="28" xfId="11" applyNumberFormat="1" applyFont="1" applyFill="1" applyBorder="1"/>
    <xf numFmtId="44" fontId="30" fillId="4" borderId="28" xfId="11" applyFont="1" applyFill="1" applyBorder="1"/>
    <xf numFmtId="44" fontId="30" fillId="3" borderId="28" xfId="11" applyFont="1" applyFill="1" applyBorder="1"/>
    <xf numFmtId="44" fontId="21" fillId="3" borderId="0" xfId="11" applyFont="1" applyFill="1" applyBorder="1"/>
    <xf numFmtId="165" fontId="21" fillId="3" borderId="0" xfId="12" applyNumberFormat="1" applyFont="1" applyFill="1"/>
    <xf numFmtId="166" fontId="30" fillId="3" borderId="28" xfId="11" applyNumberFormat="1" applyFont="1" applyFill="1" applyBorder="1"/>
    <xf numFmtId="166" fontId="30" fillId="4" borderId="28" xfId="11" applyNumberFormat="1" applyFont="1" applyFill="1" applyBorder="1"/>
    <xf numFmtId="43" fontId="16" fillId="8" borderId="19" xfId="2" applyNumberFormat="1" applyFont="1" applyFill="1" applyBorder="1" applyAlignment="1">
      <alignment vertical="top" wrapText="1"/>
    </xf>
    <xf numFmtId="43" fontId="15" fillId="8" borderId="17" xfId="1" applyFont="1" applyFill="1" applyBorder="1" applyAlignment="1">
      <alignment vertical="top" wrapText="1"/>
    </xf>
    <xf numFmtId="0" fontId="20" fillId="10" borderId="25" xfId="15" applyFont="1" applyFill="1" applyBorder="1" applyAlignment="1">
      <alignment vertical="center"/>
    </xf>
    <xf numFmtId="0" fontId="10" fillId="3" borderId="6" xfId="16" applyFont="1" applyFill="1" applyBorder="1" applyAlignment="1">
      <alignment vertical="center" wrapText="1"/>
    </xf>
    <xf numFmtId="0" fontId="10" fillId="3" borderId="6" xfId="15" applyFont="1" applyFill="1" applyBorder="1" applyAlignment="1">
      <alignment horizontal="left" vertical="center" wrapText="1"/>
    </xf>
    <xf numFmtId="164" fontId="10" fillId="3" borderId="6" xfId="17" applyFont="1" applyFill="1" applyBorder="1" applyAlignment="1">
      <alignment horizontal="left" vertical="center" wrapText="1"/>
    </xf>
    <xf numFmtId="0" fontId="7" fillId="3" borderId="0" xfId="18" applyFill="1"/>
    <xf numFmtId="0" fontId="21" fillId="3" borderId="3" xfId="15" applyFont="1" applyFill="1" applyBorder="1"/>
    <xf numFmtId="0" fontId="7" fillId="0" borderId="0" xfId="18"/>
    <xf numFmtId="0" fontId="20" fillId="10" borderId="26" xfId="15" applyFont="1" applyFill="1" applyBorder="1" applyAlignment="1">
      <alignment vertical="center"/>
    </xf>
    <xf numFmtId="0" fontId="10" fillId="3" borderId="8" xfId="16" applyFont="1" applyFill="1" applyBorder="1" applyAlignment="1">
      <alignment vertical="center" wrapText="1"/>
    </xf>
    <xf numFmtId="0" fontId="10" fillId="3" borderId="8" xfId="15" applyFont="1" applyFill="1" applyBorder="1" applyAlignment="1">
      <alignment horizontal="left" vertical="center" wrapText="1"/>
    </xf>
    <xf numFmtId="164" fontId="10" fillId="3" borderId="8" xfId="17" applyFont="1" applyFill="1" applyBorder="1" applyAlignment="1">
      <alignment horizontal="left" vertical="center" wrapText="1"/>
    </xf>
    <xf numFmtId="0" fontId="21" fillId="3" borderId="31" xfId="15" applyFont="1" applyFill="1" applyBorder="1"/>
    <xf numFmtId="14" fontId="10" fillId="3" borderId="8" xfId="16" applyNumberFormat="1" applyFont="1" applyFill="1" applyBorder="1" applyAlignment="1">
      <alignment horizontal="left" vertical="center" wrapText="1"/>
    </xf>
    <xf numFmtId="0" fontId="23" fillId="3" borderId="30" xfId="15" applyFont="1" applyFill="1" applyBorder="1" applyAlignment="1">
      <alignment vertical="center"/>
    </xf>
    <xf numFmtId="0" fontId="23" fillId="3" borderId="0" xfId="15" applyFont="1" applyFill="1" applyAlignment="1">
      <alignment horizontal="center" vertical="center" wrapText="1"/>
    </xf>
    <xf numFmtId="0" fontId="23" fillId="3" borderId="0" xfId="15" applyFont="1" applyFill="1" applyAlignment="1">
      <alignment horizontal="left" vertical="center" wrapText="1"/>
    </xf>
    <xf numFmtId="164" fontId="23" fillId="3" borderId="0" xfId="17" applyFont="1" applyFill="1" applyBorder="1" applyAlignment="1">
      <alignment horizontal="left" vertical="center" wrapText="1"/>
    </xf>
    <xf numFmtId="0" fontId="10" fillId="3" borderId="30" xfId="15" applyFont="1" applyFill="1" applyBorder="1" applyAlignment="1">
      <alignment horizontal="left" vertical="center"/>
    </xf>
    <xf numFmtId="0" fontId="10" fillId="3" borderId="0" xfId="15" applyFont="1" applyFill="1" applyAlignment="1">
      <alignment horizontal="left" vertical="center" wrapText="1"/>
    </xf>
    <xf numFmtId="164" fontId="10" fillId="3" borderId="0" xfId="17" applyFont="1" applyFill="1" applyBorder="1" applyAlignment="1">
      <alignment horizontal="left" vertical="center" wrapText="1"/>
    </xf>
    <xf numFmtId="0" fontId="24" fillId="3" borderId="31" xfId="15" applyFont="1" applyFill="1" applyBorder="1"/>
    <xf numFmtId="0" fontId="10" fillId="3" borderId="44" xfId="15" applyFont="1" applyFill="1" applyBorder="1" applyAlignment="1">
      <alignment horizontal="left" vertical="center"/>
    </xf>
    <xf numFmtId="0" fontId="10" fillId="3" borderId="45" xfId="15" applyFont="1" applyFill="1" applyBorder="1" applyAlignment="1">
      <alignment horizontal="left" vertical="center" wrapText="1"/>
    </xf>
    <xf numFmtId="164" fontId="10" fillId="3" borderId="45" xfId="17" applyFont="1" applyFill="1" applyBorder="1" applyAlignment="1">
      <alignment horizontal="left" vertical="center" wrapText="1"/>
    </xf>
    <xf numFmtId="2" fontId="24" fillId="3" borderId="46" xfId="15" applyNumberFormat="1" applyFont="1" applyFill="1" applyBorder="1"/>
    <xf numFmtId="0" fontId="24" fillId="3" borderId="30" xfId="15" applyFont="1" applyFill="1" applyBorder="1"/>
    <xf numFmtId="0" fontId="24" fillId="3" borderId="0" xfId="15" applyFont="1" applyFill="1" applyAlignment="1">
      <alignment horizontal="center"/>
    </xf>
    <xf numFmtId="0" fontId="24" fillId="3" borderId="0" xfId="15" applyFont="1" applyFill="1" applyAlignment="1">
      <alignment horizontal="left"/>
    </xf>
    <xf numFmtId="164" fontId="24" fillId="3" borderId="0" xfId="17" applyFont="1" applyFill="1" applyBorder="1" applyAlignment="1">
      <alignment horizontal="left"/>
    </xf>
    <xf numFmtId="0" fontId="9" fillId="14" borderId="9" xfId="15" applyFont="1" applyFill="1" applyBorder="1" applyAlignment="1">
      <alignment horizontal="center" vertical="center"/>
    </xf>
    <xf numFmtId="164" fontId="9" fillId="14" borderId="70" xfId="17" applyFont="1" applyFill="1" applyBorder="1" applyAlignment="1">
      <alignment horizontal="center" vertical="center" wrapText="1"/>
    </xf>
    <xf numFmtId="164" fontId="11" fillId="3" borderId="12" xfId="17" applyFont="1" applyFill="1" applyBorder="1" applyAlignment="1">
      <alignment horizontal="left" vertical="center"/>
    </xf>
    <xf numFmtId="164" fontId="11" fillId="3" borderId="13" xfId="17" applyFont="1" applyFill="1" applyBorder="1" applyAlignment="1">
      <alignment horizontal="left" vertical="center" wrapText="1"/>
    </xf>
    <xf numFmtId="43" fontId="11" fillId="3" borderId="13" xfId="19" applyFont="1" applyFill="1" applyBorder="1" applyAlignment="1">
      <alignment horizontal="left" vertical="center"/>
    </xf>
    <xf numFmtId="43" fontId="11" fillId="15" borderId="13" xfId="19" applyFont="1" applyFill="1" applyBorder="1" applyAlignment="1">
      <alignment horizontal="left" vertical="center"/>
    </xf>
    <xf numFmtId="164" fontId="11" fillId="3" borderId="0" xfId="17" applyFont="1" applyFill="1" applyBorder="1" applyAlignment="1">
      <alignment horizontal="left" vertical="center"/>
    </xf>
    <xf numFmtId="164" fontId="11" fillId="3" borderId="0" xfId="17" applyFont="1" applyFill="1" applyBorder="1" applyAlignment="1">
      <alignment horizontal="left" vertical="center" wrapText="1"/>
    </xf>
    <xf numFmtId="43" fontId="11" fillId="3" borderId="0" xfId="19" applyFont="1" applyFill="1" applyBorder="1" applyAlignment="1">
      <alignment horizontal="left" vertical="center"/>
    </xf>
    <xf numFmtId="0" fontId="7" fillId="3" borderId="30" xfId="18" applyFill="1" applyBorder="1"/>
    <xf numFmtId="0" fontId="7" fillId="3" borderId="31" xfId="18" applyFill="1" applyBorder="1"/>
    <xf numFmtId="164" fontId="9" fillId="14" borderId="71" xfId="17" applyFont="1" applyFill="1" applyBorder="1" applyAlignment="1">
      <alignment horizontal="center" vertical="center" wrapText="1"/>
    </xf>
    <xf numFmtId="164" fontId="9" fillId="14" borderId="15" xfId="17" applyFont="1" applyFill="1" applyBorder="1" applyAlignment="1">
      <alignment horizontal="center" vertical="center" wrapText="1"/>
    </xf>
    <xf numFmtId="164" fontId="11" fillId="3" borderId="69" xfId="17" applyFont="1" applyFill="1" applyBorder="1" applyAlignment="1">
      <alignment horizontal="left" vertical="center" wrapText="1"/>
    </xf>
    <xf numFmtId="44" fontId="11" fillId="15" borderId="28" xfId="20" applyFont="1" applyFill="1" applyBorder="1" applyAlignment="1">
      <alignment horizontal="left" vertical="center"/>
    </xf>
    <xf numFmtId="44" fontId="11" fillId="6" borderId="29" xfId="20" applyFont="1" applyFill="1" applyBorder="1" applyAlignment="1">
      <alignment horizontal="left" vertical="center"/>
    </xf>
    <xf numFmtId="44" fontId="11" fillId="7" borderId="70" xfId="20" applyFont="1" applyFill="1" applyBorder="1" applyAlignment="1">
      <alignment horizontal="left" vertical="center"/>
    </xf>
    <xf numFmtId="44" fontId="26" fillId="6" borderId="58" xfId="20" applyFont="1" applyFill="1" applyBorder="1" applyAlignment="1">
      <alignment horizontal="left" vertical="center"/>
    </xf>
    <xf numFmtId="0" fontId="9" fillId="14" borderId="28" xfId="15" applyFont="1" applyFill="1" applyBorder="1" applyAlignment="1">
      <alignment horizontal="center" vertical="center"/>
    </xf>
    <xf numFmtId="164" fontId="9" fillId="14" borderId="28" xfId="17" applyFont="1" applyFill="1" applyBorder="1" applyAlignment="1">
      <alignment horizontal="center" vertical="center" wrapText="1"/>
    </xf>
    <xf numFmtId="164" fontId="11" fillId="3" borderId="28" xfId="17" applyFont="1" applyFill="1" applyBorder="1" applyAlignment="1">
      <alignment horizontal="left" vertical="center"/>
    </xf>
    <xf numFmtId="164" fontId="11" fillId="3" borderId="28" xfId="17" applyFont="1" applyFill="1" applyBorder="1" applyAlignment="1">
      <alignment horizontal="left" vertical="center" wrapText="1"/>
    </xf>
    <xf numFmtId="0" fontId="7" fillId="3" borderId="41" xfId="18" applyFill="1" applyBorder="1"/>
    <xf numFmtId="0" fontId="7" fillId="3" borderId="42" xfId="18" applyFill="1" applyBorder="1"/>
    <xf numFmtId="0" fontId="7" fillId="3" borderId="43" xfId="18" applyFill="1" applyBorder="1"/>
    <xf numFmtId="164" fontId="11" fillId="3" borderId="26" xfId="17" applyFont="1" applyFill="1" applyBorder="1" applyAlignment="1">
      <alignment horizontal="left" vertical="center"/>
    </xf>
    <xf numFmtId="43" fontId="11" fillId="3" borderId="28" xfId="19" applyFont="1" applyFill="1" applyBorder="1" applyAlignment="1">
      <alignment horizontal="left" vertical="center"/>
    </xf>
    <xf numFmtId="43" fontId="11" fillId="15" borderId="28" xfId="19" applyFont="1" applyFill="1" applyBorder="1" applyAlignment="1">
      <alignment horizontal="left" vertical="center"/>
    </xf>
    <xf numFmtId="164" fontId="9" fillId="6" borderId="60" xfId="17" applyFont="1" applyFill="1" applyBorder="1" applyAlignment="1">
      <alignment horizontal="center" vertical="center" wrapText="1"/>
    </xf>
    <xf numFmtId="0" fontId="15" fillId="6" borderId="72" xfId="15" applyFont="1" applyFill="1" applyBorder="1" applyAlignment="1">
      <alignment horizontal="left" vertical="center"/>
    </xf>
    <xf numFmtId="44" fontId="11" fillId="0" borderId="28" xfId="20" applyFont="1" applyFill="1" applyBorder="1" applyAlignment="1">
      <alignment horizontal="left" vertical="center"/>
    </xf>
    <xf numFmtId="43" fontId="11" fillId="3" borderId="28" xfId="1" applyFont="1" applyFill="1" applyBorder="1" applyAlignment="1">
      <alignment horizontal="left" vertical="center" wrapText="1"/>
    </xf>
    <xf numFmtId="43" fontId="11" fillId="3" borderId="69" xfId="1" applyFont="1" applyFill="1" applyBorder="1" applyAlignment="1">
      <alignment horizontal="left" vertical="center" wrapText="1"/>
    </xf>
    <xf numFmtId="44" fontId="26" fillId="0" borderId="28" xfId="11" applyFont="1" applyFill="1" applyBorder="1" applyAlignment="1">
      <alignment horizontal="center" vertical="center"/>
    </xf>
    <xf numFmtId="0" fontId="14" fillId="0" borderId="19" xfId="2" applyFill="1" applyBorder="1" applyAlignment="1">
      <alignment vertical="top" wrapText="1"/>
    </xf>
    <xf numFmtId="0" fontId="12" fillId="4" borderId="12" xfId="3" applyFont="1" applyFill="1" applyBorder="1" applyAlignment="1">
      <alignment horizontal="center" vertical="center" wrapText="1"/>
    </xf>
    <xf numFmtId="43" fontId="11" fillId="15" borderId="60" xfId="19" applyFont="1" applyFill="1" applyBorder="1" applyAlignment="1">
      <alignment horizontal="left" vertical="center"/>
    </xf>
    <xf numFmtId="43" fontId="11" fillId="7" borderId="28" xfId="19" applyFont="1" applyFill="1" applyBorder="1" applyAlignment="1">
      <alignment horizontal="left" vertical="center"/>
    </xf>
    <xf numFmtId="164" fontId="26" fillId="7" borderId="12" xfId="17" applyFont="1" applyFill="1" applyBorder="1" applyAlignment="1">
      <alignment horizontal="left" vertical="center"/>
    </xf>
    <xf numFmtId="44" fontId="26" fillId="7" borderId="28" xfId="11" applyFont="1" applyFill="1" applyBorder="1" applyAlignment="1">
      <alignment horizontal="left" vertical="center"/>
    </xf>
    <xf numFmtId="43" fontId="26" fillId="7" borderId="28" xfId="19" applyFont="1" applyFill="1" applyBorder="1" applyAlignment="1">
      <alignment horizontal="left" vertical="center"/>
    </xf>
    <xf numFmtId="0" fontId="22" fillId="4" borderId="26" xfId="5" applyFont="1" applyFill="1" applyBorder="1" applyAlignment="1">
      <alignment horizontal="center" vertical="center" wrapText="1"/>
    </xf>
    <xf numFmtId="0" fontId="22" fillId="4" borderId="28" xfId="5" applyFont="1" applyFill="1" applyBorder="1" applyAlignment="1">
      <alignment horizontal="center" vertical="center" wrapText="1"/>
    </xf>
    <xf numFmtId="0" fontId="22" fillId="4" borderId="29" xfId="5" applyFont="1" applyFill="1" applyBorder="1" applyAlignment="1">
      <alignment horizontal="center" vertical="center" wrapText="1"/>
    </xf>
    <xf numFmtId="0" fontId="22" fillId="2" borderId="26" xfId="5" applyFont="1" applyFill="1" applyBorder="1" applyAlignment="1">
      <alignment horizontal="center" vertical="center" wrapText="1"/>
    </xf>
    <xf numFmtId="0" fontId="22" fillId="2" borderId="28" xfId="5" applyFont="1" applyFill="1" applyBorder="1" applyAlignment="1">
      <alignment horizontal="center" vertical="center" wrapText="1"/>
    </xf>
    <xf numFmtId="0" fontId="22" fillId="2" borderId="29" xfId="5" applyFont="1" applyFill="1" applyBorder="1" applyAlignment="1">
      <alignment horizontal="center" vertical="center" wrapText="1"/>
    </xf>
    <xf numFmtId="0" fontId="9" fillId="5" borderId="55" xfId="5" applyFont="1" applyFill="1" applyBorder="1" applyAlignment="1">
      <alignment horizontal="center" vertical="center" wrapText="1"/>
    </xf>
    <xf numFmtId="0" fontId="9" fillId="5" borderId="56" xfId="5" applyFont="1" applyFill="1" applyBorder="1" applyAlignment="1">
      <alignment horizontal="center" vertical="center" wrapText="1"/>
    </xf>
    <xf numFmtId="0" fontId="9" fillId="5" borderId="57" xfId="5" applyFont="1" applyFill="1" applyBorder="1" applyAlignment="1">
      <alignment horizontal="center" vertical="center" wrapText="1"/>
    </xf>
    <xf numFmtId="0" fontId="22" fillId="4" borderId="7" xfId="5" applyFont="1" applyFill="1" applyBorder="1" applyAlignment="1">
      <alignment horizontal="center" vertical="center" wrapText="1"/>
    </xf>
    <xf numFmtId="0" fontId="22" fillId="2" borderId="7" xfId="5" applyFont="1" applyFill="1" applyBorder="1" applyAlignment="1">
      <alignment horizontal="center" vertical="center" wrapText="1"/>
    </xf>
    <xf numFmtId="0" fontId="22" fillId="4" borderId="26" xfId="8" applyFont="1" applyFill="1" applyBorder="1" applyAlignment="1">
      <alignment horizontal="center" vertical="center" wrapText="1"/>
    </xf>
    <xf numFmtId="0" fontId="22" fillId="4" borderId="28" xfId="8" applyFont="1" applyFill="1" applyBorder="1" applyAlignment="1">
      <alignment horizontal="center" vertical="center" wrapText="1"/>
    </xf>
    <xf numFmtId="0" fontId="22" fillId="4" borderId="29" xfId="8" applyFont="1" applyFill="1" applyBorder="1" applyAlignment="1">
      <alignment horizontal="center" vertical="center" wrapText="1"/>
    </xf>
    <xf numFmtId="0" fontId="22" fillId="2" borderId="26" xfId="8" applyFont="1" applyFill="1" applyBorder="1" applyAlignment="1">
      <alignment horizontal="center" vertical="center" wrapText="1"/>
    </xf>
    <xf numFmtId="0" fontId="22" fillId="2" borderId="28" xfId="8" applyFont="1" applyFill="1" applyBorder="1" applyAlignment="1">
      <alignment horizontal="center" vertical="center" wrapText="1"/>
    </xf>
    <xf numFmtId="0" fontId="22" fillId="2" borderId="29" xfId="8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2" fillId="4" borderId="12" xfId="3" applyFont="1" applyFill="1" applyBorder="1" applyAlignment="1">
      <alignment horizontal="center" vertical="center" wrapText="1"/>
    </xf>
    <xf numFmtId="0" fontId="12" fillId="4" borderId="13" xfId="3" applyFont="1" applyFill="1" applyBorder="1" applyAlignment="1">
      <alignment horizontal="center" vertical="center" wrapText="1"/>
    </xf>
    <xf numFmtId="0" fontId="12" fillId="4" borderId="14" xfId="3" applyFont="1" applyFill="1" applyBorder="1" applyAlignment="1">
      <alignment horizontal="center" vertical="center" wrapText="1"/>
    </xf>
    <xf numFmtId="0" fontId="18" fillId="9" borderId="22" xfId="0" applyFont="1" applyFill="1" applyBorder="1" applyAlignment="1">
      <alignment horizontal="center" vertical="center" wrapText="1"/>
    </xf>
    <xf numFmtId="0" fontId="18" fillId="9" borderId="23" xfId="0" applyFont="1" applyFill="1" applyBorder="1" applyAlignment="1">
      <alignment horizontal="center" vertical="center" wrapText="1"/>
    </xf>
    <xf numFmtId="0" fontId="34" fillId="4" borderId="9" xfId="12" applyFont="1" applyFill="1" applyBorder="1" applyAlignment="1">
      <alignment horizontal="center"/>
    </xf>
    <xf numFmtId="0" fontId="34" fillId="4" borderId="70" xfId="12" applyFont="1" applyFill="1" applyBorder="1" applyAlignment="1">
      <alignment horizontal="center"/>
    </xf>
    <xf numFmtId="0" fontId="21" fillId="3" borderId="6" xfId="12" applyFont="1" applyFill="1" applyBorder="1" applyAlignment="1">
      <alignment horizontal="left"/>
    </xf>
    <xf numFmtId="0" fontId="21" fillId="3" borderId="8" xfId="12" applyFont="1" applyFill="1" applyBorder="1" applyAlignment="1">
      <alignment horizontal="left"/>
    </xf>
    <xf numFmtId="14" fontId="21" fillId="3" borderId="11" xfId="12" applyNumberFormat="1" applyFont="1" applyFill="1" applyBorder="1" applyAlignment="1">
      <alignment horizontal="left"/>
    </xf>
    <xf numFmtId="0" fontId="21" fillId="3" borderId="11" xfId="12" applyFont="1" applyFill="1" applyBorder="1" applyAlignment="1">
      <alignment horizontal="left"/>
    </xf>
    <xf numFmtId="0" fontId="31" fillId="2" borderId="60" xfId="12" applyFont="1" applyFill="1" applyBorder="1" applyAlignment="1">
      <alignment horizontal="center" vertical="center"/>
    </xf>
    <xf numFmtId="0" fontId="31" fillId="2" borderId="13" xfId="12" applyFont="1" applyFill="1" applyBorder="1" applyAlignment="1">
      <alignment horizontal="center" vertical="center"/>
    </xf>
    <xf numFmtId="43" fontId="31" fillId="2" borderId="60" xfId="13" applyFont="1" applyFill="1" applyBorder="1" applyAlignment="1">
      <alignment horizontal="center" vertical="center" wrapText="1"/>
    </xf>
    <xf numFmtId="43" fontId="31" fillId="2" borderId="13" xfId="13" applyFont="1" applyFill="1" applyBorder="1" applyAlignment="1">
      <alignment horizontal="center" vertical="center" wrapText="1"/>
    </xf>
    <xf numFmtId="43" fontId="31" fillId="2" borderId="7" xfId="13" applyFont="1" applyFill="1" applyBorder="1" applyAlignment="1">
      <alignment horizontal="center"/>
    </xf>
    <xf numFmtId="43" fontId="31" fillId="2" borderId="68" xfId="13" applyFont="1" applyFill="1" applyBorder="1" applyAlignment="1">
      <alignment horizontal="center"/>
    </xf>
    <xf numFmtId="43" fontId="31" fillId="2" borderId="60" xfId="13" applyFont="1" applyFill="1" applyBorder="1" applyAlignment="1">
      <alignment horizontal="center" vertical="center"/>
    </xf>
    <xf numFmtId="43" fontId="31" fillId="2" borderId="13" xfId="13" applyFont="1" applyFill="1" applyBorder="1" applyAlignment="1">
      <alignment horizontal="center" vertical="center"/>
    </xf>
    <xf numFmtId="0" fontId="22" fillId="4" borderId="26" xfId="15" applyFont="1" applyFill="1" applyBorder="1" applyAlignment="1">
      <alignment horizontal="center" vertical="top" wrapText="1"/>
    </xf>
    <xf numFmtId="0" fontId="22" fillId="4" borderId="28" xfId="15" applyFont="1" applyFill="1" applyBorder="1" applyAlignment="1">
      <alignment horizontal="center" vertical="top" wrapText="1"/>
    </xf>
    <xf numFmtId="0" fontId="22" fillId="4" borderId="7" xfId="15" applyFont="1" applyFill="1" applyBorder="1" applyAlignment="1">
      <alignment horizontal="center" vertical="top" wrapText="1"/>
    </xf>
    <xf numFmtId="0" fontId="22" fillId="4" borderId="14" xfId="15" applyFont="1" applyFill="1" applyBorder="1" applyAlignment="1">
      <alignment horizontal="center" vertical="top" wrapText="1"/>
    </xf>
    <xf numFmtId="0" fontId="22" fillId="2" borderId="26" xfId="15" applyFont="1" applyFill="1" applyBorder="1" applyAlignment="1">
      <alignment horizontal="center" vertical="center" wrapText="1"/>
    </xf>
    <xf numFmtId="0" fontId="22" fillId="2" borderId="28" xfId="15" applyFont="1" applyFill="1" applyBorder="1" applyAlignment="1">
      <alignment horizontal="center" vertical="center" wrapText="1"/>
    </xf>
    <xf numFmtId="0" fontId="22" fillId="2" borderId="7" xfId="15" applyFont="1" applyFill="1" applyBorder="1" applyAlignment="1">
      <alignment horizontal="center" vertical="center" wrapText="1"/>
    </xf>
    <xf numFmtId="0" fontId="22" fillId="2" borderId="29" xfId="15" applyFont="1" applyFill="1" applyBorder="1" applyAlignment="1">
      <alignment horizontal="center" vertical="center" wrapText="1"/>
    </xf>
  </cellXfs>
  <cellStyles count="21">
    <cellStyle name="Hiperlink" xfId="2" builtinId="8"/>
    <cellStyle name="Moeda" xfId="11" builtinId="4"/>
    <cellStyle name="Moeda 2" xfId="7" xr:uid="{00000000-0005-0000-0000-000002000000}"/>
    <cellStyle name="Moeda 2 3" xfId="20" xr:uid="{8FE622EC-6862-4A8E-B6C9-205A77655872}"/>
    <cellStyle name="Normal" xfId="0" builtinId="0"/>
    <cellStyle name="Normal 2" xfId="5" xr:uid="{00000000-0005-0000-0000-000004000000}"/>
    <cellStyle name="Normal 2 2 2" xfId="15" xr:uid="{A24DB597-0BE7-4EAB-BFAE-42BA280029BE}"/>
    <cellStyle name="Normal 2 2 2 2" xfId="10" xr:uid="{00000000-0005-0000-0000-000005000000}"/>
    <cellStyle name="Normal 2 2 3 2" xfId="16" xr:uid="{10E9D5EC-DD57-4FBF-8B86-84937773AA39}"/>
    <cellStyle name="Normal 3" xfId="3" xr:uid="{00000000-0005-0000-0000-000006000000}"/>
    <cellStyle name="Normal 3 2" xfId="12" xr:uid="{00000000-0005-0000-0000-000007000000}"/>
    <cellStyle name="Normal 3 2 2" xfId="18" xr:uid="{33FF68BE-0F2A-44DF-BFB6-D25E8D46DE9D}"/>
    <cellStyle name="Normal 4" xfId="8" xr:uid="{00000000-0005-0000-0000-000008000000}"/>
    <cellStyle name="Vírgula" xfId="1" builtinId="3"/>
    <cellStyle name="Vírgula 2" xfId="6" xr:uid="{00000000-0005-0000-0000-00000A000000}"/>
    <cellStyle name="Vírgula 2 2" xfId="13" xr:uid="{00000000-0005-0000-0000-00000B000000}"/>
    <cellStyle name="Vírgula 2 4" xfId="19" xr:uid="{E52D56E9-FA19-4428-BED3-C95604310C73}"/>
    <cellStyle name="Vírgula 2 9" xfId="17" xr:uid="{B6D56EE9-4F78-4F56-AA15-71DE2E0E1FAD}"/>
    <cellStyle name="Vírgula 20" xfId="14" xr:uid="{00000000-0005-0000-0000-00000C000000}"/>
    <cellStyle name="Vírgula 3" xfId="4" xr:uid="{00000000-0005-0000-0000-00000D000000}"/>
    <cellStyle name="Vírgula 4" xfId="9" xr:uid="{00000000-0005-0000-0000-00000E000000}"/>
  </cellStyles>
  <dxfs count="1">
    <dxf>
      <fill>
        <patternFill>
          <bgColor rgb="FFFFFF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97595</xdr:colOff>
      <xdr:row>0</xdr:row>
      <xdr:rowOff>225491</xdr:rowOff>
    </xdr:from>
    <xdr:to>
      <xdr:col>4</xdr:col>
      <xdr:colOff>1527372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8D7D040-30C0-412B-9709-08926007F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8570" y="225491"/>
          <a:ext cx="1427872" cy="236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244279</xdr:colOff>
      <xdr:row>0</xdr:row>
      <xdr:rowOff>95249</xdr:rowOff>
    </xdr:from>
    <xdr:to>
      <xdr:col>6</xdr:col>
      <xdr:colOff>2209922</xdr:colOff>
      <xdr:row>1</xdr:row>
      <xdr:rowOff>232940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3A1E622-7FB7-4DC8-8CD4-6F85E0774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7504" y="95249"/>
          <a:ext cx="1961833" cy="4139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93785</xdr:colOff>
      <xdr:row>1</xdr:row>
      <xdr:rowOff>92141</xdr:rowOff>
    </xdr:from>
    <xdr:to>
      <xdr:col>5</xdr:col>
      <xdr:colOff>1525467</xdr:colOff>
      <xdr:row>2</xdr:row>
      <xdr:rowOff>111021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780FF20-C173-4E79-8244-7E6B2CF24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4855" y="324551"/>
          <a:ext cx="1427872" cy="243670"/>
        </a:xfrm>
        <a:prstGeom prst="rect">
          <a:avLst/>
        </a:prstGeom>
      </xdr:spPr>
    </xdr:pic>
    <xdr:clientData/>
  </xdr:twoCellAnchor>
  <xdr:twoCellAnchor editAs="oneCell">
    <xdr:from>
      <xdr:col>6</xdr:col>
      <xdr:colOff>285506</xdr:colOff>
      <xdr:row>7</xdr:row>
      <xdr:rowOff>34290</xdr:rowOff>
    </xdr:from>
    <xdr:to>
      <xdr:col>12</xdr:col>
      <xdr:colOff>271434</xdr:colOff>
      <xdr:row>17</xdr:row>
      <xdr:rowOff>195056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AA2304B-9637-5E80-F149-F2D14023D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2966" y="1611630"/>
          <a:ext cx="3666388" cy="29592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1991591</xdr:colOff>
      <xdr:row>0</xdr:row>
      <xdr:rowOff>142010</xdr:rowOff>
    </xdr:from>
    <xdr:to>
      <xdr:col>6</xdr:col>
      <xdr:colOff>3919011</xdr:colOff>
      <xdr:row>0</xdr:row>
      <xdr:rowOff>614280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1BECFB5-2B4E-4093-9133-1610B35BE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0909" y="142010"/>
          <a:ext cx="1927420" cy="4722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93785</xdr:colOff>
      <xdr:row>1</xdr:row>
      <xdr:rowOff>92141</xdr:rowOff>
    </xdr:from>
    <xdr:to>
      <xdr:col>8</xdr:col>
      <xdr:colOff>1525467</xdr:colOff>
      <xdr:row>2</xdr:row>
      <xdr:rowOff>63396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E9804CF-3657-431B-B761-4D2C5B088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7710" y="320741"/>
          <a:ext cx="1431682" cy="2474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285750</xdr:colOff>
      <xdr:row>0</xdr:row>
      <xdr:rowOff>0</xdr:rowOff>
    </xdr:from>
    <xdr:ext cx="2670831" cy="666365"/>
    <xdr:pic>
      <xdr:nvPicPr>
        <xdr:cNvPr id="2" name="Imagem 1">
          <a:extLst>
            <a:ext uri="{FF2B5EF4-FFF2-40B4-BE49-F238E27FC236}">
              <a16:creationId xmlns:a16="http://schemas.microsoft.com/office/drawing/2014/main" id="{20915756-3B95-409C-AB1B-3964DA019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6225" y="0"/>
          <a:ext cx="2670831" cy="66636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4"/>
  <sheetViews>
    <sheetView tabSelected="1" view="pageBreakPreview" zoomScaleNormal="115" zoomScaleSheetLayoutView="100" workbookViewId="0">
      <selection activeCell="D12" sqref="D12"/>
    </sheetView>
  </sheetViews>
  <sheetFormatPr defaultColWidth="9.140625" defaultRowHeight="21.75" x14ac:dyDescent="0.6"/>
  <cols>
    <col min="1" max="1" width="10.7109375" style="89" customWidth="1"/>
    <col min="2" max="2" width="83.7109375" style="90" customWidth="1"/>
    <col min="3" max="3" width="11.28515625" style="90" customWidth="1"/>
    <col min="4" max="4" width="11.28515625" style="91" customWidth="1"/>
    <col min="5" max="5" width="24" style="89" customWidth="1"/>
    <col min="6" max="7" width="9.28515625" style="57" bestFit="1" customWidth="1"/>
    <col min="8" max="16384" width="9.140625" style="57"/>
  </cols>
  <sheetData>
    <row r="1" spans="1:5" ht="18" customHeight="1" x14ac:dyDescent="0.6">
      <c r="A1" s="52" t="s">
        <v>1</v>
      </c>
      <c r="B1" s="53" t="s">
        <v>134</v>
      </c>
      <c r="C1" s="54"/>
      <c r="D1" s="55"/>
      <c r="E1" s="56"/>
    </row>
    <row r="2" spans="1:5" ht="18" customHeight="1" x14ac:dyDescent="0.6">
      <c r="A2" s="58" t="s">
        <v>2</v>
      </c>
      <c r="B2" s="59" t="s">
        <v>135</v>
      </c>
      <c r="C2" s="60"/>
      <c r="D2" s="61"/>
      <c r="E2" s="62"/>
    </row>
    <row r="3" spans="1:5" ht="18" customHeight="1" x14ac:dyDescent="0.6">
      <c r="A3" s="58" t="s">
        <v>3</v>
      </c>
      <c r="B3" s="59" t="s">
        <v>58</v>
      </c>
      <c r="C3" s="60"/>
      <c r="D3" s="61"/>
      <c r="E3" s="62"/>
    </row>
    <row r="4" spans="1:5" ht="25.15" customHeight="1" x14ac:dyDescent="0.25">
      <c r="A4" s="314" t="s">
        <v>61</v>
      </c>
      <c r="B4" s="315"/>
      <c r="C4" s="315"/>
      <c r="D4" s="315"/>
      <c r="E4" s="316"/>
    </row>
    <row r="5" spans="1:5" ht="14.45" customHeight="1" x14ac:dyDescent="0.6">
      <c r="A5" s="63"/>
      <c r="B5" s="64"/>
      <c r="C5" s="64"/>
      <c r="D5" s="65"/>
      <c r="E5" s="66"/>
    </row>
    <row r="6" spans="1:5" ht="16.899999999999999" customHeight="1" x14ac:dyDescent="0.25">
      <c r="A6" s="317" t="s">
        <v>62</v>
      </c>
      <c r="B6" s="318"/>
      <c r="C6" s="318"/>
      <c r="D6" s="318"/>
      <c r="E6" s="319"/>
    </row>
    <row r="7" spans="1:5" ht="14.45" customHeight="1" thickBot="1" x14ac:dyDescent="0.65">
      <c r="A7" s="67"/>
      <c r="B7" s="68"/>
      <c r="C7" s="69"/>
      <c r="D7" s="70"/>
      <c r="E7" s="71"/>
    </row>
    <row r="8" spans="1:5" x14ac:dyDescent="0.6">
      <c r="A8" s="72"/>
      <c r="B8" s="73" t="s">
        <v>7</v>
      </c>
      <c r="C8" s="74" t="s">
        <v>63</v>
      </c>
      <c r="D8" s="75" t="s">
        <v>64</v>
      </c>
      <c r="E8" s="71"/>
    </row>
    <row r="9" spans="1:5" x14ac:dyDescent="0.6">
      <c r="A9" s="72"/>
      <c r="B9" s="76" t="s">
        <v>65</v>
      </c>
      <c r="C9" s="77" t="s">
        <v>21</v>
      </c>
      <c r="D9" s="78">
        <v>1069</v>
      </c>
      <c r="E9" s="71"/>
    </row>
    <row r="10" spans="1:5" x14ac:dyDescent="0.6">
      <c r="A10" s="72"/>
      <c r="B10" s="79" t="s">
        <v>66</v>
      </c>
      <c r="C10" s="80" t="s">
        <v>21</v>
      </c>
      <c r="D10" s="81">
        <v>10108.43</v>
      </c>
      <c r="E10" s="204"/>
    </row>
    <row r="11" spans="1:5" x14ac:dyDescent="0.6">
      <c r="A11" s="72"/>
      <c r="B11" s="79" t="s">
        <v>67</v>
      </c>
      <c r="C11" s="80" t="s">
        <v>16</v>
      </c>
      <c r="D11" s="81">
        <v>117</v>
      </c>
      <c r="E11" s="71"/>
    </row>
    <row r="12" spans="1:5" x14ac:dyDescent="0.6">
      <c r="A12" s="72"/>
      <c r="B12" s="79" t="s">
        <v>68</v>
      </c>
      <c r="C12" s="80" t="s">
        <v>69</v>
      </c>
      <c r="D12" s="81">
        <v>20</v>
      </c>
      <c r="E12" s="71"/>
    </row>
    <row r="13" spans="1:5" ht="22.5" thickBot="1" x14ac:dyDescent="0.65">
      <c r="A13" s="72"/>
      <c r="B13" s="82" t="s">
        <v>70</v>
      </c>
      <c r="C13" s="83" t="s">
        <v>16</v>
      </c>
      <c r="D13" s="84">
        <v>15</v>
      </c>
      <c r="E13" s="71"/>
    </row>
    <row r="14" spans="1:5" ht="22.5" thickBot="1" x14ac:dyDescent="0.65">
      <c r="A14" s="85"/>
      <c r="B14" s="86"/>
      <c r="C14" s="86"/>
      <c r="D14" s="87"/>
      <c r="E14" s="88"/>
    </row>
  </sheetData>
  <mergeCells count="2">
    <mergeCell ref="A4:E4"/>
    <mergeCell ref="A6:E6"/>
  </mergeCells>
  <pageMargins left="0.51181102362204722" right="0.51181102362204722" top="0.78740157480314965" bottom="0.78740157480314965" header="0.31496062992125984" footer="0.31496062992125984"/>
  <pageSetup paperSize="9" scale="6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"/>
  <sheetViews>
    <sheetView zoomScaleNormal="100" workbookViewId="0">
      <selection activeCell="D15" sqref="D15"/>
    </sheetView>
  </sheetViews>
  <sheetFormatPr defaultColWidth="9.140625" defaultRowHeight="15" x14ac:dyDescent="0.25"/>
  <cols>
    <col min="1" max="1" width="12" style="57" customWidth="1"/>
    <col min="2" max="2" width="38.140625" style="57" customWidth="1"/>
    <col min="3" max="3" width="15.5703125" style="57" customWidth="1"/>
    <col min="4" max="4" width="12.42578125" style="57" customWidth="1"/>
    <col min="5" max="5" width="12.7109375" style="57" customWidth="1"/>
    <col min="6" max="6" width="10.42578125" style="57" customWidth="1"/>
    <col min="7" max="7" width="36" style="57" customWidth="1"/>
    <col min="8" max="13" width="16.28515625" style="57" customWidth="1"/>
    <col min="14" max="16384" width="9.140625" style="57"/>
  </cols>
  <sheetData>
    <row r="1" spans="1:7" ht="21.75" x14ac:dyDescent="0.6">
      <c r="A1" s="52" t="s">
        <v>1</v>
      </c>
      <c r="B1" s="53" t="s">
        <v>134</v>
      </c>
      <c r="C1" s="54"/>
      <c r="D1" s="55"/>
      <c r="E1" s="92"/>
      <c r="F1" s="92"/>
      <c r="G1" s="56"/>
    </row>
    <row r="2" spans="1:7" ht="21.75" x14ac:dyDescent="0.6">
      <c r="A2" s="58" t="s">
        <v>2</v>
      </c>
      <c r="B2" s="59" t="s">
        <v>135</v>
      </c>
      <c r="C2" s="60"/>
      <c r="D2" s="61"/>
      <c r="E2" s="93"/>
      <c r="F2" s="93"/>
      <c r="G2" s="62"/>
    </row>
    <row r="3" spans="1:7" ht="21.75" x14ac:dyDescent="0.6">
      <c r="A3" s="58" t="s">
        <v>3</v>
      </c>
      <c r="B3" s="59" t="s">
        <v>58</v>
      </c>
      <c r="C3" s="60"/>
      <c r="D3" s="61"/>
      <c r="E3" s="93"/>
      <c r="F3" s="94"/>
      <c r="G3" s="62"/>
    </row>
    <row r="4" spans="1:7" ht="28.5" x14ac:dyDescent="0.25">
      <c r="A4" s="314" t="s">
        <v>71</v>
      </c>
      <c r="B4" s="315"/>
      <c r="C4" s="315"/>
      <c r="D4" s="315"/>
      <c r="E4" s="315"/>
      <c r="F4" s="323"/>
      <c r="G4" s="316"/>
    </row>
    <row r="5" spans="1:7" ht="28.5" x14ac:dyDescent="0.6">
      <c r="A5" s="63"/>
      <c r="B5" s="64"/>
      <c r="C5" s="64"/>
      <c r="D5" s="65"/>
      <c r="E5" s="95"/>
      <c r="F5" s="95"/>
      <c r="G5" s="66"/>
    </row>
    <row r="6" spans="1:7" ht="28.5" x14ac:dyDescent="0.25">
      <c r="A6" s="317" t="s">
        <v>74</v>
      </c>
      <c r="B6" s="318"/>
      <c r="C6" s="318"/>
      <c r="D6" s="318"/>
      <c r="E6" s="318"/>
      <c r="F6" s="324"/>
      <c r="G6" s="319"/>
    </row>
    <row r="7" spans="1:7" ht="21.75" x14ac:dyDescent="0.6">
      <c r="A7" s="67"/>
      <c r="B7" s="68"/>
      <c r="C7" s="69"/>
      <c r="D7" s="70"/>
      <c r="E7" s="94"/>
      <c r="F7" s="94"/>
      <c r="G7" s="71"/>
    </row>
    <row r="8" spans="1:7" ht="21.75" x14ac:dyDescent="0.6">
      <c r="A8" s="96" t="s">
        <v>74</v>
      </c>
      <c r="B8" s="97"/>
      <c r="C8" s="97"/>
      <c r="D8" s="98"/>
      <c r="E8" s="99"/>
      <c r="F8" s="99"/>
      <c r="G8" s="100"/>
    </row>
    <row r="9" spans="1:7" ht="22.5" thickBot="1" x14ac:dyDescent="0.65">
      <c r="A9" s="72"/>
      <c r="B9" s="101"/>
      <c r="C9" s="101"/>
      <c r="D9" s="102"/>
      <c r="E9" s="103"/>
      <c r="F9" s="103"/>
      <c r="G9" s="71"/>
    </row>
    <row r="10" spans="1:7" ht="21.75" x14ac:dyDescent="0.6">
      <c r="A10" s="72"/>
      <c r="B10" s="73" t="s">
        <v>7</v>
      </c>
      <c r="C10" s="74" t="s">
        <v>63</v>
      </c>
      <c r="D10" s="75" t="s">
        <v>64</v>
      </c>
      <c r="E10" s="103"/>
      <c r="F10" s="103"/>
      <c r="G10" s="71"/>
    </row>
    <row r="11" spans="1:7" ht="21.75" x14ac:dyDescent="0.6">
      <c r="A11" s="72"/>
      <c r="B11" s="76" t="s">
        <v>76</v>
      </c>
      <c r="C11" s="77" t="s">
        <v>77</v>
      </c>
      <c r="D11" s="104">
        <f>OBRA!D10/OBRA!D12</f>
        <v>505.42150000000004</v>
      </c>
      <c r="E11" s="103"/>
      <c r="F11" s="103"/>
      <c r="G11" s="71"/>
    </row>
    <row r="12" spans="1:7" ht="21.75" x14ac:dyDescent="0.6">
      <c r="A12" s="72"/>
      <c r="B12" s="105" t="s">
        <v>72</v>
      </c>
      <c r="C12" s="106" t="s">
        <v>73</v>
      </c>
      <c r="D12" s="107">
        <v>42</v>
      </c>
      <c r="E12" s="103"/>
      <c r="F12" s="103"/>
      <c r="G12" s="71"/>
    </row>
    <row r="13" spans="1:7" ht="21.75" x14ac:dyDescent="0.6">
      <c r="A13" s="72"/>
      <c r="B13" s="108" t="s">
        <v>78</v>
      </c>
      <c r="C13" s="109" t="s">
        <v>79</v>
      </c>
      <c r="D13" s="110">
        <f>ROUNDUP((D12*OBRA!D10)/OBRA!D12/180,)</f>
        <v>118</v>
      </c>
      <c r="E13" s="103"/>
      <c r="F13" s="103"/>
      <c r="G13" s="71"/>
    </row>
    <row r="14" spans="1:7" ht="21.75" x14ac:dyDescent="0.6">
      <c r="A14" s="72"/>
      <c r="B14" s="111" t="s">
        <v>75</v>
      </c>
      <c r="C14" s="112" t="s">
        <v>79</v>
      </c>
      <c r="D14" s="113">
        <v>8</v>
      </c>
      <c r="E14" s="103"/>
      <c r="F14" s="103"/>
      <c r="G14" s="71"/>
    </row>
    <row r="15" spans="1:7" ht="22.5" thickBot="1" x14ac:dyDescent="0.65">
      <c r="A15" s="117"/>
      <c r="B15" s="120" t="s">
        <v>32</v>
      </c>
      <c r="C15" s="121" t="s">
        <v>80</v>
      </c>
      <c r="D15" s="134">
        <f>800*(D13+D14)</f>
        <v>100800</v>
      </c>
      <c r="E15" s="116" t="s">
        <v>81</v>
      </c>
      <c r="F15" s="116"/>
      <c r="G15" s="71"/>
    </row>
    <row r="16" spans="1:7" x14ac:dyDescent="0.25">
      <c r="A16" s="118"/>
      <c r="B16" s="123"/>
      <c r="C16" s="123"/>
      <c r="D16" s="123"/>
      <c r="E16" s="123"/>
      <c r="F16" s="123"/>
      <c r="G16" s="119"/>
    </row>
    <row r="17" spans="1:7" ht="21.75" x14ac:dyDescent="0.6">
      <c r="A17" s="96" t="s">
        <v>83</v>
      </c>
      <c r="B17" s="97"/>
      <c r="C17" s="97"/>
      <c r="D17" s="98"/>
      <c r="E17" s="99"/>
      <c r="F17" s="99"/>
      <c r="G17" s="100"/>
    </row>
    <row r="18" spans="1:7" ht="22.5" thickBot="1" x14ac:dyDescent="0.65">
      <c r="A18" s="72"/>
      <c r="B18" s="101"/>
      <c r="C18" s="101"/>
      <c r="D18" s="102"/>
      <c r="E18" s="103"/>
      <c r="F18" s="103"/>
      <c r="G18" s="71"/>
    </row>
    <row r="19" spans="1:7" ht="21.75" x14ac:dyDescent="0.6">
      <c r="A19" s="72"/>
      <c r="B19" s="73" t="s">
        <v>7</v>
      </c>
      <c r="C19" s="74" t="s">
        <v>63</v>
      </c>
      <c r="D19" s="74" t="s">
        <v>64</v>
      </c>
      <c r="E19" s="74" t="s">
        <v>84</v>
      </c>
      <c r="F19" s="124" t="s">
        <v>85</v>
      </c>
      <c r="G19" s="71"/>
    </row>
    <row r="20" spans="1:7" ht="21.75" x14ac:dyDescent="0.6">
      <c r="A20" s="72"/>
      <c r="B20" s="76" t="s">
        <v>86</v>
      </c>
      <c r="C20" s="77" t="s">
        <v>79</v>
      </c>
      <c r="D20" s="201">
        <f>ROUNDUP(D24*1.5,0)</f>
        <v>12</v>
      </c>
      <c r="E20" s="114">
        <v>200</v>
      </c>
      <c r="F20" s="115">
        <f>D20*E20</f>
        <v>2400</v>
      </c>
      <c r="G20" s="71"/>
    </row>
    <row r="21" spans="1:7" ht="21.75" x14ac:dyDescent="0.6">
      <c r="A21" s="72"/>
      <c r="B21" s="79" t="s">
        <v>87</v>
      </c>
      <c r="C21" s="114" t="s">
        <v>79</v>
      </c>
      <c r="D21" s="201">
        <v>1</v>
      </c>
      <c r="E21" s="114">
        <v>1000</v>
      </c>
      <c r="F21" s="115">
        <f>E21*D21</f>
        <v>1000</v>
      </c>
      <c r="G21" s="71"/>
    </row>
    <row r="22" spans="1:7" ht="15.75" x14ac:dyDescent="0.25">
      <c r="A22" s="118"/>
      <c r="B22" s="79" t="s">
        <v>88</v>
      </c>
      <c r="C22" s="114" t="s">
        <v>79</v>
      </c>
      <c r="D22" s="201">
        <v>2</v>
      </c>
      <c r="E22" s="114">
        <v>5000</v>
      </c>
      <c r="F22" s="115">
        <f t="shared" ref="F22:F23" si="0">E22*D22</f>
        <v>10000</v>
      </c>
      <c r="G22" s="119"/>
    </row>
    <row r="23" spans="1:7" ht="15.75" x14ac:dyDescent="0.25">
      <c r="A23" s="118"/>
      <c r="B23" s="79" t="s">
        <v>89</v>
      </c>
      <c r="C23" s="114" t="s">
        <v>90</v>
      </c>
      <c r="D23" s="201">
        <f>2*6</f>
        <v>12</v>
      </c>
      <c r="E23" s="114">
        <v>900</v>
      </c>
      <c r="F23" s="115">
        <f t="shared" si="0"/>
        <v>10800</v>
      </c>
      <c r="G23" s="119"/>
    </row>
    <row r="24" spans="1:7" ht="16.5" thickBot="1" x14ac:dyDescent="0.3">
      <c r="A24" s="118"/>
      <c r="B24" s="82" t="s">
        <v>91</v>
      </c>
      <c r="C24" s="121" t="s">
        <v>79</v>
      </c>
      <c r="D24" s="202">
        <f>D14</f>
        <v>8</v>
      </c>
      <c r="E24" s="121">
        <v>800</v>
      </c>
      <c r="F24" s="122">
        <f>E24*D24</f>
        <v>6400</v>
      </c>
      <c r="G24" s="119"/>
    </row>
    <row r="25" spans="1:7" ht="16.5" thickBot="1" x14ac:dyDescent="0.3">
      <c r="A25" s="118"/>
      <c r="B25" s="320" t="s">
        <v>92</v>
      </c>
      <c r="C25" s="321"/>
      <c r="D25" s="321"/>
      <c r="E25" s="322"/>
      <c r="F25" s="125">
        <f>F22+F23+F24+F21+F20</f>
        <v>30600</v>
      </c>
      <c r="G25" s="119"/>
    </row>
    <row r="26" spans="1:7" ht="15.75" x14ac:dyDescent="0.25">
      <c r="A26" s="118"/>
      <c r="B26" s="73" t="s">
        <v>7</v>
      </c>
      <c r="C26" s="74" t="s">
        <v>63</v>
      </c>
      <c r="D26" s="74" t="s">
        <v>64</v>
      </c>
      <c r="E26" s="74" t="s">
        <v>84</v>
      </c>
      <c r="F26" s="124" t="s">
        <v>85</v>
      </c>
      <c r="G26" s="119"/>
    </row>
    <row r="27" spans="1:7" ht="15.75" x14ac:dyDescent="0.25">
      <c r="A27" s="118"/>
      <c r="B27" s="76" t="s">
        <v>93</v>
      </c>
      <c r="C27" s="77" t="s">
        <v>79</v>
      </c>
      <c r="D27" s="114">
        <f>D14</f>
        <v>8</v>
      </c>
      <c r="E27" s="114">
        <v>6000</v>
      </c>
      <c r="F27" s="115">
        <f>D27*E27</f>
        <v>48000</v>
      </c>
      <c r="G27" s="119"/>
    </row>
    <row r="28" spans="1:7" ht="15.75" x14ac:dyDescent="0.25">
      <c r="A28" s="118"/>
      <c r="B28" s="79" t="s">
        <v>94</v>
      </c>
      <c r="C28" s="114" t="s">
        <v>79</v>
      </c>
      <c r="D28" s="114">
        <v>2</v>
      </c>
      <c r="E28" s="114">
        <v>2000</v>
      </c>
      <c r="F28" s="115">
        <f>E28*D28</f>
        <v>4000</v>
      </c>
      <c r="G28" s="119"/>
    </row>
    <row r="29" spans="1:7" ht="16.5" thickBot="1" x14ac:dyDescent="0.3">
      <c r="A29" s="118"/>
      <c r="B29" s="126" t="s">
        <v>95</v>
      </c>
      <c r="C29" s="127" t="s">
        <v>79</v>
      </c>
      <c r="D29" s="127">
        <v>2</v>
      </c>
      <c r="E29" s="127">
        <v>500</v>
      </c>
      <c r="F29" s="128">
        <f t="shared" ref="F29" si="1">E29*D29</f>
        <v>1000</v>
      </c>
      <c r="G29" s="119"/>
    </row>
    <row r="30" spans="1:7" ht="16.5" thickBot="1" x14ac:dyDescent="0.3">
      <c r="A30" s="129"/>
      <c r="B30" s="320" t="s">
        <v>92</v>
      </c>
      <c r="C30" s="321"/>
      <c r="D30" s="321"/>
      <c r="E30" s="322"/>
      <c r="F30" s="125">
        <f>+F27+F28+F29</f>
        <v>53000</v>
      </c>
      <c r="G30" s="130"/>
    </row>
    <row r="31" spans="1:7" ht="15.75" thickBot="1" x14ac:dyDescent="0.3">
      <c r="A31" s="131"/>
      <c r="B31" s="132"/>
      <c r="C31" s="132"/>
      <c r="D31" s="132"/>
      <c r="E31" s="132"/>
      <c r="F31" s="132"/>
      <c r="G31" s="133"/>
    </row>
  </sheetData>
  <mergeCells count="4">
    <mergeCell ref="B30:E30"/>
    <mergeCell ref="A4:G4"/>
    <mergeCell ref="A6:G6"/>
    <mergeCell ref="B25:E2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2"/>
  <sheetViews>
    <sheetView view="pageBreakPreview" zoomScaleNormal="115" zoomScaleSheetLayoutView="100" workbookViewId="0">
      <selection activeCell="B31" sqref="B31"/>
    </sheetView>
  </sheetViews>
  <sheetFormatPr defaultColWidth="9.140625" defaultRowHeight="21.75" x14ac:dyDescent="0.6"/>
  <cols>
    <col min="1" max="1" width="10.7109375" style="196" customWidth="1"/>
    <col min="2" max="2" width="83.7109375" style="197" customWidth="1"/>
    <col min="3" max="3" width="11.28515625" style="197" customWidth="1"/>
    <col min="4" max="4" width="11.28515625" style="198" customWidth="1"/>
    <col min="5" max="5" width="11.140625" style="199" customWidth="1"/>
    <col min="6" max="6" width="24" style="196" customWidth="1"/>
    <col min="7" max="8" width="9.28515625" style="140" bestFit="1" customWidth="1"/>
    <col min="9" max="16384" width="9.140625" style="140"/>
  </cols>
  <sheetData>
    <row r="1" spans="1:6" ht="18" customHeight="1" x14ac:dyDescent="0.6">
      <c r="A1" s="135" t="s">
        <v>1</v>
      </c>
      <c r="B1" s="53" t="s">
        <v>134</v>
      </c>
      <c r="C1" s="136"/>
      <c r="D1" s="137"/>
      <c r="E1" s="138"/>
      <c r="F1" s="139"/>
    </row>
    <row r="2" spans="1:6" ht="18" customHeight="1" x14ac:dyDescent="0.6">
      <c r="A2" s="141" t="s">
        <v>2</v>
      </c>
      <c r="B2" s="59" t="s">
        <v>135</v>
      </c>
      <c r="C2" s="142"/>
      <c r="D2" s="143"/>
      <c r="E2" s="144"/>
      <c r="F2" s="145"/>
    </row>
    <row r="3" spans="1:6" ht="18" customHeight="1" x14ac:dyDescent="0.6">
      <c r="A3" s="141" t="s">
        <v>3</v>
      </c>
      <c r="B3" s="59" t="s">
        <v>58</v>
      </c>
      <c r="C3" s="142"/>
      <c r="D3" s="143"/>
      <c r="E3" s="144"/>
      <c r="F3" s="145"/>
    </row>
    <row r="4" spans="1:6" ht="25.15" customHeight="1" x14ac:dyDescent="0.25">
      <c r="A4" s="325" t="s">
        <v>71</v>
      </c>
      <c r="B4" s="326"/>
      <c r="C4" s="326"/>
      <c r="D4" s="326"/>
      <c r="E4" s="326"/>
      <c r="F4" s="327"/>
    </row>
    <row r="5" spans="1:6" ht="14.45" customHeight="1" x14ac:dyDescent="0.6">
      <c r="A5" s="146"/>
      <c r="B5" s="147"/>
      <c r="C5" s="147"/>
      <c r="D5" s="148"/>
      <c r="E5" s="149"/>
      <c r="F5" s="150"/>
    </row>
    <row r="6" spans="1:6" ht="16.899999999999999" customHeight="1" x14ac:dyDescent="0.25">
      <c r="A6" s="328" t="s">
        <v>96</v>
      </c>
      <c r="B6" s="329"/>
      <c r="C6" s="329"/>
      <c r="D6" s="329"/>
      <c r="E6" s="329"/>
      <c r="F6" s="330"/>
    </row>
    <row r="7" spans="1:6" ht="14.45" customHeight="1" x14ac:dyDescent="0.6">
      <c r="A7" s="151"/>
      <c r="B7" s="152"/>
      <c r="C7" s="153"/>
      <c r="D7" s="154"/>
      <c r="E7" s="155"/>
      <c r="F7" s="156"/>
    </row>
    <row r="8" spans="1:6" x14ac:dyDescent="0.6">
      <c r="A8" s="157" t="s">
        <v>97</v>
      </c>
      <c r="B8" s="158"/>
      <c r="C8" s="158"/>
      <c r="D8" s="159"/>
      <c r="E8" s="160"/>
      <c r="F8" s="161"/>
    </row>
    <row r="9" spans="1:6" ht="22.5" thickBot="1" x14ac:dyDescent="0.65">
      <c r="A9" s="162"/>
      <c r="B9" s="163"/>
      <c r="C9" s="163"/>
      <c r="D9" s="164"/>
      <c r="E9" s="165"/>
      <c r="F9" s="156"/>
    </row>
    <row r="10" spans="1:6" x14ac:dyDescent="0.6">
      <c r="A10" s="162"/>
      <c r="B10" s="166" t="s">
        <v>7</v>
      </c>
      <c r="C10" s="167" t="s">
        <v>63</v>
      </c>
      <c r="D10" s="168" t="s">
        <v>64</v>
      </c>
      <c r="E10" s="165"/>
      <c r="F10" s="156"/>
    </row>
    <row r="11" spans="1:6" x14ac:dyDescent="0.6">
      <c r="A11" s="162"/>
      <c r="B11" s="169" t="s">
        <v>98</v>
      </c>
      <c r="C11" s="170" t="s">
        <v>90</v>
      </c>
      <c r="D11" s="171">
        <v>142.1</v>
      </c>
      <c r="E11" s="165"/>
      <c r="F11" s="156"/>
    </row>
    <row r="12" spans="1:6" x14ac:dyDescent="0.6">
      <c r="A12" s="162"/>
      <c r="B12" s="169" t="s">
        <v>101</v>
      </c>
      <c r="C12" s="170" t="s">
        <v>90</v>
      </c>
      <c r="D12" s="171">
        <v>145.31</v>
      </c>
      <c r="E12" s="165"/>
      <c r="F12" s="156"/>
    </row>
    <row r="13" spans="1:6" x14ac:dyDescent="0.6">
      <c r="A13" s="162"/>
      <c r="B13" s="169" t="s">
        <v>99</v>
      </c>
      <c r="C13" s="170" t="s">
        <v>79</v>
      </c>
      <c r="D13" s="171">
        <v>1</v>
      </c>
      <c r="E13" s="165"/>
      <c r="F13" s="156"/>
    </row>
    <row r="14" spans="1:6" x14ac:dyDescent="0.6">
      <c r="A14" s="162"/>
      <c r="B14" s="169" t="s">
        <v>102</v>
      </c>
      <c r="C14" s="170" t="s">
        <v>79</v>
      </c>
      <c r="D14" s="171">
        <v>3</v>
      </c>
      <c r="E14" s="165"/>
      <c r="F14" s="156"/>
    </row>
    <row r="15" spans="1:6" ht="22.5" thickBot="1" x14ac:dyDescent="0.65">
      <c r="A15" s="162"/>
      <c r="B15" s="172" t="s">
        <v>100</v>
      </c>
      <c r="C15" s="173" t="s">
        <v>90</v>
      </c>
      <c r="D15" s="174">
        <f>D11*D13</f>
        <v>142.1</v>
      </c>
      <c r="E15" s="165"/>
      <c r="F15" s="156"/>
    </row>
    <row r="16" spans="1:6" ht="22.5" thickBot="1" x14ac:dyDescent="0.65">
      <c r="A16" s="162"/>
      <c r="B16" s="172" t="s">
        <v>103</v>
      </c>
      <c r="C16" s="173" t="s">
        <v>90</v>
      </c>
      <c r="D16" s="174">
        <f>D12</f>
        <v>145.31</v>
      </c>
      <c r="E16" s="165"/>
      <c r="F16" s="156"/>
    </row>
    <row r="17" spans="1:6" x14ac:dyDescent="0.6">
      <c r="A17" s="175"/>
      <c r="B17" s="163"/>
      <c r="C17" s="163"/>
      <c r="D17" s="164"/>
      <c r="E17" s="165"/>
      <c r="F17" s="156"/>
    </row>
    <row r="18" spans="1:6" x14ac:dyDescent="0.6">
      <c r="A18" s="157" t="s">
        <v>105</v>
      </c>
      <c r="B18" s="158"/>
      <c r="C18" s="158"/>
      <c r="D18" s="159"/>
      <c r="E18" s="160"/>
      <c r="F18" s="161"/>
    </row>
    <row r="19" spans="1:6" ht="22.5" thickBot="1" x14ac:dyDescent="0.65">
      <c r="A19" s="175"/>
      <c r="B19" s="163"/>
      <c r="C19" s="163"/>
      <c r="D19" s="164"/>
      <c r="E19" s="165"/>
      <c r="F19" s="156"/>
    </row>
    <row r="20" spans="1:6" x14ac:dyDescent="0.6">
      <c r="A20" s="175"/>
      <c r="B20" s="166" t="s">
        <v>7</v>
      </c>
      <c r="C20" s="167" t="s">
        <v>63</v>
      </c>
      <c r="D20" s="168" t="s">
        <v>64</v>
      </c>
      <c r="E20" s="165"/>
      <c r="F20" s="156"/>
    </row>
    <row r="21" spans="1:6" x14ac:dyDescent="0.6">
      <c r="A21" s="175"/>
      <c r="B21" s="176" t="s">
        <v>106</v>
      </c>
      <c r="C21" s="177" t="s">
        <v>82</v>
      </c>
      <c r="D21" s="181">
        <f>D12*34.59</f>
        <v>5026.2729000000008</v>
      </c>
      <c r="E21" s="165"/>
      <c r="F21" s="156"/>
    </row>
    <row r="22" spans="1:6" x14ac:dyDescent="0.6">
      <c r="A22" s="175"/>
      <c r="B22" s="182" t="s">
        <v>105</v>
      </c>
      <c r="C22" s="183" t="s">
        <v>59</v>
      </c>
      <c r="D22" s="184">
        <f>D21</f>
        <v>5026.2729000000008</v>
      </c>
      <c r="E22" s="165"/>
      <c r="F22" s="156"/>
    </row>
    <row r="23" spans="1:6" x14ac:dyDescent="0.6">
      <c r="A23" s="175"/>
      <c r="B23" s="163"/>
      <c r="C23" s="163"/>
      <c r="D23" s="164"/>
      <c r="E23" s="165"/>
      <c r="F23" s="156"/>
    </row>
    <row r="24" spans="1:6" x14ac:dyDescent="0.6">
      <c r="A24" s="157" t="s">
        <v>107</v>
      </c>
      <c r="B24" s="158"/>
      <c r="C24" s="158"/>
      <c r="D24" s="159"/>
      <c r="E24" s="160"/>
      <c r="F24" s="161"/>
    </row>
    <row r="25" spans="1:6" ht="22.5" thickBot="1" x14ac:dyDescent="0.65">
      <c r="A25" s="175"/>
      <c r="B25" s="163"/>
      <c r="C25" s="163"/>
      <c r="D25" s="164"/>
      <c r="E25" s="165"/>
      <c r="F25" s="156"/>
    </row>
    <row r="26" spans="1:6" x14ac:dyDescent="0.6">
      <c r="A26" s="175"/>
      <c r="B26" s="166" t="s">
        <v>7</v>
      </c>
      <c r="C26" s="167" t="s">
        <v>63</v>
      </c>
      <c r="D26" s="168" t="s">
        <v>64</v>
      </c>
      <c r="E26" s="165"/>
      <c r="F26" s="156"/>
    </row>
    <row r="27" spans="1:6" x14ac:dyDescent="0.6">
      <c r="A27" s="175"/>
      <c r="B27" s="176" t="s">
        <v>108</v>
      </c>
      <c r="C27" s="177" t="s">
        <v>90</v>
      </c>
      <c r="D27" s="178">
        <v>50</v>
      </c>
      <c r="E27" s="165"/>
      <c r="F27" s="156"/>
    </row>
    <row r="28" spans="1:6" x14ac:dyDescent="0.6">
      <c r="A28" s="175"/>
      <c r="B28" s="179" t="s">
        <v>109</v>
      </c>
      <c r="C28" s="180" t="s">
        <v>90</v>
      </c>
      <c r="D28" s="181">
        <v>2.4</v>
      </c>
      <c r="E28" s="165"/>
      <c r="F28" s="156"/>
    </row>
    <row r="29" spans="1:6" x14ac:dyDescent="0.6">
      <c r="A29" s="175"/>
      <c r="B29" s="182" t="s">
        <v>110</v>
      </c>
      <c r="C29" s="183" t="s">
        <v>59</v>
      </c>
      <c r="D29" s="184">
        <f>D28*D27</f>
        <v>120</v>
      </c>
      <c r="E29" s="165"/>
      <c r="F29" s="156"/>
    </row>
    <row r="30" spans="1:6" x14ac:dyDescent="0.6">
      <c r="A30" s="175"/>
      <c r="B30" s="163"/>
      <c r="C30" s="163"/>
      <c r="D30" s="164"/>
      <c r="E30" s="165"/>
      <c r="F30" s="156"/>
    </row>
    <row r="31" spans="1:6" x14ac:dyDescent="0.6">
      <c r="A31" s="192"/>
      <c r="B31" s="193"/>
      <c r="C31" s="193"/>
      <c r="D31" s="194"/>
      <c r="E31" s="195"/>
      <c r="F31" s="192"/>
    </row>
    <row r="32" spans="1:6" x14ac:dyDescent="0.6">
      <c r="A32" s="192"/>
      <c r="B32" s="193"/>
      <c r="C32" s="193"/>
      <c r="D32" s="194"/>
      <c r="E32" s="195"/>
      <c r="F32" s="192"/>
    </row>
  </sheetData>
  <mergeCells count="2">
    <mergeCell ref="A4:F4"/>
    <mergeCell ref="A6:F6"/>
  </mergeCells>
  <pageMargins left="0.51181102362204722" right="0.51181102362204722" top="0.78740157480314965" bottom="0.78740157480314965" header="0.31496062992125984" footer="0.31496062992125984"/>
  <pageSetup paperSize="9" scale="4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95"/>
  <sheetViews>
    <sheetView zoomScale="110" zoomScaleNormal="110" workbookViewId="0">
      <selection activeCell="N9" sqref="N9"/>
    </sheetView>
  </sheetViews>
  <sheetFormatPr defaultColWidth="9.140625" defaultRowHeight="12.75" x14ac:dyDescent="0.2"/>
  <cols>
    <col min="1" max="1" width="19.28515625" customWidth="1"/>
    <col min="2" max="2" width="52.42578125" customWidth="1"/>
    <col min="3" max="3" width="6.85546875" customWidth="1"/>
    <col min="4" max="5" width="15.7109375" style="40" customWidth="1"/>
    <col min="6" max="6" width="15.85546875" style="40" customWidth="1"/>
    <col min="7" max="7" width="64.5703125" style="42" customWidth="1"/>
    <col min="8" max="8" width="13.42578125" customWidth="1"/>
  </cols>
  <sheetData>
    <row r="1" spans="1:7" ht="70.5" customHeight="1" thickBot="1" x14ac:dyDescent="0.25">
      <c r="A1" s="331" t="s">
        <v>0</v>
      </c>
      <c r="B1" s="332"/>
      <c r="C1" s="332"/>
      <c r="D1" s="332"/>
      <c r="E1" s="332"/>
      <c r="F1" s="332"/>
      <c r="G1" s="332"/>
    </row>
    <row r="2" spans="1:7" ht="20.25" thickBot="1" x14ac:dyDescent="0.25">
      <c r="A2" s="1" t="s">
        <v>1</v>
      </c>
      <c r="B2" s="2" t="s">
        <v>134</v>
      </c>
      <c r="C2" s="3"/>
      <c r="D2" s="4"/>
      <c r="E2" s="5"/>
      <c r="F2" s="4"/>
      <c r="G2" s="43"/>
    </row>
    <row r="3" spans="1:7" ht="20.25" thickBot="1" x14ac:dyDescent="0.25">
      <c r="A3" s="1" t="s">
        <v>2</v>
      </c>
      <c r="B3" s="6" t="s">
        <v>135</v>
      </c>
      <c r="C3" s="7"/>
      <c r="D3" s="8"/>
      <c r="E3" s="8"/>
      <c r="F3" s="8"/>
      <c r="G3" s="44"/>
    </row>
    <row r="4" spans="1:7" ht="20.25" thickBot="1" x14ac:dyDescent="0.25">
      <c r="A4" s="1" t="s">
        <v>3</v>
      </c>
      <c r="B4" s="6" t="s">
        <v>58</v>
      </c>
      <c r="C4" s="7"/>
      <c r="D4" s="8"/>
      <c r="E4" s="8"/>
      <c r="F4" s="8"/>
      <c r="G4" s="44"/>
    </row>
    <row r="5" spans="1:7" ht="20.25" thickBot="1" x14ac:dyDescent="0.25">
      <c r="A5" s="9" t="s">
        <v>4</v>
      </c>
      <c r="B5" s="10">
        <v>45460</v>
      </c>
      <c r="C5" s="11"/>
      <c r="D5" s="12"/>
      <c r="E5" s="11"/>
      <c r="F5" s="11"/>
      <c r="G5" s="45"/>
    </row>
    <row r="6" spans="1:7" ht="20.25" thickBot="1" x14ac:dyDescent="0.25">
      <c r="A6" s="333" t="s">
        <v>136</v>
      </c>
      <c r="B6" s="334"/>
      <c r="C6" s="334"/>
      <c r="D6" s="334"/>
      <c r="E6" s="334"/>
      <c r="F6" s="335"/>
      <c r="G6" s="308" t="s">
        <v>5</v>
      </c>
    </row>
    <row r="7" spans="1:7" ht="31.5" x14ac:dyDescent="0.2">
      <c r="A7" s="13" t="s">
        <v>6</v>
      </c>
      <c r="B7" s="13" t="s">
        <v>7</v>
      </c>
      <c r="C7" s="13" t="s">
        <v>8</v>
      </c>
      <c r="D7" s="14" t="s">
        <v>9</v>
      </c>
      <c r="E7" s="14" t="s">
        <v>10</v>
      </c>
      <c r="F7" s="15" t="s">
        <v>11</v>
      </c>
      <c r="G7" s="41" t="s">
        <v>12</v>
      </c>
    </row>
    <row r="8" spans="1:7" s="20" customFormat="1" ht="15.75" x14ac:dyDescent="0.45">
      <c r="A8" s="16" t="s">
        <v>137</v>
      </c>
      <c r="B8" s="17" t="s">
        <v>18</v>
      </c>
      <c r="C8" s="17"/>
      <c r="D8" s="18"/>
      <c r="E8" s="18"/>
      <c r="F8" s="19">
        <f>F9+F27+F37+F50+F81+F102+F141</f>
        <v>8032160.9856539993</v>
      </c>
      <c r="G8" s="46"/>
    </row>
    <row r="9" spans="1:7" s="20" customFormat="1" ht="15.75" x14ac:dyDescent="0.45">
      <c r="A9" s="21" t="s">
        <v>138</v>
      </c>
      <c r="B9" s="22" t="s">
        <v>139</v>
      </c>
      <c r="C9" s="22"/>
      <c r="D9" s="23"/>
      <c r="E9" s="23"/>
      <c r="F9" s="24">
        <f>F10+F21</f>
        <v>784745.35880000005</v>
      </c>
      <c r="G9" s="47"/>
    </row>
    <row r="10" spans="1:7" s="20" customFormat="1" ht="15.75" x14ac:dyDescent="0.45">
      <c r="A10" s="25" t="s">
        <v>140</v>
      </c>
      <c r="B10" s="26" t="s">
        <v>14</v>
      </c>
      <c r="C10" s="26"/>
      <c r="D10" s="27"/>
      <c r="E10" s="27"/>
      <c r="F10" s="28">
        <f>SUM(F11:F20)</f>
        <v>606080</v>
      </c>
      <c r="G10" s="48"/>
    </row>
    <row r="11" spans="1:7" s="20" customFormat="1" ht="13.5" customHeight="1" x14ac:dyDescent="0.45">
      <c r="A11" s="33" t="s">
        <v>141</v>
      </c>
      <c r="B11" s="34" t="s">
        <v>142</v>
      </c>
      <c r="C11" s="34" t="s">
        <v>143</v>
      </c>
      <c r="D11" s="35">
        <v>20</v>
      </c>
      <c r="E11" s="35">
        <v>5000</v>
      </c>
      <c r="F11" s="36">
        <f t="shared" ref="F11:F26" si="0">E11*D11</f>
        <v>100000</v>
      </c>
      <c r="G11" s="50"/>
    </row>
    <row r="12" spans="1:7" s="20" customFormat="1" ht="13.5" customHeight="1" x14ac:dyDescent="0.45">
      <c r="A12" s="33" t="s">
        <v>144</v>
      </c>
      <c r="B12" s="34" t="s">
        <v>145</v>
      </c>
      <c r="C12" s="34" t="s">
        <v>146</v>
      </c>
      <c r="D12" s="35">
        <v>1</v>
      </c>
      <c r="E12" s="35">
        <v>50000</v>
      </c>
      <c r="F12" s="36">
        <f t="shared" si="0"/>
        <v>50000</v>
      </c>
      <c r="G12" s="50"/>
    </row>
    <row r="13" spans="1:7" s="20" customFormat="1" ht="13.5" customHeight="1" x14ac:dyDescent="0.45">
      <c r="A13" s="33" t="s">
        <v>147</v>
      </c>
      <c r="B13" s="34" t="s">
        <v>148</v>
      </c>
      <c r="C13" s="34" t="s">
        <v>146</v>
      </c>
      <c r="D13" s="35">
        <v>1</v>
      </c>
      <c r="E13" s="35">
        <v>39000</v>
      </c>
      <c r="F13" s="36">
        <f t="shared" si="0"/>
        <v>39000</v>
      </c>
      <c r="G13" s="50"/>
    </row>
    <row r="14" spans="1:7" s="20" customFormat="1" ht="13.5" customHeight="1" x14ac:dyDescent="0.45">
      <c r="A14" s="33" t="s">
        <v>149</v>
      </c>
      <c r="B14" s="34" t="s">
        <v>150</v>
      </c>
      <c r="C14" s="34" t="s">
        <v>146</v>
      </c>
      <c r="D14" s="35">
        <v>1</v>
      </c>
      <c r="E14" s="35">
        <v>50000</v>
      </c>
      <c r="F14" s="36">
        <f t="shared" si="0"/>
        <v>50000</v>
      </c>
      <c r="G14" s="50"/>
    </row>
    <row r="15" spans="1:7" s="20" customFormat="1" ht="13.5" customHeight="1" x14ac:dyDescent="0.45">
      <c r="A15" s="33" t="s">
        <v>151</v>
      </c>
      <c r="B15" s="34" t="s">
        <v>152</v>
      </c>
      <c r="C15" s="34" t="s">
        <v>146</v>
      </c>
      <c r="D15" s="35">
        <v>1</v>
      </c>
      <c r="E15" s="35">
        <v>30000</v>
      </c>
      <c r="F15" s="36">
        <f t="shared" si="0"/>
        <v>30000</v>
      </c>
      <c r="G15" s="50"/>
    </row>
    <row r="16" spans="1:7" s="20" customFormat="1" ht="13.5" customHeight="1" x14ac:dyDescent="0.45">
      <c r="A16" s="33" t="s">
        <v>153</v>
      </c>
      <c r="B16" s="34" t="s">
        <v>154</v>
      </c>
      <c r="C16" s="34" t="s">
        <v>146</v>
      </c>
      <c r="D16" s="35">
        <v>1</v>
      </c>
      <c r="E16" s="35">
        <v>5000</v>
      </c>
      <c r="F16" s="36">
        <f t="shared" si="0"/>
        <v>5000</v>
      </c>
      <c r="G16" s="50"/>
    </row>
    <row r="17" spans="1:7" s="20" customFormat="1" ht="13.5" customHeight="1" x14ac:dyDescent="0.45">
      <c r="A17" s="33" t="s">
        <v>1127</v>
      </c>
      <c r="B17" s="34" t="s">
        <v>155</v>
      </c>
      <c r="C17" s="34" t="s">
        <v>156</v>
      </c>
      <c r="D17" s="35">
        <v>11</v>
      </c>
      <c r="E17" s="35">
        <v>6000</v>
      </c>
      <c r="F17" s="36">
        <f t="shared" si="0"/>
        <v>66000</v>
      </c>
      <c r="G17" s="50"/>
    </row>
    <row r="18" spans="1:7" s="20" customFormat="1" ht="13.5" customHeight="1" x14ac:dyDescent="0.45">
      <c r="A18" s="33" t="s">
        <v>1128</v>
      </c>
      <c r="B18" s="34" t="s">
        <v>157</v>
      </c>
      <c r="C18" s="34" t="s">
        <v>146</v>
      </c>
      <c r="D18" s="35">
        <v>1</v>
      </c>
      <c r="E18" s="35">
        <v>7000</v>
      </c>
      <c r="F18" s="36">
        <f t="shared" si="0"/>
        <v>7000</v>
      </c>
      <c r="G18" s="50"/>
    </row>
    <row r="19" spans="1:7" s="20" customFormat="1" ht="13.5" customHeight="1" x14ac:dyDescent="0.45">
      <c r="A19" s="33" t="s">
        <v>1129</v>
      </c>
      <c r="B19" s="34" t="s">
        <v>158</v>
      </c>
      <c r="C19" s="34" t="s">
        <v>146</v>
      </c>
      <c r="D19" s="35">
        <v>1</v>
      </c>
      <c r="E19" s="35">
        <v>6000</v>
      </c>
      <c r="F19" s="36">
        <f t="shared" si="0"/>
        <v>6000</v>
      </c>
      <c r="G19" s="50"/>
    </row>
    <row r="20" spans="1:7" s="20" customFormat="1" ht="13.5" customHeight="1" x14ac:dyDescent="0.45">
      <c r="A20" s="33" t="s">
        <v>1130</v>
      </c>
      <c r="B20" s="34" t="s">
        <v>159</v>
      </c>
      <c r="C20" s="34" t="s">
        <v>146</v>
      </c>
      <c r="D20" s="35">
        <v>1</v>
      </c>
      <c r="E20" s="35">
        <v>253080</v>
      </c>
      <c r="F20" s="36">
        <f t="shared" si="0"/>
        <v>253080</v>
      </c>
      <c r="G20" s="50"/>
    </row>
    <row r="21" spans="1:7" s="20" customFormat="1" ht="14.25" customHeight="1" x14ac:dyDescent="0.45">
      <c r="A21" s="29" t="s">
        <v>160</v>
      </c>
      <c r="B21" s="30" t="s">
        <v>15</v>
      </c>
      <c r="C21" s="30"/>
      <c r="D21" s="31"/>
      <c r="E21" s="31"/>
      <c r="F21" s="32">
        <f>SUM(F22:F26)</f>
        <v>178665.35879999999</v>
      </c>
      <c r="G21" s="49"/>
    </row>
    <row r="22" spans="1:7" s="20" customFormat="1" ht="14.25" customHeight="1" x14ac:dyDescent="0.45">
      <c r="A22" s="33" t="s">
        <v>161</v>
      </c>
      <c r="B22" s="34" t="s">
        <v>162</v>
      </c>
      <c r="C22" s="34" t="s">
        <v>163</v>
      </c>
      <c r="D22" s="35">
        <v>266.26</v>
      </c>
      <c r="E22" s="35">
        <v>543.38</v>
      </c>
      <c r="F22" s="36">
        <f t="shared" si="0"/>
        <v>144680.35879999999</v>
      </c>
      <c r="G22" s="211" t="s">
        <v>524</v>
      </c>
    </row>
    <row r="23" spans="1:7" s="20" customFormat="1" ht="14.25" customHeight="1" x14ac:dyDescent="0.45">
      <c r="A23" s="33" t="s">
        <v>164</v>
      </c>
      <c r="B23" s="34" t="s">
        <v>165</v>
      </c>
      <c r="C23" s="34" t="s">
        <v>146</v>
      </c>
      <c r="D23" s="35">
        <v>1</v>
      </c>
      <c r="E23" s="35">
        <v>5520</v>
      </c>
      <c r="F23" s="36">
        <f t="shared" si="0"/>
        <v>5520</v>
      </c>
      <c r="G23" s="211" t="s">
        <v>524</v>
      </c>
    </row>
    <row r="24" spans="1:7" s="20" customFormat="1" ht="14.25" customHeight="1" x14ac:dyDescent="0.45">
      <c r="A24" s="33" t="s">
        <v>166</v>
      </c>
      <c r="B24" s="34" t="s">
        <v>167</v>
      </c>
      <c r="C24" s="34" t="s">
        <v>146</v>
      </c>
      <c r="D24" s="35">
        <v>1</v>
      </c>
      <c r="E24" s="35">
        <v>340</v>
      </c>
      <c r="F24" s="36">
        <f t="shared" si="0"/>
        <v>340</v>
      </c>
      <c r="G24" s="211" t="s">
        <v>524</v>
      </c>
    </row>
    <row r="25" spans="1:7" s="20" customFormat="1" ht="14.25" customHeight="1" x14ac:dyDescent="0.45">
      <c r="A25" s="33" t="s">
        <v>168</v>
      </c>
      <c r="B25" s="34" t="s">
        <v>169</v>
      </c>
      <c r="C25" s="34" t="s">
        <v>146</v>
      </c>
      <c r="D25" s="35">
        <v>1</v>
      </c>
      <c r="E25" s="35">
        <v>3165</v>
      </c>
      <c r="F25" s="36">
        <f t="shared" si="0"/>
        <v>3165</v>
      </c>
      <c r="G25" s="211" t="s">
        <v>524</v>
      </c>
    </row>
    <row r="26" spans="1:7" s="20" customFormat="1" ht="14.25" customHeight="1" x14ac:dyDescent="0.45">
      <c r="A26" s="33" t="s">
        <v>170</v>
      </c>
      <c r="B26" s="34" t="s">
        <v>171</v>
      </c>
      <c r="C26" s="34" t="s">
        <v>146</v>
      </c>
      <c r="D26" s="35">
        <v>1</v>
      </c>
      <c r="E26" s="35">
        <v>24960</v>
      </c>
      <c r="F26" s="36">
        <f t="shared" si="0"/>
        <v>24960</v>
      </c>
      <c r="G26" s="211" t="s">
        <v>524</v>
      </c>
    </row>
    <row r="27" spans="1:7" s="20" customFormat="1" ht="15.75" x14ac:dyDescent="0.45">
      <c r="A27" s="21" t="s">
        <v>172</v>
      </c>
      <c r="B27" s="22" t="s">
        <v>173</v>
      </c>
      <c r="C27" s="22"/>
      <c r="D27" s="23"/>
      <c r="E27" s="23"/>
      <c r="F27" s="24">
        <f>F28+F31+F34</f>
        <v>330000</v>
      </c>
      <c r="G27" s="47"/>
    </row>
    <row r="28" spans="1:7" s="20" customFormat="1" ht="15.75" x14ac:dyDescent="0.45">
      <c r="A28" s="25" t="s">
        <v>174</v>
      </c>
      <c r="B28" s="26" t="s">
        <v>175</v>
      </c>
      <c r="C28" s="26"/>
      <c r="D28" s="27"/>
      <c r="E28" s="27"/>
      <c r="F28" s="28">
        <f>SUM(F29:F30)</f>
        <v>92000</v>
      </c>
      <c r="G28" s="48"/>
    </row>
    <row r="29" spans="1:7" s="20" customFormat="1" ht="14.25" customHeight="1" x14ac:dyDescent="0.45">
      <c r="A29" s="33" t="s">
        <v>176</v>
      </c>
      <c r="B29" s="34" t="s">
        <v>177</v>
      </c>
      <c r="C29" s="34" t="s">
        <v>146</v>
      </c>
      <c r="D29" s="35">
        <v>1</v>
      </c>
      <c r="E29" s="35">
        <v>50000</v>
      </c>
      <c r="F29" s="36">
        <f>E29*D29</f>
        <v>50000</v>
      </c>
      <c r="G29" s="50"/>
    </row>
    <row r="30" spans="1:7" s="20" customFormat="1" ht="14.25" customHeight="1" x14ac:dyDescent="0.45">
      <c r="A30" s="33" t="s">
        <v>178</v>
      </c>
      <c r="B30" s="34" t="s">
        <v>179</v>
      </c>
      <c r="C30" s="34" t="s">
        <v>146</v>
      </c>
      <c r="D30" s="35">
        <v>1</v>
      </c>
      <c r="E30" s="35">
        <v>42000</v>
      </c>
      <c r="F30" s="36">
        <f>E30*D30</f>
        <v>42000</v>
      </c>
      <c r="G30" s="51"/>
    </row>
    <row r="31" spans="1:7" s="20" customFormat="1" ht="15.75" x14ac:dyDescent="0.45">
      <c r="A31" s="25" t="s">
        <v>180</v>
      </c>
      <c r="B31" s="26" t="s">
        <v>181</v>
      </c>
      <c r="C31" s="26"/>
      <c r="D31" s="27"/>
      <c r="E31" s="27"/>
      <c r="F31" s="28">
        <f>SUM(F32:F33)</f>
        <v>155000</v>
      </c>
      <c r="G31" s="48"/>
    </row>
    <row r="32" spans="1:7" s="20" customFormat="1" ht="14.25" customHeight="1" x14ac:dyDescent="0.45">
      <c r="A32" s="33" t="s">
        <v>182</v>
      </c>
      <c r="B32" s="34" t="s">
        <v>183</v>
      </c>
      <c r="C32" s="34" t="s">
        <v>146</v>
      </c>
      <c r="D32" s="35">
        <v>1</v>
      </c>
      <c r="E32" s="35">
        <v>60000</v>
      </c>
      <c r="F32" s="36">
        <f>E32*D32</f>
        <v>60000</v>
      </c>
      <c r="G32" s="50"/>
    </row>
    <row r="33" spans="1:7" s="20" customFormat="1" ht="14.25" customHeight="1" x14ac:dyDescent="0.45">
      <c r="A33" s="33" t="s">
        <v>184</v>
      </c>
      <c r="B33" s="34" t="s">
        <v>185</v>
      </c>
      <c r="C33" s="34" t="s">
        <v>146</v>
      </c>
      <c r="D33" s="35">
        <v>1</v>
      </c>
      <c r="E33" s="35">
        <v>95000</v>
      </c>
      <c r="F33" s="36">
        <f>E33*D33</f>
        <v>95000</v>
      </c>
      <c r="G33" s="50"/>
    </row>
    <row r="34" spans="1:7" s="20" customFormat="1" ht="14.25" customHeight="1" x14ac:dyDescent="0.45">
      <c r="A34" s="29" t="s">
        <v>186</v>
      </c>
      <c r="B34" s="30" t="s">
        <v>13</v>
      </c>
      <c r="C34" s="30"/>
      <c r="D34" s="31"/>
      <c r="E34" s="31"/>
      <c r="F34" s="32">
        <f>SUM(F35:F36)</f>
        <v>83000</v>
      </c>
      <c r="G34" s="49"/>
    </row>
    <row r="35" spans="1:7" s="20" customFormat="1" ht="15.75" x14ac:dyDescent="0.45">
      <c r="A35" s="37" t="s">
        <v>187</v>
      </c>
      <c r="B35" s="34" t="s">
        <v>188</v>
      </c>
      <c r="C35" s="34" t="s">
        <v>146</v>
      </c>
      <c r="D35" s="35">
        <v>1</v>
      </c>
      <c r="E35" s="35">
        <v>38000</v>
      </c>
      <c r="F35" s="36">
        <f>E35*D35</f>
        <v>38000</v>
      </c>
      <c r="G35" s="50"/>
    </row>
    <row r="36" spans="1:7" s="20" customFormat="1" ht="31.5" x14ac:dyDescent="0.45">
      <c r="A36" s="37" t="s">
        <v>189</v>
      </c>
      <c r="B36" s="34" t="s">
        <v>190</v>
      </c>
      <c r="C36" s="34" t="s">
        <v>146</v>
      </c>
      <c r="D36" s="35">
        <v>1</v>
      </c>
      <c r="E36" s="35">
        <v>45000</v>
      </c>
      <c r="F36" s="36">
        <f>E36*D36</f>
        <v>45000</v>
      </c>
      <c r="G36" s="50"/>
    </row>
    <row r="37" spans="1:7" s="20" customFormat="1" ht="15.75" x14ac:dyDescent="0.45">
      <c r="A37" s="21" t="s">
        <v>191</v>
      </c>
      <c r="B37" s="22" t="s">
        <v>28</v>
      </c>
      <c r="C37" s="22"/>
      <c r="D37" s="23"/>
      <c r="E37" s="23"/>
      <c r="F37" s="24">
        <f>F38+F40+F46+F48</f>
        <v>1841240</v>
      </c>
      <c r="G37" s="47"/>
    </row>
    <row r="38" spans="1:7" s="20" customFormat="1" ht="15.75" x14ac:dyDescent="0.45">
      <c r="A38" s="25" t="s">
        <v>192</v>
      </c>
      <c r="B38" s="26" t="s">
        <v>193</v>
      </c>
      <c r="C38" s="26"/>
      <c r="D38" s="27"/>
      <c r="E38" s="27"/>
      <c r="F38" s="28">
        <f>F39</f>
        <v>70000</v>
      </c>
      <c r="G38" s="48"/>
    </row>
    <row r="39" spans="1:7" s="20" customFormat="1" ht="14.25" customHeight="1" x14ac:dyDescent="0.45">
      <c r="A39" s="33" t="s">
        <v>194</v>
      </c>
      <c r="B39" s="34" t="s">
        <v>195</v>
      </c>
      <c r="C39" s="34" t="s">
        <v>146</v>
      </c>
      <c r="D39" s="35">
        <v>1</v>
      </c>
      <c r="E39" s="35">
        <v>70000</v>
      </c>
      <c r="F39" s="36">
        <f>E39*D39</f>
        <v>70000</v>
      </c>
      <c r="G39" s="50"/>
    </row>
    <row r="40" spans="1:7" s="20" customFormat="1" ht="15.75" x14ac:dyDescent="0.45">
      <c r="A40" s="25" t="s">
        <v>196</v>
      </c>
      <c r="B40" s="26" t="s">
        <v>197</v>
      </c>
      <c r="C40" s="26"/>
      <c r="D40" s="27"/>
      <c r="E40" s="27"/>
      <c r="F40" s="28">
        <f>SUM(F41:F45)</f>
        <v>603000</v>
      </c>
      <c r="G40" s="48"/>
    </row>
    <row r="41" spans="1:7" s="20" customFormat="1" ht="31.5" x14ac:dyDescent="0.45">
      <c r="A41" s="37" t="s">
        <v>198</v>
      </c>
      <c r="B41" s="34" t="s">
        <v>199</v>
      </c>
      <c r="C41" s="34" t="s">
        <v>146</v>
      </c>
      <c r="D41" s="35">
        <v>1</v>
      </c>
      <c r="E41" s="35">
        <v>30000</v>
      </c>
      <c r="F41" s="36">
        <f>E41*D41</f>
        <v>30000</v>
      </c>
      <c r="G41" s="50"/>
    </row>
    <row r="42" spans="1:7" s="20" customFormat="1" ht="31.5" x14ac:dyDescent="0.45">
      <c r="A42" s="37" t="s">
        <v>200</v>
      </c>
      <c r="B42" s="34" t="s">
        <v>201</v>
      </c>
      <c r="C42" s="34" t="s">
        <v>146</v>
      </c>
      <c r="D42" s="35">
        <v>1</v>
      </c>
      <c r="E42" s="35">
        <v>100000</v>
      </c>
      <c r="F42" s="36">
        <f>E42*D42</f>
        <v>100000</v>
      </c>
      <c r="G42" s="50"/>
    </row>
    <row r="43" spans="1:7" s="20" customFormat="1" ht="31.5" x14ac:dyDescent="0.45">
      <c r="A43" s="37" t="s">
        <v>1131</v>
      </c>
      <c r="B43" s="34" t="s">
        <v>202</v>
      </c>
      <c r="C43" s="34" t="s">
        <v>156</v>
      </c>
      <c r="D43" s="35">
        <v>11</v>
      </c>
      <c r="E43" s="35">
        <v>14000</v>
      </c>
      <c r="F43" s="36">
        <f>E43*D43</f>
        <v>154000</v>
      </c>
      <c r="G43" s="50"/>
    </row>
    <row r="44" spans="1:7" s="20" customFormat="1" ht="31.5" x14ac:dyDescent="0.45">
      <c r="A44" s="37" t="s">
        <v>1132</v>
      </c>
      <c r="B44" s="34" t="s">
        <v>203</v>
      </c>
      <c r="C44" s="34" t="s">
        <v>156</v>
      </c>
      <c r="D44" s="35">
        <v>11</v>
      </c>
      <c r="E44" s="35">
        <v>15000</v>
      </c>
      <c r="F44" s="36">
        <f>E44*D44</f>
        <v>165000</v>
      </c>
      <c r="G44" s="50"/>
    </row>
    <row r="45" spans="1:7" s="20" customFormat="1" ht="31.5" x14ac:dyDescent="0.45">
      <c r="A45" s="37" t="s">
        <v>1133</v>
      </c>
      <c r="B45" s="34" t="s">
        <v>204</v>
      </c>
      <c r="C45" s="34" t="s">
        <v>156</v>
      </c>
      <c r="D45" s="35">
        <v>11</v>
      </c>
      <c r="E45" s="35">
        <v>14000</v>
      </c>
      <c r="F45" s="36">
        <f>E45*D45</f>
        <v>154000</v>
      </c>
      <c r="G45" s="50"/>
    </row>
    <row r="46" spans="1:7" s="20" customFormat="1" ht="15.75" x14ac:dyDescent="0.45">
      <c r="A46" s="25" t="s">
        <v>205</v>
      </c>
      <c r="B46" s="26" t="s">
        <v>29</v>
      </c>
      <c r="C46" s="26"/>
      <c r="D46" s="27"/>
      <c r="E46" s="27"/>
      <c r="F46" s="28">
        <f>F47</f>
        <v>1150000</v>
      </c>
      <c r="G46" s="48"/>
    </row>
    <row r="47" spans="1:7" s="20" customFormat="1" ht="15.75" x14ac:dyDescent="0.45">
      <c r="A47" s="37" t="s">
        <v>206</v>
      </c>
      <c r="B47" s="34" t="s">
        <v>207</v>
      </c>
      <c r="C47" s="34" t="s">
        <v>146</v>
      </c>
      <c r="D47" s="35">
        <v>1</v>
      </c>
      <c r="E47" s="35">
        <v>1150000</v>
      </c>
      <c r="F47" s="36">
        <f>E47*D47</f>
        <v>1150000</v>
      </c>
      <c r="G47" s="50"/>
    </row>
    <row r="48" spans="1:7" s="20" customFormat="1" ht="15.75" x14ac:dyDescent="0.45">
      <c r="A48" s="25" t="s">
        <v>208</v>
      </c>
      <c r="B48" s="26" t="s">
        <v>209</v>
      </c>
      <c r="C48" s="26"/>
      <c r="D48" s="27"/>
      <c r="E48" s="27"/>
      <c r="F48" s="28">
        <f>F49</f>
        <v>18240</v>
      </c>
      <c r="G48" s="48"/>
    </row>
    <row r="49" spans="1:7" s="20" customFormat="1" ht="15.75" x14ac:dyDescent="0.45">
      <c r="A49" s="37" t="s">
        <v>210</v>
      </c>
      <c r="B49" s="34" t="s">
        <v>211</v>
      </c>
      <c r="C49" s="34" t="s">
        <v>163</v>
      </c>
      <c r="D49" s="35">
        <v>6.4</v>
      </c>
      <c r="E49" s="35">
        <v>2850</v>
      </c>
      <c r="F49" s="36">
        <f>E49*D49</f>
        <v>18240</v>
      </c>
      <c r="G49" s="50"/>
    </row>
    <row r="50" spans="1:7" s="20" customFormat="1" ht="15.75" x14ac:dyDescent="0.45">
      <c r="A50" s="21" t="s">
        <v>212</v>
      </c>
      <c r="B50" s="22" t="s">
        <v>213</v>
      </c>
      <c r="C50" s="22"/>
      <c r="D50" s="23"/>
      <c r="E50" s="23"/>
      <c r="F50" s="24">
        <f>F51+F57+F70+F78</f>
        <v>1149462.346568</v>
      </c>
      <c r="G50" s="47"/>
    </row>
    <row r="51" spans="1:7" s="20" customFormat="1" ht="15.75" x14ac:dyDescent="0.45">
      <c r="A51" s="25" t="s">
        <v>214</v>
      </c>
      <c r="B51" s="26" t="s">
        <v>19</v>
      </c>
      <c r="C51" s="26"/>
      <c r="D51" s="27"/>
      <c r="E51" s="27"/>
      <c r="F51" s="28">
        <f>SUM(F52:F56)</f>
        <v>244776</v>
      </c>
      <c r="G51" s="48"/>
    </row>
    <row r="52" spans="1:7" s="20" customFormat="1" ht="14.25" customHeight="1" x14ac:dyDescent="0.45">
      <c r="A52" s="33" t="s">
        <v>215</v>
      </c>
      <c r="B52" s="34" t="s">
        <v>216</v>
      </c>
      <c r="C52" s="34" t="s">
        <v>146</v>
      </c>
      <c r="D52" s="35">
        <v>1</v>
      </c>
      <c r="E52" s="35">
        <v>4500</v>
      </c>
      <c r="F52" s="36">
        <f t="shared" ref="F52:F54" si="1">E52*D52</f>
        <v>4500</v>
      </c>
      <c r="G52" s="50"/>
    </row>
    <row r="53" spans="1:7" s="20" customFormat="1" ht="14.25" customHeight="1" x14ac:dyDescent="0.45">
      <c r="A53" s="33" t="s">
        <v>217</v>
      </c>
      <c r="B53" s="34" t="s">
        <v>218</v>
      </c>
      <c r="C53" s="34" t="s">
        <v>146</v>
      </c>
      <c r="D53" s="35">
        <v>1</v>
      </c>
      <c r="E53" s="35">
        <v>12000</v>
      </c>
      <c r="F53" s="36">
        <f t="shared" si="1"/>
        <v>12000</v>
      </c>
      <c r="G53" s="50"/>
    </row>
    <row r="54" spans="1:7" s="20" customFormat="1" ht="14.25" customHeight="1" x14ac:dyDescent="0.45">
      <c r="A54" s="33" t="s">
        <v>1134</v>
      </c>
      <c r="B54" s="34" t="s">
        <v>1135</v>
      </c>
      <c r="C54" s="34" t="s">
        <v>146</v>
      </c>
      <c r="D54" s="35">
        <v>1</v>
      </c>
      <c r="E54" s="35">
        <v>7076</v>
      </c>
      <c r="F54" s="36">
        <f t="shared" si="1"/>
        <v>7076</v>
      </c>
      <c r="G54" s="50"/>
    </row>
    <row r="55" spans="1:7" s="20" customFormat="1" ht="14.25" customHeight="1" x14ac:dyDescent="0.45">
      <c r="A55" s="33" t="s">
        <v>1136</v>
      </c>
      <c r="B55" s="34" t="s">
        <v>219</v>
      </c>
      <c r="C55" s="34" t="s">
        <v>143</v>
      </c>
      <c r="D55" s="35">
        <v>20</v>
      </c>
      <c r="E55" s="35">
        <v>5760</v>
      </c>
      <c r="F55" s="36">
        <f>E55*D55</f>
        <v>115200</v>
      </c>
      <c r="G55" s="50"/>
    </row>
    <row r="56" spans="1:7" s="20" customFormat="1" ht="14.25" customHeight="1" x14ac:dyDescent="0.45">
      <c r="A56" s="33" t="s">
        <v>1137</v>
      </c>
      <c r="B56" s="34" t="s">
        <v>220</v>
      </c>
      <c r="C56" s="34" t="s">
        <v>143</v>
      </c>
      <c r="D56" s="35">
        <v>20</v>
      </c>
      <c r="E56" s="35">
        <v>5300</v>
      </c>
      <c r="F56" s="36">
        <f>E56*D56</f>
        <v>106000</v>
      </c>
      <c r="G56" s="50"/>
    </row>
    <row r="57" spans="1:7" s="20" customFormat="1" ht="15.75" x14ac:dyDescent="0.45">
      <c r="A57" s="29" t="s">
        <v>221</v>
      </c>
      <c r="B57" s="30" t="s">
        <v>20</v>
      </c>
      <c r="C57" s="30"/>
      <c r="D57" s="31"/>
      <c r="E57" s="31"/>
      <c r="F57" s="32">
        <f>SUM(F58:F69)</f>
        <v>457586.34656800004</v>
      </c>
      <c r="G57" s="49"/>
    </row>
    <row r="58" spans="1:7" s="20" customFormat="1" ht="15.75" x14ac:dyDescent="0.45">
      <c r="A58" s="37" t="s">
        <v>223</v>
      </c>
      <c r="B58" s="34" t="s">
        <v>222</v>
      </c>
      <c r="C58" s="34" t="s">
        <v>143</v>
      </c>
      <c r="D58" s="35">
        <v>20</v>
      </c>
      <c r="E58" s="35">
        <v>3000</v>
      </c>
      <c r="F58" s="36">
        <f>E58*D58</f>
        <v>60000</v>
      </c>
      <c r="G58" s="50"/>
    </row>
    <row r="59" spans="1:7" s="20" customFormat="1" ht="15.75" x14ac:dyDescent="0.45">
      <c r="A59" s="37" t="s">
        <v>225</v>
      </c>
      <c r="B59" s="34" t="s">
        <v>224</v>
      </c>
      <c r="C59" s="34" t="s">
        <v>90</v>
      </c>
      <c r="D59" s="35">
        <v>145</v>
      </c>
      <c r="E59" s="35">
        <v>246.07759999999999</v>
      </c>
      <c r="F59" s="36">
        <f t="shared" ref="F59:F63" si="2">E59*D59</f>
        <v>35681.252</v>
      </c>
      <c r="G59" s="211" t="s">
        <v>525</v>
      </c>
    </row>
    <row r="60" spans="1:7" s="20" customFormat="1" ht="15.75" x14ac:dyDescent="0.45">
      <c r="A60" s="37" t="s">
        <v>227</v>
      </c>
      <c r="B60" s="34" t="s">
        <v>226</v>
      </c>
      <c r="C60" s="34" t="s">
        <v>90</v>
      </c>
      <c r="D60" s="35">
        <v>145</v>
      </c>
      <c r="E60" s="35">
        <v>138.32929999999999</v>
      </c>
      <c r="F60" s="36">
        <f t="shared" si="2"/>
        <v>20057.748499999998</v>
      </c>
      <c r="G60" s="211" t="s">
        <v>525</v>
      </c>
    </row>
    <row r="61" spans="1:7" s="20" customFormat="1" ht="15.75" x14ac:dyDescent="0.45">
      <c r="A61" s="37" t="s">
        <v>229</v>
      </c>
      <c r="B61" s="34" t="s">
        <v>228</v>
      </c>
      <c r="C61" s="34" t="s">
        <v>146</v>
      </c>
      <c r="D61" s="35">
        <v>1</v>
      </c>
      <c r="E61" s="35">
        <v>46000</v>
      </c>
      <c r="F61" s="36">
        <f t="shared" si="2"/>
        <v>46000</v>
      </c>
      <c r="G61" s="50"/>
    </row>
    <row r="62" spans="1:7" s="20" customFormat="1" ht="18.75" customHeight="1" x14ac:dyDescent="0.45">
      <c r="A62" s="37" t="s">
        <v>231</v>
      </c>
      <c r="B62" s="34" t="s">
        <v>230</v>
      </c>
      <c r="C62" s="34" t="s">
        <v>90</v>
      </c>
      <c r="D62" s="35">
        <v>120</v>
      </c>
      <c r="E62" s="35">
        <v>247.08359999999999</v>
      </c>
      <c r="F62" s="36">
        <f t="shared" si="2"/>
        <v>29650.031999999999</v>
      </c>
      <c r="G62" s="50"/>
    </row>
    <row r="63" spans="1:7" s="20" customFormat="1" ht="15.75" x14ac:dyDescent="0.45">
      <c r="A63" s="37" t="s">
        <v>233</v>
      </c>
      <c r="B63" s="34" t="s">
        <v>232</v>
      </c>
      <c r="C63" s="34" t="s">
        <v>59</v>
      </c>
      <c r="D63" s="35">
        <v>5026.2700000000004</v>
      </c>
      <c r="E63" s="35">
        <v>12.4284</v>
      </c>
      <c r="F63" s="36">
        <f t="shared" si="2"/>
        <v>62468.494068000007</v>
      </c>
      <c r="G63" s="211" t="s">
        <v>525</v>
      </c>
    </row>
    <row r="64" spans="1:7" s="20" customFormat="1" ht="15.75" x14ac:dyDescent="0.45">
      <c r="A64" s="37" t="s">
        <v>1138</v>
      </c>
      <c r="B64" s="34" t="s">
        <v>236</v>
      </c>
      <c r="C64" s="34" t="s">
        <v>90</v>
      </c>
      <c r="D64" s="35">
        <v>50</v>
      </c>
      <c r="E64" s="35">
        <v>138.1764</v>
      </c>
      <c r="F64" s="36">
        <f>E64*D64</f>
        <v>6908.82</v>
      </c>
      <c r="G64" s="50"/>
    </row>
    <row r="65" spans="1:7" s="20" customFormat="1" ht="15.75" x14ac:dyDescent="0.45">
      <c r="A65" s="37" t="s">
        <v>1139</v>
      </c>
      <c r="B65" s="34" t="s">
        <v>234</v>
      </c>
      <c r="C65" s="34" t="s">
        <v>146</v>
      </c>
      <c r="D65" s="35">
        <v>1</v>
      </c>
      <c r="E65" s="35">
        <v>20320</v>
      </c>
      <c r="F65" s="36">
        <f>E65*D65</f>
        <v>20320</v>
      </c>
      <c r="G65" s="50"/>
    </row>
    <row r="66" spans="1:7" s="20" customFormat="1" ht="15.75" x14ac:dyDescent="0.45">
      <c r="A66" s="37" t="s">
        <v>1140</v>
      </c>
      <c r="B66" s="34" t="s">
        <v>235</v>
      </c>
      <c r="C66" s="34" t="s">
        <v>146</v>
      </c>
      <c r="D66" s="35">
        <v>1</v>
      </c>
      <c r="E66" s="35">
        <v>120000</v>
      </c>
      <c r="F66" s="36">
        <f t="shared" ref="F66:F67" si="3">E66*D66</f>
        <v>120000</v>
      </c>
      <c r="G66" s="211" t="s">
        <v>525</v>
      </c>
    </row>
    <row r="67" spans="1:7" s="20" customFormat="1" ht="15.75" x14ac:dyDescent="0.45">
      <c r="A67" s="37" t="s">
        <v>1141</v>
      </c>
      <c r="B67" s="34" t="s">
        <v>237</v>
      </c>
      <c r="C67" s="34" t="s">
        <v>146</v>
      </c>
      <c r="D67" s="35">
        <v>1</v>
      </c>
      <c r="E67" s="35">
        <v>15000</v>
      </c>
      <c r="F67" s="36">
        <f t="shared" si="3"/>
        <v>15000</v>
      </c>
      <c r="G67" s="51"/>
    </row>
    <row r="68" spans="1:7" s="20" customFormat="1" ht="15.75" x14ac:dyDescent="0.45">
      <c r="A68" s="37" t="s">
        <v>1142</v>
      </c>
      <c r="B68" s="34" t="s">
        <v>238</v>
      </c>
      <c r="C68" s="34" t="s">
        <v>146</v>
      </c>
      <c r="D68" s="35">
        <v>1</v>
      </c>
      <c r="E68" s="35">
        <v>25000</v>
      </c>
      <c r="F68" s="36">
        <f t="shared" ref="F68:F69" si="4">E68*D68</f>
        <v>25000</v>
      </c>
      <c r="G68" s="51"/>
    </row>
    <row r="69" spans="1:7" s="20" customFormat="1" ht="31.5" x14ac:dyDescent="0.45">
      <c r="A69" s="37" t="s">
        <v>1143</v>
      </c>
      <c r="B69" s="34" t="s">
        <v>239</v>
      </c>
      <c r="C69" s="34" t="s">
        <v>156</v>
      </c>
      <c r="D69" s="35">
        <v>11</v>
      </c>
      <c r="E69" s="35">
        <v>1500</v>
      </c>
      <c r="F69" s="36">
        <f t="shared" si="4"/>
        <v>16500</v>
      </c>
      <c r="G69" s="50"/>
    </row>
    <row r="70" spans="1:7" s="20" customFormat="1" ht="15.75" x14ac:dyDescent="0.45">
      <c r="A70" s="29" t="s">
        <v>240</v>
      </c>
      <c r="B70" s="30" t="s">
        <v>26</v>
      </c>
      <c r="C70" s="30"/>
      <c r="D70" s="31"/>
      <c r="E70" s="31"/>
      <c r="F70" s="32">
        <f>SUM(F71:F77)</f>
        <v>267100</v>
      </c>
      <c r="G70" s="49"/>
    </row>
    <row r="71" spans="1:7" s="20" customFormat="1" ht="15.75" x14ac:dyDescent="0.45">
      <c r="A71" s="37" t="s">
        <v>241</v>
      </c>
      <c r="B71" s="34" t="s">
        <v>242</v>
      </c>
      <c r="C71" s="34" t="s">
        <v>146</v>
      </c>
      <c r="D71" s="35">
        <v>1</v>
      </c>
      <c r="E71" s="35">
        <v>70000</v>
      </c>
      <c r="F71" s="36">
        <f t="shared" ref="F71:F77" si="5">E71*D71</f>
        <v>70000</v>
      </c>
      <c r="G71" s="50"/>
    </row>
    <row r="72" spans="1:7" s="20" customFormat="1" ht="14.25" customHeight="1" x14ac:dyDescent="0.45">
      <c r="A72" s="37" t="s">
        <v>243</v>
      </c>
      <c r="B72" s="34" t="s">
        <v>244</v>
      </c>
      <c r="C72" s="34" t="s">
        <v>146</v>
      </c>
      <c r="D72" s="35">
        <v>1</v>
      </c>
      <c r="E72" s="35">
        <v>70000</v>
      </c>
      <c r="F72" s="36">
        <f t="shared" si="5"/>
        <v>70000</v>
      </c>
      <c r="G72" s="50"/>
    </row>
    <row r="73" spans="1:7" s="20" customFormat="1" ht="14.25" customHeight="1" x14ac:dyDescent="0.45">
      <c r="A73" s="37" t="s">
        <v>245</v>
      </c>
      <c r="B73" s="34" t="s">
        <v>246</v>
      </c>
      <c r="C73" s="34" t="s">
        <v>146</v>
      </c>
      <c r="D73" s="35">
        <v>1</v>
      </c>
      <c r="E73" s="35">
        <v>30000</v>
      </c>
      <c r="F73" s="36">
        <f t="shared" si="5"/>
        <v>30000</v>
      </c>
      <c r="G73" s="50"/>
    </row>
    <row r="74" spans="1:7" s="20" customFormat="1" ht="14.25" customHeight="1" x14ac:dyDescent="0.45">
      <c r="A74" s="37" t="s">
        <v>247</v>
      </c>
      <c r="B74" s="34" t="s">
        <v>248</v>
      </c>
      <c r="C74" s="34" t="s">
        <v>146</v>
      </c>
      <c r="D74" s="35">
        <v>1</v>
      </c>
      <c r="E74" s="35">
        <v>7000</v>
      </c>
      <c r="F74" s="36">
        <f t="shared" si="5"/>
        <v>7000</v>
      </c>
      <c r="G74" s="50"/>
    </row>
    <row r="75" spans="1:7" s="20" customFormat="1" ht="14.25" customHeight="1" x14ac:dyDescent="0.45">
      <c r="A75" s="37" t="s">
        <v>1144</v>
      </c>
      <c r="B75" s="34" t="s">
        <v>249</v>
      </c>
      <c r="C75" s="34" t="s">
        <v>146</v>
      </c>
      <c r="D75" s="35">
        <v>1</v>
      </c>
      <c r="E75" s="35">
        <v>6000</v>
      </c>
      <c r="F75" s="36">
        <f t="shared" si="5"/>
        <v>6000</v>
      </c>
      <c r="G75" s="50"/>
    </row>
    <row r="76" spans="1:7" s="20" customFormat="1" ht="14.25" customHeight="1" x14ac:dyDescent="0.45">
      <c r="A76" s="37" t="s">
        <v>1145</v>
      </c>
      <c r="B76" s="34" t="s">
        <v>1146</v>
      </c>
      <c r="C76" s="34" t="s">
        <v>146</v>
      </c>
      <c r="D76" s="35">
        <v>1</v>
      </c>
      <c r="E76" s="35">
        <v>30600</v>
      </c>
      <c r="F76" s="36">
        <f t="shared" si="5"/>
        <v>30600</v>
      </c>
      <c r="G76" s="50"/>
    </row>
    <row r="77" spans="1:7" s="20" customFormat="1" ht="14.25" customHeight="1" x14ac:dyDescent="0.45">
      <c r="A77" s="37" t="s">
        <v>1147</v>
      </c>
      <c r="B77" s="34" t="s">
        <v>250</v>
      </c>
      <c r="C77" s="34" t="s">
        <v>146</v>
      </c>
      <c r="D77" s="35">
        <v>1</v>
      </c>
      <c r="E77" s="35">
        <v>53500</v>
      </c>
      <c r="F77" s="36">
        <f t="shared" si="5"/>
        <v>53500</v>
      </c>
      <c r="G77" s="50"/>
    </row>
    <row r="78" spans="1:7" s="20" customFormat="1" ht="15.75" x14ac:dyDescent="0.45">
      <c r="A78" s="29" t="s">
        <v>251</v>
      </c>
      <c r="B78" s="30" t="s">
        <v>27</v>
      </c>
      <c r="C78" s="30"/>
      <c r="D78" s="31"/>
      <c r="E78" s="31"/>
      <c r="F78" s="32">
        <f>SUM(F79:F80)</f>
        <v>180000</v>
      </c>
      <c r="G78" s="49"/>
    </row>
    <row r="79" spans="1:7" s="20" customFormat="1" ht="14.25" customHeight="1" x14ac:dyDescent="0.45">
      <c r="A79" s="37" t="s">
        <v>252</v>
      </c>
      <c r="B79" s="34" t="s">
        <v>253</v>
      </c>
      <c r="C79" s="34" t="s">
        <v>146</v>
      </c>
      <c r="D79" s="35">
        <v>1</v>
      </c>
      <c r="E79" s="35">
        <v>40000</v>
      </c>
      <c r="F79" s="36">
        <f>E79*D79</f>
        <v>40000</v>
      </c>
      <c r="G79" s="50"/>
    </row>
    <row r="80" spans="1:7" s="20" customFormat="1" ht="14.25" customHeight="1" x14ac:dyDescent="0.45">
      <c r="A80" s="37" t="s">
        <v>254</v>
      </c>
      <c r="B80" s="34" t="s">
        <v>255</v>
      </c>
      <c r="C80" s="34" t="s">
        <v>146</v>
      </c>
      <c r="D80" s="35">
        <v>1</v>
      </c>
      <c r="E80" s="35">
        <v>140000</v>
      </c>
      <c r="F80" s="36">
        <f>E80*D80</f>
        <v>140000</v>
      </c>
      <c r="G80" s="50"/>
    </row>
    <row r="81" spans="1:7" s="20" customFormat="1" ht="15.75" x14ac:dyDescent="0.45">
      <c r="A81" s="21" t="s">
        <v>256</v>
      </c>
      <c r="B81" s="22" t="s">
        <v>257</v>
      </c>
      <c r="C81" s="22"/>
      <c r="D81" s="23"/>
      <c r="E81" s="23"/>
      <c r="F81" s="24">
        <f>F82+F89+F98</f>
        <v>634645.6</v>
      </c>
      <c r="G81" s="47"/>
    </row>
    <row r="82" spans="1:7" s="20" customFormat="1" ht="15.75" x14ac:dyDescent="0.45">
      <c r="A82" s="25" t="s">
        <v>258</v>
      </c>
      <c r="B82" s="26" t="s">
        <v>30</v>
      </c>
      <c r="C82" s="26"/>
      <c r="D82" s="27"/>
      <c r="E82" s="27"/>
      <c r="F82" s="28">
        <f>SUM(F83:F88)</f>
        <v>418000</v>
      </c>
      <c r="G82" s="48"/>
    </row>
    <row r="83" spans="1:7" s="20" customFormat="1" ht="14.25" customHeight="1" x14ac:dyDescent="0.45">
      <c r="A83" s="33" t="s">
        <v>259</v>
      </c>
      <c r="B83" s="34" t="s">
        <v>260</v>
      </c>
      <c r="C83" s="34" t="s">
        <v>143</v>
      </c>
      <c r="D83" s="35">
        <v>20</v>
      </c>
      <c r="E83" s="35">
        <v>11500</v>
      </c>
      <c r="F83" s="36">
        <f>E83*D83</f>
        <v>230000</v>
      </c>
      <c r="G83" s="50"/>
    </row>
    <row r="84" spans="1:7" s="20" customFormat="1" ht="14.25" customHeight="1" x14ac:dyDescent="0.45">
      <c r="A84" s="37" t="s">
        <v>261</v>
      </c>
      <c r="B84" s="34" t="s">
        <v>262</v>
      </c>
      <c r="C84" s="34" t="s">
        <v>143</v>
      </c>
      <c r="D84" s="35">
        <v>20</v>
      </c>
      <c r="E84" s="35">
        <v>450</v>
      </c>
      <c r="F84" s="36">
        <f t="shared" ref="F84:F97" si="6">E84*D84</f>
        <v>9000</v>
      </c>
      <c r="G84" s="50"/>
    </row>
    <row r="85" spans="1:7" s="20" customFormat="1" ht="14.25" customHeight="1" x14ac:dyDescent="0.45">
      <c r="A85" s="37" t="s">
        <v>1148</v>
      </c>
      <c r="B85" s="34" t="s">
        <v>263</v>
      </c>
      <c r="C85" s="34" t="s">
        <v>146</v>
      </c>
      <c r="D85" s="35">
        <v>1</v>
      </c>
      <c r="E85" s="35">
        <v>20000</v>
      </c>
      <c r="F85" s="36">
        <f t="shared" si="6"/>
        <v>20000</v>
      </c>
      <c r="G85" s="50"/>
    </row>
    <row r="86" spans="1:7" s="20" customFormat="1" ht="14.25" customHeight="1" x14ac:dyDescent="0.45">
      <c r="A86" s="37" t="s">
        <v>1149</v>
      </c>
      <c r="B86" s="34" t="s">
        <v>264</v>
      </c>
      <c r="C86" s="34" t="s">
        <v>79</v>
      </c>
      <c r="D86" s="35">
        <v>3</v>
      </c>
      <c r="E86" s="35">
        <v>2000</v>
      </c>
      <c r="F86" s="36">
        <f t="shared" si="6"/>
        <v>6000</v>
      </c>
      <c r="G86" s="50"/>
    </row>
    <row r="87" spans="1:7" s="20" customFormat="1" ht="14.25" customHeight="1" x14ac:dyDescent="0.45">
      <c r="A87" s="37" t="s">
        <v>1150</v>
      </c>
      <c r="B87" s="34" t="s">
        <v>265</v>
      </c>
      <c r="C87" s="34" t="s">
        <v>143</v>
      </c>
      <c r="D87" s="35">
        <v>10</v>
      </c>
      <c r="E87" s="35">
        <v>13500</v>
      </c>
      <c r="F87" s="36">
        <f t="shared" si="6"/>
        <v>135000</v>
      </c>
      <c r="G87" s="50"/>
    </row>
    <row r="88" spans="1:7" s="20" customFormat="1" ht="14.25" customHeight="1" x14ac:dyDescent="0.45">
      <c r="A88" s="37" t="s">
        <v>1151</v>
      </c>
      <c r="B88" s="34" t="s">
        <v>266</v>
      </c>
      <c r="C88" s="34" t="s">
        <v>146</v>
      </c>
      <c r="D88" s="35">
        <v>1</v>
      </c>
      <c r="E88" s="35">
        <v>18000</v>
      </c>
      <c r="F88" s="36">
        <f t="shared" si="6"/>
        <v>18000</v>
      </c>
      <c r="G88" s="50"/>
    </row>
    <row r="89" spans="1:7" s="20" customFormat="1" ht="15.75" x14ac:dyDescent="0.45">
      <c r="A89" s="25" t="s">
        <v>267</v>
      </c>
      <c r="B89" s="26" t="s">
        <v>31</v>
      </c>
      <c r="C89" s="26"/>
      <c r="D89" s="27"/>
      <c r="E89" s="27"/>
      <c r="F89" s="28">
        <f>SUM(F90:F97)</f>
        <v>118645.6</v>
      </c>
      <c r="G89" s="48"/>
    </row>
    <row r="90" spans="1:7" s="20" customFormat="1" ht="14.25" customHeight="1" x14ac:dyDescent="0.45">
      <c r="A90" s="37" t="s">
        <v>268</v>
      </c>
      <c r="B90" s="34" t="s">
        <v>269</v>
      </c>
      <c r="C90" s="34" t="s">
        <v>79</v>
      </c>
      <c r="D90" s="35">
        <v>1</v>
      </c>
      <c r="E90" s="35">
        <v>36000</v>
      </c>
      <c r="F90" s="36">
        <f t="shared" si="6"/>
        <v>36000</v>
      </c>
      <c r="G90" s="50"/>
    </row>
    <row r="91" spans="1:7" s="20" customFormat="1" ht="14.25" customHeight="1" x14ac:dyDescent="0.45">
      <c r="A91" s="37" t="s">
        <v>1152</v>
      </c>
      <c r="B91" s="34" t="s">
        <v>270</v>
      </c>
      <c r="C91" s="34" t="s">
        <v>79</v>
      </c>
      <c r="D91" s="35">
        <v>1</v>
      </c>
      <c r="E91" s="35">
        <v>450</v>
      </c>
      <c r="F91" s="36">
        <f t="shared" si="6"/>
        <v>450</v>
      </c>
      <c r="G91" s="50"/>
    </row>
    <row r="92" spans="1:7" s="20" customFormat="1" ht="14.25" customHeight="1" x14ac:dyDescent="0.45">
      <c r="A92" s="37" t="s">
        <v>1153</v>
      </c>
      <c r="B92" s="34" t="s">
        <v>60</v>
      </c>
      <c r="C92" s="34" t="s">
        <v>79</v>
      </c>
      <c r="D92" s="35">
        <v>20</v>
      </c>
      <c r="E92" s="35">
        <v>210</v>
      </c>
      <c r="F92" s="36">
        <f t="shared" si="6"/>
        <v>4200</v>
      </c>
      <c r="G92" s="50"/>
    </row>
    <row r="93" spans="1:7" s="20" customFormat="1" ht="14.25" customHeight="1" x14ac:dyDescent="0.45">
      <c r="A93" s="37" t="s">
        <v>1154</v>
      </c>
      <c r="B93" s="34" t="s">
        <v>271</v>
      </c>
      <c r="C93" s="34" t="s">
        <v>79</v>
      </c>
      <c r="D93" s="35">
        <v>10</v>
      </c>
      <c r="E93" s="35">
        <v>260</v>
      </c>
      <c r="F93" s="36">
        <f t="shared" si="6"/>
        <v>2600</v>
      </c>
      <c r="G93" s="50"/>
    </row>
    <row r="94" spans="1:7" s="20" customFormat="1" ht="14.25" customHeight="1" x14ac:dyDescent="0.45">
      <c r="A94" s="37" t="s">
        <v>1155</v>
      </c>
      <c r="B94" s="34" t="s">
        <v>272</v>
      </c>
      <c r="C94" s="34" t="s">
        <v>79</v>
      </c>
      <c r="D94" s="35">
        <v>2</v>
      </c>
      <c r="E94" s="35">
        <v>2600</v>
      </c>
      <c r="F94" s="36">
        <f t="shared" si="6"/>
        <v>5200</v>
      </c>
      <c r="G94" s="50"/>
    </row>
    <row r="95" spans="1:7" s="20" customFormat="1" ht="14.25" customHeight="1" x14ac:dyDescent="0.45">
      <c r="A95" s="37" t="s">
        <v>1156</v>
      </c>
      <c r="B95" s="34" t="s">
        <v>1157</v>
      </c>
      <c r="C95" s="34" t="s">
        <v>79</v>
      </c>
      <c r="D95" s="35">
        <v>1</v>
      </c>
      <c r="E95" s="35">
        <v>22500</v>
      </c>
      <c r="F95" s="36">
        <f t="shared" si="6"/>
        <v>22500</v>
      </c>
      <c r="G95" s="50"/>
    </row>
    <row r="96" spans="1:7" s="20" customFormat="1" ht="14.25" customHeight="1" x14ac:dyDescent="0.45">
      <c r="A96" s="37" t="s">
        <v>1158</v>
      </c>
      <c r="B96" s="34" t="s">
        <v>487</v>
      </c>
      <c r="C96" s="34" t="s">
        <v>79</v>
      </c>
      <c r="D96" s="35">
        <v>3</v>
      </c>
      <c r="E96" s="35">
        <v>7245.2</v>
      </c>
      <c r="F96" s="36">
        <f t="shared" si="6"/>
        <v>21735.599999999999</v>
      </c>
      <c r="G96" s="205" t="s">
        <v>488</v>
      </c>
    </row>
    <row r="97" spans="1:7" s="20" customFormat="1" ht="15.75" x14ac:dyDescent="0.45">
      <c r="A97" s="37" t="s">
        <v>1159</v>
      </c>
      <c r="B97" s="34" t="s">
        <v>1160</v>
      </c>
      <c r="C97" s="34" t="s">
        <v>79</v>
      </c>
      <c r="D97" s="35">
        <v>5</v>
      </c>
      <c r="E97" s="35">
        <v>5192</v>
      </c>
      <c r="F97" s="36">
        <f t="shared" si="6"/>
        <v>25960</v>
      </c>
      <c r="G97" s="205" t="s">
        <v>489</v>
      </c>
    </row>
    <row r="98" spans="1:7" s="20" customFormat="1" ht="15.75" x14ac:dyDescent="0.45">
      <c r="A98" s="25" t="s">
        <v>273</v>
      </c>
      <c r="B98" s="26" t="s">
        <v>274</v>
      </c>
      <c r="C98" s="26"/>
      <c r="D98" s="27"/>
      <c r="E98" s="27"/>
      <c r="F98" s="28">
        <f>SUM(F99:F101)</f>
        <v>98000</v>
      </c>
      <c r="G98" s="48"/>
    </row>
    <row r="99" spans="1:7" s="20" customFormat="1" ht="15.75" x14ac:dyDescent="0.45">
      <c r="A99" s="37" t="s">
        <v>275</v>
      </c>
      <c r="B99" s="34" t="s">
        <v>276</v>
      </c>
      <c r="C99" s="34" t="s">
        <v>146</v>
      </c>
      <c r="D99" s="35">
        <v>1</v>
      </c>
      <c r="E99" s="35">
        <v>18000</v>
      </c>
      <c r="F99" s="36">
        <f t="shared" ref="F99:F101" si="7">E99*D99</f>
        <v>18000</v>
      </c>
      <c r="G99" s="50"/>
    </row>
    <row r="100" spans="1:7" s="20" customFormat="1" ht="31.5" x14ac:dyDescent="0.45">
      <c r="A100" s="37" t="s">
        <v>277</v>
      </c>
      <c r="B100" s="34" t="s">
        <v>278</v>
      </c>
      <c r="C100" s="34" t="s">
        <v>146</v>
      </c>
      <c r="D100" s="35">
        <v>1</v>
      </c>
      <c r="E100" s="35">
        <v>50000</v>
      </c>
      <c r="F100" s="36">
        <f t="shared" si="7"/>
        <v>50000</v>
      </c>
      <c r="G100" s="50"/>
    </row>
    <row r="101" spans="1:7" s="20" customFormat="1" ht="15.75" x14ac:dyDescent="0.45">
      <c r="A101" s="37" t="s">
        <v>279</v>
      </c>
      <c r="B101" s="34" t="s">
        <v>280</v>
      </c>
      <c r="C101" s="34" t="s">
        <v>146</v>
      </c>
      <c r="D101" s="35">
        <v>1</v>
      </c>
      <c r="E101" s="35">
        <v>30000</v>
      </c>
      <c r="F101" s="36">
        <f t="shared" si="7"/>
        <v>30000</v>
      </c>
      <c r="G101" s="50"/>
    </row>
    <row r="102" spans="1:7" s="20" customFormat="1" ht="15.75" x14ac:dyDescent="0.45">
      <c r="A102" s="21" t="s">
        <v>281</v>
      </c>
      <c r="B102" s="22" t="s">
        <v>282</v>
      </c>
      <c r="C102" s="22"/>
      <c r="D102" s="23"/>
      <c r="E102" s="23"/>
      <c r="F102" s="24">
        <f>F103+F108+F114+F124</f>
        <v>3219015.3899999997</v>
      </c>
      <c r="G102" s="47"/>
    </row>
    <row r="103" spans="1:7" s="20" customFormat="1" ht="15.75" x14ac:dyDescent="0.45">
      <c r="A103" s="25" t="s">
        <v>283</v>
      </c>
      <c r="B103" s="26" t="s">
        <v>284</v>
      </c>
      <c r="C103" s="26"/>
      <c r="D103" s="27"/>
      <c r="E103" s="27"/>
      <c r="F103" s="28">
        <f>SUM(F104:F107)</f>
        <v>212000</v>
      </c>
      <c r="G103" s="48"/>
    </row>
    <row r="104" spans="1:7" s="20" customFormat="1" ht="14.25" customHeight="1" x14ac:dyDescent="0.45">
      <c r="A104" s="203" t="s">
        <v>1161</v>
      </c>
      <c r="B104" s="34" t="s">
        <v>285</v>
      </c>
      <c r="C104" s="34" t="s">
        <v>146</v>
      </c>
      <c r="D104" s="35">
        <v>1</v>
      </c>
      <c r="E104" s="35">
        <v>22000</v>
      </c>
      <c r="F104" s="36">
        <f>E104*D104</f>
        <v>22000</v>
      </c>
      <c r="G104" s="50"/>
    </row>
    <row r="105" spans="1:7" s="20" customFormat="1" ht="15.75" x14ac:dyDescent="0.45">
      <c r="A105" s="203" t="s">
        <v>1162</v>
      </c>
      <c r="B105" s="34" t="s">
        <v>286</v>
      </c>
      <c r="C105" s="34" t="s">
        <v>146</v>
      </c>
      <c r="D105" s="35">
        <v>1</v>
      </c>
      <c r="E105" s="35">
        <v>30000</v>
      </c>
      <c r="F105" s="36">
        <f t="shared" ref="F105:F107" si="8">E105*D105</f>
        <v>30000</v>
      </c>
      <c r="G105" s="50"/>
    </row>
    <row r="106" spans="1:7" s="20" customFormat="1" ht="15.75" x14ac:dyDescent="0.45">
      <c r="A106" s="203" t="s">
        <v>1163</v>
      </c>
      <c r="B106" s="34" t="s">
        <v>287</v>
      </c>
      <c r="C106" s="34" t="s">
        <v>146</v>
      </c>
      <c r="D106" s="35">
        <v>1</v>
      </c>
      <c r="E106" s="35">
        <v>100000</v>
      </c>
      <c r="F106" s="36">
        <f t="shared" si="8"/>
        <v>100000</v>
      </c>
      <c r="G106" s="50"/>
    </row>
    <row r="107" spans="1:7" s="20" customFormat="1" ht="15.75" x14ac:dyDescent="0.45">
      <c r="A107" s="203" t="s">
        <v>1164</v>
      </c>
      <c r="B107" s="34" t="s">
        <v>288</v>
      </c>
      <c r="C107" s="34" t="s">
        <v>146</v>
      </c>
      <c r="D107" s="35">
        <v>1</v>
      </c>
      <c r="E107" s="35">
        <v>60000</v>
      </c>
      <c r="F107" s="36">
        <f t="shared" si="8"/>
        <v>60000</v>
      </c>
      <c r="G107" s="50"/>
    </row>
    <row r="108" spans="1:7" s="20" customFormat="1" ht="15.75" x14ac:dyDescent="0.45">
      <c r="A108" s="25" t="s">
        <v>289</v>
      </c>
      <c r="B108" s="26" t="s">
        <v>17</v>
      </c>
      <c r="C108" s="26"/>
      <c r="D108" s="27"/>
      <c r="E108" s="27"/>
      <c r="F108" s="28">
        <f>SUM(F109:F113)</f>
        <v>582600</v>
      </c>
      <c r="G108" s="48"/>
    </row>
    <row r="109" spans="1:7" s="20" customFormat="1" ht="15.75" x14ac:dyDescent="0.45">
      <c r="A109" s="37" t="s">
        <v>290</v>
      </c>
      <c r="B109" s="34" t="s">
        <v>1165</v>
      </c>
      <c r="C109" s="34" t="s">
        <v>146</v>
      </c>
      <c r="D109" s="35">
        <v>1</v>
      </c>
      <c r="E109" s="35">
        <v>30000</v>
      </c>
      <c r="F109" s="36">
        <f>E109*D109</f>
        <v>30000</v>
      </c>
      <c r="G109" s="50"/>
    </row>
    <row r="110" spans="1:7" s="20" customFormat="1" ht="15.75" x14ac:dyDescent="0.45">
      <c r="A110" s="37" t="s">
        <v>291</v>
      </c>
      <c r="B110" s="34" t="s">
        <v>292</v>
      </c>
      <c r="C110" s="34" t="s">
        <v>146</v>
      </c>
      <c r="D110" s="35">
        <v>1</v>
      </c>
      <c r="E110" s="35">
        <v>30000</v>
      </c>
      <c r="F110" s="36">
        <f t="shared" ref="F110:F140" si="9">E110*D110</f>
        <v>30000</v>
      </c>
      <c r="G110" s="50"/>
    </row>
    <row r="111" spans="1:7" s="20" customFormat="1" ht="15.75" x14ac:dyDescent="0.45">
      <c r="A111" s="37" t="s">
        <v>293</v>
      </c>
      <c r="B111" s="34" t="s">
        <v>294</v>
      </c>
      <c r="C111" s="34" t="s">
        <v>146</v>
      </c>
      <c r="D111" s="35">
        <v>1</v>
      </c>
      <c r="E111" s="35">
        <v>15000</v>
      </c>
      <c r="F111" s="36">
        <f t="shared" si="9"/>
        <v>15000</v>
      </c>
      <c r="G111" s="50"/>
    </row>
    <row r="112" spans="1:7" s="20" customFormat="1" ht="31.5" x14ac:dyDescent="0.45">
      <c r="A112" s="37" t="s">
        <v>1166</v>
      </c>
      <c r="B112" s="34" t="s">
        <v>295</v>
      </c>
      <c r="C112" s="34" t="s">
        <v>143</v>
      </c>
      <c r="D112" s="35">
        <v>18</v>
      </c>
      <c r="E112" s="35">
        <v>3200</v>
      </c>
      <c r="F112" s="36">
        <f t="shared" si="9"/>
        <v>57600</v>
      </c>
      <c r="G112" s="50"/>
    </row>
    <row r="113" spans="1:7" s="20" customFormat="1" ht="15.75" x14ac:dyDescent="0.45">
      <c r="A113" s="37" t="s">
        <v>1167</v>
      </c>
      <c r="B113" s="34" t="s">
        <v>297</v>
      </c>
      <c r="C113" s="34" t="s">
        <v>143</v>
      </c>
      <c r="D113" s="35">
        <v>18</v>
      </c>
      <c r="E113" s="35">
        <v>25000</v>
      </c>
      <c r="F113" s="36">
        <f t="shared" si="9"/>
        <v>450000</v>
      </c>
      <c r="G113" s="51"/>
    </row>
    <row r="114" spans="1:7" s="20" customFormat="1" ht="15.75" x14ac:dyDescent="0.45">
      <c r="A114" s="25" t="s">
        <v>298</v>
      </c>
      <c r="B114" s="26" t="s">
        <v>22</v>
      </c>
      <c r="C114" s="26"/>
      <c r="D114" s="27"/>
      <c r="E114" s="27"/>
      <c r="F114" s="28">
        <f>SUM(F115:F123)</f>
        <v>1631115.39</v>
      </c>
      <c r="G114" s="48"/>
    </row>
    <row r="115" spans="1:7" s="20" customFormat="1" ht="15.75" x14ac:dyDescent="0.45">
      <c r="A115" s="203" t="s">
        <v>1168</v>
      </c>
      <c r="B115" s="34" t="s">
        <v>23</v>
      </c>
      <c r="C115" s="34" t="s">
        <v>143</v>
      </c>
      <c r="D115" s="35">
        <v>20</v>
      </c>
      <c r="E115" s="35">
        <v>17500</v>
      </c>
      <c r="F115" s="36">
        <f t="shared" si="9"/>
        <v>350000</v>
      </c>
      <c r="G115" s="50"/>
    </row>
    <row r="116" spans="1:7" s="20" customFormat="1" ht="15.75" x14ac:dyDescent="0.45">
      <c r="A116" s="203" t="s">
        <v>1169</v>
      </c>
      <c r="B116" s="34" t="s">
        <v>299</v>
      </c>
      <c r="C116" s="34" t="s">
        <v>143</v>
      </c>
      <c r="D116" s="35">
        <v>20</v>
      </c>
      <c r="E116" s="35">
        <v>7300</v>
      </c>
      <c r="F116" s="36">
        <f t="shared" si="9"/>
        <v>146000</v>
      </c>
      <c r="G116" s="50"/>
    </row>
    <row r="117" spans="1:7" s="20" customFormat="1" ht="15.75" x14ac:dyDescent="0.45">
      <c r="A117" s="203" t="s">
        <v>1170</v>
      </c>
      <c r="B117" s="34" t="s">
        <v>300</v>
      </c>
      <c r="C117" s="34" t="s">
        <v>143</v>
      </c>
      <c r="D117" s="35">
        <v>20</v>
      </c>
      <c r="E117" s="35">
        <v>9500</v>
      </c>
      <c r="F117" s="36">
        <f t="shared" si="9"/>
        <v>190000</v>
      </c>
      <c r="G117" s="50"/>
    </row>
    <row r="118" spans="1:7" s="20" customFormat="1" ht="15.75" x14ac:dyDescent="0.45">
      <c r="A118" s="203" t="s">
        <v>1171</v>
      </c>
      <c r="B118" s="34" t="s">
        <v>301</v>
      </c>
      <c r="C118" s="34" t="s">
        <v>143</v>
      </c>
      <c r="D118" s="35">
        <v>20</v>
      </c>
      <c r="E118" s="35">
        <v>6000</v>
      </c>
      <c r="F118" s="36">
        <f t="shared" si="9"/>
        <v>120000</v>
      </c>
      <c r="G118" s="50"/>
    </row>
    <row r="119" spans="1:7" s="20" customFormat="1" ht="15.75" x14ac:dyDescent="0.45">
      <c r="A119" s="203" t="s">
        <v>1172</v>
      </c>
      <c r="B119" s="34" t="s">
        <v>24</v>
      </c>
      <c r="C119" s="34" t="s">
        <v>143</v>
      </c>
      <c r="D119" s="35">
        <v>20</v>
      </c>
      <c r="E119" s="35">
        <v>4750</v>
      </c>
      <c r="F119" s="36">
        <f t="shared" si="9"/>
        <v>95000</v>
      </c>
      <c r="G119" s="50"/>
    </row>
    <row r="120" spans="1:7" s="20" customFormat="1" ht="15.75" x14ac:dyDescent="0.45">
      <c r="A120" s="203" t="s">
        <v>1173</v>
      </c>
      <c r="B120" s="34" t="s">
        <v>302</v>
      </c>
      <c r="C120" s="34" t="s">
        <v>143</v>
      </c>
      <c r="D120" s="35">
        <v>20</v>
      </c>
      <c r="E120" s="35">
        <v>12000</v>
      </c>
      <c r="F120" s="36">
        <f t="shared" si="9"/>
        <v>240000</v>
      </c>
      <c r="G120" s="50"/>
    </row>
    <row r="121" spans="1:7" s="20" customFormat="1" ht="15.75" x14ac:dyDescent="0.45">
      <c r="A121" s="203" t="s">
        <v>1174</v>
      </c>
      <c r="B121" s="34" t="s">
        <v>303</v>
      </c>
      <c r="C121" s="34" t="s">
        <v>143</v>
      </c>
      <c r="D121" s="35">
        <v>20</v>
      </c>
      <c r="E121" s="35">
        <v>4000</v>
      </c>
      <c r="F121" s="36">
        <f t="shared" si="9"/>
        <v>80000</v>
      </c>
      <c r="G121" s="50"/>
    </row>
    <row r="122" spans="1:7" s="20" customFormat="1" ht="15.75" x14ac:dyDescent="0.45">
      <c r="A122" s="203" t="s">
        <v>1175</v>
      </c>
      <c r="B122" s="34" t="s">
        <v>304</v>
      </c>
      <c r="C122" s="34" t="s">
        <v>143</v>
      </c>
      <c r="D122" s="35">
        <v>20</v>
      </c>
      <c r="E122" s="35">
        <v>7500</v>
      </c>
      <c r="F122" s="36">
        <f t="shared" si="9"/>
        <v>150000</v>
      </c>
      <c r="G122" s="50"/>
    </row>
    <row r="123" spans="1:7" s="20" customFormat="1" ht="15.75" x14ac:dyDescent="0.45">
      <c r="A123" s="203" t="s">
        <v>1176</v>
      </c>
      <c r="B123" s="34" t="s">
        <v>305</v>
      </c>
      <c r="C123" s="34" t="s">
        <v>143</v>
      </c>
      <c r="D123" s="35">
        <v>9</v>
      </c>
      <c r="E123" s="35">
        <v>28901.71</v>
      </c>
      <c r="F123" s="36">
        <f t="shared" si="9"/>
        <v>260115.38999999998</v>
      </c>
      <c r="G123" s="50"/>
    </row>
    <row r="124" spans="1:7" s="20" customFormat="1" ht="15.75" x14ac:dyDescent="0.45">
      <c r="A124" s="25" t="s">
        <v>306</v>
      </c>
      <c r="B124" s="26" t="s">
        <v>25</v>
      </c>
      <c r="C124" s="26"/>
      <c r="D124" s="27"/>
      <c r="E124" s="27"/>
      <c r="F124" s="28">
        <f>SUM(F125:F140)</f>
        <v>793300</v>
      </c>
      <c r="G124" s="48"/>
    </row>
    <row r="125" spans="1:7" s="20" customFormat="1" ht="15.75" x14ac:dyDescent="0.45">
      <c r="A125" s="203" t="s">
        <v>307</v>
      </c>
      <c r="B125" s="34" t="s">
        <v>308</v>
      </c>
      <c r="C125" s="34" t="s">
        <v>79</v>
      </c>
      <c r="D125" s="35">
        <v>2</v>
      </c>
      <c r="E125" s="35">
        <v>1500</v>
      </c>
      <c r="F125" s="36">
        <f t="shared" si="9"/>
        <v>3000</v>
      </c>
      <c r="G125" s="50"/>
    </row>
    <row r="126" spans="1:7" s="20" customFormat="1" ht="15.75" x14ac:dyDescent="0.45">
      <c r="A126" s="203" t="s">
        <v>309</v>
      </c>
      <c r="B126" s="34" t="s">
        <v>310</v>
      </c>
      <c r="C126" s="34" t="s">
        <v>146</v>
      </c>
      <c r="D126" s="35">
        <v>1</v>
      </c>
      <c r="E126" s="35">
        <v>10000</v>
      </c>
      <c r="F126" s="36">
        <f t="shared" si="9"/>
        <v>10000</v>
      </c>
      <c r="G126" s="50"/>
    </row>
    <row r="127" spans="1:7" s="20" customFormat="1" ht="15.75" x14ac:dyDescent="0.45">
      <c r="A127" s="203" t="s">
        <v>1177</v>
      </c>
      <c r="B127" s="34" t="s">
        <v>1178</v>
      </c>
      <c r="C127" s="34" t="s">
        <v>143</v>
      </c>
      <c r="D127" s="35">
        <v>24</v>
      </c>
      <c r="E127" s="35">
        <v>4200</v>
      </c>
      <c r="F127" s="36">
        <f>E127*D127</f>
        <v>100800</v>
      </c>
      <c r="G127" s="50"/>
    </row>
    <row r="128" spans="1:7" s="20" customFormat="1" ht="15.75" x14ac:dyDescent="0.45">
      <c r="A128" s="203" t="s">
        <v>1179</v>
      </c>
      <c r="B128" s="34" t="s">
        <v>311</v>
      </c>
      <c r="C128" s="34" t="s">
        <v>146</v>
      </c>
      <c r="D128" s="35">
        <v>1</v>
      </c>
      <c r="E128" s="35">
        <v>49000</v>
      </c>
      <c r="F128" s="36">
        <f t="shared" ref="F128" si="10">E128*D128</f>
        <v>49000</v>
      </c>
      <c r="G128" s="50"/>
    </row>
    <row r="129" spans="1:7" s="20" customFormat="1" ht="15.75" x14ac:dyDescent="0.45">
      <c r="A129" s="203" t="s">
        <v>1180</v>
      </c>
      <c r="B129" s="34" t="s">
        <v>312</v>
      </c>
      <c r="C129" s="34" t="s">
        <v>146</v>
      </c>
      <c r="D129" s="35">
        <v>1</v>
      </c>
      <c r="E129" s="35">
        <v>23000</v>
      </c>
      <c r="F129" s="36">
        <f t="shared" si="9"/>
        <v>23000</v>
      </c>
      <c r="G129" s="50"/>
    </row>
    <row r="130" spans="1:7" s="20" customFormat="1" ht="15.75" x14ac:dyDescent="0.45">
      <c r="A130" s="203" t="s">
        <v>1181</v>
      </c>
      <c r="B130" s="34" t="s">
        <v>313</v>
      </c>
      <c r="C130" s="34" t="s">
        <v>146</v>
      </c>
      <c r="D130" s="35">
        <v>1</v>
      </c>
      <c r="E130" s="35">
        <v>45000</v>
      </c>
      <c r="F130" s="36">
        <f t="shared" si="9"/>
        <v>45000</v>
      </c>
      <c r="G130" s="50"/>
    </row>
    <row r="131" spans="1:7" s="20" customFormat="1" ht="15.75" x14ac:dyDescent="0.45">
      <c r="A131" s="203" t="s">
        <v>1182</v>
      </c>
      <c r="B131" s="34" t="s">
        <v>1183</v>
      </c>
      <c r="C131" s="34" t="s">
        <v>143</v>
      </c>
      <c r="D131" s="35">
        <v>20</v>
      </c>
      <c r="E131" s="35">
        <v>650</v>
      </c>
      <c r="F131" s="36">
        <f t="shared" si="9"/>
        <v>13000</v>
      </c>
      <c r="G131" s="38"/>
    </row>
    <row r="132" spans="1:7" s="20" customFormat="1" ht="15.75" x14ac:dyDescent="0.45">
      <c r="A132" s="203" t="s">
        <v>1184</v>
      </c>
      <c r="B132" s="34" t="s">
        <v>314</v>
      </c>
      <c r="C132" s="34" t="s">
        <v>143</v>
      </c>
      <c r="D132" s="35">
        <v>20</v>
      </c>
      <c r="E132" s="35">
        <v>4500</v>
      </c>
      <c r="F132" s="36">
        <f t="shared" si="9"/>
        <v>90000</v>
      </c>
      <c r="G132" s="50"/>
    </row>
    <row r="133" spans="1:7" s="20" customFormat="1" ht="15.75" x14ac:dyDescent="0.45">
      <c r="A133" s="203" t="s">
        <v>1185</v>
      </c>
      <c r="B133" s="34" t="s">
        <v>315</v>
      </c>
      <c r="C133" s="34" t="s">
        <v>143</v>
      </c>
      <c r="D133" s="35">
        <v>20</v>
      </c>
      <c r="E133" s="35">
        <v>5000</v>
      </c>
      <c r="F133" s="36">
        <f t="shared" si="9"/>
        <v>100000</v>
      </c>
      <c r="G133" s="50"/>
    </row>
    <row r="134" spans="1:7" s="20" customFormat="1" ht="15.75" x14ac:dyDescent="0.45">
      <c r="A134" s="203" t="s">
        <v>1186</v>
      </c>
      <c r="B134" s="34" t="s">
        <v>316</v>
      </c>
      <c r="C134" s="34" t="s">
        <v>143</v>
      </c>
      <c r="D134" s="35">
        <v>20</v>
      </c>
      <c r="E134" s="35">
        <v>10500</v>
      </c>
      <c r="F134" s="36">
        <f t="shared" si="9"/>
        <v>210000</v>
      </c>
      <c r="G134" s="50"/>
    </row>
    <row r="135" spans="1:7" s="20" customFormat="1" ht="15.75" x14ac:dyDescent="0.45">
      <c r="A135" s="203" t="s">
        <v>1187</v>
      </c>
      <c r="B135" s="34" t="s">
        <v>317</v>
      </c>
      <c r="C135" s="34" t="s">
        <v>143</v>
      </c>
      <c r="D135" s="35">
        <v>20</v>
      </c>
      <c r="E135" s="35">
        <v>500</v>
      </c>
      <c r="F135" s="36">
        <f t="shared" si="9"/>
        <v>10000</v>
      </c>
      <c r="G135" s="50"/>
    </row>
    <row r="136" spans="1:7" s="20" customFormat="1" ht="15.75" x14ac:dyDescent="0.45">
      <c r="A136" s="203" t="s">
        <v>1188</v>
      </c>
      <c r="B136" s="34" t="s">
        <v>318</v>
      </c>
      <c r="C136" s="34" t="s">
        <v>143</v>
      </c>
      <c r="D136" s="35">
        <v>20</v>
      </c>
      <c r="E136" s="35">
        <v>800</v>
      </c>
      <c r="F136" s="36">
        <f t="shared" si="9"/>
        <v>16000</v>
      </c>
      <c r="G136" s="50"/>
    </row>
    <row r="137" spans="1:7" s="20" customFormat="1" ht="15.75" x14ac:dyDescent="0.45">
      <c r="A137" s="203" t="s">
        <v>1189</v>
      </c>
      <c r="B137" s="34" t="s">
        <v>319</v>
      </c>
      <c r="C137" s="34" t="s">
        <v>143</v>
      </c>
      <c r="D137" s="35">
        <v>20</v>
      </c>
      <c r="E137" s="35">
        <v>1700</v>
      </c>
      <c r="F137" s="36">
        <f t="shared" si="9"/>
        <v>34000</v>
      </c>
      <c r="G137" s="50"/>
    </row>
    <row r="138" spans="1:7" s="20" customFormat="1" ht="15.75" x14ac:dyDescent="0.45">
      <c r="A138" s="203" t="s">
        <v>1190</v>
      </c>
      <c r="B138" s="34" t="s">
        <v>320</v>
      </c>
      <c r="C138" s="34" t="s">
        <v>146</v>
      </c>
      <c r="D138" s="35">
        <v>1</v>
      </c>
      <c r="E138" s="35">
        <v>18000</v>
      </c>
      <c r="F138" s="36">
        <f t="shared" si="9"/>
        <v>18000</v>
      </c>
      <c r="G138" s="51"/>
    </row>
    <row r="139" spans="1:7" s="20" customFormat="1" ht="15.75" x14ac:dyDescent="0.45">
      <c r="A139" s="203" t="s">
        <v>1191</v>
      </c>
      <c r="B139" s="34" t="s">
        <v>321</v>
      </c>
      <c r="C139" s="34" t="s">
        <v>146</v>
      </c>
      <c r="D139" s="35">
        <v>1</v>
      </c>
      <c r="E139" s="35">
        <v>31500</v>
      </c>
      <c r="F139" s="36">
        <f t="shared" si="9"/>
        <v>31500</v>
      </c>
      <c r="G139" s="51"/>
    </row>
    <row r="140" spans="1:7" s="20" customFormat="1" ht="15.75" x14ac:dyDescent="0.45">
      <c r="A140" s="203" t="s">
        <v>1192</v>
      </c>
      <c r="B140" s="34" t="s">
        <v>322</v>
      </c>
      <c r="C140" s="34" t="s">
        <v>146</v>
      </c>
      <c r="D140" s="35">
        <v>1</v>
      </c>
      <c r="E140" s="35">
        <v>40000</v>
      </c>
      <c r="F140" s="36">
        <f t="shared" si="9"/>
        <v>40000</v>
      </c>
      <c r="G140" s="51"/>
    </row>
    <row r="141" spans="1:7" s="20" customFormat="1" ht="15.75" x14ac:dyDescent="0.45">
      <c r="A141" s="21" t="s">
        <v>323</v>
      </c>
      <c r="B141" s="22" t="s">
        <v>324</v>
      </c>
      <c r="C141" s="22"/>
      <c r="D141" s="23"/>
      <c r="E141" s="23"/>
      <c r="F141" s="24">
        <f>F142+F146+F149</f>
        <v>73052.290286000018</v>
      </c>
      <c r="G141" s="47"/>
    </row>
    <row r="142" spans="1:7" s="20" customFormat="1" ht="15.75" x14ac:dyDescent="0.45">
      <c r="A142" s="25" t="s">
        <v>325</v>
      </c>
      <c r="B142" s="26" t="s">
        <v>326</v>
      </c>
      <c r="C142" s="26"/>
      <c r="D142" s="27"/>
      <c r="E142" s="27"/>
      <c r="F142" s="28">
        <f>SUM(F143:F145)</f>
        <v>57427.692410000011</v>
      </c>
      <c r="G142" s="48"/>
    </row>
    <row r="143" spans="1:7" s="20" customFormat="1" ht="14.25" customHeight="1" x14ac:dyDescent="0.45">
      <c r="A143" s="203" t="s">
        <v>327</v>
      </c>
      <c r="B143" s="34" t="s">
        <v>328</v>
      </c>
      <c r="C143" s="34" t="s">
        <v>163</v>
      </c>
      <c r="D143" s="35">
        <v>284.82</v>
      </c>
      <c r="E143" s="35">
        <v>59.956600000000002</v>
      </c>
      <c r="F143" s="36">
        <f t="shared" ref="F143:F145" si="11">E143*D143</f>
        <v>17076.838812000002</v>
      </c>
      <c r="G143" s="50"/>
    </row>
    <row r="144" spans="1:7" s="20" customFormat="1" ht="14.25" customHeight="1" x14ac:dyDescent="0.45">
      <c r="A144" s="203" t="s">
        <v>329</v>
      </c>
      <c r="B144" s="34" t="s">
        <v>537</v>
      </c>
      <c r="C144" s="34" t="s">
        <v>163</v>
      </c>
      <c r="D144" s="35">
        <v>629.33000000000004</v>
      </c>
      <c r="E144" s="35">
        <v>59.956600000000002</v>
      </c>
      <c r="F144" s="36">
        <f t="shared" si="11"/>
        <v>37732.487078000006</v>
      </c>
      <c r="G144" s="50"/>
    </row>
    <row r="145" spans="1:7" s="20" customFormat="1" ht="15.75" x14ac:dyDescent="0.45">
      <c r="A145" s="203" t="s">
        <v>568</v>
      </c>
      <c r="B145" s="34" t="s">
        <v>538</v>
      </c>
      <c r="C145" s="34" t="s">
        <v>163</v>
      </c>
      <c r="D145" s="35">
        <v>221.55</v>
      </c>
      <c r="E145" s="35">
        <v>11.8184</v>
      </c>
      <c r="F145" s="36">
        <f t="shared" si="11"/>
        <v>2618.36652</v>
      </c>
      <c r="G145" s="50"/>
    </row>
    <row r="146" spans="1:7" s="20" customFormat="1" ht="15.75" x14ac:dyDescent="0.45">
      <c r="A146" s="25" t="s">
        <v>330</v>
      </c>
      <c r="B146" s="26" t="s">
        <v>331</v>
      </c>
      <c r="C146" s="26"/>
      <c r="D146" s="27"/>
      <c r="E146" s="27"/>
      <c r="F146" s="28">
        <f>SUM(F147:F148)</f>
        <v>13410.147876000003</v>
      </c>
      <c r="G146" s="48"/>
    </row>
    <row r="147" spans="1:7" s="20" customFormat="1" ht="31.5" x14ac:dyDescent="0.45">
      <c r="A147" s="37" t="s">
        <v>332</v>
      </c>
      <c r="B147" s="34" t="s">
        <v>530</v>
      </c>
      <c r="C147" s="34" t="s">
        <v>59</v>
      </c>
      <c r="D147" s="35">
        <v>120.06</v>
      </c>
      <c r="E147" s="35">
        <v>22.7471</v>
      </c>
      <c r="F147" s="36">
        <f t="shared" ref="F147:F148" si="12">E147*D147</f>
        <v>2731.016826</v>
      </c>
      <c r="G147" s="51"/>
    </row>
    <row r="148" spans="1:7" s="20" customFormat="1" ht="15.75" x14ac:dyDescent="0.45">
      <c r="A148" s="37" t="s">
        <v>569</v>
      </c>
      <c r="B148" s="34" t="s">
        <v>570</v>
      </c>
      <c r="C148" s="34" t="s">
        <v>59</v>
      </c>
      <c r="D148" s="35">
        <v>657.82500000000005</v>
      </c>
      <c r="E148" s="35">
        <v>16.234000000000002</v>
      </c>
      <c r="F148" s="36">
        <f t="shared" si="12"/>
        <v>10679.131050000002</v>
      </c>
      <c r="G148" s="51"/>
    </row>
    <row r="149" spans="1:7" s="20" customFormat="1" ht="15.75" x14ac:dyDescent="0.45">
      <c r="A149" s="25" t="s">
        <v>333</v>
      </c>
      <c r="B149" s="26" t="s">
        <v>334</v>
      </c>
      <c r="C149" s="26"/>
      <c r="D149" s="27"/>
      <c r="E149" s="27"/>
      <c r="F149" s="28">
        <f>F150</f>
        <v>2214.4500000000003</v>
      </c>
      <c r="G149" s="48"/>
    </row>
    <row r="150" spans="1:7" s="20" customFormat="1" ht="15.75" x14ac:dyDescent="0.45">
      <c r="A150" s="37" t="s">
        <v>335</v>
      </c>
      <c r="B150" s="34" t="s">
        <v>539</v>
      </c>
      <c r="C150" s="34" t="s">
        <v>163</v>
      </c>
      <c r="D150" s="35">
        <v>63.27</v>
      </c>
      <c r="E150" s="35">
        <v>35</v>
      </c>
      <c r="F150" s="36">
        <f t="shared" ref="F150" si="13">E150*D150</f>
        <v>2214.4500000000003</v>
      </c>
      <c r="G150" s="51"/>
    </row>
    <row r="151" spans="1:7" s="20" customFormat="1" ht="15.75" x14ac:dyDescent="0.45">
      <c r="A151" s="16" t="s">
        <v>336</v>
      </c>
      <c r="B151" s="17" t="s">
        <v>337</v>
      </c>
      <c r="C151" s="17"/>
      <c r="D151" s="18"/>
      <c r="E151" s="18"/>
      <c r="F151" s="19">
        <f>F152+F164</f>
        <v>642721.39410200005</v>
      </c>
      <c r="G151" s="46"/>
    </row>
    <row r="152" spans="1:7" s="20" customFormat="1" ht="15.75" x14ac:dyDescent="0.45">
      <c r="A152" s="21" t="s">
        <v>338</v>
      </c>
      <c r="B152" s="22" t="s">
        <v>339</v>
      </c>
      <c r="C152" s="22"/>
      <c r="D152" s="23"/>
      <c r="E152" s="23"/>
      <c r="F152" s="24">
        <f>+F153+F155+F160+F158+F162</f>
        <v>239820.994102</v>
      </c>
      <c r="G152" s="47"/>
    </row>
    <row r="153" spans="1:7" s="20" customFormat="1" ht="15.75" x14ac:dyDescent="0.45">
      <c r="A153" s="25" t="s">
        <v>340</v>
      </c>
      <c r="B153" s="26" t="s">
        <v>33</v>
      </c>
      <c r="C153" s="26"/>
      <c r="D153" s="27"/>
      <c r="E153" s="27"/>
      <c r="F153" s="28">
        <f>F154</f>
        <v>944.26325199999997</v>
      </c>
      <c r="G153" s="48"/>
    </row>
    <row r="154" spans="1:7" s="20" customFormat="1" ht="31.5" x14ac:dyDescent="0.45">
      <c r="A154" s="37" t="s">
        <v>531</v>
      </c>
      <c r="B154" s="34" t="s">
        <v>343</v>
      </c>
      <c r="C154" s="34" t="s">
        <v>59</v>
      </c>
      <c r="D154" s="35">
        <v>52.12</v>
      </c>
      <c r="E154" s="35">
        <v>18.117100000000001</v>
      </c>
      <c r="F154" s="36">
        <f t="shared" ref="F154" si="14">E154*D154</f>
        <v>944.26325199999997</v>
      </c>
      <c r="G154" s="51"/>
    </row>
    <row r="155" spans="1:7" s="20" customFormat="1" ht="15.75" x14ac:dyDescent="0.45">
      <c r="A155" s="25" t="s">
        <v>341</v>
      </c>
      <c r="B155" s="26" t="s">
        <v>34</v>
      </c>
      <c r="C155" s="26"/>
      <c r="D155" s="27"/>
      <c r="E155" s="27"/>
      <c r="F155" s="28">
        <f>SUM(F156:F157)</f>
        <v>18193.164000000001</v>
      </c>
      <c r="G155" s="48"/>
    </row>
    <row r="156" spans="1:7" s="20" customFormat="1" ht="31.5" x14ac:dyDescent="0.45">
      <c r="A156" s="37" t="s">
        <v>342</v>
      </c>
      <c r="B156" s="34" t="s">
        <v>346</v>
      </c>
      <c r="C156" s="34" t="s">
        <v>347</v>
      </c>
      <c r="D156" s="35">
        <v>897</v>
      </c>
      <c r="E156" s="35">
        <v>7.0632000000000001</v>
      </c>
      <c r="F156" s="36">
        <f t="shared" ref="F156" si="15">E156*D156</f>
        <v>6335.6904000000004</v>
      </c>
      <c r="G156" s="51"/>
    </row>
    <row r="157" spans="1:7" s="20" customFormat="1" ht="31.5" x14ac:dyDescent="0.45">
      <c r="A157" s="37" t="s">
        <v>532</v>
      </c>
      <c r="B157" s="34" t="s">
        <v>348</v>
      </c>
      <c r="C157" s="34" t="s">
        <v>347</v>
      </c>
      <c r="D157" s="35">
        <v>1698</v>
      </c>
      <c r="E157" s="35">
        <v>6.9832000000000001</v>
      </c>
      <c r="F157" s="36">
        <f t="shared" ref="F157" si="16">E157*D157</f>
        <v>11857.473599999999</v>
      </c>
      <c r="G157" s="51"/>
    </row>
    <row r="158" spans="1:7" s="20" customFormat="1" ht="15.75" x14ac:dyDescent="0.45">
      <c r="A158" s="25" t="s">
        <v>344</v>
      </c>
      <c r="B158" s="26" t="s">
        <v>35</v>
      </c>
      <c r="C158" s="26"/>
      <c r="D158" s="27"/>
      <c r="E158" s="27"/>
      <c r="F158" s="28">
        <f>F159</f>
        <v>23242.196250000001</v>
      </c>
      <c r="G158" s="48"/>
    </row>
    <row r="159" spans="1:7" s="20" customFormat="1" ht="31.5" x14ac:dyDescent="0.45">
      <c r="A159" s="37" t="s">
        <v>345</v>
      </c>
      <c r="B159" s="34" t="s">
        <v>533</v>
      </c>
      <c r="C159" s="34" t="s">
        <v>163</v>
      </c>
      <c r="D159" s="35">
        <v>40.43</v>
      </c>
      <c r="E159" s="35">
        <v>574.875</v>
      </c>
      <c r="F159" s="36">
        <f t="shared" ref="F159" si="17">E159*D159</f>
        <v>23242.196250000001</v>
      </c>
      <c r="G159" s="51"/>
    </row>
    <row r="160" spans="1:7" s="20" customFormat="1" ht="15.75" x14ac:dyDescent="0.45">
      <c r="A160" s="25" t="s">
        <v>349</v>
      </c>
      <c r="B160" s="26" t="s">
        <v>37</v>
      </c>
      <c r="C160" s="26"/>
      <c r="D160" s="27"/>
      <c r="E160" s="27"/>
      <c r="F160" s="28">
        <f>F161</f>
        <v>150000</v>
      </c>
      <c r="G160" s="48"/>
    </row>
    <row r="161" spans="1:7" s="20" customFormat="1" ht="15.75" x14ac:dyDescent="0.45">
      <c r="A161" s="37" t="s">
        <v>350</v>
      </c>
      <c r="B161" s="34" t="s">
        <v>534</v>
      </c>
      <c r="C161" s="34" t="s">
        <v>146</v>
      </c>
      <c r="D161" s="35">
        <v>1</v>
      </c>
      <c r="E161" s="35">
        <v>150000</v>
      </c>
      <c r="F161" s="36">
        <f t="shared" ref="F161" si="18">E161*D161</f>
        <v>150000</v>
      </c>
      <c r="G161" s="51" t="s">
        <v>1109</v>
      </c>
    </row>
    <row r="162" spans="1:7" s="20" customFormat="1" ht="15.75" x14ac:dyDescent="0.45">
      <c r="A162" s="25" t="s">
        <v>351</v>
      </c>
      <c r="B162" s="26" t="s">
        <v>36</v>
      </c>
      <c r="C162" s="26"/>
      <c r="D162" s="27"/>
      <c r="E162" s="27"/>
      <c r="F162" s="28">
        <f>F163</f>
        <v>47441.370600000002</v>
      </c>
      <c r="G162" s="48"/>
    </row>
    <row r="163" spans="1:7" s="20" customFormat="1" ht="31.5" x14ac:dyDescent="0.45">
      <c r="A163" s="37" t="s">
        <v>535</v>
      </c>
      <c r="B163" s="34" t="s">
        <v>536</v>
      </c>
      <c r="C163" s="34" t="s">
        <v>163</v>
      </c>
      <c r="D163" s="35">
        <v>40.43</v>
      </c>
      <c r="E163" s="35">
        <v>1173.42</v>
      </c>
      <c r="F163" s="36">
        <f t="shared" ref="F163" si="19">E163*D163</f>
        <v>47441.370600000002</v>
      </c>
      <c r="G163" s="51"/>
    </row>
    <row r="164" spans="1:7" s="20" customFormat="1" ht="31.5" x14ac:dyDescent="0.45">
      <c r="A164" s="21" t="s">
        <v>352</v>
      </c>
      <c r="B164" s="22" t="s">
        <v>353</v>
      </c>
      <c r="C164" s="22"/>
      <c r="D164" s="23"/>
      <c r="E164" s="23"/>
      <c r="F164" s="24">
        <f>F165+F167</f>
        <v>402900.4</v>
      </c>
      <c r="G164" s="47" t="s">
        <v>1110</v>
      </c>
    </row>
    <row r="165" spans="1:7" s="20" customFormat="1" ht="15.75" x14ac:dyDescent="0.45">
      <c r="A165" s="25" t="s">
        <v>354</v>
      </c>
      <c r="B165" s="26" t="s">
        <v>355</v>
      </c>
      <c r="C165" s="26"/>
      <c r="D165" s="27"/>
      <c r="E165" s="27"/>
      <c r="F165" s="28">
        <f>F166</f>
        <v>180000</v>
      </c>
      <c r="G165" s="48"/>
    </row>
    <row r="166" spans="1:7" s="20" customFormat="1" ht="15.75" x14ac:dyDescent="0.45">
      <c r="A166" s="37" t="s">
        <v>356</v>
      </c>
      <c r="B166" s="34" t="s">
        <v>357</v>
      </c>
      <c r="C166" s="34" t="s">
        <v>146</v>
      </c>
      <c r="D166" s="35">
        <v>1</v>
      </c>
      <c r="E166" s="35">
        <v>180000</v>
      </c>
      <c r="F166" s="36">
        <f t="shared" ref="F166" si="20">E166*D166</f>
        <v>180000</v>
      </c>
      <c r="G166" s="51"/>
    </row>
    <row r="167" spans="1:7" s="20" customFormat="1" ht="15.75" x14ac:dyDescent="0.45">
      <c r="A167" s="25" t="s">
        <v>358</v>
      </c>
      <c r="B167" s="26" t="s">
        <v>359</v>
      </c>
      <c r="C167" s="26"/>
      <c r="D167" s="27"/>
      <c r="E167" s="27"/>
      <c r="F167" s="28">
        <f>SUM(F168:F170)</f>
        <v>222900.40000000002</v>
      </c>
      <c r="G167" s="48"/>
    </row>
    <row r="168" spans="1:7" s="20" customFormat="1" ht="15.75" x14ac:dyDescent="0.45">
      <c r="A168" s="37" t="s">
        <v>360</v>
      </c>
      <c r="B168" s="34" t="s">
        <v>361</v>
      </c>
      <c r="C168" s="34" t="s">
        <v>146</v>
      </c>
      <c r="D168" s="35">
        <v>1</v>
      </c>
      <c r="E168" s="35">
        <v>70000</v>
      </c>
      <c r="F168" s="36">
        <f t="shared" ref="F168" si="21">E168*D168</f>
        <v>70000</v>
      </c>
      <c r="G168" s="51"/>
    </row>
    <row r="169" spans="1:7" s="20" customFormat="1" ht="15.75" x14ac:dyDescent="0.45">
      <c r="A169" s="37" t="s">
        <v>362</v>
      </c>
      <c r="B169" s="34" t="s">
        <v>363</v>
      </c>
      <c r="C169" s="34" t="s">
        <v>146</v>
      </c>
      <c r="D169" s="35">
        <v>1</v>
      </c>
      <c r="E169" s="35">
        <v>75000</v>
      </c>
      <c r="F169" s="36">
        <f t="shared" ref="F169" si="22">E169*D169</f>
        <v>75000</v>
      </c>
      <c r="G169" s="51"/>
    </row>
    <row r="170" spans="1:7" s="20" customFormat="1" ht="15.75" x14ac:dyDescent="0.45">
      <c r="A170" s="37" t="s">
        <v>364</v>
      </c>
      <c r="B170" s="34" t="s">
        <v>365</v>
      </c>
      <c r="C170" s="34" t="s">
        <v>163</v>
      </c>
      <c r="D170" s="35">
        <v>7.2</v>
      </c>
      <c r="E170" s="35">
        <v>10819.5</v>
      </c>
      <c r="F170" s="36">
        <f t="shared" ref="F170" si="23">E170*D170</f>
        <v>77900.400000000009</v>
      </c>
      <c r="G170" s="51"/>
    </row>
    <row r="171" spans="1:7" s="20" customFormat="1" ht="15.75" x14ac:dyDescent="0.45">
      <c r="A171" s="16" t="s">
        <v>366</v>
      </c>
      <c r="B171" s="17" t="s">
        <v>367</v>
      </c>
      <c r="C171" s="17"/>
      <c r="D171" s="18"/>
      <c r="E171" s="18"/>
      <c r="F171" s="19">
        <f>F172+F196+F223+F248+F270+F273+F287</f>
        <v>1254798.6691713901</v>
      </c>
      <c r="G171" s="46"/>
    </row>
    <row r="172" spans="1:7" s="20" customFormat="1" ht="15.75" x14ac:dyDescent="0.45">
      <c r="A172" s="21" t="s">
        <v>368</v>
      </c>
      <c r="B172" s="22" t="s">
        <v>369</v>
      </c>
      <c r="C172" s="22"/>
      <c r="D172" s="23"/>
      <c r="E172" s="23"/>
      <c r="F172" s="24">
        <f>F173+F180+F189+F191+F194</f>
        <v>400321.76555488998</v>
      </c>
      <c r="G172" s="47"/>
    </row>
    <row r="173" spans="1:7" s="20" customFormat="1" ht="15.75" x14ac:dyDescent="0.45">
      <c r="A173" s="25" t="s">
        <v>370</v>
      </c>
      <c r="B173" s="26" t="s">
        <v>33</v>
      </c>
      <c r="C173" s="26"/>
      <c r="D173" s="27"/>
      <c r="E173" s="27"/>
      <c r="F173" s="28">
        <f>SUM(F174:F179)</f>
        <v>56285.543725889991</v>
      </c>
      <c r="G173" s="48"/>
    </row>
    <row r="174" spans="1:7" s="20" customFormat="1" ht="31.5" x14ac:dyDescent="0.45">
      <c r="A174" s="37" t="s">
        <v>571</v>
      </c>
      <c r="B174" s="34" t="s">
        <v>572</v>
      </c>
      <c r="C174" s="34" t="s">
        <v>59</v>
      </c>
      <c r="D174" s="35">
        <v>11.4459</v>
      </c>
      <c r="E174" s="35">
        <v>67.247100000000003</v>
      </c>
      <c r="F174" s="36">
        <f t="shared" ref="F174" si="24">E174*D174</f>
        <v>769.70358189000001</v>
      </c>
      <c r="G174" s="51"/>
    </row>
    <row r="175" spans="1:7" s="20" customFormat="1" ht="31.5" x14ac:dyDescent="0.45">
      <c r="A175" s="37" t="s">
        <v>573</v>
      </c>
      <c r="B175" s="34" t="s">
        <v>407</v>
      </c>
      <c r="C175" s="34" t="s">
        <v>59</v>
      </c>
      <c r="D175" s="35">
        <v>465.24</v>
      </c>
      <c r="E175" s="35">
        <v>98.044799999999995</v>
      </c>
      <c r="F175" s="36">
        <f t="shared" ref="F175:F176" si="25">E175*D175</f>
        <v>45614.362752000001</v>
      </c>
      <c r="G175" s="51"/>
    </row>
    <row r="176" spans="1:7" s="20" customFormat="1" ht="31.5" x14ac:dyDescent="0.45">
      <c r="A176" s="37" t="s">
        <v>574</v>
      </c>
      <c r="B176" s="34" t="s">
        <v>449</v>
      </c>
      <c r="C176" s="34" t="s">
        <v>59</v>
      </c>
      <c r="D176" s="35">
        <v>63.05</v>
      </c>
      <c r="E176" s="35">
        <v>132.869</v>
      </c>
      <c r="F176" s="36">
        <f t="shared" si="25"/>
        <v>8377.390449999999</v>
      </c>
      <c r="G176" s="51"/>
    </row>
    <row r="177" spans="1:7" s="20" customFormat="1" ht="31.5" x14ac:dyDescent="0.45">
      <c r="A177" s="37" t="s">
        <v>575</v>
      </c>
      <c r="B177" s="34" t="s">
        <v>576</v>
      </c>
      <c r="C177" s="34" t="s">
        <v>59</v>
      </c>
      <c r="D177" s="35">
        <v>11.45</v>
      </c>
      <c r="E177" s="35">
        <v>0.29959999999999998</v>
      </c>
      <c r="F177" s="36">
        <f>E177*D177</f>
        <v>3.4304199999999994</v>
      </c>
      <c r="G177" s="51"/>
    </row>
    <row r="178" spans="1:7" s="20" customFormat="1" ht="31.5" x14ac:dyDescent="0.45">
      <c r="A178" s="37" t="s">
        <v>577</v>
      </c>
      <c r="B178" s="34" t="s">
        <v>578</v>
      </c>
      <c r="C178" s="34" t="s">
        <v>59</v>
      </c>
      <c r="D178" s="35">
        <v>465.24</v>
      </c>
      <c r="E178" s="35">
        <v>3.2168000000000001</v>
      </c>
      <c r="F178" s="36">
        <f t="shared" ref="F178:F179" si="26">E178*D178</f>
        <v>1496.584032</v>
      </c>
      <c r="G178" s="51"/>
    </row>
    <row r="179" spans="1:7" s="20" customFormat="1" ht="31.5" x14ac:dyDescent="0.45">
      <c r="A179" s="37" t="s">
        <v>579</v>
      </c>
      <c r="B179" s="34" t="s">
        <v>580</v>
      </c>
      <c r="C179" s="34" t="s">
        <v>59</v>
      </c>
      <c r="D179" s="35">
        <v>63.05</v>
      </c>
      <c r="E179" s="35">
        <v>0.38179999999999997</v>
      </c>
      <c r="F179" s="36">
        <f t="shared" si="26"/>
        <v>24.072489999999998</v>
      </c>
      <c r="G179" s="51"/>
    </row>
    <row r="180" spans="1:7" s="20" customFormat="1" ht="15.75" x14ac:dyDescent="0.45">
      <c r="A180" s="25" t="s">
        <v>373</v>
      </c>
      <c r="B180" s="26" t="s">
        <v>34</v>
      </c>
      <c r="C180" s="26"/>
      <c r="D180" s="27"/>
      <c r="E180" s="27"/>
      <c r="F180" s="28">
        <f>SUM(F181:F188)</f>
        <v>112601.92782899999</v>
      </c>
      <c r="G180" s="48"/>
    </row>
    <row r="181" spans="1:7" s="20" customFormat="1" ht="31.5" x14ac:dyDescent="0.45">
      <c r="A181" s="37" t="s">
        <v>374</v>
      </c>
      <c r="B181" s="34" t="s">
        <v>375</v>
      </c>
      <c r="C181" s="34" t="s">
        <v>347</v>
      </c>
      <c r="D181" s="35">
        <v>755</v>
      </c>
      <c r="E181" s="35">
        <v>8.0197000000000003</v>
      </c>
      <c r="F181" s="36">
        <f t="shared" ref="F181:F195" si="27">E181*D181</f>
        <v>6054.8735000000006</v>
      </c>
      <c r="G181" s="51"/>
    </row>
    <row r="182" spans="1:7" s="20" customFormat="1" ht="31.5" x14ac:dyDescent="0.45">
      <c r="A182" s="37" t="s">
        <v>376</v>
      </c>
      <c r="B182" s="34" t="s">
        <v>377</v>
      </c>
      <c r="C182" s="34" t="s">
        <v>347</v>
      </c>
      <c r="D182" s="35">
        <v>129</v>
      </c>
      <c r="E182" s="35">
        <v>7.9776999999999996</v>
      </c>
      <c r="F182" s="36">
        <f t="shared" si="27"/>
        <v>1029.1233</v>
      </c>
      <c r="G182" s="51"/>
    </row>
    <row r="183" spans="1:7" s="20" customFormat="1" ht="31.5" x14ac:dyDescent="0.45">
      <c r="A183" s="37" t="s">
        <v>378</v>
      </c>
      <c r="B183" s="34" t="s">
        <v>379</v>
      </c>
      <c r="C183" s="34" t="s">
        <v>347</v>
      </c>
      <c r="D183" s="35">
        <v>8105</v>
      </c>
      <c r="E183" s="35">
        <v>7.4737</v>
      </c>
      <c r="F183" s="36">
        <f t="shared" si="27"/>
        <v>60574.338499999998</v>
      </c>
      <c r="G183" s="51"/>
    </row>
    <row r="184" spans="1:7" s="20" customFormat="1" ht="31.5" x14ac:dyDescent="0.45">
      <c r="A184" s="37" t="s">
        <v>380</v>
      </c>
      <c r="B184" s="34" t="s">
        <v>381</v>
      </c>
      <c r="C184" s="34" t="s">
        <v>347</v>
      </c>
      <c r="D184" s="35">
        <v>926</v>
      </c>
      <c r="E184" s="35">
        <v>7.3897000000000004</v>
      </c>
      <c r="F184" s="36">
        <f t="shared" si="27"/>
        <v>6842.8622000000005</v>
      </c>
      <c r="G184" s="51"/>
    </row>
    <row r="185" spans="1:7" s="20" customFormat="1" ht="31.5" x14ac:dyDescent="0.45">
      <c r="A185" s="37" t="s">
        <v>382</v>
      </c>
      <c r="B185" s="34" t="s">
        <v>383</v>
      </c>
      <c r="C185" s="34" t="s">
        <v>347</v>
      </c>
      <c r="D185" s="35">
        <v>1256</v>
      </c>
      <c r="E185" s="35">
        <v>7.3897000000000004</v>
      </c>
      <c r="F185" s="36">
        <f t="shared" si="27"/>
        <v>9281.4632000000001</v>
      </c>
      <c r="G185" s="51"/>
    </row>
    <row r="186" spans="1:7" s="20" customFormat="1" ht="31.5" x14ac:dyDescent="0.45">
      <c r="A186" s="37" t="s">
        <v>384</v>
      </c>
      <c r="B186" s="34" t="s">
        <v>385</v>
      </c>
      <c r="C186" s="34" t="s">
        <v>347</v>
      </c>
      <c r="D186" s="35">
        <v>583</v>
      </c>
      <c r="E186" s="35">
        <v>7.3897000000000004</v>
      </c>
      <c r="F186" s="36">
        <f t="shared" si="27"/>
        <v>4308.1950999999999</v>
      </c>
      <c r="G186" s="51"/>
    </row>
    <row r="187" spans="1:7" s="20" customFormat="1" ht="31.5" x14ac:dyDescent="0.45">
      <c r="A187" s="37" t="s">
        <v>386</v>
      </c>
      <c r="B187" s="34" t="s">
        <v>387</v>
      </c>
      <c r="C187" s="34" t="s">
        <v>347</v>
      </c>
      <c r="D187" s="35">
        <v>484</v>
      </c>
      <c r="E187" s="35">
        <v>7.3897000000000004</v>
      </c>
      <c r="F187" s="36">
        <f t="shared" si="27"/>
        <v>3576.6148000000003</v>
      </c>
      <c r="G187" s="51"/>
    </row>
    <row r="188" spans="1:7" s="20" customFormat="1" ht="31.5" x14ac:dyDescent="0.45">
      <c r="A188" s="37" t="s">
        <v>388</v>
      </c>
      <c r="B188" s="34" t="s">
        <v>389</v>
      </c>
      <c r="C188" s="34" t="s">
        <v>59</v>
      </c>
      <c r="D188" s="35">
        <v>1522.03</v>
      </c>
      <c r="E188" s="35">
        <v>13.754300000000001</v>
      </c>
      <c r="F188" s="36">
        <f t="shared" si="27"/>
        <v>20934.457229</v>
      </c>
      <c r="G188" s="51"/>
    </row>
    <row r="189" spans="1:7" s="20" customFormat="1" ht="15.75" x14ac:dyDescent="0.45">
      <c r="A189" s="25" t="s">
        <v>390</v>
      </c>
      <c r="B189" s="26" t="s">
        <v>391</v>
      </c>
      <c r="C189" s="26"/>
      <c r="D189" s="27"/>
      <c r="E189" s="27"/>
      <c r="F189" s="28">
        <f>F190</f>
        <v>47362.887000000002</v>
      </c>
      <c r="G189" s="48"/>
    </row>
    <row r="190" spans="1:7" s="20" customFormat="1" ht="31.5" x14ac:dyDescent="0.45">
      <c r="A190" s="37" t="s">
        <v>392</v>
      </c>
      <c r="B190" s="34" t="s">
        <v>393</v>
      </c>
      <c r="C190" s="34" t="s">
        <v>163</v>
      </c>
      <c r="D190" s="35">
        <v>77.22</v>
      </c>
      <c r="E190" s="35">
        <v>613.35</v>
      </c>
      <c r="F190" s="36">
        <f t="shared" si="27"/>
        <v>47362.887000000002</v>
      </c>
      <c r="G190" s="51"/>
    </row>
    <row r="191" spans="1:7" s="20" customFormat="1" ht="15.75" x14ac:dyDescent="0.45">
      <c r="A191" s="25" t="s">
        <v>394</v>
      </c>
      <c r="B191" s="26" t="s">
        <v>37</v>
      </c>
      <c r="C191" s="26"/>
      <c r="D191" s="27"/>
      <c r="E191" s="27"/>
      <c r="F191" s="28">
        <f>SUM(F192:F193)</f>
        <v>123663.74540000001</v>
      </c>
      <c r="G191" s="48"/>
    </row>
    <row r="192" spans="1:7" s="20" customFormat="1" ht="31.5" x14ac:dyDescent="0.45">
      <c r="A192" s="37" t="s">
        <v>395</v>
      </c>
      <c r="B192" s="34" t="s">
        <v>396</v>
      </c>
      <c r="C192" s="34" t="s">
        <v>59</v>
      </c>
      <c r="D192" s="35">
        <v>1028.4000000000001</v>
      </c>
      <c r="E192" s="35">
        <v>90.23</v>
      </c>
      <c r="F192" s="36">
        <f t="shared" si="27"/>
        <v>92792.532000000007</v>
      </c>
      <c r="G192" s="51"/>
    </row>
    <row r="193" spans="1:7" s="20" customFormat="1" ht="31.5" x14ac:dyDescent="0.45">
      <c r="A193" s="37" t="s">
        <v>397</v>
      </c>
      <c r="B193" s="34" t="s">
        <v>613</v>
      </c>
      <c r="C193" s="34" t="s">
        <v>143</v>
      </c>
      <c r="D193" s="35">
        <v>1</v>
      </c>
      <c r="E193" s="35">
        <v>30871.213400000001</v>
      </c>
      <c r="F193" s="36">
        <f t="shared" si="27"/>
        <v>30871.213400000001</v>
      </c>
      <c r="G193" s="307" t="s">
        <v>555</v>
      </c>
    </row>
    <row r="194" spans="1:7" s="20" customFormat="1" ht="15.75" x14ac:dyDescent="0.45">
      <c r="A194" s="25" t="s">
        <v>398</v>
      </c>
      <c r="B194" s="26" t="s">
        <v>36</v>
      </c>
      <c r="C194" s="26"/>
      <c r="D194" s="27"/>
      <c r="E194" s="27"/>
      <c r="F194" s="28">
        <f>F195</f>
        <v>60407.661599999999</v>
      </c>
      <c r="G194" s="48"/>
    </row>
    <row r="195" spans="1:7" s="20" customFormat="1" ht="31.5" x14ac:dyDescent="0.45">
      <c r="A195" s="37" t="s">
        <v>399</v>
      </c>
      <c r="B195" s="34" t="s">
        <v>400</v>
      </c>
      <c r="C195" s="34" t="s">
        <v>163</v>
      </c>
      <c r="D195" s="35">
        <v>77.22</v>
      </c>
      <c r="E195" s="35">
        <v>782.28</v>
      </c>
      <c r="F195" s="36">
        <f t="shared" si="27"/>
        <v>60407.661599999999</v>
      </c>
      <c r="G195" s="51"/>
    </row>
    <row r="196" spans="1:7" s="20" customFormat="1" ht="15.75" x14ac:dyDescent="0.45">
      <c r="A196" s="21" t="s">
        <v>401</v>
      </c>
      <c r="B196" s="22" t="s">
        <v>402</v>
      </c>
      <c r="C196" s="22"/>
      <c r="D196" s="23"/>
      <c r="E196" s="23"/>
      <c r="F196" s="24">
        <f>F197+F202+F210+F212+F220+F214</f>
        <v>282645.149576</v>
      </c>
      <c r="G196" s="47"/>
    </row>
    <row r="197" spans="1:7" s="20" customFormat="1" ht="15.75" x14ac:dyDescent="0.45">
      <c r="A197" s="25" t="s">
        <v>403</v>
      </c>
      <c r="B197" s="26" t="s">
        <v>33</v>
      </c>
      <c r="C197" s="26"/>
      <c r="D197" s="27"/>
      <c r="E197" s="27"/>
      <c r="F197" s="28">
        <f>SUM(F198:F201)</f>
        <v>13759.948796000001</v>
      </c>
      <c r="G197" s="48"/>
    </row>
    <row r="198" spans="1:7" s="20" customFormat="1" ht="31.5" x14ac:dyDescent="0.45">
      <c r="A198" s="37" t="s">
        <v>404</v>
      </c>
      <c r="B198" s="34" t="s">
        <v>581</v>
      </c>
      <c r="C198" s="34" t="s">
        <v>59</v>
      </c>
      <c r="D198" s="35">
        <v>63.88</v>
      </c>
      <c r="E198" s="35">
        <v>115.39490000000001</v>
      </c>
      <c r="F198" s="36">
        <f t="shared" ref="F198:F201" si="28">E198*D198</f>
        <v>7371.4262120000003</v>
      </c>
      <c r="G198" s="51" t="s">
        <v>1111</v>
      </c>
    </row>
    <row r="199" spans="1:7" s="20" customFormat="1" ht="31.5" x14ac:dyDescent="0.45">
      <c r="A199" s="37" t="s">
        <v>406</v>
      </c>
      <c r="B199" s="34" t="s">
        <v>407</v>
      </c>
      <c r="C199" s="34" t="s">
        <v>59</v>
      </c>
      <c r="D199" s="35">
        <v>48.92</v>
      </c>
      <c r="E199" s="35">
        <v>98.044799999999995</v>
      </c>
      <c r="F199" s="36">
        <f t="shared" si="28"/>
        <v>4796.3516159999999</v>
      </c>
      <c r="G199" s="51" t="s">
        <v>1111</v>
      </c>
    </row>
    <row r="200" spans="1:7" s="20" customFormat="1" ht="31.5" x14ac:dyDescent="0.45">
      <c r="A200" s="37" t="s">
        <v>408</v>
      </c>
      <c r="B200" s="34" t="s">
        <v>582</v>
      </c>
      <c r="C200" s="34" t="s">
        <v>59</v>
      </c>
      <c r="D200" s="35">
        <v>354.14</v>
      </c>
      <c r="E200" s="35">
        <v>1.8388</v>
      </c>
      <c r="F200" s="36">
        <f t="shared" si="28"/>
        <v>651.192632</v>
      </c>
      <c r="G200" s="51"/>
    </row>
    <row r="201" spans="1:7" s="20" customFormat="1" ht="31.5" x14ac:dyDescent="0.45">
      <c r="A201" s="37" t="s">
        <v>410</v>
      </c>
      <c r="B201" s="34" t="s">
        <v>583</v>
      </c>
      <c r="C201" s="34" t="s">
        <v>59</v>
      </c>
      <c r="D201" s="35">
        <v>292.52</v>
      </c>
      <c r="E201" s="35">
        <v>3.2168000000000001</v>
      </c>
      <c r="F201" s="36">
        <f t="shared" si="28"/>
        <v>940.97833600000001</v>
      </c>
      <c r="G201" s="51"/>
    </row>
    <row r="202" spans="1:7" s="20" customFormat="1" ht="15.75" x14ac:dyDescent="0.45">
      <c r="A202" s="25" t="s">
        <v>411</v>
      </c>
      <c r="B202" s="26" t="s">
        <v>34</v>
      </c>
      <c r="C202" s="26"/>
      <c r="D202" s="27"/>
      <c r="E202" s="27"/>
      <c r="F202" s="28">
        <f>SUM(F203:F209)</f>
        <v>34774.112699999998</v>
      </c>
      <c r="G202" s="48"/>
    </row>
    <row r="203" spans="1:7" s="20" customFormat="1" ht="31.5" x14ac:dyDescent="0.45">
      <c r="A203" s="37" t="s">
        <v>412</v>
      </c>
      <c r="B203" s="34" t="s">
        <v>375</v>
      </c>
      <c r="C203" s="34" t="s">
        <v>347</v>
      </c>
      <c r="D203" s="35">
        <v>1125</v>
      </c>
      <c r="E203" s="35">
        <v>8.0197000000000003</v>
      </c>
      <c r="F203" s="36">
        <f t="shared" ref="F203:F209" si="29">E203*D203</f>
        <v>9022.1625000000004</v>
      </c>
      <c r="G203" s="51"/>
    </row>
    <row r="204" spans="1:7" s="20" customFormat="1" ht="31.5" x14ac:dyDescent="0.45">
      <c r="A204" s="37" t="s">
        <v>413</v>
      </c>
      <c r="B204" s="34" t="s">
        <v>377</v>
      </c>
      <c r="C204" s="34" t="s">
        <v>347</v>
      </c>
      <c r="D204" s="35">
        <v>1359</v>
      </c>
      <c r="E204" s="35">
        <v>7.9776999999999996</v>
      </c>
      <c r="F204" s="36">
        <f t="shared" si="29"/>
        <v>10841.694299999999</v>
      </c>
      <c r="G204" s="51"/>
    </row>
    <row r="205" spans="1:7" s="20" customFormat="1" ht="31.5" x14ac:dyDescent="0.45">
      <c r="A205" s="37" t="s">
        <v>414</v>
      </c>
      <c r="B205" s="34" t="s">
        <v>379</v>
      </c>
      <c r="C205" s="34" t="s">
        <v>347</v>
      </c>
      <c r="D205" s="35">
        <v>942</v>
      </c>
      <c r="E205" s="35">
        <v>7.4737</v>
      </c>
      <c r="F205" s="36">
        <f t="shared" si="29"/>
        <v>7040.2254000000003</v>
      </c>
      <c r="G205" s="51"/>
    </row>
    <row r="206" spans="1:7" s="20" customFormat="1" ht="31.5" x14ac:dyDescent="0.45">
      <c r="A206" s="37" t="s">
        <v>415</v>
      </c>
      <c r="B206" s="34" t="s">
        <v>381</v>
      </c>
      <c r="C206" s="34" t="s">
        <v>347</v>
      </c>
      <c r="D206" s="35">
        <v>229</v>
      </c>
      <c r="E206" s="35">
        <v>7.3897000000000004</v>
      </c>
      <c r="F206" s="36">
        <f t="shared" si="29"/>
        <v>1692.2413000000001</v>
      </c>
      <c r="G206" s="51"/>
    </row>
    <row r="207" spans="1:7" s="20" customFormat="1" ht="31.5" x14ac:dyDescent="0.45">
      <c r="A207" s="37" t="s">
        <v>416</v>
      </c>
      <c r="B207" s="34" t="s">
        <v>383</v>
      </c>
      <c r="C207" s="34" t="s">
        <v>347</v>
      </c>
      <c r="D207" s="35">
        <v>724</v>
      </c>
      <c r="E207" s="35">
        <v>7.3897000000000004</v>
      </c>
      <c r="F207" s="36">
        <f t="shared" si="29"/>
        <v>5350.1428000000005</v>
      </c>
      <c r="G207" s="51"/>
    </row>
    <row r="208" spans="1:7" s="20" customFormat="1" ht="31.5" x14ac:dyDescent="0.45">
      <c r="A208" s="37" t="s">
        <v>417</v>
      </c>
      <c r="B208" s="34" t="s">
        <v>385</v>
      </c>
      <c r="C208" s="34" t="s">
        <v>347</v>
      </c>
      <c r="D208" s="35">
        <v>29</v>
      </c>
      <c r="E208" s="35">
        <v>7.3897000000000004</v>
      </c>
      <c r="F208" s="36">
        <f t="shared" si="29"/>
        <v>214.3013</v>
      </c>
      <c r="G208" s="51"/>
    </row>
    <row r="209" spans="1:7" s="20" customFormat="1" ht="31.5" x14ac:dyDescent="0.45">
      <c r="A209" s="37" t="s">
        <v>418</v>
      </c>
      <c r="B209" s="34" t="s">
        <v>387</v>
      </c>
      <c r="C209" s="34" t="s">
        <v>347</v>
      </c>
      <c r="D209" s="35">
        <v>83</v>
      </c>
      <c r="E209" s="35">
        <v>7.3897000000000004</v>
      </c>
      <c r="F209" s="36">
        <f t="shared" si="29"/>
        <v>613.3451</v>
      </c>
      <c r="G209" s="51"/>
    </row>
    <row r="210" spans="1:7" s="20" customFormat="1" ht="15.75" x14ac:dyDescent="0.45">
      <c r="A210" s="25" t="s">
        <v>419</v>
      </c>
      <c r="B210" s="26" t="s">
        <v>391</v>
      </c>
      <c r="C210" s="26"/>
      <c r="D210" s="27"/>
      <c r="E210" s="27"/>
      <c r="F210" s="28">
        <f>F211</f>
        <v>31194.981</v>
      </c>
      <c r="G210" s="48"/>
    </row>
    <row r="211" spans="1:7" s="20" customFormat="1" ht="31.5" x14ac:dyDescent="0.45">
      <c r="A211" s="37" t="s">
        <v>420</v>
      </c>
      <c r="B211" s="34" t="s">
        <v>393</v>
      </c>
      <c r="C211" s="34" t="s">
        <v>163</v>
      </c>
      <c r="D211" s="35">
        <v>50.86</v>
      </c>
      <c r="E211" s="35">
        <v>613.35</v>
      </c>
      <c r="F211" s="36">
        <f t="shared" ref="F211" si="30">E211*D211</f>
        <v>31194.981</v>
      </c>
      <c r="G211" s="51"/>
    </row>
    <row r="212" spans="1:7" s="20" customFormat="1" ht="15.75" x14ac:dyDescent="0.45">
      <c r="A212" s="25" t="s">
        <v>421</v>
      </c>
      <c r="B212" s="26" t="s">
        <v>37</v>
      </c>
      <c r="C212" s="26"/>
      <c r="D212" s="27"/>
      <c r="E212" s="27"/>
      <c r="F212" s="28">
        <f>F213</f>
        <v>19507.887000000002</v>
      </c>
      <c r="G212" s="48"/>
    </row>
    <row r="213" spans="1:7" s="20" customFormat="1" ht="31.5" x14ac:dyDescent="0.45">
      <c r="A213" s="37" t="s">
        <v>422</v>
      </c>
      <c r="B213" s="34" t="s">
        <v>614</v>
      </c>
      <c r="C213" s="34" t="s">
        <v>143</v>
      </c>
      <c r="D213" s="35">
        <v>10</v>
      </c>
      <c r="E213" s="35">
        <v>1950.7887000000001</v>
      </c>
      <c r="F213" s="36">
        <f t="shared" ref="F213" si="31">E213*D213</f>
        <v>19507.887000000002</v>
      </c>
      <c r="G213" s="307" t="s">
        <v>555</v>
      </c>
    </row>
    <row r="214" spans="1:7" s="20" customFormat="1" ht="15.75" x14ac:dyDescent="0.45">
      <c r="A214" s="25" t="s">
        <v>423</v>
      </c>
      <c r="B214" s="26" t="s">
        <v>618</v>
      </c>
      <c r="C214" s="26"/>
      <c r="D214" s="27"/>
      <c r="E214" s="27"/>
      <c r="F214" s="28">
        <f>SUM(F215:F219)</f>
        <v>107253.76728</v>
      </c>
      <c r="G214" s="48"/>
    </row>
    <row r="215" spans="1:7" s="20" customFormat="1" ht="31.5" x14ac:dyDescent="0.45">
      <c r="A215" s="37" t="s">
        <v>424</v>
      </c>
      <c r="B215" s="34" t="s">
        <v>620</v>
      </c>
      <c r="C215" s="34" t="s">
        <v>59</v>
      </c>
      <c r="D215" s="35">
        <v>775.1</v>
      </c>
      <c r="E215" s="35">
        <v>68.404799999999994</v>
      </c>
      <c r="F215" s="36">
        <f>E215*D215</f>
        <v>53020.56048</v>
      </c>
      <c r="G215" s="51"/>
    </row>
    <row r="216" spans="1:7" s="20" customFormat="1" ht="15.75" x14ac:dyDescent="0.45">
      <c r="A216" s="37" t="s">
        <v>1193</v>
      </c>
      <c r="B216" s="34" t="s">
        <v>622</v>
      </c>
      <c r="C216" s="34" t="s">
        <v>163</v>
      </c>
      <c r="D216" s="35">
        <v>22.81</v>
      </c>
      <c r="E216" s="35">
        <v>504</v>
      </c>
      <c r="F216" s="36">
        <f>E216*D216</f>
        <v>11496.24</v>
      </c>
      <c r="G216" s="51"/>
    </row>
    <row r="217" spans="1:7" s="20" customFormat="1" ht="31.5" x14ac:dyDescent="0.45">
      <c r="A217" s="37" t="s">
        <v>1194</v>
      </c>
      <c r="B217" s="34" t="s">
        <v>623</v>
      </c>
      <c r="C217" s="34" t="s">
        <v>347</v>
      </c>
      <c r="D217" s="35">
        <v>976</v>
      </c>
      <c r="E217" s="35">
        <v>6.6147999999999998</v>
      </c>
      <c r="F217" s="36">
        <f>E217*D217</f>
        <v>6456.0447999999997</v>
      </c>
      <c r="G217" s="51"/>
    </row>
    <row r="218" spans="1:7" s="20" customFormat="1" ht="31.5" x14ac:dyDescent="0.45">
      <c r="A218" s="37" t="s">
        <v>1195</v>
      </c>
      <c r="B218" s="34" t="s">
        <v>624</v>
      </c>
      <c r="C218" s="34" t="s">
        <v>347</v>
      </c>
      <c r="D218" s="35">
        <v>4265</v>
      </c>
      <c r="E218" s="35">
        <v>6.5347999999999997</v>
      </c>
      <c r="F218" s="36">
        <f>E218*D218</f>
        <v>27870.921999999999</v>
      </c>
      <c r="G218" s="51"/>
    </row>
    <row r="219" spans="1:7" s="20" customFormat="1" ht="15.75" x14ac:dyDescent="0.45">
      <c r="A219" s="37" t="s">
        <v>1196</v>
      </c>
      <c r="B219" s="34" t="s">
        <v>625</v>
      </c>
      <c r="C219" s="34" t="s">
        <v>146</v>
      </c>
      <c r="D219" s="35">
        <v>1</v>
      </c>
      <c r="E219" s="35">
        <v>8410</v>
      </c>
      <c r="F219" s="36">
        <f>E219*D219</f>
        <v>8410</v>
      </c>
      <c r="G219" s="51"/>
    </row>
    <row r="220" spans="1:7" s="20" customFormat="1" ht="15.75" x14ac:dyDescent="0.45">
      <c r="A220" s="25" t="s">
        <v>617</v>
      </c>
      <c r="B220" s="26" t="s">
        <v>36</v>
      </c>
      <c r="C220" s="26"/>
      <c r="D220" s="27"/>
      <c r="E220" s="27"/>
      <c r="F220" s="28">
        <f>SUM(F221:F222)</f>
        <v>76154.452799999999</v>
      </c>
      <c r="G220" s="48"/>
    </row>
    <row r="221" spans="1:7" s="20" customFormat="1" ht="31.5" x14ac:dyDescent="0.45">
      <c r="A221" s="37" t="s">
        <v>619</v>
      </c>
      <c r="B221" s="34" t="s">
        <v>400</v>
      </c>
      <c r="C221" s="34" t="s">
        <v>163</v>
      </c>
      <c r="D221" s="35">
        <v>50.86</v>
      </c>
      <c r="E221" s="35">
        <v>782.28</v>
      </c>
      <c r="F221" s="36">
        <f t="shared" ref="F221" si="32">E221*D221</f>
        <v>39786.760799999996</v>
      </c>
      <c r="G221" s="51"/>
    </row>
    <row r="222" spans="1:7" s="20" customFormat="1" ht="15.75" x14ac:dyDescent="0.45">
      <c r="A222" s="37" t="s">
        <v>621</v>
      </c>
      <c r="B222" s="34" t="s">
        <v>626</v>
      </c>
      <c r="C222" s="34" t="s">
        <v>59</v>
      </c>
      <c r="D222" s="35">
        <v>775.1</v>
      </c>
      <c r="E222" s="35">
        <v>46.92</v>
      </c>
      <c r="F222" s="36">
        <f>E222*D222</f>
        <v>36367.692000000003</v>
      </c>
      <c r="G222" s="51"/>
    </row>
    <row r="223" spans="1:7" s="20" customFormat="1" ht="31.5" x14ac:dyDescent="0.45">
      <c r="A223" s="21" t="s">
        <v>425</v>
      </c>
      <c r="B223" s="22" t="s">
        <v>426</v>
      </c>
      <c r="C223" s="22"/>
      <c r="D223" s="23"/>
      <c r="E223" s="23"/>
      <c r="F223" s="24">
        <f>F224+F229+F237+F245+F235+F239</f>
        <v>315259.25299800001</v>
      </c>
      <c r="G223" s="47"/>
    </row>
    <row r="224" spans="1:7" s="20" customFormat="1" ht="15.75" x14ac:dyDescent="0.45">
      <c r="A224" s="25" t="s">
        <v>427</v>
      </c>
      <c r="B224" s="26" t="s">
        <v>33</v>
      </c>
      <c r="C224" s="26"/>
      <c r="D224" s="27"/>
      <c r="E224" s="27"/>
      <c r="F224" s="28">
        <f>SUM(F225:F228)</f>
        <v>16767.170773999998</v>
      </c>
      <c r="G224" s="48"/>
    </row>
    <row r="225" spans="1:7" s="20" customFormat="1" ht="31.5" x14ac:dyDescent="0.45">
      <c r="A225" s="37" t="s">
        <v>428</v>
      </c>
      <c r="B225" s="34" t="s">
        <v>581</v>
      </c>
      <c r="C225" s="34" t="s">
        <v>59</v>
      </c>
      <c r="D225" s="35">
        <v>69.819999999999993</v>
      </c>
      <c r="E225" s="35">
        <v>115.39490000000001</v>
      </c>
      <c r="F225" s="36">
        <f t="shared" ref="F225:F228" si="33">E225*D225</f>
        <v>8056.8719179999998</v>
      </c>
      <c r="G225" s="51" t="s">
        <v>1111</v>
      </c>
    </row>
    <row r="226" spans="1:7" s="20" customFormat="1" ht="31.5" x14ac:dyDescent="0.45">
      <c r="A226" s="37" t="s">
        <v>429</v>
      </c>
      <c r="B226" s="34" t="s">
        <v>407</v>
      </c>
      <c r="C226" s="34" t="s">
        <v>59</v>
      </c>
      <c r="D226" s="35">
        <v>66.22</v>
      </c>
      <c r="E226" s="35">
        <v>98.044799999999995</v>
      </c>
      <c r="F226" s="36">
        <f t="shared" si="33"/>
        <v>6492.526656</v>
      </c>
      <c r="G226" s="51" t="s">
        <v>1111</v>
      </c>
    </row>
    <row r="227" spans="1:7" s="20" customFormat="1" ht="31.5" x14ac:dyDescent="0.45">
      <c r="A227" s="37" t="s">
        <v>430</v>
      </c>
      <c r="B227" s="34" t="s">
        <v>582</v>
      </c>
      <c r="C227" s="34" t="s">
        <v>59</v>
      </c>
      <c r="D227" s="35">
        <v>453.26</v>
      </c>
      <c r="E227" s="35">
        <v>1.8388</v>
      </c>
      <c r="F227" s="36">
        <f t="shared" si="33"/>
        <v>833.45448799999997</v>
      </c>
      <c r="G227" s="51"/>
    </row>
    <row r="228" spans="1:7" s="20" customFormat="1" ht="31.5" x14ac:dyDescent="0.45">
      <c r="A228" s="37" t="s">
        <v>431</v>
      </c>
      <c r="B228" s="34" t="s">
        <v>583</v>
      </c>
      <c r="C228" s="34" t="s">
        <v>59</v>
      </c>
      <c r="D228" s="35">
        <v>430.34</v>
      </c>
      <c r="E228" s="35">
        <v>3.2168000000000001</v>
      </c>
      <c r="F228" s="36">
        <f t="shared" si="33"/>
        <v>1384.317712</v>
      </c>
      <c r="G228" s="51"/>
    </row>
    <row r="229" spans="1:7" s="20" customFormat="1" ht="15.75" x14ac:dyDescent="0.45">
      <c r="A229" s="25" t="s">
        <v>432</v>
      </c>
      <c r="B229" s="26" t="s">
        <v>34</v>
      </c>
      <c r="C229" s="26"/>
      <c r="D229" s="27"/>
      <c r="E229" s="27"/>
      <c r="F229" s="28">
        <f>SUM(F230:F234)</f>
        <v>32210.573200000003</v>
      </c>
      <c r="G229" s="48"/>
    </row>
    <row r="230" spans="1:7" s="20" customFormat="1" ht="31.5" x14ac:dyDescent="0.45">
      <c r="A230" s="37" t="s">
        <v>433</v>
      </c>
      <c r="B230" s="34" t="s">
        <v>375</v>
      </c>
      <c r="C230" s="34" t="s">
        <v>347</v>
      </c>
      <c r="D230" s="35">
        <v>558</v>
      </c>
      <c r="E230" s="35">
        <v>8.0197000000000003</v>
      </c>
      <c r="F230" s="36">
        <f t="shared" ref="F230:F234" si="34">E230*D230</f>
        <v>4474.9926000000005</v>
      </c>
      <c r="G230" s="51"/>
    </row>
    <row r="231" spans="1:7" s="20" customFormat="1" ht="31.5" x14ac:dyDescent="0.45">
      <c r="A231" s="37" t="s">
        <v>434</v>
      </c>
      <c r="B231" s="34" t="s">
        <v>377</v>
      </c>
      <c r="C231" s="34" t="s">
        <v>347</v>
      </c>
      <c r="D231" s="35">
        <v>1709</v>
      </c>
      <c r="E231" s="35">
        <v>7.9776999999999996</v>
      </c>
      <c r="F231" s="36">
        <f t="shared" si="34"/>
        <v>13633.889299999999</v>
      </c>
      <c r="G231" s="51"/>
    </row>
    <row r="232" spans="1:7" s="20" customFormat="1" ht="31.5" x14ac:dyDescent="0.45">
      <c r="A232" s="37" t="s">
        <v>435</v>
      </c>
      <c r="B232" s="34" t="s">
        <v>379</v>
      </c>
      <c r="C232" s="34" t="s">
        <v>347</v>
      </c>
      <c r="D232" s="35">
        <v>1697</v>
      </c>
      <c r="E232" s="35">
        <v>7.4737</v>
      </c>
      <c r="F232" s="36">
        <f t="shared" si="34"/>
        <v>12682.868899999999</v>
      </c>
      <c r="G232" s="51"/>
    </row>
    <row r="233" spans="1:7" s="20" customFormat="1" ht="31.5" x14ac:dyDescent="0.45">
      <c r="A233" s="37" t="s">
        <v>436</v>
      </c>
      <c r="B233" s="34" t="s">
        <v>381</v>
      </c>
      <c r="C233" s="34" t="s">
        <v>347</v>
      </c>
      <c r="D233" s="35">
        <v>49</v>
      </c>
      <c r="E233" s="35">
        <v>7.3897000000000004</v>
      </c>
      <c r="F233" s="36">
        <f t="shared" si="34"/>
        <v>362.09530000000001</v>
      </c>
      <c r="G233" s="51"/>
    </row>
    <row r="234" spans="1:7" s="20" customFormat="1" ht="31.5" x14ac:dyDescent="0.45">
      <c r="A234" s="37" t="s">
        <v>437</v>
      </c>
      <c r="B234" s="34" t="s">
        <v>383</v>
      </c>
      <c r="C234" s="34" t="s">
        <v>347</v>
      </c>
      <c r="D234" s="35">
        <v>143</v>
      </c>
      <c r="E234" s="35">
        <v>7.3897000000000004</v>
      </c>
      <c r="F234" s="36">
        <f t="shared" si="34"/>
        <v>1056.7271000000001</v>
      </c>
      <c r="G234" s="51"/>
    </row>
    <row r="235" spans="1:7" s="20" customFormat="1" ht="15.75" x14ac:dyDescent="0.45">
      <c r="A235" s="25" t="s">
        <v>438</v>
      </c>
      <c r="B235" s="26" t="s">
        <v>391</v>
      </c>
      <c r="C235" s="26"/>
      <c r="D235" s="27"/>
      <c r="E235" s="27"/>
      <c r="F235" s="28">
        <f>F236</f>
        <v>34034.791499999999</v>
      </c>
      <c r="G235" s="48"/>
    </row>
    <row r="236" spans="1:7" s="20" customFormat="1" ht="31.5" x14ac:dyDescent="0.45">
      <c r="A236" s="37" t="s">
        <v>439</v>
      </c>
      <c r="B236" s="34" t="s">
        <v>393</v>
      </c>
      <c r="C236" s="34" t="s">
        <v>163</v>
      </c>
      <c r="D236" s="35">
        <v>55.49</v>
      </c>
      <c r="E236" s="35">
        <v>613.35</v>
      </c>
      <c r="F236" s="36">
        <f t="shared" ref="F236" si="35">E236*D236</f>
        <v>34034.791499999999</v>
      </c>
      <c r="G236" s="51"/>
    </row>
    <row r="237" spans="1:7" s="20" customFormat="1" ht="15.75" x14ac:dyDescent="0.45">
      <c r="A237" s="25" t="s">
        <v>440</v>
      </c>
      <c r="B237" s="26" t="s">
        <v>37</v>
      </c>
      <c r="C237" s="26"/>
      <c r="D237" s="27"/>
      <c r="E237" s="27"/>
      <c r="F237" s="28">
        <f>F238</f>
        <v>22713.055</v>
      </c>
      <c r="G237" s="48"/>
    </row>
    <row r="238" spans="1:7" s="20" customFormat="1" ht="31.5" x14ac:dyDescent="0.45">
      <c r="A238" s="37" t="s">
        <v>441</v>
      </c>
      <c r="B238" s="34" t="s">
        <v>615</v>
      </c>
      <c r="C238" s="34" t="s">
        <v>143</v>
      </c>
      <c r="D238" s="35">
        <v>10</v>
      </c>
      <c r="E238" s="35">
        <v>2271.3054999999999</v>
      </c>
      <c r="F238" s="36">
        <f t="shared" ref="F238" si="36">E238*D238</f>
        <v>22713.055</v>
      </c>
      <c r="G238" s="307" t="s">
        <v>555</v>
      </c>
    </row>
    <row r="239" spans="1:7" s="20" customFormat="1" ht="15.75" x14ac:dyDescent="0.45">
      <c r="A239" s="25" t="s">
        <v>627</v>
      </c>
      <c r="B239" s="26" t="s">
        <v>618</v>
      </c>
      <c r="C239" s="26"/>
      <c r="D239" s="27"/>
      <c r="E239" s="27"/>
      <c r="F239" s="28">
        <f>SUM(F240:F244)</f>
        <v>123299.653724</v>
      </c>
      <c r="G239" s="48"/>
    </row>
    <row r="240" spans="1:7" s="20" customFormat="1" ht="31.5" x14ac:dyDescent="0.45">
      <c r="A240" s="37" t="s">
        <v>628</v>
      </c>
      <c r="B240" s="34" t="s">
        <v>629</v>
      </c>
      <c r="C240" s="34" t="s">
        <v>59</v>
      </c>
      <c r="D240" s="35">
        <v>912.73</v>
      </c>
      <c r="E240" s="35">
        <v>71.498800000000003</v>
      </c>
      <c r="F240" s="36">
        <f>E240*D240</f>
        <v>65259.099724000007</v>
      </c>
      <c r="G240" s="51"/>
    </row>
    <row r="241" spans="1:7" s="20" customFormat="1" ht="15.75" x14ac:dyDescent="0.45">
      <c r="A241" s="37" t="s">
        <v>630</v>
      </c>
      <c r="B241" s="34" t="s">
        <v>622</v>
      </c>
      <c r="C241" s="34" t="s">
        <v>163</v>
      </c>
      <c r="D241" s="35">
        <v>26.87</v>
      </c>
      <c r="E241" s="35">
        <v>504</v>
      </c>
      <c r="F241" s="36">
        <f>E241*D241</f>
        <v>13542.480000000001</v>
      </c>
      <c r="G241" s="51"/>
    </row>
    <row r="242" spans="1:7" s="20" customFormat="1" ht="31.5" x14ac:dyDescent="0.45">
      <c r="A242" s="37" t="s">
        <v>631</v>
      </c>
      <c r="B242" s="34" t="s">
        <v>623</v>
      </c>
      <c r="C242" s="34" t="s">
        <v>347</v>
      </c>
      <c r="D242" s="35">
        <v>1425</v>
      </c>
      <c r="E242" s="35">
        <v>6.6147999999999998</v>
      </c>
      <c r="F242" s="36">
        <f>E242*D242</f>
        <v>9426.09</v>
      </c>
      <c r="G242" s="51"/>
    </row>
    <row r="243" spans="1:7" s="20" customFormat="1" ht="31.5" x14ac:dyDescent="0.45">
      <c r="A243" s="37" t="s">
        <v>632</v>
      </c>
      <c r="B243" s="34" t="s">
        <v>624</v>
      </c>
      <c r="C243" s="34" t="s">
        <v>347</v>
      </c>
      <c r="D243" s="35">
        <v>4080</v>
      </c>
      <c r="E243" s="35">
        <v>6.5347999999999997</v>
      </c>
      <c r="F243" s="36">
        <f>E243*D243</f>
        <v>26661.984</v>
      </c>
      <c r="G243" s="51"/>
    </row>
    <row r="244" spans="1:7" s="20" customFormat="1" ht="15.75" x14ac:dyDescent="0.45">
      <c r="A244" s="37" t="s">
        <v>633</v>
      </c>
      <c r="B244" s="34" t="s">
        <v>625</v>
      </c>
      <c r="C244" s="34" t="s">
        <v>146</v>
      </c>
      <c r="D244" s="35">
        <v>1</v>
      </c>
      <c r="E244" s="35">
        <v>8410</v>
      </c>
      <c r="F244" s="36">
        <f>E244*D244</f>
        <v>8410</v>
      </c>
      <c r="G244" s="51"/>
    </row>
    <row r="245" spans="1:7" s="20" customFormat="1" ht="15.75" x14ac:dyDescent="0.45">
      <c r="A245" s="25" t="s">
        <v>442</v>
      </c>
      <c r="B245" s="26" t="s">
        <v>36</v>
      </c>
      <c r="C245" s="26"/>
      <c r="D245" s="27"/>
      <c r="E245" s="27"/>
      <c r="F245" s="28">
        <f>SUM(F246:F247)</f>
        <v>86234.008800000011</v>
      </c>
      <c r="G245" s="48"/>
    </row>
    <row r="246" spans="1:7" s="20" customFormat="1" ht="31.5" x14ac:dyDescent="0.45">
      <c r="A246" s="37" t="s">
        <v>443</v>
      </c>
      <c r="B246" s="34" t="s">
        <v>400</v>
      </c>
      <c r="C246" s="34" t="s">
        <v>163</v>
      </c>
      <c r="D246" s="35">
        <v>55.49</v>
      </c>
      <c r="E246" s="35">
        <v>782.28</v>
      </c>
      <c r="F246" s="36">
        <f t="shared" ref="F246" si="37">E246*D246</f>
        <v>43408.717199999999</v>
      </c>
      <c r="G246" s="51"/>
    </row>
    <row r="247" spans="1:7" s="20" customFormat="1" ht="15.75" x14ac:dyDescent="0.45">
      <c r="A247" s="37"/>
      <c r="B247" s="34" t="s">
        <v>626</v>
      </c>
      <c r="C247" s="34" t="s">
        <v>59</v>
      </c>
      <c r="D247" s="35">
        <v>912.73</v>
      </c>
      <c r="E247" s="35">
        <v>46.92</v>
      </c>
      <c r="F247" s="36">
        <f>E247*D247</f>
        <v>42825.291600000004</v>
      </c>
      <c r="G247" s="51"/>
    </row>
    <row r="248" spans="1:7" s="20" customFormat="1" ht="15.75" x14ac:dyDescent="0.45">
      <c r="A248" s="21" t="s">
        <v>444</v>
      </c>
      <c r="B248" s="22" t="s">
        <v>445</v>
      </c>
      <c r="C248" s="22"/>
      <c r="D248" s="23"/>
      <c r="E248" s="23"/>
      <c r="F248" s="24">
        <f>F249+F258+F266+F268+F263</f>
        <v>94782.066136000009</v>
      </c>
      <c r="G248" s="47"/>
    </row>
    <row r="249" spans="1:7" s="20" customFormat="1" ht="15.75" x14ac:dyDescent="0.45">
      <c r="A249" s="25" t="s">
        <v>446</v>
      </c>
      <c r="B249" s="26" t="s">
        <v>33</v>
      </c>
      <c r="C249" s="26"/>
      <c r="D249" s="27"/>
      <c r="E249" s="27"/>
      <c r="F249" s="28">
        <f>SUM(F250:F257)</f>
        <v>19194.169536000001</v>
      </c>
      <c r="G249" s="48"/>
    </row>
    <row r="250" spans="1:7" s="20" customFormat="1" ht="31.5" x14ac:dyDescent="0.45">
      <c r="A250" s="37" t="s">
        <v>447</v>
      </c>
      <c r="B250" s="34" t="s">
        <v>407</v>
      </c>
      <c r="C250" s="34" t="s">
        <v>59</v>
      </c>
      <c r="D250" s="35">
        <v>45.48</v>
      </c>
      <c r="E250" s="35">
        <v>98.044799999999995</v>
      </c>
      <c r="F250" s="36">
        <f t="shared" ref="F250:F265" si="38">E250*D250</f>
        <v>4459.0775039999999</v>
      </c>
      <c r="G250" s="51"/>
    </row>
    <row r="251" spans="1:7" s="20" customFormat="1" ht="31.5" x14ac:dyDescent="0.45">
      <c r="A251" s="37" t="s">
        <v>448</v>
      </c>
      <c r="B251" s="34" t="s">
        <v>449</v>
      </c>
      <c r="C251" s="34" t="s">
        <v>59</v>
      </c>
      <c r="D251" s="35">
        <v>40.47</v>
      </c>
      <c r="E251" s="35">
        <v>132.869</v>
      </c>
      <c r="F251" s="36">
        <f t="shared" si="38"/>
        <v>5377.2084299999997</v>
      </c>
      <c r="G251" s="51"/>
    </row>
    <row r="252" spans="1:7" s="20" customFormat="1" ht="31.5" x14ac:dyDescent="0.45">
      <c r="A252" s="37" t="s">
        <v>450</v>
      </c>
      <c r="B252" s="34" t="s">
        <v>451</v>
      </c>
      <c r="C252" s="34" t="s">
        <v>59</v>
      </c>
      <c r="D252" s="35">
        <v>41.92</v>
      </c>
      <c r="E252" s="35">
        <v>67.250200000000007</v>
      </c>
      <c r="F252" s="36">
        <f t="shared" si="38"/>
        <v>2819.1283840000006</v>
      </c>
      <c r="G252" s="51"/>
    </row>
    <row r="253" spans="1:7" s="20" customFormat="1" ht="31.5" x14ac:dyDescent="0.45">
      <c r="A253" s="37" t="s">
        <v>452</v>
      </c>
      <c r="B253" s="34" t="s">
        <v>405</v>
      </c>
      <c r="C253" s="34" t="s">
        <v>59</v>
      </c>
      <c r="D253" s="35">
        <v>54.2</v>
      </c>
      <c r="E253" s="35">
        <v>115.39490000000001</v>
      </c>
      <c r="F253" s="36">
        <f t="shared" si="38"/>
        <v>6254.4035800000011</v>
      </c>
      <c r="G253" s="51"/>
    </row>
    <row r="254" spans="1:7" s="20" customFormat="1" ht="31.5" x14ac:dyDescent="0.45">
      <c r="A254" s="37" t="s">
        <v>453</v>
      </c>
      <c r="B254" s="34" t="s">
        <v>371</v>
      </c>
      <c r="C254" s="34" t="s">
        <v>59</v>
      </c>
      <c r="D254" s="35">
        <v>45.48</v>
      </c>
      <c r="E254" s="35">
        <v>3.2168000000000001</v>
      </c>
      <c r="F254" s="36">
        <f t="shared" si="38"/>
        <v>146.30006399999999</v>
      </c>
      <c r="G254" s="51"/>
    </row>
    <row r="255" spans="1:7" s="20" customFormat="1" ht="31.5" x14ac:dyDescent="0.45">
      <c r="A255" s="37" t="s">
        <v>454</v>
      </c>
      <c r="B255" s="34" t="s">
        <v>372</v>
      </c>
      <c r="C255" s="34" t="s">
        <v>59</v>
      </c>
      <c r="D255" s="35">
        <v>10.47</v>
      </c>
      <c r="E255" s="35">
        <v>0.38179999999999997</v>
      </c>
      <c r="F255" s="36">
        <f t="shared" si="38"/>
        <v>3.9974460000000001</v>
      </c>
      <c r="G255" s="51"/>
    </row>
    <row r="256" spans="1:7" s="20" customFormat="1" ht="31.5" x14ac:dyDescent="0.45">
      <c r="A256" s="37" t="s">
        <v>455</v>
      </c>
      <c r="B256" s="34" t="s">
        <v>456</v>
      </c>
      <c r="C256" s="34" t="s">
        <v>59</v>
      </c>
      <c r="D256" s="35">
        <v>41.92</v>
      </c>
      <c r="E256" s="35">
        <v>0.82040000000000002</v>
      </c>
      <c r="F256" s="36">
        <f t="shared" si="38"/>
        <v>34.391168</v>
      </c>
      <c r="G256" s="51"/>
    </row>
    <row r="257" spans="1:7" s="20" customFormat="1" ht="31.5" x14ac:dyDescent="0.45">
      <c r="A257" s="37" t="s">
        <v>457</v>
      </c>
      <c r="B257" s="34" t="s">
        <v>409</v>
      </c>
      <c r="C257" s="34" t="s">
        <v>59</v>
      </c>
      <c r="D257" s="35">
        <v>54.2</v>
      </c>
      <c r="E257" s="35">
        <v>1.8388</v>
      </c>
      <c r="F257" s="36">
        <f t="shared" si="38"/>
        <v>99.662959999999998</v>
      </c>
      <c r="G257" s="51"/>
    </row>
    <row r="258" spans="1:7" s="20" customFormat="1" ht="15.75" x14ac:dyDescent="0.45">
      <c r="A258" s="25" t="s">
        <v>458</v>
      </c>
      <c r="B258" s="26" t="s">
        <v>34</v>
      </c>
      <c r="C258" s="26"/>
      <c r="D258" s="27"/>
      <c r="E258" s="27"/>
      <c r="F258" s="28">
        <f>SUM(F259:F262)</f>
        <v>13283.1531</v>
      </c>
      <c r="G258" s="48"/>
    </row>
    <row r="259" spans="1:7" s="20" customFormat="1" ht="31.5" x14ac:dyDescent="0.45">
      <c r="A259" s="37" t="s">
        <v>459</v>
      </c>
      <c r="B259" s="34" t="s">
        <v>375</v>
      </c>
      <c r="C259" s="34" t="s">
        <v>347</v>
      </c>
      <c r="D259" s="35">
        <v>385</v>
      </c>
      <c r="E259" s="35">
        <v>8.0197000000000003</v>
      </c>
      <c r="F259" s="36">
        <f t="shared" si="38"/>
        <v>3087.5844999999999</v>
      </c>
      <c r="G259" s="51"/>
    </row>
    <row r="260" spans="1:7" s="20" customFormat="1" ht="31.5" x14ac:dyDescent="0.45">
      <c r="A260" s="37" t="s">
        <v>460</v>
      </c>
      <c r="B260" s="34" t="s">
        <v>377</v>
      </c>
      <c r="C260" s="34" t="s">
        <v>347</v>
      </c>
      <c r="D260" s="35">
        <v>98</v>
      </c>
      <c r="E260" s="35">
        <v>7.9776999999999996</v>
      </c>
      <c r="F260" s="36">
        <f t="shared" si="38"/>
        <v>781.81459999999993</v>
      </c>
      <c r="G260" s="51"/>
    </row>
    <row r="261" spans="1:7" s="20" customFormat="1" ht="31.5" x14ac:dyDescent="0.45">
      <c r="A261" s="37" t="s">
        <v>461</v>
      </c>
      <c r="B261" s="34" t="s">
        <v>379</v>
      </c>
      <c r="C261" s="34" t="s">
        <v>347</v>
      </c>
      <c r="D261" s="35">
        <v>1223</v>
      </c>
      <c r="E261" s="35">
        <v>7.4737</v>
      </c>
      <c r="F261" s="36">
        <f t="shared" si="38"/>
        <v>9140.3351000000002</v>
      </c>
      <c r="G261" s="51"/>
    </row>
    <row r="262" spans="1:7" s="20" customFormat="1" ht="31.5" x14ac:dyDescent="0.45">
      <c r="A262" s="37" t="s">
        <v>462</v>
      </c>
      <c r="B262" s="34" t="s">
        <v>381</v>
      </c>
      <c r="C262" s="34" t="s">
        <v>347</v>
      </c>
      <c r="D262" s="35">
        <v>37</v>
      </c>
      <c r="E262" s="35">
        <v>7.3897000000000004</v>
      </c>
      <c r="F262" s="36">
        <f t="shared" si="38"/>
        <v>273.41890000000001</v>
      </c>
      <c r="G262" s="51"/>
    </row>
    <row r="263" spans="1:7" s="20" customFormat="1" ht="15.75" x14ac:dyDescent="0.45">
      <c r="A263" s="25" t="s">
        <v>463</v>
      </c>
      <c r="B263" s="26" t="s">
        <v>391</v>
      </c>
      <c r="C263" s="26"/>
      <c r="D263" s="27"/>
      <c r="E263" s="27"/>
      <c r="F263" s="28">
        <f>SUM(F264:F265)</f>
        <v>25920.171000000002</v>
      </c>
      <c r="G263" s="48"/>
    </row>
    <row r="264" spans="1:7" s="20" customFormat="1" ht="31.5" x14ac:dyDescent="0.45">
      <c r="A264" s="37" t="s">
        <v>464</v>
      </c>
      <c r="B264" s="34" t="s">
        <v>465</v>
      </c>
      <c r="C264" s="34" t="s">
        <v>163</v>
      </c>
      <c r="D264" s="35">
        <v>15.14</v>
      </c>
      <c r="E264" s="35">
        <v>613.35</v>
      </c>
      <c r="F264" s="36">
        <f t="shared" si="38"/>
        <v>9286.1190000000006</v>
      </c>
      <c r="G264" s="51"/>
    </row>
    <row r="265" spans="1:7" s="20" customFormat="1" ht="31.5" x14ac:dyDescent="0.45">
      <c r="A265" s="37" t="s">
        <v>466</v>
      </c>
      <c r="B265" s="34" t="s">
        <v>393</v>
      </c>
      <c r="C265" s="34" t="s">
        <v>163</v>
      </c>
      <c r="D265" s="35">
        <v>27.12</v>
      </c>
      <c r="E265" s="35">
        <v>613.35</v>
      </c>
      <c r="F265" s="36">
        <f t="shared" si="38"/>
        <v>16634.052</v>
      </c>
      <c r="G265" s="51"/>
    </row>
    <row r="266" spans="1:7" s="20" customFormat="1" ht="15.75" x14ac:dyDescent="0.45">
      <c r="A266" s="25" t="s">
        <v>467</v>
      </c>
      <c r="B266" s="26" t="s">
        <v>37</v>
      </c>
      <c r="C266" s="26"/>
      <c r="D266" s="27"/>
      <c r="E266" s="27"/>
      <c r="F266" s="28">
        <f>F267</f>
        <v>3325.4196999999999</v>
      </c>
      <c r="G266" s="48"/>
    </row>
    <row r="267" spans="1:7" s="20" customFormat="1" ht="15.75" x14ac:dyDescent="0.45">
      <c r="A267" s="37" t="s">
        <v>468</v>
      </c>
      <c r="B267" s="34" t="s">
        <v>616</v>
      </c>
      <c r="C267" s="34" t="s">
        <v>143</v>
      </c>
      <c r="D267" s="35">
        <v>1</v>
      </c>
      <c r="E267" s="35">
        <v>3325.4196999999999</v>
      </c>
      <c r="F267" s="36">
        <f t="shared" ref="F267" si="39">E267*D267</f>
        <v>3325.4196999999999</v>
      </c>
      <c r="G267" s="307" t="s">
        <v>555</v>
      </c>
    </row>
    <row r="268" spans="1:7" s="20" customFormat="1" ht="15.75" x14ac:dyDescent="0.45">
      <c r="A268" s="25" t="s">
        <v>469</v>
      </c>
      <c r="B268" s="26" t="s">
        <v>36</v>
      </c>
      <c r="C268" s="26"/>
      <c r="D268" s="27"/>
      <c r="E268" s="27"/>
      <c r="F268" s="28">
        <f>F269</f>
        <v>33059.152799999996</v>
      </c>
      <c r="G268" s="48"/>
    </row>
    <row r="269" spans="1:7" s="20" customFormat="1" ht="31.5" x14ac:dyDescent="0.45">
      <c r="A269" s="37" t="s">
        <v>470</v>
      </c>
      <c r="B269" s="34" t="s">
        <v>400</v>
      </c>
      <c r="C269" s="34" t="s">
        <v>163</v>
      </c>
      <c r="D269" s="35">
        <v>42.26</v>
      </c>
      <c r="E269" s="35">
        <v>782.28</v>
      </c>
      <c r="F269" s="36">
        <f t="shared" ref="F269" si="40">E269*D269</f>
        <v>33059.152799999996</v>
      </c>
      <c r="G269" s="51"/>
    </row>
    <row r="270" spans="1:7" s="20" customFormat="1" ht="15.75" x14ac:dyDescent="0.45">
      <c r="A270" s="21" t="s">
        <v>471</v>
      </c>
      <c r="B270" s="22" t="s">
        <v>472</v>
      </c>
      <c r="C270" s="22"/>
      <c r="D270" s="23"/>
      <c r="E270" s="23"/>
      <c r="F270" s="24">
        <f>F271</f>
        <v>25500</v>
      </c>
      <c r="G270" s="47"/>
    </row>
    <row r="271" spans="1:7" s="20" customFormat="1" ht="16.149999999999999" customHeight="1" x14ac:dyDescent="0.45">
      <c r="A271" s="25" t="s">
        <v>473</v>
      </c>
      <c r="B271" s="26" t="s">
        <v>485</v>
      </c>
      <c r="C271" s="26"/>
      <c r="D271" s="27"/>
      <c r="E271" s="27"/>
      <c r="F271" s="28">
        <f>F272</f>
        <v>25500</v>
      </c>
      <c r="G271" s="48"/>
    </row>
    <row r="272" spans="1:7" s="20" customFormat="1" ht="15.75" x14ac:dyDescent="0.45">
      <c r="A272" s="203" t="s">
        <v>584</v>
      </c>
      <c r="B272" s="34" t="s">
        <v>486</v>
      </c>
      <c r="C272" s="34" t="s">
        <v>79</v>
      </c>
      <c r="D272" s="35">
        <v>1</v>
      </c>
      <c r="E272" s="35">
        <v>25500</v>
      </c>
      <c r="F272" s="36">
        <f t="shared" ref="F272" si="41">E272*D272</f>
        <v>25500</v>
      </c>
      <c r="G272" s="51"/>
    </row>
    <row r="273" spans="1:7" s="20" customFormat="1" ht="15.75" x14ac:dyDescent="0.45">
      <c r="A273" s="21" t="s">
        <v>474</v>
      </c>
      <c r="B273" s="22" t="s">
        <v>475</v>
      </c>
      <c r="C273" s="22"/>
      <c r="D273" s="23"/>
      <c r="E273" s="23"/>
      <c r="F273" s="24">
        <f>F274+F277+F283+F285</f>
        <v>21400.861582000001</v>
      </c>
      <c r="G273" s="47"/>
    </row>
    <row r="274" spans="1:7" s="20" customFormat="1" ht="15.75" x14ac:dyDescent="0.45">
      <c r="A274" s="25" t="s">
        <v>476</v>
      </c>
      <c r="B274" s="26" t="s">
        <v>33</v>
      </c>
      <c r="C274" s="26"/>
      <c r="D274" s="27"/>
      <c r="E274" s="27"/>
      <c r="F274" s="28">
        <f>SUM(F275:F276)</f>
        <v>5017.7447819999998</v>
      </c>
      <c r="G274" s="48"/>
    </row>
    <row r="275" spans="1:7" s="20" customFormat="1" ht="31.5" x14ac:dyDescent="0.45">
      <c r="A275" s="203" t="s">
        <v>585</v>
      </c>
      <c r="B275" s="34" t="s">
        <v>528</v>
      </c>
      <c r="C275" s="34" t="s">
        <v>59</v>
      </c>
      <c r="D275" s="35">
        <v>74.010000000000005</v>
      </c>
      <c r="E275" s="35">
        <v>64.088399999999993</v>
      </c>
      <c r="F275" s="36">
        <f t="shared" ref="F275" si="42">E275*D275</f>
        <v>4743.1824839999999</v>
      </c>
      <c r="G275" s="51"/>
    </row>
    <row r="276" spans="1:7" s="20" customFormat="1" ht="31.5" x14ac:dyDescent="0.45">
      <c r="A276" s="203" t="s">
        <v>586</v>
      </c>
      <c r="B276" s="34" t="s">
        <v>529</v>
      </c>
      <c r="C276" s="34" t="s">
        <v>59</v>
      </c>
      <c r="D276" s="35">
        <v>74.010000000000005</v>
      </c>
      <c r="E276" s="35">
        <v>3.7098</v>
      </c>
      <c r="F276" s="36">
        <f t="shared" ref="F276" si="43">E276*D276</f>
        <v>274.562298</v>
      </c>
      <c r="G276" s="51"/>
    </row>
    <row r="277" spans="1:7" s="20" customFormat="1" ht="15.75" x14ac:dyDescent="0.45">
      <c r="A277" s="25" t="s">
        <v>477</v>
      </c>
      <c r="B277" s="26" t="s">
        <v>34</v>
      </c>
      <c r="C277" s="26"/>
      <c r="D277" s="27"/>
      <c r="E277" s="27"/>
      <c r="F277" s="28">
        <f>SUM(F278:F282)</f>
        <v>5148.2952999999998</v>
      </c>
      <c r="G277" s="48"/>
    </row>
    <row r="278" spans="1:7" s="20" customFormat="1" ht="31.5" x14ac:dyDescent="0.45">
      <c r="A278" s="37" t="s">
        <v>587</v>
      </c>
      <c r="B278" s="34" t="s">
        <v>375</v>
      </c>
      <c r="C278" s="34" t="s">
        <v>347</v>
      </c>
      <c r="D278" s="35">
        <v>398</v>
      </c>
      <c r="E278" s="35">
        <v>8.0197000000000003</v>
      </c>
      <c r="F278" s="36">
        <f t="shared" ref="F278:F282" si="44">E278*D278</f>
        <v>3191.8406</v>
      </c>
      <c r="G278" s="51"/>
    </row>
    <row r="279" spans="1:7" s="20" customFormat="1" ht="31.5" x14ac:dyDescent="0.45">
      <c r="A279" s="37" t="s">
        <v>588</v>
      </c>
      <c r="B279" s="34" t="s">
        <v>377</v>
      </c>
      <c r="C279" s="34" t="s">
        <v>347</v>
      </c>
      <c r="D279" s="35">
        <v>171</v>
      </c>
      <c r="E279" s="35">
        <v>7.9776999999999996</v>
      </c>
      <c r="F279" s="36">
        <f t="shared" si="44"/>
        <v>1364.1867</v>
      </c>
      <c r="G279" s="51"/>
    </row>
    <row r="280" spans="1:7" s="20" customFormat="1" ht="31.5" x14ac:dyDescent="0.45">
      <c r="A280" s="37" t="s">
        <v>589</v>
      </c>
      <c r="B280" s="34" t="s">
        <v>379</v>
      </c>
      <c r="C280" s="34" t="s">
        <v>347</v>
      </c>
      <c r="D280" s="35">
        <v>13</v>
      </c>
      <c r="E280" s="35">
        <v>7.4737</v>
      </c>
      <c r="F280" s="36">
        <f t="shared" si="44"/>
        <v>97.158100000000005</v>
      </c>
      <c r="G280" s="51"/>
    </row>
    <row r="281" spans="1:7" s="20" customFormat="1" ht="31.5" x14ac:dyDescent="0.45">
      <c r="A281" s="37" t="s">
        <v>590</v>
      </c>
      <c r="B281" s="34" t="s">
        <v>381</v>
      </c>
      <c r="C281" s="34" t="s">
        <v>347</v>
      </c>
      <c r="D281" s="35">
        <v>48</v>
      </c>
      <c r="E281" s="35">
        <v>7.3897000000000004</v>
      </c>
      <c r="F281" s="36">
        <f t="shared" si="44"/>
        <v>354.7056</v>
      </c>
      <c r="G281" s="51"/>
    </row>
    <row r="282" spans="1:7" s="20" customFormat="1" ht="31.5" x14ac:dyDescent="0.45">
      <c r="A282" s="37" t="s">
        <v>591</v>
      </c>
      <c r="B282" s="34" t="s">
        <v>383</v>
      </c>
      <c r="C282" s="34" t="s">
        <v>347</v>
      </c>
      <c r="D282" s="35">
        <v>19</v>
      </c>
      <c r="E282" s="35">
        <v>7.3897000000000004</v>
      </c>
      <c r="F282" s="36">
        <f t="shared" si="44"/>
        <v>140.40430000000001</v>
      </c>
      <c r="G282" s="51"/>
    </row>
    <row r="283" spans="1:7" s="20" customFormat="1" ht="15.75" x14ac:dyDescent="0.45">
      <c r="A283" s="25" t="s">
        <v>478</v>
      </c>
      <c r="B283" s="26" t="s">
        <v>391</v>
      </c>
      <c r="C283" s="26"/>
      <c r="D283" s="27"/>
      <c r="E283" s="27"/>
      <c r="F283" s="28">
        <f>F284</f>
        <v>4937.4675000000007</v>
      </c>
      <c r="G283" s="48"/>
    </row>
    <row r="284" spans="1:7" s="20" customFormat="1" ht="31.5" x14ac:dyDescent="0.45">
      <c r="A284" s="203" t="s">
        <v>592</v>
      </c>
      <c r="B284" s="34" t="s">
        <v>393</v>
      </c>
      <c r="C284" s="34" t="s">
        <v>163</v>
      </c>
      <c r="D284" s="35">
        <v>8.0500000000000007</v>
      </c>
      <c r="E284" s="35">
        <v>613.35</v>
      </c>
      <c r="F284" s="36">
        <f t="shared" ref="F284" si="45">E284*D284</f>
        <v>4937.4675000000007</v>
      </c>
      <c r="G284" s="51"/>
    </row>
    <row r="285" spans="1:7" s="20" customFormat="1" ht="15.75" x14ac:dyDescent="0.45">
      <c r="A285" s="25" t="s">
        <v>479</v>
      </c>
      <c r="B285" s="26" t="s">
        <v>36</v>
      </c>
      <c r="C285" s="26"/>
      <c r="D285" s="27"/>
      <c r="E285" s="27"/>
      <c r="F285" s="28">
        <f>F286</f>
        <v>6297.3540000000003</v>
      </c>
      <c r="G285" s="48"/>
    </row>
    <row r="286" spans="1:7" s="20" customFormat="1" ht="31.5" x14ac:dyDescent="0.45">
      <c r="A286" s="203" t="s">
        <v>593</v>
      </c>
      <c r="B286" s="34" t="s">
        <v>400</v>
      </c>
      <c r="C286" s="34" t="s">
        <v>163</v>
      </c>
      <c r="D286" s="35">
        <v>8.0500000000000007</v>
      </c>
      <c r="E286" s="35">
        <v>782.28</v>
      </c>
      <c r="F286" s="36">
        <f t="shared" ref="F286" si="46">E286*D286</f>
        <v>6297.3540000000003</v>
      </c>
      <c r="G286" s="51"/>
    </row>
    <row r="287" spans="1:7" s="20" customFormat="1" ht="15.75" x14ac:dyDescent="0.45">
      <c r="A287" s="21" t="s">
        <v>480</v>
      </c>
      <c r="B287" s="22" t="s">
        <v>481</v>
      </c>
      <c r="C287" s="22"/>
      <c r="D287" s="23"/>
      <c r="E287" s="23"/>
      <c r="F287" s="24">
        <f>F288+F290+F292+F294</f>
        <v>114889.5733245</v>
      </c>
      <c r="G287" s="47"/>
    </row>
    <row r="288" spans="1:7" s="20" customFormat="1" ht="15.75" x14ac:dyDescent="0.45">
      <c r="A288" s="25" t="s">
        <v>594</v>
      </c>
      <c r="B288" s="26" t="s">
        <v>34</v>
      </c>
      <c r="C288" s="26"/>
      <c r="D288" s="27"/>
      <c r="E288" s="27"/>
      <c r="F288" s="28">
        <f>F289</f>
        <v>19459.055542500002</v>
      </c>
      <c r="G288" s="48"/>
    </row>
    <row r="289" spans="1:7" s="20" customFormat="1" ht="31.5" x14ac:dyDescent="0.45">
      <c r="A289" s="203" t="s">
        <v>595</v>
      </c>
      <c r="B289" s="34" t="s">
        <v>596</v>
      </c>
      <c r="C289" s="34" t="s">
        <v>59</v>
      </c>
      <c r="D289" s="35">
        <v>657.82500000000005</v>
      </c>
      <c r="E289" s="35">
        <v>29.5809</v>
      </c>
      <c r="F289" s="36">
        <f t="shared" ref="F289" si="47">E289*D289</f>
        <v>19459.055542500002</v>
      </c>
      <c r="G289" s="51"/>
    </row>
    <row r="290" spans="1:7" s="20" customFormat="1" ht="15.75" x14ac:dyDescent="0.45">
      <c r="A290" s="25" t="s">
        <v>482</v>
      </c>
      <c r="B290" s="26" t="s">
        <v>391</v>
      </c>
      <c r="C290" s="26"/>
      <c r="D290" s="27"/>
      <c r="E290" s="27"/>
      <c r="F290" s="28">
        <f>F291</f>
        <v>32233.424999999999</v>
      </c>
      <c r="G290" s="48"/>
    </row>
    <row r="291" spans="1:7" s="20" customFormat="1" ht="31.5" x14ac:dyDescent="0.45">
      <c r="A291" s="203" t="s">
        <v>597</v>
      </c>
      <c r="B291" s="34" t="s">
        <v>526</v>
      </c>
      <c r="C291" s="34" t="s">
        <v>163</v>
      </c>
      <c r="D291" s="35">
        <v>65.782499999999999</v>
      </c>
      <c r="E291" s="35">
        <v>490</v>
      </c>
      <c r="F291" s="36">
        <f t="shared" ref="F291" si="48">E291*D291</f>
        <v>32233.424999999999</v>
      </c>
      <c r="G291" s="51"/>
    </row>
    <row r="292" spans="1:7" s="20" customFormat="1" ht="15.75" x14ac:dyDescent="0.45">
      <c r="A292" s="25" t="s">
        <v>483</v>
      </c>
      <c r="B292" s="26" t="s">
        <v>37</v>
      </c>
      <c r="C292" s="26"/>
      <c r="D292" s="27"/>
      <c r="E292" s="27"/>
      <c r="F292" s="28">
        <f>F293</f>
        <v>11736.758682</v>
      </c>
      <c r="G292" s="48"/>
    </row>
    <row r="293" spans="1:7" s="20" customFormat="1" ht="31.5" x14ac:dyDescent="0.45">
      <c r="A293" s="203" t="s">
        <v>598</v>
      </c>
      <c r="B293" s="34" t="s">
        <v>599</v>
      </c>
      <c r="C293" s="34" t="s">
        <v>90</v>
      </c>
      <c r="D293" s="35">
        <v>508.23</v>
      </c>
      <c r="E293" s="35">
        <v>23.093399999999999</v>
      </c>
      <c r="F293" s="36">
        <f t="shared" ref="F293" si="49">E293*D293</f>
        <v>11736.758682</v>
      </c>
      <c r="G293" s="51"/>
    </row>
    <row r="294" spans="1:7" s="20" customFormat="1" ht="15.75" x14ac:dyDescent="0.45">
      <c r="A294" s="25" t="s">
        <v>484</v>
      </c>
      <c r="B294" s="26" t="s">
        <v>36</v>
      </c>
      <c r="C294" s="26"/>
      <c r="D294" s="27"/>
      <c r="E294" s="27"/>
      <c r="F294" s="28">
        <f>F295</f>
        <v>51460.3341</v>
      </c>
      <c r="G294" s="48"/>
    </row>
    <row r="295" spans="1:7" s="20" customFormat="1" ht="15.75" x14ac:dyDescent="0.45">
      <c r="A295" s="203" t="s">
        <v>600</v>
      </c>
      <c r="B295" s="34" t="s">
        <v>527</v>
      </c>
      <c r="C295" s="34" t="s">
        <v>163</v>
      </c>
      <c r="D295" s="35">
        <v>65.782499999999999</v>
      </c>
      <c r="E295" s="35">
        <v>782.28</v>
      </c>
      <c r="F295" s="36">
        <f t="shared" ref="F295" si="50">E295*D295</f>
        <v>51460.3341</v>
      </c>
      <c r="G295" s="51"/>
    </row>
    <row r="296" spans="1:7" s="20" customFormat="1" ht="15.75" x14ac:dyDescent="0.45">
      <c r="A296" s="21" t="s">
        <v>637</v>
      </c>
      <c r="B296" s="22" t="s">
        <v>38</v>
      </c>
      <c r="C296" s="22"/>
      <c r="D296" s="23"/>
      <c r="E296" s="23"/>
      <c r="F296" s="24">
        <f>F297+F322</f>
        <v>5388399.5162479999</v>
      </c>
      <c r="G296" s="47"/>
    </row>
    <row r="297" spans="1:7" s="20" customFormat="1" ht="15.75" x14ac:dyDescent="0.45">
      <c r="A297" s="25" t="s">
        <v>638</v>
      </c>
      <c r="B297" s="26" t="s">
        <v>38</v>
      </c>
      <c r="C297" s="26"/>
      <c r="D297" s="27"/>
      <c r="E297" s="27"/>
      <c r="F297" s="28">
        <f>F298+F315+F319+F302</f>
        <v>120781.39467199999</v>
      </c>
      <c r="G297" s="48"/>
    </row>
    <row r="298" spans="1:7" s="20" customFormat="1" ht="15.75" x14ac:dyDescent="0.45">
      <c r="A298" s="29" t="s">
        <v>639</v>
      </c>
      <c r="B298" s="30" t="s">
        <v>1197</v>
      </c>
      <c r="C298" s="30"/>
      <c r="D298" s="31"/>
      <c r="E298" s="31"/>
      <c r="F298" s="32">
        <f>SUM(F299:F301)</f>
        <v>10842.666448</v>
      </c>
      <c r="G298" s="49"/>
    </row>
    <row r="299" spans="1:7" s="20" customFormat="1" ht="34.5" customHeight="1" x14ac:dyDescent="0.45">
      <c r="A299" s="37" t="s">
        <v>640</v>
      </c>
      <c r="B299" s="34" t="s">
        <v>39</v>
      </c>
      <c r="C299" s="34" t="s">
        <v>59</v>
      </c>
      <c r="D299" s="35">
        <v>7.64</v>
      </c>
      <c r="E299" s="35">
        <v>38.806100000000001</v>
      </c>
      <c r="F299" s="36">
        <f>E299*D299</f>
        <v>296.47860400000002</v>
      </c>
      <c r="G299" s="50"/>
    </row>
    <row r="300" spans="1:7" s="20" customFormat="1" ht="34.5" customHeight="1" x14ac:dyDescent="0.45">
      <c r="A300" s="37" t="s">
        <v>827</v>
      </c>
      <c r="B300" s="34" t="s">
        <v>40</v>
      </c>
      <c r="C300" s="34" t="s">
        <v>59</v>
      </c>
      <c r="D300" s="35">
        <v>159.79</v>
      </c>
      <c r="E300" s="35">
        <v>49.249200000000002</v>
      </c>
      <c r="F300" s="36">
        <f t="shared" ref="F300:F321" si="51">E300*D300</f>
        <v>7869.5296680000001</v>
      </c>
      <c r="G300" s="50"/>
    </row>
    <row r="301" spans="1:7" s="20" customFormat="1" ht="34.5" customHeight="1" x14ac:dyDescent="0.45">
      <c r="A301" s="37" t="s">
        <v>828</v>
      </c>
      <c r="B301" s="34" t="s">
        <v>41</v>
      </c>
      <c r="C301" s="34" t="s">
        <v>59</v>
      </c>
      <c r="D301" s="35">
        <v>40.96</v>
      </c>
      <c r="E301" s="35">
        <v>65.348100000000002</v>
      </c>
      <c r="F301" s="36">
        <f t="shared" si="51"/>
        <v>2676.6581760000004</v>
      </c>
      <c r="G301" s="50"/>
    </row>
    <row r="302" spans="1:7" s="20" customFormat="1" ht="15.75" x14ac:dyDescent="0.45">
      <c r="A302" s="29" t="s">
        <v>641</v>
      </c>
      <c r="B302" s="30" t="s">
        <v>634</v>
      </c>
      <c r="C302" s="30"/>
      <c r="D302" s="31"/>
      <c r="E302" s="31"/>
      <c r="F302" s="32">
        <f>SUM(F303:F314)</f>
        <v>74047.750688</v>
      </c>
      <c r="G302" s="242">
        <f>D303+D304+D305+(D306+D307+D308+D309+D310+D311)*2+D312+D313+D314</f>
        <v>842.18999999999994</v>
      </c>
    </row>
    <row r="303" spans="1:7" s="20" customFormat="1" ht="34.5" customHeight="1" x14ac:dyDescent="0.45">
      <c r="A303" s="37" t="s">
        <v>642</v>
      </c>
      <c r="B303" s="34" t="s">
        <v>797</v>
      </c>
      <c r="C303" s="34" t="s">
        <v>59</v>
      </c>
      <c r="D303" s="35">
        <v>74.31</v>
      </c>
      <c r="E303" s="35">
        <v>82.763000000000005</v>
      </c>
      <c r="F303" s="36">
        <f>E303*D303</f>
        <v>6150.1185300000006</v>
      </c>
      <c r="G303" s="50"/>
    </row>
    <row r="304" spans="1:7" s="20" customFormat="1" ht="34.5" customHeight="1" x14ac:dyDescent="0.45">
      <c r="A304" s="37" t="s">
        <v>829</v>
      </c>
      <c r="B304" s="34" t="s">
        <v>798</v>
      </c>
      <c r="C304" s="34" t="s">
        <v>59</v>
      </c>
      <c r="D304" s="35">
        <v>4.26</v>
      </c>
      <c r="E304" s="35">
        <v>108.06659999999999</v>
      </c>
      <c r="F304" s="36">
        <f>E304*D304</f>
        <v>460.36371599999995</v>
      </c>
      <c r="G304" s="50"/>
    </row>
    <row r="305" spans="1:7" s="20" customFormat="1" ht="34.5" customHeight="1" x14ac:dyDescent="0.45">
      <c r="A305" s="37" t="s">
        <v>830</v>
      </c>
      <c r="B305" s="34" t="s">
        <v>799</v>
      </c>
      <c r="C305" s="34" t="s">
        <v>59</v>
      </c>
      <c r="D305" s="35">
        <v>51.69</v>
      </c>
      <c r="E305" s="35">
        <v>90.078199999999995</v>
      </c>
      <c r="F305" s="36">
        <f>E305*D305</f>
        <v>4656.1421579999997</v>
      </c>
      <c r="G305" s="50"/>
    </row>
    <row r="306" spans="1:7" s="20" customFormat="1" ht="34.5" customHeight="1" x14ac:dyDescent="0.45">
      <c r="A306" s="37" t="s">
        <v>831</v>
      </c>
      <c r="B306" s="34" t="s">
        <v>800</v>
      </c>
      <c r="C306" s="34" t="s">
        <v>59</v>
      </c>
      <c r="D306" s="35">
        <v>175.32</v>
      </c>
      <c r="E306" s="35">
        <v>109.71080000000001</v>
      </c>
      <c r="F306" s="36">
        <f t="shared" si="51"/>
        <v>19234.497456000001</v>
      </c>
      <c r="G306" s="50"/>
    </row>
    <row r="307" spans="1:7" s="20" customFormat="1" ht="34.5" customHeight="1" x14ac:dyDescent="0.45">
      <c r="A307" s="37" t="s">
        <v>832</v>
      </c>
      <c r="B307" s="34" t="s">
        <v>801</v>
      </c>
      <c r="C307" s="34" t="s">
        <v>59</v>
      </c>
      <c r="D307" s="35">
        <v>14.06</v>
      </c>
      <c r="E307" s="35">
        <v>117.026</v>
      </c>
      <c r="F307" s="36">
        <f t="shared" si="51"/>
        <v>1645.3855599999999</v>
      </c>
      <c r="G307" s="50"/>
    </row>
    <row r="308" spans="1:7" s="20" customFormat="1" ht="34.5" customHeight="1" x14ac:dyDescent="0.45">
      <c r="A308" s="37" t="s">
        <v>833</v>
      </c>
      <c r="B308" s="34" t="s">
        <v>802</v>
      </c>
      <c r="C308" s="34" t="s">
        <v>59</v>
      </c>
      <c r="D308" s="35">
        <v>13.6</v>
      </c>
      <c r="E308" s="35">
        <v>102.3956</v>
      </c>
      <c r="F308" s="36">
        <f t="shared" si="51"/>
        <v>1392.58016</v>
      </c>
      <c r="G308" s="50"/>
    </row>
    <row r="309" spans="1:7" s="20" customFormat="1" ht="34.5" customHeight="1" x14ac:dyDescent="0.45">
      <c r="A309" s="37" t="s">
        <v>834</v>
      </c>
      <c r="B309" s="34" t="s">
        <v>803</v>
      </c>
      <c r="C309" s="34" t="s">
        <v>59</v>
      </c>
      <c r="D309" s="35">
        <v>50.03</v>
      </c>
      <c r="E309" s="35">
        <v>232.17529999999999</v>
      </c>
      <c r="F309" s="36">
        <f t="shared" si="51"/>
        <v>11615.730259</v>
      </c>
      <c r="G309" s="50"/>
    </row>
    <row r="310" spans="1:7" s="20" customFormat="1" ht="34.5" customHeight="1" x14ac:dyDescent="0.45">
      <c r="A310" s="37" t="s">
        <v>835</v>
      </c>
      <c r="B310" s="34" t="s">
        <v>804</v>
      </c>
      <c r="C310" s="34" t="s">
        <v>59</v>
      </c>
      <c r="D310" s="35">
        <v>59.63</v>
      </c>
      <c r="E310" s="35">
        <v>239.4905</v>
      </c>
      <c r="F310" s="36">
        <f t="shared" si="51"/>
        <v>14280.818515000001</v>
      </c>
      <c r="G310" s="50"/>
    </row>
    <row r="311" spans="1:7" s="20" customFormat="1" ht="34.5" customHeight="1" x14ac:dyDescent="0.45">
      <c r="A311" s="37" t="s">
        <v>836</v>
      </c>
      <c r="B311" s="34" t="s">
        <v>805</v>
      </c>
      <c r="C311" s="34" t="s">
        <v>59</v>
      </c>
      <c r="D311" s="35">
        <v>12.59</v>
      </c>
      <c r="E311" s="35">
        <v>261.43610000000001</v>
      </c>
      <c r="F311" s="36">
        <f t="shared" si="51"/>
        <v>3291.4804990000002</v>
      </c>
      <c r="G311" s="50"/>
    </row>
    <row r="312" spans="1:7" s="20" customFormat="1" ht="34.5" customHeight="1" x14ac:dyDescent="0.45">
      <c r="A312" s="37" t="s">
        <v>837</v>
      </c>
      <c r="B312" s="34" t="s">
        <v>806</v>
      </c>
      <c r="C312" s="34" t="s">
        <v>59</v>
      </c>
      <c r="D312" s="35">
        <v>53.89</v>
      </c>
      <c r="E312" s="35">
        <v>185.3997</v>
      </c>
      <c r="F312" s="36">
        <f t="shared" si="51"/>
        <v>9991.1898330000004</v>
      </c>
      <c r="G312" s="50"/>
    </row>
    <row r="313" spans="1:7" s="20" customFormat="1" ht="34.5" customHeight="1" x14ac:dyDescent="0.45">
      <c r="A313" s="37" t="s">
        <v>838</v>
      </c>
      <c r="B313" s="34" t="s">
        <v>807</v>
      </c>
      <c r="C313" s="34" t="s">
        <v>59</v>
      </c>
      <c r="D313" s="35">
        <v>1.1000000000000001</v>
      </c>
      <c r="E313" s="35">
        <v>73.319500000000005</v>
      </c>
      <c r="F313" s="36">
        <f t="shared" si="51"/>
        <v>80.651450000000011</v>
      </c>
      <c r="G313" s="50"/>
    </row>
    <row r="314" spans="1:7" s="20" customFormat="1" ht="34.5" customHeight="1" x14ac:dyDescent="0.45">
      <c r="A314" s="37" t="s">
        <v>839</v>
      </c>
      <c r="B314" s="34" t="s">
        <v>808</v>
      </c>
      <c r="C314" s="34" t="s">
        <v>59</v>
      </c>
      <c r="D314" s="35">
        <v>6.48</v>
      </c>
      <c r="E314" s="35">
        <v>192.7149</v>
      </c>
      <c r="F314" s="36">
        <f t="shared" si="51"/>
        <v>1248.7925520000001</v>
      </c>
      <c r="G314" s="50"/>
    </row>
    <row r="315" spans="1:7" s="20" customFormat="1" ht="15.75" x14ac:dyDescent="0.45">
      <c r="A315" s="29" t="s">
        <v>643</v>
      </c>
      <c r="B315" s="30" t="s">
        <v>42</v>
      </c>
      <c r="C315" s="30"/>
      <c r="D315" s="31"/>
      <c r="E315" s="31"/>
      <c r="F315" s="32">
        <f>SUM(F316:F318)</f>
        <v>8127.7175360000001</v>
      </c>
      <c r="G315" s="49"/>
    </row>
    <row r="316" spans="1:7" s="20" customFormat="1" ht="15.75" x14ac:dyDescent="0.45">
      <c r="A316" s="37" t="s">
        <v>635</v>
      </c>
      <c r="B316" s="34" t="s">
        <v>840</v>
      </c>
      <c r="C316" s="34" t="s">
        <v>90</v>
      </c>
      <c r="D316" s="35">
        <v>108.98</v>
      </c>
      <c r="E316" s="35">
        <v>59.373199999999997</v>
      </c>
      <c r="F316" s="36">
        <f t="shared" si="51"/>
        <v>6470.491336</v>
      </c>
      <c r="G316" s="50"/>
    </row>
    <row r="317" spans="1:7" s="20" customFormat="1" ht="15.75" x14ac:dyDescent="0.45">
      <c r="A317" s="37" t="s">
        <v>841</v>
      </c>
      <c r="B317" s="34" t="s">
        <v>43</v>
      </c>
      <c r="C317" s="34" t="s">
        <v>90</v>
      </c>
      <c r="D317" s="35">
        <v>84.91</v>
      </c>
      <c r="E317" s="35">
        <v>15.82</v>
      </c>
      <c r="F317" s="36">
        <f t="shared" si="51"/>
        <v>1343.2762</v>
      </c>
      <c r="G317" s="50"/>
    </row>
    <row r="318" spans="1:7" s="20" customFormat="1" ht="31.5" x14ac:dyDescent="0.45">
      <c r="A318" s="37" t="s">
        <v>842</v>
      </c>
      <c r="B318" s="34" t="s">
        <v>44</v>
      </c>
      <c r="C318" s="34" t="s">
        <v>79</v>
      </c>
      <c r="D318" s="35">
        <v>105</v>
      </c>
      <c r="E318" s="35">
        <v>2.99</v>
      </c>
      <c r="F318" s="36">
        <f t="shared" si="51"/>
        <v>313.95000000000005</v>
      </c>
      <c r="G318" s="50"/>
    </row>
    <row r="319" spans="1:7" s="20" customFormat="1" ht="15.75" x14ac:dyDescent="0.45">
      <c r="A319" s="29" t="s">
        <v>644</v>
      </c>
      <c r="B319" s="30" t="s">
        <v>36</v>
      </c>
      <c r="C319" s="30"/>
      <c r="D319" s="31"/>
      <c r="E319" s="31"/>
      <c r="F319" s="32">
        <f>SUM(F320:F321)</f>
        <v>27763.26</v>
      </c>
      <c r="G319" s="49"/>
    </row>
    <row r="320" spans="1:7" s="20" customFormat="1" ht="31.5" x14ac:dyDescent="0.45">
      <c r="A320" s="203" t="s">
        <v>843</v>
      </c>
      <c r="B320" s="34" t="s">
        <v>133</v>
      </c>
      <c r="C320" s="34" t="s">
        <v>59</v>
      </c>
      <c r="D320" s="35">
        <v>208.39</v>
      </c>
      <c r="E320" s="35">
        <v>34</v>
      </c>
      <c r="F320" s="36">
        <f t="shared" si="51"/>
        <v>7085.2599999999993</v>
      </c>
      <c r="G320" s="50"/>
    </row>
    <row r="321" spans="1:7" s="20" customFormat="1" ht="15.75" x14ac:dyDescent="0.45">
      <c r="A321" s="203" t="s">
        <v>844</v>
      </c>
      <c r="B321" s="34" t="s">
        <v>811</v>
      </c>
      <c r="C321" s="34" t="s">
        <v>59</v>
      </c>
      <c r="D321" s="35">
        <v>516.95000000000005</v>
      </c>
      <c r="E321" s="35">
        <v>40</v>
      </c>
      <c r="F321" s="36">
        <f t="shared" si="51"/>
        <v>20678</v>
      </c>
      <c r="G321" s="50"/>
    </row>
    <row r="322" spans="1:7" s="20" customFormat="1" ht="15.75" x14ac:dyDescent="0.45">
      <c r="A322" s="25" t="s">
        <v>645</v>
      </c>
      <c r="B322" s="26" t="s">
        <v>646</v>
      </c>
      <c r="C322" s="26"/>
      <c r="D322" s="27"/>
      <c r="E322" s="27"/>
      <c r="F322" s="28">
        <f>F323+F332+F350+F352+F356+F358</f>
        <v>5267618.121576</v>
      </c>
      <c r="G322" s="48"/>
    </row>
    <row r="323" spans="1:7" s="20" customFormat="1" ht="15.75" x14ac:dyDescent="0.45">
      <c r="A323" s="29" t="s">
        <v>647</v>
      </c>
      <c r="B323" s="30" t="s">
        <v>648</v>
      </c>
      <c r="C323" s="30"/>
      <c r="D323" s="31"/>
      <c r="E323" s="31"/>
      <c r="F323" s="32">
        <f>SUM(F324:F331)</f>
        <v>538452.17949999997</v>
      </c>
      <c r="G323" s="49"/>
    </row>
    <row r="324" spans="1:7" s="20" customFormat="1" ht="31.5" x14ac:dyDescent="0.45">
      <c r="A324" s="37" t="s">
        <v>649</v>
      </c>
      <c r="B324" s="34" t="s">
        <v>650</v>
      </c>
      <c r="C324" s="34" t="s">
        <v>79</v>
      </c>
      <c r="D324" s="35">
        <v>25</v>
      </c>
      <c r="E324" s="35">
        <v>1005.8549</v>
      </c>
      <c r="F324" s="36">
        <f t="shared" ref="F324:F351" si="52">E324*D324</f>
        <v>25146.372500000001</v>
      </c>
      <c r="G324" s="50"/>
    </row>
    <row r="325" spans="1:7" s="20" customFormat="1" ht="31.5" x14ac:dyDescent="0.45">
      <c r="A325" s="37" t="s">
        <v>651</v>
      </c>
      <c r="B325" s="34" t="s">
        <v>652</v>
      </c>
      <c r="C325" s="34" t="s">
        <v>79</v>
      </c>
      <c r="D325" s="35">
        <v>181</v>
      </c>
      <c r="E325" s="35">
        <v>1005.8549</v>
      </c>
      <c r="F325" s="36">
        <f t="shared" si="52"/>
        <v>182059.73690000002</v>
      </c>
      <c r="G325" s="50"/>
    </row>
    <row r="326" spans="1:7" s="20" customFormat="1" ht="31.5" x14ac:dyDescent="0.45">
      <c r="A326" s="37" t="s">
        <v>845</v>
      </c>
      <c r="B326" s="34" t="s">
        <v>653</v>
      </c>
      <c r="C326" s="34" t="s">
        <v>79</v>
      </c>
      <c r="D326" s="35">
        <v>187</v>
      </c>
      <c r="E326" s="35">
        <v>1006.7351</v>
      </c>
      <c r="F326" s="36">
        <f t="shared" si="52"/>
        <v>188259.46369999999</v>
      </c>
      <c r="G326" s="50"/>
    </row>
    <row r="327" spans="1:7" s="20" customFormat="1" ht="31.5" x14ac:dyDescent="0.45">
      <c r="A327" s="37" t="s">
        <v>846</v>
      </c>
      <c r="B327" s="34" t="s">
        <v>654</v>
      </c>
      <c r="C327" s="34" t="s">
        <v>79</v>
      </c>
      <c r="D327" s="35">
        <v>10</v>
      </c>
      <c r="E327" s="35">
        <v>1027.598</v>
      </c>
      <c r="F327" s="36">
        <f t="shared" si="52"/>
        <v>10275.98</v>
      </c>
      <c r="G327" s="50"/>
    </row>
    <row r="328" spans="1:7" s="20" customFormat="1" ht="31.5" x14ac:dyDescent="0.45">
      <c r="A328" s="37" t="s">
        <v>847</v>
      </c>
      <c r="B328" s="34" t="s">
        <v>809</v>
      </c>
      <c r="C328" s="34" t="s">
        <v>79</v>
      </c>
      <c r="D328" s="35">
        <v>3</v>
      </c>
      <c r="E328" s="35">
        <v>1177.7116000000001</v>
      </c>
      <c r="F328" s="36">
        <f t="shared" si="52"/>
        <v>3533.1348000000003</v>
      </c>
      <c r="G328" s="50"/>
    </row>
    <row r="329" spans="1:7" s="20" customFormat="1" ht="31.5" x14ac:dyDescent="0.45">
      <c r="A329" s="37" t="s">
        <v>848</v>
      </c>
      <c r="B329" s="34" t="s">
        <v>810</v>
      </c>
      <c r="C329" s="34" t="s">
        <v>79</v>
      </c>
      <c r="D329" s="35">
        <v>1</v>
      </c>
      <c r="E329" s="35">
        <v>1159.7116000000001</v>
      </c>
      <c r="F329" s="36">
        <f t="shared" si="52"/>
        <v>1159.7116000000001</v>
      </c>
      <c r="G329" s="50"/>
    </row>
    <row r="330" spans="1:7" s="20" customFormat="1" ht="31.5" x14ac:dyDescent="0.45">
      <c r="A330" s="37" t="s">
        <v>849</v>
      </c>
      <c r="B330" s="34" t="s">
        <v>655</v>
      </c>
      <c r="C330" s="34" t="s">
        <v>79</v>
      </c>
      <c r="D330" s="35">
        <v>201</v>
      </c>
      <c r="E330" s="35">
        <v>314.54000000000002</v>
      </c>
      <c r="F330" s="36">
        <f t="shared" si="52"/>
        <v>63222.54</v>
      </c>
      <c r="G330" s="50"/>
    </row>
    <row r="331" spans="1:7" s="20" customFormat="1" ht="31.5" x14ac:dyDescent="0.45">
      <c r="A331" s="37" t="s">
        <v>850</v>
      </c>
      <c r="B331" s="34" t="s">
        <v>656</v>
      </c>
      <c r="C331" s="34" t="s">
        <v>79</v>
      </c>
      <c r="D331" s="35">
        <v>206</v>
      </c>
      <c r="E331" s="35">
        <v>314.54000000000002</v>
      </c>
      <c r="F331" s="36">
        <f t="shared" si="52"/>
        <v>64795.240000000005</v>
      </c>
      <c r="G331" s="50"/>
    </row>
    <row r="332" spans="1:7" s="20" customFormat="1" ht="15.75" x14ac:dyDescent="0.45">
      <c r="A332" s="29" t="s">
        <v>657</v>
      </c>
      <c r="B332" s="30" t="s">
        <v>851</v>
      </c>
      <c r="C332" s="30"/>
      <c r="D332" s="31"/>
      <c r="E332" s="31"/>
      <c r="F332" s="32">
        <f>SUM(F333:F349)</f>
        <v>2703630.1377479997</v>
      </c>
      <c r="G332" s="49"/>
    </row>
    <row r="333" spans="1:7" s="20" customFormat="1" ht="47.25" x14ac:dyDescent="0.45">
      <c r="A333" s="37" t="s">
        <v>852</v>
      </c>
      <c r="B333" s="34" t="s">
        <v>853</v>
      </c>
      <c r="C333" s="34" t="s">
        <v>79</v>
      </c>
      <c r="D333" s="35">
        <v>18</v>
      </c>
      <c r="E333" s="35">
        <v>6478.5840000000007</v>
      </c>
      <c r="F333" s="36">
        <f t="shared" si="52"/>
        <v>116614.51200000002</v>
      </c>
      <c r="G333" s="50"/>
    </row>
    <row r="334" spans="1:7" s="20" customFormat="1" ht="47.25" x14ac:dyDescent="0.45">
      <c r="A334" s="37" t="s">
        <v>854</v>
      </c>
      <c r="B334" s="34" t="s">
        <v>855</v>
      </c>
      <c r="C334" s="34" t="s">
        <v>79</v>
      </c>
      <c r="D334" s="35">
        <v>27</v>
      </c>
      <c r="E334" s="35">
        <v>9305.0412000000015</v>
      </c>
      <c r="F334" s="36">
        <f t="shared" si="52"/>
        <v>251236.11240000004</v>
      </c>
      <c r="G334" s="50"/>
    </row>
    <row r="335" spans="1:7" s="20" customFormat="1" ht="31.5" x14ac:dyDescent="0.45">
      <c r="A335" s="37" t="s">
        <v>856</v>
      </c>
      <c r="B335" s="34" t="s">
        <v>857</v>
      </c>
      <c r="C335" s="34" t="s">
        <v>79</v>
      </c>
      <c r="D335" s="35">
        <v>36</v>
      </c>
      <c r="E335" s="35">
        <v>1200.0324000000001</v>
      </c>
      <c r="F335" s="36">
        <f t="shared" si="52"/>
        <v>43201.166400000002</v>
      </c>
      <c r="G335" s="50"/>
    </row>
    <row r="336" spans="1:7" s="20" customFormat="1" ht="47.25" x14ac:dyDescent="0.45">
      <c r="A336" s="37" t="s">
        <v>858</v>
      </c>
      <c r="B336" s="34" t="s">
        <v>859</v>
      </c>
      <c r="C336" s="34" t="s">
        <v>79</v>
      </c>
      <c r="D336" s="35">
        <v>9</v>
      </c>
      <c r="E336" s="35">
        <v>15571.276643999994</v>
      </c>
      <c r="F336" s="36">
        <f t="shared" si="52"/>
        <v>140141.48979599995</v>
      </c>
      <c r="G336" s="50"/>
    </row>
    <row r="337" spans="1:7" s="20" customFormat="1" ht="47.25" x14ac:dyDescent="0.45">
      <c r="A337" s="37" t="s">
        <v>860</v>
      </c>
      <c r="B337" s="34" t="s">
        <v>861</v>
      </c>
      <c r="C337" s="34" t="s">
        <v>79</v>
      </c>
      <c r="D337" s="35">
        <v>122</v>
      </c>
      <c r="E337" s="35">
        <v>10462.913159999998</v>
      </c>
      <c r="F337" s="36">
        <f t="shared" si="52"/>
        <v>1276475.4055199998</v>
      </c>
      <c r="G337" s="50"/>
    </row>
    <row r="338" spans="1:7" s="20" customFormat="1" ht="47.25" x14ac:dyDescent="0.45">
      <c r="A338" s="37" t="s">
        <v>862</v>
      </c>
      <c r="B338" s="34" t="s">
        <v>863</v>
      </c>
      <c r="C338" s="34" t="s">
        <v>79</v>
      </c>
      <c r="D338" s="35">
        <v>2</v>
      </c>
      <c r="E338" s="35">
        <v>12309.309599999997</v>
      </c>
      <c r="F338" s="36">
        <f t="shared" si="52"/>
        <v>24618.619199999994</v>
      </c>
      <c r="G338" s="50"/>
    </row>
    <row r="339" spans="1:7" s="20" customFormat="1" ht="31.5" x14ac:dyDescent="0.45">
      <c r="A339" s="37" t="s">
        <v>864</v>
      </c>
      <c r="B339" s="34" t="s">
        <v>865</v>
      </c>
      <c r="C339" s="34" t="s">
        <v>79</v>
      </c>
      <c r="D339" s="35">
        <v>19</v>
      </c>
      <c r="E339" s="35">
        <v>3569.8319999999999</v>
      </c>
      <c r="F339" s="36">
        <f t="shared" si="52"/>
        <v>67826.808000000005</v>
      </c>
      <c r="G339" s="50"/>
    </row>
    <row r="340" spans="1:7" s="20" customFormat="1" ht="31.5" x14ac:dyDescent="0.45">
      <c r="A340" s="37" t="s">
        <v>866</v>
      </c>
      <c r="B340" s="34" t="s">
        <v>867</v>
      </c>
      <c r="C340" s="34" t="s">
        <v>79</v>
      </c>
      <c r="D340" s="35">
        <v>27</v>
      </c>
      <c r="E340" s="35">
        <v>2374.0499999999997</v>
      </c>
      <c r="F340" s="36">
        <f t="shared" si="52"/>
        <v>64099.349999999991</v>
      </c>
      <c r="G340" s="50"/>
    </row>
    <row r="341" spans="1:7" s="20" customFormat="1" ht="31.5" x14ac:dyDescent="0.45">
      <c r="A341" s="37" t="s">
        <v>868</v>
      </c>
      <c r="B341" s="34" t="s">
        <v>869</v>
      </c>
      <c r="C341" s="34" t="s">
        <v>79</v>
      </c>
      <c r="D341" s="35">
        <v>9</v>
      </c>
      <c r="E341" s="35">
        <v>1409.1</v>
      </c>
      <c r="F341" s="36">
        <f t="shared" si="52"/>
        <v>12681.9</v>
      </c>
      <c r="G341" s="50"/>
    </row>
    <row r="342" spans="1:7" s="20" customFormat="1" ht="31.5" x14ac:dyDescent="0.45">
      <c r="A342" s="37" t="s">
        <v>870</v>
      </c>
      <c r="B342" s="34" t="s">
        <v>871</v>
      </c>
      <c r="C342" s="34" t="s">
        <v>79</v>
      </c>
      <c r="D342" s="35">
        <v>3</v>
      </c>
      <c r="E342" s="35">
        <v>1427.27172</v>
      </c>
      <c r="F342" s="36">
        <f t="shared" si="52"/>
        <v>4281.8151600000001</v>
      </c>
      <c r="G342" s="50"/>
    </row>
    <row r="343" spans="1:7" s="20" customFormat="1" ht="31.5" x14ac:dyDescent="0.45">
      <c r="A343" s="37" t="s">
        <v>872</v>
      </c>
      <c r="B343" s="34" t="s">
        <v>873</v>
      </c>
      <c r="C343" s="34" t="s">
        <v>79</v>
      </c>
      <c r="D343" s="35">
        <v>9</v>
      </c>
      <c r="E343" s="35">
        <v>1662.351768</v>
      </c>
      <c r="F343" s="36">
        <f t="shared" si="52"/>
        <v>14961.165912</v>
      </c>
      <c r="G343" s="50"/>
    </row>
    <row r="344" spans="1:7" s="20" customFormat="1" ht="31.5" x14ac:dyDescent="0.45">
      <c r="A344" s="37" t="s">
        <v>874</v>
      </c>
      <c r="B344" s="34" t="s">
        <v>875</v>
      </c>
      <c r="C344" s="34" t="s">
        <v>79</v>
      </c>
      <c r="D344" s="35">
        <v>2</v>
      </c>
      <c r="E344" s="35">
        <v>1560.2579999999998</v>
      </c>
      <c r="F344" s="36">
        <f t="shared" si="52"/>
        <v>3120.5159999999996</v>
      </c>
      <c r="G344" s="50"/>
    </row>
    <row r="345" spans="1:7" s="20" customFormat="1" ht="31.5" x14ac:dyDescent="0.45">
      <c r="A345" s="37" t="s">
        <v>876</v>
      </c>
      <c r="B345" s="34" t="s">
        <v>877</v>
      </c>
      <c r="C345" s="34" t="s">
        <v>79</v>
      </c>
      <c r="D345" s="35">
        <v>1</v>
      </c>
      <c r="E345" s="35">
        <v>920.34360000000004</v>
      </c>
      <c r="F345" s="36">
        <f t="shared" si="52"/>
        <v>920.34360000000004</v>
      </c>
      <c r="G345" s="50"/>
    </row>
    <row r="346" spans="1:7" s="20" customFormat="1" ht="31.5" x14ac:dyDescent="0.45">
      <c r="A346" s="37" t="s">
        <v>878</v>
      </c>
      <c r="B346" s="34" t="s">
        <v>879</v>
      </c>
      <c r="C346" s="34" t="s">
        <v>79</v>
      </c>
      <c r="D346" s="35">
        <v>1</v>
      </c>
      <c r="E346" s="35">
        <v>1022.604</v>
      </c>
      <c r="F346" s="36">
        <f t="shared" si="52"/>
        <v>1022.604</v>
      </c>
      <c r="G346" s="50"/>
    </row>
    <row r="347" spans="1:7" s="20" customFormat="1" ht="47.25" x14ac:dyDescent="0.45">
      <c r="A347" s="37" t="s">
        <v>880</v>
      </c>
      <c r="B347" s="34" t="s">
        <v>881</v>
      </c>
      <c r="C347" s="34" t="s">
        <v>79</v>
      </c>
      <c r="D347" s="35">
        <v>1</v>
      </c>
      <c r="E347" s="35">
        <v>3022.4577600000002</v>
      </c>
      <c r="F347" s="36">
        <f t="shared" si="52"/>
        <v>3022.4577600000002</v>
      </c>
      <c r="G347" s="50"/>
    </row>
    <row r="348" spans="1:7" s="20" customFormat="1" ht="31.5" x14ac:dyDescent="0.45">
      <c r="A348" s="37" t="s">
        <v>882</v>
      </c>
      <c r="B348" s="34" t="s">
        <v>883</v>
      </c>
      <c r="C348" s="34" t="s">
        <v>79</v>
      </c>
      <c r="D348" s="35">
        <v>20</v>
      </c>
      <c r="E348" s="35">
        <v>1996.4615999999996</v>
      </c>
      <c r="F348" s="36">
        <f t="shared" si="52"/>
        <v>39929.231999999989</v>
      </c>
      <c r="G348" s="50"/>
    </row>
    <row r="349" spans="1:7" s="20" customFormat="1" ht="15.75" x14ac:dyDescent="0.45">
      <c r="A349" s="37" t="s">
        <v>1126</v>
      </c>
      <c r="B349" s="34" t="s">
        <v>1125</v>
      </c>
      <c r="C349" s="34" t="s">
        <v>59</v>
      </c>
      <c r="D349" s="35">
        <v>336.42500000000001</v>
      </c>
      <c r="E349" s="35">
        <v>1900.8</v>
      </c>
      <c r="F349" s="36">
        <f t="shared" si="52"/>
        <v>639476.64</v>
      </c>
      <c r="G349" s="50"/>
    </row>
    <row r="350" spans="1:7" s="20" customFormat="1" ht="15.75" x14ac:dyDescent="0.45">
      <c r="A350" s="29" t="s">
        <v>658</v>
      </c>
      <c r="B350" s="30" t="s">
        <v>659</v>
      </c>
      <c r="C350" s="30"/>
      <c r="D350" s="31"/>
      <c r="E350" s="31"/>
      <c r="F350" s="32">
        <f>SUM(F351:F351)</f>
        <v>1254824.5248</v>
      </c>
      <c r="G350" s="49"/>
    </row>
    <row r="351" spans="1:7" s="20" customFormat="1" ht="15.75" x14ac:dyDescent="0.45">
      <c r="A351" s="37" t="s">
        <v>884</v>
      </c>
      <c r="B351" s="34" t="s">
        <v>1121</v>
      </c>
      <c r="C351" s="34" t="s">
        <v>59</v>
      </c>
      <c r="D351" s="35">
        <v>550.13</v>
      </c>
      <c r="E351" s="35">
        <v>2280.96</v>
      </c>
      <c r="F351" s="36">
        <f t="shared" si="52"/>
        <v>1254824.5248</v>
      </c>
      <c r="G351" s="50"/>
    </row>
    <row r="352" spans="1:7" s="20" customFormat="1" ht="15.75" x14ac:dyDescent="0.45">
      <c r="A352" s="29" t="s">
        <v>660</v>
      </c>
      <c r="B352" s="30" t="s">
        <v>661</v>
      </c>
      <c r="C352" s="30"/>
      <c r="D352" s="31"/>
      <c r="E352" s="31"/>
      <c r="F352" s="32">
        <f>SUM(F353:F355)</f>
        <v>570339.4498559999</v>
      </c>
      <c r="G352" s="49"/>
    </row>
    <row r="353" spans="1:7" s="20" customFormat="1" ht="15.75" x14ac:dyDescent="0.45">
      <c r="A353" s="37" t="s">
        <v>885</v>
      </c>
      <c r="B353" s="34" t="s">
        <v>1122</v>
      </c>
      <c r="C353" s="34" t="s">
        <v>59</v>
      </c>
      <c r="D353" s="35">
        <v>156.30519999999999</v>
      </c>
      <c r="E353" s="35">
        <v>3041.28</v>
      </c>
      <c r="F353" s="36">
        <f t="shared" ref="F353:F355" si="53">E353*D353</f>
        <v>475367.87865599996</v>
      </c>
      <c r="G353" s="50"/>
    </row>
    <row r="354" spans="1:7" s="20" customFormat="1" ht="15.75" x14ac:dyDescent="0.45">
      <c r="A354" s="37" t="s">
        <v>886</v>
      </c>
      <c r="B354" s="34" t="s">
        <v>1124</v>
      </c>
      <c r="C354" s="34" t="s">
        <v>59</v>
      </c>
      <c r="D354" s="35">
        <v>42.989999999999995</v>
      </c>
      <c r="E354" s="35">
        <v>1900.8</v>
      </c>
      <c r="F354" s="36">
        <f t="shared" si="53"/>
        <v>81715.391999999993</v>
      </c>
      <c r="G354" s="50"/>
    </row>
    <row r="355" spans="1:7" s="20" customFormat="1" ht="15.75" x14ac:dyDescent="0.45">
      <c r="A355" s="37" t="s">
        <v>887</v>
      </c>
      <c r="B355" s="34" t="s">
        <v>1123</v>
      </c>
      <c r="C355" s="34" t="s">
        <v>59</v>
      </c>
      <c r="D355" s="35">
        <v>6.9740000000000002</v>
      </c>
      <c r="E355" s="35">
        <v>1900.8</v>
      </c>
      <c r="F355" s="36">
        <f t="shared" si="53"/>
        <v>13256.1792</v>
      </c>
      <c r="G355" s="50"/>
    </row>
    <row r="356" spans="1:7" s="20" customFormat="1" ht="15.75" x14ac:dyDescent="0.45">
      <c r="A356" s="29" t="s">
        <v>662</v>
      </c>
      <c r="B356" s="30" t="s">
        <v>1056</v>
      </c>
      <c r="C356" s="30"/>
      <c r="D356" s="31"/>
      <c r="E356" s="31"/>
      <c r="F356" s="32">
        <f>F357</f>
        <v>147461.82967199999</v>
      </c>
      <c r="G356" s="49"/>
    </row>
    <row r="357" spans="1:7" s="20" customFormat="1" ht="15.75" x14ac:dyDescent="0.45">
      <c r="A357" s="203">
        <v>4002005001</v>
      </c>
      <c r="B357" s="34" t="s">
        <v>1057</v>
      </c>
      <c r="C357" s="34" t="s">
        <v>90</v>
      </c>
      <c r="D357" s="35">
        <v>4438.6400000000003</v>
      </c>
      <c r="E357" s="35">
        <v>33.222299999999997</v>
      </c>
      <c r="F357" s="36">
        <f>E357*D357</f>
        <v>147461.82967199999</v>
      </c>
      <c r="G357" s="50"/>
    </row>
    <row r="358" spans="1:7" s="20" customFormat="1" ht="15.75" x14ac:dyDescent="0.45">
      <c r="A358" s="29" t="s">
        <v>1061</v>
      </c>
      <c r="B358" s="30" t="s">
        <v>36</v>
      </c>
      <c r="C358" s="30"/>
      <c r="D358" s="31"/>
      <c r="E358" s="31"/>
      <c r="F358" s="32">
        <f>SUM(F359:F359)</f>
        <v>52910</v>
      </c>
      <c r="G358" s="49"/>
    </row>
    <row r="359" spans="1:7" s="20" customFormat="1" ht="15.75" x14ac:dyDescent="0.45">
      <c r="A359" s="203">
        <v>4002005001</v>
      </c>
      <c r="B359" s="34" t="s">
        <v>663</v>
      </c>
      <c r="C359" s="34" t="s">
        <v>636</v>
      </c>
      <c r="D359" s="35">
        <f>SUM(D324:D329)</f>
        <v>407</v>
      </c>
      <c r="E359" s="35">
        <v>130</v>
      </c>
      <c r="F359" s="36">
        <f>E359*D359</f>
        <v>52910</v>
      </c>
      <c r="G359" s="50"/>
    </row>
    <row r="360" spans="1:7" s="20" customFormat="1" ht="15.75" x14ac:dyDescent="0.45">
      <c r="A360" s="21" t="s">
        <v>664</v>
      </c>
      <c r="B360" s="22" t="s">
        <v>665</v>
      </c>
      <c r="C360" s="22"/>
      <c r="D360" s="23"/>
      <c r="E360" s="23"/>
      <c r="F360" s="24">
        <f>F361+F371</f>
        <v>968916.49493797007</v>
      </c>
      <c r="G360" s="47"/>
    </row>
    <row r="361" spans="1:7" s="20" customFormat="1" ht="15.75" x14ac:dyDescent="0.45">
      <c r="A361" s="25" t="s">
        <v>666</v>
      </c>
      <c r="B361" s="26" t="s">
        <v>667</v>
      </c>
      <c r="C361" s="26"/>
      <c r="D361" s="27"/>
      <c r="E361" s="27"/>
      <c r="F361" s="28">
        <f>F362+F364+F366+F368</f>
        <v>168897.99421397</v>
      </c>
      <c r="G361" s="48"/>
    </row>
    <row r="362" spans="1:7" s="20" customFormat="1" ht="15.75" x14ac:dyDescent="0.45">
      <c r="A362" s="29" t="s">
        <v>668</v>
      </c>
      <c r="B362" s="30" t="s">
        <v>669</v>
      </c>
      <c r="C362" s="30"/>
      <c r="D362" s="31"/>
      <c r="E362" s="31"/>
      <c r="F362" s="32">
        <f>F363</f>
        <v>76999.998119999989</v>
      </c>
      <c r="G362" s="49"/>
    </row>
    <row r="363" spans="1:7" s="20" customFormat="1" ht="15.75" x14ac:dyDescent="0.45">
      <c r="A363" s="203" t="s">
        <v>1198</v>
      </c>
      <c r="B363" s="34" t="s">
        <v>1199</v>
      </c>
      <c r="C363" s="34" t="s">
        <v>59</v>
      </c>
      <c r="D363" s="35">
        <v>289.36</v>
      </c>
      <c r="E363" s="200">
        <v>266.10449999999997</v>
      </c>
      <c r="F363" s="36">
        <f t="shared" ref="F363" si="54">E363*D363</f>
        <v>76999.998119999989</v>
      </c>
      <c r="G363" s="50"/>
    </row>
    <row r="364" spans="1:7" s="20" customFormat="1" ht="15.75" x14ac:dyDescent="0.45">
      <c r="A364" s="29" t="s">
        <v>670</v>
      </c>
      <c r="B364" s="30" t="s">
        <v>671</v>
      </c>
      <c r="C364" s="30"/>
      <c r="D364" s="31"/>
      <c r="E364" s="31"/>
      <c r="F364" s="32">
        <f>F365</f>
        <v>77645.270919999995</v>
      </c>
      <c r="G364" s="49"/>
    </row>
    <row r="365" spans="1:7" s="20" customFormat="1" ht="15.75" x14ac:dyDescent="0.45">
      <c r="A365" s="203" t="s">
        <v>1200</v>
      </c>
      <c r="B365" s="34" t="s">
        <v>812</v>
      </c>
      <c r="C365" s="34" t="s">
        <v>59</v>
      </c>
      <c r="D365" s="35">
        <v>289.36</v>
      </c>
      <c r="E365" s="35">
        <v>268.33449999999999</v>
      </c>
      <c r="F365" s="36">
        <f t="shared" ref="F365" si="55">E365*D365</f>
        <v>77645.270919999995</v>
      </c>
      <c r="G365" s="50"/>
    </row>
    <row r="366" spans="1:7" s="20" customFormat="1" ht="15.75" x14ac:dyDescent="0.45">
      <c r="A366" s="29" t="s">
        <v>672</v>
      </c>
      <c r="B366" s="30" t="s">
        <v>673</v>
      </c>
      <c r="C366" s="30"/>
      <c r="D366" s="31"/>
      <c r="E366" s="31"/>
      <c r="F366" s="32">
        <f>F367</f>
        <v>3070.5781339700002</v>
      </c>
      <c r="G366" s="49"/>
    </row>
    <row r="367" spans="1:7" s="20" customFormat="1" ht="31.5" x14ac:dyDescent="0.45">
      <c r="A367" s="203" t="s">
        <v>1201</v>
      </c>
      <c r="B367" s="34" t="s">
        <v>813</v>
      </c>
      <c r="C367" s="34" t="s">
        <v>90</v>
      </c>
      <c r="D367" s="35">
        <v>98.512900000000002</v>
      </c>
      <c r="E367" s="35">
        <v>31.1693</v>
      </c>
      <c r="F367" s="36">
        <f t="shared" ref="F367" si="56">E367*D367</f>
        <v>3070.5781339700002</v>
      </c>
      <c r="G367" s="50"/>
    </row>
    <row r="368" spans="1:7" s="20" customFormat="1" ht="15.75" x14ac:dyDescent="0.45">
      <c r="A368" s="29" t="s">
        <v>674</v>
      </c>
      <c r="B368" s="30" t="s">
        <v>36</v>
      </c>
      <c r="C368" s="30"/>
      <c r="D368" s="31"/>
      <c r="E368" s="31"/>
      <c r="F368" s="32">
        <f>SUM(F369:F370)</f>
        <v>11182.14704</v>
      </c>
      <c r="G368" s="49"/>
    </row>
    <row r="369" spans="1:7" s="20" customFormat="1" ht="31.5" x14ac:dyDescent="0.45">
      <c r="A369" s="203" t="s">
        <v>1202</v>
      </c>
      <c r="B369" s="34" t="s">
        <v>1203</v>
      </c>
      <c r="C369" s="34" t="s">
        <v>59</v>
      </c>
      <c r="D369" s="35">
        <v>289.36</v>
      </c>
      <c r="E369" s="35">
        <v>34.558999999999997</v>
      </c>
      <c r="F369" s="36">
        <f t="shared" ref="F369:F370" si="57">E369*D369</f>
        <v>9999.9922399999996</v>
      </c>
      <c r="G369" s="50"/>
    </row>
    <row r="370" spans="1:7" s="20" customFormat="1" ht="15.75" x14ac:dyDescent="0.45">
      <c r="A370" s="203" t="s">
        <v>1204</v>
      </c>
      <c r="B370" s="34" t="s">
        <v>814</v>
      </c>
      <c r="C370" s="34" t="s">
        <v>90</v>
      </c>
      <c r="D370" s="35">
        <v>98.512900000000002</v>
      </c>
      <c r="E370" s="35">
        <v>12</v>
      </c>
      <c r="F370" s="36">
        <f t="shared" si="57"/>
        <v>1182.1548</v>
      </c>
      <c r="G370" s="50"/>
    </row>
    <row r="371" spans="1:7" s="20" customFormat="1" ht="15.75" x14ac:dyDescent="0.45">
      <c r="A371" s="25" t="s">
        <v>675</v>
      </c>
      <c r="B371" s="26" t="s">
        <v>45</v>
      </c>
      <c r="C371" s="26"/>
      <c r="D371" s="27"/>
      <c r="E371" s="27"/>
      <c r="F371" s="28">
        <f>F372+F376+F378+F380+F382+F385+F390</f>
        <v>800018.50072400004</v>
      </c>
      <c r="G371" s="48"/>
    </row>
    <row r="372" spans="1:7" s="20" customFormat="1" ht="15.75" x14ac:dyDescent="0.45">
      <c r="A372" s="29" t="s">
        <v>676</v>
      </c>
      <c r="B372" s="30" t="s">
        <v>46</v>
      </c>
      <c r="C372" s="30"/>
      <c r="D372" s="31"/>
      <c r="E372" s="31"/>
      <c r="F372" s="32">
        <f>SUM(F373:F375)</f>
        <v>62641.951126999993</v>
      </c>
      <c r="G372" s="49"/>
    </row>
    <row r="373" spans="1:7" s="20" customFormat="1" ht="15.75" x14ac:dyDescent="0.45">
      <c r="A373" s="37" t="s">
        <v>677</v>
      </c>
      <c r="B373" s="34" t="s">
        <v>678</v>
      </c>
      <c r="C373" s="34" t="s">
        <v>59</v>
      </c>
      <c r="D373" s="35">
        <v>5256.14</v>
      </c>
      <c r="E373" s="35">
        <v>9.7746999999999993</v>
      </c>
      <c r="F373" s="36">
        <f t="shared" ref="F373:F398" si="58">E373*D373</f>
        <v>51377.191657999996</v>
      </c>
      <c r="G373" s="50"/>
    </row>
    <row r="374" spans="1:7" s="20" customFormat="1" ht="15.75" x14ac:dyDescent="0.45">
      <c r="A374" s="37" t="s">
        <v>679</v>
      </c>
      <c r="B374" s="34" t="s">
        <v>680</v>
      </c>
      <c r="C374" s="34" t="s">
        <v>59</v>
      </c>
      <c r="D374" s="35">
        <v>142.47</v>
      </c>
      <c r="E374" s="35">
        <v>9.7746999999999993</v>
      </c>
      <c r="F374" s="36">
        <f t="shared" si="58"/>
        <v>1392.6015089999999</v>
      </c>
      <c r="G374" s="50"/>
    </row>
    <row r="375" spans="1:7" s="20" customFormat="1" ht="15.75" x14ac:dyDescent="0.45">
      <c r="A375" s="37" t="s">
        <v>681</v>
      </c>
      <c r="B375" s="34" t="s">
        <v>708</v>
      </c>
      <c r="C375" s="34" t="s">
        <v>59</v>
      </c>
      <c r="D375" s="35">
        <v>1126.6500000000001</v>
      </c>
      <c r="E375" s="35">
        <v>8.7623999999999995</v>
      </c>
      <c r="F375" s="36">
        <f t="shared" si="58"/>
        <v>9872.1579600000005</v>
      </c>
      <c r="G375" s="50"/>
    </row>
    <row r="376" spans="1:7" s="20" customFormat="1" ht="15.75" x14ac:dyDescent="0.45">
      <c r="A376" s="29" t="s">
        <v>682</v>
      </c>
      <c r="B376" s="30" t="s">
        <v>112</v>
      </c>
      <c r="C376" s="30"/>
      <c r="D376" s="31"/>
      <c r="E376" s="31"/>
      <c r="F376" s="32">
        <f>F377</f>
        <v>198409.90592000002</v>
      </c>
      <c r="G376" s="49"/>
    </row>
    <row r="377" spans="1:7" s="20" customFormat="1" ht="15.6" customHeight="1" x14ac:dyDescent="0.45">
      <c r="A377" s="37" t="s">
        <v>683</v>
      </c>
      <c r="B377" s="34" t="s">
        <v>684</v>
      </c>
      <c r="C377" s="34" t="s">
        <v>59</v>
      </c>
      <c r="D377" s="35">
        <v>4152.92</v>
      </c>
      <c r="E377" s="35">
        <v>47.776000000000003</v>
      </c>
      <c r="F377" s="36">
        <f t="shared" si="58"/>
        <v>198409.90592000002</v>
      </c>
      <c r="G377" s="50"/>
    </row>
    <row r="378" spans="1:7" s="20" customFormat="1" ht="15.75" x14ac:dyDescent="0.45">
      <c r="A378" s="29" t="s">
        <v>685</v>
      </c>
      <c r="B378" s="30" t="s">
        <v>686</v>
      </c>
      <c r="C378" s="30"/>
      <c r="D378" s="31"/>
      <c r="E378" s="31"/>
      <c r="F378" s="32">
        <f>F379</f>
        <v>558.38390000000004</v>
      </c>
      <c r="G378" s="49"/>
    </row>
    <row r="379" spans="1:7" s="20" customFormat="1" ht="15.75" x14ac:dyDescent="0.45">
      <c r="A379" s="37" t="s">
        <v>687</v>
      </c>
      <c r="B379" s="34" t="s">
        <v>688</v>
      </c>
      <c r="C379" s="34" t="s">
        <v>59</v>
      </c>
      <c r="D379" s="35">
        <v>51.4</v>
      </c>
      <c r="E379" s="35">
        <v>10.8635</v>
      </c>
      <c r="F379" s="36">
        <f t="shared" si="58"/>
        <v>558.38390000000004</v>
      </c>
      <c r="G379" s="50"/>
    </row>
    <row r="380" spans="1:7" s="20" customFormat="1" ht="15.75" x14ac:dyDescent="0.45">
      <c r="A380" s="29" t="s">
        <v>689</v>
      </c>
      <c r="B380" s="30" t="s">
        <v>690</v>
      </c>
      <c r="C380" s="30"/>
      <c r="D380" s="31"/>
      <c r="E380" s="31"/>
      <c r="F380" s="32">
        <f>F381</f>
        <v>1118.94</v>
      </c>
      <c r="G380" s="49"/>
    </row>
    <row r="381" spans="1:7" s="20" customFormat="1" ht="15.75" x14ac:dyDescent="0.45">
      <c r="A381" s="37" t="s">
        <v>691</v>
      </c>
      <c r="B381" s="34" t="s">
        <v>692</v>
      </c>
      <c r="C381" s="34" t="s">
        <v>59</v>
      </c>
      <c r="D381" s="35">
        <v>43.88</v>
      </c>
      <c r="E381" s="35">
        <v>25.5</v>
      </c>
      <c r="F381" s="36">
        <f t="shared" si="58"/>
        <v>1118.94</v>
      </c>
      <c r="G381" s="50"/>
    </row>
    <row r="382" spans="1:7" s="20" customFormat="1" ht="15.75" x14ac:dyDescent="0.45">
      <c r="A382" s="29" t="s">
        <v>693</v>
      </c>
      <c r="B382" s="30" t="s">
        <v>694</v>
      </c>
      <c r="C382" s="30"/>
      <c r="D382" s="31"/>
      <c r="E382" s="31"/>
      <c r="F382" s="32">
        <f>SUM(F383:F384)</f>
        <v>6917.8459599999996</v>
      </c>
      <c r="G382" s="49"/>
    </row>
    <row r="383" spans="1:7" s="20" customFormat="1" ht="31.5" x14ac:dyDescent="0.45">
      <c r="A383" s="37" t="s">
        <v>695</v>
      </c>
      <c r="B383" s="34" t="s">
        <v>696</v>
      </c>
      <c r="C383" s="34" t="s">
        <v>59</v>
      </c>
      <c r="D383" s="35">
        <v>51.24</v>
      </c>
      <c r="E383" s="35">
        <v>105.517</v>
      </c>
      <c r="F383" s="36">
        <f t="shared" si="58"/>
        <v>5406.6910799999996</v>
      </c>
      <c r="G383" s="50"/>
    </row>
    <row r="384" spans="1:7" s="20" customFormat="1" ht="15.75" x14ac:dyDescent="0.45">
      <c r="A384" s="37" t="s">
        <v>697</v>
      </c>
      <c r="B384" s="34" t="s">
        <v>698</v>
      </c>
      <c r="C384" s="34" t="s">
        <v>59</v>
      </c>
      <c r="D384" s="35">
        <v>31.63</v>
      </c>
      <c r="E384" s="35">
        <v>47.776000000000003</v>
      </c>
      <c r="F384" s="36">
        <f t="shared" si="58"/>
        <v>1511.15488</v>
      </c>
      <c r="G384" s="50"/>
    </row>
    <row r="385" spans="1:7" s="20" customFormat="1" ht="15.75" x14ac:dyDescent="0.45">
      <c r="A385" s="29" t="s">
        <v>699</v>
      </c>
      <c r="B385" s="30" t="s">
        <v>111</v>
      </c>
      <c r="C385" s="30"/>
      <c r="D385" s="31"/>
      <c r="E385" s="31"/>
      <c r="F385" s="32">
        <f>SUM(F386:F389)</f>
        <v>211275.69381699999</v>
      </c>
      <c r="G385" s="49"/>
    </row>
    <row r="386" spans="1:7" s="20" customFormat="1" ht="31.5" x14ac:dyDescent="0.45">
      <c r="A386" s="37" t="s">
        <v>700</v>
      </c>
      <c r="B386" s="34" t="s">
        <v>701</v>
      </c>
      <c r="C386" s="34" t="s">
        <v>59</v>
      </c>
      <c r="D386" s="35">
        <v>1070.5899999999999</v>
      </c>
      <c r="E386" s="35">
        <v>177.83199999999999</v>
      </c>
      <c r="F386" s="36">
        <f t="shared" si="58"/>
        <v>190385.16087999998</v>
      </c>
      <c r="G386" s="50"/>
    </row>
    <row r="387" spans="1:7" s="20" customFormat="1" ht="15.75" x14ac:dyDescent="0.45">
      <c r="A387" s="37" t="s">
        <v>702</v>
      </c>
      <c r="B387" s="34" t="s">
        <v>703</v>
      </c>
      <c r="C387" s="34" t="s">
        <v>59</v>
      </c>
      <c r="D387" s="35">
        <v>123.86</v>
      </c>
      <c r="E387" s="35">
        <v>93.577600000000004</v>
      </c>
      <c r="F387" s="36">
        <f t="shared" si="58"/>
        <v>11590.521536</v>
      </c>
      <c r="G387" s="50"/>
    </row>
    <row r="388" spans="1:7" s="20" customFormat="1" ht="15.75" x14ac:dyDescent="0.45">
      <c r="A388" s="37" t="s">
        <v>704</v>
      </c>
      <c r="B388" s="34" t="s">
        <v>705</v>
      </c>
      <c r="C388" s="34" t="s">
        <v>59</v>
      </c>
      <c r="D388" s="35">
        <v>324.33</v>
      </c>
      <c r="E388" s="35">
        <v>7.3592000000000004</v>
      </c>
      <c r="F388" s="36">
        <f t="shared" si="58"/>
        <v>2386.8093359999998</v>
      </c>
      <c r="G388" s="50"/>
    </row>
    <row r="389" spans="1:7" s="20" customFormat="1" ht="15.75" x14ac:dyDescent="0.45">
      <c r="A389" s="37" t="s">
        <v>706</v>
      </c>
      <c r="B389" s="34" t="s">
        <v>707</v>
      </c>
      <c r="C389" s="34" t="s">
        <v>59</v>
      </c>
      <c r="D389" s="35">
        <v>212.41</v>
      </c>
      <c r="E389" s="35">
        <v>32.546500000000002</v>
      </c>
      <c r="F389" s="36">
        <f t="shared" si="58"/>
        <v>6913.2020650000004</v>
      </c>
      <c r="G389" s="50"/>
    </row>
    <row r="390" spans="1:7" s="20" customFormat="1" ht="15.75" x14ac:dyDescent="0.45">
      <c r="A390" s="29" t="s">
        <v>1205</v>
      </c>
      <c r="B390" s="30" t="s">
        <v>47</v>
      </c>
      <c r="C390" s="30"/>
      <c r="D390" s="31"/>
      <c r="E390" s="31"/>
      <c r="F390" s="32">
        <f>SUM(F391:F398)</f>
        <v>319095.78000000003</v>
      </c>
      <c r="G390" s="49"/>
    </row>
    <row r="391" spans="1:7" s="20" customFormat="1" ht="15.75" x14ac:dyDescent="0.45">
      <c r="A391" s="203" t="s">
        <v>1206</v>
      </c>
      <c r="B391" s="34" t="s">
        <v>48</v>
      </c>
      <c r="C391" s="34" t="s">
        <v>59</v>
      </c>
      <c r="D391" s="35">
        <v>5450.01</v>
      </c>
      <c r="E391" s="35">
        <v>18</v>
      </c>
      <c r="F391" s="36">
        <f t="shared" si="58"/>
        <v>98100.180000000008</v>
      </c>
      <c r="G391" s="50"/>
    </row>
    <row r="392" spans="1:7" s="20" customFormat="1" ht="15.75" x14ac:dyDescent="0.45">
      <c r="A392" s="203" t="s">
        <v>1207</v>
      </c>
      <c r="B392" s="34" t="s">
        <v>49</v>
      </c>
      <c r="C392" s="34" t="s">
        <v>59</v>
      </c>
      <c r="D392" s="35">
        <v>1126.6500000000001</v>
      </c>
      <c r="E392" s="35">
        <v>12</v>
      </c>
      <c r="F392" s="36">
        <f t="shared" si="58"/>
        <v>13519.800000000001</v>
      </c>
      <c r="G392" s="50"/>
    </row>
    <row r="393" spans="1:7" s="20" customFormat="1" ht="31.5" x14ac:dyDescent="0.45">
      <c r="A393" s="203" t="s">
        <v>1208</v>
      </c>
      <c r="B393" s="34" t="s">
        <v>1059</v>
      </c>
      <c r="C393" s="34" t="s">
        <v>59</v>
      </c>
      <c r="D393" s="35">
        <v>51.4</v>
      </c>
      <c r="E393" s="35">
        <v>15</v>
      </c>
      <c r="F393" s="36">
        <f t="shared" si="58"/>
        <v>771</v>
      </c>
      <c r="G393" s="50"/>
    </row>
    <row r="394" spans="1:7" s="20" customFormat="1" ht="15.75" x14ac:dyDescent="0.45">
      <c r="A394" s="203" t="s">
        <v>1209</v>
      </c>
      <c r="B394" s="34" t="s">
        <v>50</v>
      </c>
      <c r="C394" s="34" t="s">
        <v>59</v>
      </c>
      <c r="D394" s="35">
        <v>43.88</v>
      </c>
      <c r="E394" s="35">
        <v>32</v>
      </c>
      <c r="F394" s="36">
        <f t="shared" si="58"/>
        <v>1404.16</v>
      </c>
      <c r="G394" s="50"/>
    </row>
    <row r="395" spans="1:7" s="20" customFormat="1" ht="15.75" x14ac:dyDescent="0.45">
      <c r="A395" s="203" t="s">
        <v>1210</v>
      </c>
      <c r="B395" s="34" t="s">
        <v>709</v>
      </c>
      <c r="C395" s="34" t="s">
        <v>59</v>
      </c>
      <c r="D395" s="35">
        <v>4152.92</v>
      </c>
      <c r="E395" s="35">
        <v>30</v>
      </c>
      <c r="F395" s="36">
        <f t="shared" si="58"/>
        <v>124587.6</v>
      </c>
      <c r="G395" s="50"/>
    </row>
    <row r="396" spans="1:7" s="20" customFormat="1" ht="15.75" x14ac:dyDescent="0.45">
      <c r="A396" s="203" t="s">
        <v>1211</v>
      </c>
      <c r="B396" s="34" t="s">
        <v>710</v>
      </c>
      <c r="C396" s="34" t="s">
        <v>59</v>
      </c>
      <c r="D396" s="35">
        <v>82.87</v>
      </c>
      <c r="E396" s="35">
        <v>36</v>
      </c>
      <c r="F396" s="36">
        <f t="shared" si="58"/>
        <v>2983.32</v>
      </c>
      <c r="G396" s="50"/>
    </row>
    <row r="397" spans="1:7" s="20" customFormat="1" ht="15.75" x14ac:dyDescent="0.45">
      <c r="A397" s="203" t="s">
        <v>1212</v>
      </c>
      <c r="B397" s="34" t="s">
        <v>711</v>
      </c>
      <c r="C397" s="34" t="s">
        <v>59</v>
      </c>
      <c r="D397" s="35">
        <v>1194.45</v>
      </c>
      <c r="E397" s="35">
        <v>48</v>
      </c>
      <c r="F397" s="36">
        <f t="shared" si="58"/>
        <v>57333.600000000006</v>
      </c>
      <c r="G397" s="50"/>
    </row>
    <row r="398" spans="1:7" s="20" customFormat="1" ht="15.75" x14ac:dyDescent="0.45">
      <c r="A398" s="203" t="s">
        <v>1213</v>
      </c>
      <c r="B398" s="34" t="s">
        <v>712</v>
      </c>
      <c r="C398" s="34" t="s">
        <v>59</v>
      </c>
      <c r="D398" s="35">
        <v>536.74</v>
      </c>
      <c r="E398" s="35">
        <v>38</v>
      </c>
      <c r="F398" s="36">
        <f t="shared" si="58"/>
        <v>20396.12</v>
      </c>
      <c r="G398" s="50"/>
    </row>
    <row r="399" spans="1:7" s="20" customFormat="1" ht="31.5" x14ac:dyDescent="0.45">
      <c r="A399" s="21" t="s">
        <v>713</v>
      </c>
      <c r="B399" s="22" t="s">
        <v>714</v>
      </c>
      <c r="C399" s="22"/>
      <c r="D399" s="23"/>
      <c r="E399" s="23"/>
      <c r="F399" s="24">
        <f>F400+F417+F428+F447</f>
        <v>4215917.5221999995</v>
      </c>
      <c r="G399" s="47"/>
    </row>
    <row r="400" spans="1:7" s="20" customFormat="1" ht="15.75" x14ac:dyDescent="0.45">
      <c r="A400" s="25" t="s">
        <v>715</v>
      </c>
      <c r="B400" s="26" t="s">
        <v>716</v>
      </c>
      <c r="C400" s="26"/>
      <c r="D400" s="27"/>
      <c r="E400" s="27"/>
      <c r="F400" s="28">
        <f>F404+F406+F411+F413+F401</f>
        <v>1369387.282408</v>
      </c>
      <c r="G400" s="48"/>
    </row>
    <row r="401" spans="1:7" s="20" customFormat="1" ht="15.75" x14ac:dyDescent="0.45">
      <c r="A401" s="29" t="s">
        <v>1214</v>
      </c>
      <c r="B401" s="30" t="s">
        <v>1055</v>
      </c>
      <c r="C401" s="30"/>
      <c r="D401" s="31"/>
      <c r="E401" s="31"/>
      <c r="F401" s="32">
        <f>SUM(F402:F403)</f>
        <v>13930.441327</v>
      </c>
      <c r="G401" s="49"/>
    </row>
    <row r="402" spans="1:7" s="20" customFormat="1" ht="31.5" x14ac:dyDescent="0.45">
      <c r="A402" s="37" t="s">
        <v>717</v>
      </c>
      <c r="B402" s="34" t="s">
        <v>1063</v>
      </c>
      <c r="C402" s="34" t="s">
        <v>59</v>
      </c>
      <c r="D402" s="35">
        <v>783.97</v>
      </c>
      <c r="E402" s="35">
        <v>2.5411000000000001</v>
      </c>
      <c r="F402" s="36">
        <f t="shared" ref="F402" si="59">E402*D402</f>
        <v>1992.1461670000001</v>
      </c>
      <c r="G402" s="50"/>
    </row>
    <row r="403" spans="1:7" s="20" customFormat="1" ht="31.5" x14ac:dyDescent="0.45">
      <c r="A403" s="37" t="s">
        <v>1215</v>
      </c>
      <c r="B403" s="34" t="s">
        <v>1064</v>
      </c>
      <c r="C403" s="34" t="s">
        <v>59</v>
      </c>
      <c r="D403" s="35">
        <v>783.97</v>
      </c>
      <c r="E403" s="35">
        <v>15.228</v>
      </c>
      <c r="F403" s="36">
        <f t="shared" ref="F403" si="60">E403*D403</f>
        <v>11938.29516</v>
      </c>
      <c r="G403" s="50"/>
    </row>
    <row r="404" spans="1:7" s="20" customFormat="1" ht="15.75" x14ac:dyDescent="0.45">
      <c r="A404" s="29" t="s">
        <v>718</v>
      </c>
      <c r="B404" s="30" t="s">
        <v>719</v>
      </c>
      <c r="C404" s="30"/>
      <c r="D404" s="31"/>
      <c r="E404" s="31"/>
      <c r="F404" s="32">
        <f>F405</f>
        <v>60235.872840000004</v>
      </c>
      <c r="G404" s="49"/>
    </row>
    <row r="405" spans="1:7" s="20" customFormat="1" ht="15.75" x14ac:dyDescent="0.45">
      <c r="A405" s="37" t="s">
        <v>1216</v>
      </c>
      <c r="B405" s="34" t="s">
        <v>1050</v>
      </c>
      <c r="C405" s="34" t="s">
        <v>59</v>
      </c>
      <c r="D405" s="35">
        <v>4581.72</v>
      </c>
      <c r="E405" s="35">
        <v>13.147</v>
      </c>
      <c r="F405" s="36">
        <f t="shared" ref="F405" si="61">E405*D405</f>
        <v>60235.872840000004</v>
      </c>
      <c r="G405" s="50"/>
    </row>
    <row r="406" spans="1:7" s="20" customFormat="1" ht="15.75" x14ac:dyDescent="0.45">
      <c r="A406" s="29" t="s">
        <v>720</v>
      </c>
      <c r="B406" s="30" t="s">
        <v>113</v>
      </c>
      <c r="C406" s="30"/>
      <c r="D406" s="31"/>
      <c r="E406" s="31"/>
      <c r="F406" s="32">
        <f>SUM(F407:F410)</f>
        <v>858022.55332100007</v>
      </c>
      <c r="G406" s="49"/>
    </row>
    <row r="407" spans="1:7" s="20" customFormat="1" ht="15.75" x14ac:dyDescent="0.45">
      <c r="A407" s="37" t="s">
        <v>721</v>
      </c>
      <c r="B407" s="34" t="s">
        <v>722</v>
      </c>
      <c r="C407" s="34" t="s">
        <v>59</v>
      </c>
      <c r="D407" s="35">
        <v>2502.0100000000002</v>
      </c>
      <c r="E407" s="35">
        <v>215.34909999999999</v>
      </c>
      <c r="F407" s="36">
        <f t="shared" ref="F407:F416" si="62">E407*D407</f>
        <v>538805.60169100005</v>
      </c>
      <c r="G407" s="50"/>
    </row>
    <row r="408" spans="1:7" s="20" customFormat="1" ht="31.5" x14ac:dyDescent="0.45">
      <c r="A408" s="37" t="s">
        <v>1217</v>
      </c>
      <c r="B408" s="34" t="s">
        <v>723</v>
      </c>
      <c r="C408" s="34" t="s">
        <v>59</v>
      </c>
      <c r="D408" s="35">
        <v>357.06</v>
      </c>
      <c r="E408" s="35">
        <v>443.30099999999999</v>
      </c>
      <c r="F408" s="36">
        <f t="shared" si="62"/>
        <v>158285.05505999998</v>
      </c>
      <c r="G408" s="50"/>
    </row>
    <row r="409" spans="1:7" s="20" customFormat="1" ht="15.75" x14ac:dyDescent="0.45">
      <c r="A409" s="37" t="s">
        <v>1218</v>
      </c>
      <c r="B409" s="34" t="s">
        <v>1053</v>
      </c>
      <c r="C409" s="34" t="s">
        <v>59</v>
      </c>
      <c r="D409" s="200">
        <v>24.17</v>
      </c>
      <c r="E409" s="35">
        <v>435.86500000000001</v>
      </c>
      <c r="F409" s="36">
        <f t="shared" si="62"/>
        <v>10534.857050000001</v>
      </c>
      <c r="G409" s="50"/>
    </row>
    <row r="410" spans="1:7" s="20" customFormat="1" ht="31.5" x14ac:dyDescent="0.45">
      <c r="A410" s="37" t="s">
        <v>1219</v>
      </c>
      <c r="B410" s="34" t="s">
        <v>1054</v>
      </c>
      <c r="C410" s="34" t="s">
        <v>59</v>
      </c>
      <c r="D410" s="200">
        <v>2438.66</v>
      </c>
      <c r="E410" s="35">
        <v>61.671999999999997</v>
      </c>
      <c r="F410" s="36">
        <f t="shared" si="62"/>
        <v>150397.03951999999</v>
      </c>
      <c r="G410" s="50"/>
    </row>
    <row r="411" spans="1:7" s="20" customFormat="1" ht="15.75" x14ac:dyDescent="0.45">
      <c r="A411" s="29" t="s">
        <v>1220</v>
      </c>
      <c r="B411" s="30" t="s">
        <v>115</v>
      </c>
      <c r="C411" s="30"/>
      <c r="D411" s="31"/>
      <c r="E411" s="31"/>
      <c r="F411" s="32">
        <f>F412</f>
        <v>55148.254919999999</v>
      </c>
      <c r="G411" s="49"/>
    </row>
    <row r="412" spans="1:7" s="20" customFormat="1" ht="15.75" x14ac:dyDescent="0.45">
      <c r="A412" s="203" t="s">
        <v>1221</v>
      </c>
      <c r="B412" s="34" t="s">
        <v>1222</v>
      </c>
      <c r="C412" s="34" t="s">
        <v>90</v>
      </c>
      <c r="D412" s="35">
        <v>536.66</v>
      </c>
      <c r="E412" s="35">
        <v>102.762</v>
      </c>
      <c r="F412" s="36">
        <f t="shared" si="62"/>
        <v>55148.254919999999</v>
      </c>
      <c r="G412" s="50"/>
    </row>
    <row r="413" spans="1:7" s="20" customFormat="1" ht="15.75" x14ac:dyDescent="0.45">
      <c r="A413" s="29" t="s">
        <v>724</v>
      </c>
      <c r="B413" s="30" t="s">
        <v>36</v>
      </c>
      <c r="C413" s="30"/>
      <c r="D413" s="31"/>
      <c r="E413" s="31"/>
      <c r="F413" s="32">
        <f>SUM(F414:F416)</f>
        <v>382050.16000000003</v>
      </c>
      <c r="G413" s="49"/>
    </row>
    <row r="414" spans="1:7" s="20" customFormat="1" ht="15.75" x14ac:dyDescent="0.45">
      <c r="A414" s="37" t="s">
        <v>1223</v>
      </c>
      <c r="B414" s="34" t="s">
        <v>1051</v>
      </c>
      <c r="C414" s="34" t="s">
        <v>59</v>
      </c>
      <c r="D414" s="35">
        <v>4581.72</v>
      </c>
      <c r="E414" s="35">
        <v>32</v>
      </c>
      <c r="F414" s="36">
        <f t="shared" si="62"/>
        <v>146615.04000000001</v>
      </c>
      <c r="G414" s="50"/>
    </row>
    <row r="415" spans="1:7" s="20" customFormat="1" ht="31.5" x14ac:dyDescent="0.45">
      <c r="A415" s="37" t="s">
        <v>1224</v>
      </c>
      <c r="B415" s="34" t="s">
        <v>725</v>
      </c>
      <c r="C415" s="34" t="s">
        <v>59</v>
      </c>
      <c r="D415" s="35">
        <v>2502.0100000000002</v>
      </c>
      <c r="E415" s="35">
        <v>40</v>
      </c>
      <c r="F415" s="36">
        <f t="shared" si="62"/>
        <v>100080.40000000001</v>
      </c>
      <c r="G415" s="50"/>
    </row>
    <row r="416" spans="1:7" s="20" customFormat="1" ht="31.5" x14ac:dyDescent="0.45">
      <c r="A416" s="37" t="s">
        <v>1225</v>
      </c>
      <c r="B416" s="34" t="s">
        <v>1052</v>
      </c>
      <c r="C416" s="34" t="s">
        <v>59</v>
      </c>
      <c r="D416" s="35">
        <v>2819.89</v>
      </c>
      <c r="E416" s="35">
        <v>48</v>
      </c>
      <c r="F416" s="36">
        <f t="shared" si="62"/>
        <v>135354.72</v>
      </c>
      <c r="G416" s="50"/>
    </row>
    <row r="417" spans="1:7" s="20" customFormat="1" ht="15.75" x14ac:dyDescent="0.45">
      <c r="A417" s="25" t="s">
        <v>726</v>
      </c>
      <c r="B417" s="26" t="s">
        <v>727</v>
      </c>
      <c r="C417" s="26"/>
      <c r="D417" s="27"/>
      <c r="E417" s="27"/>
      <c r="F417" s="28">
        <f>F418+F421+F426</f>
        <v>541384.53249599994</v>
      </c>
      <c r="G417" s="48"/>
    </row>
    <row r="418" spans="1:7" s="20" customFormat="1" ht="15.75" x14ac:dyDescent="0.45">
      <c r="A418" s="29" t="s">
        <v>728</v>
      </c>
      <c r="B418" s="30" t="s">
        <v>116</v>
      </c>
      <c r="C418" s="30"/>
      <c r="D418" s="31"/>
      <c r="E418" s="31"/>
      <c r="F418" s="32">
        <f>SUM(F419:F420)</f>
        <v>81857.629295999999</v>
      </c>
      <c r="G418" s="49"/>
    </row>
    <row r="419" spans="1:7" s="20" customFormat="1" ht="15.75" x14ac:dyDescent="0.45">
      <c r="A419" s="37" t="s">
        <v>729</v>
      </c>
      <c r="B419" s="34" t="s">
        <v>117</v>
      </c>
      <c r="C419" s="34" t="s">
        <v>59</v>
      </c>
      <c r="D419" s="35">
        <v>3816.42</v>
      </c>
      <c r="E419" s="35">
        <v>5.5019999999999998</v>
      </c>
      <c r="F419" s="36">
        <f>E419*D419</f>
        <v>20997.94284</v>
      </c>
      <c r="G419" s="50"/>
    </row>
    <row r="420" spans="1:7" s="20" customFormat="1" ht="31.5" x14ac:dyDescent="0.45">
      <c r="A420" s="37" t="s">
        <v>730</v>
      </c>
      <c r="B420" s="34" t="s">
        <v>118</v>
      </c>
      <c r="C420" s="34" t="s">
        <v>59</v>
      </c>
      <c r="D420" s="35">
        <v>3816.42</v>
      </c>
      <c r="E420" s="35">
        <v>15.9468</v>
      </c>
      <c r="F420" s="36">
        <f>E420*D420</f>
        <v>60859.686456000003</v>
      </c>
      <c r="G420" s="50"/>
    </row>
    <row r="421" spans="1:7" s="20" customFormat="1" ht="15.75" x14ac:dyDescent="0.45">
      <c r="A421" s="29" t="s">
        <v>731</v>
      </c>
      <c r="B421" s="30" t="s">
        <v>119</v>
      </c>
      <c r="C421" s="30"/>
      <c r="D421" s="31"/>
      <c r="E421" s="31"/>
      <c r="F421" s="32">
        <f>SUM(F422:F425)</f>
        <v>194438.37</v>
      </c>
      <c r="G421" s="49"/>
    </row>
    <row r="422" spans="1:7" s="20" customFormat="1" ht="15.75" x14ac:dyDescent="0.45">
      <c r="A422" s="37" t="s">
        <v>732</v>
      </c>
      <c r="B422" s="34" t="s">
        <v>817</v>
      </c>
      <c r="C422" s="34" t="s">
        <v>59</v>
      </c>
      <c r="D422" s="35">
        <v>763.44</v>
      </c>
      <c r="E422" s="35">
        <v>97</v>
      </c>
      <c r="F422" s="36">
        <f>E422*D422</f>
        <v>74053.680000000008</v>
      </c>
      <c r="G422" s="50"/>
    </row>
    <row r="423" spans="1:7" s="20" customFormat="1" ht="15.75" x14ac:dyDescent="0.45">
      <c r="A423" s="37" t="s">
        <v>1226</v>
      </c>
      <c r="B423" s="34" t="s">
        <v>818</v>
      </c>
      <c r="C423" s="34" t="s">
        <v>59</v>
      </c>
      <c r="D423" s="35">
        <v>1044.71</v>
      </c>
      <c r="E423" s="35">
        <v>87</v>
      </c>
      <c r="F423" s="36">
        <f>E423*D423</f>
        <v>90889.77</v>
      </c>
      <c r="G423" s="50"/>
    </row>
    <row r="424" spans="1:7" s="20" customFormat="1" ht="15.75" x14ac:dyDescent="0.45">
      <c r="A424" s="37" t="s">
        <v>1227</v>
      </c>
      <c r="B424" s="34" t="s">
        <v>820</v>
      </c>
      <c r="C424" s="34" t="s">
        <v>59</v>
      </c>
      <c r="D424" s="35">
        <v>200.91</v>
      </c>
      <c r="E424" s="35">
        <v>87</v>
      </c>
      <c r="F424" s="36">
        <f>E424*D424</f>
        <v>17479.169999999998</v>
      </c>
      <c r="G424" s="50"/>
    </row>
    <row r="425" spans="1:7" s="20" customFormat="1" ht="15.75" x14ac:dyDescent="0.45">
      <c r="A425" s="37" t="s">
        <v>1228</v>
      </c>
      <c r="B425" s="34" t="s">
        <v>819</v>
      </c>
      <c r="C425" s="34" t="s">
        <v>90</v>
      </c>
      <c r="D425" s="35">
        <v>480.63</v>
      </c>
      <c r="E425" s="35">
        <v>25</v>
      </c>
      <c r="F425" s="36">
        <f>E425*D425</f>
        <v>12015.75</v>
      </c>
      <c r="G425" s="50"/>
    </row>
    <row r="426" spans="1:7" s="20" customFormat="1" ht="15.75" x14ac:dyDescent="0.45">
      <c r="A426" s="29" t="s">
        <v>733</v>
      </c>
      <c r="B426" s="30" t="s">
        <v>36</v>
      </c>
      <c r="C426" s="30"/>
      <c r="D426" s="31"/>
      <c r="E426" s="31"/>
      <c r="F426" s="32">
        <f>F427</f>
        <v>265088.53320000001</v>
      </c>
      <c r="G426" s="49"/>
    </row>
    <row r="427" spans="1:7" s="20" customFormat="1" ht="15.75" x14ac:dyDescent="0.45">
      <c r="A427" s="37" t="s">
        <v>734</v>
      </c>
      <c r="B427" s="34" t="s">
        <v>735</v>
      </c>
      <c r="C427" s="34" t="s">
        <v>59</v>
      </c>
      <c r="D427" s="35">
        <v>3816.42</v>
      </c>
      <c r="E427" s="35">
        <v>69.459999999999994</v>
      </c>
      <c r="F427" s="36">
        <f>E427*D427</f>
        <v>265088.53320000001</v>
      </c>
      <c r="G427" s="50"/>
    </row>
    <row r="428" spans="1:7" s="20" customFormat="1" ht="15.75" x14ac:dyDescent="0.45">
      <c r="A428" s="25" t="s">
        <v>736</v>
      </c>
      <c r="B428" s="26" t="s">
        <v>737</v>
      </c>
      <c r="C428" s="26"/>
      <c r="D428" s="27"/>
      <c r="E428" s="27"/>
      <c r="F428" s="28">
        <f>F429+F431+F435+F439+F443</f>
        <v>1906828.550478</v>
      </c>
      <c r="G428" s="48"/>
    </row>
    <row r="429" spans="1:7" s="20" customFormat="1" ht="15.75" x14ac:dyDescent="0.45">
      <c r="A429" s="29" t="s">
        <v>738</v>
      </c>
      <c r="B429" s="30" t="s">
        <v>130</v>
      </c>
      <c r="C429" s="30"/>
      <c r="D429" s="31"/>
      <c r="E429" s="31"/>
      <c r="F429" s="32">
        <f>F430</f>
        <v>1206.388508</v>
      </c>
      <c r="G429" s="49"/>
    </row>
    <row r="430" spans="1:7" s="20" customFormat="1" ht="31.5" x14ac:dyDescent="0.45">
      <c r="A430" s="37" t="s">
        <v>739</v>
      </c>
      <c r="B430" s="34" t="s">
        <v>740</v>
      </c>
      <c r="C430" s="34" t="s">
        <v>59</v>
      </c>
      <c r="D430" s="35">
        <v>64.52</v>
      </c>
      <c r="E430" s="35">
        <v>18.697900000000001</v>
      </c>
      <c r="F430" s="36">
        <f>E430*D430</f>
        <v>1206.388508</v>
      </c>
      <c r="G430" s="50"/>
    </row>
    <row r="431" spans="1:7" s="20" customFormat="1" ht="15.75" x14ac:dyDescent="0.45">
      <c r="A431" s="29" t="s">
        <v>741</v>
      </c>
      <c r="B431" s="30" t="s">
        <v>131</v>
      </c>
      <c r="C431" s="30"/>
      <c r="D431" s="31"/>
      <c r="E431" s="31"/>
      <c r="F431" s="32">
        <f>SUM(F432:F434)</f>
        <v>221278.499591</v>
      </c>
      <c r="G431" s="49"/>
    </row>
    <row r="432" spans="1:7" s="20" customFormat="1" ht="31.5" x14ac:dyDescent="0.45">
      <c r="A432" s="37" t="s">
        <v>742</v>
      </c>
      <c r="B432" s="34" t="s">
        <v>1065</v>
      </c>
      <c r="C432" s="34" t="s">
        <v>59</v>
      </c>
      <c r="D432" s="35">
        <v>5191.2</v>
      </c>
      <c r="E432" s="35">
        <v>5.5316999999999998</v>
      </c>
      <c r="F432" s="36">
        <f>E432*D432</f>
        <v>28716.161039999999</v>
      </c>
      <c r="G432" s="50"/>
    </row>
    <row r="433" spans="1:7" s="20" customFormat="1" ht="35.25" customHeight="1" x14ac:dyDescent="0.45">
      <c r="A433" s="37" t="s">
        <v>743</v>
      </c>
      <c r="B433" s="34" t="s">
        <v>1112</v>
      </c>
      <c r="C433" s="34" t="s">
        <v>59</v>
      </c>
      <c r="D433" s="35">
        <v>32323.32</v>
      </c>
      <c r="E433" s="35">
        <v>5.7298</v>
      </c>
      <c r="F433" s="36">
        <f>E433*D433</f>
        <v>185206.15893599999</v>
      </c>
      <c r="G433" s="50"/>
    </row>
    <row r="434" spans="1:7" s="20" customFormat="1" ht="15.75" x14ac:dyDescent="0.45">
      <c r="A434" s="37" t="s">
        <v>1229</v>
      </c>
      <c r="B434" s="34" t="s">
        <v>1068</v>
      </c>
      <c r="C434" s="34" t="s">
        <v>59</v>
      </c>
      <c r="D434" s="200">
        <v>1594.49</v>
      </c>
      <c r="E434" s="35">
        <v>4.6135000000000002</v>
      </c>
      <c r="F434" s="36">
        <f>E434*D434</f>
        <v>7356.179615</v>
      </c>
      <c r="G434" s="50"/>
    </row>
    <row r="435" spans="1:7" s="20" customFormat="1" ht="15.75" x14ac:dyDescent="0.45">
      <c r="A435" s="29" t="s">
        <v>744</v>
      </c>
      <c r="B435" s="30" t="s">
        <v>132</v>
      </c>
      <c r="C435" s="30"/>
      <c r="D435" s="31"/>
      <c r="E435" s="31"/>
      <c r="F435" s="32">
        <f>SUM(F436:F438)</f>
        <v>51055.795979000002</v>
      </c>
      <c r="G435" s="49"/>
    </row>
    <row r="436" spans="1:7" s="20" customFormat="1" ht="31.5" x14ac:dyDescent="0.45">
      <c r="A436" s="37" t="s">
        <v>1230</v>
      </c>
      <c r="B436" s="34" t="s">
        <v>740</v>
      </c>
      <c r="C436" s="34" t="s">
        <v>59</v>
      </c>
      <c r="D436" s="35">
        <v>781.63</v>
      </c>
      <c r="E436" s="35">
        <v>18.697900000000001</v>
      </c>
      <c r="F436" s="36">
        <f>E436*D436</f>
        <v>14614.839577000001</v>
      </c>
      <c r="G436" s="50"/>
    </row>
    <row r="437" spans="1:7" s="20" customFormat="1" ht="31.5" x14ac:dyDescent="0.45">
      <c r="A437" s="37" t="s">
        <v>1231</v>
      </c>
      <c r="B437" s="34" t="s">
        <v>1066</v>
      </c>
      <c r="C437" s="34" t="s">
        <v>59</v>
      </c>
      <c r="D437" s="35">
        <v>5544.65</v>
      </c>
      <c r="E437" s="35">
        <v>4.5670000000000002</v>
      </c>
      <c r="F437" s="36">
        <f>E437*D437</f>
        <v>25322.416549999998</v>
      </c>
      <c r="G437" s="50"/>
    </row>
    <row r="438" spans="1:7" s="20" customFormat="1" ht="47.25" x14ac:dyDescent="0.45">
      <c r="A438" s="37" t="s">
        <v>1232</v>
      </c>
      <c r="B438" s="34" t="s">
        <v>1067</v>
      </c>
      <c r="C438" s="34" t="s">
        <v>59</v>
      </c>
      <c r="D438" s="35">
        <v>2009.06</v>
      </c>
      <c r="E438" s="35">
        <v>5.5342000000000002</v>
      </c>
      <c r="F438" s="36">
        <f>E438*D438</f>
        <v>11118.539852</v>
      </c>
      <c r="G438" s="50"/>
    </row>
    <row r="439" spans="1:7" s="20" customFormat="1" ht="15.75" x14ac:dyDescent="0.45">
      <c r="A439" s="29" t="s">
        <v>1233</v>
      </c>
      <c r="B439" s="30" t="s">
        <v>745</v>
      </c>
      <c r="C439" s="30"/>
      <c r="D439" s="31"/>
      <c r="E439" s="31"/>
      <c r="F439" s="32">
        <f>SUM(F440:F442)</f>
        <v>23063.186399999999</v>
      </c>
      <c r="G439" s="49"/>
    </row>
    <row r="440" spans="1:7" s="20" customFormat="1" ht="15.75" x14ac:dyDescent="0.45">
      <c r="A440" s="203" t="s">
        <v>1234</v>
      </c>
      <c r="B440" s="34" t="s">
        <v>824</v>
      </c>
      <c r="C440" s="34" t="s">
        <v>146</v>
      </c>
      <c r="D440" s="35">
        <v>1</v>
      </c>
      <c r="E440" s="35">
        <v>10000</v>
      </c>
      <c r="F440" s="36">
        <f>E440*D440</f>
        <v>10000</v>
      </c>
      <c r="G440" s="50"/>
    </row>
    <row r="441" spans="1:7" s="20" customFormat="1" ht="15.75" x14ac:dyDescent="0.45">
      <c r="A441" s="203" t="s">
        <v>1235</v>
      </c>
      <c r="B441" s="34" t="s">
        <v>825</v>
      </c>
      <c r="C441" s="34" t="s">
        <v>146</v>
      </c>
      <c r="D441" s="35">
        <v>1</v>
      </c>
      <c r="E441" s="35">
        <v>10000</v>
      </c>
      <c r="F441" s="36">
        <f>E441*D441</f>
        <v>10000</v>
      </c>
      <c r="G441" s="50"/>
    </row>
    <row r="442" spans="1:7" s="20" customFormat="1" ht="15.75" x14ac:dyDescent="0.45">
      <c r="A442" s="203" t="s">
        <v>1236</v>
      </c>
      <c r="B442" s="34" t="s">
        <v>826</v>
      </c>
      <c r="C442" s="34" t="s">
        <v>79</v>
      </c>
      <c r="D442" s="200">
        <v>134</v>
      </c>
      <c r="E442" s="35">
        <v>22.8596</v>
      </c>
      <c r="F442" s="36">
        <f>E442*D442</f>
        <v>3063.1864</v>
      </c>
      <c r="G442" s="50"/>
    </row>
    <row r="443" spans="1:7" s="20" customFormat="1" ht="15.75" x14ac:dyDescent="0.45">
      <c r="A443" s="29" t="s">
        <v>746</v>
      </c>
      <c r="B443" s="30" t="s">
        <v>36</v>
      </c>
      <c r="C443" s="30"/>
      <c r="D443" s="31"/>
      <c r="E443" s="31"/>
      <c r="F443" s="32">
        <f>SUM(F444:F446)</f>
        <v>1610224.68</v>
      </c>
      <c r="G443" s="49"/>
    </row>
    <row r="444" spans="1:7" s="20" customFormat="1" ht="15.75" x14ac:dyDescent="0.45">
      <c r="A444" s="37" t="s">
        <v>747</v>
      </c>
      <c r="B444" s="34" t="s">
        <v>748</v>
      </c>
      <c r="C444" s="34" t="s">
        <v>59</v>
      </c>
      <c r="D444" s="35">
        <v>846.15</v>
      </c>
      <c r="E444" s="35">
        <v>28</v>
      </c>
      <c r="F444" s="36">
        <f>E444*D444</f>
        <v>23692.2</v>
      </c>
      <c r="G444" s="50"/>
    </row>
    <row r="445" spans="1:7" s="20" customFormat="1" ht="15.75" x14ac:dyDescent="0.45">
      <c r="A445" s="37" t="s">
        <v>749</v>
      </c>
      <c r="B445" s="34" t="s">
        <v>815</v>
      </c>
      <c r="C445" s="34" t="s">
        <v>59</v>
      </c>
      <c r="D445" s="35">
        <v>12330.34</v>
      </c>
      <c r="E445" s="35">
        <v>34</v>
      </c>
      <c r="F445" s="36">
        <f>E445*D445</f>
        <v>419231.56</v>
      </c>
      <c r="G445" s="50"/>
    </row>
    <row r="446" spans="1:7" s="20" customFormat="1" ht="15.75" x14ac:dyDescent="0.45">
      <c r="A446" s="37" t="s">
        <v>1237</v>
      </c>
      <c r="B446" s="34" t="s">
        <v>816</v>
      </c>
      <c r="C446" s="34" t="s">
        <v>59</v>
      </c>
      <c r="D446" s="35">
        <v>34332.379999999997</v>
      </c>
      <c r="E446" s="35">
        <v>34</v>
      </c>
      <c r="F446" s="36">
        <f>E446*D446</f>
        <v>1167300.92</v>
      </c>
      <c r="G446" s="50"/>
    </row>
    <row r="447" spans="1:7" s="20" customFormat="1" ht="15.75" x14ac:dyDescent="0.45">
      <c r="A447" s="25" t="s">
        <v>750</v>
      </c>
      <c r="B447" s="26" t="s">
        <v>751</v>
      </c>
      <c r="C447" s="26"/>
      <c r="D447" s="27"/>
      <c r="E447" s="27"/>
      <c r="F447" s="28">
        <f>F448+F451+F453+F457</f>
        <v>398317.15681800002</v>
      </c>
      <c r="G447" s="48"/>
    </row>
    <row r="448" spans="1:7" s="20" customFormat="1" ht="15.75" x14ac:dyDescent="0.45">
      <c r="A448" s="29" t="s">
        <v>752</v>
      </c>
      <c r="B448" s="30" t="s">
        <v>753</v>
      </c>
      <c r="C448" s="30"/>
      <c r="D448" s="31"/>
      <c r="E448" s="31"/>
      <c r="F448" s="32">
        <f>SUM(F449:F450)</f>
        <v>128796.5</v>
      </c>
      <c r="G448" s="49"/>
    </row>
    <row r="449" spans="1:7" s="20" customFormat="1" ht="31.5" x14ac:dyDescent="0.45">
      <c r="A449" s="203" t="s">
        <v>1238</v>
      </c>
      <c r="B449" s="34" t="s">
        <v>1120</v>
      </c>
      <c r="C449" s="34" t="s">
        <v>79</v>
      </c>
      <c r="D449" s="35">
        <v>5</v>
      </c>
      <c r="E449" s="35">
        <v>23259.3</v>
      </c>
      <c r="F449" s="36">
        <f>E449*D449</f>
        <v>116296.5</v>
      </c>
      <c r="G449" s="50" t="s">
        <v>1119</v>
      </c>
    </row>
    <row r="450" spans="1:7" s="20" customFormat="1" ht="31.5" x14ac:dyDescent="0.45">
      <c r="A450" s="203" t="s">
        <v>1239</v>
      </c>
      <c r="B450" s="34" t="s">
        <v>1118</v>
      </c>
      <c r="C450" s="34" t="s">
        <v>79</v>
      </c>
      <c r="D450" s="35">
        <v>5</v>
      </c>
      <c r="E450" s="35">
        <v>2500</v>
      </c>
      <c r="F450" s="36">
        <f>E450*D450</f>
        <v>12500</v>
      </c>
      <c r="G450" s="50" t="s">
        <v>1119</v>
      </c>
    </row>
    <row r="451" spans="1:7" s="20" customFormat="1" ht="15.75" x14ac:dyDescent="0.45">
      <c r="A451" s="29" t="s">
        <v>754</v>
      </c>
      <c r="B451" s="30" t="s">
        <v>1058</v>
      </c>
      <c r="C451" s="30"/>
      <c r="D451" s="31"/>
      <c r="E451" s="31"/>
      <c r="F451" s="32">
        <f>SUM(F452:F452)</f>
        <v>144046.6</v>
      </c>
      <c r="G451" s="49"/>
    </row>
    <row r="452" spans="1:7" s="20" customFormat="1" ht="15.75" x14ac:dyDescent="0.45">
      <c r="A452" s="203" t="s">
        <v>1240</v>
      </c>
      <c r="B452" s="34" t="s">
        <v>1060</v>
      </c>
      <c r="C452" s="34" t="s">
        <v>90</v>
      </c>
      <c r="D452" s="35">
        <v>379.07</v>
      </c>
      <c r="E452" s="35">
        <v>380</v>
      </c>
      <c r="F452" s="36">
        <f>E452*D452</f>
        <v>144046.6</v>
      </c>
      <c r="G452" s="50"/>
    </row>
    <row r="453" spans="1:7" s="20" customFormat="1" ht="15.75" x14ac:dyDescent="0.45">
      <c r="A453" s="29" t="s">
        <v>755</v>
      </c>
      <c r="B453" s="30" t="s">
        <v>756</v>
      </c>
      <c r="C453" s="30"/>
      <c r="D453" s="31"/>
      <c r="E453" s="31"/>
      <c r="F453" s="32">
        <f>SUM(F454:F456)</f>
        <v>94009.221320000011</v>
      </c>
      <c r="G453" s="49"/>
    </row>
    <row r="454" spans="1:7" s="20" customFormat="1" ht="15.75" x14ac:dyDescent="0.45">
      <c r="A454" s="203" t="s">
        <v>1241</v>
      </c>
      <c r="B454" s="34" t="s">
        <v>1069</v>
      </c>
      <c r="C454" s="34" t="s">
        <v>90</v>
      </c>
      <c r="D454" s="35">
        <v>220.3</v>
      </c>
      <c r="E454" s="35">
        <v>17.3444</v>
      </c>
      <c r="F454" s="36">
        <f t="shared" ref="F454" si="63">E454*D454</f>
        <v>3820.9713200000001</v>
      </c>
      <c r="G454" s="50"/>
    </row>
    <row r="455" spans="1:7" s="20" customFormat="1" ht="15.75" x14ac:dyDescent="0.45">
      <c r="A455" s="203" t="s">
        <v>1242</v>
      </c>
      <c r="B455" s="34" t="s">
        <v>1243</v>
      </c>
      <c r="C455" s="34" t="s">
        <v>79</v>
      </c>
      <c r="D455" s="35">
        <v>33</v>
      </c>
      <c r="E455" s="35">
        <v>2071.5500000000002</v>
      </c>
      <c r="F455" s="36">
        <f t="shared" ref="F455:F456" si="64">E455*D455</f>
        <v>68361.150000000009</v>
      </c>
      <c r="G455" s="50"/>
    </row>
    <row r="456" spans="1:7" s="20" customFormat="1" ht="15.75" x14ac:dyDescent="0.45">
      <c r="A456" s="203" t="s">
        <v>1244</v>
      </c>
      <c r="B456" s="34" t="s">
        <v>1245</v>
      </c>
      <c r="C456" s="34" t="s">
        <v>79</v>
      </c>
      <c r="D456" s="35">
        <v>10</v>
      </c>
      <c r="E456" s="35">
        <v>2182.71</v>
      </c>
      <c r="F456" s="36">
        <f t="shared" si="64"/>
        <v>21827.1</v>
      </c>
      <c r="G456" s="50"/>
    </row>
    <row r="457" spans="1:7" s="20" customFormat="1" ht="15.75" x14ac:dyDescent="0.45">
      <c r="A457" s="29" t="s">
        <v>1246</v>
      </c>
      <c r="B457" s="30" t="s">
        <v>36</v>
      </c>
      <c r="C457" s="30"/>
      <c r="D457" s="31"/>
      <c r="E457" s="31"/>
      <c r="F457" s="32">
        <f>SUM(F458:F459)</f>
        <v>31464.835498</v>
      </c>
      <c r="G457" s="49"/>
    </row>
    <row r="458" spans="1:7" s="20" customFormat="1" ht="15.75" x14ac:dyDescent="0.45">
      <c r="A458" s="203" t="s">
        <v>1247</v>
      </c>
      <c r="B458" s="34" t="s">
        <v>1248</v>
      </c>
      <c r="C458" s="34" t="s">
        <v>79</v>
      </c>
      <c r="D458" s="35">
        <v>43</v>
      </c>
      <c r="E458" s="35">
        <v>141.613</v>
      </c>
      <c r="F458" s="36">
        <f t="shared" ref="F458:F459" si="65">E458*D458</f>
        <v>6089.3590000000004</v>
      </c>
      <c r="G458" s="50"/>
    </row>
    <row r="459" spans="1:7" s="20" customFormat="1" ht="15.75" x14ac:dyDescent="0.45">
      <c r="A459" s="203" t="s">
        <v>1249</v>
      </c>
      <c r="B459" s="34" t="s">
        <v>1062</v>
      </c>
      <c r="C459" s="34" t="s">
        <v>90</v>
      </c>
      <c r="D459" s="35">
        <v>379.07</v>
      </c>
      <c r="E459" s="35">
        <v>66.941400000000002</v>
      </c>
      <c r="F459" s="36">
        <f t="shared" si="65"/>
        <v>25375.476498</v>
      </c>
      <c r="G459" s="50"/>
    </row>
    <row r="460" spans="1:7" s="20" customFormat="1" ht="15.75" x14ac:dyDescent="0.45">
      <c r="A460" s="21" t="s">
        <v>757</v>
      </c>
      <c r="B460" s="22" t="s">
        <v>758</v>
      </c>
      <c r="C460" s="22"/>
      <c r="D460" s="23"/>
      <c r="E460" s="23"/>
      <c r="F460" s="24">
        <f>F461</f>
        <v>1629244.3642089998</v>
      </c>
      <c r="G460" s="47"/>
    </row>
    <row r="461" spans="1:7" s="20" customFormat="1" ht="15.75" x14ac:dyDescent="0.45">
      <c r="A461" s="25" t="s">
        <v>759</v>
      </c>
      <c r="B461" s="26" t="s">
        <v>760</v>
      </c>
      <c r="C461" s="26"/>
      <c r="D461" s="27"/>
      <c r="E461" s="27"/>
      <c r="F461" s="28">
        <f>F462+F464+F466+F474+F477+F479+F481+F484+F487</f>
        <v>1629244.3642089998</v>
      </c>
      <c r="G461" s="48"/>
    </row>
    <row r="462" spans="1:7" s="20" customFormat="1" ht="15.75" x14ac:dyDescent="0.45">
      <c r="A462" s="29" t="s">
        <v>761</v>
      </c>
      <c r="B462" s="30" t="s">
        <v>120</v>
      </c>
      <c r="C462" s="30"/>
      <c r="D462" s="31"/>
      <c r="E462" s="31"/>
      <c r="F462" s="32">
        <f>F463</f>
        <v>3465.0780239999999</v>
      </c>
      <c r="G462" s="49"/>
    </row>
    <row r="463" spans="1:7" s="20" customFormat="1" ht="31.5" x14ac:dyDescent="0.45">
      <c r="A463" s="37" t="s">
        <v>762</v>
      </c>
      <c r="B463" s="34" t="s">
        <v>888</v>
      </c>
      <c r="C463" s="34" t="s">
        <v>59</v>
      </c>
      <c r="D463" s="35">
        <v>146.91</v>
      </c>
      <c r="E463" s="35">
        <v>23.586400000000001</v>
      </c>
      <c r="F463" s="36">
        <f t="shared" ref="F463" si="66">E463*D463</f>
        <v>3465.0780239999999</v>
      </c>
      <c r="G463" s="50" t="s">
        <v>823</v>
      </c>
    </row>
    <row r="464" spans="1:7" s="20" customFormat="1" ht="15.75" x14ac:dyDescent="0.45">
      <c r="A464" s="29" t="s">
        <v>763</v>
      </c>
      <c r="B464" s="30" t="s">
        <v>129</v>
      </c>
      <c r="C464" s="30"/>
      <c r="D464" s="31"/>
      <c r="E464" s="31"/>
      <c r="F464" s="32">
        <f>F465</f>
        <v>8868.0965749999996</v>
      </c>
      <c r="G464" s="49"/>
    </row>
    <row r="465" spans="1:7" s="20" customFormat="1" ht="15.75" x14ac:dyDescent="0.45">
      <c r="A465" s="203" t="s">
        <v>889</v>
      </c>
      <c r="B465" s="34" t="s">
        <v>821</v>
      </c>
      <c r="C465" s="34" t="s">
        <v>59</v>
      </c>
      <c r="D465" s="35">
        <v>907.25</v>
      </c>
      <c r="E465" s="35">
        <v>9.7746999999999993</v>
      </c>
      <c r="F465" s="36">
        <f t="shared" ref="F465" si="67">E465*D465</f>
        <v>8868.0965749999996</v>
      </c>
      <c r="G465" s="50"/>
    </row>
    <row r="466" spans="1:7" s="20" customFormat="1" ht="15.75" x14ac:dyDescent="0.45">
      <c r="A466" s="29" t="s">
        <v>764</v>
      </c>
      <c r="B466" s="30" t="s">
        <v>121</v>
      </c>
      <c r="C466" s="30"/>
      <c r="D466" s="31"/>
      <c r="E466" s="31"/>
      <c r="F466" s="32">
        <f>SUM(F467:F473)</f>
        <v>733381.04999299999</v>
      </c>
      <c r="G466" s="49"/>
    </row>
    <row r="467" spans="1:7" s="20" customFormat="1" ht="15.75" x14ac:dyDescent="0.45">
      <c r="A467" s="37" t="s">
        <v>765</v>
      </c>
      <c r="B467" s="34" t="s">
        <v>766</v>
      </c>
      <c r="C467" s="34" t="s">
        <v>59</v>
      </c>
      <c r="D467" s="35">
        <v>1602.16</v>
      </c>
      <c r="E467" s="35">
        <v>215.34909999999999</v>
      </c>
      <c r="F467" s="36">
        <f t="shared" ref="F467:F495" si="68">E467*D467</f>
        <v>345023.714056</v>
      </c>
      <c r="G467" s="50"/>
    </row>
    <row r="468" spans="1:7" s="20" customFormat="1" ht="15.75" x14ac:dyDescent="0.45">
      <c r="A468" s="37" t="s">
        <v>767</v>
      </c>
      <c r="B468" s="34" t="s">
        <v>768</v>
      </c>
      <c r="C468" s="34" t="s">
        <v>59</v>
      </c>
      <c r="D468" s="35">
        <v>73.89</v>
      </c>
      <c r="E468" s="35">
        <v>287.94439999999997</v>
      </c>
      <c r="F468" s="36">
        <f t="shared" si="68"/>
        <v>21276.211715999998</v>
      </c>
      <c r="G468" s="50"/>
    </row>
    <row r="469" spans="1:7" s="20" customFormat="1" ht="15.75" x14ac:dyDescent="0.45">
      <c r="A469" s="37" t="s">
        <v>769</v>
      </c>
      <c r="B469" s="34" t="s">
        <v>770</v>
      </c>
      <c r="C469" s="34" t="s">
        <v>59</v>
      </c>
      <c r="D469" s="35">
        <v>559.80999999999995</v>
      </c>
      <c r="E469" s="35">
        <v>435.86500000000001</v>
      </c>
      <c r="F469" s="36">
        <f t="shared" si="68"/>
        <v>244001.58564999999</v>
      </c>
      <c r="G469" s="50"/>
    </row>
    <row r="470" spans="1:7" s="20" customFormat="1" ht="31.5" x14ac:dyDescent="0.45">
      <c r="A470" s="37" t="s">
        <v>771</v>
      </c>
      <c r="B470" s="34" t="s">
        <v>772</v>
      </c>
      <c r="C470" s="34" t="s">
        <v>59</v>
      </c>
      <c r="D470" s="35">
        <v>56.93</v>
      </c>
      <c r="E470" s="35">
        <v>443.30099999999999</v>
      </c>
      <c r="F470" s="36">
        <f t="shared" si="68"/>
        <v>25237.125929999998</v>
      </c>
      <c r="G470" s="50"/>
    </row>
    <row r="471" spans="1:7" s="20" customFormat="1" ht="15.75" x14ac:dyDescent="0.45">
      <c r="A471" s="37" t="s">
        <v>773</v>
      </c>
      <c r="B471" s="34" t="s">
        <v>774</v>
      </c>
      <c r="C471" s="34" t="s">
        <v>59</v>
      </c>
      <c r="D471" s="35">
        <v>78.42</v>
      </c>
      <c r="E471" s="35">
        <v>215.34909999999999</v>
      </c>
      <c r="F471" s="36">
        <f t="shared" si="68"/>
        <v>16887.676422</v>
      </c>
      <c r="G471" s="50"/>
    </row>
    <row r="472" spans="1:7" s="20" customFormat="1" ht="31.5" x14ac:dyDescent="0.45">
      <c r="A472" s="37" t="s">
        <v>775</v>
      </c>
      <c r="B472" s="34" t="s">
        <v>776</v>
      </c>
      <c r="C472" s="34" t="s">
        <v>59</v>
      </c>
      <c r="D472" s="35">
        <v>70.489999999999995</v>
      </c>
      <c r="E472" s="35">
        <v>307.3091</v>
      </c>
      <c r="F472" s="36">
        <f t="shared" si="68"/>
        <v>21662.218459</v>
      </c>
      <c r="G472" s="50"/>
    </row>
    <row r="473" spans="1:7" s="20" customFormat="1" ht="15.75" x14ac:dyDescent="0.45">
      <c r="A473" s="37" t="s">
        <v>777</v>
      </c>
      <c r="B473" s="34" t="s">
        <v>778</v>
      </c>
      <c r="C473" s="34" t="s">
        <v>59</v>
      </c>
      <c r="D473" s="35">
        <v>936.04</v>
      </c>
      <c r="E473" s="35">
        <v>63.344000000000001</v>
      </c>
      <c r="F473" s="36">
        <f t="shared" si="68"/>
        <v>59292.517759999995</v>
      </c>
      <c r="G473" s="50"/>
    </row>
    <row r="474" spans="1:7" s="20" customFormat="1" ht="15.75" x14ac:dyDescent="0.45">
      <c r="A474" s="29" t="s">
        <v>779</v>
      </c>
      <c r="B474" s="30" t="s">
        <v>122</v>
      </c>
      <c r="C474" s="30"/>
      <c r="D474" s="31"/>
      <c r="E474" s="31"/>
      <c r="F474" s="32">
        <f>SUM(F475:F476)</f>
        <v>461027.35822200001</v>
      </c>
      <c r="G474" s="49"/>
    </row>
    <row r="475" spans="1:7" s="20" customFormat="1" ht="15.75" x14ac:dyDescent="0.45">
      <c r="A475" s="37" t="s">
        <v>780</v>
      </c>
      <c r="B475" s="34" t="s">
        <v>781</v>
      </c>
      <c r="C475" s="34" t="s">
        <v>59</v>
      </c>
      <c r="D475" s="35">
        <v>378.66</v>
      </c>
      <c r="E475" s="35">
        <v>222.82669999999999</v>
      </c>
      <c r="F475" s="36">
        <f t="shared" si="68"/>
        <v>84375.558222000007</v>
      </c>
      <c r="G475" s="50"/>
    </row>
    <row r="476" spans="1:7" s="20" customFormat="1" ht="15.75" x14ac:dyDescent="0.45">
      <c r="A476" s="37" t="s">
        <v>890</v>
      </c>
      <c r="B476" s="34" t="s">
        <v>782</v>
      </c>
      <c r="C476" s="34" t="s">
        <v>59</v>
      </c>
      <c r="D476" s="35">
        <v>2690.37</v>
      </c>
      <c r="E476" s="35">
        <v>140</v>
      </c>
      <c r="F476" s="36">
        <f t="shared" si="68"/>
        <v>376651.8</v>
      </c>
      <c r="G476" s="50"/>
    </row>
    <row r="477" spans="1:7" s="20" customFormat="1" ht="15.75" x14ac:dyDescent="0.45">
      <c r="A477" s="29" t="s">
        <v>783</v>
      </c>
      <c r="B477" s="30" t="s">
        <v>123</v>
      </c>
      <c r="C477" s="30"/>
      <c r="D477" s="31"/>
      <c r="E477" s="31"/>
      <c r="F477" s="32">
        <f>F478</f>
        <v>6875.92425</v>
      </c>
      <c r="G477" s="49"/>
    </row>
    <row r="478" spans="1:7" s="20" customFormat="1" ht="15.75" x14ac:dyDescent="0.45">
      <c r="A478" s="203" t="s">
        <v>891</v>
      </c>
      <c r="B478" s="34" t="s">
        <v>124</v>
      </c>
      <c r="C478" s="34" t="s">
        <v>59</v>
      </c>
      <c r="D478" s="35">
        <v>12.35</v>
      </c>
      <c r="E478" s="35">
        <v>556.755</v>
      </c>
      <c r="F478" s="36">
        <f t="shared" si="68"/>
        <v>6875.92425</v>
      </c>
      <c r="G478" s="50"/>
    </row>
    <row r="479" spans="1:7" s="20" customFormat="1" ht="15.75" x14ac:dyDescent="0.45">
      <c r="A479" s="29" t="s">
        <v>784</v>
      </c>
      <c r="B479" s="30" t="s">
        <v>114</v>
      </c>
      <c r="C479" s="30"/>
      <c r="D479" s="31"/>
      <c r="E479" s="31"/>
      <c r="F479" s="32">
        <f>F480</f>
        <v>35369.460911999995</v>
      </c>
      <c r="G479" s="49"/>
    </row>
    <row r="480" spans="1:7" s="20" customFormat="1" ht="31.5" x14ac:dyDescent="0.45">
      <c r="A480" s="37" t="s">
        <v>785</v>
      </c>
      <c r="B480" s="34" t="s">
        <v>892</v>
      </c>
      <c r="C480" s="34" t="s">
        <v>59</v>
      </c>
      <c r="D480" s="35">
        <v>137.63999999999999</v>
      </c>
      <c r="E480" s="35">
        <v>256.9708</v>
      </c>
      <c r="F480" s="36">
        <f t="shared" si="68"/>
        <v>35369.460911999995</v>
      </c>
      <c r="G480" s="50"/>
    </row>
    <row r="481" spans="1:7" s="20" customFormat="1" ht="15.75" x14ac:dyDescent="0.45">
      <c r="A481" s="29" t="s">
        <v>786</v>
      </c>
      <c r="B481" s="30" t="s">
        <v>125</v>
      </c>
      <c r="C481" s="30"/>
      <c r="D481" s="31"/>
      <c r="E481" s="31"/>
      <c r="F481" s="32">
        <f>SUM(F482:F483)</f>
        <v>162158.91715299999</v>
      </c>
      <c r="G481" s="49"/>
    </row>
    <row r="482" spans="1:7" s="20" customFormat="1" ht="15.75" x14ac:dyDescent="0.45">
      <c r="A482" s="37" t="s">
        <v>787</v>
      </c>
      <c r="B482" s="34" t="s">
        <v>788</v>
      </c>
      <c r="C482" s="34" t="s">
        <v>59</v>
      </c>
      <c r="D482" s="35">
        <v>925.87</v>
      </c>
      <c r="E482" s="35">
        <v>21.4985</v>
      </c>
      <c r="F482" s="36">
        <f t="shared" si="68"/>
        <v>19904.816194999999</v>
      </c>
      <c r="G482" s="50"/>
    </row>
    <row r="483" spans="1:7" s="20" customFormat="1" ht="15.75" x14ac:dyDescent="0.45">
      <c r="A483" s="37" t="s">
        <v>789</v>
      </c>
      <c r="B483" s="34" t="s">
        <v>790</v>
      </c>
      <c r="C483" s="34" t="s">
        <v>59</v>
      </c>
      <c r="D483" s="35">
        <v>2378.33</v>
      </c>
      <c r="E483" s="35">
        <v>59.812600000000003</v>
      </c>
      <c r="F483" s="36">
        <f t="shared" si="68"/>
        <v>142254.100958</v>
      </c>
      <c r="G483" s="50"/>
    </row>
    <row r="484" spans="1:7" s="20" customFormat="1" ht="15.75" x14ac:dyDescent="0.45">
      <c r="A484" s="29" t="s">
        <v>791</v>
      </c>
      <c r="B484" s="30" t="s">
        <v>126</v>
      </c>
      <c r="C484" s="30"/>
      <c r="D484" s="31"/>
      <c r="E484" s="31"/>
      <c r="F484" s="32">
        <f>SUM(F485:F486)</f>
        <v>17602.06668</v>
      </c>
      <c r="G484" s="49"/>
    </row>
    <row r="485" spans="1:7" s="20" customFormat="1" ht="15.75" x14ac:dyDescent="0.45">
      <c r="A485" s="37" t="s">
        <v>792</v>
      </c>
      <c r="B485" s="34" t="s">
        <v>893</v>
      </c>
      <c r="C485" s="34" t="s">
        <v>90</v>
      </c>
      <c r="D485" s="35">
        <v>149.19999999999999</v>
      </c>
      <c r="E485" s="35">
        <v>101.601</v>
      </c>
      <c r="F485" s="36">
        <f t="shared" si="68"/>
        <v>15158.869199999999</v>
      </c>
      <c r="G485" s="50"/>
    </row>
    <row r="486" spans="1:7" s="20" customFormat="1" ht="15.75" x14ac:dyDescent="0.45">
      <c r="A486" s="37" t="s">
        <v>1250</v>
      </c>
      <c r="B486" s="34" t="s">
        <v>1070</v>
      </c>
      <c r="C486" s="34" t="s">
        <v>90</v>
      </c>
      <c r="D486" s="35">
        <v>164.2</v>
      </c>
      <c r="E486" s="35">
        <v>14.8794</v>
      </c>
      <c r="F486" s="36">
        <f t="shared" si="68"/>
        <v>2443.1974799999998</v>
      </c>
      <c r="G486" s="50"/>
    </row>
    <row r="487" spans="1:7" s="20" customFormat="1" ht="15.75" x14ac:dyDescent="0.45">
      <c r="A487" s="29" t="s">
        <v>793</v>
      </c>
      <c r="B487" s="30" t="s">
        <v>36</v>
      </c>
      <c r="C487" s="30"/>
      <c r="D487" s="31"/>
      <c r="E487" s="31"/>
      <c r="F487" s="32">
        <f>SUM(F488:F495)</f>
        <v>200496.41239999997</v>
      </c>
      <c r="G487" s="49"/>
    </row>
    <row r="488" spans="1:7" s="20" customFormat="1" ht="15.75" x14ac:dyDescent="0.45">
      <c r="A488" s="37" t="s">
        <v>794</v>
      </c>
      <c r="B488" s="34" t="s">
        <v>897</v>
      </c>
      <c r="C488" s="34" t="s">
        <v>59</v>
      </c>
      <c r="D488" s="35">
        <v>1054.1600000000001</v>
      </c>
      <c r="E488" s="35">
        <v>24.39</v>
      </c>
      <c r="F488" s="36">
        <f t="shared" si="68"/>
        <v>25710.962400000004</v>
      </c>
      <c r="G488" s="50"/>
    </row>
    <row r="489" spans="1:7" s="20" customFormat="1" ht="31.5" x14ac:dyDescent="0.45">
      <c r="A489" s="37" t="s">
        <v>795</v>
      </c>
      <c r="B489" s="34" t="s">
        <v>796</v>
      </c>
      <c r="C489" s="34" t="s">
        <v>59</v>
      </c>
      <c r="D489" s="35">
        <v>1680.58</v>
      </c>
      <c r="E489" s="35">
        <v>48</v>
      </c>
      <c r="F489" s="36">
        <f t="shared" si="68"/>
        <v>80667.839999999997</v>
      </c>
      <c r="G489" s="50"/>
    </row>
    <row r="490" spans="1:7" s="20" customFormat="1" ht="31.5" x14ac:dyDescent="0.45">
      <c r="A490" s="37" t="s">
        <v>1251</v>
      </c>
      <c r="B490" s="34" t="s">
        <v>822</v>
      </c>
      <c r="C490" s="34" t="s">
        <v>59</v>
      </c>
      <c r="D490" s="35">
        <v>761.12</v>
      </c>
      <c r="E490" s="35">
        <v>48</v>
      </c>
      <c r="F490" s="36">
        <f t="shared" si="68"/>
        <v>36533.760000000002</v>
      </c>
      <c r="G490" s="50"/>
    </row>
    <row r="491" spans="1:7" s="20" customFormat="1" ht="15.75" x14ac:dyDescent="0.45">
      <c r="A491" s="37" t="s">
        <v>1252</v>
      </c>
      <c r="B491" s="34" t="s">
        <v>894</v>
      </c>
      <c r="C491" s="34" t="s">
        <v>59</v>
      </c>
      <c r="D491" s="35">
        <v>378.66</v>
      </c>
      <c r="E491" s="35">
        <v>32</v>
      </c>
      <c r="F491" s="36">
        <f t="shared" si="68"/>
        <v>12117.12</v>
      </c>
      <c r="G491" s="50"/>
    </row>
    <row r="492" spans="1:7" s="20" customFormat="1" ht="15.75" x14ac:dyDescent="0.45">
      <c r="A492" s="37" t="s">
        <v>1253</v>
      </c>
      <c r="B492" s="34" t="s">
        <v>127</v>
      </c>
      <c r="C492" s="34" t="s">
        <v>59</v>
      </c>
      <c r="D492" s="35">
        <v>12.35</v>
      </c>
      <c r="E492" s="35">
        <v>48</v>
      </c>
      <c r="F492" s="36">
        <f t="shared" si="68"/>
        <v>592.79999999999995</v>
      </c>
      <c r="G492" s="50"/>
    </row>
    <row r="493" spans="1:7" s="20" customFormat="1" ht="15.75" x14ac:dyDescent="0.45">
      <c r="A493" s="37" t="s">
        <v>1254</v>
      </c>
      <c r="B493" s="34" t="s">
        <v>895</v>
      </c>
      <c r="C493" s="34" t="s">
        <v>90</v>
      </c>
      <c r="D493" s="35">
        <v>2378.33</v>
      </c>
      <c r="E493" s="35">
        <v>13</v>
      </c>
      <c r="F493" s="36">
        <f t="shared" si="68"/>
        <v>30918.29</v>
      </c>
      <c r="G493" s="50"/>
    </row>
    <row r="494" spans="1:7" s="20" customFormat="1" ht="15.75" x14ac:dyDescent="0.45">
      <c r="A494" s="37" t="s">
        <v>1255</v>
      </c>
      <c r="B494" s="34" t="s">
        <v>896</v>
      </c>
      <c r="C494" s="34" t="s">
        <v>90</v>
      </c>
      <c r="D494" s="35">
        <v>625.87</v>
      </c>
      <c r="E494" s="35">
        <v>22</v>
      </c>
      <c r="F494" s="36">
        <f t="shared" si="68"/>
        <v>13769.14</v>
      </c>
      <c r="G494" s="50"/>
    </row>
    <row r="495" spans="1:7" s="20" customFormat="1" ht="15.75" x14ac:dyDescent="0.45">
      <c r="A495" s="37" t="s">
        <v>1256</v>
      </c>
      <c r="B495" s="34" t="s">
        <v>128</v>
      </c>
      <c r="C495" s="34" t="s">
        <v>90</v>
      </c>
      <c r="D495" s="35">
        <v>14.92</v>
      </c>
      <c r="E495" s="35">
        <v>12.5</v>
      </c>
      <c r="F495" s="36">
        <f t="shared" si="68"/>
        <v>186.5</v>
      </c>
      <c r="G495" s="50"/>
    </row>
    <row r="496" spans="1:7" s="20" customFormat="1" ht="15.75" x14ac:dyDescent="0.45">
      <c r="A496" s="21" t="s">
        <v>898</v>
      </c>
      <c r="B496" s="22" t="s">
        <v>899</v>
      </c>
      <c r="C496" s="22"/>
      <c r="D496" s="23"/>
      <c r="E496" s="23"/>
      <c r="F496" s="24">
        <f>F497+F512+F529+F540+F548+F556+F562</f>
        <v>7239049.1500000004</v>
      </c>
      <c r="G496" s="47"/>
    </row>
    <row r="497" spans="1:7" s="20" customFormat="1" ht="15.75" x14ac:dyDescent="0.45">
      <c r="A497" s="25" t="s">
        <v>900</v>
      </c>
      <c r="B497" s="26" t="s">
        <v>901</v>
      </c>
      <c r="C497" s="26"/>
      <c r="D497" s="27"/>
      <c r="E497" s="27"/>
      <c r="F497" s="28">
        <f>F498+F500+F502+F504+F508+F510</f>
        <v>1484627.76</v>
      </c>
      <c r="G497" s="48"/>
    </row>
    <row r="498" spans="1:7" s="20" customFormat="1" ht="15.75" x14ac:dyDescent="0.45">
      <c r="A498" s="29" t="s">
        <v>902</v>
      </c>
      <c r="B498" s="30" t="s">
        <v>903</v>
      </c>
      <c r="C498" s="30"/>
      <c r="D498" s="31"/>
      <c r="E498" s="31"/>
      <c r="F498" s="32">
        <f>F499</f>
        <v>21690.92</v>
      </c>
      <c r="G498" s="49"/>
    </row>
    <row r="499" spans="1:7" s="20" customFormat="1" ht="15.75" x14ac:dyDescent="0.45">
      <c r="A499" s="37" t="s">
        <v>904</v>
      </c>
      <c r="B499" s="34" t="s">
        <v>903</v>
      </c>
      <c r="C499" s="34" t="s">
        <v>146</v>
      </c>
      <c r="D499" s="35">
        <v>1</v>
      </c>
      <c r="E499" s="35">
        <v>21690.92</v>
      </c>
      <c r="F499" s="36">
        <f t="shared" ref="F499" si="69">E499*D499</f>
        <v>21690.92</v>
      </c>
      <c r="G499" s="50"/>
    </row>
    <row r="500" spans="1:7" s="20" customFormat="1" ht="15.75" x14ac:dyDescent="0.45">
      <c r="A500" s="29" t="s">
        <v>905</v>
      </c>
      <c r="B500" s="30" t="s">
        <v>906</v>
      </c>
      <c r="C500" s="30"/>
      <c r="D500" s="31"/>
      <c r="E500" s="31"/>
      <c r="F500" s="32">
        <f>F501</f>
        <v>15589.72</v>
      </c>
      <c r="G500" s="49"/>
    </row>
    <row r="501" spans="1:7" s="20" customFormat="1" ht="15.75" x14ac:dyDescent="0.45">
      <c r="A501" s="37" t="s">
        <v>907</v>
      </c>
      <c r="B501" s="34" t="s">
        <v>906</v>
      </c>
      <c r="C501" s="34" t="s">
        <v>146</v>
      </c>
      <c r="D501" s="35">
        <v>1</v>
      </c>
      <c r="E501" s="35">
        <v>15589.72</v>
      </c>
      <c r="F501" s="36">
        <f t="shared" ref="F501" si="70">E501*D501</f>
        <v>15589.72</v>
      </c>
      <c r="G501" s="50"/>
    </row>
    <row r="502" spans="1:7" s="20" customFormat="1" ht="15.75" x14ac:dyDescent="0.45">
      <c r="A502" s="29" t="s">
        <v>908</v>
      </c>
      <c r="B502" s="30" t="s">
        <v>909</v>
      </c>
      <c r="C502" s="30"/>
      <c r="D502" s="31"/>
      <c r="E502" s="31"/>
      <c r="F502" s="32">
        <f>F503</f>
        <v>128463.45</v>
      </c>
      <c r="G502" s="49"/>
    </row>
    <row r="503" spans="1:7" s="20" customFormat="1" ht="15.75" x14ac:dyDescent="0.45">
      <c r="A503" s="37" t="s">
        <v>910</v>
      </c>
      <c r="B503" s="34" t="s">
        <v>909</v>
      </c>
      <c r="C503" s="34" t="s">
        <v>146</v>
      </c>
      <c r="D503" s="35">
        <v>1</v>
      </c>
      <c r="E503" s="35">
        <v>128463.45</v>
      </c>
      <c r="F503" s="36">
        <f t="shared" ref="F503" si="71">E503*D503</f>
        <v>128463.45</v>
      </c>
      <c r="G503" s="50"/>
    </row>
    <row r="504" spans="1:7" s="20" customFormat="1" ht="15.75" x14ac:dyDescent="0.45">
      <c r="A504" s="29" t="s">
        <v>911</v>
      </c>
      <c r="B504" s="30" t="s">
        <v>913</v>
      </c>
      <c r="C504" s="30"/>
      <c r="D504" s="31"/>
      <c r="E504" s="31"/>
      <c r="F504" s="32">
        <f>SUM(F505:F507)</f>
        <v>691893.63</v>
      </c>
      <c r="G504" s="49"/>
    </row>
    <row r="505" spans="1:7" s="20" customFormat="1" ht="15.75" x14ac:dyDescent="0.45">
      <c r="A505" s="37" t="s">
        <v>1030</v>
      </c>
      <c r="B505" s="34" t="s">
        <v>915</v>
      </c>
      <c r="C505" s="34" t="s">
        <v>146</v>
      </c>
      <c r="D505" s="35">
        <v>1</v>
      </c>
      <c r="E505" s="35">
        <v>463160</v>
      </c>
      <c r="F505" s="36">
        <f t="shared" ref="F505:F511" si="72">E505*D505</f>
        <v>463160</v>
      </c>
      <c r="G505" s="50"/>
    </row>
    <row r="506" spans="1:7" s="20" customFormat="1" ht="15.75" x14ac:dyDescent="0.45">
      <c r="A506" s="37" t="s">
        <v>1031</v>
      </c>
      <c r="B506" s="34" t="s">
        <v>1032</v>
      </c>
      <c r="C506" s="34" t="s">
        <v>146</v>
      </c>
      <c r="D506" s="35">
        <v>1</v>
      </c>
      <c r="E506" s="200">
        <v>205910</v>
      </c>
      <c r="F506" s="36">
        <f t="shared" si="72"/>
        <v>205910</v>
      </c>
      <c r="G506" s="50"/>
    </row>
    <row r="507" spans="1:7" s="20" customFormat="1" ht="15.75" x14ac:dyDescent="0.45">
      <c r="A507" s="37" t="s">
        <v>1033</v>
      </c>
      <c r="B507" s="34" t="s">
        <v>1034</v>
      </c>
      <c r="C507" s="34" t="s">
        <v>146</v>
      </c>
      <c r="D507" s="35">
        <v>1</v>
      </c>
      <c r="E507" s="200">
        <v>22823.63</v>
      </c>
      <c r="F507" s="36">
        <f t="shared" si="72"/>
        <v>22823.63</v>
      </c>
      <c r="G507" s="50"/>
    </row>
    <row r="508" spans="1:7" s="20" customFormat="1" ht="15.75" x14ac:dyDescent="0.45">
      <c r="A508" s="29" t="s">
        <v>912</v>
      </c>
      <c r="B508" s="30" t="s">
        <v>917</v>
      </c>
      <c r="C508" s="30"/>
      <c r="D508" s="31"/>
      <c r="E508" s="31"/>
      <c r="F508" s="32">
        <f>F509</f>
        <v>20484.240000000002</v>
      </c>
      <c r="G508" s="49"/>
    </row>
    <row r="509" spans="1:7" s="20" customFormat="1" ht="15.75" x14ac:dyDescent="0.45">
      <c r="A509" s="37" t="s">
        <v>914</v>
      </c>
      <c r="B509" s="34" t="s">
        <v>917</v>
      </c>
      <c r="C509" s="34" t="s">
        <v>146</v>
      </c>
      <c r="D509" s="35">
        <v>1</v>
      </c>
      <c r="E509" s="35">
        <v>20484.240000000002</v>
      </c>
      <c r="F509" s="36">
        <f t="shared" si="72"/>
        <v>20484.240000000002</v>
      </c>
      <c r="G509" s="50"/>
    </row>
    <row r="510" spans="1:7" s="20" customFormat="1" ht="15.75" x14ac:dyDescent="0.45">
      <c r="A510" s="29" t="s">
        <v>916</v>
      </c>
      <c r="B510" s="30" t="s">
        <v>36</v>
      </c>
      <c r="C510" s="30"/>
      <c r="D510" s="31"/>
      <c r="E510" s="31"/>
      <c r="F510" s="32">
        <f>F511</f>
        <v>606505.80000000005</v>
      </c>
      <c r="G510" s="49"/>
    </row>
    <row r="511" spans="1:7" s="20" customFormat="1" ht="15.75" x14ac:dyDescent="0.45">
      <c r="A511" s="37" t="s">
        <v>1035</v>
      </c>
      <c r="B511" s="34" t="s">
        <v>918</v>
      </c>
      <c r="C511" s="34" t="s">
        <v>146</v>
      </c>
      <c r="D511" s="35">
        <v>1</v>
      </c>
      <c r="E511" s="35">
        <v>606505.80000000005</v>
      </c>
      <c r="F511" s="36">
        <f t="shared" si="72"/>
        <v>606505.80000000005</v>
      </c>
      <c r="G511" s="50"/>
    </row>
    <row r="512" spans="1:7" s="20" customFormat="1" ht="15.75" x14ac:dyDescent="0.45">
      <c r="A512" s="25" t="s">
        <v>919</v>
      </c>
      <c r="B512" s="26" t="s">
        <v>920</v>
      </c>
      <c r="C512" s="26"/>
      <c r="D512" s="27"/>
      <c r="E512" s="27"/>
      <c r="F512" s="28">
        <f>F513+F515+F517+F519+F521+F523+F525+F527</f>
        <v>1624556.44</v>
      </c>
      <c r="G512" s="48"/>
    </row>
    <row r="513" spans="1:7" s="20" customFormat="1" ht="15.75" x14ac:dyDescent="0.45">
      <c r="A513" s="29" t="s">
        <v>921</v>
      </c>
      <c r="B513" s="30" t="s">
        <v>922</v>
      </c>
      <c r="C513" s="30"/>
      <c r="D513" s="31"/>
      <c r="E513" s="31"/>
      <c r="F513" s="32">
        <f>F514</f>
        <v>24140</v>
      </c>
      <c r="G513" s="49"/>
    </row>
    <row r="514" spans="1:7" s="20" customFormat="1" ht="15.75" x14ac:dyDescent="0.45">
      <c r="A514" s="37" t="s">
        <v>923</v>
      </c>
      <c r="B514" s="34" t="s">
        <v>922</v>
      </c>
      <c r="C514" s="34" t="s">
        <v>146</v>
      </c>
      <c r="D514" s="35">
        <v>1</v>
      </c>
      <c r="E514" s="200">
        <v>24140</v>
      </c>
      <c r="F514" s="36">
        <f t="shared" ref="F514" si="73">E514*D514</f>
        <v>24140</v>
      </c>
      <c r="G514" s="50"/>
    </row>
    <row r="515" spans="1:7" s="20" customFormat="1" ht="15.75" x14ac:dyDescent="0.45">
      <c r="A515" s="29" t="s">
        <v>924</v>
      </c>
      <c r="B515" s="30" t="s">
        <v>925</v>
      </c>
      <c r="C515" s="30"/>
      <c r="D515" s="31"/>
      <c r="E515" s="31"/>
      <c r="F515" s="32">
        <f>F516</f>
        <v>99400</v>
      </c>
      <c r="G515" s="49"/>
    </row>
    <row r="516" spans="1:7" s="20" customFormat="1" ht="15.75" x14ac:dyDescent="0.45">
      <c r="A516" s="37" t="s">
        <v>926</v>
      </c>
      <c r="B516" s="34" t="s">
        <v>925</v>
      </c>
      <c r="C516" s="34" t="s">
        <v>146</v>
      </c>
      <c r="D516" s="35">
        <v>1</v>
      </c>
      <c r="E516" s="35">
        <v>99400</v>
      </c>
      <c r="F516" s="36">
        <f t="shared" ref="F516" si="74">E516*D516</f>
        <v>99400</v>
      </c>
      <c r="G516" s="50"/>
    </row>
    <row r="517" spans="1:7" s="20" customFormat="1" ht="15.75" x14ac:dyDescent="0.45">
      <c r="A517" s="29" t="s">
        <v>927</v>
      </c>
      <c r="B517" s="30" t="s">
        <v>928</v>
      </c>
      <c r="C517" s="30"/>
      <c r="D517" s="31"/>
      <c r="E517" s="31"/>
      <c r="F517" s="32">
        <f>F518</f>
        <v>364721</v>
      </c>
      <c r="G517" s="49"/>
    </row>
    <row r="518" spans="1:7" s="20" customFormat="1" ht="15.75" x14ac:dyDescent="0.45">
      <c r="A518" s="37" t="s">
        <v>929</v>
      </c>
      <c r="B518" s="34" t="s">
        <v>928</v>
      </c>
      <c r="C518" s="34" t="s">
        <v>146</v>
      </c>
      <c r="D518" s="35">
        <v>1</v>
      </c>
      <c r="E518" s="200">
        <v>364721</v>
      </c>
      <c r="F518" s="36">
        <f t="shared" ref="F518" si="75">E518*D518</f>
        <v>364721</v>
      </c>
      <c r="G518" s="50"/>
    </row>
    <row r="519" spans="1:7" s="20" customFormat="1" ht="15.75" x14ac:dyDescent="0.45">
      <c r="A519" s="29" t="s">
        <v>930</v>
      </c>
      <c r="B519" s="30" t="s">
        <v>931</v>
      </c>
      <c r="C519" s="30"/>
      <c r="D519" s="31"/>
      <c r="E519" s="31"/>
      <c r="F519" s="32">
        <f>F520</f>
        <v>119178.03</v>
      </c>
      <c r="G519" s="49"/>
    </row>
    <row r="520" spans="1:7" s="20" customFormat="1" ht="15.75" x14ac:dyDescent="0.45">
      <c r="A520" s="37" t="s">
        <v>932</v>
      </c>
      <c r="B520" s="34" t="s">
        <v>931</v>
      </c>
      <c r="C520" s="34" t="s">
        <v>146</v>
      </c>
      <c r="D520" s="35">
        <v>1</v>
      </c>
      <c r="E520" s="35">
        <v>119178.03</v>
      </c>
      <c r="F520" s="36">
        <f t="shared" ref="F520" si="76">E520*D520</f>
        <v>119178.03</v>
      </c>
      <c r="G520" s="50"/>
    </row>
    <row r="521" spans="1:7" s="20" customFormat="1" ht="15.75" x14ac:dyDescent="0.45">
      <c r="A521" s="29" t="s">
        <v>933</v>
      </c>
      <c r="B521" s="30" t="s">
        <v>934</v>
      </c>
      <c r="C521" s="30"/>
      <c r="D521" s="31"/>
      <c r="E521" s="31"/>
      <c r="F521" s="32">
        <f>F522</f>
        <v>281653.46000000002</v>
      </c>
      <c r="G521" s="49"/>
    </row>
    <row r="522" spans="1:7" s="20" customFormat="1" ht="15.75" x14ac:dyDescent="0.45">
      <c r="A522" s="37" t="s">
        <v>935</v>
      </c>
      <c r="B522" s="34" t="s">
        <v>934</v>
      </c>
      <c r="C522" s="34" t="s">
        <v>146</v>
      </c>
      <c r="D522" s="35">
        <v>1</v>
      </c>
      <c r="E522" s="35">
        <v>281653.46000000002</v>
      </c>
      <c r="F522" s="36">
        <f t="shared" ref="F522" si="77">E522*D522</f>
        <v>281653.46000000002</v>
      </c>
      <c r="G522" s="50"/>
    </row>
    <row r="523" spans="1:7" s="20" customFormat="1" ht="15.75" x14ac:dyDescent="0.45">
      <c r="A523" s="29" t="s">
        <v>936</v>
      </c>
      <c r="B523" s="30" t="s">
        <v>937</v>
      </c>
      <c r="C523" s="30"/>
      <c r="D523" s="31"/>
      <c r="E523" s="31"/>
      <c r="F523" s="32">
        <f>F524</f>
        <v>24054.560000000001</v>
      </c>
      <c r="G523" s="49"/>
    </row>
    <row r="524" spans="1:7" s="20" customFormat="1" ht="15.75" x14ac:dyDescent="0.45">
      <c r="A524" s="37" t="s">
        <v>938</v>
      </c>
      <c r="B524" s="34" t="s">
        <v>937</v>
      </c>
      <c r="C524" s="34" t="s">
        <v>146</v>
      </c>
      <c r="D524" s="35">
        <v>1</v>
      </c>
      <c r="E524" s="35">
        <v>24054.560000000001</v>
      </c>
      <c r="F524" s="36">
        <f t="shared" ref="F524" si="78">E524*D524</f>
        <v>24054.560000000001</v>
      </c>
      <c r="G524" s="50"/>
    </row>
    <row r="525" spans="1:7" s="20" customFormat="1" ht="15.75" x14ac:dyDescent="0.45">
      <c r="A525" s="29" t="s">
        <v>939</v>
      </c>
      <c r="B525" s="30" t="s">
        <v>940</v>
      </c>
      <c r="C525" s="30"/>
      <c r="D525" s="31"/>
      <c r="E525" s="31"/>
      <c r="F525" s="32">
        <f>F526</f>
        <v>54361.440000000002</v>
      </c>
      <c r="G525" s="49"/>
    </row>
    <row r="526" spans="1:7" s="20" customFormat="1" ht="15.75" x14ac:dyDescent="0.45">
      <c r="A526" s="37" t="s">
        <v>941</v>
      </c>
      <c r="B526" s="34" t="s">
        <v>942</v>
      </c>
      <c r="C526" s="34" t="s">
        <v>146</v>
      </c>
      <c r="D526" s="35">
        <v>1</v>
      </c>
      <c r="E526" s="35">
        <v>54361.440000000002</v>
      </c>
      <c r="F526" s="36">
        <f t="shared" ref="F526" si="79">E526*D526</f>
        <v>54361.440000000002</v>
      </c>
      <c r="G526" s="50"/>
    </row>
    <row r="527" spans="1:7" s="20" customFormat="1" ht="15.75" x14ac:dyDescent="0.45">
      <c r="A527" s="29" t="s">
        <v>943</v>
      </c>
      <c r="B527" s="30" t="s">
        <v>36</v>
      </c>
      <c r="C527" s="30"/>
      <c r="D527" s="31"/>
      <c r="E527" s="31"/>
      <c r="F527" s="32">
        <f>F528</f>
        <v>657047.94999999995</v>
      </c>
      <c r="G527" s="49"/>
    </row>
    <row r="528" spans="1:7" s="20" customFormat="1" ht="15.75" x14ac:dyDescent="0.45">
      <c r="A528" s="37" t="s">
        <v>944</v>
      </c>
      <c r="B528" s="34" t="s">
        <v>945</v>
      </c>
      <c r="C528" s="34" t="s">
        <v>146</v>
      </c>
      <c r="D528" s="35">
        <v>1</v>
      </c>
      <c r="E528" s="35">
        <v>657047.94999999995</v>
      </c>
      <c r="F528" s="36">
        <f t="shared" ref="F528" si="80">E528*D528</f>
        <v>657047.94999999995</v>
      </c>
      <c r="G528" s="50"/>
    </row>
    <row r="529" spans="1:7" s="20" customFormat="1" ht="15.75" x14ac:dyDescent="0.45">
      <c r="A529" s="25" t="s">
        <v>946</v>
      </c>
      <c r="B529" s="26" t="s">
        <v>947</v>
      </c>
      <c r="C529" s="26"/>
      <c r="D529" s="27"/>
      <c r="E529" s="27"/>
      <c r="F529" s="28">
        <f>F530+F532+F534+F536+F538</f>
        <v>483739.08999999997</v>
      </c>
      <c r="G529" s="48"/>
    </row>
    <row r="530" spans="1:7" s="20" customFormat="1" ht="15.75" x14ac:dyDescent="0.45">
      <c r="A530" s="29" t="s">
        <v>948</v>
      </c>
      <c r="B530" s="30" t="s">
        <v>1036</v>
      </c>
      <c r="C530" s="30"/>
      <c r="D530" s="31"/>
      <c r="E530" s="31"/>
      <c r="F530" s="32">
        <f>F531</f>
        <v>114710.34</v>
      </c>
      <c r="G530" s="49"/>
    </row>
    <row r="531" spans="1:7" s="20" customFormat="1" ht="15.75" x14ac:dyDescent="0.45">
      <c r="A531" s="37" t="s">
        <v>949</v>
      </c>
      <c r="B531" s="34" t="s">
        <v>1036</v>
      </c>
      <c r="C531" s="34" t="s">
        <v>146</v>
      </c>
      <c r="D531" s="35">
        <v>1</v>
      </c>
      <c r="E531" s="35">
        <v>114710.34</v>
      </c>
      <c r="F531" s="36">
        <f t="shared" ref="F531" si="81">E531*D531</f>
        <v>114710.34</v>
      </c>
      <c r="G531" s="50"/>
    </row>
    <row r="532" spans="1:7" s="20" customFormat="1" ht="15.75" x14ac:dyDescent="0.45">
      <c r="A532" s="29" t="s">
        <v>950</v>
      </c>
      <c r="B532" s="30" t="s">
        <v>951</v>
      </c>
      <c r="C532" s="30"/>
      <c r="D532" s="31"/>
      <c r="E532" s="31"/>
      <c r="F532" s="32">
        <f>F533</f>
        <v>6910.2</v>
      </c>
      <c r="G532" s="49"/>
    </row>
    <row r="533" spans="1:7" s="20" customFormat="1" ht="15.75" x14ac:dyDescent="0.45">
      <c r="A533" s="37" t="s">
        <v>952</v>
      </c>
      <c r="B533" s="34" t="s">
        <v>951</v>
      </c>
      <c r="C533" s="34" t="s">
        <v>146</v>
      </c>
      <c r="D533" s="35">
        <v>1</v>
      </c>
      <c r="E533" s="35">
        <v>6910.2</v>
      </c>
      <c r="F533" s="36">
        <f t="shared" ref="F533" si="82">E533*D533</f>
        <v>6910.2</v>
      </c>
      <c r="G533" s="50"/>
    </row>
    <row r="534" spans="1:7" s="20" customFormat="1" ht="15.75" x14ac:dyDescent="0.45">
      <c r="A534" s="29" t="s">
        <v>1037</v>
      </c>
      <c r="B534" s="30" t="s">
        <v>954</v>
      </c>
      <c r="C534" s="30"/>
      <c r="D534" s="31"/>
      <c r="E534" s="31"/>
      <c r="F534" s="32">
        <f>F535</f>
        <v>7660.4</v>
      </c>
      <c r="G534" s="49"/>
    </row>
    <row r="535" spans="1:7" s="20" customFormat="1" ht="15.75" x14ac:dyDescent="0.45">
      <c r="A535" s="37" t="s">
        <v>1038</v>
      </c>
      <c r="B535" s="34" t="s">
        <v>954</v>
      </c>
      <c r="C535" s="34" t="s">
        <v>146</v>
      </c>
      <c r="D535" s="35">
        <v>1</v>
      </c>
      <c r="E535" s="35">
        <v>7660.4</v>
      </c>
      <c r="F535" s="36">
        <f t="shared" ref="F535" si="83">E535*D535</f>
        <v>7660.4</v>
      </c>
      <c r="G535" s="50"/>
    </row>
    <row r="536" spans="1:7" s="20" customFormat="1" ht="15.75" x14ac:dyDescent="0.45">
      <c r="A536" s="29" t="s">
        <v>953</v>
      </c>
      <c r="B536" s="30" t="s">
        <v>917</v>
      </c>
      <c r="C536" s="30"/>
      <c r="D536" s="31"/>
      <c r="E536" s="31"/>
      <c r="F536" s="32">
        <f>F537</f>
        <v>101747.4</v>
      </c>
      <c r="G536" s="49"/>
    </row>
    <row r="537" spans="1:7" s="20" customFormat="1" ht="15.75" x14ac:dyDescent="0.45">
      <c r="A537" s="37" t="s">
        <v>955</v>
      </c>
      <c r="B537" s="34" t="s">
        <v>958</v>
      </c>
      <c r="C537" s="34" t="s">
        <v>146</v>
      </c>
      <c r="D537" s="35">
        <v>1</v>
      </c>
      <c r="E537" s="35">
        <v>101747.4</v>
      </c>
      <c r="F537" s="36">
        <f t="shared" ref="F537" si="84">E537*D537</f>
        <v>101747.4</v>
      </c>
      <c r="G537" s="50"/>
    </row>
    <row r="538" spans="1:7" s="20" customFormat="1" ht="15.75" x14ac:dyDescent="0.45">
      <c r="A538" s="29" t="s">
        <v>956</v>
      </c>
      <c r="B538" s="30" t="s">
        <v>36</v>
      </c>
      <c r="C538" s="30"/>
      <c r="D538" s="31"/>
      <c r="E538" s="31"/>
      <c r="F538" s="32">
        <f>F539</f>
        <v>252710.75</v>
      </c>
      <c r="G538" s="49"/>
    </row>
    <row r="539" spans="1:7" s="20" customFormat="1" ht="15.75" x14ac:dyDescent="0.45">
      <c r="A539" s="37" t="s">
        <v>957</v>
      </c>
      <c r="B539" s="34" t="s">
        <v>959</v>
      </c>
      <c r="C539" s="34" t="s">
        <v>146</v>
      </c>
      <c r="D539" s="35">
        <v>1</v>
      </c>
      <c r="E539" s="35">
        <v>252710.75</v>
      </c>
      <c r="F539" s="36">
        <f t="shared" ref="F539" si="85">E539*D539</f>
        <v>252710.75</v>
      </c>
      <c r="G539" s="50"/>
    </row>
    <row r="540" spans="1:7" s="20" customFormat="1" ht="15.75" x14ac:dyDescent="0.45">
      <c r="A540" s="25" t="s">
        <v>960</v>
      </c>
      <c r="B540" s="26" t="s">
        <v>961</v>
      </c>
      <c r="C540" s="26"/>
      <c r="D540" s="27"/>
      <c r="E540" s="27"/>
      <c r="F540" s="28">
        <f>F541+F546</f>
        <v>220414.16999999998</v>
      </c>
      <c r="G540" s="48"/>
    </row>
    <row r="541" spans="1:7" s="20" customFormat="1" ht="15.75" x14ac:dyDescent="0.45">
      <c r="A541" s="29" t="s">
        <v>962</v>
      </c>
      <c r="B541" s="30" t="s">
        <v>963</v>
      </c>
      <c r="C541" s="30"/>
      <c r="D541" s="31"/>
      <c r="E541" s="31"/>
      <c r="F541" s="32">
        <f>SUM(F542:F545)</f>
        <v>169872.02</v>
      </c>
      <c r="G541" s="49"/>
    </row>
    <row r="542" spans="1:7" s="20" customFormat="1" ht="15.75" x14ac:dyDescent="0.45">
      <c r="A542" s="37" t="s">
        <v>964</v>
      </c>
      <c r="B542" s="34" t="s">
        <v>965</v>
      </c>
      <c r="C542" s="34" t="s">
        <v>146</v>
      </c>
      <c r="D542" s="35">
        <v>1</v>
      </c>
      <c r="E542" s="35">
        <v>16781.5</v>
      </c>
      <c r="F542" s="36">
        <f t="shared" ref="F542:F547" si="86">E542*D542</f>
        <v>16781.5</v>
      </c>
      <c r="G542" s="50"/>
    </row>
    <row r="543" spans="1:7" s="20" customFormat="1" ht="15.75" x14ac:dyDescent="0.45">
      <c r="A543" s="37" t="s">
        <v>1039</v>
      </c>
      <c r="B543" s="34" t="s">
        <v>1040</v>
      </c>
      <c r="C543" s="34" t="s">
        <v>146</v>
      </c>
      <c r="D543" s="35">
        <v>1</v>
      </c>
      <c r="E543" s="35">
        <v>92243</v>
      </c>
      <c r="F543" s="36">
        <f t="shared" si="86"/>
        <v>92243</v>
      </c>
      <c r="G543" s="50"/>
    </row>
    <row r="544" spans="1:7" s="20" customFormat="1" ht="15.75" x14ac:dyDescent="0.45">
      <c r="A544" s="37" t="s">
        <v>1041</v>
      </c>
      <c r="B544" s="34" t="s">
        <v>1042</v>
      </c>
      <c r="C544" s="34" t="s">
        <v>146</v>
      </c>
      <c r="D544" s="35">
        <v>1</v>
      </c>
      <c r="E544" s="35">
        <v>3931</v>
      </c>
      <c r="F544" s="36">
        <f t="shared" si="86"/>
        <v>3931</v>
      </c>
      <c r="G544" s="50"/>
    </row>
    <row r="545" spans="1:7" s="20" customFormat="1" ht="15.75" x14ac:dyDescent="0.45">
      <c r="A545" s="37" t="s">
        <v>1043</v>
      </c>
      <c r="B545" s="34" t="s">
        <v>1044</v>
      </c>
      <c r="C545" s="34" t="s">
        <v>146</v>
      </c>
      <c r="D545" s="35">
        <v>1</v>
      </c>
      <c r="E545" s="35">
        <v>56916.52</v>
      </c>
      <c r="F545" s="36">
        <f t="shared" si="86"/>
        <v>56916.52</v>
      </c>
      <c r="G545" s="50"/>
    </row>
    <row r="546" spans="1:7" s="20" customFormat="1" ht="15.75" x14ac:dyDescent="0.45">
      <c r="A546" s="29" t="s">
        <v>966</v>
      </c>
      <c r="B546" s="30" t="s">
        <v>36</v>
      </c>
      <c r="C546" s="30"/>
      <c r="D546" s="31"/>
      <c r="E546" s="31"/>
      <c r="F546" s="32">
        <f>F547</f>
        <v>50542.15</v>
      </c>
      <c r="G546" s="49"/>
    </row>
    <row r="547" spans="1:7" s="20" customFormat="1" ht="15.75" x14ac:dyDescent="0.45">
      <c r="A547" s="37" t="s">
        <v>967</v>
      </c>
      <c r="B547" s="34" t="s">
        <v>968</v>
      </c>
      <c r="C547" s="34" t="s">
        <v>146</v>
      </c>
      <c r="D547" s="35">
        <v>1</v>
      </c>
      <c r="E547" s="35">
        <v>50542.15</v>
      </c>
      <c r="F547" s="36">
        <f t="shared" si="86"/>
        <v>50542.15</v>
      </c>
      <c r="G547" s="50"/>
    </row>
    <row r="548" spans="1:7" s="20" customFormat="1" ht="15.75" x14ac:dyDescent="0.45">
      <c r="A548" s="25" t="s">
        <v>969</v>
      </c>
      <c r="B548" s="26" t="s">
        <v>970</v>
      </c>
      <c r="C548" s="26"/>
      <c r="D548" s="27"/>
      <c r="E548" s="27"/>
      <c r="F548" s="28">
        <f>F549+F554++F552</f>
        <v>1391200</v>
      </c>
      <c r="G548" s="48"/>
    </row>
    <row r="549" spans="1:7" s="20" customFormat="1" ht="15.75" x14ac:dyDescent="0.45">
      <c r="A549" s="29" t="s">
        <v>971</v>
      </c>
      <c r="B549" s="30" t="s">
        <v>972</v>
      </c>
      <c r="C549" s="30"/>
      <c r="D549" s="31"/>
      <c r="E549" s="31"/>
      <c r="F549" s="32">
        <f>F550+F551</f>
        <v>1202000</v>
      </c>
      <c r="G549" s="49"/>
    </row>
    <row r="550" spans="1:7" s="20" customFormat="1" ht="15.75" x14ac:dyDescent="0.45">
      <c r="A550" s="37" t="s">
        <v>973</v>
      </c>
      <c r="B550" s="34" t="s">
        <v>972</v>
      </c>
      <c r="C550" s="34" t="s">
        <v>146</v>
      </c>
      <c r="D550" s="35">
        <v>1</v>
      </c>
      <c r="E550" s="35">
        <v>1172000</v>
      </c>
      <c r="F550" s="36">
        <f t="shared" ref="F550:F551" si="87">E550*D550</f>
        <v>1172000</v>
      </c>
      <c r="G550" s="50"/>
    </row>
    <row r="551" spans="1:7" s="20" customFormat="1" ht="31.5" x14ac:dyDescent="0.45">
      <c r="A551" s="37" t="s">
        <v>1257</v>
      </c>
      <c r="B551" s="34" t="s">
        <v>1045</v>
      </c>
      <c r="C551" s="34" t="s">
        <v>79</v>
      </c>
      <c r="D551" s="35">
        <v>1</v>
      </c>
      <c r="E551" s="200">
        <v>30000</v>
      </c>
      <c r="F551" s="36">
        <f t="shared" si="87"/>
        <v>30000</v>
      </c>
      <c r="G551" s="50" t="s">
        <v>1071</v>
      </c>
    </row>
    <row r="552" spans="1:7" s="20" customFormat="1" ht="15.75" x14ac:dyDescent="0.45">
      <c r="A552" s="29" t="s">
        <v>974</v>
      </c>
      <c r="B552" s="30" t="s">
        <v>975</v>
      </c>
      <c r="C552" s="30"/>
      <c r="D552" s="31"/>
      <c r="E552" s="31"/>
      <c r="F552" s="32">
        <f>F553</f>
        <v>110200</v>
      </c>
      <c r="G552" s="49"/>
    </row>
    <row r="553" spans="1:7" s="20" customFormat="1" ht="31.5" x14ac:dyDescent="0.45">
      <c r="A553" s="37" t="s">
        <v>1258</v>
      </c>
      <c r="B553" s="34" t="s">
        <v>1046</v>
      </c>
      <c r="C553" s="34" t="s">
        <v>146</v>
      </c>
      <c r="D553" s="35">
        <v>1</v>
      </c>
      <c r="E553" s="200">
        <v>110200</v>
      </c>
      <c r="F553" s="36">
        <f t="shared" ref="F553" si="88">E553*D553</f>
        <v>110200</v>
      </c>
      <c r="G553" s="50" t="s">
        <v>1071</v>
      </c>
    </row>
    <row r="554" spans="1:7" s="20" customFormat="1" ht="15.75" x14ac:dyDescent="0.45">
      <c r="A554" s="29" t="s">
        <v>976</v>
      </c>
      <c r="B554" s="30" t="s">
        <v>977</v>
      </c>
      <c r="C554" s="30"/>
      <c r="D554" s="31"/>
      <c r="E554" s="243"/>
      <c r="F554" s="32">
        <f>F555</f>
        <v>79000</v>
      </c>
      <c r="G554" s="49"/>
    </row>
    <row r="555" spans="1:7" s="20" customFormat="1" ht="31.5" x14ac:dyDescent="0.45">
      <c r="A555" s="37" t="s">
        <v>1259</v>
      </c>
      <c r="B555" s="34" t="s">
        <v>1047</v>
      </c>
      <c r="C555" s="34" t="s">
        <v>146</v>
      </c>
      <c r="D555" s="35">
        <v>1</v>
      </c>
      <c r="E555" s="200">
        <v>79000</v>
      </c>
      <c r="F555" s="36">
        <f t="shared" ref="F555" si="89">E555*D555</f>
        <v>79000</v>
      </c>
      <c r="G555" s="50" t="s">
        <v>1071</v>
      </c>
    </row>
    <row r="556" spans="1:7" s="20" customFormat="1" ht="15.75" x14ac:dyDescent="0.45">
      <c r="A556" s="25" t="s">
        <v>978</v>
      </c>
      <c r="B556" s="26" t="s">
        <v>979</v>
      </c>
      <c r="C556" s="26"/>
      <c r="D556" s="27"/>
      <c r="E556" s="27"/>
      <c r="F556" s="28">
        <f>F557+F560</f>
        <v>746512.69000000006</v>
      </c>
      <c r="G556" s="48"/>
    </row>
    <row r="557" spans="1:7" s="20" customFormat="1" ht="15.75" x14ac:dyDescent="0.45">
      <c r="A557" s="29" t="s">
        <v>980</v>
      </c>
      <c r="B557" s="30" t="s">
        <v>981</v>
      </c>
      <c r="C557" s="30"/>
      <c r="D557" s="31"/>
      <c r="E557" s="31"/>
      <c r="F557" s="32">
        <f>F558+F559</f>
        <v>632224.59000000008</v>
      </c>
      <c r="G557" s="49"/>
    </row>
    <row r="558" spans="1:7" s="20" customFormat="1" ht="15.75" x14ac:dyDescent="0.45">
      <c r="A558" s="37" t="s">
        <v>982</v>
      </c>
      <c r="B558" s="34" t="s">
        <v>983</v>
      </c>
      <c r="C558" s="34" t="s">
        <v>146</v>
      </c>
      <c r="D558" s="35">
        <v>1</v>
      </c>
      <c r="E558" s="35">
        <v>313577.59000000003</v>
      </c>
      <c r="F558" s="36">
        <f t="shared" ref="F558:F559" si="90">E558*D558</f>
        <v>313577.59000000003</v>
      </c>
      <c r="G558" s="50"/>
    </row>
    <row r="559" spans="1:7" s="20" customFormat="1" ht="15.75" x14ac:dyDescent="0.45">
      <c r="A559" s="37" t="s">
        <v>1260</v>
      </c>
      <c r="B559" s="34" t="s">
        <v>1049</v>
      </c>
      <c r="C559" s="34" t="s">
        <v>146</v>
      </c>
      <c r="D559" s="35">
        <v>1</v>
      </c>
      <c r="E559" s="35">
        <v>318647</v>
      </c>
      <c r="F559" s="36">
        <f t="shared" si="90"/>
        <v>318647</v>
      </c>
      <c r="G559" s="50"/>
    </row>
    <row r="560" spans="1:7" s="20" customFormat="1" ht="15.75" x14ac:dyDescent="0.45">
      <c r="A560" s="29" t="s">
        <v>984</v>
      </c>
      <c r="B560" s="30" t="s">
        <v>985</v>
      </c>
      <c r="C560" s="30"/>
      <c r="D560" s="31"/>
      <c r="E560" s="31"/>
      <c r="F560" s="32">
        <f>F561</f>
        <v>114288.1</v>
      </c>
      <c r="G560" s="49"/>
    </row>
    <row r="561" spans="1:7" s="20" customFormat="1" ht="15.75" x14ac:dyDescent="0.45">
      <c r="A561" s="37" t="s">
        <v>986</v>
      </c>
      <c r="B561" s="34" t="s">
        <v>985</v>
      </c>
      <c r="C561" s="34" t="s">
        <v>146</v>
      </c>
      <c r="D561" s="35">
        <v>1</v>
      </c>
      <c r="E561" s="35">
        <v>114288.1</v>
      </c>
      <c r="F561" s="36">
        <f t="shared" ref="F561" si="91">E561*D561</f>
        <v>114288.1</v>
      </c>
      <c r="G561" s="50"/>
    </row>
    <row r="562" spans="1:7" s="20" customFormat="1" ht="15.75" x14ac:dyDescent="0.45">
      <c r="A562" s="25" t="s">
        <v>987</v>
      </c>
      <c r="B562" s="26" t="s">
        <v>51</v>
      </c>
      <c r="C562" s="26"/>
      <c r="D562" s="27"/>
      <c r="E562" s="27"/>
      <c r="F562" s="28">
        <f>F563+F565+F567+F569</f>
        <v>1287999</v>
      </c>
      <c r="G562" s="48"/>
    </row>
    <row r="563" spans="1:7" s="20" customFormat="1" ht="15.75" x14ac:dyDescent="0.45">
      <c r="A563" s="29" t="s">
        <v>988</v>
      </c>
      <c r="B563" s="30" t="s">
        <v>52</v>
      </c>
      <c r="C563" s="30"/>
      <c r="D563" s="31"/>
      <c r="E563" s="31"/>
      <c r="F563" s="32">
        <f>F564</f>
        <v>456883.16</v>
      </c>
      <c r="G563" s="49"/>
    </row>
    <row r="564" spans="1:7" s="20" customFormat="1" ht="15.75" x14ac:dyDescent="0.45">
      <c r="A564" s="37" t="s">
        <v>989</v>
      </c>
      <c r="B564" s="34" t="s">
        <v>52</v>
      </c>
      <c r="C564" s="34" t="s">
        <v>146</v>
      </c>
      <c r="D564" s="35">
        <v>1</v>
      </c>
      <c r="E564" s="35">
        <v>456883.16</v>
      </c>
      <c r="F564" s="36">
        <f t="shared" ref="F564" si="92">E564*D564</f>
        <v>456883.16</v>
      </c>
      <c r="G564" s="50"/>
    </row>
    <row r="565" spans="1:7" s="20" customFormat="1" ht="15.75" x14ac:dyDescent="0.45">
      <c r="A565" s="29" t="s">
        <v>990</v>
      </c>
      <c r="B565" s="30" t="s">
        <v>53</v>
      </c>
      <c r="C565" s="30"/>
      <c r="D565" s="31"/>
      <c r="E565" s="31"/>
      <c r="F565" s="32">
        <f>F566</f>
        <v>233615.06</v>
      </c>
      <c r="G565" s="49"/>
    </row>
    <row r="566" spans="1:7" s="20" customFormat="1" ht="15.75" x14ac:dyDescent="0.45">
      <c r="A566" s="37" t="s">
        <v>991</v>
      </c>
      <c r="B566" s="34" t="s">
        <v>53</v>
      </c>
      <c r="C566" s="34" t="s">
        <v>146</v>
      </c>
      <c r="D566" s="35">
        <v>1</v>
      </c>
      <c r="E566" s="35">
        <v>233615.06</v>
      </c>
      <c r="F566" s="36">
        <f t="shared" ref="F566" si="93">E566*D566</f>
        <v>233615.06</v>
      </c>
      <c r="G566" s="50"/>
    </row>
    <row r="567" spans="1:7" s="20" customFormat="1" ht="15.75" x14ac:dyDescent="0.45">
      <c r="A567" s="29" t="s">
        <v>992</v>
      </c>
      <c r="B567" s="30" t="s">
        <v>54</v>
      </c>
      <c r="C567" s="30"/>
      <c r="D567" s="31"/>
      <c r="E567" s="31"/>
      <c r="F567" s="32">
        <f>F568</f>
        <v>542974.34</v>
      </c>
      <c r="G567" s="49"/>
    </row>
    <row r="568" spans="1:7" s="20" customFormat="1" ht="15.75" x14ac:dyDescent="0.45">
      <c r="A568" s="37" t="s">
        <v>993</v>
      </c>
      <c r="B568" s="34" t="s">
        <v>54</v>
      </c>
      <c r="C568" s="34" t="s">
        <v>146</v>
      </c>
      <c r="D568" s="35">
        <v>1</v>
      </c>
      <c r="E568" s="35">
        <v>542974.34</v>
      </c>
      <c r="F568" s="36">
        <f t="shared" ref="F568" si="94">E568*D568</f>
        <v>542974.34</v>
      </c>
      <c r="G568" s="50"/>
    </row>
    <row r="569" spans="1:7" s="20" customFormat="1" ht="15.75" x14ac:dyDescent="0.45">
      <c r="A569" s="29" t="s">
        <v>994</v>
      </c>
      <c r="B569" s="30" t="s">
        <v>36</v>
      </c>
      <c r="C569" s="30"/>
      <c r="D569" s="31"/>
      <c r="E569" s="31"/>
      <c r="F569" s="32">
        <f>F570</f>
        <v>54526.44</v>
      </c>
      <c r="G569" s="49"/>
    </row>
    <row r="570" spans="1:7" s="20" customFormat="1" ht="15.75" x14ac:dyDescent="0.45">
      <c r="A570" s="37" t="s">
        <v>995</v>
      </c>
      <c r="B570" s="34" t="s">
        <v>996</v>
      </c>
      <c r="C570" s="34" t="s">
        <v>146</v>
      </c>
      <c r="D570" s="35">
        <v>1</v>
      </c>
      <c r="E570" s="35">
        <v>54526.44</v>
      </c>
      <c r="F570" s="36">
        <f t="shared" ref="F570" si="95">E570*D570</f>
        <v>54526.44</v>
      </c>
      <c r="G570" s="50"/>
    </row>
    <row r="571" spans="1:7" s="20" customFormat="1" ht="15.75" x14ac:dyDescent="0.45">
      <c r="A571" s="21" t="s">
        <v>997</v>
      </c>
      <c r="B571" s="22" t="s">
        <v>998</v>
      </c>
      <c r="C571" s="22"/>
      <c r="D571" s="23"/>
      <c r="E571" s="23"/>
      <c r="F571" s="24">
        <f>F572</f>
        <v>3146990.6245066081</v>
      </c>
      <c r="G571" s="47"/>
    </row>
    <row r="572" spans="1:7" s="20" customFormat="1" ht="15.75" x14ac:dyDescent="0.45">
      <c r="A572" s="25" t="s">
        <v>999</v>
      </c>
      <c r="B572" s="26" t="s">
        <v>998</v>
      </c>
      <c r="C572" s="26"/>
      <c r="D572" s="27"/>
      <c r="E572" s="27"/>
      <c r="F572" s="28">
        <f>F573+F576+F579+F581+F585+F589+F593</f>
        <v>3146990.6245066081</v>
      </c>
      <c r="G572" s="48"/>
    </row>
    <row r="573" spans="1:7" s="20" customFormat="1" ht="15.75" x14ac:dyDescent="0.45">
      <c r="A573" s="29" t="s">
        <v>1000</v>
      </c>
      <c r="B573" s="30" t="s">
        <v>1261</v>
      </c>
      <c r="C573" s="30"/>
      <c r="D573" s="31"/>
      <c r="E573" s="31"/>
      <c r="F573" s="32">
        <f>SUM(F574:F575)</f>
        <v>1031202.6229232399</v>
      </c>
      <c r="G573" s="49"/>
    </row>
    <row r="574" spans="1:7" s="20" customFormat="1" ht="15.75" x14ac:dyDescent="0.45">
      <c r="A574" s="203" t="s">
        <v>1262</v>
      </c>
      <c r="B574" s="34" t="s">
        <v>1073</v>
      </c>
      <c r="C574" s="34" t="s">
        <v>59</v>
      </c>
      <c r="D574" s="35">
        <v>292.35660000000001</v>
      </c>
      <c r="E574" s="35">
        <v>69.641400000000004</v>
      </c>
      <c r="F574" s="36">
        <f t="shared" ref="F574:F575" si="96">E574*D574</f>
        <v>20360.122923240004</v>
      </c>
      <c r="G574" s="50"/>
    </row>
    <row r="575" spans="1:7" s="20" customFormat="1" ht="15.75" x14ac:dyDescent="0.45">
      <c r="A575" s="203" t="s">
        <v>1263</v>
      </c>
      <c r="B575" s="34" t="s">
        <v>1074</v>
      </c>
      <c r="C575" s="34" t="s">
        <v>146</v>
      </c>
      <c r="D575" s="35">
        <v>1</v>
      </c>
      <c r="E575" s="35">
        <v>1010842.5</v>
      </c>
      <c r="F575" s="36">
        <f t="shared" si="96"/>
        <v>1010842.5</v>
      </c>
      <c r="G575" s="50" t="s">
        <v>1072</v>
      </c>
    </row>
    <row r="576" spans="1:7" s="20" customFormat="1" ht="15.75" x14ac:dyDescent="0.45">
      <c r="A576" s="29" t="s">
        <v>1001</v>
      </c>
      <c r="B576" s="30" t="s">
        <v>55</v>
      </c>
      <c r="C576" s="30"/>
      <c r="D576" s="31"/>
      <c r="E576" s="31"/>
      <c r="F576" s="32">
        <f>F577+F578</f>
        <v>675000</v>
      </c>
      <c r="G576" s="49"/>
    </row>
    <row r="577" spans="1:7" s="20" customFormat="1" ht="15.75" x14ac:dyDescent="0.45">
      <c r="A577" s="37" t="s">
        <v>1002</v>
      </c>
      <c r="B577" s="34" t="s">
        <v>55</v>
      </c>
      <c r="C577" s="34" t="s">
        <v>146</v>
      </c>
      <c r="D577" s="35">
        <v>1</v>
      </c>
      <c r="E577" s="35">
        <v>555000</v>
      </c>
      <c r="F577" s="36">
        <f t="shared" ref="F577:F578" si="97">E577*D577</f>
        <v>555000</v>
      </c>
      <c r="G577" s="50" t="s">
        <v>1072</v>
      </c>
    </row>
    <row r="578" spans="1:7" s="20" customFormat="1" ht="15.75" x14ac:dyDescent="0.45">
      <c r="A578" s="37" t="s">
        <v>1264</v>
      </c>
      <c r="B578" s="34" t="s">
        <v>1048</v>
      </c>
      <c r="C578" s="34" t="s">
        <v>146</v>
      </c>
      <c r="D578" s="35">
        <v>1</v>
      </c>
      <c r="E578" s="35">
        <v>120000</v>
      </c>
      <c r="F578" s="36">
        <f t="shared" si="97"/>
        <v>120000</v>
      </c>
      <c r="G578" s="50" t="s">
        <v>1072</v>
      </c>
    </row>
    <row r="579" spans="1:7" s="20" customFormat="1" ht="15.75" x14ac:dyDescent="0.45">
      <c r="A579" s="29" t="s">
        <v>1003</v>
      </c>
      <c r="B579" s="30" t="s">
        <v>56</v>
      </c>
      <c r="C579" s="30"/>
      <c r="D579" s="31"/>
      <c r="E579" s="31"/>
      <c r="F579" s="32">
        <f>F580</f>
        <v>329756</v>
      </c>
      <c r="G579" s="49"/>
    </row>
    <row r="580" spans="1:7" s="20" customFormat="1" ht="15.75" x14ac:dyDescent="0.45">
      <c r="A580" s="37" t="s">
        <v>1004</v>
      </c>
      <c r="B580" s="34" t="s">
        <v>56</v>
      </c>
      <c r="C580" s="34" t="s">
        <v>146</v>
      </c>
      <c r="D580" s="35">
        <v>1</v>
      </c>
      <c r="E580" s="35">
        <v>329756</v>
      </c>
      <c r="F580" s="36">
        <f t="shared" ref="F580:F594" si="98">E580*D580</f>
        <v>329756</v>
      </c>
      <c r="G580" s="50" t="s">
        <v>1072</v>
      </c>
    </row>
    <row r="581" spans="1:7" s="20" customFormat="1" ht="15.75" x14ac:dyDescent="0.45">
      <c r="A581" s="29" t="s">
        <v>1005</v>
      </c>
      <c r="B581" s="30" t="s">
        <v>1006</v>
      </c>
      <c r="C581" s="30"/>
      <c r="D581" s="31"/>
      <c r="E581" s="31"/>
      <c r="F581" s="32">
        <f>SUM(F582:F584)</f>
        <v>80400</v>
      </c>
      <c r="G581" s="49"/>
    </row>
    <row r="582" spans="1:7" s="20" customFormat="1" ht="15.75" x14ac:dyDescent="0.45">
      <c r="A582" s="37" t="s">
        <v>1007</v>
      </c>
      <c r="B582" s="34" t="s">
        <v>1008</v>
      </c>
      <c r="C582" s="34" t="s">
        <v>146</v>
      </c>
      <c r="D582" s="35">
        <v>1</v>
      </c>
      <c r="E582" s="35">
        <v>25000</v>
      </c>
      <c r="F582" s="36">
        <f t="shared" si="98"/>
        <v>25000</v>
      </c>
      <c r="G582" s="50" t="s">
        <v>1072</v>
      </c>
    </row>
    <row r="583" spans="1:7" s="20" customFormat="1" ht="15.75" x14ac:dyDescent="0.45">
      <c r="A583" s="37" t="s">
        <v>1009</v>
      </c>
      <c r="B583" s="34" t="s">
        <v>1010</v>
      </c>
      <c r="C583" s="34" t="s">
        <v>146</v>
      </c>
      <c r="D583" s="35">
        <v>1</v>
      </c>
      <c r="E583" s="35">
        <v>50400</v>
      </c>
      <c r="F583" s="36">
        <f t="shared" si="98"/>
        <v>50400</v>
      </c>
      <c r="G583" s="50" t="s">
        <v>1072</v>
      </c>
    </row>
    <row r="584" spans="1:7" s="20" customFormat="1" ht="15.75" x14ac:dyDescent="0.45">
      <c r="A584" s="37" t="s">
        <v>1011</v>
      </c>
      <c r="B584" s="34" t="s">
        <v>1012</v>
      </c>
      <c r="C584" s="34" t="s">
        <v>146</v>
      </c>
      <c r="D584" s="35">
        <v>1</v>
      </c>
      <c r="E584" s="35">
        <v>5000</v>
      </c>
      <c r="F584" s="36">
        <f t="shared" si="98"/>
        <v>5000</v>
      </c>
      <c r="G584" s="50" t="s">
        <v>1072</v>
      </c>
    </row>
    <row r="585" spans="1:7" s="20" customFormat="1" ht="15.75" x14ac:dyDescent="0.45">
      <c r="A585" s="29" t="s">
        <v>1013</v>
      </c>
      <c r="B585" s="30" t="s">
        <v>1014</v>
      </c>
      <c r="C585" s="30"/>
      <c r="D585" s="31"/>
      <c r="E585" s="31"/>
      <c r="F585" s="32">
        <f>SUM(F586:F588)</f>
        <v>59500</v>
      </c>
      <c r="G585" s="49"/>
    </row>
    <row r="586" spans="1:7" s="20" customFormat="1" ht="15.75" x14ac:dyDescent="0.45">
      <c r="A586" s="37" t="s">
        <v>1015</v>
      </c>
      <c r="B586" s="34" t="s">
        <v>1016</v>
      </c>
      <c r="C586" s="34" t="s">
        <v>146</v>
      </c>
      <c r="D586" s="35">
        <v>1</v>
      </c>
      <c r="E586" s="35">
        <v>14500</v>
      </c>
      <c r="F586" s="36">
        <f t="shared" si="98"/>
        <v>14500</v>
      </c>
      <c r="G586" s="50" t="s">
        <v>1072</v>
      </c>
    </row>
    <row r="587" spans="1:7" s="20" customFormat="1" ht="15.75" x14ac:dyDescent="0.45">
      <c r="A587" s="37" t="s">
        <v>1265</v>
      </c>
      <c r="B587" s="34" t="s">
        <v>1017</v>
      </c>
      <c r="C587" s="34" t="s">
        <v>146</v>
      </c>
      <c r="D587" s="35">
        <v>1</v>
      </c>
      <c r="E587" s="35">
        <v>20000</v>
      </c>
      <c r="F587" s="36">
        <f t="shared" si="98"/>
        <v>20000</v>
      </c>
      <c r="G587" s="50" t="s">
        <v>1072</v>
      </c>
    </row>
    <row r="588" spans="1:7" s="20" customFormat="1" ht="15.75" x14ac:dyDescent="0.45">
      <c r="A588" s="37" t="s">
        <v>1266</v>
      </c>
      <c r="B588" s="34" t="s">
        <v>1018</v>
      </c>
      <c r="C588" s="34" t="s">
        <v>146</v>
      </c>
      <c r="D588" s="35">
        <v>1</v>
      </c>
      <c r="E588" s="35">
        <v>25000</v>
      </c>
      <c r="F588" s="36">
        <f t="shared" si="98"/>
        <v>25000</v>
      </c>
      <c r="G588" s="50" t="s">
        <v>1072</v>
      </c>
    </row>
    <row r="589" spans="1:7" s="20" customFormat="1" ht="15.75" x14ac:dyDescent="0.45">
      <c r="A589" s="29" t="s">
        <v>1019</v>
      </c>
      <c r="B589" s="30" t="s">
        <v>1020</v>
      </c>
      <c r="C589" s="30"/>
      <c r="D589" s="31"/>
      <c r="E589" s="31"/>
      <c r="F589" s="32">
        <f>SUM(F590:F592)</f>
        <v>24000</v>
      </c>
      <c r="G589" s="49"/>
    </row>
    <row r="590" spans="1:7" s="20" customFormat="1" ht="15.75" x14ac:dyDescent="0.45">
      <c r="A590" s="37" t="s">
        <v>1021</v>
      </c>
      <c r="B590" s="34" t="s">
        <v>1022</v>
      </c>
      <c r="C590" s="34" t="s">
        <v>146</v>
      </c>
      <c r="D590" s="35">
        <v>1</v>
      </c>
      <c r="E590" s="35">
        <v>3000</v>
      </c>
      <c r="F590" s="36">
        <f t="shared" si="98"/>
        <v>3000</v>
      </c>
      <c r="G590" s="50" t="s">
        <v>1072</v>
      </c>
    </row>
    <row r="591" spans="1:7" s="20" customFormat="1" ht="15.75" x14ac:dyDescent="0.45">
      <c r="A591" s="37" t="s">
        <v>1023</v>
      </c>
      <c r="B591" s="34" t="s">
        <v>1024</v>
      </c>
      <c r="C591" s="34" t="s">
        <v>146</v>
      </c>
      <c r="D591" s="35">
        <v>1</v>
      </c>
      <c r="E591" s="35">
        <v>6000</v>
      </c>
      <c r="F591" s="36">
        <f t="shared" si="98"/>
        <v>6000</v>
      </c>
      <c r="G591" s="50" t="s">
        <v>1072</v>
      </c>
    </row>
    <row r="592" spans="1:7" s="20" customFormat="1" ht="31.5" x14ac:dyDescent="0.45">
      <c r="A592" s="37" t="s">
        <v>1267</v>
      </c>
      <c r="B592" s="34" t="s">
        <v>1025</v>
      </c>
      <c r="C592" s="34" t="s">
        <v>146</v>
      </c>
      <c r="D592" s="35">
        <v>1</v>
      </c>
      <c r="E592" s="35">
        <v>15000</v>
      </c>
      <c r="F592" s="36">
        <f t="shared" si="98"/>
        <v>15000</v>
      </c>
      <c r="G592" s="50" t="s">
        <v>1072</v>
      </c>
    </row>
    <row r="593" spans="1:7" s="20" customFormat="1" ht="15.75" x14ac:dyDescent="0.45">
      <c r="A593" s="29" t="s">
        <v>1026</v>
      </c>
      <c r="B593" s="30" t="s">
        <v>1027</v>
      </c>
      <c r="C593" s="30"/>
      <c r="D593" s="31"/>
      <c r="E593" s="31"/>
      <c r="F593" s="32">
        <f>F594</f>
        <v>947132.00158336805</v>
      </c>
      <c r="G593" s="49"/>
    </row>
    <row r="594" spans="1:7" s="20" customFormat="1" ht="15.75" x14ac:dyDescent="0.45">
      <c r="A594" s="37" t="s">
        <v>1028</v>
      </c>
      <c r="B594" s="34" t="s">
        <v>1029</v>
      </c>
      <c r="C594" s="34" t="s">
        <v>146</v>
      </c>
      <c r="D594" s="35">
        <v>1</v>
      </c>
      <c r="E594" s="200">
        <v>947132.00158336805</v>
      </c>
      <c r="F594" s="36">
        <f t="shared" si="98"/>
        <v>947132.00158336805</v>
      </c>
      <c r="G594" s="50" t="s">
        <v>1268</v>
      </c>
    </row>
    <row r="595" spans="1:7" ht="13.5" customHeight="1" thickBot="1" x14ac:dyDescent="0.25">
      <c r="A595" s="336" t="s">
        <v>57</v>
      </c>
      <c r="B595" s="337"/>
      <c r="C595" s="337"/>
      <c r="D595" s="337"/>
      <c r="E595" s="337"/>
      <c r="F595" s="39">
        <f>F571+F496+F460+F399+F360+F296+F171+F151+F8</f>
        <v>32518198.721028965</v>
      </c>
    </row>
  </sheetData>
  <mergeCells count="3">
    <mergeCell ref="A1:G1"/>
    <mergeCell ref="A6:F6"/>
    <mergeCell ref="A595:E595"/>
  </mergeCells>
  <phoneticPr fontId="19" type="noConversion"/>
  <conditionalFormatting sqref="G7 G596:G1048576">
    <cfRule type="cellIs" dxfId="0" priority="1" operator="equal">
      <formula>"""Item lançado pela Lumis"""</formula>
    </cfRule>
  </conditionalFormatting>
  <hyperlinks>
    <hyperlink ref="G22" location="'CONTROLE TECNOLÓGICO'!A1" display="CONTROLE TECNOLÓGICO" xr:uid="{00000000-0004-0000-0300-000000000000}"/>
    <hyperlink ref="G23" location="'CONTROLE TECNOLÓGICO'!A1" display="CONTROLE TECNOLÓGICO" xr:uid="{00000000-0004-0000-0300-000001000000}"/>
    <hyperlink ref="G24" location="'CONTROLE TECNOLÓGICO'!A1" display="CONTROLE TECNOLÓGICO" xr:uid="{00000000-0004-0000-0300-000002000000}"/>
    <hyperlink ref="G25" location="'CONTROLE TECNOLÓGICO'!A1" display="CONTROLE TECNOLÓGICO" xr:uid="{00000000-0004-0000-0300-000003000000}"/>
    <hyperlink ref="G26" location="'CONTROLE TECNOLÓGICO'!A1" display="CONTROLE TECNOLÓGICO" xr:uid="{00000000-0004-0000-0300-000004000000}"/>
    <hyperlink ref="G59" location="'EPC''s'!A1" display="'EPC''s'" xr:uid="{00000000-0004-0000-0300-000005000000}"/>
    <hyperlink ref="G60" location="'EPC''s'!A1" display="'EPC''s'" xr:uid="{00000000-0004-0000-0300-000006000000}"/>
    <hyperlink ref="G63" location="'EPC''s'!A1" display="'EPC''s'" xr:uid="{00000000-0004-0000-0300-000007000000}"/>
    <hyperlink ref="G66" location="'EPC''s'!A1" display="'EPC''s'" xr:uid="{00000000-0004-0000-0300-000008000000}"/>
    <hyperlink ref="G193" location="ESCORAMENTO!A1" display="ESCORAMENTO" xr:uid="{5CB0669A-5893-4393-A511-C72385EED9E1}"/>
    <hyperlink ref="G213" location="ESCORAMENTO!A1" display="ESCORAMENTO" xr:uid="{B306B8C9-70CB-4946-85AF-0F34D8713404}"/>
    <hyperlink ref="G238" location="ESCORAMENTO!A1" display="ESCORAMENTO" xr:uid="{CE1FB5F4-B15C-4BDE-9AC2-F15A8A1ACD3F}"/>
    <hyperlink ref="G267" location="ESCORAMENTO!A1" display="ESCORAMENTO" xr:uid="{62E4263F-7DB0-40B9-ADA5-16C79FA7B563}"/>
  </hyperlinks>
  <pageMargins left="0.52999994886203072" right="0.52999994886203072" top="0.52999994886203072" bottom="0.68999998212799307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48"/>
  <sheetViews>
    <sheetView view="pageBreakPreview" zoomScaleNormal="115" zoomScaleSheetLayoutView="100" workbookViewId="0">
      <selection activeCell="F17" sqref="F17"/>
    </sheetView>
  </sheetViews>
  <sheetFormatPr defaultColWidth="9.140625" defaultRowHeight="21.75" x14ac:dyDescent="0.6"/>
  <cols>
    <col min="1" max="1" width="10.7109375" style="196" customWidth="1"/>
    <col min="2" max="2" width="83.7109375" style="197" customWidth="1"/>
    <col min="3" max="3" width="13" style="197" customWidth="1"/>
    <col min="4" max="6" width="11.28515625" style="197" customWidth="1"/>
    <col min="7" max="7" width="44" style="198" customWidth="1"/>
    <col min="8" max="8" width="11.140625" style="199" customWidth="1"/>
    <col min="9" max="9" width="24" style="196" customWidth="1"/>
    <col min="10" max="11" width="9.28515625" style="140" bestFit="1" customWidth="1"/>
    <col min="12" max="16384" width="9.140625" style="140"/>
  </cols>
  <sheetData>
    <row r="1" spans="1:9" x14ac:dyDescent="0.6">
      <c r="A1" s="135" t="s">
        <v>1</v>
      </c>
      <c r="B1" s="53" t="s">
        <v>134</v>
      </c>
      <c r="C1" s="136"/>
      <c r="D1" s="136"/>
      <c r="E1" s="136"/>
      <c r="F1" s="136"/>
      <c r="G1" s="137"/>
      <c r="H1" s="138"/>
      <c r="I1" s="139"/>
    </row>
    <row r="2" spans="1:9" x14ac:dyDescent="0.6">
      <c r="A2" s="141" t="s">
        <v>2</v>
      </c>
      <c r="B2" s="59" t="s">
        <v>135</v>
      </c>
      <c r="C2" s="142"/>
      <c r="D2" s="142"/>
      <c r="E2" s="142"/>
      <c r="F2" s="142"/>
      <c r="G2" s="143"/>
      <c r="H2" s="144"/>
      <c r="I2" s="145"/>
    </row>
    <row r="3" spans="1:9" x14ac:dyDescent="0.6">
      <c r="A3" s="141" t="s">
        <v>3</v>
      </c>
      <c r="B3" s="59" t="s">
        <v>58</v>
      </c>
      <c r="C3" s="142"/>
      <c r="D3" s="142"/>
      <c r="E3" s="142"/>
      <c r="F3" s="142"/>
      <c r="G3" s="143"/>
      <c r="H3" s="144"/>
      <c r="I3" s="145"/>
    </row>
    <row r="4" spans="1:9" ht="28.5" x14ac:dyDescent="0.25">
      <c r="A4" s="325" t="s">
        <v>71</v>
      </c>
      <c r="B4" s="326"/>
      <c r="C4" s="326"/>
      <c r="D4" s="326"/>
      <c r="E4" s="326"/>
      <c r="F4" s="326"/>
      <c r="G4" s="326"/>
      <c r="H4" s="326"/>
      <c r="I4" s="327"/>
    </row>
    <row r="5" spans="1:9" ht="28.5" x14ac:dyDescent="0.6">
      <c r="A5" s="146"/>
      <c r="B5" s="147"/>
      <c r="C5" s="147"/>
      <c r="D5" s="147"/>
      <c r="E5" s="147"/>
      <c r="F5" s="147"/>
      <c r="G5" s="148"/>
      <c r="H5" s="149"/>
      <c r="I5" s="150"/>
    </row>
    <row r="6" spans="1:9" ht="28.5" x14ac:dyDescent="0.25">
      <c r="A6" s="328" t="s">
        <v>15</v>
      </c>
      <c r="B6" s="329"/>
      <c r="C6" s="329"/>
      <c r="D6" s="329"/>
      <c r="E6" s="329"/>
      <c r="F6" s="329"/>
      <c r="G6" s="329"/>
      <c r="H6" s="329"/>
      <c r="I6" s="330"/>
    </row>
    <row r="7" spans="1:9" x14ac:dyDescent="0.6">
      <c r="A7" s="151"/>
      <c r="B7" s="152"/>
      <c r="C7" s="153"/>
      <c r="D7" s="153"/>
      <c r="E7" s="153"/>
      <c r="F7" s="153"/>
      <c r="G7" s="154"/>
      <c r="H7" s="155"/>
      <c r="I7" s="156"/>
    </row>
    <row r="8" spans="1:9" x14ac:dyDescent="0.6">
      <c r="A8" s="157" t="s">
        <v>490</v>
      </c>
      <c r="B8" s="158"/>
      <c r="C8" s="158"/>
      <c r="D8" s="158"/>
      <c r="E8" s="158"/>
      <c r="F8" s="158"/>
      <c r="G8" s="159"/>
      <c r="H8" s="160"/>
      <c r="I8" s="161"/>
    </row>
    <row r="9" spans="1:9" ht="22.5" thickBot="1" x14ac:dyDescent="0.65">
      <c r="A9" s="162"/>
      <c r="B9" s="163"/>
      <c r="C9" s="163"/>
      <c r="D9" s="163"/>
      <c r="E9" s="163"/>
      <c r="F9" s="163"/>
      <c r="G9" s="164"/>
      <c r="H9" s="165"/>
      <c r="I9" s="156"/>
    </row>
    <row r="10" spans="1:9" ht="31.5" x14ac:dyDescent="0.6">
      <c r="A10" s="162"/>
      <c r="B10" s="166" t="s">
        <v>499</v>
      </c>
      <c r="C10" s="167" t="s">
        <v>500</v>
      </c>
      <c r="D10" s="206" t="s">
        <v>501</v>
      </c>
      <c r="E10" s="206" t="s">
        <v>502</v>
      </c>
      <c r="F10" s="206" t="s">
        <v>503</v>
      </c>
      <c r="G10" s="168" t="s">
        <v>504</v>
      </c>
      <c r="H10" s="165"/>
      <c r="I10" s="156"/>
    </row>
    <row r="11" spans="1:9" x14ac:dyDescent="0.6">
      <c r="A11" s="162"/>
      <c r="B11" s="169" t="s">
        <v>491</v>
      </c>
      <c r="C11" s="170" t="s">
        <v>146</v>
      </c>
      <c r="D11" s="207">
        <v>250</v>
      </c>
      <c r="E11" s="207">
        <v>1</v>
      </c>
      <c r="F11" s="207">
        <f>E11*D11</f>
        <v>250</v>
      </c>
      <c r="G11" s="171"/>
      <c r="H11" s="165"/>
      <c r="I11" s="156"/>
    </row>
    <row r="12" spans="1:9" x14ac:dyDescent="0.6">
      <c r="A12" s="162"/>
      <c r="B12" s="169" t="s">
        <v>492</v>
      </c>
      <c r="C12" s="170" t="s">
        <v>496</v>
      </c>
      <c r="D12" s="207">
        <v>150</v>
      </c>
      <c r="E12" s="207">
        <f>2*4*E13</f>
        <v>96</v>
      </c>
      <c r="F12" s="207">
        <f t="shared" ref="F12:F15" si="0">E12*D12</f>
        <v>14400</v>
      </c>
      <c r="G12" s="171" t="s">
        <v>507</v>
      </c>
      <c r="H12" s="165"/>
      <c r="I12" s="156"/>
    </row>
    <row r="13" spans="1:9" ht="31.5" x14ac:dyDescent="0.6">
      <c r="A13" s="162"/>
      <c r="B13" s="169" t="s">
        <v>493</v>
      </c>
      <c r="C13" s="170" t="s">
        <v>296</v>
      </c>
      <c r="D13" s="207">
        <f>7560*1.1</f>
        <v>8316</v>
      </c>
      <c r="E13" s="207">
        <v>12</v>
      </c>
      <c r="F13" s="207">
        <f t="shared" si="0"/>
        <v>99792</v>
      </c>
      <c r="G13" s="171" t="s">
        <v>506</v>
      </c>
      <c r="H13" s="165"/>
      <c r="I13" s="156"/>
    </row>
    <row r="14" spans="1:9" x14ac:dyDescent="0.6">
      <c r="A14" s="162"/>
      <c r="B14" s="169" t="s">
        <v>494</v>
      </c>
      <c r="C14" s="170" t="s">
        <v>497</v>
      </c>
      <c r="D14" s="207">
        <v>97.5</v>
      </c>
      <c r="E14" s="207">
        <f>6*4*E13</f>
        <v>288</v>
      </c>
      <c r="F14" s="207">
        <f t="shared" si="0"/>
        <v>28080</v>
      </c>
      <c r="G14" s="171" t="s">
        <v>508</v>
      </c>
      <c r="H14" s="165"/>
      <c r="I14" s="156"/>
    </row>
    <row r="15" spans="1:9" ht="31.5" x14ac:dyDescent="0.6">
      <c r="A15" s="162"/>
      <c r="B15" s="169" t="s">
        <v>495</v>
      </c>
      <c r="C15" s="170" t="s">
        <v>498</v>
      </c>
      <c r="D15" s="207">
        <v>12</v>
      </c>
      <c r="E15" s="207">
        <f>ROUNDUP(ORÇAMENTO_EXECUTIVO_COMENTADO!D22/6,0)*4</f>
        <v>180</v>
      </c>
      <c r="F15" s="207">
        <f t="shared" si="0"/>
        <v>2160</v>
      </c>
      <c r="G15" s="171" t="s">
        <v>505</v>
      </c>
      <c r="H15" s="165"/>
      <c r="I15" s="156"/>
    </row>
    <row r="16" spans="1:9" ht="22.5" thickBot="1" x14ac:dyDescent="0.65">
      <c r="A16" s="162"/>
      <c r="B16" s="172" t="s">
        <v>92</v>
      </c>
      <c r="C16" s="173"/>
      <c r="D16" s="208"/>
      <c r="E16" s="208"/>
      <c r="F16" s="208">
        <f>SUM(F11:F15)</f>
        <v>144682</v>
      </c>
      <c r="G16" s="174"/>
      <c r="H16" s="165"/>
      <c r="I16" s="156"/>
    </row>
    <row r="17" spans="1:9" ht="22.5" thickBot="1" x14ac:dyDescent="0.65">
      <c r="A17" s="162"/>
      <c r="B17" s="172" t="s">
        <v>35</v>
      </c>
      <c r="C17" s="173"/>
      <c r="D17" s="208"/>
      <c r="E17" s="208">
        <f>ORÇAMENTO_EXECUTIVO_COMENTADO!D22</f>
        <v>266.26</v>
      </c>
      <c r="F17" s="208">
        <f>F16/E17</f>
        <v>543.38616389994741</v>
      </c>
      <c r="G17" s="174" t="s">
        <v>513</v>
      </c>
      <c r="H17" s="165"/>
      <c r="I17" s="156"/>
    </row>
    <row r="18" spans="1:9" x14ac:dyDescent="0.6">
      <c r="A18" s="175"/>
      <c r="B18" s="163"/>
      <c r="C18" s="163"/>
      <c r="D18" s="163"/>
      <c r="E18" s="163"/>
      <c r="F18" s="163"/>
      <c r="G18" s="164"/>
      <c r="H18" s="165"/>
      <c r="I18" s="156"/>
    </row>
    <row r="19" spans="1:9" x14ac:dyDescent="0.6">
      <c r="A19" s="157" t="s">
        <v>509</v>
      </c>
      <c r="B19" s="158"/>
      <c r="C19" s="158"/>
      <c r="D19" s="158"/>
      <c r="E19" s="158"/>
      <c r="F19" s="158"/>
      <c r="G19" s="159"/>
      <c r="H19" s="160"/>
      <c r="I19" s="161"/>
    </row>
    <row r="20" spans="1:9" ht="22.5" thickBot="1" x14ac:dyDescent="0.65">
      <c r="A20" s="175"/>
      <c r="B20" s="163"/>
      <c r="C20" s="163"/>
      <c r="D20" s="163"/>
      <c r="E20" s="163"/>
      <c r="F20" s="163"/>
      <c r="G20" s="164"/>
      <c r="H20" s="165"/>
      <c r="I20" s="156"/>
    </row>
    <row r="21" spans="1:9" ht="31.5" x14ac:dyDescent="0.6">
      <c r="A21" s="175"/>
      <c r="B21" s="166" t="s">
        <v>7</v>
      </c>
      <c r="C21" s="167" t="s">
        <v>500</v>
      </c>
      <c r="D21" s="206" t="s">
        <v>501</v>
      </c>
      <c r="E21" s="206" t="s">
        <v>502</v>
      </c>
      <c r="F21" s="206" t="s">
        <v>503</v>
      </c>
      <c r="G21" s="168" t="s">
        <v>504</v>
      </c>
      <c r="H21" s="165"/>
      <c r="I21" s="156"/>
    </row>
    <row r="22" spans="1:9" ht="31.5" x14ac:dyDescent="0.6">
      <c r="A22" s="162"/>
      <c r="B22" s="169" t="s">
        <v>510</v>
      </c>
      <c r="C22" s="170" t="s">
        <v>511</v>
      </c>
      <c r="D22" s="207">
        <f>750+1200+750</f>
        <v>2700</v>
      </c>
      <c r="E22" s="207">
        <v>2</v>
      </c>
      <c r="F22" s="207">
        <f t="shared" ref="F22:F23" si="1">E22*D22</f>
        <v>5400</v>
      </c>
      <c r="G22" s="171" t="s">
        <v>512</v>
      </c>
      <c r="H22" s="165"/>
      <c r="I22" s="156"/>
    </row>
    <row r="23" spans="1:9" x14ac:dyDescent="0.6">
      <c r="A23" s="162"/>
      <c r="B23" s="169" t="s">
        <v>514</v>
      </c>
      <c r="C23" s="170" t="s">
        <v>515</v>
      </c>
      <c r="D23" s="207">
        <v>120</v>
      </c>
      <c r="E23" s="207">
        <v>1</v>
      </c>
      <c r="F23" s="207">
        <f t="shared" si="1"/>
        <v>120</v>
      </c>
      <c r="G23" s="171"/>
      <c r="H23" s="165"/>
      <c r="I23" s="156"/>
    </row>
    <row r="24" spans="1:9" ht="22.5" thickBot="1" x14ac:dyDescent="0.65">
      <c r="A24" s="175"/>
      <c r="B24" s="182" t="s">
        <v>104</v>
      </c>
      <c r="C24" s="183"/>
      <c r="D24" s="209"/>
      <c r="E24" s="209"/>
      <c r="F24" s="208">
        <f>SUM(F22:F23)</f>
        <v>5520</v>
      </c>
      <c r="G24" s="184"/>
      <c r="H24" s="165"/>
      <c r="I24" s="156"/>
    </row>
    <row r="25" spans="1:9" s="187" customFormat="1" ht="15.75" x14ac:dyDescent="0.45">
      <c r="A25" s="162"/>
      <c r="B25" s="165"/>
      <c r="C25" s="165"/>
      <c r="D25" s="165"/>
      <c r="E25" s="165"/>
      <c r="F25" s="165"/>
      <c r="G25" s="185"/>
      <c r="H25" s="165"/>
      <c r="I25" s="186"/>
    </row>
    <row r="26" spans="1:9" x14ac:dyDescent="0.6">
      <c r="A26" s="157" t="s">
        <v>167</v>
      </c>
      <c r="B26" s="158"/>
      <c r="C26" s="158"/>
      <c r="D26" s="158"/>
      <c r="E26" s="158"/>
      <c r="F26" s="158"/>
      <c r="G26" s="159"/>
      <c r="H26" s="160"/>
      <c r="I26" s="161"/>
    </row>
    <row r="27" spans="1:9" ht="22.5" thickBot="1" x14ac:dyDescent="0.65">
      <c r="A27" s="175"/>
      <c r="B27" s="163"/>
      <c r="C27" s="163"/>
      <c r="D27" s="163"/>
      <c r="E27" s="163"/>
      <c r="F27" s="163"/>
      <c r="G27" s="164"/>
      <c r="H27" s="165"/>
      <c r="I27" s="156"/>
    </row>
    <row r="28" spans="1:9" ht="31.5" x14ac:dyDescent="0.6">
      <c r="A28" s="175"/>
      <c r="B28" s="166" t="s">
        <v>7</v>
      </c>
      <c r="C28" s="167" t="s">
        <v>500</v>
      </c>
      <c r="D28" s="206" t="s">
        <v>501</v>
      </c>
      <c r="E28" s="206" t="s">
        <v>502</v>
      </c>
      <c r="F28" s="206" t="s">
        <v>503</v>
      </c>
      <c r="G28" s="168" t="s">
        <v>504</v>
      </c>
      <c r="H28" s="165"/>
      <c r="I28" s="156"/>
    </row>
    <row r="29" spans="1:9" ht="31.5" x14ac:dyDescent="0.6">
      <c r="A29" s="162"/>
      <c r="B29" s="169" t="s">
        <v>516</v>
      </c>
      <c r="C29" s="170" t="s">
        <v>511</v>
      </c>
      <c r="D29" s="207">
        <v>110</v>
      </c>
      <c r="E29" s="207">
        <v>2</v>
      </c>
      <c r="F29" s="207">
        <f t="shared" ref="F29:F30" si="2">E29*D29</f>
        <v>220</v>
      </c>
      <c r="G29" s="171" t="s">
        <v>517</v>
      </c>
      <c r="H29" s="165"/>
      <c r="I29" s="156"/>
    </row>
    <row r="30" spans="1:9" x14ac:dyDescent="0.6">
      <c r="A30" s="162"/>
      <c r="B30" s="169" t="s">
        <v>514</v>
      </c>
      <c r="C30" s="170" t="s">
        <v>515</v>
      </c>
      <c r="D30" s="207">
        <v>120</v>
      </c>
      <c r="E30" s="207">
        <v>1</v>
      </c>
      <c r="F30" s="207">
        <f t="shared" si="2"/>
        <v>120</v>
      </c>
      <c r="G30" s="171"/>
      <c r="H30" s="165"/>
      <c r="I30" s="156"/>
    </row>
    <row r="31" spans="1:9" ht="22.5" thickBot="1" x14ac:dyDescent="0.65">
      <c r="A31" s="175"/>
      <c r="B31" s="182"/>
      <c r="C31" s="183"/>
      <c r="D31" s="209"/>
      <c r="E31" s="209"/>
      <c r="F31" s="208">
        <f>SUM(F29:F30)</f>
        <v>340</v>
      </c>
      <c r="G31" s="184"/>
      <c r="H31" s="165"/>
      <c r="I31" s="156"/>
    </row>
    <row r="32" spans="1:9" x14ac:dyDescent="0.6">
      <c r="A32" s="175"/>
      <c r="B32" s="163"/>
      <c r="C32" s="163"/>
      <c r="D32" s="163"/>
      <c r="E32" s="163"/>
      <c r="F32" s="163"/>
      <c r="G32" s="164"/>
      <c r="H32" s="165"/>
      <c r="I32" s="156"/>
    </row>
    <row r="33" spans="1:9" x14ac:dyDescent="0.6">
      <c r="A33" s="157" t="s">
        <v>169</v>
      </c>
      <c r="B33" s="158"/>
      <c r="C33" s="158"/>
      <c r="D33" s="158"/>
      <c r="E33" s="158"/>
      <c r="F33" s="158"/>
      <c r="G33" s="159"/>
      <c r="H33" s="160"/>
      <c r="I33" s="161"/>
    </row>
    <row r="34" spans="1:9" ht="22.5" thickBot="1" x14ac:dyDescent="0.65">
      <c r="A34" s="175"/>
      <c r="B34" s="163"/>
      <c r="C34" s="163"/>
      <c r="D34" s="163"/>
      <c r="E34" s="163"/>
      <c r="F34" s="163"/>
      <c r="G34" s="164"/>
      <c r="H34" s="165"/>
      <c r="I34" s="156"/>
    </row>
    <row r="35" spans="1:9" ht="31.5" x14ac:dyDescent="0.6">
      <c r="A35" s="175"/>
      <c r="B35" s="188" t="s">
        <v>7</v>
      </c>
      <c r="C35" s="167" t="s">
        <v>500</v>
      </c>
      <c r="D35" s="206" t="s">
        <v>501</v>
      </c>
      <c r="E35" s="206" t="s">
        <v>502</v>
      </c>
      <c r="F35" s="206" t="s">
        <v>503</v>
      </c>
      <c r="G35" s="168" t="s">
        <v>504</v>
      </c>
      <c r="H35" s="165"/>
      <c r="I35" s="156"/>
    </row>
    <row r="36" spans="1:9" ht="31.5" x14ac:dyDescent="0.6">
      <c r="A36" s="162"/>
      <c r="B36" s="169" t="s">
        <v>518</v>
      </c>
      <c r="C36" s="170" t="s">
        <v>511</v>
      </c>
      <c r="D36" s="207">
        <v>1680</v>
      </c>
      <c r="E36" s="207">
        <v>1</v>
      </c>
      <c r="F36" s="207">
        <f t="shared" ref="F36:F37" si="3">E36*D36</f>
        <v>1680</v>
      </c>
      <c r="G36" s="171" t="s">
        <v>517</v>
      </c>
      <c r="H36" s="165"/>
      <c r="I36" s="156"/>
    </row>
    <row r="37" spans="1:9" ht="31.5" x14ac:dyDescent="0.6">
      <c r="A37" s="162"/>
      <c r="B37" s="169" t="s">
        <v>519</v>
      </c>
      <c r="C37" s="170" t="s">
        <v>511</v>
      </c>
      <c r="D37" s="207">
        <v>1485</v>
      </c>
      <c r="E37" s="207">
        <v>1</v>
      </c>
      <c r="F37" s="207">
        <f t="shared" si="3"/>
        <v>1485</v>
      </c>
      <c r="G37" s="171" t="s">
        <v>520</v>
      </c>
      <c r="H37" s="165"/>
      <c r="I37" s="156"/>
    </row>
    <row r="38" spans="1:9" ht="22.5" thickBot="1" x14ac:dyDescent="0.65">
      <c r="A38" s="175"/>
      <c r="B38" s="189"/>
      <c r="C38" s="190"/>
      <c r="D38" s="210"/>
      <c r="E38" s="210"/>
      <c r="F38" s="208">
        <f>SUM(F36:F37)</f>
        <v>3165</v>
      </c>
      <c r="G38" s="191"/>
      <c r="H38" s="165"/>
      <c r="I38" s="156"/>
    </row>
    <row r="39" spans="1:9" x14ac:dyDescent="0.6">
      <c r="A39" s="157" t="s">
        <v>171</v>
      </c>
      <c r="B39" s="158"/>
      <c r="C39" s="158"/>
      <c r="D39" s="158"/>
      <c r="E39" s="158"/>
      <c r="F39" s="158"/>
      <c r="G39" s="159"/>
      <c r="H39" s="160"/>
      <c r="I39" s="161"/>
    </row>
    <row r="40" spans="1:9" ht="22.5" thickBot="1" x14ac:dyDescent="0.65">
      <c r="A40" s="175"/>
      <c r="B40" s="163"/>
      <c r="C40" s="163"/>
      <c r="D40" s="163"/>
      <c r="E40" s="163"/>
      <c r="F40" s="163"/>
      <c r="G40" s="164"/>
      <c r="H40" s="165"/>
      <c r="I40" s="156"/>
    </row>
    <row r="41" spans="1:9" ht="31.5" x14ac:dyDescent="0.6">
      <c r="A41" s="175"/>
      <c r="B41" s="166" t="s">
        <v>7</v>
      </c>
      <c r="C41" s="167" t="s">
        <v>500</v>
      </c>
      <c r="D41" s="206" t="s">
        <v>501</v>
      </c>
      <c r="E41" s="206" t="s">
        <v>502</v>
      </c>
      <c r="F41" s="206" t="s">
        <v>503</v>
      </c>
      <c r="G41" s="168" t="s">
        <v>504</v>
      </c>
      <c r="H41" s="165"/>
      <c r="I41" s="156"/>
    </row>
    <row r="42" spans="1:9" ht="47.25" x14ac:dyDescent="0.6">
      <c r="A42" s="162"/>
      <c r="B42" s="169" t="s">
        <v>521</v>
      </c>
      <c r="C42" s="170" t="s">
        <v>496</v>
      </c>
      <c r="D42" s="207">
        <v>70</v>
      </c>
      <c r="E42" s="207">
        <f>12*13</f>
        <v>156</v>
      </c>
      <c r="F42" s="207">
        <f t="shared" ref="F42:F44" si="4">E42*D42</f>
        <v>10920</v>
      </c>
      <c r="G42" s="171" t="s">
        <v>523</v>
      </c>
      <c r="H42" s="165"/>
      <c r="I42" s="156"/>
    </row>
    <row r="43" spans="1:9" ht="47.25" x14ac:dyDescent="0.6">
      <c r="A43" s="162"/>
      <c r="B43" s="169" t="s">
        <v>522</v>
      </c>
      <c r="C43" s="170" t="s">
        <v>496</v>
      </c>
      <c r="D43" s="207">
        <v>80</v>
      </c>
      <c r="E43" s="207">
        <f>12*13</f>
        <v>156</v>
      </c>
      <c r="F43" s="207">
        <f t="shared" si="4"/>
        <v>12480</v>
      </c>
      <c r="G43" s="171" t="s">
        <v>523</v>
      </c>
      <c r="H43" s="165"/>
      <c r="I43" s="156"/>
    </row>
    <row r="44" spans="1:9" x14ac:dyDescent="0.6">
      <c r="A44" s="162"/>
      <c r="B44" s="169" t="s">
        <v>514</v>
      </c>
      <c r="C44" s="170" t="s">
        <v>515</v>
      </c>
      <c r="D44" s="207">
        <v>120</v>
      </c>
      <c r="E44" s="207">
        <v>13</v>
      </c>
      <c r="F44" s="207">
        <f t="shared" si="4"/>
        <v>1560</v>
      </c>
      <c r="G44" s="171"/>
      <c r="H44" s="165"/>
      <c r="I44" s="156"/>
    </row>
    <row r="45" spans="1:9" ht="22.5" thickBot="1" x14ac:dyDescent="0.65">
      <c r="A45" s="175"/>
      <c r="B45" s="182"/>
      <c r="C45" s="183"/>
      <c r="D45" s="209"/>
      <c r="E45" s="209"/>
      <c r="F45" s="208">
        <f>SUM(F42:F44)</f>
        <v>24960</v>
      </c>
      <c r="G45" s="184"/>
      <c r="H45" s="165"/>
      <c r="I45" s="156"/>
    </row>
    <row r="46" spans="1:9" x14ac:dyDescent="0.6">
      <c r="A46" s="175"/>
      <c r="B46" s="163"/>
      <c r="C46" s="163"/>
      <c r="D46" s="163"/>
      <c r="E46" s="163"/>
      <c r="F46" s="163"/>
      <c r="G46" s="164"/>
      <c r="H46" s="165"/>
      <c r="I46" s="156"/>
    </row>
    <row r="47" spans="1:9" x14ac:dyDescent="0.6">
      <c r="A47" s="192"/>
      <c r="B47" s="193"/>
      <c r="C47" s="193"/>
      <c r="D47" s="193"/>
      <c r="E47" s="193"/>
      <c r="F47" s="193"/>
      <c r="G47" s="194"/>
      <c r="H47" s="195"/>
      <c r="I47" s="192"/>
    </row>
    <row r="48" spans="1:9" x14ac:dyDescent="0.6">
      <c r="A48" s="192"/>
      <c r="B48" s="193"/>
      <c r="C48" s="193"/>
      <c r="D48" s="193"/>
      <c r="E48" s="193"/>
      <c r="F48" s="193"/>
      <c r="G48" s="194"/>
      <c r="H48" s="195"/>
      <c r="I48" s="192"/>
    </row>
  </sheetData>
  <mergeCells count="2">
    <mergeCell ref="A4:I4"/>
    <mergeCell ref="A6:I6"/>
  </mergeCells>
  <pageMargins left="0.51181102362204722" right="0.51181102362204722" top="0.78740157480314965" bottom="0.78740157480314965" header="0.31496062992125984" footer="0.31496062992125984"/>
  <pageSetup paperSize="9" scale="42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1"/>
  <sheetViews>
    <sheetView zoomScale="85" zoomScaleNormal="85" workbookViewId="0">
      <selection activeCell="F40" sqref="F40:F41"/>
    </sheetView>
  </sheetViews>
  <sheetFormatPr defaultRowHeight="21.75" x14ac:dyDescent="0.6"/>
  <cols>
    <col min="1" max="1" width="27.5703125" style="213" customWidth="1"/>
    <col min="2" max="2" width="12.42578125" style="214" bestFit="1" customWidth="1"/>
    <col min="3" max="3" width="16.42578125" style="214" bestFit="1" customWidth="1"/>
    <col min="4" max="4" width="17.7109375" style="214" customWidth="1"/>
    <col min="5" max="5" width="20.85546875" style="214" customWidth="1"/>
    <col min="6" max="6" width="38.5703125" style="214" customWidth="1"/>
    <col min="7" max="7" width="10.42578125" style="213" customWidth="1"/>
    <col min="8" max="8" width="13.85546875" style="212" bestFit="1" customWidth="1"/>
    <col min="9" max="9" width="16.28515625" style="212" bestFit="1" customWidth="1"/>
    <col min="10" max="10" width="14.85546875" style="212" bestFit="1" customWidth="1"/>
    <col min="11" max="12" width="10.7109375" style="212" bestFit="1" customWidth="1"/>
    <col min="13" max="13" width="9.140625" style="212"/>
    <col min="14" max="15" width="10.7109375" style="212" bestFit="1" customWidth="1"/>
    <col min="16" max="249" width="9.140625" style="212"/>
    <col min="250" max="250" width="19.85546875" style="212" bestFit="1" customWidth="1"/>
    <col min="251" max="251" width="12.42578125" style="212" bestFit="1" customWidth="1"/>
    <col min="252" max="252" width="16.42578125" style="212" bestFit="1" customWidth="1"/>
    <col min="253" max="253" width="12" style="212" customWidth="1"/>
    <col min="254" max="254" width="14.7109375" style="212" customWidth="1"/>
    <col min="255" max="255" width="15.28515625" style="212" customWidth="1"/>
    <col min="256" max="256" width="14.85546875" style="212" bestFit="1" customWidth="1"/>
    <col min="257" max="257" width="20.28515625" style="212" bestFit="1" customWidth="1"/>
    <col min="258" max="258" width="18.7109375" style="212" bestFit="1" customWidth="1"/>
    <col min="259" max="259" width="15.28515625" style="212" customWidth="1"/>
    <col min="260" max="260" width="16.85546875" style="212" customWidth="1"/>
    <col min="261" max="261" width="17.140625" style="212" bestFit="1" customWidth="1"/>
    <col min="262" max="262" width="15" style="212" customWidth="1"/>
    <col min="263" max="263" width="10.42578125" style="212" customWidth="1"/>
    <col min="264" max="266" width="9.140625" style="212"/>
    <col min="267" max="268" width="10.7109375" style="212" bestFit="1" customWidth="1"/>
    <col min="269" max="269" width="9.140625" style="212"/>
    <col min="270" max="271" width="10.7109375" style="212" bestFit="1" customWidth="1"/>
    <col min="272" max="505" width="9.140625" style="212"/>
    <col min="506" max="506" width="19.85546875" style="212" bestFit="1" customWidth="1"/>
    <col min="507" max="507" width="12.42578125" style="212" bestFit="1" customWidth="1"/>
    <col min="508" max="508" width="16.42578125" style="212" bestFit="1" customWidth="1"/>
    <col min="509" max="509" width="12" style="212" customWidth="1"/>
    <col min="510" max="510" width="14.7109375" style="212" customWidth="1"/>
    <col min="511" max="511" width="15.28515625" style="212" customWidth="1"/>
    <col min="512" max="512" width="14.85546875" style="212" bestFit="1" customWidth="1"/>
    <col min="513" max="513" width="20.28515625" style="212" bestFit="1" customWidth="1"/>
    <col min="514" max="514" width="18.7109375" style="212" bestFit="1" customWidth="1"/>
    <col min="515" max="515" width="15.28515625" style="212" customWidth="1"/>
    <col min="516" max="516" width="16.85546875" style="212" customWidth="1"/>
    <col min="517" max="517" width="17.140625" style="212" bestFit="1" customWidth="1"/>
    <col min="518" max="518" width="15" style="212" customWidth="1"/>
    <col min="519" max="519" width="10.42578125" style="212" customWidth="1"/>
    <col min="520" max="522" width="9.140625" style="212"/>
    <col min="523" max="524" width="10.7109375" style="212" bestFit="1" customWidth="1"/>
    <col min="525" max="525" width="9.140625" style="212"/>
    <col min="526" max="527" width="10.7109375" style="212" bestFit="1" customWidth="1"/>
    <col min="528" max="761" width="9.140625" style="212"/>
    <col min="762" max="762" width="19.85546875" style="212" bestFit="1" customWidth="1"/>
    <col min="763" max="763" width="12.42578125" style="212" bestFit="1" customWidth="1"/>
    <col min="764" max="764" width="16.42578125" style="212" bestFit="1" customWidth="1"/>
    <col min="765" max="765" width="12" style="212" customWidth="1"/>
    <col min="766" max="766" width="14.7109375" style="212" customWidth="1"/>
    <col min="767" max="767" width="15.28515625" style="212" customWidth="1"/>
    <col min="768" max="768" width="14.85546875" style="212" bestFit="1" customWidth="1"/>
    <col min="769" max="769" width="20.28515625" style="212" bestFit="1" customWidth="1"/>
    <col min="770" max="770" width="18.7109375" style="212" bestFit="1" customWidth="1"/>
    <col min="771" max="771" width="15.28515625" style="212" customWidth="1"/>
    <col min="772" max="772" width="16.85546875" style="212" customWidth="1"/>
    <col min="773" max="773" width="17.140625" style="212" bestFit="1" customWidth="1"/>
    <col min="774" max="774" width="15" style="212" customWidth="1"/>
    <col min="775" max="775" width="10.42578125" style="212" customWidth="1"/>
    <col min="776" max="778" width="9.140625" style="212"/>
    <col min="779" max="780" width="10.7109375" style="212" bestFit="1" customWidth="1"/>
    <col min="781" max="781" width="9.140625" style="212"/>
    <col min="782" max="783" width="10.7109375" style="212" bestFit="1" customWidth="1"/>
    <col min="784" max="1017" width="9.140625" style="212"/>
    <col min="1018" max="1018" width="19.85546875" style="212" bestFit="1" customWidth="1"/>
    <col min="1019" max="1019" width="12.42578125" style="212" bestFit="1" customWidth="1"/>
    <col min="1020" max="1020" width="16.42578125" style="212" bestFit="1" customWidth="1"/>
    <col min="1021" max="1021" width="12" style="212" customWidth="1"/>
    <col min="1022" max="1022" width="14.7109375" style="212" customWidth="1"/>
    <col min="1023" max="1023" width="15.28515625" style="212" customWidth="1"/>
    <col min="1024" max="1024" width="14.85546875" style="212" bestFit="1" customWidth="1"/>
    <col min="1025" max="1025" width="20.28515625" style="212" bestFit="1" customWidth="1"/>
    <col min="1026" max="1026" width="18.7109375" style="212" bestFit="1" customWidth="1"/>
    <col min="1027" max="1027" width="15.28515625" style="212" customWidth="1"/>
    <col min="1028" max="1028" width="16.85546875" style="212" customWidth="1"/>
    <col min="1029" max="1029" width="17.140625" style="212" bestFit="1" customWidth="1"/>
    <col min="1030" max="1030" width="15" style="212" customWidth="1"/>
    <col min="1031" max="1031" width="10.42578125" style="212" customWidth="1"/>
    <col min="1032" max="1034" width="9.140625" style="212"/>
    <col min="1035" max="1036" width="10.7109375" style="212" bestFit="1" customWidth="1"/>
    <col min="1037" max="1037" width="9.140625" style="212"/>
    <col min="1038" max="1039" width="10.7109375" style="212" bestFit="1" customWidth="1"/>
    <col min="1040" max="1273" width="9.140625" style="212"/>
    <col min="1274" max="1274" width="19.85546875" style="212" bestFit="1" customWidth="1"/>
    <col min="1275" max="1275" width="12.42578125" style="212" bestFit="1" customWidth="1"/>
    <col min="1276" max="1276" width="16.42578125" style="212" bestFit="1" customWidth="1"/>
    <col min="1277" max="1277" width="12" style="212" customWidth="1"/>
    <col min="1278" max="1278" width="14.7109375" style="212" customWidth="1"/>
    <col min="1279" max="1279" width="15.28515625" style="212" customWidth="1"/>
    <col min="1280" max="1280" width="14.85546875" style="212" bestFit="1" customWidth="1"/>
    <col min="1281" max="1281" width="20.28515625" style="212" bestFit="1" customWidth="1"/>
    <col min="1282" max="1282" width="18.7109375" style="212" bestFit="1" customWidth="1"/>
    <col min="1283" max="1283" width="15.28515625" style="212" customWidth="1"/>
    <col min="1284" max="1284" width="16.85546875" style="212" customWidth="1"/>
    <col min="1285" max="1285" width="17.140625" style="212" bestFit="1" customWidth="1"/>
    <col min="1286" max="1286" width="15" style="212" customWidth="1"/>
    <col min="1287" max="1287" width="10.42578125" style="212" customWidth="1"/>
    <col min="1288" max="1290" width="9.140625" style="212"/>
    <col min="1291" max="1292" width="10.7109375" style="212" bestFit="1" customWidth="1"/>
    <col min="1293" max="1293" width="9.140625" style="212"/>
    <col min="1294" max="1295" width="10.7109375" style="212" bestFit="1" customWidth="1"/>
    <col min="1296" max="1529" width="9.140625" style="212"/>
    <col min="1530" max="1530" width="19.85546875" style="212" bestFit="1" customWidth="1"/>
    <col min="1531" max="1531" width="12.42578125" style="212" bestFit="1" customWidth="1"/>
    <col min="1532" max="1532" width="16.42578125" style="212" bestFit="1" customWidth="1"/>
    <col min="1533" max="1533" width="12" style="212" customWidth="1"/>
    <col min="1534" max="1534" width="14.7109375" style="212" customWidth="1"/>
    <col min="1535" max="1535" width="15.28515625" style="212" customWidth="1"/>
    <col min="1536" max="1536" width="14.85546875" style="212" bestFit="1" customWidth="1"/>
    <col min="1537" max="1537" width="20.28515625" style="212" bestFit="1" customWidth="1"/>
    <col min="1538" max="1538" width="18.7109375" style="212" bestFit="1" customWidth="1"/>
    <col min="1539" max="1539" width="15.28515625" style="212" customWidth="1"/>
    <col min="1540" max="1540" width="16.85546875" style="212" customWidth="1"/>
    <col min="1541" max="1541" width="17.140625" style="212" bestFit="1" customWidth="1"/>
    <col min="1542" max="1542" width="15" style="212" customWidth="1"/>
    <col min="1543" max="1543" width="10.42578125" style="212" customWidth="1"/>
    <col min="1544" max="1546" width="9.140625" style="212"/>
    <col min="1547" max="1548" width="10.7109375" style="212" bestFit="1" customWidth="1"/>
    <col min="1549" max="1549" width="9.140625" style="212"/>
    <col min="1550" max="1551" width="10.7109375" style="212" bestFit="1" customWidth="1"/>
    <col min="1552" max="1785" width="9.140625" style="212"/>
    <col min="1786" max="1786" width="19.85546875" style="212" bestFit="1" customWidth="1"/>
    <col min="1787" max="1787" width="12.42578125" style="212" bestFit="1" customWidth="1"/>
    <col min="1788" max="1788" width="16.42578125" style="212" bestFit="1" customWidth="1"/>
    <col min="1789" max="1789" width="12" style="212" customWidth="1"/>
    <col min="1790" max="1790" width="14.7109375" style="212" customWidth="1"/>
    <col min="1791" max="1791" width="15.28515625" style="212" customWidth="1"/>
    <col min="1792" max="1792" width="14.85546875" style="212" bestFit="1" customWidth="1"/>
    <col min="1793" max="1793" width="20.28515625" style="212" bestFit="1" customWidth="1"/>
    <col min="1794" max="1794" width="18.7109375" style="212" bestFit="1" customWidth="1"/>
    <col min="1795" max="1795" width="15.28515625" style="212" customWidth="1"/>
    <col min="1796" max="1796" width="16.85546875" style="212" customWidth="1"/>
    <col min="1797" max="1797" width="17.140625" style="212" bestFit="1" customWidth="1"/>
    <col min="1798" max="1798" width="15" style="212" customWidth="1"/>
    <col min="1799" max="1799" width="10.42578125" style="212" customWidth="1"/>
    <col min="1800" max="1802" width="9.140625" style="212"/>
    <col min="1803" max="1804" width="10.7109375" style="212" bestFit="1" customWidth="1"/>
    <col min="1805" max="1805" width="9.140625" style="212"/>
    <col min="1806" max="1807" width="10.7109375" style="212" bestFit="1" customWidth="1"/>
    <col min="1808" max="2041" width="9.140625" style="212"/>
    <col min="2042" max="2042" width="19.85546875" style="212" bestFit="1" customWidth="1"/>
    <col min="2043" max="2043" width="12.42578125" style="212" bestFit="1" customWidth="1"/>
    <col min="2044" max="2044" width="16.42578125" style="212" bestFit="1" customWidth="1"/>
    <col min="2045" max="2045" width="12" style="212" customWidth="1"/>
    <col min="2046" max="2046" width="14.7109375" style="212" customWidth="1"/>
    <col min="2047" max="2047" width="15.28515625" style="212" customWidth="1"/>
    <col min="2048" max="2048" width="14.85546875" style="212" bestFit="1" customWidth="1"/>
    <col min="2049" max="2049" width="20.28515625" style="212" bestFit="1" customWidth="1"/>
    <col min="2050" max="2050" width="18.7109375" style="212" bestFit="1" customWidth="1"/>
    <col min="2051" max="2051" width="15.28515625" style="212" customWidth="1"/>
    <col min="2052" max="2052" width="16.85546875" style="212" customWidth="1"/>
    <col min="2053" max="2053" width="17.140625" style="212" bestFit="1" customWidth="1"/>
    <col min="2054" max="2054" width="15" style="212" customWidth="1"/>
    <col min="2055" max="2055" width="10.42578125" style="212" customWidth="1"/>
    <col min="2056" max="2058" width="9.140625" style="212"/>
    <col min="2059" max="2060" width="10.7109375" style="212" bestFit="1" customWidth="1"/>
    <col min="2061" max="2061" width="9.140625" style="212"/>
    <col min="2062" max="2063" width="10.7109375" style="212" bestFit="1" customWidth="1"/>
    <col min="2064" max="2297" width="9.140625" style="212"/>
    <col min="2298" max="2298" width="19.85546875" style="212" bestFit="1" customWidth="1"/>
    <col min="2299" max="2299" width="12.42578125" style="212" bestFit="1" customWidth="1"/>
    <col min="2300" max="2300" width="16.42578125" style="212" bestFit="1" customWidth="1"/>
    <col min="2301" max="2301" width="12" style="212" customWidth="1"/>
    <col min="2302" max="2302" width="14.7109375" style="212" customWidth="1"/>
    <col min="2303" max="2303" width="15.28515625" style="212" customWidth="1"/>
    <col min="2304" max="2304" width="14.85546875" style="212" bestFit="1" customWidth="1"/>
    <col min="2305" max="2305" width="20.28515625" style="212" bestFit="1" customWidth="1"/>
    <col min="2306" max="2306" width="18.7109375" style="212" bestFit="1" customWidth="1"/>
    <col min="2307" max="2307" width="15.28515625" style="212" customWidth="1"/>
    <col min="2308" max="2308" width="16.85546875" style="212" customWidth="1"/>
    <col min="2309" max="2309" width="17.140625" style="212" bestFit="1" customWidth="1"/>
    <col min="2310" max="2310" width="15" style="212" customWidth="1"/>
    <col min="2311" max="2311" width="10.42578125" style="212" customWidth="1"/>
    <col min="2312" max="2314" width="9.140625" style="212"/>
    <col min="2315" max="2316" width="10.7109375" style="212" bestFit="1" customWidth="1"/>
    <col min="2317" max="2317" width="9.140625" style="212"/>
    <col min="2318" max="2319" width="10.7109375" style="212" bestFit="1" customWidth="1"/>
    <col min="2320" max="2553" width="9.140625" style="212"/>
    <col min="2554" max="2554" width="19.85546875" style="212" bestFit="1" customWidth="1"/>
    <col min="2555" max="2555" width="12.42578125" style="212" bestFit="1" customWidth="1"/>
    <col min="2556" max="2556" width="16.42578125" style="212" bestFit="1" customWidth="1"/>
    <col min="2557" max="2557" width="12" style="212" customWidth="1"/>
    <col min="2558" max="2558" width="14.7109375" style="212" customWidth="1"/>
    <col min="2559" max="2559" width="15.28515625" style="212" customWidth="1"/>
    <col min="2560" max="2560" width="14.85546875" style="212" bestFit="1" customWidth="1"/>
    <col min="2561" max="2561" width="20.28515625" style="212" bestFit="1" customWidth="1"/>
    <col min="2562" max="2562" width="18.7109375" style="212" bestFit="1" customWidth="1"/>
    <col min="2563" max="2563" width="15.28515625" style="212" customWidth="1"/>
    <col min="2564" max="2564" width="16.85546875" style="212" customWidth="1"/>
    <col min="2565" max="2565" width="17.140625" style="212" bestFit="1" customWidth="1"/>
    <col min="2566" max="2566" width="15" style="212" customWidth="1"/>
    <col min="2567" max="2567" width="10.42578125" style="212" customWidth="1"/>
    <col min="2568" max="2570" width="9.140625" style="212"/>
    <col min="2571" max="2572" width="10.7109375" style="212" bestFit="1" customWidth="1"/>
    <col min="2573" max="2573" width="9.140625" style="212"/>
    <col min="2574" max="2575" width="10.7109375" style="212" bestFit="1" customWidth="1"/>
    <col min="2576" max="2809" width="9.140625" style="212"/>
    <col min="2810" max="2810" width="19.85546875" style="212" bestFit="1" customWidth="1"/>
    <col min="2811" max="2811" width="12.42578125" style="212" bestFit="1" customWidth="1"/>
    <col min="2812" max="2812" width="16.42578125" style="212" bestFit="1" customWidth="1"/>
    <col min="2813" max="2813" width="12" style="212" customWidth="1"/>
    <col min="2814" max="2814" width="14.7109375" style="212" customWidth="1"/>
    <col min="2815" max="2815" width="15.28515625" style="212" customWidth="1"/>
    <col min="2816" max="2816" width="14.85546875" style="212" bestFit="1" customWidth="1"/>
    <col min="2817" max="2817" width="20.28515625" style="212" bestFit="1" customWidth="1"/>
    <col min="2818" max="2818" width="18.7109375" style="212" bestFit="1" customWidth="1"/>
    <col min="2819" max="2819" width="15.28515625" style="212" customWidth="1"/>
    <col min="2820" max="2820" width="16.85546875" style="212" customWidth="1"/>
    <col min="2821" max="2821" width="17.140625" style="212" bestFit="1" customWidth="1"/>
    <col min="2822" max="2822" width="15" style="212" customWidth="1"/>
    <col min="2823" max="2823" width="10.42578125" style="212" customWidth="1"/>
    <col min="2824" max="2826" width="9.140625" style="212"/>
    <col min="2827" max="2828" width="10.7109375" style="212" bestFit="1" customWidth="1"/>
    <col min="2829" max="2829" width="9.140625" style="212"/>
    <col min="2830" max="2831" width="10.7109375" style="212" bestFit="1" customWidth="1"/>
    <col min="2832" max="3065" width="9.140625" style="212"/>
    <col min="3066" max="3066" width="19.85546875" style="212" bestFit="1" customWidth="1"/>
    <col min="3067" max="3067" width="12.42578125" style="212" bestFit="1" customWidth="1"/>
    <col min="3068" max="3068" width="16.42578125" style="212" bestFit="1" customWidth="1"/>
    <col min="3069" max="3069" width="12" style="212" customWidth="1"/>
    <col min="3070" max="3070" width="14.7109375" style="212" customWidth="1"/>
    <col min="3071" max="3071" width="15.28515625" style="212" customWidth="1"/>
    <col min="3072" max="3072" width="14.85546875" style="212" bestFit="1" customWidth="1"/>
    <col min="3073" max="3073" width="20.28515625" style="212" bestFit="1" customWidth="1"/>
    <col min="3074" max="3074" width="18.7109375" style="212" bestFit="1" customWidth="1"/>
    <col min="3075" max="3075" width="15.28515625" style="212" customWidth="1"/>
    <col min="3076" max="3076" width="16.85546875" style="212" customWidth="1"/>
    <col min="3077" max="3077" width="17.140625" style="212" bestFit="1" customWidth="1"/>
    <col min="3078" max="3078" width="15" style="212" customWidth="1"/>
    <col min="3079" max="3079" width="10.42578125" style="212" customWidth="1"/>
    <col min="3080" max="3082" width="9.140625" style="212"/>
    <col min="3083" max="3084" width="10.7109375" style="212" bestFit="1" customWidth="1"/>
    <col min="3085" max="3085" width="9.140625" style="212"/>
    <col min="3086" max="3087" width="10.7109375" style="212" bestFit="1" customWidth="1"/>
    <col min="3088" max="3321" width="9.140625" style="212"/>
    <col min="3322" max="3322" width="19.85546875" style="212" bestFit="1" customWidth="1"/>
    <col min="3323" max="3323" width="12.42578125" style="212" bestFit="1" customWidth="1"/>
    <col min="3324" max="3324" width="16.42578125" style="212" bestFit="1" customWidth="1"/>
    <col min="3325" max="3325" width="12" style="212" customWidth="1"/>
    <col min="3326" max="3326" width="14.7109375" style="212" customWidth="1"/>
    <col min="3327" max="3327" width="15.28515625" style="212" customWidth="1"/>
    <col min="3328" max="3328" width="14.85546875" style="212" bestFit="1" customWidth="1"/>
    <col min="3329" max="3329" width="20.28515625" style="212" bestFit="1" customWidth="1"/>
    <col min="3330" max="3330" width="18.7109375" style="212" bestFit="1" customWidth="1"/>
    <col min="3331" max="3331" width="15.28515625" style="212" customWidth="1"/>
    <col min="3332" max="3332" width="16.85546875" style="212" customWidth="1"/>
    <col min="3333" max="3333" width="17.140625" style="212" bestFit="1" customWidth="1"/>
    <col min="3334" max="3334" width="15" style="212" customWidth="1"/>
    <col min="3335" max="3335" width="10.42578125" style="212" customWidth="1"/>
    <col min="3336" max="3338" width="9.140625" style="212"/>
    <col min="3339" max="3340" width="10.7109375" style="212" bestFit="1" customWidth="1"/>
    <col min="3341" max="3341" width="9.140625" style="212"/>
    <col min="3342" max="3343" width="10.7109375" style="212" bestFit="1" customWidth="1"/>
    <col min="3344" max="3577" width="9.140625" style="212"/>
    <col min="3578" max="3578" width="19.85546875" style="212" bestFit="1" customWidth="1"/>
    <col min="3579" max="3579" width="12.42578125" style="212" bestFit="1" customWidth="1"/>
    <col min="3580" max="3580" width="16.42578125" style="212" bestFit="1" customWidth="1"/>
    <col min="3581" max="3581" width="12" style="212" customWidth="1"/>
    <col min="3582" max="3582" width="14.7109375" style="212" customWidth="1"/>
    <col min="3583" max="3583" width="15.28515625" style="212" customWidth="1"/>
    <col min="3584" max="3584" width="14.85546875" style="212" bestFit="1" customWidth="1"/>
    <col min="3585" max="3585" width="20.28515625" style="212" bestFit="1" customWidth="1"/>
    <col min="3586" max="3586" width="18.7109375" style="212" bestFit="1" customWidth="1"/>
    <col min="3587" max="3587" width="15.28515625" style="212" customWidth="1"/>
    <col min="3588" max="3588" width="16.85546875" style="212" customWidth="1"/>
    <col min="3589" max="3589" width="17.140625" style="212" bestFit="1" customWidth="1"/>
    <col min="3590" max="3590" width="15" style="212" customWidth="1"/>
    <col min="3591" max="3591" width="10.42578125" style="212" customWidth="1"/>
    <col min="3592" max="3594" width="9.140625" style="212"/>
    <col min="3595" max="3596" width="10.7109375" style="212" bestFit="1" customWidth="1"/>
    <col min="3597" max="3597" width="9.140625" style="212"/>
    <col min="3598" max="3599" width="10.7109375" style="212" bestFit="1" customWidth="1"/>
    <col min="3600" max="3833" width="9.140625" style="212"/>
    <col min="3834" max="3834" width="19.85546875" style="212" bestFit="1" customWidth="1"/>
    <col min="3835" max="3835" width="12.42578125" style="212" bestFit="1" customWidth="1"/>
    <col min="3836" max="3836" width="16.42578125" style="212" bestFit="1" customWidth="1"/>
    <col min="3837" max="3837" width="12" style="212" customWidth="1"/>
    <col min="3838" max="3838" width="14.7109375" style="212" customWidth="1"/>
    <col min="3839" max="3839" width="15.28515625" style="212" customWidth="1"/>
    <col min="3840" max="3840" width="14.85546875" style="212" bestFit="1" customWidth="1"/>
    <col min="3841" max="3841" width="20.28515625" style="212" bestFit="1" customWidth="1"/>
    <col min="3842" max="3842" width="18.7109375" style="212" bestFit="1" customWidth="1"/>
    <col min="3843" max="3843" width="15.28515625" style="212" customWidth="1"/>
    <col min="3844" max="3844" width="16.85546875" style="212" customWidth="1"/>
    <col min="3845" max="3845" width="17.140625" style="212" bestFit="1" customWidth="1"/>
    <col min="3846" max="3846" width="15" style="212" customWidth="1"/>
    <col min="3847" max="3847" width="10.42578125" style="212" customWidth="1"/>
    <col min="3848" max="3850" width="9.140625" style="212"/>
    <col min="3851" max="3852" width="10.7109375" style="212" bestFit="1" customWidth="1"/>
    <col min="3853" max="3853" width="9.140625" style="212"/>
    <col min="3854" max="3855" width="10.7109375" style="212" bestFit="1" customWidth="1"/>
    <col min="3856" max="4089" width="9.140625" style="212"/>
    <col min="4090" max="4090" width="19.85546875" style="212" bestFit="1" customWidth="1"/>
    <col min="4091" max="4091" width="12.42578125" style="212" bestFit="1" customWidth="1"/>
    <col min="4092" max="4092" width="16.42578125" style="212" bestFit="1" customWidth="1"/>
    <col min="4093" max="4093" width="12" style="212" customWidth="1"/>
    <col min="4094" max="4094" width="14.7109375" style="212" customWidth="1"/>
    <col min="4095" max="4095" width="15.28515625" style="212" customWidth="1"/>
    <col min="4096" max="4096" width="14.85546875" style="212" bestFit="1" customWidth="1"/>
    <col min="4097" max="4097" width="20.28515625" style="212" bestFit="1" customWidth="1"/>
    <col min="4098" max="4098" width="18.7109375" style="212" bestFit="1" customWidth="1"/>
    <col min="4099" max="4099" width="15.28515625" style="212" customWidth="1"/>
    <col min="4100" max="4100" width="16.85546875" style="212" customWidth="1"/>
    <col min="4101" max="4101" width="17.140625" style="212" bestFit="1" customWidth="1"/>
    <col min="4102" max="4102" width="15" style="212" customWidth="1"/>
    <col min="4103" max="4103" width="10.42578125" style="212" customWidth="1"/>
    <col min="4104" max="4106" width="9.140625" style="212"/>
    <col min="4107" max="4108" width="10.7109375" style="212" bestFit="1" customWidth="1"/>
    <col min="4109" max="4109" width="9.140625" style="212"/>
    <col min="4110" max="4111" width="10.7109375" style="212" bestFit="1" customWidth="1"/>
    <col min="4112" max="4345" width="9.140625" style="212"/>
    <col min="4346" max="4346" width="19.85546875" style="212" bestFit="1" customWidth="1"/>
    <col min="4347" max="4347" width="12.42578125" style="212" bestFit="1" customWidth="1"/>
    <col min="4348" max="4348" width="16.42578125" style="212" bestFit="1" customWidth="1"/>
    <col min="4349" max="4349" width="12" style="212" customWidth="1"/>
    <col min="4350" max="4350" width="14.7109375" style="212" customWidth="1"/>
    <col min="4351" max="4351" width="15.28515625" style="212" customWidth="1"/>
    <col min="4352" max="4352" width="14.85546875" style="212" bestFit="1" customWidth="1"/>
    <col min="4353" max="4353" width="20.28515625" style="212" bestFit="1" customWidth="1"/>
    <col min="4354" max="4354" width="18.7109375" style="212" bestFit="1" customWidth="1"/>
    <col min="4355" max="4355" width="15.28515625" style="212" customWidth="1"/>
    <col min="4356" max="4356" width="16.85546875" style="212" customWidth="1"/>
    <col min="4357" max="4357" width="17.140625" style="212" bestFit="1" customWidth="1"/>
    <col min="4358" max="4358" width="15" style="212" customWidth="1"/>
    <col min="4359" max="4359" width="10.42578125" style="212" customWidth="1"/>
    <col min="4360" max="4362" width="9.140625" style="212"/>
    <col min="4363" max="4364" width="10.7109375" style="212" bestFit="1" customWidth="1"/>
    <col min="4365" max="4365" width="9.140625" style="212"/>
    <col min="4366" max="4367" width="10.7109375" style="212" bestFit="1" customWidth="1"/>
    <col min="4368" max="4601" width="9.140625" style="212"/>
    <col min="4602" max="4602" width="19.85546875" style="212" bestFit="1" customWidth="1"/>
    <col min="4603" max="4603" width="12.42578125" style="212" bestFit="1" customWidth="1"/>
    <col min="4604" max="4604" width="16.42578125" style="212" bestFit="1" customWidth="1"/>
    <col min="4605" max="4605" width="12" style="212" customWidth="1"/>
    <col min="4606" max="4606" width="14.7109375" style="212" customWidth="1"/>
    <col min="4607" max="4607" width="15.28515625" style="212" customWidth="1"/>
    <col min="4608" max="4608" width="14.85546875" style="212" bestFit="1" customWidth="1"/>
    <col min="4609" max="4609" width="20.28515625" style="212" bestFit="1" customWidth="1"/>
    <col min="4610" max="4610" width="18.7109375" style="212" bestFit="1" customWidth="1"/>
    <col min="4611" max="4611" width="15.28515625" style="212" customWidth="1"/>
    <col min="4612" max="4612" width="16.85546875" style="212" customWidth="1"/>
    <col min="4613" max="4613" width="17.140625" style="212" bestFit="1" customWidth="1"/>
    <col min="4614" max="4614" width="15" style="212" customWidth="1"/>
    <col min="4615" max="4615" width="10.42578125" style="212" customWidth="1"/>
    <col min="4616" max="4618" width="9.140625" style="212"/>
    <col min="4619" max="4620" width="10.7109375" style="212" bestFit="1" customWidth="1"/>
    <col min="4621" max="4621" width="9.140625" style="212"/>
    <col min="4622" max="4623" width="10.7109375" style="212" bestFit="1" customWidth="1"/>
    <col min="4624" max="4857" width="9.140625" style="212"/>
    <col min="4858" max="4858" width="19.85546875" style="212" bestFit="1" customWidth="1"/>
    <col min="4859" max="4859" width="12.42578125" style="212" bestFit="1" customWidth="1"/>
    <col min="4860" max="4860" width="16.42578125" style="212" bestFit="1" customWidth="1"/>
    <col min="4861" max="4861" width="12" style="212" customWidth="1"/>
    <col min="4862" max="4862" width="14.7109375" style="212" customWidth="1"/>
    <col min="4863" max="4863" width="15.28515625" style="212" customWidth="1"/>
    <col min="4864" max="4864" width="14.85546875" style="212" bestFit="1" customWidth="1"/>
    <col min="4865" max="4865" width="20.28515625" style="212" bestFit="1" customWidth="1"/>
    <col min="4866" max="4866" width="18.7109375" style="212" bestFit="1" customWidth="1"/>
    <col min="4867" max="4867" width="15.28515625" style="212" customWidth="1"/>
    <col min="4868" max="4868" width="16.85546875" style="212" customWidth="1"/>
    <col min="4869" max="4869" width="17.140625" style="212" bestFit="1" customWidth="1"/>
    <col min="4870" max="4870" width="15" style="212" customWidth="1"/>
    <col min="4871" max="4871" width="10.42578125" style="212" customWidth="1"/>
    <col min="4872" max="4874" width="9.140625" style="212"/>
    <col min="4875" max="4876" width="10.7109375" style="212" bestFit="1" customWidth="1"/>
    <col min="4877" max="4877" width="9.140625" style="212"/>
    <col min="4878" max="4879" width="10.7109375" style="212" bestFit="1" customWidth="1"/>
    <col min="4880" max="5113" width="9.140625" style="212"/>
    <col min="5114" max="5114" width="19.85546875" style="212" bestFit="1" customWidth="1"/>
    <col min="5115" max="5115" width="12.42578125" style="212" bestFit="1" customWidth="1"/>
    <col min="5116" max="5116" width="16.42578125" style="212" bestFit="1" customWidth="1"/>
    <col min="5117" max="5117" width="12" style="212" customWidth="1"/>
    <col min="5118" max="5118" width="14.7109375" style="212" customWidth="1"/>
    <col min="5119" max="5119" width="15.28515625" style="212" customWidth="1"/>
    <col min="5120" max="5120" width="14.85546875" style="212" bestFit="1" customWidth="1"/>
    <col min="5121" max="5121" width="20.28515625" style="212" bestFit="1" customWidth="1"/>
    <col min="5122" max="5122" width="18.7109375" style="212" bestFit="1" customWidth="1"/>
    <col min="5123" max="5123" width="15.28515625" style="212" customWidth="1"/>
    <col min="5124" max="5124" width="16.85546875" style="212" customWidth="1"/>
    <col min="5125" max="5125" width="17.140625" style="212" bestFit="1" customWidth="1"/>
    <col min="5126" max="5126" width="15" style="212" customWidth="1"/>
    <col min="5127" max="5127" width="10.42578125" style="212" customWidth="1"/>
    <col min="5128" max="5130" width="9.140625" style="212"/>
    <col min="5131" max="5132" width="10.7109375" style="212" bestFit="1" customWidth="1"/>
    <col min="5133" max="5133" width="9.140625" style="212"/>
    <col min="5134" max="5135" width="10.7109375" style="212" bestFit="1" customWidth="1"/>
    <col min="5136" max="5369" width="9.140625" style="212"/>
    <col min="5370" max="5370" width="19.85546875" style="212" bestFit="1" customWidth="1"/>
    <col min="5371" max="5371" width="12.42578125" style="212" bestFit="1" customWidth="1"/>
    <col min="5372" max="5372" width="16.42578125" style="212" bestFit="1" customWidth="1"/>
    <col min="5373" max="5373" width="12" style="212" customWidth="1"/>
    <col min="5374" max="5374" width="14.7109375" style="212" customWidth="1"/>
    <col min="5375" max="5375" width="15.28515625" style="212" customWidth="1"/>
    <col min="5376" max="5376" width="14.85546875" style="212" bestFit="1" customWidth="1"/>
    <col min="5377" max="5377" width="20.28515625" style="212" bestFit="1" customWidth="1"/>
    <col min="5378" max="5378" width="18.7109375" style="212" bestFit="1" customWidth="1"/>
    <col min="5379" max="5379" width="15.28515625" style="212" customWidth="1"/>
    <col min="5380" max="5380" width="16.85546875" style="212" customWidth="1"/>
    <col min="5381" max="5381" width="17.140625" style="212" bestFit="1" customWidth="1"/>
    <col min="5382" max="5382" width="15" style="212" customWidth="1"/>
    <col min="5383" max="5383" width="10.42578125" style="212" customWidth="1"/>
    <col min="5384" max="5386" width="9.140625" style="212"/>
    <col min="5387" max="5388" width="10.7109375" style="212" bestFit="1" customWidth="1"/>
    <col min="5389" max="5389" width="9.140625" style="212"/>
    <col min="5390" max="5391" width="10.7109375" style="212" bestFit="1" customWidth="1"/>
    <col min="5392" max="5625" width="9.140625" style="212"/>
    <col min="5626" max="5626" width="19.85546875" style="212" bestFit="1" customWidth="1"/>
    <col min="5627" max="5627" width="12.42578125" style="212" bestFit="1" customWidth="1"/>
    <col min="5628" max="5628" width="16.42578125" style="212" bestFit="1" customWidth="1"/>
    <col min="5629" max="5629" width="12" style="212" customWidth="1"/>
    <col min="5630" max="5630" width="14.7109375" style="212" customWidth="1"/>
    <col min="5631" max="5631" width="15.28515625" style="212" customWidth="1"/>
    <col min="5632" max="5632" width="14.85546875" style="212" bestFit="1" customWidth="1"/>
    <col min="5633" max="5633" width="20.28515625" style="212" bestFit="1" customWidth="1"/>
    <col min="5634" max="5634" width="18.7109375" style="212" bestFit="1" customWidth="1"/>
    <col min="5635" max="5635" width="15.28515625" style="212" customWidth="1"/>
    <col min="5636" max="5636" width="16.85546875" style="212" customWidth="1"/>
    <col min="5637" max="5637" width="17.140625" style="212" bestFit="1" customWidth="1"/>
    <col min="5638" max="5638" width="15" style="212" customWidth="1"/>
    <col min="5639" max="5639" width="10.42578125" style="212" customWidth="1"/>
    <col min="5640" max="5642" width="9.140625" style="212"/>
    <col min="5643" max="5644" width="10.7109375" style="212" bestFit="1" customWidth="1"/>
    <col min="5645" max="5645" width="9.140625" style="212"/>
    <col min="5646" max="5647" width="10.7109375" style="212" bestFit="1" customWidth="1"/>
    <col min="5648" max="5881" width="9.140625" style="212"/>
    <col min="5882" max="5882" width="19.85546875" style="212" bestFit="1" customWidth="1"/>
    <col min="5883" max="5883" width="12.42578125" style="212" bestFit="1" customWidth="1"/>
    <col min="5884" max="5884" width="16.42578125" style="212" bestFit="1" customWidth="1"/>
    <col min="5885" max="5885" width="12" style="212" customWidth="1"/>
    <col min="5886" max="5886" width="14.7109375" style="212" customWidth="1"/>
    <col min="5887" max="5887" width="15.28515625" style="212" customWidth="1"/>
    <col min="5888" max="5888" width="14.85546875" style="212" bestFit="1" customWidth="1"/>
    <col min="5889" max="5889" width="20.28515625" style="212" bestFit="1" customWidth="1"/>
    <col min="5890" max="5890" width="18.7109375" style="212" bestFit="1" customWidth="1"/>
    <col min="5891" max="5891" width="15.28515625" style="212" customWidth="1"/>
    <col min="5892" max="5892" width="16.85546875" style="212" customWidth="1"/>
    <col min="5893" max="5893" width="17.140625" style="212" bestFit="1" customWidth="1"/>
    <col min="5894" max="5894" width="15" style="212" customWidth="1"/>
    <col min="5895" max="5895" width="10.42578125" style="212" customWidth="1"/>
    <col min="5896" max="5898" width="9.140625" style="212"/>
    <col min="5899" max="5900" width="10.7109375" style="212" bestFit="1" customWidth="1"/>
    <col min="5901" max="5901" width="9.140625" style="212"/>
    <col min="5902" max="5903" width="10.7109375" style="212" bestFit="1" customWidth="1"/>
    <col min="5904" max="6137" width="9.140625" style="212"/>
    <col min="6138" max="6138" width="19.85546875" style="212" bestFit="1" customWidth="1"/>
    <col min="6139" max="6139" width="12.42578125" style="212" bestFit="1" customWidth="1"/>
    <col min="6140" max="6140" width="16.42578125" style="212" bestFit="1" customWidth="1"/>
    <col min="6141" max="6141" width="12" style="212" customWidth="1"/>
    <col min="6142" max="6142" width="14.7109375" style="212" customWidth="1"/>
    <col min="6143" max="6143" width="15.28515625" style="212" customWidth="1"/>
    <col min="6144" max="6144" width="14.85546875" style="212" bestFit="1" customWidth="1"/>
    <col min="6145" max="6145" width="20.28515625" style="212" bestFit="1" customWidth="1"/>
    <col min="6146" max="6146" width="18.7109375" style="212" bestFit="1" customWidth="1"/>
    <col min="6147" max="6147" width="15.28515625" style="212" customWidth="1"/>
    <col min="6148" max="6148" width="16.85546875" style="212" customWidth="1"/>
    <col min="6149" max="6149" width="17.140625" style="212" bestFit="1" customWidth="1"/>
    <col min="6150" max="6150" width="15" style="212" customWidth="1"/>
    <col min="6151" max="6151" width="10.42578125" style="212" customWidth="1"/>
    <col min="6152" max="6154" width="9.140625" style="212"/>
    <col min="6155" max="6156" width="10.7109375" style="212" bestFit="1" customWidth="1"/>
    <col min="6157" max="6157" width="9.140625" style="212"/>
    <col min="6158" max="6159" width="10.7109375" style="212" bestFit="1" customWidth="1"/>
    <col min="6160" max="6393" width="9.140625" style="212"/>
    <col min="6394" max="6394" width="19.85546875" style="212" bestFit="1" customWidth="1"/>
    <col min="6395" max="6395" width="12.42578125" style="212" bestFit="1" customWidth="1"/>
    <col min="6396" max="6396" width="16.42578125" style="212" bestFit="1" customWidth="1"/>
    <col min="6397" max="6397" width="12" style="212" customWidth="1"/>
    <col min="6398" max="6398" width="14.7109375" style="212" customWidth="1"/>
    <col min="6399" max="6399" width="15.28515625" style="212" customWidth="1"/>
    <col min="6400" max="6400" width="14.85546875" style="212" bestFit="1" customWidth="1"/>
    <col min="6401" max="6401" width="20.28515625" style="212" bestFit="1" customWidth="1"/>
    <col min="6402" max="6402" width="18.7109375" style="212" bestFit="1" customWidth="1"/>
    <col min="6403" max="6403" width="15.28515625" style="212" customWidth="1"/>
    <col min="6404" max="6404" width="16.85546875" style="212" customWidth="1"/>
    <col min="6405" max="6405" width="17.140625" style="212" bestFit="1" customWidth="1"/>
    <col min="6406" max="6406" width="15" style="212" customWidth="1"/>
    <col min="6407" max="6407" width="10.42578125" style="212" customWidth="1"/>
    <col min="6408" max="6410" width="9.140625" style="212"/>
    <col min="6411" max="6412" width="10.7109375" style="212" bestFit="1" customWidth="1"/>
    <col min="6413" max="6413" width="9.140625" style="212"/>
    <col min="6414" max="6415" width="10.7109375" style="212" bestFit="1" customWidth="1"/>
    <col min="6416" max="6649" width="9.140625" style="212"/>
    <col min="6650" max="6650" width="19.85546875" style="212" bestFit="1" customWidth="1"/>
    <col min="6651" max="6651" width="12.42578125" style="212" bestFit="1" customWidth="1"/>
    <col min="6652" max="6652" width="16.42578125" style="212" bestFit="1" customWidth="1"/>
    <col min="6653" max="6653" width="12" style="212" customWidth="1"/>
    <col min="6654" max="6654" width="14.7109375" style="212" customWidth="1"/>
    <col min="6655" max="6655" width="15.28515625" style="212" customWidth="1"/>
    <col min="6656" max="6656" width="14.85546875" style="212" bestFit="1" customWidth="1"/>
    <col min="6657" max="6657" width="20.28515625" style="212" bestFit="1" customWidth="1"/>
    <col min="6658" max="6658" width="18.7109375" style="212" bestFit="1" customWidth="1"/>
    <col min="6659" max="6659" width="15.28515625" style="212" customWidth="1"/>
    <col min="6660" max="6660" width="16.85546875" style="212" customWidth="1"/>
    <col min="6661" max="6661" width="17.140625" style="212" bestFit="1" customWidth="1"/>
    <col min="6662" max="6662" width="15" style="212" customWidth="1"/>
    <col min="6663" max="6663" width="10.42578125" style="212" customWidth="1"/>
    <col min="6664" max="6666" width="9.140625" style="212"/>
    <col min="6667" max="6668" width="10.7109375" style="212" bestFit="1" customWidth="1"/>
    <col min="6669" max="6669" width="9.140625" style="212"/>
    <col min="6670" max="6671" width="10.7109375" style="212" bestFit="1" customWidth="1"/>
    <col min="6672" max="6905" width="9.140625" style="212"/>
    <col min="6906" max="6906" width="19.85546875" style="212" bestFit="1" customWidth="1"/>
    <col min="6907" max="6907" width="12.42578125" style="212" bestFit="1" customWidth="1"/>
    <col min="6908" max="6908" width="16.42578125" style="212" bestFit="1" customWidth="1"/>
    <col min="6909" max="6909" width="12" style="212" customWidth="1"/>
    <col min="6910" max="6910" width="14.7109375" style="212" customWidth="1"/>
    <col min="6911" max="6911" width="15.28515625" style="212" customWidth="1"/>
    <col min="6912" max="6912" width="14.85546875" style="212" bestFit="1" customWidth="1"/>
    <col min="6913" max="6913" width="20.28515625" style="212" bestFit="1" customWidth="1"/>
    <col min="6914" max="6914" width="18.7109375" style="212" bestFit="1" customWidth="1"/>
    <col min="6915" max="6915" width="15.28515625" style="212" customWidth="1"/>
    <col min="6916" max="6916" width="16.85546875" style="212" customWidth="1"/>
    <col min="6917" max="6917" width="17.140625" style="212" bestFit="1" customWidth="1"/>
    <col min="6918" max="6918" width="15" style="212" customWidth="1"/>
    <col min="6919" max="6919" width="10.42578125" style="212" customWidth="1"/>
    <col min="6920" max="6922" width="9.140625" style="212"/>
    <col min="6923" max="6924" width="10.7109375" style="212" bestFit="1" customWidth="1"/>
    <col min="6925" max="6925" width="9.140625" style="212"/>
    <col min="6926" max="6927" width="10.7109375" style="212" bestFit="1" customWidth="1"/>
    <col min="6928" max="7161" width="9.140625" style="212"/>
    <col min="7162" max="7162" width="19.85546875" style="212" bestFit="1" customWidth="1"/>
    <col min="7163" max="7163" width="12.42578125" style="212" bestFit="1" customWidth="1"/>
    <col min="7164" max="7164" width="16.42578125" style="212" bestFit="1" customWidth="1"/>
    <col min="7165" max="7165" width="12" style="212" customWidth="1"/>
    <col min="7166" max="7166" width="14.7109375" style="212" customWidth="1"/>
    <col min="7167" max="7167" width="15.28515625" style="212" customWidth="1"/>
    <col min="7168" max="7168" width="14.85546875" style="212" bestFit="1" customWidth="1"/>
    <col min="7169" max="7169" width="20.28515625" style="212" bestFit="1" customWidth="1"/>
    <col min="7170" max="7170" width="18.7109375" style="212" bestFit="1" customWidth="1"/>
    <col min="7171" max="7171" width="15.28515625" style="212" customWidth="1"/>
    <col min="7172" max="7172" width="16.85546875" style="212" customWidth="1"/>
    <col min="7173" max="7173" width="17.140625" style="212" bestFit="1" customWidth="1"/>
    <col min="7174" max="7174" width="15" style="212" customWidth="1"/>
    <col min="7175" max="7175" width="10.42578125" style="212" customWidth="1"/>
    <col min="7176" max="7178" width="9.140625" style="212"/>
    <col min="7179" max="7180" width="10.7109375" style="212" bestFit="1" customWidth="1"/>
    <col min="7181" max="7181" width="9.140625" style="212"/>
    <col min="7182" max="7183" width="10.7109375" style="212" bestFit="1" customWidth="1"/>
    <col min="7184" max="7417" width="9.140625" style="212"/>
    <col min="7418" max="7418" width="19.85546875" style="212" bestFit="1" customWidth="1"/>
    <col min="7419" max="7419" width="12.42578125" style="212" bestFit="1" customWidth="1"/>
    <col min="7420" max="7420" width="16.42578125" style="212" bestFit="1" customWidth="1"/>
    <col min="7421" max="7421" width="12" style="212" customWidth="1"/>
    <col min="7422" max="7422" width="14.7109375" style="212" customWidth="1"/>
    <col min="7423" max="7423" width="15.28515625" style="212" customWidth="1"/>
    <col min="7424" max="7424" width="14.85546875" style="212" bestFit="1" customWidth="1"/>
    <col min="7425" max="7425" width="20.28515625" style="212" bestFit="1" customWidth="1"/>
    <col min="7426" max="7426" width="18.7109375" style="212" bestFit="1" customWidth="1"/>
    <col min="7427" max="7427" width="15.28515625" style="212" customWidth="1"/>
    <col min="7428" max="7428" width="16.85546875" style="212" customWidth="1"/>
    <col min="7429" max="7429" width="17.140625" style="212" bestFit="1" customWidth="1"/>
    <col min="7430" max="7430" width="15" style="212" customWidth="1"/>
    <col min="7431" max="7431" width="10.42578125" style="212" customWidth="1"/>
    <col min="7432" max="7434" width="9.140625" style="212"/>
    <col min="7435" max="7436" width="10.7109375" style="212" bestFit="1" customWidth="1"/>
    <col min="7437" max="7437" width="9.140625" style="212"/>
    <col min="7438" max="7439" width="10.7109375" style="212" bestFit="1" customWidth="1"/>
    <col min="7440" max="7673" width="9.140625" style="212"/>
    <col min="7674" max="7674" width="19.85546875" style="212" bestFit="1" customWidth="1"/>
    <col min="7675" max="7675" width="12.42578125" style="212" bestFit="1" customWidth="1"/>
    <col min="7676" max="7676" width="16.42578125" style="212" bestFit="1" customWidth="1"/>
    <col min="7677" max="7677" width="12" style="212" customWidth="1"/>
    <col min="7678" max="7678" width="14.7109375" style="212" customWidth="1"/>
    <col min="7679" max="7679" width="15.28515625" style="212" customWidth="1"/>
    <col min="7680" max="7680" width="14.85546875" style="212" bestFit="1" customWidth="1"/>
    <col min="7681" max="7681" width="20.28515625" style="212" bestFit="1" customWidth="1"/>
    <col min="7682" max="7682" width="18.7109375" style="212" bestFit="1" customWidth="1"/>
    <col min="7683" max="7683" width="15.28515625" style="212" customWidth="1"/>
    <col min="7684" max="7684" width="16.85546875" style="212" customWidth="1"/>
    <col min="7685" max="7685" width="17.140625" style="212" bestFit="1" customWidth="1"/>
    <col min="7686" max="7686" width="15" style="212" customWidth="1"/>
    <col min="7687" max="7687" width="10.42578125" style="212" customWidth="1"/>
    <col min="7688" max="7690" width="9.140625" style="212"/>
    <col min="7691" max="7692" width="10.7109375" style="212" bestFit="1" customWidth="1"/>
    <col min="7693" max="7693" width="9.140625" style="212"/>
    <col min="7694" max="7695" width="10.7109375" style="212" bestFit="1" customWidth="1"/>
    <col min="7696" max="7929" width="9.140625" style="212"/>
    <col min="7930" max="7930" width="19.85546875" style="212" bestFit="1" customWidth="1"/>
    <col min="7931" max="7931" width="12.42578125" style="212" bestFit="1" customWidth="1"/>
    <col min="7932" max="7932" width="16.42578125" style="212" bestFit="1" customWidth="1"/>
    <col min="7933" max="7933" width="12" style="212" customWidth="1"/>
    <col min="7934" max="7934" width="14.7109375" style="212" customWidth="1"/>
    <col min="7935" max="7935" width="15.28515625" style="212" customWidth="1"/>
    <col min="7936" max="7936" width="14.85546875" style="212" bestFit="1" customWidth="1"/>
    <col min="7937" max="7937" width="20.28515625" style="212" bestFit="1" customWidth="1"/>
    <col min="7938" max="7938" width="18.7109375" style="212" bestFit="1" customWidth="1"/>
    <col min="7939" max="7939" width="15.28515625" style="212" customWidth="1"/>
    <col min="7940" max="7940" width="16.85546875" style="212" customWidth="1"/>
    <col min="7941" max="7941" width="17.140625" style="212" bestFit="1" customWidth="1"/>
    <col min="7942" max="7942" width="15" style="212" customWidth="1"/>
    <col min="7943" max="7943" width="10.42578125" style="212" customWidth="1"/>
    <col min="7944" max="7946" width="9.140625" style="212"/>
    <col min="7947" max="7948" width="10.7109375" style="212" bestFit="1" customWidth="1"/>
    <col min="7949" max="7949" width="9.140625" style="212"/>
    <col min="7950" max="7951" width="10.7109375" style="212" bestFit="1" customWidth="1"/>
    <col min="7952" max="8185" width="9.140625" style="212"/>
    <col min="8186" max="8186" width="19.85546875" style="212" bestFit="1" customWidth="1"/>
    <col min="8187" max="8187" width="12.42578125" style="212" bestFit="1" customWidth="1"/>
    <col min="8188" max="8188" width="16.42578125" style="212" bestFit="1" customWidth="1"/>
    <col min="8189" max="8189" width="12" style="212" customWidth="1"/>
    <col min="8190" max="8190" width="14.7109375" style="212" customWidth="1"/>
    <col min="8191" max="8191" width="15.28515625" style="212" customWidth="1"/>
    <col min="8192" max="8192" width="14.85546875" style="212" bestFit="1" customWidth="1"/>
    <col min="8193" max="8193" width="20.28515625" style="212" bestFit="1" customWidth="1"/>
    <col min="8194" max="8194" width="18.7109375" style="212" bestFit="1" customWidth="1"/>
    <col min="8195" max="8195" width="15.28515625" style="212" customWidth="1"/>
    <col min="8196" max="8196" width="16.85546875" style="212" customWidth="1"/>
    <col min="8197" max="8197" width="17.140625" style="212" bestFit="1" customWidth="1"/>
    <col min="8198" max="8198" width="15" style="212" customWidth="1"/>
    <col min="8199" max="8199" width="10.42578125" style="212" customWidth="1"/>
    <col min="8200" max="8202" width="9.140625" style="212"/>
    <col min="8203" max="8204" width="10.7109375" style="212" bestFit="1" customWidth="1"/>
    <col min="8205" max="8205" width="9.140625" style="212"/>
    <col min="8206" max="8207" width="10.7109375" style="212" bestFit="1" customWidth="1"/>
    <col min="8208" max="8441" width="9.140625" style="212"/>
    <col min="8442" max="8442" width="19.85546875" style="212" bestFit="1" customWidth="1"/>
    <col min="8443" max="8443" width="12.42578125" style="212" bestFit="1" customWidth="1"/>
    <col min="8444" max="8444" width="16.42578125" style="212" bestFit="1" customWidth="1"/>
    <col min="8445" max="8445" width="12" style="212" customWidth="1"/>
    <col min="8446" max="8446" width="14.7109375" style="212" customWidth="1"/>
    <col min="8447" max="8447" width="15.28515625" style="212" customWidth="1"/>
    <col min="8448" max="8448" width="14.85546875" style="212" bestFit="1" customWidth="1"/>
    <col min="8449" max="8449" width="20.28515625" style="212" bestFit="1" customWidth="1"/>
    <col min="8450" max="8450" width="18.7109375" style="212" bestFit="1" customWidth="1"/>
    <col min="8451" max="8451" width="15.28515625" style="212" customWidth="1"/>
    <col min="8452" max="8452" width="16.85546875" style="212" customWidth="1"/>
    <col min="8453" max="8453" width="17.140625" style="212" bestFit="1" customWidth="1"/>
    <col min="8454" max="8454" width="15" style="212" customWidth="1"/>
    <col min="8455" max="8455" width="10.42578125" style="212" customWidth="1"/>
    <col min="8456" max="8458" width="9.140625" style="212"/>
    <col min="8459" max="8460" width="10.7109375" style="212" bestFit="1" customWidth="1"/>
    <col min="8461" max="8461" width="9.140625" style="212"/>
    <col min="8462" max="8463" width="10.7109375" style="212" bestFit="1" customWidth="1"/>
    <col min="8464" max="8697" width="9.140625" style="212"/>
    <col min="8698" max="8698" width="19.85546875" style="212" bestFit="1" customWidth="1"/>
    <col min="8699" max="8699" width="12.42578125" style="212" bestFit="1" customWidth="1"/>
    <col min="8700" max="8700" width="16.42578125" style="212" bestFit="1" customWidth="1"/>
    <col min="8701" max="8701" width="12" style="212" customWidth="1"/>
    <col min="8702" max="8702" width="14.7109375" style="212" customWidth="1"/>
    <col min="8703" max="8703" width="15.28515625" style="212" customWidth="1"/>
    <col min="8704" max="8704" width="14.85546875" style="212" bestFit="1" customWidth="1"/>
    <col min="8705" max="8705" width="20.28515625" style="212" bestFit="1" customWidth="1"/>
    <col min="8706" max="8706" width="18.7109375" style="212" bestFit="1" customWidth="1"/>
    <col min="8707" max="8707" width="15.28515625" style="212" customWidth="1"/>
    <col min="8708" max="8708" width="16.85546875" style="212" customWidth="1"/>
    <col min="8709" max="8709" width="17.140625" style="212" bestFit="1" customWidth="1"/>
    <col min="8710" max="8710" width="15" style="212" customWidth="1"/>
    <col min="8711" max="8711" width="10.42578125" style="212" customWidth="1"/>
    <col min="8712" max="8714" width="9.140625" style="212"/>
    <col min="8715" max="8716" width="10.7109375" style="212" bestFit="1" customWidth="1"/>
    <col min="8717" max="8717" width="9.140625" style="212"/>
    <col min="8718" max="8719" width="10.7109375" style="212" bestFit="1" customWidth="1"/>
    <col min="8720" max="8953" width="9.140625" style="212"/>
    <col min="8954" max="8954" width="19.85546875" style="212" bestFit="1" customWidth="1"/>
    <col min="8955" max="8955" width="12.42578125" style="212" bestFit="1" customWidth="1"/>
    <col min="8956" max="8956" width="16.42578125" style="212" bestFit="1" customWidth="1"/>
    <col min="8957" max="8957" width="12" style="212" customWidth="1"/>
    <col min="8958" max="8958" width="14.7109375" style="212" customWidth="1"/>
    <col min="8959" max="8959" width="15.28515625" style="212" customWidth="1"/>
    <col min="8960" max="8960" width="14.85546875" style="212" bestFit="1" customWidth="1"/>
    <col min="8961" max="8961" width="20.28515625" style="212" bestFit="1" customWidth="1"/>
    <col min="8962" max="8962" width="18.7109375" style="212" bestFit="1" customWidth="1"/>
    <col min="8963" max="8963" width="15.28515625" style="212" customWidth="1"/>
    <col min="8964" max="8964" width="16.85546875" style="212" customWidth="1"/>
    <col min="8965" max="8965" width="17.140625" style="212" bestFit="1" customWidth="1"/>
    <col min="8966" max="8966" width="15" style="212" customWidth="1"/>
    <col min="8967" max="8967" width="10.42578125" style="212" customWidth="1"/>
    <col min="8968" max="8970" width="9.140625" style="212"/>
    <col min="8971" max="8972" width="10.7109375" style="212" bestFit="1" customWidth="1"/>
    <col min="8973" max="8973" width="9.140625" style="212"/>
    <col min="8974" max="8975" width="10.7109375" style="212" bestFit="1" customWidth="1"/>
    <col min="8976" max="9209" width="9.140625" style="212"/>
    <col min="9210" max="9210" width="19.85546875" style="212" bestFit="1" customWidth="1"/>
    <col min="9211" max="9211" width="12.42578125" style="212" bestFit="1" customWidth="1"/>
    <col min="9212" max="9212" width="16.42578125" style="212" bestFit="1" customWidth="1"/>
    <col min="9213" max="9213" width="12" style="212" customWidth="1"/>
    <col min="9214" max="9214" width="14.7109375" style="212" customWidth="1"/>
    <col min="9215" max="9215" width="15.28515625" style="212" customWidth="1"/>
    <col min="9216" max="9216" width="14.85546875" style="212" bestFit="1" customWidth="1"/>
    <col min="9217" max="9217" width="20.28515625" style="212" bestFit="1" customWidth="1"/>
    <col min="9218" max="9218" width="18.7109375" style="212" bestFit="1" customWidth="1"/>
    <col min="9219" max="9219" width="15.28515625" style="212" customWidth="1"/>
    <col min="9220" max="9220" width="16.85546875" style="212" customWidth="1"/>
    <col min="9221" max="9221" width="17.140625" style="212" bestFit="1" customWidth="1"/>
    <col min="9222" max="9222" width="15" style="212" customWidth="1"/>
    <col min="9223" max="9223" width="10.42578125" style="212" customWidth="1"/>
    <col min="9224" max="9226" width="9.140625" style="212"/>
    <col min="9227" max="9228" width="10.7109375" style="212" bestFit="1" customWidth="1"/>
    <col min="9229" max="9229" width="9.140625" style="212"/>
    <col min="9230" max="9231" width="10.7109375" style="212" bestFit="1" customWidth="1"/>
    <col min="9232" max="9465" width="9.140625" style="212"/>
    <col min="9466" max="9466" width="19.85546875" style="212" bestFit="1" customWidth="1"/>
    <col min="9467" max="9467" width="12.42578125" style="212" bestFit="1" customWidth="1"/>
    <col min="9468" max="9468" width="16.42578125" style="212" bestFit="1" customWidth="1"/>
    <col min="9469" max="9469" width="12" style="212" customWidth="1"/>
    <col min="9470" max="9470" width="14.7109375" style="212" customWidth="1"/>
    <col min="9471" max="9471" width="15.28515625" style="212" customWidth="1"/>
    <col min="9472" max="9472" width="14.85546875" style="212" bestFit="1" customWidth="1"/>
    <col min="9473" max="9473" width="20.28515625" style="212" bestFit="1" customWidth="1"/>
    <col min="9474" max="9474" width="18.7109375" style="212" bestFit="1" customWidth="1"/>
    <col min="9475" max="9475" width="15.28515625" style="212" customWidth="1"/>
    <col min="9476" max="9476" width="16.85546875" style="212" customWidth="1"/>
    <col min="9477" max="9477" width="17.140625" style="212" bestFit="1" customWidth="1"/>
    <col min="9478" max="9478" width="15" style="212" customWidth="1"/>
    <col min="9479" max="9479" width="10.42578125" style="212" customWidth="1"/>
    <col min="9480" max="9482" width="9.140625" style="212"/>
    <col min="9483" max="9484" width="10.7109375" style="212" bestFit="1" customWidth="1"/>
    <col min="9485" max="9485" width="9.140625" style="212"/>
    <col min="9486" max="9487" width="10.7109375" style="212" bestFit="1" customWidth="1"/>
    <col min="9488" max="9721" width="9.140625" style="212"/>
    <col min="9722" max="9722" width="19.85546875" style="212" bestFit="1" customWidth="1"/>
    <col min="9723" max="9723" width="12.42578125" style="212" bestFit="1" customWidth="1"/>
    <col min="9724" max="9724" width="16.42578125" style="212" bestFit="1" customWidth="1"/>
    <col min="9725" max="9725" width="12" style="212" customWidth="1"/>
    <col min="9726" max="9726" width="14.7109375" style="212" customWidth="1"/>
    <col min="9727" max="9727" width="15.28515625" style="212" customWidth="1"/>
    <col min="9728" max="9728" width="14.85546875" style="212" bestFit="1" customWidth="1"/>
    <col min="9729" max="9729" width="20.28515625" style="212" bestFit="1" customWidth="1"/>
    <col min="9730" max="9730" width="18.7109375" style="212" bestFit="1" customWidth="1"/>
    <col min="9731" max="9731" width="15.28515625" style="212" customWidth="1"/>
    <col min="9732" max="9732" width="16.85546875" style="212" customWidth="1"/>
    <col min="9733" max="9733" width="17.140625" style="212" bestFit="1" customWidth="1"/>
    <col min="9734" max="9734" width="15" style="212" customWidth="1"/>
    <col min="9735" max="9735" width="10.42578125" style="212" customWidth="1"/>
    <col min="9736" max="9738" width="9.140625" style="212"/>
    <col min="9739" max="9740" width="10.7109375" style="212" bestFit="1" customWidth="1"/>
    <col min="9741" max="9741" width="9.140625" style="212"/>
    <col min="9742" max="9743" width="10.7109375" style="212" bestFit="1" customWidth="1"/>
    <col min="9744" max="9977" width="9.140625" style="212"/>
    <col min="9978" max="9978" width="19.85546875" style="212" bestFit="1" customWidth="1"/>
    <col min="9979" max="9979" width="12.42578125" style="212" bestFit="1" customWidth="1"/>
    <col min="9980" max="9980" width="16.42578125" style="212" bestFit="1" customWidth="1"/>
    <col min="9981" max="9981" width="12" style="212" customWidth="1"/>
    <col min="9982" max="9982" width="14.7109375" style="212" customWidth="1"/>
    <col min="9983" max="9983" width="15.28515625" style="212" customWidth="1"/>
    <col min="9984" max="9984" width="14.85546875" style="212" bestFit="1" customWidth="1"/>
    <col min="9985" max="9985" width="20.28515625" style="212" bestFit="1" customWidth="1"/>
    <col min="9986" max="9986" width="18.7109375" style="212" bestFit="1" customWidth="1"/>
    <col min="9987" max="9987" width="15.28515625" style="212" customWidth="1"/>
    <col min="9988" max="9988" width="16.85546875" style="212" customWidth="1"/>
    <col min="9989" max="9989" width="17.140625" style="212" bestFit="1" customWidth="1"/>
    <col min="9990" max="9990" width="15" style="212" customWidth="1"/>
    <col min="9991" max="9991" width="10.42578125" style="212" customWidth="1"/>
    <col min="9992" max="9994" width="9.140625" style="212"/>
    <col min="9995" max="9996" width="10.7109375" style="212" bestFit="1" customWidth="1"/>
    <col min="9997" max="9997" width="9.140625" style="212"/>
    <col min="9998" max="9999" width="10.7109375" style="212" bestFit="1" customWidth="1"/>
    <col min="10000" max="10233" width="9.140625" style="212"/>
    <col min="10234" max="10234" width="19.85546875" style="212" bestFit="1" customWidth="1"/>
    <col min="10235" max="10235" width="12.42578125" style="212" bestFit="1" customWidth="1"/>
    <col min="10236" max="10236" width="16.42578125" style="212" bestFit="1" customWidth="1"/>
    <col min="10237" max="10237" width="12" style="212" customWidth="1"/>
    <col min="10238" max="10238" width="14.7109375" style="212" customWidth="1"/>
    <col min="10239" max="10239" width="15.28515625" style="212" customWidth="1"/>
    <col min="10240" max="10240" width="14.85546875" style="212" bestFit="1" customWidth="1"/>
    <col min="10241" max="10241" width="20.28515625" style="212" bestFit="1" customWidth="1"/>
    <col min="10242" max="10242" width="18.7109375" style="212" bestFit="1" customWidth="1"/>
    <col min="10243" max="10243" width="15.28515625" style="212" customWidth="1"/>
    <col min="10244" max="10244" width="16.85546875" style="212" customWidth="1"/>
    <col min="10245" max="10245" width="17.140625" style="212" bestFit="1" customWidth="1"/>
    <col min="10246" max="10246" width="15" style="212" customWidth="1"/>
    <col min="10247" max="10247" width="10.42578125" style="212" customWidth="1"/>
    <col min="10248" max="10250" width="9.140625" style="212"/>
    <col min="10251" max="10252" width="10.7109375" style="212" bestFit="1" customWidth="1"/>
    <col min="10253" max="10253" width="9.140625" style="212"/>
    <col min="10254" max="10255" width="10.7109375" style="212" bestFit="1" customWidth="1"/>
    <col min="10256" max="10489" width="9.140625" style="212"/>
    <col min="10490" max="10490" width="19.85546875" style="212" bestFit="1" customWidth="1"/>
    <col min="10491" max="10491" width="12.42578125" style="212" bestFit="1" customWidth="1"/>
    <col min="10492" max="10492" width="16.42578125" style="212" bestFit="1" customWidth="1"/>
    <col min="10493" max="10493" width="12" style="212" customWidth="1"/>
    <col min="10494" max="10494" width="14.7109375" style="212" customWidth="1"/>
    <col min="10495" max="10495" width="15.28515625" style="212" customWidth="1"/>
    <col min="10496" max="10496" width="14.85546875" style="212" bestFit="1" customWidth="1"/>
    <col min="10497" max="10497" width="20.28515625" style="212" bestFit="1" customWidth="1"/>
    <col min="10498" max="10498" width="18.7109375" style="212" bestFit="1" customWidth="1"/>
    <col min="10499" max="10499" width="15.28515625" style="212" customWidth="1"/>
    <col min="10500" max="10500" width="16.85546875" style="212" customWidth="1"/>
    <col min="10501" max="10501" width="17.140625" style="212" bestFit="1" customWidth="1"/>
    <col min="10502" max="10502" width="15" style="212" customWidth="1"/>
    <col min="10503" max="10503" width="10.42578125" style="212" customWidth="1"/>
    <col min="10504" max="10506" width="9.140625" style="212"/>
    <col min="10507" max="10508" width="10.7109375" style="212" bestFit="1" customWidth="1"/>
    <col min="10509" max="10509" width="9.140625" style="212"/>
    <col min="10510" max="10511" width="10.7109375" style="212" bestFit="1" customWidth="1"/>
    <col min="10512" max="10745" width="9.140625" style="212"/>
    <col min="10746" max="10746" width="19.85546875" style="212" bestFit="1" customWidth="1"/>
    <col min="10747" max="10747" width="12.42578125" style="212" bestFit="1" customWidth="1"/>
    <col min="10748" max="10748" width="16.42578125" style="212" bestFit="1" customWidth="1"/>
    <col min="10749" max="10749" width="12" style="212" customWidth="1"/>
    <col min="10750" max="10750" width="14.7109375" style="212" customWidth="1"/>
    <col min="10751" max="10751" width="15.28515625" style="212" customWidth="1"/>
    <col min="10752" max="10752" width="14.85546875" style="212" bestFit="1" customWidth="1"/>
    <col min="10753" max="10753" width="20.28515625" style="212" bestFit="1" customWidth="1"/>
    <col min="10754" max="10754" width="18.7109375" style="212" bestFit="1" customWidth="1"/>
    <col min="10755" max="10755" width="15.28515625" style="212" customWidth="1"/>
    <col min="10756" max="10756" width="16.85546875" style="212" customWidth="1"/>
    <col min="10757" max="10757" width="17.140625" style="212" bestFit="1" customWidth="1"/>
    <col min="10758" max="10758" width="15" style="212" customWidth="1"/>
    <col min="10759" max="10759" width="10.42578125" style="212" customWidth="1"/>
    <col min="10760" max="10762" width="9.140625" style="212"/>
    <col min="10763" max="10764" width="10.7109375" style="212" bestFit="1" customWidth="1"/>
    <col min="10765" max="10765" width="9.140625" style="212"/>
    <col min="10766" max="10767" width="10.7109375" style="212" bestFit="1" customWidth="1"/>
    <col min="10768" max="11001" width="9.140625" style="212"/>
    <col min="11002" max="11002" width="19.85546875" style="212" bestFit="1" customWidth="1"/>
    <col min="11003" max="11003" width="12.42578125" style="212" bestFit="1" customWidth="1"/>
    <col min="11004" max="11004" width="16.42578125" style="212" bestFit="1" customWidth="1"/>
    <col min="11005" max="11005" width="12" style="212" customWidth="1"/>
    <col min="11006" max="11006" width="14.7109375" style="212" customWidth="1"/>
    <col min="11007" max="11007" width="15.28515625" style="212" customWidth="1"/>
    <col min="11008" max="11008" width="14.85546875" style="212" bestFit="1" customWidth="1"/>
    <col min="11009" max="11009" width="20.28515625" style="212" bestFit="1" customWidth="1"/>
    <col min="11010" max="11010" width="18.7109375" style="212" bestFit="1" customWidth="1"/>
    <col min="11011" max="11011" width="15.28515625" style="212" customWidth="1"/>
    <col min="11012" max="11012" width="16.85546875" style="212" customWidth="1"/>
    <col min="11013" max="11013" width="17.140625" style="212" bestFit="1" customWidth="1"/>
    <col min="11014" max="11014" width="15" style="212" customWidth="1"/>
    <col min="11015" max="11015" width="10.42578125" style="212" customWidth="1"/>
    <col min="11016" max="11018" width="9.140625" style="212"/>
    <col min="11019" max="11020" width="10.7109375" style="212" bestFit="1" customWidth="1"/>
    <col min="11021" max="11021" width="9.140625" style="212"/>
    <col min="11022" max="11023" width="10.7109375" style="212" bestFit="1" customWidth="1"/>
    <col min="11024" max="11257" width="9.140625" style="212"/>
    <col min="11258" max="11258" width="19.85546875" style="212" bestFit="1" customWidth="1"/>
    <col min="11259" max="11259" width="12.42578125" style="212" bestFit="1" customWidth="1"/>
    <col min="11260" max="11260" width="16.42578125" style="212" bestFit="1" customWidth="1"/>
    <col min="11261" max="11261" width="12" style="212" customWidth="1"/>
    <col min="11262" max="11262" width="14.7109375" style="212" customWidth="1"/>
    <col min="11263" max="11263" width="15.28515625" style="212" customWidth="1"/>
    <col min="11264" max="11264" width="14.85546875" style="212" bestFit="1" customWidth="1"/>
    <col min="11265" max="11265" width="20.28515625" style="212" bestFit="1" customWidth="1"/>
    <col min="11266" max="11266" width="18.7109375" style="212" bestFit="1" customWidth="1"/>
    <col min="11267" max="11267" width="15.28515625" style="212" customWidth="1"/>
    <col min="11268" max="11268" width="16.85546875" style="212" customWidth="1"/>
    <col min="11269" max="11269" width="17.140625" style="212" bestFit="1" customWidth="1"/>
    <col min="11270" max="11270" width="15" style="212" customWidth="1"/>
    <col min="11271" max="11271" width="10.42578125" style="212" customWidth="1"/>
    <col min="11272" max="11274" width="9.140625" style="212"/>
    <col min="11275" max="11276" width="10.7109375" style="212" bestFit="1" customWidth="1"/>
    <col min="11277" max="11277" width="9.140625" style="212"/>
    <col min="11278" max="11279" width="10.7109375" style="212" bestFit="1" customWidth="1"/>
    <col min="11280" max="11513" width="9.140625" style="212"/>
    <col min="11514" max="11514" width="19.85546875" style="212" bestFit="1" customWidth="1"/>
    <col min="11515" max="11515" width="12.42578125" style="212" bestFit="1" customWidth="1"/>
    <col min="11516" max="11516" width="16.42578125" style="212" bestFit="1" customWidth="1"/>
    <col min="11517" max="11517" width="12" style="212" customWidth="1"/>
    <col min="11518" max="11518" width="14.7109375" style="212" customWidth="1"/>
    <col min="11519" max="11519" width="15.28515625" style="212" customWidth="1"/>
    <col min="11520" max="11520" width="14.85546875" style="212" bestFit="1" customWidth="1"/>
    <col min="11521" max="11521" width="20.28515625" style="212" bestFit="1" customWidth="1"/>
    <col min="11522" max="11522" width="18.7109375" style="212" bestFit="1" customWidth="1"/>
    <col min="11523" max="11523" width="15.28515625" style="212" customWidth="1"/>
    <col min="11524" max="11524" width="16.85546875" style="212" customWidth="1"/>
    <col min="11525" max="11525" width="17.140625" style="212" bestFit="1" customWidth="1"/>
    <col min="11526" max="11526" width="15" style="212" customWidth="1"/>
    <col min="11527" max="11527" width="10.42578125" style="212" customWidth="1"/>
    <col min="11528" max="11530" width="9.140625" style="212"/>
    <col min="11531" max="11532" width="10.7109375" style="212" bestFit="1" customWidth="1"/>
    <col min="11533" max="11533" width="9.140625" style="212"/>
    <col min="11534" max="11535" width="10.7109375" style="212" bestFit="1" customWidth="1"/>
    <col min="11536" max="11769" width="9.140625" style="212"/>
    <col min="11770" max="11770" width="19.85546875" style="212" bestFit="1" customWidth="1"/>
    <col min="11771" max="11771" width="12.42578125" style="212" bestFit="1" customWidth="1"/>
    <col min="11772" max="11772" width="16.42578125" style="212" bestFit="1" customWidth="1"/>
    <col min="11773" max="11773" width="12" style="212" customWidth="1"/>
    <col min="11774" max="11774" width="14.7109375" style="212" customWidth="1"/>
    <col min="11775" max="11775" width="15.28515625" style="212" customWidth="1"/>
    <col min="11776" max="11776" width="14.85546875" style="212" bestFit="1" customWidth="1"/>
    <col min="11777" max="11777" width="20.28515625" style="212" bestFit="1" customWidth="1"/>
    <col min="11778" max="11778" width="18.7109375" style="212" bestFit="1" customWidth="1"/>
    <col min="11779" max="11779" width="15.28515625" style="212" customWidth="1"/>
    <col min="11780" max="11780" width="16.85546875" style="212" customWidth="1"/>
    <col min="11781" max="11781" width="17.140625" style="212" bestFit="1" customWidth="1"/>
    <col min="11782" max="11782" width="15" style="212" customWidth="1"/>
    <col min="11783" max="11783" width="10.42578125" style="212" customWidth="1"/>
    <col min="11784" max="11786" width="9.140625" style="212"/>
    <col min="11787" max="11788" width="10.7109375" style="212" bestFit="1" customWidth="1"/>
    <col min="11789" max="11789" width="9.140625" style="212"/>
    <col min="11790" max="11791" width="10.7109375" style="212" bestFit="1" customWidth="1"/>
    <col min="11792" max="12025" width="9.140625" style="212"/>
    <col min="12026" max="12026" width="19.85546875" style="212" bestFit="1" customWidth="1"/>
    <col min="12027" max="12027" width="12.42578125" style="212" bestFit="1" customWidth="1"/>
    <col min="12028" max="12028" width="16.42578125" style="212" bestFit="1" customWidth="1"/>
    <col min="12029" max="12029" width="12" style="212" customWidth="1"/>
    <col min="12030" max="12030" width="14.7109375" style="212" customWidth="1"/>
    <col min="12031" max="12031" width="15.28515625" style="212" customWidth="1"/>
    <col min="12032" max="12032" width="14.85546875" style="212" bestFit="1" customWidth="1"/>
    <col min="12033" max="12033" width="20.28515625" style="212" bestFit="1" customWidth="1"/>
    <col min="12034" max="12034" width="18.7109375" style="212" bestFit="1" customWidth="1"/>
    <col min="12035" max="12035" width="15.28515625" style="212" customWidth="1"/>
    <col min="12036" max="12036" width="16.85546875" style="212" customWidth="1"/>
    <col min="12037" max="12037" width="17.140625" style="212" bestFit="1" customWidth="1"/>
    <col min="12038" max="12038" width="15" style="212" customWidth="1"/>
    <col min="12039" max="12039" width="10.42578125" style="212" customWidth="1"/>
    <col min="12040" max="12042" width="9.140625" style="212"/>
    <col min="12043" max="12044" width="10.7109375" style="212" bestFit="1" customWidth="1"/>
    <col min="12045" max="12045" width="9.140625" style="212"/>
    <col min="12046" max="12047" width="10.7109375" style="212" bestFit="1" customWidth="1"/>
    <col min="12048" max="12281" width="9.140625" style="212"/>
    <col min="12282" max="12282" width="19.85546875" style="212" bestFit="1" customWidth="1"/>
    <col min="12283" max="12283" width="12.42578125" style="212" bestFit="1" customWidth="1"/>
    <col min="12284" max="12284" width="16.42578125" style="212" bestFit="1" customWidth="1"/>
    <col min="12285" max="12285" width="12" style="212" customWidth="1"/>
    <col min="12286" max="12286" width="14.7109375" style="212" customWidth="1"/>
    <col min="12287" max="12287" width="15.28515625" style="212" customWidth="1"/>
    <col min="12288" max="12288" width="14.85546875" style="212" bestFit="1" customWidth="1"/>
    <col min="12289" max="12289" width="20.28515625" style="212" bestFit="1" customWidth="1"/>
    <col min="12290" max="12290" width="18.7109375" style="212" bestFit="1" customWidth="1"/>
    <col min="12291" max="12291" width="15.28515625" style="212" customWidth="1"/>
    <col min="12292" max="12292" width="16.85546875" style="212" customWidth="1"/>
    <col min="12293" max="12293" width="17.140625" style="212" bestFit="1" customWidth="1"/>
    <col min="12294" max="12294" width="15" style="212" customWidth="1"/>
    <col min="12295" max="12295" width="10.42578125" style="212" customWidth="1"/>
    <col min="12296" max="12298" width="9.140625" style="212"/>
    <col min="12299" max="12300" width="10.7109375" style="212" bestFit="1" customWidth="1"/>
    <col min="12301" max="12301" width="9.140625" style="212"/>
    <col min="12302" max="12303" width="10.7109375" style="212" bestFit="1" customWidth="1"/>
    <col min="12304" max="12537" width="9.140625" style="212"/>
    <col min="12538" max="12538" width="19.85546875" style="212" bestFit="1" customWidth="1"/>
    <col min="12539" max="12539" width="12.42578125" style="212" bestFit="1" customWidth="1"/>
    <col min="12540" max="12540" width="16.42578125" style="212" bestFit="1" customWidth="1"/>
    <col min="12541" max="12541" width="12" style="212" customWidth="1"/>
    <col min="12542" max="12542" width="14.7109375" style="212" customWidth="1"/>
    <col min="12543" max="12543" width="15.28515625" style="212" customWidth="1"/>
    <col min="12544" max="12544" width="14.85546875" style="212" bestFit="1" customWidth="1"/>
    <col min="12545" max="12545" width="20.28515625" style="212" bestFit="1" customWidth="1"/>
    <col min="12546" max="12546" width="18.7109375" style="212" bestFit="1" customWidth="1"/>
    <col min="12547" max="12547" width="15.28515625" style="212" customWidth="1"/>
    <col min="12548" max="12548" width="16.85546875" style="212" customWidth="1"/>
    <col min="12549" max="12549" width="17.140625" style="212" bestFit="1" customWidth="1"/>
    <col min="12550" max="12550" width="15" style="212" customWidth="1"/>
    <col min="12551" max="12551" width="10.42578125" style="212" customWidth="1"/>
    <col min="12552" max="12554" width="9.140625" style="212"/>
    <col min="12555" max="12556" width="10.7109375" style="212" bestFit="1" customWidth="1"/>
    <col min="12557" max="12557" width="9.140625" style="212"/>
    <col min="12558" max="12559" width="10.7109375" style="212" bestFit="1" customWidth="1"/>
    <col min="12560" max="12793" width="9.140625" style="212"/>
    <col min="12794" max="12794" width="19.85546875" style="212" bestFit="1" customWidth="1"/>
    <col min="12795" max="12795" width="12.42578125" style="212" bestFit="1" customWidth="1"/>
    <col min="12796" max="12796" width="16.42578125" style="212" bestFit="1" customWidth="1"/>
    <col min="12797" max="12797" width="12" style="212" customWidth="1"/>
    <col min="12798" max="12798" width="14.7109375" style="212" customWidth="1"/>
    <col min="12799" max="12799" width="15.28515625" style="212" customWidth="1"/>
    <col min="12800" max="12800" width="14.85546875" style="212" bestFit="1" customWidth="1"/>
    <col min="12801" max="12801" width="20.28515625" style="212" bestFit="1" customWidth="1"/>
    <col min="12802" max="12802" width="18.7109375" style="212" bestFit="1" customWidth="1"/>
    <col min="12803" max="12803" width="15.28515625" style="212" customWidth="1"/>
    <col min="12804" max="12804" width="16.85546875" style="212" customWidth="1"/>
    <col min="12805" max="12805" width="17.140625" style="212" bestFit="1" customWidth="1"/>
    <col min="12806" max="12806" width="15" style="212" customWidth="1"/>
    <col min="12807" max="12807" width="10.42578125" style="212" customWidth="1"/>
    <col min="12808" max="12810" width="9.140625" style="212"/>
    <col min="12811" max="12812" width="10.7109375" style="212" bestFit="1" customWidth="1"/>
    <col min="12813" max="12813" width="9.140625" style="212"/>
    <col min="12814" max="12815" width="10.7109375" style="212" bestFit="1" customWidth="1"/>
    <col min="12816" max="13049" width="9.140625" style="212"/>
    <col min="13050" max="13050" width="19.85546875" style="212" bestFit="1" customWidth="1"/>
    <col min="13051" max="13051" width="12.42578125" style="212" bestFit="1" customWidth="1"/>
    <col min="13052" max="13052" width="16.42578125" style="212" bestFit="1" customWidth="1"/>
    <col min="13053" max="13053" width="12" style="212" customWidth="1"/>
    <col min="13054" max="13054" width="14.7109375" style="212" customWidth="1"/>
    <col min="13055" max="13055" width="15.28515625" style="212" customWidth="1"/>
    <col min="13056" max="13056" width="14.85546875" style="212" bestFit="1" customWidth="1"/>
    <col min="13057" max="13057" width="20.28515625" style="212" bestFit="1" customWidth="1"/>
    <col min="13058" max="13058" width="18.7109375" style="212" bestFit="1" customWidth="1"/>
    <col min="13059" max="13059" width="15.28515625" style="212" customWidth="1"/>
    <col min="13060" max="13060" width="16.85546875" style="212" customWidth="1"/>
    <col min="13061" max="13061" width="17.140625" style="212" bestFit="1" customWidth="1"/>
    <col min="13062" max="13062" width="15" style="212" customWidth="1"/>
    <col min="13063" max="13063" width="10.42578125" style="212" customWidth="1"/>
    <col min="13064" max="13066" width="9.140625" style="212"/>
    <col min="13067" max="13068" width="10.7109375" style="212" bestFit="1" customWidth="1"/>
    <col min="13069" max="13069" width="9.140625" style="212"/>
    <col min="13070" max="13071" width="10.7109375" style="212" bestFit="1" customWidth="1"/>
    <col min="13072" max="13305" width="9.140625" style="212"/>
    <col min="13306" max="13306" width="19.85546875" style="212" bestFit="1" customWidth="1"/>
    <col min="13307" max="13307" width="12.42578125" style="212" bestFit="1" customWidth="1"/>
    <col min="13308" max="13308" width="16.42578125" style="212" bestFit="1" customWidth="1"/>
    <col min="13309" max="13309" width="12" style="212" customWidth="1"/>
    <col min="13310" max="13310" width="14.7109375" style="212" customWidth="1"/>
    <col min="13311" max="13311" width="15.28515625" style="212" customWidth="1"/>
    <col min="13312" max="13312" width="14.85546875" style="212" bestFit="1" customWidth="1"/>
    <col min="13313" max="13313" width="20.28515625" style="212" bestFit="1" customWidth="1"/>
    <col min="13314" max="13314" width="18.7109375" style="212" bestFit="1" customWidth="1"/>
    <col min="13315" max="13315" width="15.28515625" style="212" customWidth="1"/>
    <col min="13316" max="13316" width="16.85546875" style="212" customWidth="1"/>
    <col min="13317" max="13317" width="17.140625" style="212" bestFit="1" customWidth="1"/>
    <col min="13318" max="13318" width="15" style="212" customWidth="1"/>
    <col min="13319" max="13319" width="10.42578125" style="212" customWidth="1"/>
    <col min="13320" max="13322" width="9.140625" style="212"/>
    <col min="13323" max="13324" width="10.7109375" style="212" bestFit="1" customWidth="1"/>
    <col min="13325" max="13325" width="9.140625" style="212"/>
    <col min="13326" max="13327" width="10.7109375" style="212" bestFit="1" customWidth="1"/>
    <col min="13328" max="13561" width="9.140625" style="212"/>
    <col min="13562" max="13562" width="19.85546875" style="212" bestFit="1" customWidth="1"/>
    <col min="13563" max="13563" width="12.42578125" style="212" bestFit="1" customWidth="1"/>
    <col min="13564" max="13564" width="16.42578125" style="212" bestFit="1" customWidth="1"/>
    <col min="13565" max="13565" width="12" style="212" customWidth="1"/>
    <col min="13566" max="13566" width="14.7109375" style="212" customWidth="1"/>
    <col min="13567" max="13567" width="15.28515625" style="212" customWidth="1"/>
    <col min="13568" max="13568" width="14.85546875" style="212" bestFit="1" customWidth="1"/>
    <col min="13569" max="13569" width="20.28515625" style="212" bestFit="1" customWidth="1"/>
    <col min="13570" max="13570" width="18.7109375" style="212" bestFit="1" customWidth="1"/>
    <col min="13571" max="13571" width="15.28515625" style="212" customWidth="1"/>
    <col min="13572" max="13572" width="16.85546875" style="212" customWidth="1"/>
    <col min="13573" max="13573" width="17.140625" style="212" bestFit="1" customWidth="1"/>
    <col min="13574" max="13574" width="15" style="212" customWidth="1"/>
    <col min="13575" max="13575" width="10.42578125" style="212" customWidth="1"/>
    <col min="13576" max="13578" width="9.140625" style="212"/>
    <col min="13579" max="13580" width="10.7109375" style="212" bestFit="1" customWidth="1"/>
    <col min="13581" max="13581" width="9.140625" style="212"/>
    <col min="13582" max="13583" width="10.7109375" style="212" bestFit="1" customWidth="1"/>
    <col min="13584" max="13817" width="9.140625" style="212"/>
    <col min="13818" max="13818" width="19.85546875" style="212" bestFit="1" customWidth="1"/>
    <col min="13819" max="13819" width="12.42578125" style="212" bestFit="1" customWidth="1"/>
    <col min="13820" max="13820" width="16.42578125" style="212" bestFit="1" customWidth="1"/>
    <col min="13821" max="13821" width="12" style="212" customWidth="1"/>
    <col min="13822" max="13822" width="14.7109375" style="212" customWidth="1"/>
    <col min="13823" max="13823" width="15.28515625" style="212" customWidth="1"/>
    <col min="13824" max="13824" width="14.85546875" style="212" bestFit="1" customWidth="1"/>
    <col min="13825" max="13825" width="20.28515625" style="212" bestFit="1" customWidth="1"/>
    <col min="13826" max="13826" width="18.7109375" style="212" bestFit="1" customWidth="1"/>
    <col min="13827" max="13827" width="15.28515625" style="212" customWidth="1"/>
    <col min="13828" max="13828" width="16.85546875" style="212" customWidth="1"/>
    <col min="13829" max="13829" width="17.140625" style="212" bestFit="1" customWidth="1"/>
    <col min="13830" max="13830" width="15" style="212" customWidth="1"/>
    <col min="13831" max="13831" width="10.42578125" style="212" customWidth="1"/>
    <col min="13832" max="13834" width="9.140625" style="212"/>
    <col min="13835" max="13836" width="10.7109375" style="212" bestFit="1" customWidth="1"/>
    <col min="13837" max="13837" width="9.140625" style="212"/>
    <col min="13838" max="13839" width="10.7109375" style="212" bestFit="1" customWidth="1"/>
    <col min="13840" max="14073" width="9.140625" style="212"/>
    <col min="14074" max="14074" width="19.85546875" style="212" bestFit="1" customWidth="1"/>
    <col min="14075" max="14075" width="12.42578125" style="212" bestFit="1" customWidth="1"/>
    <col min="14076" max="14076" width="16.42578125" style="212" bestFit="1" customWidth="1"/>
    <col min="14077" max="14077" width="12" style="212" customWidth="1"/>
    <col min="14078" max="14078" width="14.7109375" style="212" customWidth="1"/>
    <col min="14079" max="14079" width="15.28515625" style="212" customWidth="1"/>
    <col min="14080" max="14080" width="14.85546875" style="212" bestFit="1" customWidth="1"/>
    <col min="14081" max="14081" width="20.28515625" style="212" bestFit="1" customWidth="1"/>
    <col min="14082" max="14082" width="18.7109375" style="212" bestFit="1" customWidth="1"/>
    <col min="14083" max="14083" width="15.28515625" style="212" customWidth="1"/>
    <col min="14084" max="14084" width="16.85546875" style="212" customWidth="1"/>
    <col min="14085" max="14085" width="17.140625" style="212" bestFit="1" customWidth="1"/>
    <col min="14086" max="14086" width="15" style="212" customWidth="1"/>
    <col min="14087" max="14087" width="10.42578125" style="212" customWidth="1"/>
    <col min="14088" max="14090" width="9.140625" style="212"/>
    <col min="14091" max="14092" width="10.7109375" style="212" bestFit="1" customWidth="1"/>
    <col min="14093" max="14093" width="9.140625" style="212"/>
    <col min="14094" max="14095" width="10.7109375" style="212" bestFit="1" customWidth="1"/>
    <col min="14096" max="14329" width="9.140625" style="212"/>
    <col min="14330" max="14330" width="19.85546875" style="212" bestFit="1" customWidth="1"/>
    <col min="14331" max="14331" width="12.42578125" style="212" bestFit="1" customWidth="1"/>
    <col min="14332" max="14332" width="16.42578125" style="212" bestFit="1" customWidth="1"/>
    <col min="14333" max="14333" width="12" style="212" customWidth="1"/>
    <col min="14334" max="14334" width="14.7109375" style="212" customWidth="1"/>
    <col min="14335" max="14335" width="15.28515625" style="212" customWidth="1"/>
    <col min="14336" max="14336" width="14.85546875" style="212" bestFit="1" customWidth="1"/>
    <col min="14337" max="14337" width="20.28515625" style="212" bestFit="1" customWidth="1"/>
    <col min="14338" max="14338" width="18.7109375" style="212" bestFit="1" customWidth="1"/>
    <col min="14339" max="14339" width="15.28515625" style="212" customWidth="1"/>
    <col min="14340" max="14340" width="16.85546875" style="212" customWidth="1"/>
    <col min="14341" max="14341" width="17.140625" style="212" bestFit="1" customWidth="1"/>
    <col min="14342" max="14342" width="15" style="212" customWidth="1"/>
    <col min="14343" max="14343" width="10.42578125" style="212" customWidth="1"/>
    <col min="14344" max="14346" width="9.140625" style="212"/>
    <col min="14347" max="14348" width="10.7109375" style="212" bestFit="1" customWidth="1"/>
    <col min="14349" max="14349" width="9.140625" style="212"/>
    <col min="14350" max="14351" width="10.7109375" style="212" bestFit="1" customWidth="1"/>
    <col min="14352" max="14585" width="9.140625" style="212"/>
    <col min="14586" max="14586" width="19.85546875" style="212" bestFit="1" customWidth="1"/>
    <col min="14587" max="14587" width="12.42578125" style="212" bestFit="1" customWidth="1"/>
    <col min="14588" max="14588" width="16.42578125" style="212" bestFit="1" customWidth="1"/>
    <col min="14589" max="14589" width="12" style="212" customWidth="1"/>
    <col min="14590" max="14590" width="14.7109375" style="212" customWidth="1"/>
    <col min="14591" max="14591" width="15.28515625" style="212" customWidth="1"/>
    <col min="14592" max="14592" width="14.85546875" style="212" bestFit="1" customWidth="1"/>
    <col min="14593" max="14593" width="20.28515625" style="212" bestFit="1" customWidth="1"/>
    <col min="14594" max="14594" width="18.7109375" style="212" bestFit="1" customWidth="1"/>
    <col min="14595" max="14595" width="15.28515625" style="212" customWidth="1"/>
    <col min="14596" max="14596" width="16.85546875" style="212" customWidth="1"/>
    <col min="14597" max="14597" width="17.140625" style="212" bestFit="1" customWidth="1"/>
    <col min="14598" max="14598" width="15" style="212" customWidth="1"/>
    <col min="14599" max="14599" width="10.42578125" style="212" customWidth="1"/>
    <col min="14600" max="14602" width="9.140625" style="212"/>
    <col min="14603" max="14604" width="10.7109375" style="212" bestFit="1" customWidth="1"/>
    <col min="14605" max="14605" width="9.140625" style="212"/>
    <col min="14606" max="14607" width="10.7109375" style="212" bestFit="1" customWidth="1"/>
    <col min="14608" max="14841" width="9.140625" style="212"/>
    <col min="14842" max="14842" width="19.85546875" style="212" bestFit="1" customWidth="1"/>
    <col min="14843" max="14843" width="12.42578125" style="212" bestFit="1" customWidth="1"/>
    <col min="14844" max="14844" width="16.42578125" style="212" bestFit="1" customWidth="1"/>
    <col min="14845" max="14845" width="12" style="212" customWidth="1"/>
    <col min="14846" max="14846" width="14.7109375" style="212" customWidth="1"/>
    <col min="14847" max="14847" width="15.28515625" style="212" customWidth="1"/>
    <col min="14848" max="14848" width="14.85546875" style="212" bestFit="1" customWidth="1"/>
    <col min="14849" max="14849" width="20.28515625" style="212" bestFit="1" customWidth="1"/>
    <col min="14850" max="14850" width="18.7109375" style="212" bestFit="1" customWidth="1"/>
    <col min="14851" max="14851" width="15.28515625" style="212" customWidth="1"/>
    <col min="14852" max="14852" width="16.85546875" style="212" customWidth="1"/>
    <col min="14853" max="14853" width="17.140625" style="212" bestFit="1" customWidth="1"/>
    <col min="14854" max="14854" width="15" style="212" customWidth="1"/>
    <col min="14855" max="14855" width="10.42578125" style="212" customWidth="1"/>
    <col min="14856" max="14858" width="9.140625" style="212"/>
    <col min="14859" max="14860" width="10.7109375" style="212" bestFit="1" customWidth="1"/>
    <col min="14861" max="14861" width="9.140625" style="212"/>
    <col min="14862" max="14863" width="10.7109375" style="212" bestFit="1" customWidth="1"/>
    <col min="14864" max="15097" width="9.140625" style="212"/>
    <col min="15098" max="15098" width="19.85546875" style="212" bestFit="1" customWidth="1"/>
    <col min="15099" max="15099" width="12.42578125" style="212" bestFit="1" customWidth="1"/>
    <col min="15100" max="15100" width="16.42578125" style="212" bestFit="1" customWidth="1"/>
    <col min="15101" max="15101" width="12" style="212" customWidth="1"/>
    <col min="15102" max="15102" width="14.7109375" style="212" customWidth="1"/>
    <col min="15103" max="15103" width="15.28515625" style="212" customWidth="1"/>
    <col min="15104" max="15104" width="14.85546875" style="212" bestFit="1" customWidth="1"/>
    <col min="15105" max="15105" width="20.28515625" style="212" bestFit="1" customWidth="1"/>
    <col min="15106" max="15106" width="18.7109375" style="212" bestFit="1" customWidth="1"/>
    <col min="15107" max="15107" width="15.28515625" style="212" customWidth="1"/>
    <col min="15108" max="15108" width="16.85546875" style="212" customWidth="1"/>
    <col min="15109" max="15109" width="17.140625" style="212" bestFit="1" customWidth="1"/>
    <col min="15110" max="15110" width="15" style="212" customWidth="1"/>
    <col min="15111" max="15111" width="10.42578125" style="212" customWidth="1"/>
    <col min="15112" max="15114" width="9.140625" style="212"/>
    <col min="15115" max="15116" width="10.7109375" style="212" bestFit="1" customWidth="1"/>
    <col min="15117" max="15117" width="9.140625" style="212"/>
    <col min="15118" max="15119" width="10.7109375" style="212" bestFit="1" customWidth="1"/>
    <col min="15120" max="15353" width="9.140625" style="212"/>
    <col min="15354" max="15354" width="19.85546875" style="212" bestFit="1" customWidth="1"/>
    <col min="15355" max="15355" width="12.42578125" style="212" bestFit="1" customWidth="1"/>
    <col min="15356" max="15356" width="16.42578125" style="212" bestFit="1" customWidth="1"/>
    <col min="15357" max="15357" width="12" style="212" customWidth="1"/>
    <col min="15358" max="15358" width="14.7109375" style="212" customWidth="1"/>
    <col min="15359" max="15359" width="15.28515625" style="212" customWidth="1"/>
    <col min="15360" max="15360" width="14.85546875" style="212" bestFit="1" customWidth="1"/>
    <col min="15361" max="15361" width="20.28515625" style="212" bestFit="1" customWidth="1"/>
    <col min="15362" max="15362" width="18.7109375" style="212" bestFit="1" customWidth="1"/>
    <col min="15363" max="15363" width="15.28515625" style="212" customWidth="1"/>
    <col min="15364" max="15364" width="16.85546875" style="212" customWidth="1"/>
    <col min="15365" max="15365" width="17.140625" style="212" bestFit="1" customWidth="1"/>
    <col min="15366" max="15366" width="15" style="212" customWidth="1"/>
    <col min="15367" max="15367" width="10.42578125" style="212" customWidth="1"/>
    <col min="15368" max="15370" width="9.140625" style="212"/>
    <col min="15371" max="15372" width="10.7109375" style="212" bestFit="1" customWidth="1"/>
    <col min="15373" max="15373" width="9.140625" style="212"/>
    <col min="15374" max="15375" width="10.7109375" style="212" bestFit="1" customWidth="1"/>
    <col min="15376" max="15609" width="9.140625" style="212"/>
    <col min="15610" max="15610" width="19.85546875" style="212" bestFit="1" customWidth="1"/>
    <col min="15611" max="15611" width="12.42578125" style="212" bestFit="1" customWidth="1"/>
    <col min="15612" max="15612" width="16.42578125" style="212" bestFit="1" customWidth="1"/>
    <col min="15613" max="15613" width="12" style="212" customWidth="1"/>
    <col min="15614" max="15614" width="14.7109375" style="212" customWidth="1"/>
    <col min="15615" max="15615" width="15.28515625" style="212" customWidth="1"/>
    <col min="15616" max="15616" width="14.85546875" style="212" bestFit="1" customWidth="1"/>
    <col min="15617" max="15617" width="20.28515625" style="212" bestFit="1" customWidth="1"/>
    <col min="15618" max="15618" width="18.7109375" style="212" bestFit="1" customWidth="1"/>
    <col min="15619" max="15619" width="15.28515625" style="212" customWidth="1"/>
    <col min="15620" max="15620" width="16.85546875" style="212" customWidth="1"/>
    <col min="15621" max="15621" width="17.140625" style="212" bestFit="1" customWidth="1"/>
    <col min="15622" max="15622" width="15" style="212" customWidth="1"/>
    <col min="15623" max="15623" width="10.42578125" style="212" customWidth="1"/>
    <col min="15624" max="15626" width="9.140625" style="212"/>
    <col min="15627" max="15628" width="10.7109375" style="212" bestFit="1" customWidth="1"/>
    <col min="15629" max="15629" width="9.140625" style="212"/>
    <col min="15630" max="15631" width="10.7109375" style="212" bestFit="1" customWidth="1"/>
    <col min="15632" max="15865" width="9.140625" style="212"/>
    <col min="15866" max="15866" width="19.85546875" style="212" bestFit="1" customWidth="1"/>
    <col min="15867" max="15867" width="12.42578125" style="212" bestFit="1" customWidth="1"/>
    <col min="15868" max="15868" width="16.42578125" style="212" bestFit="1" customWidth="1"/>
    <col min="15869" max="15869" width="12" style="212" customWidth="1"/>
    <col min="15870" max="15870" width="14.7109375" style="212" customWidth="1"/>
    <col min="15871" max="15871" width="15.28515625" style="212" customWidth="1"/>
    <col min="15872" max="15872" width="14.85546875" style="212" bestFit="1" customWidth="1"/>
    <col min="15873" max="15873" width="20.28515625" style="212" bestFit="1" customWidth="1"/>
    <col min="15874" max="15874" width="18.7109375" style="212" bestFit="1" customWidth="1"/>
    <col min="15875" max="15875" width="15.28515625" style="212" customWidth="1"/>
    <col min="15876" max="15876" width="16.85546875" style="212" customWidth="1"/>
    <col min="15877" max="15877" width="17.140625" style="212" bestFit="1" customWidth="1"/>
    <col min="15878" max="15878" width="15" style="212" customWidth="1"/>
    <col min="15879" max="15879" width="10.42578125" style="212" customWidth="1"/>
    <col min="15880" max="15882" width="9.140625" style="212"/>
    <col min="15883" max="15884" width="10.7109375" style="212" bestFit="1" customWidth="1"/>
    <col min="15885" max="15885" width="9.140625" style="212"/>
    <col min="15886" max="15887" width="10.7109375" style="212" bestFit="1" customWidth="1"/>
    <col min="15888" max="16121" width="9.140625" style="212"/>
    <col min="16122" max="16122" width="19.85546875" style="212" bestFit="1" customWidth="1"/>
    <col min="16123" max="16123" width="12.42578125" style="212" bestFit="1" customWidth="1"/>
    <col min="16124" max="16124" width="16.42578125" style="212" bestFit="1" customWidth="1"/>
    <col min="16125" max="16125" width="12" style="212" customWidth="1"/>
    <col min="16126" max="16126" width="14.7109375" style="212" customWidth="1"/>
    <col min="16127" max="16127" width="15.28515625" style="212" customWidth="1"/>
    <col min="16128" max="16128" width="14.85546875" style="212" bestFit="1" customWidth="1"/>
    <col min="16129" max="16129" width="20.28515625" style="212" bestFit="1" customWidth="1"/>
    <col min="16130" max="16130" width="18.7109375" style="212" bestFit="1" customWidth="1"/>
    <col min="16131" max="16131" width="15.28515625" style="212" customWidth="1"/>
    <col min="16132" max="16132" width="16.85546875" style="212" customWidth="1"/>
    <col min="16133" max="16133" width="17.140625" style="212" bestFit="1" customWidth="1"/>
    <col min="16134" max="16134" width="15" style="212" customWidth="1"/>
    <col min="16135" max="16135" width="10.42578125" style="212" customWidth="1"/>
    <col min="16136" max="16138" width="9.140625" style="212"/>
    <col min="16139" max="16140" width="10.7109375" style="212" bestFit="1" customWidth="1"/>
    <col min="16141" max="16141" width="9.140625" style="212"/>
    <col min="16142" max="16143" width="10.7109375" style="212" bestFit="1" customWidth="1"/>
    <col min="16144" max="16384" width="9.140625" style="212"/>
  </cols>
  <sheetData>
    <row r="1" spans="1:10" s="228" customFormat="1" ht="35.25" thickBot="1" x14ac:dyDescent="1">
      <c r="A1" s="338" t="s">
        <v>550</v>
      </c>
      <c r="B1" s="339"/>
      <c r="C1" s="339"/>
      <c r="D1" s="339"/>
      <c r="E1" s="339"/>
      <c r="F1" s="339"/>
      <c r="G1" s="229"/>
    </row>
    <row r="2" spans="1:10" ht="22.5" thickBot="1" x14ac:dyDescent="0.65">
      <c r="A2" s="227"/>
    </row>
    <row r="3" spans="1:10" x14ac:dyDescent="0.6">
      <c r="A3" s="226" t="s">
        <v>549</v>
      </c>
      <c r="B3" s="340" t="s">
        <v>135</v>
      </c>
      <c r="C3" s="340"/>
      <c r="D3" s="340"/>
      <c r="E3" s="340"/>
      <c r="F3" s="340"/>
    </row>
    <row r="4" spans="1:10" x14ac:dyDescent="0.6">
      <c r="A4" s="225" t="s">
        <v>548</v>
      </c>
      <c r="B4" s="341" t="s">
        <v>567</v>
      </c>
      <c r="C4" s="341"/>
      <c r="D4" s="341"/>
      <c r="E4" s="341"/>
      <c r="F4" s="341"/>
    </row>
    <row r="5" spans="1:10" x14ac:dyDescent="0.6">
      <c r="A5" s="225" t="s">
        <v>547</v>
      </c>
      <c r="B5" s="341" t="s">
        <v>58</v>
      </c>
      <c r="C5" s="341"/>
      <c r="D5" s="341"/>
      <c r="E5" s="341"/>
      <c r="F5" s="341"/>
    </row>
    <row r="6" spans="1:10" ht="22.5" thickBot="1" x14ac:dyDescent="0.65">
      <c r="A6" s="224" t="s">
        <v>546</v>
      </c>
      <c r="B6" s="342">
        <v>45429</v>
      </c>
      <c r="C6" s="343"/>
      <c r="D6" s="343"/>
      <c r="E6" s="343"/>
      <c r="F6" s="343"/>
    </row>
    <row r="8" spans="1:10" x14ac:dyDescent="0.6">
      <c r="A8" s="213" t="s">
        <v>558</v>
      </c>
    </row>
    <row r="9" spans="1:10" x14ac:dyDescent="0.6">
      <c r="A9" s="344" t="s">
        <v>545</v>
      </c>
      <c r="B9" s="350" t="s">
        <v>544</v>
      </c>
      <c r="C9" s="223" t="s">
        <v>80</v>
      </c>
      <c r="D9" s="346" t="s">
        <v>601</v>
      </c>
      <c r="E9" s="230" t="s">
        <v>543</v>
      </c>
      <c r="F9" s="223" t="s">
        <v>555</v>
      </c>
    </row>
    <row r="10" spans="1:10" x14ac:dyDescent="0.6">
      <c r="A10" s="345"/>
      <c r="B10" s="351"/>
      <c r="C10" s="222" t="s">
        <v>542</v>
      </c>
      <c r="D10" s="347"/>
      <c r="E10" s="222" t="s">
        <v>69</v>
      </c>
      <c r="F10" s="222" t="s">
        <v>602</v>
      </c>
    </row>
    <row r="11" spans="1:10" x14ac:dyDescent="0.6">
      <c r="A11" s="221" t="s">
        <v>551</v>
      </c>
      <c r="B11" s="219">
        <v>514.21</v>
      </c>
      <c r="C11" s="233">
        <f>3*17</f>
        <v>51</v>
      </c>
      <c r="D11" s="233">
        <f>C11*B11</f>
        <v>26224.710000000003</v>
      </c>
      <c r="E11" s="219">
        <v>1</v>
      </c>
      <c r="F11" s="234">
        <f>D11/E11</f>
        <v>26224.710000000003</v>
      </c>
      <c r="G11" s="239">
        <f>F11/$F$23</f>
        <v>17.300507455178312</v>
      </c>
      <c r="H11" s="231"/>
      <c r="I11" s="231"/>
    </row>
    <row r="12" spans="1:10" x14ac:dyDescent="0.6">
      <c r="A12" s="221" t="s">
        <v>552</v>
      </c>
      <c r="B12" s="219">
        <v>372</v>
      </c>
      <c r="C12" s="233">
        <f t="shared" ref="C12:C14" si="0">3*17</f>
        <v>51</v>
      </c>
      <c r="D12" s="233">
        <f t="shared" ref="D12:D14" si="1">C12*B12</f>
        <v>18972</v>
      </c>
      <c r="E12" s="219">
        <v>10</v>
      </c>
      <c r="F12" s="234">
        <f t="shared" ref="F12:F14" si="2">D12/E12</f>
        <v>1897.2</v>
      </c>
      <c r="G12" s="239">
        <f t="shared" ref="G12:G14" si="3">F12/$F$23</f>
        <v>1.2515876341040297</v>
      </c>
      <c r="H12" s="231"/>
      <c r="I12" s="231"/>
    </row>
    <row r="13" spans="1:10" x14ac:dyDescent="0.6">
      <c r="A13" s="221" t="s">
        <v>553</v>
      </c>
      <c r="B13" s="219">
        <v>332.64</v>
      </c>
      <c r="C13" s="233">
        <f t="shared" si="0"/>
        <v>51</v>
      </c>
      <c r="D13" s="233">
        <f t="shared" si="1"/>
        <v>16964.64</v>
      </c>
      <c r="E13" s="219">
        <v>10</v>
      </c>
      <c r="F13" s="234">
        <f t="shared" si="2"/>
        <v>1696.4639999999999</v>
      </c>
      <c r="G13" s="239">
        <f t="shared" si="3"/>
        <v>1.1191615876568937</v>
      </c>
      <c r="H13" s="231"/>
      <c r="I13" s="231"/>
    </row>
    <row r="14" spans="1:10" x14ac:dyDescent="0.6">
      <c r="A14" s="221" t="s">
        <v>554</v>
      </c>
      <c r="B14" s="219">
        <v>55.49</v>
      </c>
      <c r="C14" s="233">
        <f t="shared" si="0"/>
        <v>51</v>
      </c>
      <c r="D14" s="233">
        <f t="shared" si="1"/>
        <v>2829.9900000000002</v>
      </c>
      <c r="E14" s="219">
        <v>1</v>
      </c>
      <c r="F14" s="234">
        <f t="shared" si="2"/>
        <v>2829.9900000000002</v>
      </c>
      <c r="G14" s="239">
        <f t="shared" si="3"/>
        <v>1.8669515542051778</v>
      </c>
      <c r="H14" s="231"/>
      <c r="I14" s="231"/>
    </row>
    <row r="15" spans="1:10" s="213" customFormat="1" x14ac:dyDescent="0.6">
      <c r="A15" s="221"/>
      <c r="B15" s="219"/>
      <c r="C15" s="219"/>
      <c r="D15" s="220"/>
      <c r="E15" s="219"/>
      <c r="F15" s="218"/>
      <c r="I15" s="232"/>
      <c r="J15" s="232"/>
    </row>
    <row r="17" spans="1:7" s="213" customFormat="1" x14ac:dyDescent="0.6">
      <c r="A17" s="217"/>
      <c r="B17" s="215">
        <f>SUM(B11:B14)</f>
        <v>1274.3399999999999</v>
      </c>
      <c r="C17" s="216"/>
      <c r="D17" s="215">
        <f>SUM(D11:D15)</f>
        <v>64991.340000000004</v>
      </c>
      <c r="E17" s="215">
        <f>SUM(E11:E15)</f>
        <v>22</v>
      </c>
      <c r="F17" s="236">
        <f>SUM(F11:F15)</f>
        <v>32648.364000000005</v>
      </c>
    </row>
    <row r="19" spans="1:7" s="213" customFormat="1" x14ac:dyDescent="0.6">
      <c r="B19" s="214"/>
      <c r="C19" s="214"/>
      <c r="D19" s="348" t="s">
        <v>612</v>
      </c>
      <c r="E19" s="349"/>
      <c r="F19" s="237">
        <f>F17/E17</f>
        <v>1484.0165454545456</v>
      </c>
    </row>
    <row r="20" spans="1:7" s="213" customFormat="1" x14ac:dyDescent="0.6">
      <c r="B20" s="214"/>
      <c r="C20" s="214"/>
      <c r="D20" s="348" t="s">
        <v>541</v>
      </c>
      <c r="E20" s="349"/>
      <c r="F20" s="237">
        <v>350</v>
      </c>
    </row>
    <row r="21" spans="1:7" s="213" customFormat="1" x14ac:dyDescent="0.6">
      <c r="B21" s="214"/>
      <c r="C21" s="214"/>
      <c r="D21" s="348" t="s">
        <v>540</v>
      </c>
      <c r="E21" s="349"/>
      <c r="F21" s="237">
        <v>350</v>
      </c>
    </row>
    <row r="22" spans="1:7" s="213" customFormat="1" x14ac:dyDescent="0.6">
      <c r="B22" s="214"/>
      <c r="C22" s="214"/>
      <c r="D22" s="348" t="s">
        <v>556</v>
      </c>
      <c r="E22" s="349"/>
      <c r="F22" s="237">
        <f>(F20+F21)/E17</f>
        <v>31.818181818181817</v>
      </c>
    </row>
    <row r="23" spans="1:7" s="213" customFormat="1" x14ac:dyDescent="0.6">
      <c r="B23" s="214"/>
      <c r="C23" s="214"/>
      <c r="D23" s="348" t="s">
        <v>557</v>
      </c>
      <c r="E23" s="349"/>
      <c r="F23" s="241">
        <f>F22+F19</f>
        <v>1515.8347272727274</v>
      </c>
    </row>
    <row r="24" spans="1:7" x14ac:dyDescent="0.6">
      <c r="A24" s="213" t="s">
        <v>559</v>
      </c>
      <c r="F24" s="238"/>
    </row>
    <row r="25" spans="1:7" x14ac:dyDescent="0.6">
      <c r="A25" s="344" t="s">
        <v>545</v>
      </c>
      <c r="B25" s="346" t="s">
        <v>560</v>
      </c>
      <c r="C25" s="223" t="s">
        <v>564</v>
      </c>
      <c r="D25" s="230" t="s">
        <v>80</v>
      </c>
      <c r="E25" s="230" t="s">
        <v>543</v>
      </c>
      <c r="F25" s="223" t="s">
        <v>563</v>
      </c>
    </row>
    <row r="26" spans="1:7" x14ac:dyDescent="0.6">
      <c r="A26" s="345"/>
      <c r="B26" s="347"/>
      <c r="C26" s="222" t="s">
        <v>561</v>
      </c>
      <c r="D26" s="222" t="s">
        <v>562</v>
      </c>
      <c r="E26" s="222" t="s">
        <v>69</v>
      </c>
      <c r="F26" s="222" t="s">
        <v>603</v>
      </c>
    </row>
    <row r="27" spans="1:7" x14ac:dyDescent="0.6">
      <c r="A27" s="221" t="s">
        <v>551</v>
      </c>
      <c r="B27" s="219">
        <v>465.24</v>
      </c>
      <c r="C27" s="235">
        <f>0.474*B27</f>
        <v>220.52375999999998</v>
      </c>
      <c r="D27" s="233">
        <v>4.82</v>
      </c>
      <c r="E27" s="219">
        <v>1</v>
      </c>
      <c r="F27" s="234">
        <f>D27*C27/E27</f>
        <v>1062.9245232000001</v>
      </c>
      <c r="G27" s="239">
        <f>F27/$F$35</f>
        <v>17.556045735378365</v>
      </c>
    </row>
    <row r="28" spans="1:7" x14ac:dyDescent="0.6">
      <c r="A28" s="221" t="s">
        <v>552</v>
      </c>
      <c r="B28" s="219">
        <v>430.34</v>
      </c>
      <c r="C28" s="235">
        <f t="shared" ref="C28:C30" si="4">0.474*B28</f>
        <v>203.98115999999999</v>
      </c>
      <c r="D28" s="233">
        <v>4.82</v>
      </c>
      <c r="E28" s="219">
        <v>10</v>
      </c>
      <c r="F28" s="234">
        <f t="shared" ref="F28:F30" si="5">D28*C28/E28</f>
        <v>98.318919120000004</v>
      </c>
      <c r="G28" s="239">
        <f t="shared" ref="G28:G30" si="6">F28/$F$35</f>
        <v>1.62390781570001</v>
      </c>
    </row>
    <row r="29" spans="1:7" x14ac:dyDescent="0.6">
      <c r="A29" s="221" t="s">
        <v>553</v>
      </c>
      <c r="B29" s="219">
        <v>292.52</v>
      </c>
      <c r="C29" s="235">
        <f t="shared" si="4"/>
        <v>138.65447999999998</v>
      </c>
      <c r="D29" s="233">
        <v>4.82</v>
      </c>
      <c r="E29" s="219">
        <v>10</v>
      </c>
      <c r="F29" s="234">
        <f t="shared" si="5"/>
        <v>66.831459359999997</v>
      </c>
      <c r="G29" s="239">
        <f t="shared" si="6"/>
        <v>1.1038376963530392</v>
      </c>
    </row>
    <row r="30" spans="1:7" x14ac:dyDescent="0.6">
      <c r="A30" s="221" t="s">
        <v>554</v>
      </c>
      <c r="B30" s="219">
        <v>45.48</v>
      </c>
      <c r="C30" s="235">
        <f t="shared" si="4"/>
        <v>21.557519999999997</v>
      </c>
      <c r="D30" s="233">
        <v>4.82</v>
      </c>
      <c r="E30" s="219">
        <v>1</v>
      </c>
      <c r="F30" s="234">
        <f t="shared" si="5"/>
        <v>103.90724639999999</v>
      </c>
      <c r="G30" s="239">
        <f t="shared" si="6"/>
        <v>1.7162087525685841</v>
      </c>
    </row>
    <row r="31" spans="1:7" x14ac:dyDescent="0.6">
      <c r="A31" s="221"/>
      <c r="B31" s="219"/>
      <c r="C31" s="219"/>
      <c r="D31" s="220"/>
      <c r="E31" s="219"/>
      <c r="F31" s="218"/>
    </row>
    <row r="33" spans="1:7" x14ac:dyDescent="0.6">
      <c r="A33" s="217"/>
      <c r="B33" s="215">
        <f>SUM(B27:B30)</f>
        <v>1233.58</v>
      </c>
      <c r="C33" s="216"/>
      <c r="D33" s="216"/>
      <c r="E33" s="215">
        <f>SUM(E27:E31)</f>
        <v>22</v>
      </c>
      <c r="F33" s="236">
        <f>SUM(F27:F31)</f>
        <v>1331.9821480800001</v>
      </c>
    </row>
    <row r="35" spans="1:7" x14ac:dyDescent="0.6">
      <c r="D35" s="348" t="s">
        <v>612</v>
      </c>
      <c r="E35" s="349"/>
      <c r="F35" s="240">
        <f>F33/E33</f>
        <v>60.544643094545457</v>
      </c>
    </row>
    <row r="37" spans="1:7" x14ac:dyDescent="0.6">
      <c r="A37" s="213" t="s">
        <v>608</v>
      </c>
    </row>
    <row r="38" spans="1:7" ht="21.75" customHeight="1" x14ac:dyDescent="0.6">
      <c r="A38" s="344" t="s">
        <v>545</v>
      </c>
      <c r="B38" s="346" t="s">
        <v>560</v>
      </c>
      <c r="C38" s="223" t="s">
        <v>564</v>
      </c>
      <c r="D38" s="230" t="s">
        <v>80</v>
      </c>
      <c r="E38" s="230" t="s">
        <v>543</v>
      </c>
      <c r="F38" s="223" t="s">
        <v>565</v>
      </c>
    </row>
    <row r="39" spans="1:7" x14ac:dyDescent="0.6">
      <c r="A39" s="345"/>
      <c r="B39" s="347"/>
      <c r="C39" s="222" t="s">
        <v>561</v>
      </c>
      <c r="D39" s="222" t="s">
        <v>562</v>
      </c>
      <c r="E39" s="222" t="s">
        <v>69</v>
      </c>
      <c r="F39" s="222" t="s">
        <v>609</v>
      </c>
    </row>
    <row r="40" spans="1:7" x14ac:dyDescent="0.6">
      <c r="A40" s="221" t="s">
        <v>604</v>
      </c>
      <c r="B40" s="219">
        <v>465.24</v>
      </c>
      <c r="C40" s="235">
        <f>0.356*B40</f>
        <v>165.62544</v>
      </c>
      <c r="D40" s="233">
        <v>18</v>
      </c>
      <c r="E40" s="219">
        <v>1</v>
      </c>
      <c r="F40" s="234">
        <f>D40*C40/E40</f>
        <v>2981.25792</v>
      </c>
      <c r="G40" s="239">
        <f>(F40+F41)/$F$50</f>
        <v>17.716241092967092</v>
      </c>
    </row>
    <row r="41" spans="1:7" x14ac:dyDescent="0.6">
      <c r="A41" s="221" t="s">
        <v>605</v>
      </c>
      <c r="B41" s="219">
        <v>63.05</v>
      </c>
      <c r="C41" s="235">
        <f>0.393*B41</f>
        <v>24.778649999999999</v>
      </c>
      <c r="D41" s="233">
        <v>18</v>
      </c>
      <c r="E41" s="219">
        <v>1</v>
      </c>
      <c r="F41" s="234">
        <f t="shared" ref="F41:F45" si="7">D41*C41/E41</f>
        <v>446.01569999999998</v>
      </c>
      <c r="G41" s="239"/>
    </row>
    <row r="42" spans="1:7" x14ac:dyDescent="0.6">
      <c r="A42" s="221" t="s">
        <v>552</v>
      </c>
      <c r="B42" s="219">
        <v>430.34</v>
      </c>
      <c r="C42" s="235">
        <f t="shared" ref="C42:C44" si="8">0.356*B42</f>
        <v>153.20103999999998</v>
      </c>
      <c r="D42" s="233">
        <v>18</v>
      </c>
      <c r="E42" s="219">
        <v>10</v>
      </c>
      <c r="F42" s="234">
        <f t="shared" si="7"/>
        <v>275.76187199999993</v>
      </c>
      <c r="G42" s="239">
        <f>F42/$F$50</f>
        <v>1.4254665224540579</v>
      </c>
    </row>
    <row r="43" spans="1:7" x14ac:dyDescent="0.6">
      <c r="A43" s="221" t="s">
        <v>553</v>
      </c>
      <c r="B43" s="219">
        <v>292.52</v>
      </c>
      <c r="C43" s="235">
        <f t="shared" si="8"/>
        <v>104.13711999999998</v>
      </c>
      <c r="D43" s="233">
        <v>18</v>
      </c>
      <c r="E43" s="219">
        <v>10</v>
      </c>
      <c r="F43" s="234">
        <f t="shared" si="7"/>
        <v>187.44681599999996</v>
      </c>
      <c r="G43" s="239">
        <f>F43/$F$50</f>
        <v>0.96894889424236885</v>
      </c>
    </row>
    <row r="44" spans="1:7" x14ac:dyDescent="0.6">
      <c r="A44" s="221" t="s">
        <v>606</v>
      </c>
      <c r="B44" s="219">
        <v>45.48</v>
      </c>
      <c r="C44" s="235">
        <f t="shared" si="8"/>
        <v>16.190879999999996</v>
      </c>
      <c r="D44" s="233">
        <v>18</v>
      </c>
      <c r="E44" s="219">
        <v>1</v>
      </c>
      <c r="F44" s="234">
        <f t="shared" si="7"/>
        <v>291.43583999999993</v>
      </c>
      <c r="G44" s="239">
        <f>(F44+F45)/$F$50</f>
        <v>1.8893434903364816</v>
      </c>
    </row>
    <row r="45" spans="1:7" x14ac:dyDescent="0.6">
      <c r="A45" s="221" t="s">
        <v>607</v>
      </c>
      <c r="B45" s="219">
        <v>10.47</v>
      </c>
      <c r="C45" s="235">
        <f t="shared" ref="C45" si="9">0.393*B45</f>
        <v>4.1147100000000005</v>
      </c>
      <c r="D45" s="233">
        <v>18</v>
      </c>
      <c r="E45" s="219">
        <v>1</v>
      </c>
      <c r="F45" s="234">
        <f t="shared" si="7"/>
        <v>74.064780000000013</v>
      </c>
      <c r="G45" s="239"/>
    </row>
    <row r="46" spans="1:7" x14ac:dyDescent="0.6">
      <c r="A46" s="221"/>
      <c r="B46" s="219"/>
      <c r="C46" s="219"/>
      <c r="D46" s="220"/>
      <c r="E46" s="219"/>
      <c r="F46" s="218"/>
    </row>
    <row r="48" spans="1:7" x14ac:dyDescent="0.6">
      <c r="A48" s="217"/>
      <c r="B48" s="215">
        <f>SUM(B40:B44)</f>
        <v>1296.6299999999999</v>
      </c>
      <c r="C48" s="216"/>
      <c r="D48" s="215">
        <f>SUM(D40:D46)</f>
        <v>108</v>
      </c>
      <c r="E48" s="215">
        <v>22</v>
      </c>
      <c r="F48" s="236">
        <f>SUM(F40:F46)</f>
        <v>4255.9829279999994</v>
      </c>
    </row>
    <row r="50" spans="1:7" x14ac:dyDescent="0.6">
      <c r="D50" s="348" t="s">
        <v>612</v>
      </c>
      <c r="E50" s="349"/>
      <c r="F50" s="240">
        <f>F48/E48</f>
        <v>193.45376945454544</v>
      </c>
    </row>
    <row r="52" spans="1:7" x14ac:dyDescent="0.6">
      <c r="A52" s="213" t="s">
        <v>566</v>
      </c>
    </row>
    <row r="53" spans="1:7" x14ac:dyDescent="0.6">
      <c r="A53" s="344" t="s">
        <v>545</v>
      </c>
      <c r="B53" s="346" t="s">
        <v>560</v>
      </c>
      <c r="C53" s="223" t="s">
        <v>564</v>
      </c>
      <c r="D53" s="230" t="s">
        <v>80</v>
      </c>
      <c r="E53" s="230" t="s">
        <v>543</v>
      </c>
      <c r="F53" s="223" t="s">
        <v>610</v>
      </c>
    </row>
    <row r="54" spans="1:7" x14ac:dyDescent="0.6">
      <c r="A54" s="345"/>
      <c r="B54" s="347"/>
      <c r="C54" s="222" t="s">
        <v>561</v>
      </c>
      <c r="D54" s="222" t="s">
        <v>562</v>
      </c>
      <c r="E54" s="222" t="s">
        <v>69</v>
      </c>
      <c r="F54" s="222" t="s">
        <v>611</v>
      </c>
    </row>
    <row r="55" spans="1:7" x14ac:dyDescent="0.6">
      <c r="A55" s="221" t="s">
        <v>551</v>
      </c>
      <c r="B55" s="219">
        <v>63.05</v>
      </c>
      <c r="C55" s="235">
        <f>0.196*B55</f>
        <v>12.357799999999999</v>
      </c>
      <c r="D55" s="233">
        <v>12.65</v>
      </c>
      <c r="E55" s="219">
        <v>1</v>
      </c>
      <c r="F55" s="234">
        <f>D55*C55/E55</f>
        <v>156.32616999999999</v>
      </c>
      <c r="G55" s="239">
        <f>F55/$F$61</f>
        <v>1.7151795429815015</v>
      </c>
    </row>
    <row r="56" spans="1:7" x14ac:dyDescent="0.6">
      <c r="A56" s="221" t="s">
        <v>554</v>
      </c>
      <c r="B56" s="219">
        <v>10.47</v>
      </c>
      <c r="C56" s="235">
        <f>0.196*B56</f>
        <v>2.0521200000000004</v>
      </c>
      <c r="D56" s="233">
        <v>12.65</v>
      </c>
      <c r="E56" s="219">
        <v>1</v>
      </c>
      <c r="F56" s="234">
        <f>D56*C56/E56</f>
        <v>25.959318000000007</v>
      </c>
      <c r="G56" s="239">
        <f>F56/$F$61</f>
        <v>0.28482045701849845</v>
      </c>
    </row>
    <row r="57" spans="1:7" x14ac:dyDescent="0.6">
      <c r="A57" s="221"/>
      <c r="B57" s="219"/>
      <c r="C57" s="219"/>
      <c r="D57" s="220"/>
      <c r="E57" s="219"/>
      <c r="F57" s="218"/>
    </row>
    <row r="59" spans="1:7" x14ac:dyDescent="0.6">
      <c r="A59" s="217"/>
      <c r="B59" s="215">
        <f>SUM(B55:B56)</f>
        <v>73.52</v>
      </c>
      <c r="C59" s="216"/>
      <c r="D59" s="215">
        <f>SUM(D55:D57)</f>
        <v>25.3</v>
      </c>
      <c r="E59" s="215">
        <v>2</v>
      </c>
      <c r="F59" s="236">
        <f>SUM(F55:F57)</f>
        <v>182.28548799999999</v>
      </c>
    </row>
    <row r="61" spans="1:7" x14ac:dyDescent="0.6">
      <c r="D61" s="348" t="s">
        <v>612</v>
      </c>
      <c r="E61" s="349"/>
      <c r="F61" s="240">
        <f>F59/E59</f>
        <v>91.142743999999993</v>
      </c>
    </row>
  </sheetData>
  <mergeCells count="22">
    <mergeCell ref="A53:A54"/>
    <mergeCell ref="B53:B54"/>
    <mergeCell ref="D61:E61"/>
    <mergeCell ref="D50:E50"/>
    <mergeCell ref="A38:A39"/>
    <mergeCell ref="B38:B39"/>
    <mergeCell ref="A25:A26"/>
    <mergeCell ref="B25:B26"/>
    <mergeCell ref="D35:E35"/>
    <mergeCell ref="A9:A10"/>
    <mergeCell ref="B9:B10"/>
    <mergeCell ref="D9:D10"/>
    <mergeCell ref="D23:E23"/>
    <mergeCell ref="D19:E19"/>
    <mergeCell ref="D20:E20"/>
    <mergeCell ref="D21:E21"/>
    <mergeCell ref="D22:E22"/>
    <mergeCell ref="A1:F1"/>
    <mergeCell ref="B3:F3"/>
    <mergeCell ref="B4:F4"/>
    <mergeCell ref="B5:F5"/>
    <mergeCell ref="B6:F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8AF9-F165-4D64-B79D-2E561CD9A290}">
  <dimension ref="A1:J66"/>
  <sheetViews>
    <sheetView zoomScaleNormal="100" workbookViewId="0">
      <selection activeCell="B3" sqref="B3"/>
    </sheetView>
  </sheetViews>
  <sheetFormatPr defaultRowHeight="12.75" x14ac:dyDescent="0.2"/>
  <cols>
    <col min="1" max="1" width="13" style="250" customWidth="1"/>
    <col min="2" max="2" width="35.42578125" style="250" customWidth="1"/>
    <col min="3" max="3" width="24.7109375" style="250" customWidth="1"/>
    <col min="4" max="4" width="14.42578125" style="250" customWidth="1"/>
    <col min="5" max="5" width="14" style="250" customWidth="1"/>
    <col min="6" max="6" width="12.42578125" style="250" customWidth="1"/>
    <col min="7" max="7" width="18.85546875" style="250" bestFit="1" customWidth="1"/>
    <col min="8" max="9" width="12.42578125" style="250" customWidth="1"/>
    <col min="10" max="10" width="14.5703125" style="250" customWidth="1"/>
    <col min="11" max="16384" width="9.140625" style="250"/>
  </cols>
  <sheetData>
    <row r="1" spans="1:10" ht="21.75" x14ac:dyDescent="0.6">
      <c r="A1" s="244" t="s">
        <v>1</v>
      </c>
      <c r="B1" s="245" t="s">
        <v>1117</v>
      </c>
      <c r="C1" s="246"/>
      <c r="D1" s="247"/>
      <c r="E1" s="247"/>
      <c r="F1" s="247"/>
      <c r="G1" s="247"/>
      <c r="H1" s="248"/>
      <c r="I1" s="248"/>
      <c r="J1" s="249"/>
    </row>
    <row r="2" spans="1:10" ht="21.75" x14ac:dyDescent="0.6">
      <c r="A2" s="251" t="s">
        <v>2</v>
      </c>
      <c r="B2" s="252" t="s">
        <v>135</v>
      </c>
      <c r="C2" s="253"/>
      <c r="D2" s="254"/>
      <c r="E2" s="254"/>
      <c r="F2" s="254"/>
      <c r="G2" s="254"/>
      <c r="H2" s="248"/>
      <c r="I2" s="248"/>
      <c r="J2" s="255"/>
    </row>
    <row r="3" spans="1:10" ht="21.75" x14ac:dyDescent="0.6">
      <c r="A3" s="251" t="s">
        <v>3</v>
      </c>
      <c r="B3" s="256" t="s">
        <v>58</v>
      </c>
      <c r="C3" s="253"/>
      <c r="D3" s="254"/>
      <c r="E3" s="254"/>
      <c r="F3" s="254"/>
      <c r="G3" s="254"/>
      <c r="H3" s="248"/>
      <c r="I3" s="248"/>
      <c r="J3" s="255"/>
    </row>
    <row r="4" spans="1:10" ht="28.5" x14ac:dyDescent="0.2">
      <c r="A4" s="352" t="s">
        <v>1075</v>
      </c>
      <c r="B4" s="353"/>
      <c r="C4" s="353"/>
      <c r="D4" s="353"/>
      <c r="E4" s="354"/>
      <c r="F4" s="354"/>
      <c r="G4" s="354"/>
      <c r="H4" s="354"/>
      <c r="I4" s="354"/>
      <c r="J4" s="355"/>
    </row>
    <row r="5" spans="1:10" ht="28.5" x14ac:dyDescent="0.6">
      <c r="A5" s="257"/>
      <c r="B5" s="258"/>
      <c r="C5" s="259"/>
      <c r="D5" s="260"/>
      <c r="E5" s="260"/>
      <c r="F5" s="260"/>
      <c r="G5" s="260"/>
      <c r="H5" s="260"/>
      <c r="I5" s="260"/>
      <c r="J5" s="255"/>
    </row>
    <row r="6" spans="1:10" ht="28.5" x14ac:dyDescent="0.2">
      <c r="A6" s="356" t="s">
        <v>1076</v>
      </c>
      <c r="B6" s="357"/>
      <c r="C6" s="357"/>
      <c r="D6" s="357"/>
      <c r="E6" s="358"/>
      <c r="F6" s="358"/>
      <c r="G6" s="358"/>
      <c r="H6" s="358"/>
      <c r="I6" s="358"/>
      <c r="J6" s="359"/>
    </row>
    <row r="7" spans="1:10" ht="21.75" x14ac:dyDescent="0.6">
      <c r="A7" s="261"/>
      <c r="B7" s="262"/>
      <c r="C7" s="262"/>
      <c r="D7" s="263"/>
      <c r="E7" s="263"/>
      <c r="F7" s="263"/>
      <c r="G7" s="263"/>
      <c r="H7" s="263"/>
      <c r="I7" s="263"/>
      <c r="J7" s="264"/>
    </row>
    <row r="8" spans="1:10" ht="21.75" x14ac:dyDescent="0.6">
      <c r="A8" s="265" t="s">
        <v>1077</v>
      </c>
      <c r="B8" s="266"/>
      <c r="C8" s="266"/>
      <c r="D8" s="267"/>
      <c r="E8" s="267"/>
      <c r="F8" s="267"/>
      <c r="G8" s="267"/>
      <c r="H8" s="267"/>
      <c r="I8" s="267"/>
      <c r="J8" s="268"/>
    </row>
    <row r="9" spans="1:10" ht="22.5" thickBot="1" x14ac:dyDescent="0.65">
      <c r="A9" s="269"/>
      <c r="B9" s="270"/>
      <c r="C9" s="271"/>
      <c r="D9" s="272"/>
      <c r="E9" s="272"/>
      <c r="F9" s="272"/>
      <c r="G9" s="272"/>
      <c r="H9" s="272"/>
      <c r="I9" s="272"/>
      <c r="J9" s="264"/>
    </row>
    <row r="10" spans="1:10" ht="48" thickBot="1" x14ac:dyDescent="0.65">
      <c r="A10" s="269"/>
      <c r="B10" s="273" t="s">
        <v>7</v>
      </c>
      <c r="C10" s="274" t="s">
        <v>1078</v>
      </c>
      <c r="D10" s="274" t="s">
        <v>64</v>
      </c>
      <c r="E10" s="274" t="s">
        <v>1079</v>
      </c>
      <c r="F10" s="274" t="s">
        <v>1080</v>
      </c>
      <c r="G10" s="274" t="s">
        <v>1081</v>
      </c>
      <c r="H10" s="274" t="s">
        <v>1116</v>
      </c>
      <c r="I10" s="274" t="s">
        <v>1082</v>
      </c>
      <c r="J10" s="264"/>
    </row>
    <row r="11" spans="1:10" ht="21.75" x14ac:dyDescent="0.6">
      <c r="A11" s="269"/>
      <c r="B11" s="302" t="s">
        <v>1100</v>
      </c>
      <c r="C11" s="301"/>
      <c r="D11" s="301"/>
      <c r="E11" s="301"/>
      <c r="F11" s="301"/>
      <c r="G11" s="301"/>
      <c r="H11" s="301"/>
      <c r="I11" s="301"/>
      <c r="J11" s="264"/>
    </row>
    <row r="12" spans="1:10" ht="21.75" x14ac:dyDescent="0.6">
      <c r="A12" s="269"/>
      <c r="B12" s="275" t="s">
        <v>1084</v>
      </c>
      <c r="C12" s="276"/>
      <c r="D12" s="277">
        <v>7</v>
      </c>
      <c r="E12" s="277"/>
      <c r="F12" s="277"/>
      <c r="G12" s="277"/>
      <c r="H12" s="278"/>
      <c r="I12" s="278"/>
      <c r="J12" s="264"/>
    </row>
    <row r="13" spans="1:10" ht="21.75" x14ac:dyDescent="0.6">
      <c r="A13" s="269"/>
      <c r="B13" s="275" t="s">
        <v>1105</v>
      </c>
      <c r="C13" s="276" t="s">
        <v>1090</v>
      </c>
      <c r="D13" s="277">
        <v>3</v>
      </c>
      <c r="E13" s="277"/>
      <c r="F13" s="277"/>
      <c r="G13" s="277"/>
      <c r="H13" s="278"/>
      <c r="I13" s="278"/>
      <c r="J13" s="264"/>
    </row>
    <row r="14" spans="1:10" ht="21.75" x14ac:dyDescent="0.6">
      <c r="A14" s="269"/>
      <c r="B14" s="275" t="s">
        <v>1085</v>
      </c>
      <c r="C14" s="276" t="s">
        <v>1086</v>
      </c>
      <c r="D14" s="277">
        <v>4</v>
      </c>
      <c r="E14" s="277">
        <v>0.8</v>
      </c>
      <c r="F14" s="277">
        <v>0.8</v>
      </c>
      <c r="G14" s="277">
        <v>0.55000000000000004</v>
      </c>
      <c r="H14" s="278">
        <f>(2*((E14+0.2)*G14+(F14*G14)))*D14</f>
        <v>7.9200000000000008</v>
      </c>
      <c r="I14" s="278">
        <f>((2*(E14*G14+F14*G14))+(E14*F14))*D14</f>
        <v>9.6000000000000014</v>
      </c>
      <c r="J14" s="264"/>
    </row>
    <row r="15" spans="1:10" ht="21.75" x14ac:dyDescent="0.6">
      <c r="A15" s="269"/>
      <c r="B15" s="275" t="s">
        <v>1085</v>
      </c>
      <c r="C15" s="276" t="s">
        <v>1087</v>
      </c>
      <c r="D15" s="277">
        <v>2</v>
      </c>
      <c r="E15" s="277">
        <v>0.8</v>
      </c>
      <c r="F15" s="277">
        <v>0.8</v>
      </c>
      <c r="G15" s="277">
        <v>0.6</v>
      </c>
      <c r="H15" s="278">
        <f t="shared" ref="H15:H28" si="0">(2*((E15+0.2)*G15+(F15*G15)))*D15</f>
        <v>4.32</v>
      </c>
      <c r="I15" s="278">
        <f t="shared" ref="I15:I28" si="1">((2*(E15*G15+F15*G15))+(E15*F15))*D15</f>
        <v>5.12</v>
      </c>
      <c r="J15" s="264"/>
    </row>
    <row r="16" spans="1:10" ht="21.75" x14ac:dyDescent="0.6">
      <c r="A16" s="269"/>
      <c r="B16" s="275" t="s">
        <v>1085</v>
      </c>
      <c r="C16" s="276" t="s">
        <v>1089</v>
      </c>
      <c r="D16" s="277">
        <v>3</v>
      </c>
      <c r="E16" s="277">
        <v>0.8</v>
      </c>
      <c r="F16" s="277">
        <v>0.8</v>
      </c>
      <c r="G16" s="277">
        <v>0.65</v>
      </c>
      <c r="H16" s="278">
        <f t="shared" si="0"/>
        <v>7.02</v>
      </c>
      <c r="I16" s="278">
        <f t="shared" si="1"/>
        <v>8.16</v>
      </c>
      <c r="J16" s="264"/>
    </row>
    <row r="17" spans="1:10" ht="21.75" x14ac:dyDescent="0.6">
      <c r="A17" s="269"/>
      <c r="B17" s="275" t="s">
        <v>1085</v>
      </c>
      <c r="C17" s="276" t="s">
        <v>1093</v>
      </c>
      <c r="D17" s="277">
        <v>1</v>
      </c>
      <c r="E17" s="277">
        <v>0.8</v>
      </c>
      <c r="F17" s="277">
        <v>0.8</v>
      </c>
      <c r="G17" s="277">
        <v>0.75</v>
      </c>
      <c r="H17" s="278">
        <f t="shared" si="0"/>
        <v>2.7</v>
      </c>
      <c r="I17" s="278">
        <f t="shared" si="1"/>
        <v>3.0400000000000005</v>
      </c>
      <c r="J17" s="264"/>
    </row>
    <row r="18" spans="1:10" ht="21.75" x14ac:dyDescent="0.6">
      <c r="A18" s="269"/>
      <c r="B18" s="275" t="s">
        <v>1085</v>
      </c>
      <c r="C18" s="276" t="s">
        <v>1088</v>
      </c>
      <c r="D18" s="277">
        <v>1</v>
      </c>
      <c r="E18" s="277">
        <v>0.8</v>
      </c>
      <c r="F18" s="277">
        <v>0.8</v>
      </c>
      <c r="G18" s="277">
        <v>1</v>
      </c>
      <c r="H18" s="278">
        <f t="shared" si="0"/>
        <v>3.6</v>
      </c>
      <c r="I18" s="278">
        <f t="shared" si="1"/>
        <v>3.8400000000000003</v>
      </c>
      <c r="J18" s="264"/>
    </row>
    <row r="19" spans="1:10" ht="21.75" x14ac:dyDescent="0.6">
      <c r="A19" s="269"/>
      <c r="B19" s="275" t="s">
        <v>1091</v>
      </c>
      <c r="C19" s="276" t="s">
        <v>1086</v>
      </c>
      <c r="D19" s="277">
        <v>4</v>
      </c>
      <c r="E19" s="277">
        <v>0.8</v>
      </c>
      <c r="F19" s="277">
        <v>0.8</v>
      </c>
      <c r="G19" s="277">
        <v>0.55000000000000004</v>
      </c>
      <c r="H19" s="278">
        <f t="shared" si="0"/>
        <v>7.9200000000000008</v>
      </c>
      <c r="I19" s="278">
        <f t="shared" si="1"/>
        <v>9.6000000000000014</v>
      </c>
      <c r="J19" s="264"/>
    </row>
    <row r="20" spans="1:10" ht="21.75" x14ac:dyDescent="0.6">
      <c r="A20" s="269"/>
      <c r="B20" s="275" t="s">
        <v>1091</v>
      </c>
      <c r="C20" s="276" t="s">
        <v>1087</v>
      </c>
      <c r="D20" s="277">
        <v>2</v>
      </c>
      <c r="E20" s="277">
        <v>0.8</v>
      </c>
      <c r="F20" s="277">
        <v>0.8</v>
      </c>
      <c r="G20" s="277">
        <v>0.6</v>
      </c>
      <c r="H20" s="278">
        <f t="shared" si="0"/>
        <v>4.32</v>
      </c>
      <c r="I20" s="278">
        <f t="shared" si="1"/>
        <v>5.12</v>
      </c>
      <c r="J20" s="264"/>
    </row>
    <row r="21" spans="1:10" ht="21.75" x14ac:dyDescent="0.6">
      <c r="A21" s="269"/>
      <c r="B21" s="275" t="s">
        <v>1091</v>
      </c>
      <c r="C21" s="276" t="s">
        <v>1089</v>
      </c>
      <c r="D21" s="277">
        <v>2</v>
      </c>
      <c r="E21" s="277">
        <v>0.8</v>
      </c>
      <c r="F21" s="277">
        <v>0.8</v>
      </c>
      <c r="G21" s="277">
        <v>0.65</v>
      </c>
      <c r="H21" s="278">
        <f t="shared" si="0"/>
        <v>4.68</v>
      </c>
      <c r="I21" s="278">
        <f t="shared" si="1"/>
        <v>5.44</v>
      </c>
      <c r="J21" s="264"/>
    </row>
    <row r="22" spans="1:10" ht="21.75" x14ac:dyDescent="0.6">
      <c r="A22" s="269"/>
      <c r="B22" s="275" t="s">
        <v>1091</v>
      </c>
      <c r="C22" s="276" t="s">
        <v>1094</v>
      </c>
      <c r="D22" s="277">
        <v>1</v>
      </c>
      <c r="E22" s="277">
        <v>0.8</v>
      </c>
      <c r="F22" s="277">
        <v>0.8</v>
      </c>
      <c r="G22" s="277">
        <v>0.7</v>
      </c>
      <c r="H22" s="278">
        <f t="shared" si="0"/>
        <v>2.5199999999999996</v>
      </c>
      <c r="I22" s="278">
        <f t="shared" si="1"/>
        <v>2.88</v>
      </c>
      <c r="J22" s="264"/>
    </row>
    <row r="23" spans="1:10" ht="21.75" x14ac:dyDescent="0.6">
      <c r="A23" s="269"/>
      <c r="B23" s="275" t="s">
        <v>1091</v>
      </c>
      <c r="C23" s="276" t="s">
        <v>1092</v>
      </c>
      <c r="D23" s="277">
        <v>3</v>
      </c>
      <c r="E23" s="277">
        <v>0.8</v>
      </c>
      <c r="F23" s="277">
        <v>0.8</v>
      </c>
      <c r="G23" s="277">
        <v>0.8</v>
      </c>
      <c r="H23" s="278">
        <f t="shared" si="0"/>
        <v>8.64</v>
      </c>
      <c r="I23" s="278">
        <f t="shared" si="1"/>
        <v>9.6000000000000014</v>
      </c>
      <c r="J23" s="264"/>
    </row>
    <row r="24" spans="1:10" ht="21.75" x14ac:dyDescent="0.6">
      <c r="A24" s="269"/>
      <c r="B24" s="275" t="s">
        <v>1091</v>
      </c>
      <c r="C24" s="276" t="s">
        <v>1098</v>
      </c>
      <c r="D24" s="277">
        <v>1</v>
      </c>
      <c r="E24" s="277">
        <v>0.8</v>
      </c>
      <c r="F24" s="277">
        <v>0.8</v>
      </c>
      <c r="G24" s="277">
        <v>0.85</v>
      </c>
      <c r="H24" s="278">
        <f t="shared" si="0"/>
        <v>3.06</v>
      </c>
      <c r="I24" s="278">
        <f t="shared" si="1"/>
        <v>3.3600000000000003</v>
      </c>
      <c r="J24" s="264"/>
    </row>
    <row r="25" spans="1:10" ht="21.75" x14ac:dyDescent="0.6">
      <c r="A25" s="269"/>
      <c r="B25" s="275" t="s">
        <v>1091</v>
      </c>
      <c r="C25" s="276" t="s">
        <v>1095</v>
      </c>
      <c r="D25" s="277">
        <v>1</v>
      </c>
      <c r="E25" s="277">
        <v>0.8</v>
      </c>
      <c r="F25" s="277">
        <v>0.8</v>
      </c>
      <c r="G25" s="277">
        <v>0.9</v>
      </c>
      <c r="H25" s="278">
        <f t="shared" si="0"/>
        <v>3.24</v>
      </c>
      <c r="I25" s="278">
        <f t="shared" si="1"/>
        <v>3.5200000000000005</v>
      </c>
      <c r="J25" s="264"/>
    </row>
    <row r="26" spans="1:10" ht="21.75" x14ac:dyDescent="0.6">
      <c r="A26" s="269"/>
      <c r="B26" s="275" t="s">
        <v>1091</v>
      </c>
      <c r="C26" s="276" t="s">
        <v>1088</v>
      </c>
      <c r="D26" s="277">
        <v>1</v>
      </c>
      <c r="E26" s="277">
        <v>0.8</v>
      </c>
      <c r="F26" s="277">
        <v>0.8</v>
      </c>
      <c r="G26" s="277">
        <v>1</v>
      </c>
      <c r="H26" s="278">
        <f t="shared" si="0"/>
        <v>3.6</v>
      </c>
      <c r="I26" s="278">
        <f t="shared" si="1"/>
        <v>3.8400000000000003</v>
      </c>
      <c r="J26" s="264"/>
    </row>
    <row r="27" spans="1:10" ht="21.75" x14ac:dyDescent="0.6">
      <c r="A27" s="269"/>
      <c r="B27" s="275" t="s">
        <v>1091</v>
      </c>
      <c r="C27" s="276" t="s">
        <v>1096</v>
      </c>
      <c r="D27" s="277">
        <v>1</v>
      </c>
      <c r="E27" s="277">
        <v>0.8</v>
      </c>
      <c r="F27" s="277">
        <v>0.8</v>
      </c>
      <c r="G27" s="277">
        <v>1.1000000000000001</v>
      </c>
      <c r="H27" s="278">
        <f t="shared" si="0"/>
        <v>3.9600000000000004</v>
      </c>
      <c r="I27" s="278">
        <f t="shared" si="1"/>
        <v>4.16</v>
      </c>
      <c r="J27" s="264"/>
    </row>
    <row r="28" spans="1:10" ht="21.75" x14ac:dyDescent="0.6">
      <c r="A28" s="269"/>
      <c r="B28" s="275" t="s">
        <v>1091</v>
      </c>
      <c r="C28" s="276" t="s">
        <v>1097</v>
      </c>
      <c r="D28" s="277">
        <v>1</v>
      </c>
      <c r="E28" s="277">
        <v>0.8</v>
      </c>
      <c r="F28" s="277">
        <v>0.8</v>
      </c>
      <c r="G28" s="277">
        <v>1.2</v>
      </c>
      <c r="H28" s="278">
        <f t="shared" si="0"/>
        <v>4.32</v>
      </c>
      <c r="I28" s="278">
        <f t="shared" si="1"/>
        <v>4.4800000000000004</v>
      </c>
      <c r="J28" s="264"/>
    </row>
    <row r="29" spans="1:10" ht="21.75" x14ac:dyDescent="0.6">
      <c r="A29" s="269"/>
      <c r="B29" s="298" t="s">
        <v>1099</v>
      </c>
      <c r="C29" s="294"/>
      <c r="D29" s="299">
        <v>2</v>
      </c>
      <c r="E29" s="299"/>
      <c r="F29" s="299"/>
      <c r="G29" s="299"/>
      <c r="H29" s="300"/>
      <c r="I29" s="300"/>
      <c r="J29" s="264"/>
    </row>
    <row r="30" spans="1:10" ht="21.75" x14ac:dyDescent="0.6">
      <c r="A30" s="269"/>
      <c r="B30" s="302" t="s">
        <v>1101</v>
      </c>
      <c r="C30" s="301"/>
      <c r="D30" s="301"/>
      <c r="E30" s="301"/>
      <c r="F30" s="301"/>
      <c r="G30" s="301"/>
      <c r="H30" s="301"/>
      <c r="I30" s="301"/>
      <c r="J30" s="264"/>
    </row>
    <row r="31" spans="1:10" ht="21.75" x14ac:dyDescent="0.6">
      <c r="A31" s="269"/>
      <c r="B31" s="275" t="s">
        <v>1102</v>
      </c>
      <c r="C31" s="276" t="s">
        <v>1103</v>
      </c>
      <c r="D31" s="277">
        <v>2</v>
      </c>
      <c r="E31" s="277">
        <f>2.7*4.8*2.4</f>
        <v>31.103999999999999</v>
      </c>
      <c r="F31" s="277"/>
      <c r="G31" s="277"/>
      <c r="H31" s="278"/>
      <c r="I31" s="278"/>
      <c r="J31" s="264"/>
    </row>
    <row r="32" spans="1:10" ht="21.75" x14ac:dyDescent="0.6">
      <c r="A32" s="269"/>
      <c r="B32" s="275" t="s">
        <v>1102</v>
      </c>
      <c r="C32" s="276" t="s">
        <v>1104</v>
      </c>
      <c r="D32" s="277">
        <v>1</v>
      </c>
      <c r="E32" s="277">
        <f>1.2*2.4*0.8</f>
        <v>2.3039999999999998</v>
      </c>
      <c r="F32" s="277"/>
      <c r="G32" s="277"/>
      <c r="H32" s="309"/>
      <c r="I32" s="309"/>
      <c r="J32" s="264"/>
    </row>
    <row r="33" spans="1:10" ht="21.75" x14ac:dyDescent="0.6">
      <c r="A33" s="269"/>
      <c r="B33" s="279"/>
      <c r="C33" s="280"/>
      <c r="D33" s="281"/>
      <c r="E33" s="281"/>
      <c r="F33" s="281"/>
      <c r="G33" s="311" t="s">
        <v>1114</v>
      </c>
      <c r="H33" s="310">
        <f>SUM(H12:H32)</f>
        <v>71.819999999999993</v>
      </c>
      <c r="I33" s="310">
        <f>SUM(I12:I32)</f>
        <v>81.760000000000005</v>
      </c>
      <c r="J33" s="264"/>
    </row>
    <row r="34" spans="1:10" ht="15.75" x14ac:dyDescent="0.2">
      <c r="A34" s="282"/>
      <c r="B34" s="248"/>
      <c r="C34" s="248"/>
      <c r="D34" s="248"/>
      <c r="E34" s="248"/>
      <c r="F34" s="248"/>
      <c r="G34" s="311" t="s">
        <v>1113</v>
      </c>
      <c r="H34" s="312">
        <v>38.81</v>
      </c>
      <c r="I34" s="313">
        <v>47.78</v>
      </c>
      <c r="J34" s="283"/>
    </row>
    <row r="35" spans="1:10" x14ac:dyDescent="0.2">
      <c r="A35" s="282"/>
      <c r="B35" s="248"/>
      <c r="C35" s="248"/>
      <c r="D35" s="248"/>
      <c r="E35" s="248"/>
      <c r="F35" s="248"/>
      <c r="G35" s="248"/>
      <c r="H35" s="248"/>
      <c r="I35" s="248"/>
      <c r="J35" s="283"/>
    </row>
    <row r="36" spans="1:10" ht="13.5" thickBot="1" x14ac:dyDescent="0.25">
      <c r="A36" s="282"/>
      <c r="B36" s="248"/>
      <c r="C36" s="248"/>
      <c r="D36" s="248"/>
      <c r="E36" s="248"/>
      <c r="F36" s="248"/>
      <c r="G36" s="248"/>
      <c r="H36" s="248"/>
      <c r="I36" s="248"/>
      <c r="J36" s="283"/>
    </row>
    <row r="37" spans="1:10" ht="48" thickBot="1" x14ac:dyDescent="0.25">
      <c r="A37" s="282"/>
      <c r="B37" s="273" t="s">
        <v>7</v>
      </c>
      <c r="C37" s="274" t="s">
        <v>1078</v>
      </c>
      <c r="D37" s="274" t="s">
        <v>1116</v>
      </c>
      <c r="E37" s="274" t="s">
        <v>1082</v>
      </c>
      <c r="F37" s="284" t="s">
        <v>1115</v>
      </c>
      <c r="G37" s="285" t="s">
        <v>1083</v>
      </c>
      <c r="H37" s="248"/>
      <c r="I37" s="248"/>
      <c r="J37" s="283"/>
    </row>
    <row r="38" spans="1:10" ht="15.75" x14ac:dyDescent="0.2">
      <c r="A38" s="282"/>
      <c r="B38" s="275" t="str">
        <f>B14</f>
        <v>CIE</v>
      </c>
      <c r="C38" s="286" t="str">
        <f>C14</f>
        <v>0,8 x 0,8 x 0,55</v>
      </c>
      <c r="D38" s="287">
        <f>H14*$H$34</f>
        <v>307.37520000000006</v>
      </c>
      <c r="E38" s="287">
        <f>I14*$I$34</f>
        <v>458.6880000000001</v>
      </c>
      <c r="F38" s="287">
        <v>655.41</v>
      </c>
      <c r="G38" s="288">
        <f t="shared" ref="G38:G52" si="2">SUM(D38:F38)</f>
        <v>1421.4732000000001</v>
      </c>
      <c r="H38" s="248"/>
      <c r="I38" s="248"/>
      <c r="J38" s="283"/>
    </row>
    <row r="39" spans="1:10" ht="15.75" x14ac:dyDescent="0.2">
      <c r="A39" s="282"/>
      <c r="B39" s="275" t="str">
        <f t="shared" ref="B39:C49" si="3">B15</f>
        <v>CIE</v>
      </c>
      <c r="C39" s="286" t="str">
        <f t="shared" si="3"/>
        <v>0,8 x 0,8 x 0,6</v>
      </c>
      <c r="D39" s="287">
        <f t="shared" ref="D39:D52" si="4">H15*$H$34</f>
        <v>167.65920000000003</v>
      </c>
      <c r="E39" s="287">
        <f t="shared" ref="E39:E52" si="5">I15*$I$34</f>
        <v>244.6336</v>
      </c>
      <c r="F39" s="287">
        <v>655.41</v>
      </c>
      <c r="G39" s="288">
        <f t="shared" si="2"/>
        <v>1067.7028</v>
      </c>
      <c r="H39" s="248"/>
      <c r="I39" s="248"/>
      <c r="J39" s="283"/>
    </row>
    <row r="40" spans="1:10" ht="15.75" x14ac:dyDescent="0.2">
      <c r="A40" s="282"/>
      <c r="B40" s="275" t="str">
        <f t="shared" si="3"/>
        <v>CIE</v>
      </c>
      <c r="C40" s="286" t="str">
        <f t="shared" si="3"/>
        <v>0,8 x 0,8 x 0,65</v>
      </c>
      <c r="D40" s="287">
        <f t="shared" si="4"/>
        <v>272.44619999999998</v>
      </c>
      <c r="E40" s="287">
        <f t="shared" si="5"/>
        <v>389.88480000000004</v>
      </c>
      <c r="F40" s="287">
        <v>655.41</v>
      </c>
      <c r="G40" s="288">
        <f t="shared" si="2"/>
        <v>1317.741</v>
      </c>
      <c r="H40" s="248"/>
      <c r="I40" s="248"/>
      <c r="J40" s="283"/>
    </row>
    <row r="41" spans="1:10" ht="15.75" x14ac:dyDescent="0.2">
      <c r="A41" s="282"/>
      <c r="B41" s="275" t="str">
        <f t="shared" si="3"/>
        <v>CIE</v>
      </c>
      <c r="C41" s="286" t="str">
        <f t="shared" si="3"/>
        <v>0,8 x 0,8 x 0,75</v>
      </c>
      <c r="D41" s="287">
        <f t="shared" si="4"/>
        <v>104.78700000000001</v>
      </c>
      <c r="E41" s="287">
        <f>I17*$I$34</f>
        <v>145.25120000000004</v>
      </c>
      <c r="F41" s="287">
        <v>655.41</v>
      </c>
      <c r="G41" s="288">
        <f t="shared" si="2"/>
        <v>905.44820000000004</v>
      </c>
      <c r="H41" s="248"/>
      <c r="I41" s="248"/>
      <c r="J41" s="283"/>
    </row>
    <row r="42" spans="1:10" ht="15.75" x14ac:dyDescent="0.2">
      <c r="A42" s="282"/>
      <c r="B42" s="275" t="str">
        <f t="shared" si="3"/>
        <v>CIE</v>
      </c>
      <c r="C42" s="286" t="str">
        <f t="shared" si="3"/>
        <v>0,8 x 0,8 x 1</v>
      </c>
      <c r="D42" s="287">
        <f t="shared" si="4"/>
        <v>139.71600000000001</v>
      </c>
      <c r="E42" s="287">
        <f t="shared" si="5"/>
        <v>183.47520000000003</v>
      </c>
      <c r="F42" s="287">
        <v>655.41</v>
      </c>
      <c r="G42" s="288">
        <f t="shared" si="2"/>
        <v>978.60120000000006</v>
      </c>
      <c r="H42" s="248"/>
      <c r="I42" s="248"/>
      <c r="J42" s="283"/>
    </row>
    <row r="43" spans="1:10" ht="15.75" x14ac:dyDescent="0.2">
      <c r="A43" s="282"/>
      <c r="B43" s="275" t="str">
        <f t="shared" si="3"/>
        <v>CIAP</v>
      </c>
      <c r="C43" s="286" t="str">
        <f t="shared" si="3"/>
        <v>0,8 x 0,8 x 0,55</v>
      </c>
      <c r="D43" s="287">
        <f t="shared" si="4"/>
        <v>307.37520000000006</v>
      </c>
      <c r="E43" s="287">
        <f t="shared" si="5"/>
        <v>458.6880000000001</v>
      </c>
      <c r="F43" s="287">
        <v>655.41</v>
      </c>
      <c r="G43" s="288">
        <f t="shared" si="2"/>
        <v>1421.4732000000001</v>
      </c>
      <c r="H43" s="248"/>
      <c r="I43" s="248"/>
      <c r="J43" s="283"/>
    </row>
    <row r="44" spans="1:10" ht="15.75" x14ac:dyDescent="0.2">
      <c r="A44" s="282"/>
      <c r="B44" s="275" t="str">
        <f t="shared" si="3"/>
        <v>CIAP</v>
      </c>
      <c r="C44" s="286" t="str">
        <f t="shared" si="3"/>
        <v>0,8 x 0,8 x 0,6</v>
      </c>
      <c r="D44" s="287">
        <f t="shared" si="4"/>
        <v>167.65920000000003</v>
      </c>
      <c r="E44" s="287">
        <f t="shared" si="5"/>
        <v>244.6336</v>
      </c>
      <c r="F44" s="287">
        <v>655.41</v>
      </c>
      <c r="G44" s="288">
        <f t="shared" si="2"/>
        <v>1067.7028</v>
      </c>
      <c r="H44" s="248"/>
      <c r="I44" s="248"/>
      <c r="J44" s="283"/>
    </row>
    <row r="45" spans="1:10" ht="15.75" x14ac:dyDescent="0.2">
      <c r="A45" s="282"/>
      <c r="B45" s="275" t="str">
        <f t="shared" si="3"/>
        <v>CIAP</v>
      </c>
      <c r="C45" s="286" t="str">
        <f t="shared" si="3"/>
        <v>0,8 x 0,8 x 0,65</v>
      </c>
      <c r="D45" s="287">
        <f>H21*$H$34</f>
        <v>181.63079999999999</v>
      </c>
      <c r="E45" s="287">
        <f t="shared" si="5"/>
        <v>259.92320000000001</v>
      </c>
      <c r="F45" s="287">
        <v>655.41</v>
      </c>
      <c r="G45" s="288">
        <f t="shared" si="2"/>
        <v>1096.9639999999999</v>
      </c>
      <c r="H45" s="248"/>
      <c r="I45" s="248"/>
      <c r="J45" s="283"/>
    </row>
    <row r="46" spans="1:10" ht="15.75" x14ac:dyDescent="0.2">
      <c r="A46" s="282"/>
      <c r="B46" s="275" t="str">
        <f t="shared" si="3"/>
        <v>CIAP</v>
      </c>
      <c r="C46" s="286" t="str">
        <f t="shared" si="3"/>
        <v>0,8 x 0,8 x 0,7</v>
      </c>
      <c r="D46" s="287">
        <f t="shared" si="4"/>
        <v>97.801199999999994</v>
      </c>
      <c r="E46" s="287">
        <f t="shared" si="5"/>
        <v>137.60640000000001</v>
      </c>
      <c r="F46" s="287">
        <v>655.41</v>
      </c>
      <c r="G46" s="288">
        <f t="shared" si="2"/>
        <v>890.81759999999997</v>
      </c>
      <c r="H46" s="248"/>
      <c r="I46" s="248"/>
      <c r="J46" s="283"/>
    </row>
    <row r="47" spans="1:10" ht="15.75" x14ac:dyDescent="0.2">
      <c r="A47" s="282"/>
      <c r="B47" s="275" t="str">
        <f t="shared" si="3"/>
        <v>CIAP</v>
      </c>
      <c r="C47" s="286" t="str">
        <f t="shared" si="3"/>
        <v>0,8 x 0,8 x 0,8</v>
      </c>
      <c r="D47" s="287">
        <f t="shared" si="4"/>
        <v>335.31840000000005</v>
      </c>
      <c r="E47" s="287">
        <f t="shared" si="5"/>
        <v>458.6880000000001</v>
      </c>
      <c r="F47" s="287">
        <v>655.41</v>
      </c>
      <c r="G47" s="288">
        <f t="shared" si="2"/>
        <v>1449.4164000000001</v>
      </c>
      <c r="H47" s="248"/>
      <c r="I47" s="248"/>
      <c r="J47" s="283"/>
    </row>
    <row r="48" spans="1:10" ht="15.75" x14ac:dyDescent="0.2">
      <c r="A48" s="282"/>
      <c r="B48" s="275" t="str">
        <f t="shared" si="3"/>
        <v>CIAP</v>
      </c>
      <c r="C48" s="286" t="str">
        <f t="shared" si="3"/>
        <v>0,8 x 0,8 x 0,85</v>
      </c>
      <c r="D48" s="287">
        <f t="shared" si="4"/>
        <v>118.75860000000002</v>
      </c>
      <c r="E48" s="287">
        <f t="shared" si="5"/>
        <v>160.54080000000002</v>
      </c>
      <c r="F48" s="287">
        <v>655.41</v>
      </c>
      <c r="G48" s="288">
        <f t="shared" si="2"/>
        <v>934.70939999999996</v>
      </c>
      <c r="H48" s="248"/>
      <c r="I48" s="248"/>
      <c r="J48" s="283"/>
    </row>
    <row r="49" spans="1:10" ht="15.75" x14ac:dyDescent="0.2">
      <c r="A49" s="282"/>
      <c r="B49" s="275" t="str">
        <f t="shared" si="3"/>
        <v>CIAP</v>
      </c>
      <c r="C49" s="286" t="str">
        <f t="shared" si="3"/>
        <v>0,8 x 0,8 x 0,9</v>
      </c>
      <c r="D49" s="287">
        <f t="shared" si="4"/>
        <v>125.74440000000001</v>
      </c>
      <c r="E49" s="287">
        <f t="shared" si="5"/>
        <v>168.18560000000002</v>
      </c>
      <c r="F49" s="287">
        <v>655.41</v>
      </c>
      <c r="G49" s="288">
        <f t="shared" si="2"/>
        <v>949.34</v>
      </c>
      <c r="H49" s="248"/>
      <c r="I49" s="248"/>
      <c r="J49" s="283"/>
    </row>
    <row r="50" spans="1:10" ht="15.75" x14ac:dyDescent="0.2">
      <c r="A50" s="282"/>
      <c r="B50" s="275" t="str">
        <f t="shared" ref="B50:C50" si="6">B26</f>
        <v>CIAP</v>
      </c>
      <c r="C50" s="286" t="str">
        <f t="shared" si="6"/>
        <v>0,8 x 0,8 x 1</v>
      </c>
      <c r="D50" s="287">
        <f t="shared" si="4"/>
        <v>139.71600000000001</v>
      </c>
      <c r="E50" s="287">
        <f t="shared" si="5"/>
        <v>183.47520000000003</v>
      </c>
      <c r="F50" s="287">
        <v>655.41</v>
      </c>
      <c r="G50" s="288">
        <f t="shared" si="2"/>
        <v>978.60120000000006</v>
      </c>
      <c r="H50" s="248"/>
      <c r="I50" s="248"/>
      <c r="J50" s="283"/>
    </row>
    <row r="51" spans="1:10" ht="15.75" x14ac:dyDescent="0.2">
      <c r="A51" s="282"/>
      <c r="B51" s="275" t="str">
        <f t="shared" ref="B51:C51" si="7">B27</f>
        <v>CIAP</v>
      </c>
      <c r="C51" s="286" t="str">
        <f t="shared" si="7"/>
        <v>0,8 x 0,8 x 1,1</v>
      </c>
      <c r="D51" s="287">
        <f t="shared" si="4"/>
        <v>153.68760000000003</v>
      </c>
      <c r="E51" s="287">
        <f t="shared" si="5"/>
        <v>198.76480000000001</v>
      </c>
      <c r="F51" s="287">
        <v>655.41</v>
      </c>
      <c r="G51" s="288">
        <f t="shared" si="2"/>
        <v>1007.8624</v>
      </c>
      <c r="H51" s="248"/>
      <c r="I51" s="248"/>
      <c r="J51" s="283"/>
    </row>
    <row r="52" spans="1:10" ht="16.5" thickBot="1" x14ac:dyDescent="0.25">
      <c r="A52" s="282"/>
      <c r="B52" s="275" t="str">
        <f t="shared" ref="B52:C52" si="8">B28</f>
        <v>CIAP</v>
      </c>
      <c r="C52" s="286" t="str">
        <f t="shared" si="8"/>
        <v>0,8 x 0,8 x 1,2</v>
      </c>
      <c r="D52" s="287">
        <f t="shared" si="4"/>
        <v>167.65920000000003</v>
      </c>
      <c r="E52" s="287">
        <f t="shared" si="5"/>
        <v>214.05440000000002</v>
      </c>
      <c r="F52" s="287">
        <v>655.41</v>
      </c>
      <c r="G52" s="288">
        <f t="shared" si="2"/>
        <v>1037.1235999999999</v>
      </c>
      <c r="H52" s="248"/>
      <c r="I52" s="248"/>
      <c r="J52" s="283"/>
    </row>
    <row r="53" spans="1:10" ht="16.5" thickBot="1" x14ac:dyDescent="0.25">
      <c r="A53" s="282"/>
      <c r="B53" s="279"/>
      <c r="C53" s="280"/>
      <c r="D53" s="289">
        <f>SUM(D38:D52)</f>
        <v>2787.3342000000007</v>
      </c>
      <c r="E53" s="289">
        <f t="shared" ref="E53" si="9">SUM(E38:E52)</f>
        <v>3906.4928000000009</v>
      </c>
      <c r="F53" s="289">
        <f>SUM(F38:F52)</f>
        <v>9831.15</v>
      </c>
      <c r="G53" s="290">
        <f>SUM(G38:G52)</f>
        <v>16524.977000000003</v>
      </c>
      <c r="H53" s="248"/>
      <c r="I53" s="248"/>
      <c r="J53" s="283"/>
    </row>
    <row r="54" spans="1:10" x14ac:dyDescent="0.2">
      <c r="A54" s="282"/>
      <c r="B54" s="248"/>
      <c r="C54" s="248"/>
      <c r="D54" s="248"/>
      <c r="E54" s="248"/>
      <c r="F54" s="248"/>
      <c r="G54" s="248"/>
      <c r="H54" s="248"/>
      <c r="I54" s="248"/>
      <c r="J54" s="283"/>
    </row>
    <row r="55" spans="1:10" x14ac:dyDescent="0.2">
      <c r="A55" s="282"/>
      <c r="B55" s="248"/>
      <c r="C55" s="248"/>
      <c r="D55" s="248"/>
      <c r="E55" s="248"/>
      <c r="F55" s="248"/>
      <c r="G55" s="248"/>
      <c r="H55" s="248"/>
      <c r="I55" s="248"/>
      <c r="J55" s="283"/>
    </row>
    <row r="56" spans="1:10" ht="15.75" x14ac:dyDescent="0.2">
      <c r="A56" s="282"/>
      <c r="B56" s="291" t="s">
        <v>7</v>
      </c>
      <c r="C56" s="292" t="s">
        <v>64</v>
      </c>
      <c r="D56" s="292" t="s">
        <v>1108</v>
      </c>
      <c r="E56" s="292" t="s">
        <v>85</v>
      </c>
      <c r="F56" s="248"/>
      <c r="G56" s="248"/>
      <c r="H56" s="248"/>
      <c r="I56" s="248"/>
      <c r="J56" s="283"/>
    </row>
    <row r="57" spans="1:10" ht="15.75" x14ac:dyDescent="0.2">
      <c r="A57" s="282"/>
      <c r="B57" s="293" t="s">
        <v>1084</v>
      </c>
      <c r="C57" s="304">
        <f>D12</f>
        <v>7</v>
      </c>
      <c r="D57" s="303">
        <v>770.4</v>
      </c>
      <c r="E57" s="306">
        <f>D57*C57</f>
        <v>5392.8</v>
      </c>
      <c r="F57" s="248"/>
      <c r="G57" s="248"/>
      <c r="H57" s="248"/>
      <c r="I57" s="248"/>
      <c r="J57" s="283"/>
    </row>
    <row r="58" spans="1:10" ht="15.75" x14ac:dyDescent="0.2">
      <c r="A58" s="282"/>
      <c r="B58" s="293" t="s">
        <v>1105</v>
      </c>
      <c r="C58" s="305">
        <f>D13</f>
        <v>3</v>
      </c>
      <c r="D58" s="303">
        <v>301.98</v>
      </c>
      <c r="E58" s="306">
        <f>D58*C58</f>
        <v>905.94</v>
      </c>
      <c r="F58" s="248"/>
      <c r="G58" s="248"/>
      <c r="H58" s="248"/>
      <c r="I58" s="248"/>
      <c r="J58" s="283"/>
    </row>
    <row r="59" spans="1:10" ht="15.75" x14ac:dyDescent="0.2">
      <c r="A59" s="282"/>
      <c r="B59" s="293" t="s">
        <v>1085</v>
      </c>
      <c r="C59" s="305">
        <f>D14+D15+D16+D17+D18</f>
        <v>11</v>
      </c>
      <c r="D59" s="303">
        <f>E59/C59</f>
        <v>517.3605818181818</v>
      </c>
      <c r="E59" s="306">
        <f>SUM(G38:G42)</f>
        <v>5690.9664000000002</v>
      </c>
      <c r="F59" s="248"/>
      <c r="G59" s="248"/>
      <c r="H59" s="248"/>
      <c r="I59" s="248"/>
      <c r="J59" s="283"/>
    </row>
    <row r="60" spans="1:10" ht="15.75" x14ac:dyDescent="0.2">
      <c r="A60" s="282"/>
      <c r="B60" s="293" t="s">
        <v>1091</v>
      </c>
      <c r="C60" s="305">
        <f>D19+D20+D21+D22+D23+D24+D25+D26+D27+D28</f>
        <v>17</v>
      </c>
      <c r="D60" s="303">
        <f>E60/C60</f>
        <v>637.29474117647067</v>
      </c>
      <c r="E60" s="306">
        <f>SUM(G43:G52)</f>
        <v>10834.010600000001</v>
      </c>
      <c r="F60" s="248"/>
      <c r="G60" s="248"/>
      <c r="H60" s="248"/>
      <c r="I60" s="248"/>
      <c r="J60" s="283"/>
    </row>
    <row r="61" spans="1:10" ht="15.75" x14ac:dyDescent="0.2">
      <c r="A61" s="282"/>
      <c r="B61" s="293" t="s">
        <v>1106</v>
      </c>
      <c r="C61" s="304">
        <f>D31</f>
        <v>2</v>
      </c>
      <c r="D61" s="303">
        <v>74600</v>
      </c>
      <c r="E61" s="306">
        <f>D61*C61</f>
        <v>149200</v>
      </c>
      <c r="F61" s="248"/>
      <c r="G61" s="248"/>
      <c r="H61" s="248"/>
      <c r="I61" s="248"/>
      <c r="J61" s="283"/>
    </row>
    <row r="62" spans="1:10" ht="15.75" x14ac:dyDescent="0.2">
      <c r="A62" s="282"/>
      <c r="B62" s="293" t="s">
        <v>1107</v>
      </c>
      <c r="C62" s="304">
        <f>D32</f>
        <v>1</v>
      </c>
      <c r="D62" s="303">
        <v>32750</v>
      </c>
      <c r="E62" s="306">
        <f t="shared" ref="E62" si="10">D62*C62</f>
        <v>32750</v>
      </c>
      <c r="F62" s="248"/>
      <c r="G62" s="248"/>
      <c r="H62" s="248"/>
      <c r="I62" s="248"/>
      <c r="J62" s="283"/>
    </row>
    <row r="63" spans="1:10" ht="15.75" x14ac:dyDescent="0.2">
      <c r="A63" s="282"/>
      <c r="B63" s="293" t="s">
        <v>1099</v>
      </c>
      <c r="C63" s="304">
        <f>D29</f>
        <v>2</v>
      </c>
      <c r="D63" s="303">
        <v>10700</v>
      </c>
      <c r="E63" s="306">
        <f t="shared" ref="E63" si="11">D63*C63</f>
        <v>21400</v>
      </c>
      <c r="F63" s="248"/>
      <c r="G63" s="248"/>
      <c r="H63" s="248"/>
      <c r="I63" s="248"/>
      <c r="J63" s="283"/>
    </row>
    <row r="64" spans="1:10" x14ac:dyDescent="0.2">
      <c r="A64" s="282"/>
      <c r="B64" s="248"/>
      <c r="C64" s="248"/>
      <c r="D64" s="248"/>
      <c r="E64" s="248"/>
      <c r="F64" s="248"/>
      <c r="G64" s="248"/>
      <c r="H64" s="248"/>
      <c r="I64" s="248"/>
      <c r="J64" s="283"/>
    </row>
    <row r="65" spans="1:10" ht="13.5" thickBot="1" x14ac:dyDescent="0.25">
      <c r="A65" s="295"/>
      <c r="B65" s="296"/>
      <c r="C65" s="296"/>
      <c r="D65" s="296"/>
      <c r="E65" s="296"/>
      <c r="F65" s="296"/>
      <c r="G65" s="296"/>
      <c r="H65" s="296"/>
      <c r="I65" s="296"/>
      <c r="J65" s="297"/>
    </row>
    <row r="66" spans="1:10" x14ac:dyDescent="0.2">
      <c r="A66" s="248"/>
      <c r="B66" s="248"/>
      <c r="C66" s="248"/>
      <c r="D66" s="248"/>
      <c r="E66" s="248"/>
      <c r="F66" s="248"/>
      <c r="G66" s="248"/>
      <c r="H66" s="248"/>
      <c r="I66" s="248"/>
      <c r="J66" s="248"/>
    </row>
  </sheetData>
  <mergeCells count="2">
    <mergeCell ref="A4:J4"/>
    <mergeCell ref="A6:J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6</vt:i4>
      </vt:variant>
    </vt:vector>
  </HeadingPairs>
  <TitlesOfParts>
    <vt:vector size="13" baseType="lpstr">
      <vt:lpstr>OBRA</vt:lpstr>
      <vt:lpstr>CANTEIRO</vt:lpstr>
      <vt:lpstr>EPC's</vt:lpstr>
      <vt:lpstr>ORÇAMENTO_EXECUTIVO_COMENTADO</vt:lpstr>
      <vt:lpstr>CONTROLE TECNOLÓGICO</vt:lpstr>
      <vt:lpstr>ESCORAMENTO</vt:lpstr>
      <vt:lpstr>CAIXAS-RESERVATORIOS</vt:lpstr>
      <vt:lpstr>'CONTROLE TECNOLÓGICO'!Print_Area</vt:lpstr>
      <vt:lpstr>'EPC''s'!Print_Area</vt:lpstr>
      <vt:lpstr>OBRA!Print_Area</vt:lpstr>
      <vt:lpstr>'CONTROLE TECNOLÓGICO'!Print_Titles</vt:lpstr>
      <vt:lpstr>'EPC''s'!Print_Titles</vt:lpstr>
      <vt:lpstr>OBRA!Print_Titles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Oliveira</dc:creator>
  <cp:lastModifiedBy>Patricia Bragatto</cp:lastModifiedBy>
  <dcterms:created xsi:type="dcterms:W3CDTF">2024-02-06T12:55:29Z</dcterms:created>
  <dcterms:modified xsi:type="dcterms:W3CDTF">2024-06-17T14:40:09Z</dcterms:modified>
</cp:coreProperties>
</file>